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drawings/drawing6.xml" ContentType="application/vnd.openxmlformats-officedocument.drawing+xml"/>
  <Override PartName="/xl/ctrlProps/ctrlProp8.xml" ContentType="application/vnd.ms-excel.controlproperties+xml"/>
  <Override PartName="/xl/drawings/drawing7.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8.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9.xml" ContentType="application/vnd.openxmlformats-officedocument.drawing+xml"/>
  <Override PartName="/xl/ctrlProps/ctrlProp15.xml" ContentType="application/vnd.ms-excel.controlproperties+xml"/>
  <Override PartName="/xl/drawings/drawing10.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drawings/drawing11.xml" ContentType="application/vnd.openxmlformats-officedocument.drawing+xml"/>
  <Override PartName="/xl/tables/table4.xml" ContentType="application/vnd.openxmlformats-officedocument.spreadsheetml.table+xml"/>
  <Override PartName="/xl/drawings/drawing12.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8" codeName="{00000000-0000-0000-0000-000000000000}"/>
  <workbookPr codeName="ThisWorkbook"/>
  <mc:AlternateContent xmlns:mc="http://schemas.openxmlformats.org/markup-compatibility/2006">
    <mc:Choice Requires="x15">
      <x15ac:absPath xmlns:x15ac="http://schemas.microsoft.com/office/spreadsheetml/2010/11/ac" url="https://teams.wal-mart.com/sites/JointBuyingTeam/Shared Documents/"/>
    </mc:Choice>
  </mc:AlternateContent>
  <xr:revisionPtr revIDLastSave="6068" documentId="13_ncr:1_{4BBFEAB8-0348-4C14-AF55-28201DB87314}" xr6:coauthVersionLast="47" xr6:coauthVersionMax="47" xr10:uidLastSave="{2DC7BA93-F3C2-445B-9663-98E7F9EBC683}"/>
  <bookViews>
    <workbookView xWindow="-110" yWindow="-110" windowWidth="19420" windowHeight="10420" tabRatio="738" firstSheet="7" activeTab="7" xr2:uid="{00000000-000D-0000-FFFF-FFFF00000000}"/>
  </bookViews>
  <sheets>
    <sheet name="MarketData" sheetId="23" state="hidden" r:id="rId1"/>
    <sheet name="MENU" sheetId="11" r:id="rId2"/>
    <sheet name="Setup" sheetId="9" r:id="rId3"/>
    <sheet name="Update" sheetId="15" r:id="rId4"/>
    <sheet name="Bi-Weekly" sheetId="22" r:id="rId5"/>
    <sheet name="Tracker" sheetId="13" r:id="rId6"/>
    <sheet name="Calendar" sheetId="10" r:id="rId7"/>
    <sheet name="Expanded Calendar" sheetId="18" r:id="rId8"/>
    <sheet name="HistoryView" sheetId="28" r:id="rId9"/>
    <sheet name="MyTasks" sheetId="26" r:id="rId10"/>
    <sheet name="Forecast" sheetId="17" r:id="rId11"/>
    <sheet name="Pipeline" sheetId="16" r:id="rId12"/>
    <sheet name="Sams Report" sheetId="30" r:id="rId13"/>
    <sheet name="ProjData" sheetId="19" r:id="rId14"/>
    <sheet name="Data" sheetId="1" r:id="rId15"/>
    <sheet name="Lookup tables" sheetId="3" r:id="rId16"/>
    <sheet name="WMUS Report" sheetId="29" r:id="rId17"/>
    <sheet name="Resourcing" sheetId="20" r:id="rId18"/>
  </sheets>
  <externalReferences>
    <externalReference r:id="rId19"/>
  </externalReferences>
  <definedNames>
    <definedName name="_xlnm._FilterDatabase" localSheetId="6" hidden="1">Calendar!$B$7:$K$7</definedName>
    <definedName name="_xlnm._FilterDatabase" localSheetId="7" hidden="1">'Expanded Calendar'!$B$7:$K$7</definedName>
    <definedName name="_xlnm._FilterDatabase" localSheetId="10" hidden="1">Forecast!$B$7:$K$7</definedName>
    <definedName name="_xlnm._FilterDatabase" localSheetId="5" hidden="1">Tracker!$E$1:$X$6</definedName>
    <definedName name="ALLSTATS" localSheetId="8">_xlfn._xlws.FILTER([1]!Contact[#Data],([1]!Contact[Season]=HistoryView!$C$3)*([1]!Contact[Latest]=TRUE),"No records matching the criteria")</definedName>
    <definedName name="ALLSTATS" localSheetId="9">_xlfn._xlws.FILTER([1]!Contact[#Data],([1]!Contact[Season]=MyTasks!$C$3)*([1]!Contact[Latest]=TRUE),"No records matching the criteria")</definedName>
    <definedName name="ALLSTATS">_xlfn._xlws.FILTER([1]!Contact[#Data],([1]!Contact[Season]=[1]Active!$C$3)*([1]!Contact[Latest]=TRUE),"No records matching the criteria")</definedName>
    <definedName name="ALLSTATS_TRF" localSheetId="8">_xlfn._xlws.FILTER([1]!Contact[#Data],([1]!Contact[Season]=[1]Active!$C$3)*([1]!Contact[Latest]=TRUE),"No records matching the criteria")</definedName>
    <definedName name="ALLSTATS_TRF">_xlfn._xlws.FILTER([1]!Contact[#Data],([1]!Contact[Season]=[1]Active!$C$3)*([1]!Contact[Latest]=TRUE),"No records matching the criteria")</definedName>
    <definedName name="ALLSTATSRECRUITMENT" localSheetId="8">_xlfn._xlws.FILTER([1]!Contact[#Data],([1]!Contact[Season]=[1]Active!$C$3)*([1]!Contact[Latest]=TRUE),"No records matching the criteria")</definedName>
    <definedName name="ALLSTATSRECRUITMENT">_xlfn._xlws.FILTER([1]!Contact[#Data],([1]!Contact[Season]=[1]Active!$C$3)*([1]!Contact[Latest]=TRUE),"No records matching the criteria")</definedName>
    <definedName name="CAN" localSheetId="8">_xlfn._xlws.SORT(_xlfn._xlws.FILTER(INDEX(Table2[#Data],_xlfn.SEQUENCE(ROWS(Table2[#Data])),TRANSPOSE(_xlfn.ANCHORARRAY('Lookup tables'!$H$2))),(Table2[SBU]='Bi-Weekly'!$F$6)*(Table2[Execution Year]='Bi-Weekly'!$F$4)*(Table2[Status]&lt;&gt;"Cancelled")*(Table2[CAN]=1),"N"),3,-1)</definedName>
    <definedName name="CAN" localSheetId="12">_xlfn._xlws.SORT(_xlfn._xlws.FILTER(INDEX(Table2[#Data],_xlfn.SEQUENCE(ROWS(Table2[#Data])),TRANSPOSE(_xlfn.ANCHORARRAY('Lookup tables'!$H$2))),(Table2[SBU]='Bi-Weekly'!$F$6)*(Table2[Execution Year]='Bi-Weekly'!$F$4)*(Table2[Status]&lt;&gt;"Cancelled")*(Table2[CAN]=1),"N"),3,-1)</definedName>
    <definedName name="CAN">_xlfn._xlws.SORT(_xlfn._xlws.FILTER(INDEX(Table2[#Data],_xlfn.SEQUENCE(ROWS(Table2[#Data])),TRANSPOSE(_xlfn.ANCHORARRAY('Lookup tables'!$H$2))),(Table2[SBU]='Bi-Weekly'!$F$6)*(Table2[Execution Year]='Bi-Weekly'!$F$4)*(Table2[Status]&lt;&gt;"Cancelled")*(Table2[CAN]=1),"N"),3,-1)</definedName>
    <definedName name="EXCALACTIVE" localSheetId="8">_xlfn._xlws.SORT(_xlfn._xlws.FILTER(INDEX(Table1[#Data],_xlfn.SEQUENCE(ROWS(Table1[#Data])),{5,4,2,26,10,76,78,11,82}),(Table1[Most curent]=TRUE)*(Table1[SBU]='Expanded Calendar'!$F$5)*(Table1[Current Phase]&lt;&gt;"Cancelled")*(Table1[Current Phase]&lt;&gt;"Completed")*(Table1[Status]&lt;&gt;"Not Updated"),"N"),'Expanded Calendar'!A1048575,-'Expanded Calendar'!B1048575)</definedName>
    <definedName name="EXCALACTIVE" localSheetId="12">_xlfn._xlws.SORT(_xlfn._xlws.FILTER(INDEX(Table1[#Data],_xlfn.SEQUENCE(ROWS(Table1[#Data])),{5,4,2,26,10,76,78,11,82}),(Table1[Most curent]=TRUE)*(Table1[SBU]='Expanded Calendar'!$F$5)*(Table1[Current Phase]&lt;&gt;"Cancelled")*(Table1[Current Phase]&lt;&gt;"Completed")*(Table1[Status]&lt;&gt;"Not Updated"),"N"),'Expanded Calendar'!A1048575,-'Expanded Calendar'!B1048575)</definedName>
    <definedName name="EXCALACTIVE">_xlfn._xlws.SORT(_xlfn._xlws.FILTER(INDEX(Table1[#Data],_xlfn.SEQUENCE(ROWS(Table1[#Data])),{5,4,2,26,10,76,78,11,82}),(Table1[Most curent]=TRUE)*(Table1[SBU]='Expanded Calendar'!$F$5)*(Table1[Current Phase]&lt;&gt;"Cancelled")*(Table1[Current Phase]&lt;&gt;"Completed")*(Table1[Status]&lt;&gt;"Not Updated"),"N"),'Expanded Calendar'!A1048575,-'Expanded Calendar'!B1048575)</definedName>
    <definedName name="EXCALALL" localSheetId="8">_xlfn._xlws.SORT(_xlfn._xlws.FILTER(INDEX(Table1[#Data],_xlfn.SEQUENCE(ROWS(Table1[#Data])),{5,4,2,26,10,76,78,11,82}),(Table1[Most curent]=TRUE)*(Table1[SBU]='Expanded Calendar'!$F$5)*(Table1[Current Phase]&lt;&gt;"Cancelled")*(Table1[Status]&lt;&gt;"Not Updated"),"N"),'Expanded Calendar'!A1048575,-'Expanded Calendar'!B1048575)</definedName>
    <definedName name="EXCALALL" localSheetId="12">_xlfn._xlws.SORT(_xlfn._xlws.FILTER(INDEX(Table1[#Data],_xlfn.SEQUENCE(ROWS(Table1[#Data])),{5,4,2,26,10,76,78,11,82}),(Table1[Most curent]=TRUE)*(Table1[SBU]='Expanded Calendar'!$F$5)*(Table1[Current Phase]&lt;&gt;"Cancelled")*(Table1[Status]&lt;&gt;"Not Updated"),"N"),'Expanded Calendar'!A1048575,-'Expanded Calendar'!B1048575)</definedName>
    <definedName name="EXCALALL">_xlfn._xlws.SORT(_xlfn._xlws.FILTER(INDEX(Table1[#Data],_xlfn.SEQUENCE(ROWS(Table1[#Data])),{5,4,2,26,10,76,78,11,82}),(Table1[Most curent]=TRUE)*(Table1[SBU]='Expanded Calendar'!$F$5)*(Table1[Current Phase]&lt;&gt;"Cancelled")*(Table1[Status]&lt;&gt;"Not Updated"),"N"),'Expanded Calendar'!A1048575,-'Expanded Calendar'!B1048575)</definedName>
    <definedName name="MEX" localSheetId="8">_xlfn._xlws.SORT(_xlfn._xlws.FILTER(INDEX(Table2[#Data],_xlfn.SEQUENCE(ROWS(Table2[#Data])),TRANSPOSE(_xlfn.ANCHORARRAY('Lookup tables'!$H$2))),(Table2[SBU]='Bi-Weekly'!$F$6)*(Table2[Execution Year]='Bi-Weekly'!$F$4)*(Table2[Status]&lt;&gt;"Cancelled")*(Table2[MEX]=1),"N"),3,-1)</definedName>
    <definedName name="MEX" localSheetId="12">_xlfn._xlws.SORT(_xlfn._xlws.FILTER(INDEX(Table2[#Data],_xlfn.SEQUENCE(ROWS(Table2[#Data])),TRANSPOSE(_xlfn.ANCHORARRAY('Lookup tables'!$H$2))),(Table2[SBU]='Bi-Weekly'!$F$6)*(Table2[Execution Year]='Bi-Weekly'!$F$4)*(Table2[Status]&lt;&gt;"Cancelled")*(Table2[MEX]=1),"N"),3,-1)</definedName>
    <definedName name="MEX">_xlfn._xlws.SORT(_xlfn._xlws.FILTER(INDEX(Table2[#Data],_xlfn.SEQUENCE(ROWS(Table2[#Data])),TRANSPOSE(_xlfn.ANCHORARRAY('Lookup tables'!$H$2))),(Table2[SBU]='Bi-Weekly'!$F$6)*(Table2[Execution Year]='Bi-Weekly'!$F$4)*(Table2[Status]&lt;&gt;"Cancelled")*(Table2[MEX]=1),"N"),3,-1)</definedName>
    <definedName name="ONESTAT" localSheetId="8">_xlfn._xlws.FILTER([1]!Contact[#Data],([1]!Contact[Season]=HistoryView!$C$3)*([1]!Contact[Latest]=TRUE)*([1]!Contact[Status]=HistoryView!$C$5),"No records matching the criteria")</definedName>
    <definedName name="ONESTAT" localSheetId="9">_xlfn._xlws.FILTER([1]!Contact[#Data],([1]!Contact[Season]=MyTasks!$C$3)*([1]!Contact[Latest]=TRUE)*([1]!Contact[Status]=MyTasks!$C$5),"No records matching the criteria")</definedName>
    <definedName name="ONESTAT">_xlfn._xlws.FILTER([1]!Contact[#Data],([1]!Contact[Season]=[1]Active!$C$3)*([1]!Contact[Latest]=TRUE)*([1]!Contact[Status]=[1]Active!$C$5),"No records matching the criteria")</definedName>
    <definedName name="ONESTAT_TRF" localSheetId="8">_xlfn._xlws.FILTER([1]!Contact[#Data],([1]!Contact[Season]=[1]Active!$C$3)*([1]!Contact[Latest]=TRUE)*([1]!Contact[Status]=[1]Active!$C$5),"No records matching the criteria")</definedName>
    <definedName name="ONESTAT_TRF">_xlfn._xlws.FILTER([1]!Contact[#Data],([1]!Contact[Season]=[1]Active!$C$3)*([1]!Contact[Latest]=TRUE)*([1]!Contact[Status]=[1]Active!$C$5),"No records matching the criteria")</definedName>
    <definedName name="ONESTATRECRUITMENT" localSheetId="8">_xlfn._xlws.FILTER([1]!Contact[#Data],([1]!Contact[Season]=[1]Active!$C$3)*([1]!Contact[Latest]=TRUE)*([1]!Contact[Status]=[1]Active!$C$5),"No records matching the criteria")</definedName>
    <definedName name="ONESTATRECRUITMENT">_xlfn._xlws.FILTER([1]!Contact[#Data],([1]!Contact[Season]=[1]Active!$C$3)*([1]!Contact[Latest]=TRUE)*([1]!Contact[Status]=[1]Active!$C$5),"No records matching the criteria")</definedName>
    <definedName name="Sams" localSheetId="8">_xlfn._xlws.SORT(_xlfn._xlws.FILTER(INDEX(Table2[#Data],_xlfn.SEQUENCE(ROWS(Table2[#Data])),TRANSPOSE(_xlfn.ANCHORARRAY('Lookup tables'!$H$2))),(Table2[SBU]='Bi-Weekly'!$F$6)*(Table2[Execution Year]='Bi-Weekly'!$F$4)*(Table2[Status]&lt;&gt;"Cancelled")*(Table2[Sams]=1),"N"),3,-1)</definedName>
    <definedName name="Sams" localSheetId="12">_xlfn._xlws.SORT(_xlfn._xlws.FILTER(INDEX(Table2[#Data],_xlfn.SEQUENCE(ROWS(Table2[#Data])),TRANSPOSE(_xlfn.ANCHORARRAY('Lookup tables'!$H$2))),(Table2[SBU]='Bi-Weekly'!$F$6)*(Table2[Execution Year]='Bi-Weekly'!$F$4)*(Table2[Status]&lt;&gt;"Cancelled")*(Table2[Sams]=1),"N"),3,-1)</definedName>
    <definedName name="Sams">_xlfn._xlws.SORT(_xlfn._xlws.FILTER(INDEX(Table2[#Data],_xlfn.SEQUENCE(ROWS(Table2[#Data])),TRANSPOSE(_xlfn.ANCHORARRAY('Lookup tables'!$H$2))),(Table2[SBU]='Bi-Weekly'!$F$6)*(Table2[Execution Year]='Bi-Weekly'!$F$4)*(Table2[Status]&lt;&gt;"Cancelled")*(Table2[Sams]=1),"N"),3,-1)</definedName>
    <definedName name="US" localSheetId="8">_xlfn._xlws.SORT(_xlfn._xlws.FILTER(INDEX(Table2[#Data],_xlfn.SEQUENCE(ROWS(Table2[#Data])),TRANSPOSE(_xlfn.ANCHORARRAY('Lookup tables'!$H$2))),(Table2[SBU]='Bi-Weekly'!$F$6)*(Table2[Execution Year]='Bi-Weekly'!$F$4)*(Table2[Status]&lt;&gt;"Cancelled")*(Table2[US]=1),"N"),3,-1)</definedName>
    <definedName name="US" localSheetId="12">_xlfn._xlws.SORT(_xlfn._xlws.FILTER(INDEX(Table2[#Data],_xlfn.SEQUENCE(ROWS(Table2[#Data])),TRANSPOSE(_xlfn.ANCHORARRAY('Lookup tables'!$H$2))),(Table2[SBU]='Bi-Weekly'!$F$6)*(Table2[Execution Year]='Bi-Weekly'!$F$4)*(Table2[Status]&lt;&gt;"Cancelled")*(Table2[US]=1),"N"),3,-1)</definedName>
    <definedName name="US">_xlfn._xlws.SORT(_xlfn._xlws.FILTER(INDEX(Table2[#Data],_xlfn.SEQUENCE(ROWS(Table2[#Data])),TRANSPOSE(_xlfn.ANCHORARRAY('Lookup tables'!$H$2))),(Table2[SBU]='Bi-Weekly'!$F$6)*(Table2[Execution Year]='Bi-Weekly'!$F$4)*(Table2[Status]&lt;&gt;"Cancelled")*(Table2[US]=1),"N"),3,-1)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D489" i="1" l="1"/>
  <c r="CC489" i="1"/>
  <c r="CB489" i="1"/>
  <c r="CA489" i="1"/>
  <c r="BZ489" i="1"/>
  <c r="BY489" i="1"/>
  <c r="BX489" i="1"/>
  <c r="BW489" i="1"/>
  <c r="BV489" i="1"/>
  <c r="BU489" i="1"/>
  <c r="Z489" i="1"/>
  <c r="S51" i="15"/>
  <c r="A112" i="19"/>
  <c r="V112" i="19"/>
  <c r="W112" i="19"/>
  <c r="X112" i="19"/>
  <c r="Z488" i="1"/>
  <c r="BU488" i="1"/>
  <c r="BV488" i="1"/>
  <c r="BW488" i="1"/>
  <c r="BX488" i="1"/>
  <c r="BY488" i="1"/>
  <c r="BZ488" i="1"/>
  <c r="CA488" i="1"/>
  <c r="CB488" i="1"/>
  <c r="CC488" i="1"/>
  <c r="CD488" i="1"/>
  <c r="CD487" i="1"/>
  <c r="CC487" i="1"/>
  <c r="CB487" i="1"/>
  <c r="CA487" i="1"/>
  <c r="BZ487" i="1"/>
  <c r="BY487" i="1"/>
  <c r="BX487" i="1"/>
  <c r="BW487" i="1"/>
  <c r="BV487" i="1"/>
  <c r="BU487" i="1"/>
  <c r="Z487" i="1"/>
  <c r="CD486" i="1"/>
  <c r="CC486" i="1"/>
  <c r="CB486" i="1"/>
  <c r="CA486" i="1"/>
  <c r="BZ486" i="1"/>
  <c r="BY486" i="1"/>
  <c r="BX486" i="1"/>
  <c r="BW486" i="1"/>
  <c r="BV486" i="1"/>
  <c r="BU486" i="1"/>
  <c r="Z486" i="1"/>
  <c r="Z485" i="1"/>
  <c r="BU485" i="1"/>
  <c r="BV485" i="1"/>
  <c r="BW485" i="1"/>
  <c r="BX485" i="1"/>
  <c r="BY485" i="1"/>
  <c r="BZ485" i="1"/>
  <c r="CA485" i="1"/>
  <c r="CB485" i="1"/>
  <c r="CC485" i="1"/>
  <c r="CD485" i="1"/>
  <c r="Z484" i="1"/>
  <c r="BU484" i="1"/>
  <c r="BV484" i="1"/>
  <c r="BW484" i="1"/>
  <c r="BX484" i="1"/>
  <c r="BY484" i="1"/>
  <c r="BZ484" i="1"/>
  <c r="CA484" i="1"/>
  <c r="CB484" i="1"/>
  <c r="CC484" i="1"/>
  <c r="CD484" i="1"/>
  <c r="Z483" i="1"/>
  <c r="BU483" i="1"/>
  <c r="BV483" i="1"/>
  <c r="BW483" i="1"/>
  <c r="BX483" i="1"/>
  <c r="BY483" i="1"/>
  <c r="BZ483" i="1"/>
  <c r="CA483" i="1"/>
  <c r="CB483" i="1"/>
  <c r="CC483" i="1"/>
  <c r="CD483" i="1"/>
  <c r="Z482" i="1"/>
  <c r="BU482" i="1"/>
  <c r="BV482" i="1"/>
  <c r="BW482" i="1"/>
  <c r="BX482" i="1"/>
  <c r="BY482" i="1"/>
  <c r="BZ482" i="1"/>
  <c r="CA482" i="1"/>
  <c r="CB482" i="1"/>
  <c r="CC482" i="1"/>
  <c r="CD482" i="1"/>
  <c r="Z481" i="1"/>
  <c r="BU481" i="1"/>
  <c r="BV481" i="1"/>
  <c r="BW481" i="1"/>
  <c r="BX481" i="1"/>
  <c r="BY481" i="1"/>
  <c r="BZ481" i="1"/>
  <c r="CA481" i="1"/>
  <c r="CB481" i="1"/>
  <c r="CC481" i="1"/>
  <c r="CD481" i="1"/>
  <c r="Z480" i="1"/>
  <c r="BU480" i="1"/>
  <c r="BV480" i="1"/>
  <c r="BW480" i="1"/>
  <c r="BX480" i="1"/>
  <c r="BY480" i="1"/>
  <c r="BZ480" i="1"/>
  <c r="CA480" i="1"/>
  <c r="CB480" i="1"/>
  <c r="CC480" i="1"/>
  <c r="CD480" i="1"/>
  <c r="CD479" i="1"/>
  <c r="CC479" i="1"/>
  <c r="CB479" i="1"/>
  <c r="CA479" i="1"/>
  <c r="BZ479" i="1"/>
  <c r="BY479" i="1"/>
  <c r="BX479" i="1"/>
  <c r="BW479" i="1"/>
  <c r="BV479" i="1"/>
  <c r="BU479" i="1"/>
  <c r="Z479" i="1"/>
  <c r="Z478" i="1"/>
  <c r="BU478" i="1"/>
  <c r="BV478" i="1"/>
  <c r="BW478" i="1"/>
  <c r="BX478" i="1"/>
  <c r="BY478" i="1"/>
  <c r="BZ478" i="1"/>
  <c r="CA478" i="1"/>
  <c r="CB478" i="1"/>
  <c r="CC478" i="1"/>
  <c r="CD478" i="1"/>
  <c r="Z477" i="1"/>
  <c r="BU477" i="1"/>
  <c r="BV477" i="1"/>
  <c r="BW477" i="1"/>
  <c r="BX477" i="1"/>
  <c r="BY477" i="1"/>
  <c r="BZ477" i="1"/>
  <c r="CA477" i="1"/>
  <c r="CB477" i="1"/>
  <c r="CC477" i="1"/>
  <c r="CD477" i="1"/>
  <c r="Z476" i="1"/>
  <c r="BU476" i="1"/>
  <c r="BV476" i="1"/>
  <c r="BW476" i="1"/>
  <c r="BX476" i="1"/>
  <c r="BY476" i="1"/>
  <c r="BZ476" i="1"/>
  <c r="CA476" i="1"/>
  <c r="CB476" i="1"/>
  <c r="CC476" i="1"/>
  <c r="CD476" i="1"/>
  <c r="Z475" i="1"/>
  <c r="BU475" i="1"/>
  <c r="BV475" i="1"/>
  <c r="BW475" i="1"/>
  <c r="BX475" i="1"/>
  <c r="BY475" i="1"/>
  <c r="BZ475" i="1"/>
  <c r="CA475" i="1"/>
  <c r="CB475" i="1"/>
  <c r="CC475" i="1"/>
  <c r="CD475" i="1"/>
  <c r="Z474" i="1"/>
  <c r="BU474" i="1"/>
  <c r="BV474" i="1"/>
  <c r="BW474" i="1"/>
  <c r="BX474" i="1"/>
  <c r="BY474" i="1"/>
  <c r="BZ474" i="1"/>
  <c r="CA474" i="1"/>
  <c r="CB474" i="1"/>
  <c r="CC474" i="1"/>
  <c r="CD474" i="1"/>
  <c r="Z473" i="1"/>
  <c r="BU473" i="1"/>
  <c r="BV473" i="1"/>
  <c r="BW473" i="1"/>
  <c r="BX473" i="1"/>
  <c r="BY473" i="1"/>
  <c r="BZ473" i="1"/>
  <c r="CA473" i="1"/>
  <c r="CB473" i="1"/>
  <c r="CC473" i="1"/>
  <c r="CD473" i="1"/>
  <c r="Z472" i="1"/>
  <c r="BU472" i="1"/>
  <c r="BV472" i="1"/>
  <c r="BW472" i="1"/>
  <c r="BX472" i="1"/>
  <c r="BY472" i="1"/>
  <c r="BZ472" i="1"/>
  <c r="CA472" i="1"/>
  <c r="CB472" i="1"/>
  <c r="CC472" i="1"/>
  <c r="CD472" i="1"/>
  <c r="Z471" i="1"/>
  <c r="BU471" i="1"/>
  <c r="BV471" i="1"/>
  <c r="BW471" i="1"/>
  <c r="BX471" i="1"/>
  <c r="BY471" i="1"/>
  <c r="BZ471" i="1"/>
  <c r="CA471" i="1"/>
  <c r="CB471" i="1"/>
  <c r="CC471" i="1"/>
  <c r="CD471" i="1"/>
  <c r="Z470" i="1"/>
  <c r="BU470" i="1"/>
  <c r="BV470" i="1"/>
  <c r="BW470" i="1"/>
  <c r="BX470" i="1"/>
  <c r="BY470" i="1"/>
  <c r="BZ470" i="1"/>
  <c r="CA470" i="1"/>
  <c r="CB470" i="1"/>
  <c r="CC470" i="1"/>
  <c r="CD470" i="1"/>
  <c r="Z469" i="1"/>
  <c r="BU469" i="1"/>
  <c r="BV469" i="1"/>
  <c r="BW469" i="1"/>
  <c r="BX469" i="1"/>
  <c r="BY469" i="1"/>
  <c r="BZ469" i="1"/>
  <c r="CA469" i="1"/>
  <c r="CB469" i="1"/>
  <c r="CC469" i="1"/>
  <c r="CD469" i="1"/>
  <c r="Z468" i="1"/>
  <c r="BU468" i="1"/>
  <c r="BV468" i="1"/>
  <c r="BW468" i="1"/>
  <c r="BX468" i="1"/>
  <c r="BY468" i="1"/>
  <c r="BZ468" i="1"/>
  <c r="CA468" i="1"/>
  <c r="CB468" i="1"/>
  <c r="CC468" i="1"/>
  <c r="CD468" i="1"/>
  <c r="Z467" i="1"/>
  <c r="BU467" i="1"/>
  <c r="BV467" i="1"/>
  <c r="BW467" i="1"/>
  <c r="BX467" i="1"/>
  <c r="BY467" i="1"/>
  <c r="BZ467" i="1"/>
  <c r="CA467" i="1"/>
  <c r="CB467" i="1"/>
  <c r="CC467" i="1"/>
  <c r="CD467" i="1"/>
  <c r="Z466" i="1"/>
  <c r="BU466" i="1"/>
  <c r="BV466" i="1"/>
  <c r="BW466" i="1"/>
  <c r="BX466" i="1"/>
  <c r="BY466" i="1"/>
  <c r="BZ466" i="1"/>
  <c r="CA466" i="1"/>
  <c r="CB466" i="1"/>
  <c r="CC466" i="1"/>
  <c r="CD466" i="1"/>
  <c r="Z465" i="1"/>
  <c r="BU465" i="1"/>
  <c r="BV465" i="1"/>
  <c r="BW465" i="1"/>
  <c r="BX465" i="1"/>
  <c r="BY465" i="1"/>
  <c r="BZ465" i="1"/>
  <c r="CA465" i="1"/>
  <c r="CB465" i="1"/>
  <c r="CC465" i="1"/>
  <c r="CD465" i="1"/>
  <c r="Z464" i="1" l="1"/>
  <c r="BU464" i="1"/>
  <c r="BV464" i="1"/>
  <c r="BW464" i="1"/>
  <c r="BX464" i="1"/>
  <c r="BY464" i="1"/>
  <c r="BZ464" i="1"/>
  <c r="CA464" i="1"/>
  <c r="CB464" i="1"/>
  <c r="CC464" i="1"/>
  <c r="CD464" i="1"/>
  <c r="Z463" i="1"/>
  <c r="BU463" i="1"/>
  <c r="BV463" i="1"/>
  <c r="BW463" i="1"/>
  <c r="BX463" i="1"/>
  <c r="BY463" i="1"/>
  <c r="BZ463" i="1"/>
  <c r="CA463" i="1"/>
  <c r="CB463" i="1"/>
  <c r="CC463" i="1"/>
  <c r="CD463" i="1"/>
  <c r="Z462" i="1" l="1"/>
  <c r="BU462" i="1"/>
  <c r="BV462" i="1"/>
  <c r="BW462" i="1"/>
  <c r="BX462" i="1"/>
  <c r="BY462" i="1"/>
  <c r="BZ462" i="1"/>
  <c r="CA462" i="1"/>
  <c r="CB462" i="1"/>
  <c r="CC462" i="1"/>
  <c r="CD462" i="1"/>
  <c r="Z461" i="1"/>
  <c r="BU461" i="1"/>
  <c r="BV461" i="1"/>
  <c r="BW461" i="1"/>
  <c r="BX461" i="1"/>
  <c r="BY461" i="1"/>
  <c r="BZ461" i="1"/>
  <c r="CA461" i="1"/>
  <c r="CB461" i="1"/>
  <c r="CC461" i="1"/>
  <c r="CD461" i="1"/>
  <c r="Z43" i="1" l="1"/>
  <c r="BU43" i="1"/>
  <c r="BV43" i="1"/>
  <c r="BW43" i="1"/>
  <c r="BX43" i="1"/>
  <c r="BY43" i="1"/>
  <c r="BZ43" i="1"/>
  <c r="CA43" i="1"/>
  <c r="CB43" i="1"/>
  <c r="CC43" i="1"/>
  <c r="CD43" i="1"/>
  <c r="Z178" i="1"/>
  <c r="BU178" i="1"/>
  <c r="BV178" i="1"/>
  <c r="BW178" i="1"/>
  <c r="BX178" i="1"/>
  <c r="BY178" i="1"/>
  <c r="BZ178" i="1"/>
  <c r="CA178" i="1"/>
  <c r="CB178" i="1"/>
  <c r="CC178" i="1"/>
  <c r="CD178" i="1"/>
  <c r="Z74" i="1" l="1"/>
  <c r="BU74" i="1"/>
  <c r="BV74" i="1"/>
  <c r="BW74" i="1"/>
  <c r="BX74" i="1"/>
  <c r="BY74" i="1"/>
  <c r="BZ74" i="1"/>
  <c r="CA74" i="1"/>
  <c r="CB74" i="1"/>
  <c r="CC74" i="1"/>
  <c r="CD74" i="1"/>
  <c r="Z104" i="1" l="1"/>
  <c r="BU104" i="1"/>
  <c r="BV104" i="1"/>
  <c r="BW104" i="1"/>
  <c r="BX104" i="1"/>
  <c r="BY104" i="1"/>
  <c r="BZ104" i="1"/>
  <c r="CA104" i="1"/>
  <c r="CB104" i="1"/>
  <c r="CC104" i="1"/>
  <c r="CD104" i="1"/>
  <c r="CB105" i="1" l="1"/>
  <c r="CB106" i="1"/>
  <c r="CB179" i="1"/>
  <c r="CB220" i="1"/>
  <c r="CB345" i="1"/>
  <c r="CB157" i="1"/>
  <c r="CB346" i="1"/>
  <c r="CB347" i="1"/>
  <c r="CB348" i="1"/>
  <c r="CB221" i="1"/>
  <c r="CB349" i="1"/>
  <c r="CB222" i="1"/>
  <c r="CB180" i="1"/>
  <c r="CB158" i="1"/>
  <c r="CB223" i="1"/>
  <c r="CB237" i="1"/>
  <c r="CB238" i="1"/>
  <c r="CB263" i="1"/>
  <c r="CB264" i="1"/>
  <c r="CB265" i="1"/>
  <c r="CB239" i="1"/>
  <c r="CB266" i="1"/>
  <c r="CB267" i="1"/>
  <c r="CB434" i="1"/>
  <c r="CB435" i="1"/>
  <c r="CB181" i="1"/>
  <c r="CB350" i="1"/>
  <c r="CB351" i="1"/>
  <c r="CB224" i="1"/>
  <c r="CB159" i="1"/>
  <c r="CB436" i="1"/>
  <c r="CB182" i="1"/>
  <c r="CB240" i="1"/>
  <c r="CB352" i="1"/>
  <c r="CB225" i="1"/>
  <c r="CB29" i="1"/>
  <c r="CB420" i="1"/>
  <c r="CB50" i="1"/>
  <c r="CB110" i="1"/>
  <c r="CB152" i="1"/>
  <c r="CB449" i="1"/>
  <c r="CB450" i="1"/>
  <c r="CB353" i="1"/>
  <c r="CB226" i="1"/>
  <c r="CB354" i="1"/>
  <c r="CB30" i="1"/>
  <c r="CB111" i="1"/>
  <c r="CB153" i="1"/>
  <c r="CB421" i="1"/>
  <c r="CB154" i="1"/>
  <c r="CB451" i="1"/>
  <c r="CB452" i="1"/>
  <c r="CB155" i="1"/>
  <c r="CB129" i="1"/>
  <c r="CB148" i="1"/>
  <c r="CB130" i="1"/>
  <c r="CB31" i="1"/>
  <c r="CB112" i="1"/>
  <c r="CB422" i="1"/>
  <c r="CB131" i="1"/>
  <c r="CB149" i="1"/>
  <c r="CB51" i="1"/>
  <c r="CB423" i="1"/>
  <c r="CB150" i="1"/>
  <c r="CB241" i="1"/>
  <c r="CB52" i="1"/>
  <c r="CB268" i="1"/>
  <c r="CB269" i="1"/>
  <c r="CB453" i="1"/>
  <c r="CB355" i="1"/>
  <c r="CB227" i="1"/>
  <c r="CB454" i="1"/>
  <c r="CB228" i="1"/>
  <c r="CB53" i="1"/>
  <c r="CB229" i="1"/>
  <c r="CB54" i="1"/>
  <c r="CB270" i="1"/>
  <c r="CB455" i="1"/>
  <c r="CB183" i="1"/>
  <c r="CB55" i="1"/>
  <c r="CB184" i="1"/>
  <c r="CB56" i="1"/>
  <c r="CB185" i="1"/>
  <c r="CB456" i="1"/>
  <c r="CB160" i="1"/>
  <c r="CB156" i="1"/>
  <c r="CB32" i="1"/>
  <c r="CB186" i="1"/>
  <c r="CB57" i="1"/>
  <c r="CB424" i="1"/>
  <c r="CB242" i="1"/>
  <c r="CB161" i="1"/>
  <c r="CB437" i="1"/>
  <c r="CB386" i="1"/>
  <c r="CB387" i="1"/>
  <c r="CB388" i="1"/>
  <c r="CB133" i="1"/>
  <c r="CB134" i="1"/>
  <c r="CB135" i="1"/>
  <c r="CB132" i="1"/>
  <c r="CB151" i="1"/>
  <c r="CB187" i="1"/>
  <c r="CB271" i="1"/>
  <c r="CB188" i="1"/>
  <c r="CB189" i="1"/>
  <c r="CB272" i="1"/>
  <c r="CB389" i="1"/>
  <c r="CB438" i="1"/>
  <c r="CB136" i="1"/>
  <c r="CB162" i="1"/>
  <c r="CB33" i="1"/>
  <c r="CB34" i="1"/>
  <c r="CB313" i="1"/>
  <c r="CB314" i="1"/>
  <c r="CB190" i="1"/>
  <c r="CB243" i="1"/>
  <c r="CB58" i="1"/>
  <c r="CB137" i="1"/>
  <c r="CB191" i="1"/>
  <c r="CB273" i="1"/>
  <c r="CB356" i="1"/>
  <c r="CB357" i="1"/>
  <c r="CB457" i="1"/>
  <c r="CB358" i="1"/>
  <c r="CB138" i="1"/>
  <c r="CB315" i="1"/>
  <c r="CB316" i="1"/>
  <c r="CB59" i="1"/>
  <c r="CB425" i="1"/>
  <c r="CB359" i="1"/>
  <c r="CB230" i="1"/>
  <c r="CB458" i="1"/>
  <c r="CB426" i="1"/>
  <c r="CB390" i="1"/>
  <c r="CB427" i="1"/>
  <c r="CB274" i="1"/>
  <c r="CB60" i="1"/>
  <c r="CB428" i="1"/>
  <c r="CB429" i="1"/>
  <c r="CB430" i="1"/>
  <c r="CB192" i="1"/>
  <c r="CB193" i="1"/>
  <c r="CB391" i="1"/>
  <c r="CB139" i="1"/>
  <c r="CB61" i="1"/>
  <c r="CB113" i="1"/>
  <c r="CB194" i="1"/>
  <c r="CB195" i="1"/>
  <c r="CB114" i="1"/>
  <c r="CB115" i="1"/>
  <c r="CB431" i="1"/>
  <c r="CB392" i="1"/>
  <c r="CB393" i="1"/>
  <c r="CB439" i="1"/>
  <c r="CB317" i="1"/>
  <c r="CB116" i="1"/>
  <c r="CB459" i="1"/>
  <c r="CB275" i="1"/>
  <c r="CB360" i="1"/>
  <c r="CB361" i="1"/>
  <c r="CB231" i="1"/>
  <c r="CB117" i="1"/>
  <c r="CB276" i="1"/>
  <c r="CB118" i="1"/>
  <c r="CB196" i="1"/>
  <c r="CB197" i="1"/>
  <c r="CB440" i="1"/>
  <c r="CB62" i="1"/>
  <c r="CB198" i="1"/>
  <c r="CB199" i="1"/>
  <c r="CB441" i="1"/>
  <c r="CB244" i="1"/>
  <c r="CB245" i="1"/>
  <c r="CB362" i="1"/>
  <c r="CB366" i="1"/>
  <c r="CB367" i="1"/>
  <c r="CB246" i="1"/>
  <c r="CB163" i="1"/>
  <c r="CB119" i="1"/>
  <c r="CB63" i="1"/>
  <c r="CB164" i="1"/>
  <c r="CB318" i="1"/>
  <c r="CB363" i="1"/>
  <c r="CB232" i="1"/>
  <c r="CB140" i="1"/>
  <c r="CB364" i="1"/>
  <c r="CB64" i="1"/>
  <c r="CB65" i="1"/>
  <c r="CB233" i="1"/>
  <c r="CB319" i="1"/>
  <c r="CB234" i="1"/>
  <c r="CB165" i="1"/>
  <c r="CB90" i="1"/>
  <c r="CB91" i="1"/>
  <c r="CB235" i="1"/>
  <c r="CB141" i="1"/>
  <c r="CB200" i="1"/>
  <c r="CB201" i="1"/>
  <c r="CB202" i="1"/>
  <c r="CB120" i="1"/>
  <c r="CB92" i="1"/>
  <c r="CB166" i="1"/>
  <c r="CB167" i="1"/>
  <c r="CB93" i="1"/>
  <c r="CB121" i="1"/>
  <c r="CB142" i="1"/>
  <c r="CB203" i="1"/>
  <c r="CB204" i="1"/>
  <c r="CB66" i="1"/>
  <c r="CB168" i="1"/>
  <c r="CB94" i="1"/>
  <c r="CB143" i="1"/>
  <c r="CB442" i="1"/>
  <c r="CB320" i="1"/>
  <c r="CB368" i="1"/>
  <c r="CB247" i="1"/>
  <c r="CB248" i="1"/>
  <c r="CB122" i="1"/>
  <c r="CB205" i="1"/>
  <c r="CB169" i="1"/>
  <c r="CB95" i="1"/>
  <c r="CB321" i="1"/>
  <c r="CB206" i="1"/>
  <c r="CB322" i="1"/>
  <c r="CB207" i="1"/>
  <c r="CB208" i="1"/>
  <c r="CB209" i="1"/>
  <c r="CB144" i="1"/>
  <c r="CB145" i="1"/>
  <c r="CB146" i="1"/>
  <c r="CB323" i="1"/>
  <c r="CB123" i="1"/>
  <c r="CB96" i="1"/>
  <c r="CB236" i="1"/>
  <c r="CB147" i="1"/>
  <c r="CB460" i="1"/>
  <c r="CB277" i="1"/>
  <c r="CB324" i="1"/>
  <c r="CB325" i="1"/>
  <c r="CB67" i="1"/>
  <c r="CB97" i="1"/>
  <c r="CB369" i="1"/>
  <c r="CB249" i="1"/>
  <c r="CB415" i="1"/>
  <c r="CB170" i="1"/>
  <c r="CB126" i="1"/>
  <c r="CB328" i="1"/>
  <c r="CB10" i="1"/>
  <c r="CB370" i="1"/>
  <c r="CB11" i="1"/>
  <c r="CB12" i="1"/>
  <c r="CB371" i="1"/>
  <c r="CB13" i="1"/>
  <c r="CB372" i="1"/>
  <c r="CB373" i="1"/>
  <c r="CB374" i="1"/>
  <c r="CB375" i="1"/>
  <c r="CB14" i="1"/>
  <c r="CB250" i="1"/>
  <c r="CB251" i="1"/>
  <c r="CB252" i="1"/>
  <c r="CB253" i="1"/>
  <c r="CB416" i="1"/>
  <c r="CB329" i="1"/>
  <c r="CB171" i="1"/>
  <c r="CB127" i="1"/>
  <c r="CB128" i="1"/>
  <c r="CB210" i="1"/>
  <c r="CB211" i="1"/>
  <c r="CB212" i="1"/>
  <c r="CB213" i="1"/>
  <c r="CB15" i="1"/>
  <c r="CB98" i="1"/>
  <c r="CB23" i="1"/>
  <c r="CB24" i="1"/>
  <c r="CB25" i="1"/>
  <c r="CB376" i="1"/>
  <c r="CB377" i="1"/>
  <c r="CB254" i="1"/>
  <c r="CB107" i="1"/>
  <c r="CB365" i="1"/>
  <c r="CB172" i="1"/>
  <c r="CB173" i="1"/>
  <c r="CB443" i="1"/>
  <c r="CB444" i="1"/>
  <c r="CB445" i="1"/>
  <c r="CB124" i="1"/>
  <c r="CB378" i="1"/>
  <c r="CB379" i="1"/>
  <c r="CB446" i="1"/>
  <c r="CB255" i="1"/>
  <c r="CB380" i="1"/>
  <c r="CB99" i="1"/>
  <c r="CB68" i="1"/>
  <c r="CB326" i="1"/>
  <c r="CB2" i="1"/>
  <c r="CB3" i="1"/>
  <c r="CB214" i="1"/>
  <c r="CB26" i="1"/>
  <c r="CB27" i="1"/>
  <c r="CB447" i="1"/>
  <c r="CB4" i="1"/>
  <c r="CB5" i="1"/>
  <c r="CB215" i="1"/>
  <c r="CB125" i="1"/>
  <c r="CB216" i="1"/>
  <c r="CB217" i="1"/>
  <c r="CB6" i="1"/>
  <c r="CB256" i="1"/>
  <c r="CB16" i="1"/>
  <c r="CB174" i="1"/>
  <c r="CB86" i="1"/>
  <c r="CB87" i="1"/>
  <c r="CB88" i="1"/>
  <c r="CB103" i="1"/>
  <c r="CB17" i="1"/>
  <c r="CB73" i="1"/>
  <c r="CB293" i="1"/>
  <c r="CB177" i="1"/>
  <c r="CB75" i="1"/>
  <c r="CB18" i="1"/>
  <c r="CB78" i="1"/>
  <c r="CB101" i="1"/>
  <c r="CB284" i="1"/>
  <c r="CB414" i="1"/>
  <c r="CB432" i="1"/>
  <c r="CB39" i="1"/>
  <c r="CB44" i="1"/>
  <c r="CB335" i="1"/>
  <c r="CB336" i="1"/>
  <c r="CB219" i="1"/>
  <c r="CB19" i="1"/>
  <c r="CB258" i="1"/>
  <c r="CB85" i="1"/>
  <c r="CB175" i="1"/>
  <c r="CB300" i="1"/>
  <c r="CB311" i="1"/>
  <c r="CB77" i="1"/>
  <c r="CB301" i="1"/>
  <c r="CB71" i="1"/>
  <c r="CB278" i="1"/>
  <c r="CB176" i="1"/>
  <c r="CB312" i="1"/>
  <c r="CB259" i="1"/>
  <c r="CB35" i="1"/>
  <c r="CB37" i="1"/>
  <c r="CB282" i="1"/>
  <c r="CB384" i="1"/>
  <c r="CB385" i="1"/>
  <c r="CB413" i="1"/>
  <c r="CB418" i="1"/>
  <c r="CB433" i="1"/>
  <c r="CB287" i="1"/>
  <c r="CB290" i="1"/>
  <c r="CB299" i="1"/>
  <c r="CB305" i="1"/>
  <c r="CB298" i="1"/>
  <c r="CB288" i="1"/>
  <c r="CB296" i="1"/>
  <c r="CB279" i="1"/>
  <c r="CB280" i="1"/>
  <c r="CB289" i="1"/>
  <c r="CB281" i="1"/>
  <c r="CB297" i="1"/>
  <c r="CB283" i="1"/>
  <c r="CB419" i="1"/>
  <c r="CB41" i="1"/>
  <c r="CB9" i="1"/>
  <c r="CB38" i="1"/>
  <c r="CB291" i="1"/>
  <c r="CB285" i="1"/>
  <c r="CB42" i="1"/>
  <c r="CB72" i="1"/>
  <c r="CB306" i="1"/>
  <c r="CB307" i="1"/>
  <c r="CB89" i="1"/>
  <c r="CB7" i="1"/>
  <c r="CB310" i="1"/>
  <c r="CB334" i="1"/>
  <c r="CB308" i="1"/>
  <c r="CB382" i="1"/>
  <c r="CB45" i="1"/>
  <c r="CB46" i="1"/>
  <c r="CB47" i="1"/>
  <c r="CB448" i="1"/>
  <c r="CB294" i="1"/>
  <c r="CB108" i="1"/>
  <c r="CB109" i="1"/>
  <c r="CB36" i="1"/>
  <c r="CB257" i="1"/>
  <c r="CB381" i="1"/>
  <c r="CB330" i="1"/>
  <c r="CB28" i="1"/>
  <c r="CB331" i="1"/>
  <c r="CB332" i="1"/>
  <c r="CB333" i="1"/>
  <c r="CB218" i="1"/>
  <c r="CB327" i="1"/>
  <c r="CB69" i="1"/>
  <c r="CB70" i="1"/>
  <c r="CB417" i="1"/>
  <c r="CB100" i="1"/>
  <c r="CB398" i="1"/>
  <c r="CB399" i="1"/>
  <c r="CB400" i="1"/>
  <c r="CB402" i="1"/>
  <c r="CB404" i="1"/>
  <c r="CB411" i="1"/>
  <c r="CB394" i="1"/>
  <c r="CB407" i="1"/>
  <c r="CB409" i="1"/>
  <c r="CB396" i="1"/>
  <c r="CB401" i="1"/>
  <c r="CB405" i="1"/>
  <c r="CB403" i="1"/>
  <c r="CB406" i="1"/>
  <c r="CB412" i="1"/>
  <c r="CB395" i="1"/>
  <c r="CB408" i="1"/>
  <c r="CB410" i="1"/>
  <c r="CB397" i="1"/>
  <c r="CB8" i="1"/>
  <c r="CB260" i="1"/>
  <c r="CB261" i="1"/>
  <c r="CB262" i="1"/>
  <c r="CB337" i="1"/>
  <c r="CB338" i="1"/>
  <c r="CB48" i="1"/>
  <c r="CB339" i="1"/>
  <c r="CB340" i="1"/>
  <c r="CB341" i="1"/>
  <c r="CB342" i="1"/>
  <c r="CB343" i="1"/>
  <c r="CB40" i="1"/>
  <c r="CB383" i="1"/>
  <c r="CB309" i="1"/>
  <c r="CB286" i="1"/>
  <c r="CB292" i="1"/>
  <c r="CB49" i="1"/>
  <c r="CB79" i="1"/>
  <c r="CB102" i="1"/>
  <c r="CB80" i="1"/>
  <c r="CB81" i="1"/>
  <c r="CB20" i="1"/>
  <c r="CB21" i="1"/>
  <c r="CB82" i="1"/>
  <c r="CB83" i="1"/>
  <c r="CB22" i="1"/>
  <c r="CB84" i="1"/>
  <c r="CB302" i="1"/>
  <c r="CB303" i="1"/>
  <c r="CB304" i="1"/>
  <c r="CB76" i="1"/>
  <c r="CB295" i="1"/>
  <c r="CB344" i="1"/>
  <c r="BY105" i="1"/>
  <c r="BY106" i="1"/>
  <c r="BY179" i="1"/>
  <c r="BY220" i="1"/>
  <c r="BY345" i="1"/>
  <c r="BY157" i="1"/>
  <c r="BY346" i="1"/>
  <c r="BY347" i="1"/>
  <c r="BY348" i="1"/>
  <c r="BY221" i="1"/>
  <c r="BY349" i="1"/>
  <c r="BY222" i="1"/>
  <c r="BY180" i="1"/>
  <c r="BY158" i="1"/>
  <c r="BY223" i="1"/>
  <c r="BY237" i="1"/>
  <c r="BY238" i="1"/>
  <c r="BY263" i="1"/>
  <c r="BY264" i="1"/>
  <c r="BY265" i="1"/>
  <c r="BY239" i="1"/>
  <c r="BY266" i="1"/>
  <c r="BY267" i="1"/>
  <c r="BY434" i="1"/>
  <c r="BY435" i="1"/>
  <c r="BY181" i="1"/>
  <c r="BY350" i="1"/>
  <c r="BY351" i="1"/>
  <c r="BY224" i="1"/>
  <c r="BY159" i="1"/>
  <c r="BY436" i="1"/>
  <c r="BY182" i="1"/>
  <c r="BY240" i="1"/>
  <c r="BY352" i="1"/>
  <c r="BY225" i="1"/>
  <c r="BY29" i="1"/>
  <c r="BY420" i="1"/>
  <c r="BY50" i="1"/>
  <c r="BY110" i="1"/>
  <c r="BY152" i="1"/>
  <c r="BY449" i="1"/>
  <c r="BY450" i="1"/>
  <c r="BY353" i="1"/>
  <c r="BY226" i="1"/>
  <c r="BY354" i="1"/>
  <c r="BY30" i="1"/>
  <c r="BY111" i="1"/>
  <c r="BY153" i="1"/>
  <c r="BY421" i="1"/>
  <c r="BY154" i="1"/>
  <c r="BY451" i="1"/>
  <c r="BY452" i="1"/>
  <c r="BY155" i="1"/>
  <c r="BY129" i="1"/>
  <c r="BY148" i="1"/>
  <c r="BY130" i="1"/>
  <c r="BY31" i="1"/>
  <c r="BY112" i="1"/>
  <c r="BY422" i="1"/>
  <c r="BY131" i="1"/>
  <c r="BY149" i="1"/>
  <c r="BY51" i="1"/>
  <c r="BY423" i="1"/>
  <c r="BY150" i="1"/>
  <c r="BY241" i="1"/>
  <c r="BY52" i="1"/>
  <c r="BY268" i="1"/>
  <c r="BY269" i="1"/>
  <c r="BY453" i="1"/>
  <c r="BY355" i="1"/>
  <c r="BY227" i="1"/>
  <c r="BY454" i="1"/>
  <c r="BY228" i="1"/>
  <c r="BY53" i="1"/>
  <c r="BY229" i="1"/>
  <c r="BY54" i="1"/>
  <c r="BY270" i="1"/>
  <c r="BY455" i="1"/>
  <c r="BY183" i="1"/>
  <c r="BY55" i="1"/>
  <c r="BY184" i="1"/>
  <c r="BY56" i="1"/>
  <c r="BY185" i="1"/>
  <c r="BY456" i="1"/>
  <c r="BY160" i="1"/>
  <c r="BY156" i="1"/>
  <c r="BY32" i="1"/>
  <c r="BY186" i="1"/>
  <c r="BY57" i="1"/>
  <c r="BY424" i="1"/>
  <c r="BY242" i="1"/>
  <c r="BY161" i="1"/>
  <c r="BY437" i="1"/>
  <c r="BY386" i="1"/>
  <c r="BY387" i="1"/>
  <c r="BY388" i="1"/>
  <c r="BY133" i="1"/>
  <c r="BY134" i="1"/>
  <c r="BY135" i="1"/>
  <c r="BY132" i="1"/>
  <c r="BY151" i="1"/>
  <c r="BY187" i="1"/>
  <c r="BY271" i="1"/>
  <c r="BY188" i="1"/>
  <c r="BY189" i="1"/>
  <c r="BY272" i="1"/>
  <c r="BY389" i="1"/>
  <c r="BY438" i="1"/>
  <c r="BY136" i="1"/>
  <c r="BY162" i="1"/>
  <c r="BY33" i="1"/>
  <c r="BY34" i="1"/>
  <c r="BY313" i="1"/>
  <c r="BY314" i="1"/>
  <c r="BY190" i="1"/>
  <c r="BY243" i="1"/>
  <c r="BY58" i="1"/>
  <c r="BY137" i="1"/>
  <c r="BY191" i="1"/>
  <c r="BY273" i="1"/>
  <c r="BY356" i="1"/>
  <c r="BY357" i="1"/>
  <c r="BY457" i="1"/>
  <c r="BY358" i="1"/>
  <c r="BY138" i="1"/>
  <c r="BY315" i="1"/>
  <c r="BY316" i="1"/>
  <c r="BY59" i="1"/>
  <c r="BY425" i="1"/>
  <c r="BY359" i="1"/>
  <c r="BY230" i="1"/>
  <c r="BY458" i="1"/>
  <c r="BY426" i="1"/>
  <c r="BY390" i="1"/>
  <c r="BY427" i="1"/>
  <c r="BY274" i="1"/>
  <c r="BY60" i="1"/>
  <c r="BY428" i="1"/>
  <c r="BY429" i="1"/>
  <c r="BY430" i="1"/>
  <c r="BY192" i="1"/>
  <c r="BY193" i="1"/>
  <c r="BY391" i="1"/>
  <c r="BY139" i="1"/>
  <c r="BY61" i="1"/>
  <c r="BY113" i="1"/>
  <c r="BY194" i="1"/>
  <c r="BY195" i="1"/>
  <c r="BY114" i="1"/>
  <c r="BY115" i="1"/>
  <c r="BY431" i="1"/>
  <c r="BY392" i="1"/>
  <c r="BY393" i="1"/>
  <c r="BY439" i="1"/>
  <c r="BY317" i="1"/>
  <c r="BY116" i="1"/>
  <c r="BY459" i="1"/>
  <c r="BY275" i="1"/>
  <c r="BY360" i="1"/>
  <c r="BY361" i="1"/>
  <c r="BY231" i="1"/>
  <c r="BY117" i="1"/>
  <c r="BY276" i="1"/>
  <c r="BY118" i="1"/>
  <c r="BY196" i="1"/>
  <c r="BY197" i="1"/>
  <c r="BY440" i="1"/>
  <c r="BY62" i="1"/>
  <c r="BY198" i="1"/>
  <c r="BY199" i="1"/>
  <c r="BY441" i="1"/>
  <c r="BY244" i="1"/>
  <c r="BY245" i="1"/>
  <c r="BY362" i="1"/>
  <c r="BY366" i="1"/>
  <c r="BY367" i="1"/>
  <c r="BY246" i="1"/>
  <c r="BY163" i="1"/>
  <c r="BY119" i="1"/>
  <c r="BY63" i="1"/>
  <c r="BY164" i="1"/>
  <c r="BY318" i="1"/>
  <c r="BY363" i="1"/>
  <c r="BY232" i="1"/>
  <c r="BY140" i="1"/>
  <c r="BY364" i="1"/>
  <c r="BY64" i="1"/>
  <c r="BY65" i="1"/>
  <c r="BY233" i="1"/>
  <c r="BY319" i="1"/>
  <c r="BY234" i="1"/>
  <c r="BY165" i="1"/>
  <c r="BY90" i="1"/>
  <c r="BY91" i="1"/>
  <c r="BY235" i="1"/>
  <c r="BY141" i="1"/>
  <c r="BY200" i="1"/>
  <c r="BY201" i="1"/>
  <c r="BY202" i="1"/>
  <c r="BY120" i="1"/>
  <c r="BY92" i="1"/>
  <c r="BY166" i="1"/>
  <c r="BY167" i="1"/>
  <c r="BY93" i="1"/>
  <c r="BY121" i="1"/>
  <c r="BY142" i="1"/>
  <c r="BY203" i="1"/>
  <c r="BY204" i="1"/>
  <c r="BY66" i="1"/>
  <c r="BY168" i="1"/>
  <c r="BY94" i="1"/>
  <c r="BY143" i="1"/>
  <c r="BY442" i="1"/>
  <c r="BY320" i="1"/>
  <c r="BY368" i="1"/>
  <c r="BY247" i="1"/>
  <c r="BY248" i="1"/>
  <c r="BY122" i="1"/>
  <c r="BY205" i="1"/>
  <c r="BY169" i="1"/>
  <c r="BY95" i="1"/>
  <c r="BY321" i="1"/>
  <c r="BY206" i="1"/>
  <c r="BY322" i="1"/>
  <c r="BY207" i="1"/>
  <c r="BY208" i="1"/>
  <c r="BY209" i="1"/>
  <c r="BY144" i="1"/>
  <c r="BY145" i="1"/>
  <c r="BY146" i="1"/>
  <c r="BY323" i="1"/>
  <c r="BY123" i="1"/>
  <c r="BY96" i="1"/>
  <c r="BY236" i="1"/>
  <c r="BY147" i="1"/>
  <c r="BY460" i="1"/>
  <c r="BY277" i="1"/>
  <c r="BY324" i="1"/>
  <c r="BY325" i="1"/>
  <c r="BY67" i="1"/>
  <c r="BY97" i="1"/>
  <c r="BY369" i="1"/>
  <c r="BY249" i="1"/>
  <c r="BY415" i="1"/>
  <c r="BY170" i="1"/>
  <c r="BY126" i="1"/>
  <c r="BY328" i="1"/>
  <c r="BY10" i="1"/>
  <c r="BY370" i="1"/>
  <c r="BY11" i="1"/>
  <c r="BY12" i="1"/>
  <c r="BY371" i="1"/>
  <c r="BY13" i="1"/>
  <c r="BY372" i="1"/>
  <c r="BY373" i="1"/>
  <c r="BY374" i="1"/>
  <c r="BY375" i="1"/>
  <c r="BY14" i="1"/>
  <c r="BY250" i="1"/>
  <c r="BY251" i="1"/>
  <c r="BY252" i="1"/>
  <c r="BY253" i="1"/>
  <c r="BY416" i="1"/>
  <c r="BY329" i="1"/>
  <c r="BY171" i="1"/>
  <c r="BY127" i="1"/>
  <c r="BY128" i="1"/>
  <c r="BY210" i="1"/>
  <c r="BY211" i="1"/>
  <c r="BY212" i="1"/>
  <c r="BY213" i="1"/>
  <c r="BY15" i="1"/>
  <c r="BY98" i="1"/>
  <c r="BY23" i="1"/>
  <c r="BY24" i="1"/>
  <c r="BY25" i="1"/>
  <c r="BY376" i="1"/>
  <c r="BY377" i="1"/>
  <c r="BY254" i="1"/>
  <c r="BY107" i="1"/>
  <c r="BY365" i="1"/>
  <c r="BY172" i="1"/>
  <c r="BY173" i="1"/>
  <c r="BY443" i="1"/>
  <c r="BY444" i="1"/>
  <c r="BY445" i="1"/>
  <c r="BY124" i="1"/>
  <c r="BY378" i="1"/>
  <c r="BY379" i="1"/>
  <c r="BY446" i="1"/>
  <c r="BY255" i="1"/>
  <c r="BY380" i="1"/>
  <c r="BY99" i="1"/>
  <c r="BY68" i="1"/>
  <c r="BY326" i="1"/>
  <c r="BY2" i="1"/>
  <c r="BY3" i="1"/>
  <c r="BY214" i="1"/>
  <c r="BY26" i="1"/>
  <c r="BY27" i="1"/>
  <c r="BY447" i="1"/>
  <c r="BY4" i="1"/>
  <c r="BY5" i="1"/>
  <c r="BY215" i="1"/>
  <c r="BY125" i="1"/>
  <c r="BY216" i="1"/>
  <c r="BY217" i="1"/>
  <c r="BY6" i="1"/>
  <c r="BY256" i="1"/>
  <c r="BY16" i="1"/>
  <c r="BY174" i="1"/>
  <c r="BY86" i="1"/>
  <c r="BY87" i="1"/>
  <c r="BY88" i="1"/>
  <c r="BY103" i="1"/>
  <c r="BY17" i="1"/>
  <c r="BY73" i="1"/>
  <c r="BY293" i="1"/>
  <c r="BY177" i="1"/>
  <c r="BY75" i="1"/>
  <c r="BY18" i="1"/>
  <c r="BY78" i="1"/>
  <c r="BY101" i="1"/>
  <c r="BY284" i="1"/>
  <c r="BY414" i="1"/>
  <c r="BY432" i="1"/>
  <c r="BY39" i="1"/>
  <c r="BY44" i="1"/>
  <c r="BY335" i="1"/>
  <c r="BY336" i="1"/>
  <c r="BY219" i="1"/>
  <c r="BY19" i="1"/>
  <c r="BY258" i="1"/>
  <c r="BY85" i="1"/>
  <c r="BY175" i="1"/>
  <c r="BY300" i="1"/>
  <c r="BY311" i="1"/>
  <c r="BY77" i="1"/>
  <c r="BY301" i="1"/>
  <c r="BY71" i="1"/>
  <c r="BY278" i="1"/>
  <c r="BY176" i="1"/>
  <c r="BY312" i="1"/>
  <c r="BY259" i="1"/>
  <c r="BY35" i="1"/>
  <c r="BY37" i="1"/>
  <c r="BY282" i="1"/>
  <c r="BY384" i="1"/>
  <c r="BY385" i="1"/>
  <c r="BY413" i="1"/>
  <c r="BY418" i="1"/>
  <c r="BY433" i="1"/>
  <c r="BY287" i="1"/>
  <c r="BY290" i="1"/>
  <c r="BY299" i="1"/>
  <c r="BY305" i="1"/>
  <c r="BY298" i="1"/>
  <c r="BY288" i="1"/>
  <c r="BY296" i="1"/>
  <c r="BY279" i="1"/>
  <c r="BY280" i="1"/>
  <c r="BY289" i="1"/>
  <c r="BY281" i="1"/>
  <c r="BY297" i="1"/>
  <c r="BY283" i="1"/>
  <c r="BY419" i="1"/>
  <c r="BY41" i="1"/>
  <c r="BY9" i="1"/>
  <c r="BY38" i="1"/>
  <c r="BY291" i="1"/>
  <c r="BY285" i="1"/>
  <c r="BY42" i="1"/>
  <c r="BY72" i="1"/>
  <c r="BY306" i="1"/>
  <c r="BY307" i="1"/>
  <c r="BY89" i="1"/>
  <c r="BY7" i="1"/>
  <c r="BY310" i="1"/>
  <c r="BY334" i="1"/>
  <c r="BY308" i="1"/>
  <c r="BY382" i="1"/>
  <c r="BY45" i="1"/>
  <c r="BY46" i="1"/>
  <c r="BY47" i="1"/>
  <c r="BY448" i="1"/>
  <c r="BY294" i="1"/>
  <c r="BY108" i="1"/>
  <c r="BY109" i="1"/>
  <c r="BY36" i="1"/>
  <c r="BY257" i="1"/>
  <c r="BY381" i="1"/>
  <c r="BY330" i="1"/>
  <c r="BY28" i="1"/>
  <c r="BY331" i="1"/>
  <c r="BY332" i="1"/>
  <c r="BY333" i="1"/>
  <c r="BY218" i="1"/>
  <c r="BY327" i="1"/>
  <c r="BY69" i="1"/>
  <c r="BY70" i="1"/>
  <c r="BY417" i="1"/>
  <c r="BY100" i="1"/>
  <c r="BY398" i="1"/>
  <c r="BY399" i="1"/>
  <c r="BY400" i="1"/>
  <c r="BY402" i="1"/>
  <c r="BY404" i="1"/>
  <c r="BY411" i="1"/>
  <c r="BY394" i="1"/>
  <c r="BY407" i="1"/>
  <c r="BY409" i="1"/>
  <c r="BY396" i="1"/>
  <c r="BY401" i="1"/>
  <c r="BY405" i="1"/>
  <c r="BY403" i="1"/>
  <c r="BY406" i="1"/>
  <c r="BY412" i="1"/>
  <c r="BY395" i="1"/>
  <c r="BY408" i="1"/>
  <c r="BY410" i="1"/>
  <c r="BY397" i="1"/>
  <c r="BY8" i="1"/>
  <c r="BY260" i="1"/>
  <c r="BY261" i="1"/>
  <c r="BY262" i="1"/>
  <c r="BY337" i="1"/>
  <c r="BY338" i="1"/>
  <c r="BY48" i="1"/>
  <c r="BY339" i="1"/>
  <c r="BY340" i="1"/>
  <c r="BY341" i="1"/>
  <c r="BY342" i="1"/>
  <c r="BY343" i="1"/>
  <c r="BY40" i="1"/>
  <c r="BY383" i="1"/>
  <c r="BY309" i="1"/>
  <c r="BY286" i="1"/>
  <c r="BY292" i="1"/>
  <c r="BY49" i="1"/>
  <c r="BY79" i="1"/>
  <c r="BY102" i="1"/>
  <c r="BY80" i="1"/>
  <c r="BY81" i="1"/>
  <c r="BY20" i="1"/>
  <c r="BY21" i="1"/>
  <c r="BY82" i="1"/>
  <c r="BY83" i="1"/>
  <c r="BY22" i="1"/>
  <c r="BY84" i="1"/>
  <c r="BY302" i="1"/>
  <c r="BY303" i="1"/>
  <c r="BY304" i="1"/>
  <c r="BY76" i="1"/>
  <c r="BY295" i="1"/>
  <c r="BY344" i="1"/>
  <c r="BX105" i="1"/>
  <c r="BX106" i="1"/>
  <c r="BX179" i="1"/>
  <c r="BX220" i="1"/>
  <c r="BX345" i="1"/>
  <c r="BX157" i="1"/>
  <c r="BX346" i="1"/>
  <c r="BX347" i="1"/>
  <c r="BX348" i="1"/>
  <c r="BX221" i="1"/>
  <c r="BX349" i="1"/>
  <c r="BX222" i="1"/>
  <c r="BX180" i="1"/>
  <c r="BX158" i="1"/>
  <c r="BX223" i="1"/>
  <c r="BX237" i="1"/>
  <c r="BX238" i="1"/>
  <c r="BX263" i="1"/>
  <c r="BX264" i="1"/>
  <c r="BX265" i="1"/>
  <c r="BX239" i="1"/>
  <c r="BX266" i="1"/>
  <c r="BX267" i="1"/>
  <c r="BX434" i="1"/>
  <c r="BX435" i="1"/>
  <c r="BX181" i="1"/>
  <c r="BX350" i="1"/>
  <c r="BX351" i="1"/>
  <c r="BX224" i="1"/>
  <c r="BX159" i="1"/>
  <c r="BX436" i="1"/>
  <c r="BX182" i="1"/>
  <c r="BX240" i="1"/>
  <c r="BX352" i="1"/>
  <c r="BX225" i="1"/>
  <c r="BX29" i="1"/>
  <c r="BX420" i="1"/>
  <c r="BX50" i="1"/>
  <c r="BX110" i="1"/>
  <c r="BX152" i="1"/>
  <c r="BX449" i="1"/>
  <c r="BX450" i="1"/>
  <c r="BX353" i="1"/>
  <c r="BX226" i="1"/>
  <c r="BX354" i="1"/>
  <c r="BX30" i="1"/>
  <c r="BX111" i="1"/>
  <c r="BX153" i="1"/>
  <c r="BX421" i="1"/>
  <c r="BX154" i="1"/>
  <c r="BX451" i="1"/>
  <c r="BX452" i="1"/>
  <c r="BX155" i="1"/>
  <c r="BX129" i="1"/>
  <c r="BX148" i="1"/>
  <c r="BX130" i="1"/>
  <c r="BX31" i="1"/>
  <c r="BX112" i="1"/>
  <c r="BX422" i="1"/>
  <c r="BX131" i="1"/>
  <c r="BX149" i="1"/>
  <c r="BX51" i="1"/>
  <c r="BX423" i="1"/>
  <c r="BX150" i="1"/>
  <c r="BX241" i="1"/>
  <c r="BX52" i="1"/>
  <c r="BX268" i="1"/>
  <c r="BX269" i="1"/>
  <c r="BX453" i="1"/>
  <c r="BX355" i="1"/>
  <c r="BX227" i="1"/>
  <c r="BX454" i="1"/>
  <c r="BX228" i="1"/>
  <c r="BX53" i="1"/>
  <c r="BX229" i="1"/>
  <c r="BX54" i="1"/>
  <c r="BX270" i="1"/>
  <c r="BX455" i="1"/>
  <c r="BX183" i="1"/>
  <c r="BX55" i="1"/>
  <c r="BX184" i="1"/>
  <c r="BX56" i="1"/>
  <c r="BX185" i="1"/>
  <c r="BX456" i="1"/>
  <c r="BX160" i="1"/>
  <c r="BX156" i="1"/>
  <c r="BX32" i="1"/>
  <c r="BX186" i="1"/>
  <c r="BX57" i="1"/>
  <c r="BX424" i="1"/>
  <c r="BX242" i="1"/>
  <c r="BX161" i="1"/>
  <c r="BX437" i="1"/>
  <c r="BX386" i="1"/>
  <c r="BX387" i="1"/>
  <c r="BX388" i="1"/>
  <c r="BX133" i="1"/>
  <c r="BX134" i="1"/>
  <c r="BX135" i="1"/>
  <c r="BX132" i="1"/>
  <c r="BX151" i="1"/>
  <c r="BX187" i="1"/>
  <c r="BX271" i="1"/>
  <c r="BX188" i="1"/>
  <c r="BX189" i="1"/>
  <c r="BX272" i="1"/>
  <c r="BX389" i="1"/>
  <c r="BX438" i="1"/>
  <c r="BX136" i="1"/>
  <c r="BX162" i="1"/>
  <c r="BX33" i="1"/>
  <c r="BX34" i="1"/>
  <c r="BX313" i="1"/>
  <c r="BX314" i="1"/>
  <c r="BX190" i="1"/>
  <c r="BX243" i="1"/>
  <c r="BX58" i="1"/>
  <c r="BX137" i="1"/>
  <c r="BX191" i="1"/>
  <c r="BX273" i="1"/>
  <c r="BX356" i="1"/>
  <c r="BX357" i="1"/>
  <c r="BX457" i="1"/>
  <c r="BX358" i="1"/>
  <c r="BX138" i="1"/>
  <c r="BX315" i="1"/>
  <c r="BX316" i="1"/>
  <c r="BX59" i="1"/>
  <c r="BX425" i="1"/>
  <c r="BX359" i="1"/>
  <c r="BX230" i="1"/>
  <c r="BX458" i="1"/>
  <c r="BX426" i="1"/>
  <c r="BX390" i="1"/>
  <c r="BX427" i="1"/>
  <c r="BX274" i="1"/>
  <c r="BX60" i="1"/>
  <c r="BX428" i="1"/>
  <c r="BX429" i="1"/>
  <c r="BX430" i="1"/>
  <c r="BX192" i="1"/>
  <c r="BX193" i="1"/>
  <c r="BX391" i="1"/>
  <c r="BX139" i="1"/>
  <c r="BX61" i="1"/>
  <c r="BX113" i="1"/>
  <c r="BX194" i="1"/>
  <c r="BX195" i="1"/>
  <c r="BX114" i="1"/>
  <c r="BX115" i="1"/>
  <c r="BX431" i="1"/>
  <c r="BX392" i="1"/>
  <c r="BX393" i="1"/>
  <c r="BX439" i="1"/>
  <c r="BX317" i="1"/>
  <c r="BX116" i="1"/>
  <c r="BX459" i="1"/>
  <c r="BX275" i="1"/>
  <c r="BX360" i="1"/>
  <c r="BX361" i="1"/>
  <c r="BX231" i="1"/>
  <c r="BX117" i="1"/>
  <c r="BX276" i="1"/>
  <c r="BX118" i="1"/>
  <c r="BX196" i="1"/>
  <c r="BX197" i="1"/>
  <c r="BX440" i="1"/>
  <c r="BX62" i="1"/>
  <c r="BX198" i="1"/>
  <c r="BX199" i="1"/>
  <c r="BX441" i="1"/>
  <c r="BX244" i="1"/>
  <c r="BX245" i="1"/>
  <c r="BX362" i="1"/>
  <c r="BX366" i="1"/>
  <c r="BX367" i="1"/>
  <c r="BX246" i="1"/>
  <c r="BX163" i="1"/>
  <c r="BX119" i="1"/>
  <c r="BX63" i="1"/>
  <c r="BX164" i="1"/>
  <c r="BX318" i="1"/>
  <c r="BX363" i="1"/>
  <c r="BX232" i="1"/>
  <c r="BX140" i="1"/>
  <c r="BX364" i="1"/>
  <c r="BX64" i="1"/>
  <c r="BX65" i="1"/>
  <c r="BX233" i="1"/>
  <c r="BX319" i="1"/>
  <c r="BX234" i="1"/>
  <c r="BX165" i="1"/>
  <c r="BX90" i="1"/>
  <c r="BX91" i="1"/>
  <c r="BX235" i="1"/>
  <c r="BX141" i="1"/>
  <c r="BX200" i="1"/>
  <c r="BX201" i="1"/>
  <c r="BX202" i="1"/>
  <c r="BX120" i="1"/>
  <c r="BX92" i="1"/>
  <c r="BX166" i="1"/>
  <c r="BX167" i="1"/>
  <c r="BX93" i="1"/>
  <c r="BX121" i="1"/>
  <c r="BX142" i="1"/>
  <c r="BX203" i="1"/>
  <c r="BX204" i="1"/>
  <c r="BX66" i="1"/>
  <c r="BX168" i="1"/>
  <c r="BX94" i="1"/>
  <c r="BX143" i="1"/>
  <c r="BX442" i="1"/>
  <c r="BX320" i="1"/>
  <c r="BX368" i="1"/>
  <c r="BX247" i="1"/>
  <c r="BX248" i="1"/>
  <c r="BX122" i="1"/>
  <c r="BX205" i="1"/>
  <c r="BX169" i="1"/>
  <c r="BX95" i="1"/>
  <c r="BX321" i="1"/>
  <c r="BX206" i="1"/>
  <c r="BX322" i="1"/>
  <c r="BX207" i="1"/>
  <c r="BX208" i="1"/>
  <c r="BX209" i="1"/>
  <c r="BX144" i="1"/>
  <c r="BX145" i="1"/>
  <c r="BX146" i="1"/>
  <c r="BX323" i="1"/>
  <c r="BX123" i="1"/>
  <c r="BX96" i="1"/>
  <c r="BX236" i="1"/>
  <c r="BX147" i="1"/>
  <c r="BX460" i="1"/>
  <c r="BX277" i="1"/>
  <c r="BX324" i="1"/>
  <c r="BX325" i="1"/>
  <c r="BX67" i="1"/>
  <c r="BX97" i="1"/>
  <c r="BX369" i="1"/>
  <c r="BX249" i="1"/>
  <c r="BX415" i="1"/>
  <c r="BX170" i="1"/>
  <c r="BX126" i="1"/>
  <c r="BX328" i="1"/>
  <c r="BX10" i="1"/>
  <c r="BX370" i="1"/>
  <c r="BX11" i="1"/>
  <c r="BX12" i="1"/>
  <c r="BX371" i="1"/>
  <c r="BX13" i="1"/>
  <c r="BX372" i="1"/>
  <c r="BX373" i="1"/>
  <c r="BX374" i="1"/>
  <c r="BX375" i="1"/>
  <c r="BX14" i="1"/>
  <c r="BX250" i="1"/>
  <c r="BX251" i="1"/>
  <c r="BX252" i="1"/>
  <c r="BX253" i="1"/>
  <c r="BX416" i="1"/>
  <c r="BX329" i="1"/>
  <c r="BX171" i="1"/>
  <c r="BX127" i="1"/>
  <c r="BX128" i="1"/>
  <c r="BX210" i="1"/>
  <c r="BX211" i="1"/>
  <c r="BX212" i="1"/>
  <c r="BX213" i="1"/>
  <c r="BX15" i="1"/>
  <c r="BX98" i="1"/>
  <c r="BX23" i="1"/>
  <c r="BX24" i="1"/>
  <c r="BX25" i="1"/>
  <c r="BX376" i="1"/>
  <c r="BX377" i="1"/>
  <c r="BX254" i="1"/>
  <c r="BX107" i="1"/>
  <c r="BX365" i="1"/>
  <c r="BX172" i="1"/>
  <c r="BX173" i="1"/>
  <c r="BX443" i="1"/>
  <c r="BX444" i="1"/>
  <c r="BX445" i="1"/>
  <c r="BX124" i="1"/>
  <c r="BX378" i="1"/>
  <c r="BX379" i="1"/>
  <c r="BX446" i="1"/>
  <c r="BX255" i="1"/>
  <c r="BX380" i="1"/>
  <c r="BX99" i="1"/>
  <c r="BX68" i="1"/>
  <c r="BX326" i="1"/>
  <c r="BX2" i="1"/>
  <c r="BX3" i="1"/>
  <c r="BX214" i="1"/>
  <c r="BX26" i="1"/>
  <c r="BX27" i="1"/>
  <c r="BX447" i="1"/>
  <c r="BX4" i="1"/>
  <c r="BX5" i="1"/>
  <c r="BX215" i="1"/>
  <c r="BX125" i="1"/>
  <c r="BX216" i="1"/>
  <c r="BX217" i="1"/>
  <c r="BX6" i="1"/>
  <c r="BX256" i="1"/>
  <c r="BX16" i="1"/>
  <c r="BX174" i="1"/>
  <c r="BX86" i="1"/>
  <c r="BX87" i="1"/>
  <c r="BX88" i="1"/>
  <c r="BX103" i="1"/>
  <c r="BX17" i="1"/>
  <c r="BX73" i="1"/>
  <c r="BX293" i="1"/>
  <c r="BX177" i="1"/>
  <c r="BX75" i="1"/>
  <c r="BX18" i="1"/>
  <c r="BX78" i="1"/>
  <c r="BX101" i="1"/>
  <c r="BX284" i="1"/>
  <c r="BX414" i="1"/>
  <c r="BX432" i="1"/>
  <c r="BX39" i="1"/>
  <c r="BX44" i="1"/>
  <c r="BX335" i="1"/>
  <c r="BX336" i="1"/>
  <c r="BX219" i="1"/>
  <c r="BX19" i="1"/>
  <c r="BX258" i="1"/>
  <c r="BX85" i="1"/>
  <c r="BX175" i="1"/>
  <c r="BX300" i="1"/>
  <c r="BX311" i="1"/>
  <c r="BX77" i="1"/>
  <c r="BX301" i="1"/>
  <c r="BX71" i="1"/>
  <c r="BX278" i="1"/>
  <c r="BX176" i="1"/>
  <c r="BX312" i="1"/>
  <c r="BX259" i="1"/>
  <c r="BX35" i="1"/>
  <c r="BX37" i="1"/>
  <c r="BX282" i="1"/>
  <c r="BX384" i="1"/>
  <c r="BX385" i="1"/>
  <c r="BX413" i="1"/>
  <c r="BX418" i="1"/>
  <c r="BX433" i="1"/>
  <c r="BX287" i="1"/>
  <c r="BX290" i="1"/>
  <c r="BX299" i="1"/>
  <c r="BX305" i="1"/>
  <c r="BX298" i="1"/>
  <c r="BX288" i="1"/>
  <c r="BX296" i="1"/>
  <c r="BX279" i="1"/>
  <c r="BX280" i="1"/>
  <c r="BX289" i="1"/>
  <c r="BX281" i="1"/>
  <c r="BX297" i="1"/>
  <c r="BX283" i="1"/>
  <c r="BX419" i="1"/>
  <c r="BX41" i="1"/>
  <c r="BX9" i="1"/>
  <c r="BX38" i="1"/>
  <c r="BX291" i="1"/>
  <c r="BX285" i="1"/>
  <c r="BX42" i="1"/>
  <c r="BX72" i="1"/>
  <c r="BX306" i="1"/>
  <c r="BX307" i="1"/>
  <c r="BX89" i="1"/>
  <c r="BX7" i="1"/>
  <c r="BX310" i="1"/>
  <c r="BX334" i="1"/>
  <c r="BX308" i="1"/>
  <c r="BX382" i="1"/>
  <c r="BX45" i="1"/>
  <c r="BX46" i="1"/>
  <c r="BX47" i="1"/>
  <c r="BX448" i="1"/>
  <c r="BX294" i="1"/>
  <c r="BX108" i="1"/>
  <c r="BX109" i="1"/>
  <c r="BX36" i="1"/>
  <c r="BX257" i="1"/>
  <c r="BX381" i="1"/>
  <c r="BX330" i="1"/>
  <c r="BX28" i="1"/>
  <c r="BX331" i="1"/>
  <c r="BX332" i="1"/>
  <c r="BX333" i="1"/>
  <c r="BX218" i="1"/>
  <c r="BX327" i="1"/>
  <c r="BX69" i="1"/>
  <c r="BX70" i="1"/>
  <c r="BX417" i="1"/>
  <c r="BX100" i="1"/>
  <c r="BX398" i="1"/>
  <c r="BX399" i="1"/>
  <c r="BX400" i="1"/>
  <c r="BX402" i="1"/>
  <c r="BX404" i="1"/>
  <c r="BX411" i="1"/>
  <c r="BX394" i="1"/>
  <c r="BX407" i="1"/>
  <c r="BX409" i="1"/>
  <c r="BX396" i="1"/>
  <c r="BX401" i="1"/>
  <c r="BX405" i="1"/>
  <c r="BX403" i="1"/>
  <c r="BX406" i="1"/>
  <c r="BX412" i="1"/>
  <c r="BX395" i="1"/>
  <c r="BX408" i="1"/>
  <c r="BX410" i="1"/>
  <c r="BX397" i="1"/>
  <c r="BX8" i="1"/>
  <c r="BX260" i="1"/>
  <c r="BX261" i="1"/>
  <c r="BX262" i="1"/>
  <c r="BX337" i="1"/>
  <c r="BX338" i="1"/>
  <c r="BX48" i="1"/>
  <c r="BX339" i="1"/>
  <c r="BX340" i="1"/>
  <c r="BX341" i="1"/>
  <c r="BX342" i="1"/>
  <c r="BX343" i="1"/>
  <c r="BX40" i="1"/>
  <c r="BX383" i="1"/>
  <c r="BX309" i="1"/>
  <c r="BX286" i="1"/>
  <c r="BX292" i="1"/>
  <c r="BX49" i="1"/>
  <c r="BX79" i="1"/>
  <c r="BX102" i="1"/>
  <c r="BX80" i="1"/>
  <c r="BX81" i="1"/>
  <c r="BX20" i="1"/>
  <c r="BX21" i="1"/>
  <c r="BX82" i="1"/>
  <c r="BX83" i="1"/>
  <c r="BX22" i="1"/>
  <c r="BX84" i="1"/>
  <c r="BX302" i="1"/>
  <c r="BX303" i="1"/>
  <c r="BX304" i="1"/>
  <c r="BX76" i="1"/>
  <c r="BX295" i="1"/>
  <c r="BX344" i="1"/>
  <c r="BW105" i="1"/>
  <c r="BW106" i="1"/>
  <c r="BW179" i="1"/>
  <c r="BW220" i="1"/>
  <c r="BW345" i="1"/>
  <c r="BW157" i="1"/>
  <c r="BW346" i="1"/>
  <c r="BW347" i="1"/>
  <c r="BW348" i="1"/>
  <c r="BW221" i="1"/>
  <c r="BW349" i="1"/>
  <c r="BW222" i="1"/>
  <c r="BW180" i="1"/>
  <c r="BW158" i="1"/>
  <c r="BW223" i="1"/>
  <c r="BW237" i="1"/>
  <c r="BW238" i="1"/>
  <c r="BW263" i="1"/>
  <c r="BW264" i="1"/>
  <c r="BW265" i="1"/>
  <c r="BW239" i="1"/>
  <c r="BW266" i="1"/>
  <c r="BW267" i="1"/>
  <c r="BW434" i="1"/>
  <c r="BW435" i="1"/>
  <c r="BW181" i="1"/>
  <c r="BW350" i="1"/>
  <c r="BW351" i="1"/>
  <c r="BW224" i="1"/>
  <c r="BW159" i="1"/>
  <c r="BW436" i="1"/>
  <c r="BW182" i="1"/>
  <c r="BW240" i="1"/>
  <c r="BW352" i="1"/>
  <c r="BW225" i="1"/>
  <c r="BW29" i="1"/>
  <c r="BW420" i="1"/>
  <c r="BW50" i="1"/>
  <c r="BW110" i="1"/>
  <c r="BW152" i="1"/>
  <c r="BW449" i="1"/>
  <c r="BW450" i="1"/>
  <c r="BW353" i="1"/>
  <c r="BW226" i="1"/>
  <c r="BW354" i="1"/>
  <c r="BW30" i="1"/>
  <c r="BW111" i="1"/>
  <c r="BW153" i="1"/>
  <c r="BW421" i="1"/>
  <c r="BW154" i="1"/>
  <c r="BW451" i="1"/>
  <c r="BW452" i="1"/>
  <c r="BW155" i="1"/>
  <c r="BW129" i="1"/>
  <c r="BW148" i="1"/>
  <c r="BW130" i="1"/>
  <c r="BW31" i="1"/>
  <c r="BW112" i="1"/>
  <c r="BW422" i="1"/>
  <c r="BW131" i="1"/>
  <c r="BW149" i="1"/>
  <c r="BW51" i="1"/>
  <c r="BW423" i="1"/>
  <c r="BW150" i="1"/>
  <c r="BW241" i="1"/>
  <c r="BW52" i="1"/>
  <c r="BW268" i="1"/>
  <c r="BW269" i="1"/>
  <c r="BW453" i="1"/>
  <c r="BW355" i="1"/>
  <c r="BW227" i="1"/>
  <c r="BW454" i="1"/>
  <c r="BW228" i="1"/>
  <c r="BW53" i="1"/>
  <c r="BW229" i="1"/>
  <c r="BW54" i="1"/>
  <c r="BW270" i="1"/>
  <c r="BW455" i="1"/>
  <c r="BW183" i="1"/>
  <c r="BW55" i="1"/>
  <c r="BW184" i="1"/>
  <c r="BW56" i="1"/>
  <c r="BW185" i="1"/>
  <c r="BW456" i="1"/>
  <c r="BW160" i="1"/>
  <c r="BW156" i="1"/>
  <c r="BW32" i="1"/>
  <c r="BW186" i="1"/>
  <c r="BW57" i="1"/>
  <c r="BW424" i="1"/>
  <c r="BW242" i="1"/>
  <c r="BW161" i="1"/>
  <c r="BW437" i="1"/>
  <c r="BW386" i="1"/>
  <c r="BW387" i="1"/>
  <c r="BW388" i="1"/>
  <c r="BW133" i="1"/>
  <c r="BW134" i="1"/>
  <c r="BW135" i="1"/>
  <c r="BW132" i="1"/>
  <c r="BW151" i="1"/>
  <c r="BW187" i="1"/>
  <c r="BW271" i="1"/>
  <c r="BW188" i="1"/>
  <c r="BW189" i="1"/>
  <c r="BW272" i="1"/>
  <c r="BW389" i="1"/>
  <c r="BW438" i="1"/>
  <c r="BW136" i="1"/>
  <c r="BW162" i="1"/>
  <c r="BW33" i="1"/>
  <c r="BW34" i="1"/>
  <c r="BW313" i="1"/>
  <c r="BW314" i="1"/>
  <c r="BW190" i="1"/>
  <c r="BW243" i="1"/>
  <c r="BW58" i="1"/>
  <c r="BW137" i="1"/>
  <c r="BW191" i="1"/>
  <c r="BW273" i="1"/>
  <c r="BW356" i="1"/>
  <c r="BW357" i="1"/>
  <c r="BW457" i="1"/>
  <c r="BW358" i="1"/>
  <c r="BW138" i="1"/>
  <c r="BW315" i="1"/>
  <c r="BW316" i="1"/>
  <c r="BW59" i="1"/>
  <c r="BW425" i="1"/>
  <c r="BW359" i="1"/>
  <c r="BW230" i="1"/>
  <c r="BW458" i="1"/>
  <c r="BW426" i="1"/>
  <c r="BW390" i="1"/>
  <c r="BW427" i="1"/>
  <c r="BW274" i="1"/>
  <c r="BW60" i="1"/>
  <c r="BW428" i="1"/>
  <c r="BW429" i="1"/>
  <c r="BW430" i="1"/>
  <c r="BW192" i="1"/>
  <c r="BW193" i="1"/>
  <c r="BW391" i="1"/>
  <c r="BW139" i="1"/>
  <c r="BW61" i="1"/>
  <c r="BW113" i="1"/>
  <c r="BW194" i="1"/>
  <c r="BW195" i="1"/>
  <c r="BW114" i="1"/>
  <c r="BW115" i="1"/>
  <c r="BW431" i="1"/>
  <c r="BW392" i="1"/>
  <c r="BW393" i="1"/>
  <c r="BW439" i="1"/>
  <c r="BW317" i="1"/>
  <c r="BW116" i="1"/>
  <c r="BW459" i="1"/>
  <c r="BW275" i="1"/>
  <c r="BW360" i="1"/>
  <c r="BW361" i="1"/>
  <c r="BW231" i="1"/>
  <c r="BW117" i="1"/>
  <c r="BW276" i="1"/>
  <c r="BW118" i="1"/>
  <c r="BW196" i="1"/>
  <c r="BW197" i="1"/>
  <c r="BW440" i="1"/>
  <c r="BW62" i="1"/>
  <c r="BW198" i="1"/>
  <c r="BW199" i="1"/>
  <c r="BW441" i="1"/>
  <c r="BW244" i="1"/>
  <c r="BW245" i="1"/>
  <c r="BW362" i="1"/>
  <c r="BW366" i="1"/>
  <c r="BW367" i="1"/>
  <c r="BW246" i="1"/>
  <c r="BW163" i="1"/>
  <c r="BW119" i="1"/>
  <c r="BW63" i="1"/>
  <c r="BW164" i="1"/>
  <c r="BW318" i="1"/>
  <c r="BW363" i="1"/>
  <c r="BW232" i="1"/>
  <c r="BW140" i="1"/>
  <c r="BW364" i="1"/>
  <c r="BW64" i="1"/>
  <c r="BW65" i="1"/>
  <c r="BW233" i="1"/>
  <c r="BW319" i="1"/>
  <c r="BW234" i="1"/>
  <c r="BW165" i="1"/>
  <c r="BW90" i="1"/>
  <c r="BW91" i="1"/>
  <c r="BW235" i="1"/>
  <c r="BW141" i="1"/>
  <c r="BW200" i="1"/>
  <c r="BW201" i="1"/>
  <c r="BW202" i="1"/>
  <c r="BW120" i="1"/>
  <c r="BW92" i="1"/>
  <c r="BW166" i="1"/>
  <c r="BW167" i="1"/>
  <c r="BW93" i="1"/>
  <c r="BW121" i="1"/>
  <c r="BW142" i="1"/>
  <c r="BW203" i="1"/>
  <c r="BW204" i="1"/>
  <c r="BW66" i="1"/>
  <c r="BW168" i="1"/>
  <c r="BW94" i="1"/>
  <c r="BW143" i="1"/>
  <c r="BW442" i="1"/>
  <c r="BW320" i="1"/>
  <c r="BW368" i="1"/>
  <c r="BW247" i="1"/>
  <c r="BW248" i="1"/>
  <c r="BW122" i="1"/>
  <c r="BW205" i="1"/>
  <c r="BW169" i="1"/>
  <c r="BW95" i="1"/>
  <c r="BW321" i="1"/>
  <c r="BW206" i="1"/>
  <c r="BW322" i="1"/>
  <c r="BW207" i="1"/>
  <c r="BW208" i="1"/>
  <c r="BW209" i="1"/>
  <c r="BW144" i="1"/>
  <c r="BW145" i="1"/>
  <c r="BW146" i="1"/>
  <c r="BW323" i="1"/>
  <c r="BW123" i="1"/>
  <c r="BW96" i="1"/>
  <c r="BW236" i="1"/>
  <c r="BW147" i="1"/>
  <c r="BW460" i="1"/>
  <c r="BW277" i="1"/>
  <c r="BW324" i="1"/>
  <c r="BW325" i="1"/>
  <c r="BW67" i="1"/>
  <c r="BW97" i="1"/>
  <c r="BW369" i="1"/>
  <c r="BW249" i="1"/>
  <c r="BW415" i="1"/>
  <c r="BW170" i="1"/>
  <c r="BW126" i="1"/>
  <c r="BW328" i="1"/>
  <c r="BW10" i="1"/>
  <c r="BW370" i="1"/>
  <c r="BW11" i="1"/>
  <c r="BW12" i="1"/>
  <c r="BW371" i="1"/>
  <c r="BW13" i="1"/>
  <c r="BW372" i="1"/>
  <c r="BW373" i="1"/>
  <c r="BW374" i="1"/>
  <c r="BW375" i="1"/>
  <c r="BW14" i="1"/>
  <c r="BW250" i="1"/>
  <c r="BW251" i="1"/>
  <c r="BW252" i="1"/>
  <c r="BW253" i="1"/>
  <c r="BW416" i="1"/>
  <c r="BW329" i="1"/>
  <c r="BW171" i="1"/>
  <c r="BW127" i="1"/>
  <c r="BW128" i="1"/>
  <c r="BW210" i="1"/>
  <c r="BW211" i="1"/>
  <c r="BW212" i="1"/>
  <c r="BW213" i="1"/>
  <c r="BW15" i="1"/>
  <c r="BW98" i="1"/>
  <c r="BW23" i="1"/>
  <c r="BW24" i="1"/>
  <c r="BW25" i="1"/>
  <c r="BW376" i="1"/>
  <c r="BW377" i="1"/>
  <c r="BW254" i="1"/>
  <c r="BW107" i="1"/>
  <c r="BW365" i="1"/>
  <c r="BW172" i="1"/>
  <c r="BW173" i="1"/>
  <c r="BW443" i="1"/>
  <c r="BW444" i="1"/>
  <c r="BW445" i="1"/>
  <c r="BW124" i="1"/>
  <c r="BW378" i="1"/>
  <c r="BW379" i="1"/>
  <c r="BW446" i="1"/>
  <c r="BW255" i="1"/>
  <c r="BW380" i="1"/>
  <c r="BW99" i="1"/>
  <c r="BW68" i="1"/>
  <c r="BW326" i="1"/>
  <c r="BW2" i="1"/>
  <c r="BW3" i="1"/>
  <c r="BW214" i="1"/>
  <c r="BW26" i="1"/>
  <c r="BW27" i="1"/>
  <c r="BW447" i="1"/>
  <c r="BW4" i="1"/>
  <c r="BW5" i="1"/>
  <c r="BW215" i="1"/>
  <c r="BW125" i="1"/>
  <c r="BW216" i="1"/>
  <c r="BW217" i="1"/>
  <c r="BW6" i="1"/>
  <c r="BW256" i="1"/>
  <c r="BW16" i="1"/>
  <c r="BW174" i="1"/>
  <c r="BW86" i="1"/>
  <c r="BW87" i="1"/>
  <c r="BW88" i="1"/>
  <c r="BW103" i="1"/>
  <c r="BW17" i="1"/>
  <c r="BW73" i="1"/>
  <c r="BW293" i="1"/>
  <c r="BW177" i="1"/>
  <c r="BW75" i="1"/>
  <c r="BW18" i="1"/>
  <c r="BW78" i="1"/>
  <c r="BW101" i="1"/>
  <c r="BW284" i="1"/>
  <c r="BW414" i="1"/>
  <c r="BW432" i="1"/>
  <c r="BW39" i="1"/>
  <c r="BW44" i="1"/>
  <c r="BW335" i="1"/>
  <c r="BW336" i="1"/>
  <c r="BW219" i="1"/>
  <c r="BW19" i="1"/>
  <c r="BW258" i="1"/>
  <c r="BW85" i="1"/>
  <c r="BW175" i="1"/>
  <c r="BW300" i="1"/>
  <c r="BW311" i="1"/>
  <c r="BW77" i="1"/>
  <c r="BW301" i="1"/>
  <c r="BW71" i="1"/>
  <c r="BW278" i="1"/>
  <c r="BW176" i="1"/>
  <c r="BW312" i="1"/>
  <c r="BW259" i="1"/>
  <c r="BW35" i="1"/>
  <c r="BW37" i="1"/>
  <c r="BW282" i="1"/>
  <c r="BW384" i="1"/>
  <c r="BW385" i="1"/>
  <c r="BW413" i="1"/>
  <c r="BW418" i="1"/>
  <c r="BW433" i="1"/>
  <c r="BW287" i="1"/>
  <c r="BW290" i="1"/>
  <c r="BW299" i="1"/>
  <c r="BW305" i="1"/>
  <c r="BW298" i="1"/>
  <c r="BW288" i="1"/>
  <c r="BW296" i="1"/>
  <c r="BW279" i="1"/>
  <c r="BW280" i="1"/>
  <c r="BW289" i="1"/>
  <c r="BW281" i="1"/>
  <c r="BW297" i="1"/>
  <c r="BW283" i="1"/>
  <c r="BW419" i="1"/>
  <c r="BW41" i="1"/>
  <c r="BW9" i="1"/>
  <c r="BW38" i="1"/>
  <c r="BW291" i="1"/>
  <c r="BW285" i="1"/>
  <c r="BW42" i="1"/>
  <c r="BW72" i="1"/>
  <c r="BW306" i="1"/>
  <c r="BW307" i="1"/>
  <c r="BW89" i="1"/>
  <c r="BW7" i="1"/>
  <c r="BW310" i="1"/>
  <c r="BW334" i="1"/>
  <c r="BW308" i="1"/>
  <c r="BW382" i="1"/>
  <c r="BW45" i="1"/>
  <c r="BW46" i="1"/>
  <c r="BW47" i="1"/>
  <c r="BW448" i="1"/>
  <c r="BW294" i="1"/>
  <c r="BW108" i="1"/>
  <c r="BW109" i="1"/>
  <c r="BW36" i="1"/>
  <c r="BW257" i="1"/>
  <c r="BW381" i="1"/>
  <c r="BW330" i="1"/>
  <c r="BW28" i="1"/>
  <c r="BW331" i="1"/>
  <c r="BW332" i="1"/>
  <c r="BW333" i="1"/>
  <c r="BW218" i="1"/>
  <c r="BW327" i="1"/>
  <c r="BW69" i="1"/>
  <c r="BW70" i="1"/>
  <c r="BW417" i="1"/>
  <c r="BW100" i="1"/>
  <c r="BW398" i="1"/>
  <c r="BW399" i="1"/>
  <c r="BW400" i="1"/>
  <c r="BW402" i="1"/>
  <c r="BW404" i="1"/>
  <c r="BW411" i="1"/>
  <c r="BW394" i="1"/>
  <c r="BW407" i="1"/>
  <c r="BW409" i="1"/>
  <c r="BW396" i="1"/>
  <c r="BW401" i="1"/>
  <c r="BW405" i="1"/>
  <c r="BW403" i="1"/>
  <c r="BW406" i="1"/>
  <c r="BW412" i="1"/>
  <c r="BW395" i="1"/>
  <c r="BW408" i="1"/>
  <c r="BW410" i="1"/>
  <c r="BW397" i="1"/>
  <c r="BW8" i="1"/>
  <c r="BW260" i="1"/>
  <c r="BW261" i="1"/>
  <c r="BW262" i="1"/>
  <c r="BW337" i="1"/>
  <c r="BW338" i="1"/>
  <c r="BW48" i="1"/>
  <c r="BW339" i="1"/>
  <c r="BW340" i="1"/>
  <c r="BW341" i="1"/>
  <c r="BW342" i="1"/>
  <c r="BW343" i="1"/>
  <c r="BW40" i="1"/>
  <c r="BW383" i="1"/>
  <c r="BW309" i="1"/>
  <c r="BW286" i="1"/>
  <c r="BW292" i="1"/>
  <c r="BW49" i="1"/>
  <c r="BW79" i="1"/>
  <c r="BW102" i="1"/>
  <c r="BW80" i="1"/>
  <c r="BW81" i="1"/>
  <c r="BW20" i="1"/>
  <c r="BW21" i="1"/>
  <c r="BW82" i="1"/>
  <c r="BW83" i="1"/>
  <c r="BW22" i="1"/>
  <c r="BW84" i="1"/>
  <c r="BW302" i="1"/>
  <c r="BW303" i="1"/>
  <c r="BW304" i="1"/>
  <c r="BW76" i="1"/>
  <c r="BW295" i="1"/>
  <c r="BW344" i="1"/>
  <c r="BV105" i="1"/>
  <c r="BV106" i="1"/>
  <c r="BV179" i="1"/>
  <c r="BV220" i="1"/>
  <c r="BV345" i="1"/>
  <c r="BV157" i="1"/>
  <c r="BV346" i="1"/>
  <c r="BV347" i="1"/>
  <c r="BV348" i="1"/>
  <c r="BV221" i="1"/>
  <c r="BV349" i="1"/>
  <c r="BV222" i="1"/>
  <c r="BV180" i="1"/>
  <c r="BV158" i="1"/>
  <c r="BV223" i="1"/>
  <c r="BV237" i="1"/>
  <c r="BV238" i="1"/>
  <c r="BV263" i="1"/>
  <c r="BV264" i="1"/>
  <c r="BV265" i="1"/>
  <c r="BV239" i="1"/>
  <c r="BV266" i="1"/>
  <c r="BV267" i="1"/>
  <c r="BV434" i="1"/>
  <c r="BV435" i="1"/>
  <c r="BV181" i="1"/>
  <c r="BV350" i="1"/>
  <c r="BV351" i="1"/>
  <c r="BV224" i="1"/>
  <c r="BV159" i="1"/>
  <c r="BV436" i="1"/>
  <c r="BV182" i="1"/>
  <c r="BV240" i="1"/>
  <c r="BV352" i="1"/>
  <c r="BV225" i="1"/>
  <c r="BV29" i="1"/>
  <c r="BV420" i="1"/>
  <c r="BV50" i="1"/>
  <c r="BV110" i="1"/>
  <c r="BV152" i="1"/>
  <c r="BV449" i="1"/>
  <c r="BV450" i="1"/>
  <c r="BV353" i="1"/>
  <c r="BV226" i="1"/>
  <c r="BV354" i="1"/>
  <c r="BV30" i="1"/>
  <c r="BV111" i="1"/>
  <c r="BV153" i="1"/>
  <c r="BV421" i="1"/>
  <c r="BV154" i="1"/>
  <c r="BV451" i="1"/>
  <c r="BV452" i="1"/>
  <c r="BV155" i="1"/>
  <c r="BV129" i="1"/>
  <c r="BV148" i="1"/>
  <c r="BV130" i="1"/>
  <c r="BV31" i="1"/>
  <c r="BV112" i="1"/>
  <c r="BV422" i="1"/>
  <c r="BV131" i="1"/>
  <c r="BV149" i="1"/>
  <c r="BV51" i="1"/>
  <c r="BV423" i="1"/>
  <c r="BV150" i="1"/>
  <c r="BV241" i="1"/>
  <c r="BV52" i="1"/>
  <c r="BV268" i="1"/>
  <c r="BV269" i="1"/>
  <c r="BV453" i="1"/>
  <c r="BV355" i="1"/>
  <c r="BV227" i="1"/>
  <c r="BV454" i="1"/>
  <c r="BV228" i="1"/>
  <c r="BV53" i="1"/>
  <c r="BV229" i="1"/>
  <c r="BV54" i="1"/>
  <c r="BV270" i="1"/>
  <c r="BV455" i="1"/>
  <c r="BV183" i="1"/>
  <c r="BV55" i="1"/>
  <c r="BV184" i="1"/>
  <c r="BV56" i="1"/>
  <c r="BV185" i="1"/>
  <c r="BV456" i="1"/>
  <c r="BV160" i="1"/>
  <c r="BV156" i="1"/>
  <c r="BV32" i="1"/>
  <c r="BV186" i="1"/>
  <c r="BV57" i="1"/>
  <c r="BV424" i="1"/>
  <c r="BV242" i="1"/>
  <c r="BV161" i="1"/>
  <c r="BV437" i="1"/>
  <c r="BV386" i="1"/>
  <c r="BV387" i="1"/>
  <c r="BV388" i="1"/>
  <c r="BV133" i="1"/>
  <c r="BV134" i="1"/>
  <c r="BV135" i="1"/>
  <c r="BV132" i="1"/>
  <c r="BV151" i="1"/>
  <c r="BV187" i="1"/>
  <c r="BV271" i="1"/>
  <c r="BV188" i="1"/>
  <c r="BV189" i="1"/>
  <c r="BV272" i="1"/>
  <c r="BV389" i="1"/>
  <c r="BV438" i="1"/>
  <c r="BV136" i="1"/>
  <c r="BV162" i="1"/>
  <c r="BV33" i="1"/>
  <c r="BV34" i="1"/>
  <c r="BV313" i="1"/>
  <c r="BV314" i="1"/>
  <c r="BV190" i="1"/>
  <c r="BV243" i="1"/>
  <c r="BV58" i="1"/>
  <c r="BV137" i="1"/>
  <c r="BV191" i="1"/>
  <c r="BV273" i="1"/>
  <c r="BV356" i="1"/>
  <c r="BV357" i="1"/>
  <c r="BV457" i="1"/>
  <c r="BV358" i="1"/>
  <c r="BV138" i="1"/>
  <c r="BV315" i="1"/>
  <c r="BV316" i="1"/>
  <c r="BV59" i="1"/>
  <c r="BV425" i="1"/>
  <c r="BV359" i="1"/>
  <c r="BV230" i="1"/>
  <c r="BV458" i="1"/>
  <c r="BV426" i="1"/>
  <c r="BV390" i="1"/>
  <c r="BV427" i="1"/>
  <c r="BV274" i="1"/>
  <c r="BV60" i="1"/>
  <c r="BV428" i="1"/>
  <c r="BV429" i="1"/>
  <c r="BV430" i="1"/>
  <c r="BV192" i="1"/>
  <c r="BV193" i="1"/>
  <c r="BV391" i="1"/>
  <c r="BV139" i="1"/>
  <c r="BV61" i="1"/>
  <c r="BV113" i="1"/>
  <c r="BV194" i="1"/>
  <c r="BV195" i="1"/>
  <c r="BV114" i="1"/>
  <c r="BV115" i="1"/>
  <c r="BV431" i="1"/>
  <c r="BV392" i="1"/>
  <c r="BV393" i="1"/>
  <c r="BV439" i="1"/>
  <c r="BV317" i="1"/>
  <c r="BV116" i="1"/>
  <c r="BV459" i="1"/>
  <c r="BV275" i="1"/>
  <c r="BV360" i="1"/>
  <c r="BV361" i="1"/>
  <c r="BV231" i="1"/>
  <c r="BV117" i="1"/>
  <c r="BV276" i="1"/>
  <c r="BV118" i="1"/>
  <c r="BV196" i="1"/>
  <c r="BV197" i="1"/>
  <c r="BV440" i="1"/>
  <c r="BV62" i="1"/>
  <c r="BV198" i="1"/>
  <c r="BV199" i="1"/>
  <c r="BV441" i="1"/>
  <c r="BV244" i="1"/>
  <c r="BV245" i="1"/>
  <c r="BV362" i="1"/>
  <c r="BV366" i="1"/>
  <c r="BV367" i="1"/>
  <c r="BV246" i="1"/>
  <c r="BV163" i="1"/>
  <c r="BV119" i="1"/>
  <c r="BV63" i="1"/>
  <c r="BV164" i="1"/>
  <c r="BV318" i="1"/>
  <c r="BV363" i="1"/>
  <c r="BV232" i="1"/>
  <c r="BV140" i="1"/>
  <c r="BV364" i="1"/>
  <c r="BV64" i="1"/>
  <c r="BV65" i="1"/>
  <c r="BV233" i="1"/>
  <c r="BV319" i="1"/>
  <c r="BV234" i="1"/>
  <c r="BV165" i="1"/>
  <c r="BV90" i="1"/>
  <c r="BV91" i="1"/>
  <c r="BV235" i="1"/>
  <c r="BV141" i="1"/>
  <c r="BV200" i="1"/>
  <c r="BV201" i="1"/>
  <c r="BV202" i="1"/>
  <c r="BV120" i="1"/>
  <c r="BV92" i="1"/>
  <c r="BV166" i="1"/>
  <c r="BV167" i="1"/>
  <c r="BV93" i="1"/>
  <c r="BV121" i="1"/>
  <c r="BV142" i="1"/>
  <c r="BV203" i="1"/>
  <c r="BV204" i="1"/>
  <c r="BV66" i="1"/>
  <c r="BV168" i="1"/>
  <c r="BV94" i="1"/>
  <c r="BV143" i="1"/>
  <c r="BV442" i="1"/>
  <c r="BV320" i="1"/>
  <c r="BV368" i="1"/>
  <c r="BV247" i="1"/>
  <c r="BV248" i="1"/>
  <c r="BV122" i="1"/>
  <c r="BV205" i="1"/>
  <c r="BV169" i="1"/>
  <c r="BV95" i="1"/>
  <c r="BV321" i="1"/>
  <c r="BV206" i="1"/>
  <c r="BV322" i="1"/>
  <c r="BV207" i="1"/>
  <c r="BV208" i="1"/>
  <c r="BV209" i="1"/>
  <c r="BV144" i="1"/>
  <c r="BV145" i="1"/>
  <c r="BV146" i="1"/>
  <c r="BV323" i="1"/>
  <c r="BV123" i="1"/>
  <c r="BV96" i="1"/>
  <c r="BV236" i="1"/>
  <c r="BV147" i="1"/>
  <c r="BV460" i="1"/>
  <c r="BV277" i="1"/>
  <c r="BV324" i="1"/>
  <c r="BV325" i="1"/>
  <c r="BV67" i="1"/>
  <c r="BV97" i="1"/>
  <c r="BV369" i="1"/>
  <c r="BV249" i="1"/>
  <c r="BV415" i="1"/>
  <c r="BV170" i="1"/>
  <c r="BV126" i="1"/>
  <c r="BV328" i="1"/>
  <c r="BV10" i="1"/>
  <c r="BV370" i="1"/>
  <c r="BV11" i="1"/>
  <c r="BV12" i="1"/>
  <c r="BV371" i="1"/>
  <c r="BV13" i="1"/>
  <c r="BV372" i="1"/>
  <c r="BV373" i="1"/>
  <c r="BV374" i="1"/>
  <c r="BV375" i="1"/>
  <c r="BV14" i="1"/>
  <c r="BV250" i="1"/>
  <c r="BV251" i="1"/>
  <c r="BV252" i="1"/>
  <c r="BV253" i="1"/>
  <c r="BV416" i="1"/>
  <c r="BV329" i="1"/>
  <c r="BV171" i="1"/>
  <c r="BV127" i="1"/>
  <c r="BV128" i="1"/>
  <c r="BV210" i="1"/>
  <c r="BV211" i="1"/>
  <c r="BV212" i="1"/>
  <c r="BV213" i="1"/>
  <c r="BV15" i="1"/>
  <c r="BV98" i="1"/>
  <c r="BV23" i="1"/>
  <c r="BV24" i="1"/>
  <c r="BV25" i="1"/>
  <c r="BV376" i="1"/>
  <c r="BV377" i="1"/>
  <c r="BV254" i="1"/>
  <c r="BV107" i="1"/>
  <c r="BV365" i="1"/>
  <c r="BV172" i="1"/>
  <c r="BV173" i="1"/>
  <c r="BV443" i="1"/>
  <c r="BV444" i="1"/>
  <c r="BV445" i="1"/>
  <c r="BV124" i="1"/>
  <c r="BV378" i="1"/>
  <c r="BV379" i="1"/>
  <c r="BV446" i="1"/>
  <c r="BV255" i="1"/>
  <c r="BV380" i="1"/>
  <c r="BV99" i="1"/>
  <c r="BV68" i="1"/>
  <c r="BV326" i="1"/>
  <c r="BV2" i="1"/>
  <c r="BV3" i="1"/>
  <c r="BV214" i="1"/>
  <c r="BV26" i="1"/>
  <c r="BV27" i="1"/>
  <c r="BV447" i="1"/>
  <c r="BV4" i="1"/>
  <c r="BV5" i="1"/>
  <c r="BV215" i="1"/>
  <c r="BV125" i="1"/>
  <c r="BV216" i="1"/>
  <c r="BV217" i="1"/>
  <c r="BV6" i="1"/>
  <c r="BV256" i="1"/>
  <c r="BV16" i="1"/>
  <c r="BV174" i="1"/>
  <c r="BV86" i="1"/>
  <c r="BV87" i="1"/>
  <c r="BV88" i="1"/>
  <c r="BV103" i="1"/>
  <c r="BV17" i="1"/>
  <c r="BV73" i="1"/>
  <c r="BV293" i="1"/>
  <c r="BV177" i="1"/>
  <c r="BV75" i="1"/>
  <c r="BV18" i="1"/>
  <c r="BV78" i="1"/>
  <c r="BV101" i="1"/>
  <c r="BV284" i="1"/>
  <c r="BV414" i="1"/>
  <c r="BV432" i="1"/>
  <c r="BV39" i="1"/>
  <c r="BV44" i="1"/>
  <c r="BV335" i="1"/>
  <c r="BV336" i="1"/>
  <c r="BV219" i="1"/>
  <c r="BV19" i="1"/>
  <c r="BV258" i="1"/>
  <c r="BV85" i="1"/>
  <c r="BV175" i="1"/>
  <c r="BV300" i="1"/>
  <c r="BV311" i="1"/>
  <c r="BV77" i="1"/>
  <c r="BV301" i="1"/>
  <c r="BV71" i="1"/>
  <c r="BV278" i="1"/>
  <c r="BV176" i="1"/>
  <c r="BV312" i="1"/>
  <c r="BV259" i="1"/>
  <c r="BV35" i="1"/>
  <c r="BV37" i="1"/>
  <c r="BV282" i="1"/>
  <c r="BV384" i="1"/>
  <c r="BV385" i="1"/>
  <c r="BV413" i="1"/>
  <c r="BV418" i="1"/>
  <c r="BV433" i="1"/>
  <c r="BV287" i="1"/>
  <c r="BV290" i="1"/>
  <c r="BV299" i="1"/>
  <c r="BV305" i="1"/>
  <c r="BV298" i="1"/>
  <c r="BV288" i="1"/>
  <c r="BV296" i="1"/>
  <c r="BV279" i="1"/>
  <c r="BV280" i="1"/>
  <c r="BV289" i="1"/>
  <c r="BV281" i="1"/>
  <c r="BV297" i="1"/>
  <c r="BV283" i="1"/>
  <c r="BV419" i="1"/>
  <c r="BV41" i="1"/>
  <c r="BV9" i="1"/>
  <c r="BV38" i="1"/>
  <c r="BV291" i="1"/>
  <c r="BV285" i="1"/>
  <c r="BV42" i="1"/>
  <c r="BV72" i="1"/>
  <c r="BV306" i="1"/>
  <c r="BV307" i="1"/>
  <c r="BV89" i="1"/>
  <c r="BV7" i="1"/>
  <c r="BV310" i="1"/>
  <c r="BV334" i="1"/>
  <c r="BV308" i="1"/>
  <c r="BV382" i="1"/>
  <c r="BV45" i="1"/>
  <c r="BV46" i="1"/>
  <c r="BV47" i="1"/>
  <c r="BV448" i="1"/>
  <c r="BV294" i="1"/>
  <c r="BV108" i="1"/>
  <c r="BV109" i="1"/>
  <c r="BV36" i="1"/>
  <c r="BV257" i="1"/>
  <c r="BV381" i="1"/>
  <c r="BV330" i="1"/>
  <c r="BV28" i="1"/>
  <c r="BV331" i="1"/>
  <c r="BV332" i="1"/>
  <c r="BV333" i="1"/>
  <c r="BV218" i="1"/>
  <c r="BV327" i="1"/>
  <c r="BV69" i="1"/>
  <c r="BV70" i="1"/>
  <c r="BV417" i="1"/>
  <c r="BV100" i="1"/>
  <c r="BV398" i="1"/>
  <c r="BV399" i="1"/>
  <c r="BV400" i="1"/>
  <c r="BV402" i="1"/>
  <c r="BV404" i="1"/>
  <c r="BV411" i="1"/>
  <c r="BV394" i="1"/>
  <c r="BV407" i="1"/>
  <c r="BV409" i="1"/>
  <c r="BV396" i="1"/>
  <c r="BV401" i="1"/>
  <c r="BV405" i="1"/>
  <c r="BV403" i="1"/>
  <c r="BV406" i="1"/>
  <c r="BV412" i="1"/>
  <c r="BV395" i="1"/>
  <c r="BV408" i="1"/>
  <c r="BV410" i="1"/>
  <c r="BV397" i="1"/>
  <c r="BV8" i="1"/>
  <c r="BV260" i="1"/>
  <c r="BV261" i="1"/>
  <c r="BV262" i="1"/>
  <c r="BV337" i="1"/>
  <c r="BV338" i="1"/>
  <c r="BV48" i="1"/>
  <c r="BV339" i="1"/>
  <c r="BV340" i="1"/>
  <c r="BV341" i="1"/>
  <c r="BV342" i="1"/>
  <c r="BV343" i="1"/>
  <c r="BV40" i="1"/>
  <c r="BV383" i="1"/>
  <c r="BV309" i="1"/>
  <c r="BV286" i="1"/>
  <c r="BV292" i="1"/>
  <c r="BV49" i="1"/>
  <c r="BV79" i="1"/>
  <c r="BV102" i="1"/>
  <c r="BV80" i="1"/>
  <c r="BV81" i="1"/>
  <c r="BV20" i="1"/>
  <c r="BV21" i="1"/>
  <c r="BV82" i="1"/>
  <c r="BV83" i="1"/>
  <c r="BV22" i="1"/>
  <c r="BV84" i="1"/>
  <c r="BV302" i="1"/>
  <c r="BV303" i="1"/>
  <c r="BV304" i="1"/>
  <c r="BV76" i="1"/>
  <c r="BV295" i="1"/>
  <c r="BV344" i="1"/>
  <c r="CD344" i="1"/>
  <c r="CC344" i="1"/>
  <c r="CA344" i="1"/>
  <c r="BZ344" i="1"/>
  <c r="BU344" i="1"/>
  <c r="Z344" i="1"/>
  <c r="Z295" i="1"/>
  <c r="BU295" i="1"/>
  <c r="BZ295" i="1"/>
  <c r="CA295" i="1"/>
  <c r="CC295" i="1"/>
  <c r="CD295" i="1"/>
  <c r="Z76" i="1"/>
  <c r="BU76" i="1"/>
  <c r="BZ76" i="1"/>
  <c r="CA76" i="1"/>
  <c r="CC76" i="1"/>
  <c r="CD76" i="1"/>
  <c r="Z304" i="1"/>
  <c r="BU304" i="1"/>
  <c r="BZ304" i="1"/>
  <c r="CA304" i="1"/>
  <c r="CC304" i="1"/>
  <c r="CD304" i="1"/>
  <c r="Z303" i="1"/>
  <c r="BU303" i="1"/>
  <c r="BZ303" i="1"/>
  <c r="CA303" i="1"/>
  <c r="CC303" i="1"/>
  <c r="CD303" i="1"/>
  <c r="Z302" i="1"/>
  <c r="BU302" i="1"/>
  <c r="BZ302" i="1"/>
  <c r="CA302" i="1"/>
  <c r="CC302" i="1"/>
  <c r="CD302" i="1"/>
  <c r="CD84" i="1"/>
  <c r="CC84" i="1"/>
  <c r="CA84" i="1"/>
  <c r="BZ84" i="1"/>
  <c r="BU84" i="1"/>
  <c r="Z84" i="1"/>
  <c r="CD22" i="1"/>
  <c r="CC22" i="1"/>
  <c r="CA22" i="1"/>
  <c r="BZ22" i="1"/>
  <c r="BU22" i="1"/>
  <c r="Z22" i="1"/>
  <c r="CD83" i="1"/>
  <c r="CC83" i="1"/>
  <c r="CA83" i="1"/>
  <c r="BZ83" i="1"/>
  <c r="BU83" i="1"/>
  <c r="Z83" i="1"/>
  <c r="CD82" i="1"/>
  <c r="CC82" i="1"/>
  <c r="CA82" i="1"/>
  <c r="BZ82" i="1"/>
  <c r="BU82" i="1"/>
  <c r="Z82" i="1"/>
  <c r="CD21" i="1"/>
  <c r="CC21" i="1"/>
  <c r="CA21" i="1"/>
  <c r="BZ21" i="1"/>
  <c r="BU21" i="1"/>
  <c r="Z21" i="1"/>
  <c r="Z20" i="1"/>
  <c r="BU20" i="1"/>
  <c r="BZ20" i="1"/>
  <c r="CA20" i="1"/>
  <c r="CC20" i="1"/>
  <c r="CD20" i="1"/>
  <c r="CD81" i="1"/>
  <c r="CC81" i="1"/>
  <c r="CA81" i="1"/>
  <c r="BZ81" i="1"/>
  <c r="BU81" i="1"/>
  <c r="Z81" i="1"/>
  <c r="A111" i="19"/>
  <c r="V111" i="19"/>
  <c r="W111" i="19"/>
  <c r="X111" i="19"/>
  <c r="Z80" i="1"/>
  <c r="BU80" i="1"/>
  <c r="BZ80" i="1"/>
  <c r="CA80" i="1"/>
  <c r="CC80" i="1"/>
  <c r="CD80" i="1"/>
  <c r="Z102" i="1"/>
  <c r="BU102" i="1"/>
  <c r="BZ102" i="1"/>
  <c r="CA102" i="1"/>
  <c r="CC102" i="1"/>
  <c r="CD102" i="1"/>
  <c r="Z79" i="1"/>
  <c r="BU79" i="1"/>
  <c r="BZ79" i="1"/>
  <c r="CA79" i="1"/>
  <c r="CC79" i="1"/>
  <c r="CD79" i="1"/>
  <c r="Z49" i="1"/>
  <c r="BU49" i="1"/>
  <c r="BZ49" i="1"/>
  <c r="CA49" i="1"/>
  <c r="CC49" i="1"/>
  <c r="CD49" i="1"/>
  <c r="CD292" i="1"/>
  <c r="CC292" i="1"/>
  <c r="CA292" i="1"/>
  <c r="BZ292" i="1"/>
  <c r="BU292" i="1"/>
  <c r="Z292" i="1"/>
  <c r="CD286" i="1"/>
  <c r="CC286" i="1"/>
  <c r="CA286" i="1"/>
  <c r="BZ286" i="1"/>
  <c r="BU286" i="1"/>
  <c r="Z286" i="1"/>
  <c r="CD309" i="1"/>
  <c r="CC309" i="1"/>
  <c r="CA309" i="1"/>
  <c r="BZ309" i="1"/>
  <c r="BU309" i="1"/>
  <c r="Z309" i="1"/>
  <c r="CD383" i="1"/>
  <c r="CC383" i="1"/>
  <c r="CA383" i="1"/>
  <c r="BZ383" i="1"/>
  <c r="BU383" i="1"/>
  <c r="Z383" i="1"/>
  <c r="Z40" i="1"/>
  <c r="BU40" i="1"/>
  <c r="BZ40" i="1"/>
  <c r="CA40" i="1"/>
  <c r="CC40" i="1"/>
  <c r="CD40" i="1"/>
  <c r="Z343" i="1"/>
  <c r="BU343" i="1"/>
  <c r="BZ343" i="1"/>
  <c r="CA343" i="1"/>
  <c r="CC343" i="1"/>
  <c r="CD343" i="1"/>
  <c r="Z342" i="1"/>
  <c r="BU342" i="1"/>
  <c r="BZ342" i="1"/>
  <c r="CA342" i="1"/>
  <c r="CC342" i="1"/>
  <c r="CD342" i="1"/>
  <c r="Z341" i="1"/>
  <c r="BU341" i="1"/>
  <c r="BZ341" i="1"/>
  <c r="CA341" i="1"/>
  <c r="CC341" i="1"/>
  <c r="CD341" i="1"/>
  <c r="Z340" i="1"/>
  <c r="BU340" i="1"/>
  <c r="BZ340" i="1"/>
  <c r="CA340" i="1"/>
  <c r="CC340" i="1"/>
  <c r="CD340" i="1"/>
  <c r="Z339" i="1"/>
  <c r="BU339" i="1"/>
  <c r="BZ339" i="1"/>
  <c r="CA339" i="1"/>
  <c r="CC339" i="1"/>
  <c r="CD339" i="1"/>
  <c r="Z48" i="1"/>
  <c r="BU48" i="1"/>
  <c r="BZ48" i="1"/>
  <c r="CA48" i="1"/>
  <c r="CC48" i="1"/>
  <c r="CD48" i="1"/>
  <c r="C5" i="30"/>
  <c r="AP3" i="30" a="1"/>
  <c r="AP3" i="30" s="1"/>
  <c r="AQ3" i="30" s="1" a="1"/>
  <c r="AQ3" i="30" s="1"/>
  <c r="C5" i="29"/>
  <c r="CD338" i="1"/>
  <c r="CC338" i="1"/>
  <c r="CA338" i="1"/>
  <c r="BZ338" i="1"/>
  <c r="BU338" i="1"/>
  <c r="Z338" i="1"/>
  <c r="CD337" i="1"/>
  <c r="CC337" i="1"/>
  <c r="CA337" i="1"/>
  <c r="BZ337" i="1"/>
  <c r="BU337" i="1"/>
  <c r="Z337" i="1"/>
  <c r="AP3" i="29" a="1"/>
  <c r="AP3" i="29" s="1"/>
  <c r="AQ3" i="29" s="1" a="1"/>
  <c r="AQ3" i="29" s="1"/>
  <c r="CD262" i="1"/>
  <c r="CC262" i="1"/>
  <c r="CA262" i="1"/>
  <c r="BZ262" i="1"/>
  <c r="BU262" i="1"/>
  <c r="Z262" i="1"/>
  <c r="CD261" i="1"/>
  <c r="CC261" i="1"/>
  <c r="CA261" i="1"/>
  <c r="BZ261" i="1"/>
  <c r="BU261" i="1"/>
  <c r="Z261" i="1"/>
  <c r="Z260" i="1" l="1"/>
  <c r="BU260" i="1"/>
  <c r="BZ260" i="1"/>
  <c r="CA260" i="1"/>
  <c r="CC260" i="1"/>
  <c r="CD260" i="1"/>
  <c r="Z8" i="1"/>
  <c r="BU8" i="1"/>
  <c r="BZ8" i="1"/>
  <c r="CA8" i="1"/>
  <c r="CC8" i="1"/>
  <c r="CD8" i="1"/>
  <c r="Z397" i="1"/>
  <c r="BU397" i="1"/>
  <c r="BZ397" i="1"/>
  <c r="CA397" i="1"/>
  <c r="CC397" i="1"/>
  <c r="CD397" i="1"/>
  <c r="Z410" i="1"/>
  <c r="BU410" i="1"/>
  <c r="BZ410" i="1"/>
  <c r="CA410" i="1"/>
  <c r="CC410" i="1"/>
  <c r="CD410" i="1"/>
  <c r="Z408" i="1"/>
  <c r="BU408" i="1"/>
  <c r="BZ408" i="1"/>
  <c r="CA408" i="1"/>
  <c r="CC408" i="1"/>
  <c r="CD408" i="1"/>
  <c r="Z395" i="1"/>
  <c r="BU395" i="1"/>
  <c r="BZ395" i="1"/>
  <c r="CA395" i="1"/>
  <c r="CC395" i="1"/>
  <c r="CD395" i="1"/>
  <c r="Z412" i="1"/>
  <c r="BU412" i="1"/>
  <c r="BZ412" i="1"/>
  <c r="CA412" i="1"/>
  <c r="CC412" i="1"/>
  <c r="CD412" i="1"/>
  <c r="Z406" i="1"/>
  <c r="BU406" i="1"/>
  <c r="BZ406" i="1"/>
  <c r="CA406" i="1"/>
  <c r="CC406" i="1"/>
  <c r="CD406" i="1"/>
  <c r="Z403" i="1"/>
  <c r="BU403" i="1"/>
  <c r="BZ403" i="1"/>
  <c r="CA403" i="1"/>
  <c r="CC403" i="1"/>
  <c r="CD403" i="1"/>
  <c r="Z405" i="1"/>
  <c r="BU405" i="1"/>
  <c r="BZ405" i="1"/>
  <c r="CA405" i="1"/>
  <c r="CC405" i="1"/>
  <c r="CD405" i="1"/>
  <c r="Z401" i="1"/>
  <c r="BU401" i="1"/>
  <c r="BZ401" i="1"/>
  <c r="CA401" i="1"/>
  <c r="CC401" i="1"/>
  <c r="CD401" i="1"/>
  <c r="A110" i="19"/>
  <c r="V110" i="19"/>
  <c r="W110" i="19"/>
  <c r="X110" i="19"/>
  <c r="Z396" i="1"/>
  <c r="BU396" i="1"/>
  <c r="BZ396" i="1"/>
  <c r="CA396" i="1"/>
  <c r="CC396" i="1"/>
  <c r="CD396" i="1"/>
  <c r="A109" i="19"/>
  <c r="V109" i="19"/>
  <c r="W109" i="19"/>
  <c r="X109" i="19"/>
  <c r="Z409" i="1"/>
  <c r="BU409" i="1"/>
  <c r="BZ409" i="1"/>
  <c r="CA409" i="1"/>
  <c r="CC409" i="1"/>
  <c r="CD409" i="1"/>
  <c r="A108" i="19"/>
  <c r="V108" i="19"/>
  <c r="W108" i="19"/>
  <c r="X108" i="19"/>
  <c r="Z407" i="1"/>
  <c r="BU407" i="1"/>
  <c r="BZ407" i="1"/>
  <c r="CA407" i="1"/>
  <c r="CC407" i="1"/>
  <c r="CD407" i="1"/>
  <c r="A107" i="19"/>
  <c r="V107" i="19"/>
  <c r="W107" i="19"/>
  <c r="X107" i="19"/>
  <c r="Z394" i="1"/>
  <c r="BU394" i="1"/>
  <c r="BZ394" i="1"/>
  <c r="CA394" i="1"/>
  <c r="CC394" i="1"/>
  <c r="CD394" i="1"/>
  <c r="A106" i="19"/>
  <c r="V106" i="19"/>
  <c r="W106" i="19"/>
  <c r="X106" i="19"/>
  <c r="Z411" i="1"/>
  <c r="BU411" i="1"/>
  <c r="BZ411" i="1"/>
  <c r="CA411" i="1"/>
  <c r="CC411" i="1"/>
  <c r="CD411" i="1"/>
  <c r="A105" i="19"/>
  <c r="V105" i="19"/>
  <c r="W105" i="19"/>
  <c r="X105" i="19"/>
  <c r="Z404" i="1"/>
  <c r="BU404" i="1"/>
  <c r="BZ404" i="1"/>
  <c r="CA404" i="1"/>
  <c r="CC404" i="1"/>
  <c r="CD404" i="1"/>
  <c r="A104" i="19"/>
  <c r="V104" i="19"/>
  <c r="W104" i="19"/>
  <c r="X104" i="19"/>
  <c r="Z402" i="1"/>
  <c r="BU402" i="1"/>
  <c r="BZ402" i="1"/>
  <c r="CA402" i="1"/>
  <c r="CC402" i="1"/>
  <c r="CD402" i="1"/>
  <c r="A103" i="19"/>
  <c r="V103" i="19"/>
  <c r="W103" i="19"/>
  <c r="X103" i="19"/>
  <c r="Z400" i="1"/>
  <c r="BU400" i="1"/>
  <c r="BZ400" i="1"/>
  <c r="CA400" i="1"/>
  <c r="CC400" i="1"/>
  <c r="CD400" i="1"/>
  <c r="Z399" i="1"/>
  <c r="BU399" i="1"/>
  <c r="BZ399" i="1"/>
  <c r="CA399" i="1"/>
  <c r="CC399" i="1"/>
  <c r="CD399" i="1"/>
  <c r="A102" i="19"/>
  <c r="V102" i="19"/>
  <c r="W102" i="19"/>
  <c r="X102" i="19"/>
  <c r="Z398" i="1"/>
  <c r="BU398" i="1"/>
  <c r="BZ398" i="1"/>
  <c r="CA398" i="1"/>
  <c r="CC398" i="1"/>
  <c r="CD398" i="1"/>
  <c r="Z100" i="1"/>
  <c r="BU100" i="1"/>
  <c r="BZ100" i="1"/>
  <c r="CA100" i="1"/>
  <c r="CC100" i="1"/>
  <c r="CD100" i="1"/>
  <c r="Z417" i="1"/>
  <c r="BU417" i="1"/>
  <c r="BZ417" i="1"/>
  <c r="CA417" i="1"/>
  <c r="CC417" i="1"/>
  <c r="CD417" i="1"/>
  <c r="Z70" i="1"/>
  <c r="BU70" i="1"/>
  <c r="BZ70" i="1"/>
  <c r="CA70" i="1"/>
  <c r="CC70" i="1"/>
  <c r="CD70" i="1"/>
  <c r="Z69" i="1"/>
  <c r="BU69" i="1"/>
  <c r="BZ69" i="1"/>
  <c r="CA69" i="1"/>
  <c r="CC69" i="1"/>
  <c r="CD69" i="1"/>
  <c r="Z327" i="1"/>
  <c r="BU327" i="1"/>
  <c r="BZ327" i="1"/>
  <c r="CA327" i="1"/>
  <c r="CC327" i="1"/>
  <c r="CD327" i="1"/>
  <c r="Z218" i="1"/>
  <c r="BU218" i="1"/>
  <c r="BZ218" i="1"/>
  <c r="CA218" i="1"/>
  <c r="CC218" i="1"/>
  <c r="CD218" i="1"/>
  <c r="Z333" i="1"/>
  <c r="BU333" i="1"/>
  <c r="BZ333" i="1"/>
  <c r="CA333" i="1"/>
  <c r="CC333" i="1"/>
  <c r="CD333" i="1"/>
  <c r="Z332" i="1"/>
  <c r="BU332" i="1"/>
  <c r="BZ332" i="1"/>
  <c r="CA332" i="1"/>
  <c r="CC332" i="1"/>
  <c r="CD332" i="1"/>
  <c r="Z331" i="1"/>
  <c r="BU331" i="1"/>
  <c r="BZ331" i="1"/>
  <c r="CA331" i="1"/>
  <c r="CC331" i="1"/>
  <c r="CD331" i="1"/>
  <c r="Z28" i="1"/>
  <c r="BU28" i="1"/>
  <c r="BZ28" i="1"/>
  <c r="CA28" i="1"/>
  <c r="CC28" i="1"/>
  <c r="CD28" i="1"/>
  <c r="Z330" i="1"/>
  <c r="BU330" i="1"/>
  <c r="BZ330" i="1"/>
  <c r="CA330" i="1"/>
  <c r="CC330" i="1"/>
  <c r="CD330" i="1"/>
  <c r="Z381" i="1"/>
  <c r="BU381" i="1"/>
  <c r="BZ381" i="1"/>
  <c r="CA381" i="1"/>
  <c r="CC381" i="1"/>
  <c r="CD381" i="1"/>
  <c r="Z257" i="1"/>
  <c r="BU257" i="1"/>
  <c r="BZ257" i="1"/>
  <c r="CA257" i="1"/>
  <c r="CC257" i="1"/>
  <c r="CD257" i="1"/>
  <c r="D2" i="9"/>
  <c r="Z36" i="1"/>
  <c r="BU36" i="1"/>
  <c r="BZ36" i="1"/>
  <c r="CA36" i="1"/>
  <c r="CC36" i="1"/>
  <c r="CD36" i="1"/>
  <c r="Z109" i="1"/>
  <c r="BU109" i="1"/>
  <c r="BZ109" i="1"/>
  <c r="CA109" i="1"/>
  <c r="CC109" i="1"/>
  <c r="CD109" i="1"/>
  <c r="Z108" i="1"/>
  <c r="BU108" i="1"/>
  <c r="BZ108" i="1"/>
  <c r="CA108" i="1"/>
  <c r="CC108" i="1"/>
  <c r="CD108" i="1"/>
  <c r="Z294" i="1" l="1"/>
  <c r="BU294" i="1"/>
  <c r="BZ294" i="1"/>
  <c r="CA294" i="1"/>
  <c r="CC294" i="1"/>
  <c r="CD294" i="1"/>
  <c r="Z448" i="1"/>
  <c r="BU448" i="1"/>
  <c r="BZ448" i="1"/>
  <c r="CA448" i="1"/>
  <c r="CC448" i="1"/>
  <c r="CD448" i="1"/>
  <c r="Q2" i="3" a="1"/>
  <c r="Q2" i="3" s="1"/>
  <c r="Z47" i="1"/>
  <c r="BU47" i="1"/>
  <c r="BZ47" i="1"/>
  <c r="CA47" i="1"/>
  <c r="CC47" i="1"/>
  <c r="CD47" i="1"/>
  <c r="Z46" i="1"/>
  <c r="BU46" i="1"/>
  <c r="BZ46" i="1"/>
  <c r="CA46" i="1"/>
  <c r="CC46" i="1"/>
  <c r="CD46" i="1"/>
  <c r="Z45" i="1"/>
  <c r="BU45" i="1"/>
  <c r="BZ45" i="1"/>
  <c r="CA45" i="1"/>
  <c r="CC45" i="1"/>
  <c r="CD45" i="1"/>
  <c r="A35" i="19"/>
  <c r="A36" i="19"/>
  <c r="A37" i="19"/>
  <c r="A38" i="19"/>
  <c r="A39" i="19"/>
  <c r="A40" i="19"/>
  <c r="A41" i="19"/>
  <c r="A42" i="19"/>
  <c r="A43" i="19"/>
  <c r="A44" i="19"/>
  <c r="A45" i="19"/>
  <c r="A46" i="19"/>
  <c r="A47" i="19"/>
  <c r="A48" i="19"/>
  <c r="A49" i="19"/>
  <c r="A50" i="19"/>
  <c r="A51" i="19"/>
  <c r="A52" i="19"/>
  <c r="A53" i="19"/>
  <c r="A54" i="19"/>
  <c r="A55" i="19"/>
  <c r="A56" i="19"/>
  <c r="A57" i="19"/>
  <c r="A58" i="19"/>
  <c r="A59" i="19"/>
  <c r="A60" i="19"/>
  <c r="A61" i="19"/>
  <c r="A62" i="19"/>
  <c r="A63" i="19"/>
  <c r="A64" i="19"/>
  <c r="A65" i="19"/>
  <c r="A66" i="19"/>
  <c r="A67" i="19"/>
  <c r="A68" i="19"/>
  <c r="A69" i="19"/>
  <c r="A70" i="19"/>
  <c r="A71" i="19"/>
  <c r="A72" i="19"/>
  <c r="A73" i="19"/>
  <c r="A74" i="19"/>
  <c r="A75" i="19"/>
  <c r="A76" i="19"/>
  <c r="A77" i="19"/>
  <c r="A78" i="19"/>
  <c r="A79" i="19"/>
  <c r="A80" i="19"/>
  <c r="A81" i="19"/>
  <c r="A82" i="19"/>
  <c r="A83" i="19"/>
  <c r="A84" i="19"/>
  <c r="A85" i="19"/>
  <c r="A86" i="19"/>
  <c r="A87" i="19"/>
  <c r="A88" i="19"/>
  <c r="A89" i="19"/>
  <c r="A90" i="19"/>
  <c r="A91" i="19"/>
  <c r="A92" i="19"/>
  <c r="A93" i="19"/>
  <c r="A94" i="19"/>
  <c r="A95" i="19"/>
  <c r="A96" i="19"/>
  <c r="A97" i="19"/>
  <c r="A98" i="19"/>
  <c r="A99" i="19"/>
  <c r="A100" i="19"/>
  <c r="A101" i="19"/>
  <c r="V35" i="19"/>
  <c r="V36" i="19"/>
  <c r="V37" i="19"/>
  <c r="V38" i="19"/>
  <c r="V39" i="19"/>
  <c r="V40" i="19"/>
  <c r="V41" i="19"/>
  <c r="V42" i="19"/>
  <c r="V43" i="19"/>
  <c r="V44" i="19"/>
  <c r="V45" i="19"/>
  <c r="V46" i="19"/>
  <c r="V47" i="19"/>
  <c r="V48" i="19"/>
  <c r="V49" i="19"/>
  <c r="V50" i="19"/>
  <c r="V51" i="19"/>
  <c r="V52" i="19"/>
  <c r="V53" i="19"/>
  <c r="V54" i="19"/>
  <c r="V55" i="19"/>
  <c r="V56" i="19"/>
  <c r="V57" i="19"/>
  <c r="V58" i="19"/>
  <c r="V59" i="19"/>
  <c r="V60" i="19"/>
  <c r="V61" i="19"/>
  <c r="V62" i="19"/>
  <c r="V63" i="19"/>
  <c r="V64" i="19"/>
  <c r="V65" i="19"/>
  <c r="V66" i="19"/>
  <c r="V67" i="19"/>
  <c r="V68" i="19"/>
  <c r="V69" i="19"/>
  <c r="V70" i="19"/>
  <c r="V71" i="19"/>
  <c r="V72" i="19"/>
  <c r="V73" i="19"/>
  <c r="V74" i="19"/>
  <c r="V75" i="19"/>
  <c r="V76" i="19"/>
  <c r="V77" i="19"/>
  <c r="V78" i="19"/>
  <c r="V79" i="19"/>
  <c r="V80" i="19"/>
  <c r="V81" i="19"/>
  <c r="V82" i="19"/>
  <c r="V83" i="19"/>
  <c r="V84" i="19"/>
  <c r="V85" i="19"/>
  <c r="V86" i="19"/>
  <c r="V87" i="19"/>
  <c r="V88" i="19"/>
  <c r="V89" i="19"/>
  <c r="V90" i="19"/>
  <c r="V91" i="19"/>
  <c r="V92" i="19"/>
  <c r="V93" i="19"/>
  <c r="V94" i="19"/>
  <c r="V95" i="19"/>
  <c r="V96" i="19"/>
  <c r="V97" i="19"/>
  <c r="V98" i="19"/>
  <c r="V99" i="19"/>
  <c r="V100" i="19"/>
  <c r="V101" i="19"/>
  <c r="W35" i="19"/>
  <c r="W36" i="19"/>
  <c r="W37" i="19"/>
  <c r="W38" i="19"/>
  <c r="W39" i="19"/>
  <c r="W40" i="19"/>
  <c r="W41" i="19"/>
  <c r="W42" i="19"/>
  <c r="W43" i="19"/>
  <c r="W44" i="19"/>
  <c r="W45" i="19"/>
  <c r="W46" i="19"/>
  <c r="W47" i="19"/>
  <c r="W48" i="19"/>
  <c r="W49" i="19"/>
  <c r="W50" i="19"/>
  <c r="W51" i="19"/>
  <c r="W52" i="19"/>
  <c r="W53" i="19"/>
  <c r="W54" i="19"/>
  <c r="W55" i="19"/>
  <c r="W56" i="19"/>
  <c r="W57" i="19"/>
  <c r="W58" i="19"/>
  <c r="W59" i="19"/>
  <c r="W60" i="19"/>
  <c r="W61" i="19"/>
  <c r="W62" i="19"/>
  <c r="W63" i="19"/>
  <c r="W64" i="19"/>
  <c r="W65" i="19"/>
  <c r="W66" i="19"/>
  <c r="W67" i="19"/>
  <c r="W68" i="19"/>
  <c r="W69" i="19"/>
  <c r="W70" i="19"/>
  <c r="W71" i="19"/>
  <c r="W72" i="19"/>
  <c r="W73" i="19"/>
  <c r="W74" i="19"/>
  <c r="W75" i="19"/>
  <c r="W76" i="19"/>
  <c r="W77" i="19"/>
  <c r="W78" i="19"/>
  <c r="W79" i="19"/>
  <c r="W80" i="19"/>
  <c r="W81" i="19"/>
  <c r="W82" i="19"/>
  <c r="W83" i="19"/>
  <c r="W84" i="19"/>
  <c r="W85" i="19"/>
  <c r="W86" i="19"/>
  <c r="W87" i="19"/>
  <c r="W88" i="19"/>
  <c r="W89" i="19"/>
  <c r="W90" i="19"/>
  <c r="W91" i="19"/>
  <c r="W92" i="19"/>
  <c r="W93" i="19"/>
  <c r="W94" i="19"/>
  <c r="W95" i="19"/>
  <c r="W96" i="19"/>
  <c r="W97" i="19"/>
  <c r="W98" i="19"/>
  <c r="W99" i="19"/>
  <c r="W100" i="19"/>
  <c r="W101" i="19"/>
  <c r="X35" i="19"/>
  <c r="X36" i="19"/>
  <c r="X37" i="19"/>
  <c r="X38" i="19"/>
  <c r="X39" i="19"/>
  <c r="X40" i="19"/>
  <c r="X41" i="19"/>
  <c r="X42" i="19"/>
  <c r="X43" i="19"/>
  <c r="X44" i="19"/>
  <c r="X45" i="19"/>
  <c r="X46" i="19"/>
  <c r="X47" i="19"/>
  <c r="X48" i="19"/>
  <c r="X49" i="19"/>
  <c r="X50" i="19"/>
  <c r="X51" i="19"/>
  <c r="X52" i="19"/>
  <c r="X53" i="19"/>
  <c r="X54" i="19"/>
  <c r="X55" i="19"/>
  <c r="X56" i="19"/>
  <c r="X57" i="19"/>
  <c r="X58" i="19"/>
  <c r="X59" i="19"/>
  <c r="X60" i="19"/>
  <c r="X61" i="19"/>
  <c r="X62" i="19"/>
  <c r="X63" i="19"/>
  <c r="X64" i="19"/>
  <c r="X65" i="19"/>
  <c r="X66" i="19"/>
  <c r="X67" i="19"/>
  <c r="X68" i="19"/>
  <c r="X69" i="19"/>
  <c r="X70" i="19"/>
  <c r="X71" i="19"/>
  <c r="X72" i="19"/>
  <c r="X73" i="19"/>
  <c r="X74" i="19"/>
  <c r="X75" i="19"/>
  <c r="X76" i="19"/>
  <c r="X77" i="19"/>
  <c r="X78" i="19"/>
  <c r="X79" i="19"/>
  <c r="X80" i="19"/>
  <c r="X81" i="19"/>
  <c r="X82" i="19"/>
  <c r="X83" i="19"/>
  <c r="X84" i="19"/>
  <c r="X85" i="19"/>
  <c r="X86" i="19"/>
  <c r="X87" i="19"/>
  <c r="X88" i="19"/>
  <c r="X89" i="19"/>
  <c r="X90" i="19"/>
  <c r="X91" i="19"/>
  <c r="X92" i="19"/>
  <c r="X93" i="19"/>
  <c r="X94" i="19"/>
  <c r="X95" i="19"/>
  <c r="X96" i="19"/>
  <c r="X97" i="19"/>
  <c r="X98" i="19"/>
  <c r="X99" i="19"/>
  <c r="X100" i="19"/>
  <c r="X101" i="19"/>
  <c r="Z103" i="1"/>
  <c r="Z17" i="1"/>
  <c r="Z73" i="1"/>
  <c r="Z293" i="1"/>
  <c r="Z177" i="1"/>
  <c r="Z75" i="1"/>
  <c r="Z18" i="1"/>
  <c r="Z78" i="1"/>
  <c r="Z101" i="1"/>
  <c r="Z284" i="1"/>
  <c r="Z414" i="1"/>
  <c r="Z432" i="1"/>
  <c r="Z39" i="1"/>
  <c r="Z44" i="1"/>
  <c r="Z335" i="1"/>
  <c r="Z336" i="1"/>
  <c r="Z219" i="1"/>
  <c r="Z19" i="1"/>
  <c r="Z258" i="1"/>
  <c r="Z85" i="1"/>
  <c r="Z175" i="1"/>
  <c r="Z300" i="1"/>
  <c r="Z311" i="1"/>
  <c r="Z77" i="1"/>
  <c r="Z301" i="1"/>
  <c r="Z71" i="1"/>
  <c r="Z278" i="1"/>
  <c r="Z176" i="1"/>
  <c r="Z312" i="1"/>
  <c r="Z259" i="1"/>
  <c r="Z35" i="1"/>
  <c r="Z37" i="1"/>
  <c r="Z282" i="1"/>
  <c r="Z384" i="1"/>
  <c r="Z385" i="1"/>
  <c r="Z413" i="1"/>
  <c r="Z418" i="1"/>
  <c r="Z433" i="1"/>
  <c r="Z287" i="1"/>
  <c r="Z290" i="1"/>
  <c r="Z299" i="1"/>
  <c r="Z305" i="1"/>
  <c r="Z298" i="1"/>
  <c r="Z288" i="1"/>
  <c r="Z296" i="1"/>
  <c r="Z279" i="1"/>
  <c r="Z280" i="1"/>
  <c r="Z289" i="1"/>
  <c r="Z281" i="1"/>
  <c r="Z297" i="1"/>
  <c r="Z283" i="1"/>
  <c r="Z419" i="1"/>
  <c r="Z41" i="1"/>
  <c r="Z9" i="1"/>
  <c r="Z38" i="1"/>
  <c r="Z291" i="1"/>
  <c r="Z285" i="1"/>
  <c r="Z42" i="1"/>
  <c r="Z72" i="1"/>
  <c r="Z306" i="1"/>
  <c r="Z307" i="1"/>
  <c r="Z89" i="1"/>
  <c r="Z7" i="1"/>
  <c r="Z310" i="1"/>
  <c r="Z334" i="1"/>
  <c r="Z308" i="1"/>
  <c r="Z382" i="1"/>
  <c r="BU103" i="1"/>
  <c r="BU17" i="1"/>
  <c r="BU73" i="1"/>
  <c r="BU293" i="1"/>
  <c r="BU177" i="1"/>
  <c r="BU75" i="1"/>
  <c r="BU18" i="1"/>
  <c r="BU78" i="1"/>
  <c r="BU101" i="1"/>
  <c r="BU284" i="1"/>
  <c r="BU414" i="1"/>
  <c r="BU432" i="1"/>
  <c r="BU39" i="1"/>
  <c r="BU44" i="1"/>
  <c r="BU335" i="1"/>
  <c r="BU336" i="1"/>
  <c r="BU219" i="1"/>
  <c r="BU19" i="1"/>
  <c r="BU258" i="1"/>
  <c r="BU85" i="1"/>
  <c r="BU175" i="1"/>
  <c r="BU300" i="1"/>
  <c r="BU311" i="1"/>
  <c r="BU77" i="1"/>
  <c r="BU301" i="1"/>
  <c r="BU71" i="1"/>
  <c r="BU278" i="1"/>
  <c r="BU176" i="1"/>
  <c r="BU312" i="1"/>
  <c r="BU259" i="1"/>
  <c r="BU35" i="1"/>
  <c r="BU37" i="1"/>
  <c r="BU282" i="1"/>
  <c r="BU384" i="1"/>
  <c r="BU385" i="1"/>
  <c r="BU413" i="1"/>
  <c r="BU418" i="1"/>
  <c r="BU433" i="1"/>
  <c r="BU287" i="1"/>
  <c r="BU290" i="1"/>
  <c r="BU299" i="1"/>
  <c r="BU305" i="1"/>
  <c r="BU298" i="1"/>
  <c r="BU288" i="1"/>
  <c r="BU296" i="1"/>
  <c r="BU279" i="1"/>
  <c r="BU280" i="1"/>
  <c r="BU289" i="1"/>
  <c r="BU281" i="1"/>
  <c r="BU297" i="1"/>
  <c r="BU283" i="1"/>
  <c r="BU419" i="1"/>
  <c r="BU41" i="1"/>
  <c r="BU9" i="1"/>
  <c r="BU38" i="1"/>
  <c r="BU291" i="1"/>
  <c r="BU285" i="1"/>
  <c r="BU42" i="1"/>
  <c r="BU72" i="1"/>
  <c r="BU306" i="1"/>
  <c r="BU307" i="1"/>
  <c r="BU89" i="1"/>
  <c r="BU7" i="1"/>
  <c r="BU310" i="1"/>
  <c r="BU334" i="1"/>
  <c r="BU308" i="1"/>
  <c r="BU382" i="1"/>
  <c r="BZ103" i="1"/>
  <c r="BZ17" i="1"/>
  <c r="BZ73" i="1"/>
  <c r="BZ293" i="1"/>
  <c r="BZ177" i="1"/>
  <c r="BZ75" i="1"/>
  <c r="BZ18" i="1"/>
  <c r="BZ78" i="1"/>
  <c r="BZ101" i="1"/>
  <c r="BZ284" i="1"/>
  <c r="BZ414" i="1"/>
  <c r="BZ432" i="1"/>
  <c r="BZ39" i="1"/>
  <c r="BZ44" i="1"/>
  <c r="BZ335" i="1"/>
  <c r="BZ336" i="1"/>
  <c r="BZ219" i="1"/>
  <c r="BZ19" i="1"/>
  <c r="BZ258" i="1"/>
  <c r="BZ85" i="1"/>
  <c r="BZ175" i="1"/>
  <c r="BZ300" i="1"/>
  <c r="BZ311" i="1"/>
  <c r="BZ77" i="1"/>
  <c r="BZ301" i="1"/>
  <c r="BZ71" i="1"/>
  <c r="BZ278" i="1"/>
  <c r="BZ176" i="1"/>
  <c r="BZ312" i="1"/>
  <c r="BZ259" i="1"/>
  <c r="BZ35" i="1"/>
  <c r="BZ37" i="1"/>
  <c r="BZ282" i="1"/>
  <c r="BZ384" i="1"/>
  <c r="BZ385" i="1"/>
  <c r="BZ413" i="1"/>
  <c r="BZ418" i="1"/>
  <c r="BZ433" i="1"/>
  <c r="BZ287" i="1"/>
  <c r="BZ290" i="1"/>
  <c r="BZ299" i="1"/>
  <c r="BZ305" i="1"/>
  <c r="BZ298" i="1"/>
  <c r="BZ288" i="1"/>
  <c r="BZ296" i="1"/>
  <c r="BZ279" i="1"/>
  <c r="BZ280" i="1"/>
  <c r="BZ289" i="1"/>
  <c r="BZ281" i="1"/>
  <c r="BZ297" i="1"/>
  <c r="BZ283" i="1"/>
  <c r="BZ419" i="1"/>
  <c r="BZ41" i="1"/>
  <c r="BZ9" i="1"/>
  <c r="BZ38" i="1"/>
  <c r="BZ291" i="1"/>
  <c r="BZ285" i="1"/>
  <c r="BZ42" i="1"/>
  <c r="BZ72" i="1"/>
  <c r="BZ306" i="1"/>
  <c r="BZ307" i="1"/>
  <c r="BZ89" i="1"/>
  <c r="BZ7" i="1"/>
  <c r="BZ310" i="1"/>
  <c r="BZ334" i="1"/>
  <c r="BZ308" i="1"/>
  <c r="BZ382" i="1"/>
  <c r="CA103" i="1"/>
  <c r="CA17" i="1"/>
  <c r="CA73" i="1"/>
  <c r="CA293" i="1"/>
  <c r="CA177" i="1"/>
  <c r="CA75" i="1"/>
  <c r="CA18" i="1"/>
  <c r="CA78" i="1"/>
  <c r="CA101" i="1"/>
  <c r="CA284" i="1"/>
  <c r="CA414" i="1"/>
  <c r="CA432" i="1"/>
  <c r="CA39" i="1"/>
  <c r="CA44" i="1"/>
  <c r="CA335" i="1"/>
  <c r="CA336" i="1"/>
  <c r="CA219" i="1"/>
  <c r="CA19" i="1"/>
  <c r="CA258" i="1"/>
  <c r="CA85" i="1"/>
  <c r="CA175" i="1"/>
  <c r="CA300" i="1"/>
  <c r="CA311" i="1"/>
  <c r="CA77" i="1"/>
  <c r="CA301" i="1"/>
  <c r="CA71" i="1"/>
  <c r="CA278" i="1"/>
  <c r="CA176" i="1"/>
  <c r="CA312" i="1"/>
  <c r="CA259" i="1"/>
  <c r="CA35" i="1"/>
  <c r="CA37" i="1"/>
  <c r="CA282" i="1"/>
  <c r="CA384" i="1"/>
  <c r="CA385" i="1"/>
  <c r="CA413" i="1"/>
  <c r="CA418" i="1"/>
  <c r="CA433" i="1"/>
  <c r="CA287" i="1"/>
  <c r="CA290" i="1"/>
  <c r="CA299" i="1"/>
  <c r="CA305" i="1"/>
  <c r="CA298" i="1"/>
  <c r="CA288" i="1"/>
  <c r="CA296" i="1"/>
  <c r="CA279" i="1"/>
  <c r="CA280" i="1"/>
  <c r="CA289" i="1"/>
  <c r="CA281" i="1"/>
  <c r="CA297" i="1"/>
  <c r="CA283" i="1"/>
  <c r="CA419" i="1"/>
  <c r="CA41" i="1"/>
  <c r="CA9" i="1"/>
  <c r="CA38" i="1"/>
  <c r="CA291" i="1"/>
  <c r="CA285" i="1"/>
  <c r="CA42" i="1"/>
  <c r="CA72" i="1"/>
  <c r="CA306" i="1"/>
  <c r="CA307" i="1"/>
  <c r="CA89" i="1"/>
  <c r="CA7" i="1"/>
  <c r="CA310" i="1"/>
  <c r="CA334" i="1"/>
  <c r="CA308" i="1"/>
  <c r="CA382" i="1"/>
  <c r="CC103" i="1"/>
  <c r="CC17" i="1"/>
  <c r="CC73" i="1"/>
  <c r="CC293" i="1"/>
  <c r="CC177" i="1"/>
  <c r="CC75" i="1"/>
  <c r="CC18" i="1"/>
  <c r="CC78" i="1"/>
  <c r="CC101" i="1"/>
  <c r="CC284" i="1"/>
  <c r="CC414" i="1"/>
  <c r="CC432" i="1"/>
  <c r="CC39" i="1"/>
  <c r="CC44" i="1"/>
  <c r="CC335" i="1"/>
  <c r="CC336" i="1"/>
  <c r="CC219" i="1"/>
  <c r="CC19" i="1"/>
  <c r="CC258" i="1"/>
  <c r="CC85" i="1"/>
  <c r="CC175" i="1"/>
  <c r="CC300" i="1"/>
  <c r="CC311" i="1"/>
  <c r="CC77" i="1"/>
  <c r="CC301" i="1"/>
  <c r="CC71" i="1"/>
  <c r="CC278" i="1"/>
  <c r="CC176" i="1"/>
  <c r="CC312" i="1"/>
  <c r="CC259" i="1"/>
  <c r="CC35" i="1"/>
  <c r="CC37" i="1"/>
  <c r="CC282" i="1"/>
  <c r="CC384" i="1"/>
  <c r="CC385" i="1"/>
  <c r="CC413" i="1"/>
  <c r="CC418" i="1"/>
  <c r="CC433" i="1"/>
  <c r="CC287" i="1"/>
  <c r="CC290" i="1"/>
  <c r="CC299" i="1"/>
  <c r="CC305" i="1"/>
  <c r="CC298" i="1"/>
  <c r="CC288" i="1"/>
  <c r="CC296" i="1"/>
  <c r="CC279" i="1"/>
  <c r="CC280" i="1"/>
  <c r="CC289" i="1"/>
  <c r="CC281" i="1"/>
  <c r="CC297" i="1"/>
  <c r="CC283" i="1"/>
  <c r="CC419" i="1"/>
  <c r="CC41" i="1"/>
  <c r="CC9" i="1"/>
  <c r="CC38" i="1"/>
  <c r="CC291" i="1"/>
  <c r="CC285" i="1"/>
  <c r="CC42" i="1"/>
  <c r="CC72" i="1"/>
  <c r="CC306" i="1"/>
  <c r="CC307" i="1"/>
  <c r="CC89" i="1"/>
  <c r="CC7" i="1"/>
  <c r="CC310" i="1"/>
  <c r="CC334" i="1"/>
  <c r="CC308" i="1"/>
  <c r="CC382" i="1"/>
  <c r="CD103" i="1"/>
  <c r="CD17" i="1"/>
  <c r="CD73" i="1"/>
  <c r="CD293" i="1"/>
  <c r="CD177" i="1"/>
  <c r="CD75" i="1"/>
  <c r="CD18" i="1"/>
  <c r="CD78" i="1"/>
  <c r="CD101" i="1"/>
  <c r="CD284" i="1"/>
  <c r="CD414" i="1"/>
  <c r="CD432" i="1"/>
  <c r="CD39" i="1"/>
  <c r="CD44" i="1"/>
  <c r="CD335" i="1"/>
  <c r="CD336" i="1"/>
  <c r="CD219" i="1"/>
  <c r="CD19" i="1"/>
  <c r="CD258" i="1"/>
  <c r="CD85" i="1"/>
  <c r="CD175" i="1"/>
  <c r="CD300" i="1"/>
  <c r="CD311" i="1"/>
  <c r="CD77" i="1"/>
  <c r="CD301" i="1"/>
  <c r="CD71" i="1"/>
  <c r="CD278" i="1"/>
  <c r="CD176" i="1"/>
  <c r="CD312" i="1"/>
  <c r="CD259" i="1"/>
  <c r="CD35" i="1"/>
  <c r="CD37" i="1"/>
  <c r="CD282" i="1"/>
  <c r="CD384" i="1"/>
  <c r="CD385" i="1"/>
  <c r="CD413" i="1"/>
  <c r="CD418" i="1"/>
  <c r="CD433" i="1"/>
  <c r="CD287" i="1"/>
  <c r="CD290" i="1"/>
  <c r="CD299" i="1"/>
  <c r="CD305" i="1"/>
  <c r="CD298" i="1"/>
  <c r="CD288" i="1"/>
  <c r="CD296" i="1"/>
  <c r="CD279" i="1"/>
  <c r="CD280" i="1"/>
  <c r="CD289" i="1"/>
  <c r="CD281" i="1"/>
  <c r="CD297" i="1"/>
  <c r="CD283" i="1"/>
  <c r="CD419" i="1"/>
  <c r="CD41" i="1"/>
  <c r="CD9" i="1"/>
  <c r="CD38" i="1"/>
  <c r="CD291" i="1"/>
  <c r="CD285" i="1"/>
  <c r="CD42" i="1"/>
  <c r="CD72" i="1"/>
  <c r="CD306" i="1"/>
  <c r="CD307" i="1"/>
  <c r="CD89" i="1"/>
  <c r="CD7" i="1"/>
  <c r="CD310" i="1"/>
  <c r="CD334" i="1"/>
  <c r="CD308" i="1"/>
  <c r="CD382" i="1"/>
  <c r="A32" i="19"/>
  <c r="A33" i="19"/>
  <c r="V32" i="19"/>
  <c r="V33" i="19"/>
  <c r="W32" i="19"/>
  <c r="W33" i="19"/>
  <c r="X32" i="19"/>
  <c r="X33" i="19"/>
  <c r="Z107" i="1"/>
  <c r="Z365" i="1"/>
  <c r="Z172" i="1"/>
  <c r="Z173" i="1"/>
  <c r="Z443" i="1"/>
  <c r="Z444" i="1"/>
  <c r="Z445" i="1"/>
  <c r="Z124" i="1"/>
  <c r="Z378" i="1"/>
  <c r="Z379" i="1"/>
  <c r="Z446" i="1"/>
  <c r="Z255" i="1"/>
  <c r="Z380" i="1"/>
  <c r="Z99" i="1"/>
  <c r="Z68" i="1"/>
  <c r="Z326" i="1"/>
  <c r="Z2" i="1"/>
  <c r="Z3" i="1"/>
  <c r="Z214" i="1"/>
  <c r="Z26" i="1"/>
  <c r="Z27" i="1"/>
  <c r="Z447" i="1"/>
  <c r="Z4" i="1"/>
  <c r="Z5" i="1"/>
  <c r="Z215" i="1"/>
  <c r="Z125" i="1"/>
  <c r="Z216" i="1"/>
  <c r="Z217" i="1"/>
  <c r="Z6" i="1"/>
  <c r="Z256" i="1"/>
  <c r="Z16" i="1"/>
  <c r="Z174" i="1"/>
  <c r="BU107" i="1"/>
  <c r="BU365" i="1"/>
  <c r="BU172" i="1"/>
  <c r="BU173" i="1"/>
  <c r="BU443" i="1"/>
  <c r="BU444" i="1"/>
  <c r="BU445" i="1"/>
  <c r="BU124" i="1"/>
  <c r="BU378" i="1"/>
  <c r="BU379" i="1"/>
  <c r="BU446" i="1"/>
  <c r="BU255" i="1"/>
  <c r="BU380" i="1"/>
  <c r="BU99" i="1"/>
  <c r="BU68" i="1"/>
  <c r="BU326" i="1"/>
  <c r="BU2" i="1"/>
  <c r="BU3" i="1"/>
  <c r="BU214" i="1"/>
  <c r="BU26" i="1"/>
  <c r="BU27" i="1"/>
  <c r="BU447" i="1"/>
  <c r="BU4" i="1"/>
  <c r="BU5" i="1"/>
  <c r="BU215" i="1"/>
  <c r="BU125" i="1"/>
  <c r="BU216" i="1"/>
  <c r="BU217" i="1"/>
  <c r="BU6" i="1"/>
  <c r="BU256" i="1"/>
  <c r="BU16" i="1"/>
  <c r="BU174" i="1"/>
  <c r="BZ107" i="1"/>
  <c r="BZ365" i="1"/>
  <c r="BZ172" i="1"/>
  <c r="BZ173" i="1"/>
  <c r="BZ443" i="1"/>
  <c r="BZ444" i="1"/>
  <c r="BZ445" i="1"/>
  <c r="BZ124" i="1"/>
  <c r="BZ378" i="1"/>
  <c r="BZ379" i="1"/>
  <c r="BZ446" i="1"/>
  <c r="BZ255" i="1"/>
  <c r="BZ380" i="1"/>
  <c r="BZ99" i="1"/>
  <c r="BZ68" i="1"/>
  <c r="BZ326" i="1"/>
  <c r="BZ2" i="1"/>
  <c r="BZ3" i="1"/>
  <c r="BZ214" i="1"/>
  <c r="BZ26" i="1"/>
  <c r="BZ27" i="1"/>
  <c r="BZ447" i="1"/>
  <c r="BZ4" i="1"/>
  <c r="BZ5" i="1"/>
  <c r="BZ215" i="1"/>
  <c r="BZ125" i="1"/>
  <c r="BZ216" i="1"/>
  <c r="BZ217" i="1"/>
  <c r="BZ6" i="1"/>
  <c r="BZ256" i="1"/>
  <c r="BZ16" i="1"/>
  <c r="BZ174" i="1"/>
  <c r="CA107" i="1"/>
  <c r="CA365" i="1"/>
  <c r="CA172" i="1"/>
  <c r="CA173" i="1"/>
  <c r="CA443" i="1"/>
  <c r="CA444" i="1"/>
  <c r="CA445" i="1"/>
  <c r="CA124" i="1"/>
  <c r="CA378" i="1"/>
  <c r="CA379" i="1"/>
  <c r="CA446" i="1"/>
  <c r="CA255" i="1"/>
  <c r="CA380" i="1"/>
  <c r="CA99" i="1"/>
  <c r="CA68" i="1"/>
  <c r="CA326" i="1"/>
  <c r="CA2" i="1"/>
  <c r="CA3" i="1"/>
  <c r="CA214" i="1"/>
  <c r="CA26" i="1"/>
  <c r="CA27" i="1"/>
  <c r="CA447" i="1"/>
  <c r="CA4" i="1"/>
  <c r="CA5" i="1"/>
  <c r="CA215" i="1"/>
  <c r="CA125" i="1"/>
  <c r="CA216" i="1"/>
  <c r="CA217" i="1"/>
  <c r="CA6" i="1"/>
  <c r="CA256" i="1"/>
  <c r="CA16" i="1"/>
  <c r="CA174" i="1"/>
  <c r="CC107" i="1"/>
  <c r="CC365" i="1"/>
  <c r="CC172" i="1"/>
  <c r="CC173" i="1"/>
  <c r="CC443" i="1"/>
  <c r="CC444" i="1"/>
  <c r="CC445" i="1"/>
  <c r="CC124" i="1"/>
  <c r="CC378" i="1"/>
  <c r="CC379" i="1"/>
  <c r="CC446" i="1"/>
  <c r="CC255" i="1"/>
  <c r="CC380" i="1"/>
  <c r="CC99" i="1"/>
  <c r="CC68" i="1"/>
  <c r="CC326" i="1"/>
  <c r="CC2" i="1"/>
  <c r="CC3" i="1"/>
  <c r="CC214" i="1"/>
  <c r="CC26" i="1"/>
  <c r="CC27" i="1"/>
  <c r="CC447" i="1"/>
  <c r="CC4" i="1"/>
  <c r="CC5" i="1"/>
  <c r="CC215" i="1"/>
  <c r="CC125" i="1"/>
  <c r="CC216" i="1"/>
  <c r="CC217" i="1"/>
  <c r="CC6" i="1"/>
  <c r="CC256" i="1"/>
  <c r="CC16" i="1"/>
  <c r="CC174" i="1"/>
  <c r="CD107" i="1"/>
  <c r="CD365" i="1"/>
  <c r="CD172" i="1"/>
  <c r="CD173" i="1"/>
  <c r="CD443" i="1"/>
  <c r="CD444" i="1"/>
  <c r="CD445" i="1"/>
  <c r="CD124" i="1"/>
  <c r="CD378" i="1"/>
  <c r="CD379" i="1"/>
  <c r="CD446" i="1"/>
  <c r="CD255" i="1"/>
  <c r="CD380" i="1"/>
  <c r="CD99" i="1"/>
  <c r="CD68" i="1"/>
  <c r="CD326" i="1"/>
  <c r="CD2" i="1"/>
  <c r="CD3" i="1"/>
  <c r="CD214" i="1"/>
  <c r="CD26" i="1"/>
  <c r="CD27" i="1"/>
  <c r="CD447" i="1"/>
  <c r="CD4" i="1"/>
  <c r="CD5" i="1"/>
  <c r="CD215" i="1"/>
  <c r="CD125" i="1"/>
  <c r="CD216" i="1"/>
  <c r="CD217" i="1"/>
  <c r="CD6" i="1"/>
  <c r="CD256" i="1"/>
  <c r="CD16" i="1"/>
  <c r="CD174" i="1"/>
  <c r="C10" i="20" a="1"/>
  <c r="P7" i="28"/>
  <c r="C10" i="20" l="1"/>
  <c r="Y10" i="28" a="1"/>
  <c r="Y10" i="28" s="1"/>
  <c r="X10" i="28" a="1"/>
  <c r="X10" i="28" s="1"/>
  <c r="V10" i="28" a="1"/>
  <c r="V10" i="28" s="1"/>
  <c r="Q7" i="28"/>
  <c r="R7" i="28" s="1"/>
  <c r="C5" i="28"/>
  <c r="P4" i="28" a="1"/>
  <c r="P4" i="28" s="1"/>
  <c r="C10" i="28" s="1" a="1"/>
  <c r="C10" i="28" s="1"/>
  <c r="F3" i="28"/>
  <c r="W10" i="28" l="1" a="1"/>
  <c r="W10" i="28" s="1"/>
  <c r="Q19" i="28" s="1" a="1"/>
  <c r="Q19" i="28" s="1"/>
  <c r="Q13" i="28" l="1" a="1"/>
  <c r="Q13" i="28" s="1"/>
  <c r="Q17" i="28" a="1"/>
  <c r="Q17" i="28" s="1"/>
  <c r="Q10" i="28" a="1"/>
  <c r="Q10" i="28" s="1"/>
  <c r="Q14" i="28" a="1"/>
  <c r="Q14" i="28" s="1"/>
  <c r="Q18" i="28" a="1"/>
  <c r="Q18" i="28" s="1"/>
  <c r="Q12" i="28" a="1"/>
  <c r="Q12" i="28" s="1"/>
  <c r="Q11" i="28" a="1"/>
  <c r="Q11" i="28" s="1"/>
  <c r="Q16" i="28" a="1"/>
  <c r="Q16" i="28" s="1"/>
  <c r="Q15" i="28" a="1"/>
  <c r="Q15" i="28" s="1"/>
  <c r="P2" i="28" l="1" a="1"/>
  <c r="P2" i="28" s="1"/>
  <c r="AB7" i="22" l="1"/>
  <c r="AC7" i="22" s="1"/>
  <c r="Z254" i="1"/>
  <c r="BU254" i="1"/>
  <c r="BZ254" i="1"/>
  <c r="CA254" i="1"/>
  <c r="CC254" i="1"/>
  <c r="CD254" i="1"/>
  <c r="Z377" i="1" l="1"/>
  <c r="BU377" i="1"/>
  <c r="BZ377" i="1"/>
  <c r="CA377" i="1"/>
  <c r="CC377" i="1"/>
  <c r="CD377" i="1"/>
  <c r="Z376" i="1"/>
  <c r="BU376" i="1"/>
  <c r="BZ376" i="1"/>
  <c r="CA376" i="1"/>
  <c r="CC376" i="1"/>
  <c r="CD376" i="1"/>
  <c r="Z25" i="1"/>
  <c r="BU25" i="1"/>
  <c r="BZ25" i="1"/>
  <c r="CA25" i="1"/>
  <c r="CC25" i="1"/>
  <c r="CD25" i="1"/>
  <c r="Z24" i="1"/>
  <c r="BU24" i="1"/>
  <c r="BZ24" i="1"/>
  <c r="CA24" i="1"/>
  <c r="CC24" i="1"/>
  <c r="CD24" i="1"/>
  <c r="A31" i="19"/>
  <c r="V31" i="19"/>
  <c r="W31" i="19"/>
  <c r="X31" i="19"/>
  <c r="Z23" i="1"/>
  <c r="BU23" i="1"/>
  <c r="BZ23" i="1"/>
  <c r="CA23" i="1"/>
  <c r="CC23" i="1"/>
  <c r="CD23" i="1"/>
  <c r="Z98" i="1"/>
  <c r="BU98" i="1"/>
  <c r="BZ98" i="1"/>
  <c r="CA98" i="1"/>
  <c r="CC98" i="1"/>
  <c r="CD98" i="1"/>
  <c r="X2" i="19"/>
  <c r="X3" i="19"/>
  <c r="X4" i="19"/>
  <c r="X5" i="19"/>
  <c r="X6" i="19"/>
  <c r="X7" i="19"/>
  <c r="X8" i="19"/>
  <c r="X9" i="19"/>
  <c r="X10" i="19"/>
  <c r="X11" i="19"/>
  <c r="X12" i="19"/>
  <c r="X13" i="19"/>
  <c r="X14" i="19"/>
  <c r="X15" i="19"/>
  <c r="X16" i="19"/>
  <c r="X17" i="19"/>
  <c r="X18" i="19"/>
  <c r="X19" i="19"/>
  <c r="X20" i="19"/>
  <c r="X21" i="19"/>
  <c r="X22" i="19"/>
  <c r="X23" i="19"/>
  <c r="X24" i="19"/>
  <c r="X25" i="19"/>
  <c r="X26" i="19"/>
  <c r="X27" i="19"/>
  <c r="X28" i="19"/>
  <c r="X29" i="19"/>
  <c r="X30" i="19"/>
  <c r="X34" i="19"/>
  <c r="Z105" i="1"/>
  <c r="Z106" i="1"/>
  <c r="Z179" i="1"/>
  <c r="Z220" i="1"/>
  <c r="Z345" i="1"/>
  <c r="Z157" i="1"/>
  <c r="Z346" i="1"/>
  <c r="Z347" i="1"/>
  <c r="Z348" i="1"/>
  <c r="Z221" i="1"/>
  <c r="Z349" i="1"/>
  <c r="Z222" i="1"/>
  <c r="Z180" i="1"/>
  <c r="Z158" i="1"/>
  <c r="Z223" i="1"/>
  <c r="Z237" i="1"/>
  <c r="Z238" i="1"/>
  <c r="Z263" i="1"/>
  <c r="Z264" i="1"/>
  <c r="Z265" i="1"/>
  <c r="Z239" i="1"/>
  <c r="Z266" i="1"/>
  <c r="Z267" i="1"/>
  <c r="Z434" i="1"/>
  <c r="Z435" i="1"/>
  <c r="Z181" i="1"/>
  <c r="Z350" i="1"/>
  <c r="Z351" i="1"/>
  <c r="Z224" i="1"/>
  <c r="Z159" i="1"/>
  <c r="Z436" i="1"/>
  <c r="Z182" i="1"/>
  <c r="Z240" i="1"/>
  <c r="Z352" i="1"/>
  <c r="Z225" i="1"/>
  <c r="Z29" i="1"/>
  <c r="Z420" i="1"/>
  <c r="Z50" i="1"/>
  <c r="Z110" i="1"/>
  <c r="Z152" i="1"/>
  <c r="Z449" i="1"/>
  <c r="Z450" i="1"/>
  <c r="Z353" i="1"/>
  <c r="Z226" i="1"/>
  <c r="Z354" i="1"/>
  <c r="Z30" i="1"/>
  <c r="Z111" i="1"/>
  <c r="Z153" i="1"/>
  <c r="Z421" i="1"/>
  <c r="Z154" i="1"/>
  <c r="Z451" i="1"/>
  <c r="Z452" i="1"/>
  <c r="Z155" i="1"/>
  <c r="Z129" i="1"/>
  <c r="Z148" i="1"/>
  <c r="Z130" i="1"/>
  <c r="Z31" i="1"/>
  <c r="Z112" i="1"/>
  <c r="Z422" i="1"/>
  <c r="Z131" i="1"/>
  <c r="Z149" i="1"/>
  <c r="Z51" i="1"/>
  <c r="Z423" i="1"/>
  <c r="Z150" i="1"/>
  <c r="Z241" i="1"/>
  <c r="Z52" i="1"/>
  <c r="Z268" i="1"/>
  <c r="Z269" i="1"/>
  <c r="Z453" i="1"/>
  <c r="Z355" i="1"/>
  <c r="Z227" i="1"/>
  <c r="Z454" i="1"/>
  <c r="Z228" i="1"/>
  <c r="Z53" i="1"/>
  <c r="Z229" i="1"/>
  <c r="Z54" i="1"/>
  <c r="Z270" i="1"/>
  <c r="Z455" i="1"/>
  <c r="Z183" i="1"/>
  <c r="Z55" i="1"/>
  <c r="Z184" i="1"/>
  <c r="Z56" i="1"/>
  <c r="Z185" i="1"/>
  <c r="Z456" i="1"/>
  <c r="Z160" i="1"/>
  <c r="Z156" i="1"/>
  <c r="Z32" i="1"/>
  <c r="Z186" i="1"/>
  <c r="Z57" i="1"/>
  <c r="Z424" i="1"/>
  <c r="Z242" i="1"/>
  <c r="Z161" i="1"/>
  <c r="Z437" i="1"/>
  <c r="Z386" i="1"/>
  <c r="Z387" i="1"/>
  <c r="Z388" i="1"/>
  <c r="Z133" i="1"/>
  <c r="Z134" i="1"/>
  <c r="Z135" i="1"/>
  <c r="Z132" i="1"/>
  <c r="Z151" i="1"/>
  <c r="Z187" i="1"/>
  <c r="Z271" i="1"/>
  <c r="Z188" i="1"/>
  <c r="Z189" i="1"/>
  <c r="Z272" i="1"/>
  <c r="Z389" i="1"/>
  <c r="Z438" i="1"/>
  <c r="Z136" i="1"/>
  <c r="Z162" i="1"/>
  <c r="Z33" i="1"/>
  <c r="Z34" i="1"/>
  <c r="Z313" i="1"/>
  <c r="Z314" i="1"/>
  <c r="Z190" i="1"/>
  <c r="Z243" i="1"/>
  <c r="Z58" i="1"/>
  <c r="Z137" i="1"/>
  <c r="Z191" i="1"/>
  <c r="Z273" i="1"/>
  <c r="Z356" i="1"/>
  <c r="Z357" i="1"/>
  <c r="Z457" i="1"/>
  <c r="Z358" i="1"/>
  <c r="Z138" i="1"/>
  <c r="Z315" i="1"/>
  <c r="Z316" i="1"/>
  <c r="Z59" i="1"/>
  <c r="Z425" i="1"/>
  <c r="Z359" i="1"/>
  <c r="Z230" i="1"/>
  <c r="Z458" i="1"/>
  <c r="Z426" i="1"/>
  <c r="Z390" i="1"/>
  <c r="Z427" i="1"/>
  <c r="Z274" i="1"/>
  <c r="Z60" i="1"/>
  <c r="Z428" i="1"/>
  <c r="Z429" i="1"/>
  <c r="Z430" i="1"/>
  <c r="Z192" i="1"/>
  <c r="Z193" i="1"/>
  <c r="Z391" i="1"/>
  <c r="Z139" i="1"/>
  <c r="Z61" i="1"/>
  <c r="Z113" i="1"/>
  <c r="Z194" i="1"/>
  <c r="Z195" i="1"/>
  <c r="Z114" i="1"/>
  <c r="Z115" i="1"/>
  <c r="Z431" i="1"/>
  <c r="Z392" i="1"/>
  <c r="Z393" i="1"/>
  <c r="Z439" i="1"/>
  <c r="Z317" i="1"/>
  <c r="Z116" i="1"/>
  <c r="Z459" i="1"/>
  <c r="Z275" i="1"/>
  <c r="Z360" i="1"/>
  <c r="Z361" i="1"/>
  <c r="Z231" i="1"/>
  <c r="Z117" i="1"/>
  <c r="Z276" i="1"/>
  <c r="Z118" i="1"/>
  <c r="Z196" i="1"/>
  <c r="Z197" i="1"/>
  <c r="Z440" i="1"/>
  <c r="Z62" i="1"/>
  <c r="Z198" i="1"/>
  <c r="Z199" i="1"/>
  <c r="Z441" i="1"/>
  <c r="Z244" i="1"/>
  <c r="Z245" i="1"/>
  <c r="Z362" i="1"/>
  <c r="Z366" i="1"/>
  <c r="Z367" i="1"/>
  <c r="Z246" i="1"/>
  <c r="Z163" i="1"/>
  <c r="Z119" i="1"/>
  <c r="Z63" i="1"/>
  <c r="Z164" i="1"/>
  <c r="Z318" i="1"/>
  <c r="Z363" i="1"/>
  <c r="Z232" i="1"/>
  <c r="Z140" i="1"/>
  <c r="Z364" i="1"/>
  <c r="Z64" i="1"/>
  <c r="Z65" i="1"/>
  <c r="Z233" i="1"/>
  <c r="Z319" i="1"/>
  <c r="Z234" i="1"/>
  <c r="Z165" i="1"/>
  <c r="Z90" i="1"/>
  <c r="Z91" i="1"/>
  <c r="Z235" i="1"/>
  <c r="Z141" i="1"/>
  <c r="Z200" i="1"/>
  <c r="Z201" i="1"/>
  <c r="Z202" i="1"/>
  <c r="Z120" i="1"/>
  <c r="Z92" i="1"/>
  <c r="Z166" i="1"/>
  <c r="Z167" i="1"/>
  <c r="Z93" i="1"/>
  <c r="Z121" i="1"/>
  <c r="Z142" i="1"/>
  <c r="Z203" i="1"/>
  <c r="Z204" i="1"/>
  <c r="Z66" i="1"/>
  <c r="Z168" i="1"/>
  <c r="Z94" i="1"/>
  <c r="Z143" i="1"/>
  <c r="Z442" i="1"/>
  <c r="Z320" i="1"/>
  <c r="Z368" i="1"/>
  <c r="Z247" i="1"/>
  <c r="Z248" i="1"/>
  <c r="Z122" i="1"/>
  <c r="Z205" i="1"/>
  <c r="Z169" i="1"/>
  <c r="Z95" i="1"/>
  <c r="Z321" i="1"/>
  <c r="Z206" i="1"/>
  <c r="Z322" i="1"/>
  <c r="Z207" i="1"/>
  <c r="Z208" i="1"/>
  <c r="Z209" i="1"/>
  <c r="Z144" i="1"/>
  <c r="Z145" i="1"/>
  <c r="Z146" i="1"/>
  <c r="Z323" i="1"/>
  <c r="Z123" i="1"/>
  <c r="Z96" i="1"/>
  <c r="Z236" i="1"/>
  <c r="Z147" i="1"/>
  <c r="Z460" i="1"/>
  <c r="Z277" i="1"/>
  <c r="Z324" i="1"/>
  <c r="Z325" i="1"/>
  <c r="Z67" i="1"/>
  <c r="Z97" i="1"/>
  <c r="Z369" i="1"/>
  <c r="Z249" i="1"/>
  <c r="Z415" i="1"/>
  <c r="Z170" i="1"/>
  <c r="Z126" i="1"/>
  <c r="Z328" i="1"/>
  <c r="Z10" i="1"/>
  <c r="Z370" i="1"/>
  <c r="Z11" i="1"/>
  <c r="Z12" i="1"/>
  <c r="Z371" i="1"/>
  <c r="Z86" i="1"/>
  <c r="Z87" i="1"/>
  <c r="Z88" i="1"/>
  <c r="Z13" i="1"/>
  <c r="Z372" i="1"/>
  <c r="Z373" i="1"/>
  <c r="Z374" i="1"/>
  <c r="Z375" i="1"/>
  <c r="Z14" i="1"/>
  <c r="Z250" i="1"/>
  <c r="Z251" i="1"/>
  <c r="Z252" i="1"/>
  <c r="Z253" i="1"/>
  <c r="Z416" i="1"/>
  <c r="Z329" i="1"/>
  <c r="Z171" i="1"/>
  <c r="Z127" i="1"/>
  <c r="Z128" i="1"/>
  <c r="Z210" i="1"/>
  <c r="Z211" i="1"/>
  <c r="Z212" i="1"/>
  <c r="Z213" i="1"/>
  <c r="Z15" i="1"/>
  <c r="BU15" i="1"/>
  <c r="BZ15" i="1"/>
  <c r="CA15" i="1"/>
  <c r="CC15" i="1"/>
  <c r="CD15" i="1"/>
  <c r="W2" i="19"/>
  <c r="W3" i="19"/>
  <c r="W4" i="19"/>
  <c r="W5" i="19"/>
  <c r="W6" i="19"/>
  <c r="W7" i="19"/>
  <c r="W8" i="19"/>
  <c r="W9" i="19"/>
  <c r="W10" i="19"/>
  <c r="W11" i="19"/>
  <c r="W12" i="19"/>
  <c r="W13" i="19"/>
  <c r="W14" i="19"/>
  <c r="W15" i="19"/>
  <c r="W16" i="19"/>
  <c r="W17" i="19"/>
  <c r="W18" i="19"/>
  <c r="W19" i="19"/>
  <c r="W20" i="19"/>
  <c r="W21" i="19"/>
  <c r="W22" i="19"/>
  <c r="W23" i="19"/>
  <c r="W24" i="19"/>
  <c r="W25" i="19"/>
  <c r="W26" i="19"/>
  <c r="W27" i="19"/>
  <c r="W28" i="19"/>
  <c r="W29" i="19"/>
  <c r="W30" i="19"/>
  <c r="W34" i="19"/>
  <c r="V2" i="19"/>
  <c r="V3" i="19"/>
  <c r="V4" i="19"/>
  <c r="V5" i="19"/>
  <c r="V6" i="19"/>
  <c r="V7" i="19"/>
  <c r="V8" i="19"/>
  <c r="V9" i="19"/>
  <c r="V10" i="19"/>
  <c r="V11" i="19"/>
  <c r="V12" i="19"/>
  <c r="V13" i="19"/>
  <c r="V14" i="19"/>
  <c r="V15" i="19"/>
  <c r="V16" i="19"/>
  <c r="V17" i="19"/>
  <c r="V18" i="19"/>
  <c r="V19" i="19"/>
  <c r="V20" i="19"/>
  <c r="V21" i="19"/>
  <c r="V22" i="19"/>
  <c r="V23" i="19"/>
  <c r="V24" i="19"/>
  <c r="V25" i="19"/>
  <c r="V26" i="19"/>
  <c r="V27" i="19"/>
  <c r="V28" i="19"/>
  <c r="V29" i="19"/>
  <c r="V30" i="19"/>
  <c r="V34" i="19"/>
  <c r="BU213" i="1"/>
  <c r="BZ213" i="1"/>
  <c r="CA213" i="1"/>
  <c r="CC213" i="1"/>
  <c r="CD213" i="1"/>
  <c r="F42" i="15"/>
  <c r="U51" i="15" s="1"/>
  <c r="G42" i="15"/>
  <c r="V51" i="15" s="1"/>
  <c r="C11" i="28" l="1" a="1"/>
  <c r="C11" i="28" s="1"/>
  <c r="C7" i="28" s="1"/>
  <c r="Q7" i="26"/>
  <c r="R7" i="26" s="1"/>
  <c r="P4" i="26" l="1" a="1"/>
  <c r="P4" i="26" s="1"/>
  <c r="C10" i="26" s="1" a="1"/>
  <c r="C10" i="26" s="1"/>
  <c r="V10" i="26" a="1"/>
  <c r="V10" i="26" s="1"/>
  <c r="W10" i="26" s="1" a="1"/>
  <c r="W10" i="26" s="1"/>
  <c r="Q14" i="26" s="1" a="1"/>
  <c r="Q14" i="26" s="1"/>
  <c r="C5" i="26"/>
  <c r="F3" i="26"/>
  <c r="Q17" i="26" l="1" a="1"/>
  <c r="Q17" i="26" s="1"/>
  <c r="Q15" i="26" a="1"/>
  <c r="Q15" i="26" s="1"/>
  <c r="Q19" i="26" a="1"/>
  <c r="Q19" i="26" s="1"/>
  <c r="Q11" i="26" a="1"/>
  <c r="Q11" i="26" s="1"/>
  <c r="Q18" i="26" a="1"/>
  <c r="Q18" i="26" s="1"/>
  <c r="Q16" i="26" a="1"/>
  <c r="Q16" i="26" s="1"/>
  <c r="Q13" i="26" a="1"/>
  <c r="Q13" i="26" s="1"/>
  <c r="Q10" i="26" a="1"/>
  <c r="Q10" i="26" s="1"/>
  <c r="Q12" i="26" a="1"/>
  <c r="Q12" i="26" s="1"/>
  <c r="P2" i="26" l="1" a="1"/>
  <c r="P2" i="26" s="1"/>
  <c r="BU13" i="1" l="1"/>
  <c r="BU372" i="1"/>
  <c r="BU373" i="1"/>
  <c r="BU374" i="1"/>
  <c r="BU375" i="1"/>
  <c r="BU14" i="1"/>
  <c r="BU250" i="1"/>
  <c r="BU251" i="1"/>
  <c r="BU252" i="1"/>
  <c r="BU253" i="1"/>
  <c r="BU416" i="1"/>
  <c r="BU329" i="1"/>
  <c r="BU171" i="1"/>
  <c r="BU127" i="1"/>
  <c r="BU128" i="1"/>
  <c r="BU210" i="1"/>
  <c r="BU211" i="1"/>
  <c r="BU212" i="1"/>
  <c r="BZ13" i="1"/>
  <c r="BZ372" i="1"/>
  <c r="BZ373" i="1"/>
  <c r="BZ374" i="1"/>
  <c r="BZ375" i="1"/>
  <c r="BZ14" i="1"/>
  <c r="BZ250" i="1"/>
  <c r="BZ251" i="1"/>
  <c r="BZ252" i="1"/>
  <c r="BZ253" i="1"/>
  <c r="BZ416" i="1"/>
  <c r="BZ329" i="1"/>
  <c r="BZ171" i="1"/>
  <c r="BZ127" i="1"/>
  <c r="BZ128" i="1"/>
  <c r="BZ210" i="1"/>
  <c r="BZ211" i="1"/>
  <c r="BZ212" i="1"/>
  <c r="CA13" i="1"/>
  <c r="CA372" i="1"/>
  <c r="CA373" i="1"/>
  <c r="CA374" i="1"/>
  <c r="CA375" i="1"/>
  <c r="CA14" i="1"/>
  <c r="CA250" i="1"/>
  <c r="CA251" i="1"/>
  <c r="CA252" i="1"/>
  <c r="CA253" i="1"/>
  <c r="CA416" i="1"/>
  <c r="CA329" i="1"/>
  <c r="CA171" i="1"/>
  <c r="CA127" i="1"/>
  <c r="CA128" i="1"/>
  <c r="CA210" i="1"/>
  <c r="CA211" i="1"/>
  <c r="CA212" i="1"/>
  <c r="CC13" i="1"/>
  <c r="CC372" i="1"/>
  <c r="CC373" i="1"/>
  <c r="CC374" i="1"/>
  <c r="CC375" i="1"/>
  <c r="CC14" i="1"/>
  <c r="CC250" i="1"/>
  <c r="CC251" i="1"/>
  <c r="CC252" i="1"/>
  <c r="CC253" i="1"/>
  <c r="CC416" i="1"/>
  <c r="CC329" i="1"/>
  <c r="CC171" i="1"/>
  <c r="CC127" i="1"/>
  <c r="CC128" i="1"/>
  <c r="CC210" i="1"/>
  <c r="CC211" i="1"/>
  <c r="CC212" i="1"/>
  <c r="CD13" i="1"/>
  <c r="CD372" i="1"/>
  <c r="CD373" i="1"/>
  <c r="CD374" i="1"/>
  <c r="CD375" i="1"/>
  <c r="CD14" i="1"/>
  <c r="CD250" i="1"/>
  <c r="CD251" i="1"/>
  <c r="CD252" i="1"/>
  <c r="CD253" i="1"/>
  <c r="CD416" i="1"/>
  <c r="CD329" i="1"/>
  <c r="CD171" i="1"/>
  <c r="CD127" i="1"/>
  <c r="CD128" i="1"/>
  <c r="CD210" i="1"/>
  <c r="CD211" i="1"/>
  <c r="CD212" i="1"/>
  <c r="E42" i="15" l="1"/>
  <c r="T51" i="15" s="1"/>
  <c r="D42" i="15"/>
  <c r="C42" i="15"/>
  <c r="R51" i="15" s="1"/>
  <c r="B42" i="15"/>
  <c r="Q51" i="15" s="1"/>
  <c r="H6" i="22"/>
  <c r="H2" i="3" a="1"/>
  <c r="H2" i="3" s="1"/>
  <c r="Q1" i="22" s="1" a="1"/>
  <c r="Q1" i="22" s="1"/>
  <c r="I6" i="22"/>
  <c r="K6" i="22"/>
  <c r="I4" i="22"/>
  <c r="AE69" i="23"/>
  <c r="AE68" i="23"/>
  <c r="AE67" i="23"/>
  <c r="AE66" i="23"/>
  <c r="AE65" i="23"/>
  <c r="AE64" i="23"/>
  <c r="AE63" i="23"/>
  <c r="AE62" i="23"/>
  <c r="AE61" i="23"/>
  <c r="AE60" i="23"/>
  <c r="AE59" i="23"/>
  <c r="AE58" i="23"/>
  <c r="AE57" i="23"/>
  <c r="AE56" i="23"/>
  <c r="AE55" i="23"/>
  <c r="AE54" i="23"/>
  <c r="AE53" i="23"/>
  <c r="AE52" i="23"/>
  <c r="AE51" i="23"/>
  <c r="AE50" i="23"/>
  <c r="AE49" i="23"/>
  <c r="AE48" i="23"/>
  <c r="AE47" i="23"/>
  <c r="AE46" i="23"/>
  <c r="AE45" i="23"/>
  <c r="AE44" i="23"/>
  <c r="AE43" i="23"/>
  <c r="AE42" i="23"/>
  <c r="AE41" i="23"/>
  <c r="AE40" i="23"/>
  <c r="AE39" i="23"/>
  <c r="AE38" i="23"/>
  <c r="AE37" i="23"/>
  <c r="AE36" i="23"/>
  <c r="AE35" i="23"/>
  <c r="AE34" i="23"/>
  <c r="AE33" i="23"/>
  <c r="AE32" i="23"/>
  <c r="AE31" i="23"/>
  <c r="AE30" i="23"/>
  <c r="AE29" i="23"/>
  <c r="AE28" i="23"/>
  <c r="AE27" i="23"/>
  <c r="AE26" i="23"/>
  <c r="AE25" i="23"/>
  <c r="AE24" i="23"/>
  <c r="AE23" i="23"/>
  <c r="AE22" i="23"/>
  <c r="AE21" i="23"/>
  <c r="AE20" i="23"/>
  <c r="AE19" i="23"/>
  <c r="AE18" i="23"/>
  <c r="AE17" i="23"/>
  <c r="AE16" i="23"/>
  <c r="AE15" i="23"/>
  <c r="AE14" i="23"/>
  <c r="AE13" i="23"/>
  <c r="AE12" i="23"/>
  <c r="AE11" i="23"/>
  <c r="AE10" i="23"/>
  <c r="AE9" i="23"/>
  <c r="AE8" i="23"/>
  <c r="AE7" i="23"/>
  <c r="AE6" i="23"/>
  <c r="AE5" i="23"/>
  <c r="AE4" i="23"/>
  <c r="AE3" i="23"/>
  <c r="AE2" i="23"/>
  <c r="J6" i="22"/>
  <c r="BU88" i="1" l="1"/>
  <c r="BZ88" i="1"/>
  <c r="CA88" i="1"/>
  <c r="CC88" i="1"/>
  <c r="CD88" i="1"/>
  <c r="BU87" i="1"/>
  <c r="BZ87" i="1"/>
  <c r="CA87" i="1"/>
  <c r="CC87" i="1"/>
  <c r="CD87" i="1"/>
  <c r="A34" i="19"/>
  <c r="BU86" i="1"/>
  <c r="BZ86" i="1"/>
  <c r="CA86" i="1"/>
  <c r="CC86" i="1"/>
  <c r="CD86" i="1"/>
  <c r="BU371" i="1"/>
  <c r="BZ371" i="1"/>
  <c r="CA371" i="1"/>
  <c r="CC371" i="1"/>
  <c r="CD371" i="1"/>
  <c r="BU12" i="1"/>
  <c r="BZ12" i="1"/>
  <c r="CA12" i="1"/>
  <c r="CC12" i="1"/>
  <c r="CD12" i="1"/>
  <c r="A24" i="19"/>
  <c r="A25" i="19"/>
  <c r="A26" i="19"/>
  <c r="A27" i="19"/>
  <c r="A28" i="19"/>
  <c r="A29" i="19"/>
  <c r="A30" i="19"/>
  <c r="CD11" i="1"/>
  <c r="CC11" i="1"/>
  <c r="CA11" i="1"/>
  <c r="BZ11" i="1"/>
  <c r="BU11" i="1"/>
  <c r="CD370" i="1"/>
  <c r="CC370" i="1"/>
  <c r="CA370" i="1"/>
  <c r="BZ370" i="1"/>
  <c r="BU370" i="1"/>
  <c r="H23" i="9"/>
  <c r="CD10" i="1"/>
  <c r="CC10" i="1"/>
  <c r="CA10" i="1"/>
  <c r="BZ10" i="1"/>
  <c r="BU10" i="1"/>
  <c r="CD328" i="1"/>
  <c r="CC328" i="1"/>
  <c r="CA328" i="1"/>
  <c r="BZ328" i="1"/>
  <c r="BU328" i="1"/>
  <c r="CD126" i="1"/>
  <c r="CC126" i="1"/>
  <c r="CA126" i="1"/>
  <c r="BZ126" i="1"/>
  <c r="BU126" i="1"/>
  <c r="CD170" i="1"/>
  <c r="CC170" i="1"/>
  <c r="CA170" i="1"/>
  <c r="BZ170" i="1"/>
  <c r="BU170" i="1"/>
  <c r="CD415" i="1"/>
  <c r="CC415" i="1"/>
  <c r="CA415" i="1"/>
  <c r="BZ415" i="1"/>
  <c r="BU415" i="1"/>
  <c r="CD249" i="1"/>
  <c r="CC249" i="1"/>
  <c r="CA249" i="1"/>
  <c r="BZ249" i="1"/>
  <c r="BU249" i="1"/>
  <c r="BU369" i="1"/>
  <c r="BZ369" i="1"/>
  <c r="CA369" i="1"/>
  <c r="CC369" i="1"/>
  <c r="CD369" i="1"/>
  <c r="BU97" i="1"/>
  <c r="BZ97" i="1"/>
  <c r="CA97" i="1"/>
  <c r="CC97" i="1"/>
  <c r="CD97" i="1"/>
  <c r="AU2" i="3" l="1"/>
  <c r="AT2" i="3"/>
  <c r="E54" i="15"/>
  <c r="V41" i="15"/>
  <c r="AU49" i="15" s="1"/>
  <c r="U41" i="15"/>
  <c r="AT49" i="15" s="1"/>
  <c r="T41" i="15"/>
  <c r="AS49" i="15" s="1"/>
  <c r="S41" i="15"/>
  <c r="AR49" i="15" s="1"/>
  <c r="R41" i="15"/>
  <c r="AQ49" i="15" s="1"/>
  <c r="Q41" i="15"/>
  <c r="AP49" i="15" s="1"/>
  <c r="P41" i="15"/>
  <c r="AO49" i="15" s="1"/>
  <c r="O41" i="15"/>
  <c r="AN49" i="15" s="1"/>
  <c r="N41" i="15"/>
  <c r="AM49" i="15" s="1"/>
  <c r="M41" i="15"/>
  <c r="AL49" i="15" s="1"/>
  <c r="L41" i="15"/>
  <c r="AK49" i="15" s="1"/>
  <c r="K41" i="15"/>
  <c r="AJ49" i="15" s="1"/>
  <c r="J41" i="15"/>
  <c r="AI49" i="15" s="1"/>
  <c r="I41" i="15"/>
  <c r="AH49" i="15" s="1"/>
  <c r="V40" i="15" l="1"/>
  <c r="AG49" i="15" s="1"/>
  <c r="V38" i="15"/>
  <c r="AF49" i="15" s="1"/>
  <c r="V36" i="15"/>
  <c r="AE49" i="15" s="1"/>
  <c r="BA1" i="15" a="1"/>
  <c r="BA1" i="15" s="1"/>
  <c r="AZ1" i="15" s="1" a="1"/>
  <c r="AZ1" i="15" s="1"/>
  <c r="A2" i="19"/>
  <c r="A3" i="19"/>
  <c r="A4" i="19"/>
  <c r="A5" i="19"/>
  <c r="A6" i="19"/>
  <c r="A7" i="19"/>
  <c r="A8" i="19"/>
  <c r="A9" i="19"/>
  <c r="A10" i="19"/>
  <c r="A11" i="19"/>
  <c r="A12" i="19"/>
  <c r="A13" i="19"/>
  <c r="A14" i="19"/>
  <c r="A15" i="19"/>
  <c r="A16" i="19"/>
  <c r="A17" i="19"/>
  <c r="A18" i="19"/>
  <c r="A19" i="19"/>
  <c r="A20" i="19"/>
  <c r="A21" i="19"/>
  <c r="A22" i="19"/>
  <c r="A23" i="19"/>
  <c r="U40" i="15"/>
  <c r="AD49" i="15" s="1"/>
  <c r="T40" i="15"/>
  <c r="AC49" i="15" s="1"/>
  <c r="U38" i="15"/>
  <c r="AB49" i="15" s="1"/>
  <c r="T38" i="15"/>
  <c r="AA49" i="15" s="1"/>
  <c r="U36" i="15"/>
  <c r="Z49" i="15" s="1"/>
  <c r="T36" i="15"/>
  <c r="Y49" i="15" s="1"/>
  <c r="N7" i="18" a="1"/>
  <c r="N7" i="10" a="1"/>
  <c r="N7" i="10" s="1"/>
  <c r="N7" i="17" a="1"/>
  <c r="A30" i="15" l="1" a="1"/>
  <c r="A30" i="15" s="1"/>
  <c r="P38" i="22"/>
  <c r="P32" i="22"/>
  <c r="P35" i="22"/>
  <c r="P39" i="22"/>
  <c r="P33" i="22"/>
  <c r="P36" i="22"/>
  <c r="P34" i="22"/>
  <c r="P37" i="22"/>
  <c r="N7" i="18"/>
  <c r="AZ75" i="18"/>
  <c r="BA75" i="18" s="1"/>
  <c r="BJ75" i="18"/>
  <c r="BK75" i="18" s="1"/>
  <c r="BB75" i="18"/>
  <c r="BC75" i="18" s="1"/>
  <c r="BL75" i="18"/>
  <c r="BM75" i="18" s="1"/>
  <c r="BN75" i="18"/>
  <c r="BO75" i="18" s="1"/>
  <c r="BD75" i="18"/>
  <c r="BE75" i="18" s="1"/>
  <c r="BF75" i="18"/>
  <c r="BG75" i="18" s="1"/>
  <c r="BH75" i="18"/>
  <c r="BI75" i="18" s="1"/>
  <c r="AX75" i="18"/>
  <c r="AY75" i="18" s="1"/>
  <c r="AP6" i="18"/>
  <c r="R6" i="18"/>
  <c r="P6" i="18"/>
  <c r="Q3" i="18"/>
  <c r="T5" i="18"/>
  <c r="AR5" i="18"/>
  <c r="AN6" i="18"/>
  <c r="O3" i="18"/>
  <c r="N7" i="17"/>
  <c r="BN6" i="17"/>
  <c r="BL6" i="17"/>
  <c r="N5" i="18" l="1"/>
  <c r="M3" i="18"/>
  <c r="J7" i="17" l="1"/>
  <c r="O3" i="17"/>
  <c r="J5" i="17"/>
  <c r="C8" i="17" s="1"/>
  <c r="C22" i="9"/>
  <c r="AX2" i="3" a="1"/>
  <c r="AX2" i="3" s="1"/>
  <c r="F23" i="9" s="1" a="1"/>
  <c r="F23" i="9" s="1"/>
  <c r="F7" i="9" s="1"/>
  <c r="BU67" i="1"/>
  <c r="BZ67" i="1"/>
  <c r="CA67" i="1"/>
  <c r="CC67" i="1"/>
  <c r="CD67" i="1"/>
  <c r="CD325" i="1"/>
  <c r="CC325" i="1"/>
  <c r="CA325" i="1"/>
  <c r="BZ325" i="1"/>
  <c r="BU325" i="1"/>
  <c r="CD324" i="1"/>
  <c r="CC324" i="1"/>
  <c r="CA324" i="1"/>
  <c r="BZ324" i="1"/>
  <c r="BU324" i="1"/>
  <c r="BU277" i="1"/>
  <c r="BZ277" i="1"/>
  <c r="CA277" i="1"/>
  <c r="CC277" i="1"/>
  <c r="CD277" i="1"/>
  <c r="AP6" i="17" l="1"/>
  <c r="Q3" i="17"/>
  <c r="AR5" i="17"/>
  <c r="K7" i="17" s="1"/>
  <c r="P6" i="17"/>
  <c r="R6" i="17"/>
  <c r="AN6" i="17"/>
  <c r="T5" i="17"/>
  <c r="M3" i="17"/>
  <c r="D8" i="17"/>
  <c r="BU460" i="1"/>
  <c r="BZ460" i="1"/>
  <c r="CA460" i="1"/>
  <c r="CC460" i="1"/>
  <c r="CD460" i="1"/>
  <c r="BU147" i="1"/>
  <c r="BZ147" i="1"/>
  <c r="CA147" i="1"/>
  <c r="CC147" i="1"/>
  <c r="CD147" i="1"/>
  <c r="BU236" i="1"/>
  <c r="BZ236" i="1"/>
  <c r="CA236" i="1"/>
  <c r="CC236" i="1"/>
  <c r="CD236" i="1"/>
  <c r="BU96" i="1"/>
  <c r="BZ96" i="1"/>
  <c r="CA96" i="1"/>
  <c r="CC96" i="1"/>
  <c r="CD96" i="1"/>
  <c r="BU123" i="1"/>
  <c r="BZ123" i="1"/>
  <c r="CA123" i="1"/>
  <c r="CC123" i="1"/>
  <c r="CD123" i="1"/>
  <c r="BU323" i="1"/>
  <c r="BZ323" i="1"/>
  <c r="CA323" i="1"/>
  <c r="CC323" i="1"/>
  <c r="CD323" i="1"/>
  <c r="BU146" i="1"/>
  <c r="BZ146" i="1"/>
  <c r="CA146" i="1"/>
  <c r="CC146" i="1"/>
  <c r="CD146" i="1"/>
  <c r="BU145" i="1"/>
  <c r="BZ145" i="1"/>
  <c r="CA145" i="1"/>
  <c r="CC145" i="1"/>
  <c r="CD145" i="1"/>
  <c r="N5" i="17" l="1"/>
  <c r="BU144" i="1"/>
  <c r="BZ144" i="1"/>
  <c r="CA144" i="1"/>
  <c r="CC144" i="1"/>
  <c r="CD144" i="1"/>
  <c r="BU209" i="1"/>
  <c r="BZ209" i="1"/>
  <c r="CA209" i="1"/>
  <c r="CC209" i="1"/>
  <c r="CD209" i="1"/>
  <c r="BU208" i="1"/>
  <c r="BZ208" i="1"/>
  <c r="CA208" i="1"/>
  <c r="CC208" i="1"/>
  <c r="CD208" i="1"/>
  <c r="BU207" i="1"/>
  <c r="BZ207" i="1"/>
  <c r="CA207" i="1"/>
  <c r="CC207" i="1"/>
  <c r="CD207" i="1"/>
  <c r="BU322" i="1"/>
  <c r="BZ322" i="1"/>
  <c r="CA322" i="1"/>
  <c r="CC322" i="1"/>
  <c r="CD322" i="1"/>
  <c r="BU206" i="1"/>
  <c r="BZ206" i="1"/>
  <c r="CA206" i="1"/>
  <c r="CC206" i="1"/>
  <c r="CD206" i="1"/>
  <c r="BU321" i="1" l="1"/>
  <c r="BZ321" i="1"/>
  <c r="CA321" i="1"/>
  <c r="CC321" i="1"/>
  <c r="CD321" i="1"/>
  <c r="BU95" i="1"/>
  <c r="BZ95" i="1"/>
  <c r="CA95" i="1"/>
  <c r="CC95" i="1"/>
  <c r="CD95" i="1"/>
  <c r="BU169" i="1"/>
  <c r="BZ169" i="1"/>
  <c r="CA169" i="1"/>
  <c r="CC169" i="1"/>
  <c r="CD169" i="1"/>
  <c r="BU205" i="1"/>
  <c r="BZ205" i="1"/>
  <c r="CA205" i="1"/>
  <c r="CC205" i="1"/>
  <c r="CD205" i="1"/>
  <c r="BU122" i="1"/>
  <c r="BZ122" i="1"/>
  <c r="CA122" i="1"/>
  <c r="CC122" i="1"/>
  <c r="CD122" i="1"/>
  <c r="BU248" i="1"/>
  <c r="BZ248" i="1"/>
  <c r="CA248" i="1"/>
  <c r="CC248" i="1"/>
  <c r="CD248" i="1"/>
  <c r="BU247" i="1"/>
  <c r="BZ247" i="1"/>
  <c r="CA247" i="1"/>
  <c r="CC247" i="1"/>
  <c r="CD247" i="1"/>
  <c r="BU368" i="1"/>
  <c r="BZ368" i="1"/>
  <c r="CA368" i="1"/>
  <c r="CC368" i="1"/>
  <c r="CD368" i="1"/>
  <c r="BU320" i="1"/>
  <c r="BZ320" i="1"/>
  <c r="CA320" i="1"/>
  <c r="CC320" i="1"/>
  <c r="CD320" i="1"/>
  <c r="BU442" i="1"/>
  <c r="BZ442" i="1"/>
  <c r="CA442" i="1"/>
  <c r="CC442" i="1"/>
  <c r="CD442" i="1"/>
  <c r="BU143" i="1"/>
  <c r="BZ143" i="1"/>
  <c r="CA143" i="1"/>
  <c r="CC143" i="1"/>
  <c r="CD143" i="1"/>
  <c r="BU94" i="1"/>
  <c r="BZ94" i="1"/>
  <c r="CA94" i="1"/>
  <c r="CC94" i="1"/>
  <c r="CD94" i="1"/>
  <c r="BU168" i="1"/>
  <c r="BZ168" i="1"/>
  <c r="CA168" i="1"/>
  <c r="CC168" i="1"/>
  <c r="CD168" i="1"/>
  <c r="BU66" i="1"/>
  <c r="BZ66" i="1"/>
  <c r="CA66" i="1"/>
  <c r="CC66" i="1"/>
  <c r="CD66" i="1"/>
  <c r="BU204" i="1"/>
  <c r="BZ204" i="1"/>
  <c r="CA204" i="1"/>
  <c r="CC204" i="1"/>
  <c r="CD204" i="1"/>
  <c r="BU203" i="1"/>
  <c r="BZ203" i="1"/>
  <c r="CA203" i="1"/>
  <c r="CC203" i="1"/>
  <c r="CD203" i="1"/>
  <c r="BU142" i="1"/>
  <c r="BZ142" i="1"/>
  <c r="CA142" i="1"/>
  <c r="CC142" i="1"/>
  <c r="CD142" i="1"/>
  <c r="BU121" i="1"/>
  <c r="BZ121" i="1"/>
  <c r="CA121" i="1"/>
  <c r="CC121" i="1"/>
  <c r="CD121" i="1"/>
  <c r="BU93" i="1"/>
  <c r="BZ93" i="1"/>
  <c r="CA93" i="1"/>
  <c r="CC93" i="1"/>
  <c r="CD93" i="1"/>
  <c r="BU167" i="1" l="1"/>
  <c r="BZ167" i="1"/>
  <c r="CA167" i="1"/>
  <c r="CC167" i="1"/>
  <c r="CD167" i="1"/>
  <c r="BU166" i="1"/>
  <c r="BZ166" i="1"/>
  <c r="CA166" i="1"/>
  <c r="CC166" i="1"/>
  <c r="CD166" i="1"/>
  <c r="BU92" i="1"/>
  <c r="BZ92" i="1"/>
  <c r="CA92" i="1"/>
  <c r="CC92" i="1"/>
  <c r="CD92" i="1"/>
  <c r="BU120" i="1"/>
  <c r="BZ120" i="1"/>
  <c r="CA120" i="1"/>
  <c r="CC120" i="1"/>
  <c r="CD120" i="1"/>
  <c r="BU202" i="1"/>
  <c r="BZ202" i="1"/>
  <c r="CA202" i="1"/>
  <c r="CC202" i="1"/>
  <c r="CD202" i="1"/>
  <c r="BU201" i="1" l="1"/>
  <c r="BZ201" i="1"/>
  <c r="CA201" i="1"/>
  <c r="CC201" i="1"/>
  <c r="CD201" i="1"/>
  <c r="BU200" i="1" l="1"/>
  <c r="BZ200" i="1"/>
  <c r="CA200" i="1"/>
  <c r="CC200" i="1"/>
  <c r="CD200" i="1"/>
  <c r="B8" i="16" l="1"/>
  <c r="BU141" i="1" l="1"/>
  <c r="BZ141" i="1"/>
  <c r="CA141" i="1"/>
  <c r="CC141" i="1"/>
  <c r="CD141" i="1"/>
  <c r="BU235" i="1"/>
  <c r="BZ235" i="1"/>
  <c r="CA235" i="1"/>
  <c r="CC235" i="1"/>
  <c r="CD235" i="1"/>
  <c r="BU91" i="1"/>
  <c r="BZ91" i="1"/>
  <c r="CA91" i="1"/>
  <c r="CC91" i="1"/>
  <c r="CD91" i="1"/>
  <c r="BU90" i="1"/>
  <c r="BZ90" i="1"/>
  <c r="CA90" i="1"/>
  <c r="CC90" i="1"/>
  <c r="CD90" i="1"/>
  <c r="BU165" i="1"/>
  <c r="BZ165" i="1"/>
  <c r="CA165" i="1"/>
  <c r="CC165" i="1"/>
  <c r="CD165" i="1"/>
  <c r="BU234" i="1"/>
  <c r="BZ234" i="1"/>
  <c r="CA234" i="1"/>
  <c r="CC234" i="1"/>
  <c r="CD234" i="1"/>
  <c r="BU319" i="1"/>
  <c r="BZ319" i="1"/>
  <c r="CA319" i="1"/>
  <c r="CC319" i="1"/>
  <c r="CD319" i="1"/>
  <c r="BU233" i="1"/>
  <c r="BZ233" i="1"/>
  <c r="CA233" i="1"/>
  <c r="CC233" i="1"/>
  <c r="CD233" i="1"/>
  <c r="BU65" i="1"/>
  <c r="BZ65" i="1"/>
  <c r="CA65" i="1"/>
  <c r="CC65" i="1"/>
  <c r="CD65" i="1"/>
  <c r="BU64" i="1"/>
  <c r="BZ64" i="1"/>
  <c r="CA64" i="1"/>
  <c r="CC64" i="1"/>
  <c r="CD64" i="1"/>
  <c r="BU364" i="1"/>
  <c r="BZ364" i="1"/>
  <c r="CA364" i="1"/>
  <c r="CC364" i="1"/>
  <c r="CD364" i="1"/>
  <c r="BU140" i="1" l="1"/>
  <c r="BZ140" i="1"/>
  <c r="CA140" i="1"/>
  <c r="CC140" i="1"/>
  <c r="CD140" i="1"/>
  <c r="BU232" i="1"/>
  <c r="BZ232" i="1"/>
  <c r="CA232" i="1"/>
  <c r="CC232" i="1"/>
  <c r="CD232" i="1"/>
  <c r="BU363" i="1"/>
  <c r="BZ363" i="1"/>
  <c r="CA363" i="1"/>
  <c r="CC363" i="1"/>
  <c r="CD363" i="1"/>
  <c r="BU318" i="1"/>
  <c r="BZ318" i="1"/>
  <c r="CA318" i="1"/>
  <c r="CC318" i="1"/>
  <c r="CD318" i="1"/>
  <c r="BU164" i="1"/>
  <c r="BZ164" i="1"/>
  <c r="CA164" i="1"/>
  <c r="CC164" i="1"/>
  <c r="CD164" i="1"/>
  <c r="BU63" i="1"/>
  <c r="BZ63" i="1"/>
  <c r="CA63" i="1"/>
  <c r="CC63" i="1"/>
  <c r="CD63" i="1"/>
  <c r="CD105" i="1"/>
  <c r="CD106" i="1"/>
  <c r="CD179" i="1"/>
  <c r="CD220" i="1"/>
  <c r="CD345" i="1"/>
  <c r="CD157" i="1"/>
  <c r="CD346" i="1"/>
  <c r="CD347" i="1"/>
  <c r="CD348" i="1"/>
  <c r="CD221" i="1"/>
  <c r="CD349" i="1"/>
  <c r="CD222" i="1"/>
  <c r="CD180" i="1"/>
  <c r="CD158" i="1"/>
  <c r="CD223" i="1"/>
  <c r="CD237" i="1"/>
  <c r="CD238" i="1"/>
  <c r="CD263" i="1"/>
  <c r="CD264" i="1"/>
  <c r="CD265" i="1"/>
  <c r="CD239" i="1"/>
  <c r="CD266" i="1"/>
  <c r="CD267" i="1"/>
  <c r="CD434" i="1"/>
  <c r="CD435" i="1"/>
  <c r="CD181" i="1"/>
  <c r="CD350" i="1"/>
  <c r="CD351" i="1"/>
  <c r="CD224" i="1"/>
  <c r="CD159" i="1"/>
  <c r="CD436" i="1"/>
  <c r="CD182" i="1"/>
  <c r="CD240" i="1"/>
  <c r="CD352" i="1"/>
  <c r="CD225" i="1"/>
  <c r="CD29" i="1"/>
  <c r="CD420" i="1"/>
  <c r="CD50" i="1"/>
  <c r="CD110" i="1"/>
  <c r="CD152" i="1"/>
  <c r="CD449" i="1"/>
  <c r="CD450" i="1"/>
  <c r="CD353" i="1"/>
  <c r="CD226" i="1"/>
  <c r="CD354" i="1"/>
  <c r="CD30" i="1"/>
  <c r="CD111" i="1"/>
  <c r="CD153" i="1"/>
  <c r="CD421" i="1"/>
  <c r="CD154" i="1"/>
  <c r="CD451" i="1"/>
  <c r="CD452" i="1"/>
  <c r="CD155" i="1"/>
  <c r="CD129" i="1"/>
  <c r="CD148" i="1"/>
  <c r="CD130" i="1"/>
  <c r="CD31" i="1"/>
  <c r="CD112" i="1"/>
  <c r="CD422" i="1"/>
  <c r="CD131" i="1"/>
  <c r="CD149" i="1"/>
  <c r="CD51" i="1"/>
  <c r="CD423" i="1"/>
  <c r="CD150" i="1"/>
  <c r="CD241" i="1"/>
  <c r="CD52" i="1"/>
  <c r="CD268" i="1"/>
  <c r="CD269" i="1"/>
  <c r="CD453" i="1"/>
  <c r="CD355" i="1"/>
  <c r="CD227" i="1"/>
  <c r="CD454" i="1"/>
  <c r="CD228" i="1"/>
  <c r="CD53" i="1"/>
  <c r="CD229" i="1"/>
  <c r="CD54" i="1"/>
  <c r="CD270" i="1"/>
  <c r="CD455" i="1"/>
  <c r="CD183" i="1"/>
  <c r="CD55" i="1"/>
  <c r="CD184" i="1"/>
  <c r="CD56" i="1"/>
  <c r="CD185" i="1"/>
  <c r="CD456" i="1"/>
  <c r="CD160" i="1"/>
  <c r="CD156" i="1"/>
  <c r="CD32" i="1"/>
  <c r="CD186" i="1"/>
  <c r="CD57" i="1"/>
  <c r="CD424" i="1"/>
  <c r="CD242" i="1"/>
  <c r="CD161" i="1"/>
  <c r="CD437" i="1"/>
  <c r="CD386" i="1"/>
  <c r="CD387" i="1"/>
  <c r="CD388" i="1"/>
  <c r="CD133" i="1"/>
  <c r="CD134" i="1"/>
  <c r="CD135" i="1"/>
  <c r="CD132" i="1"/>
  <c r="CD151" i="1"/>
  <c r="CD187" i="1"/>
  <c r="CD271" i="1"/>
  <c r="CD188" i="1"/>
  <c r="CD189" i="1"/>
  <c r="CD272" i="1"/>
  <c r="CD389" i="1"/>
  <c r="CD438" i="1"/>
  <c r="CD136" i="1"/>
  <c r="CD162" i="1"/>
  <c r="CD33" i="1"/>
  <c r="CD34" i="1"/>
  <c r="CD313" i="1"/>
  <c r="CD314" i="1"/>
  <c r="CD190" i="1"/>
  <c r="CD243" i="1"/>
  <c r="CD58" i="1"/>
  <c r="CD137" i="1"/>
  <c r="CD191" i="1"/>
  <c r="CD273" i="1"/>
  <c r="CD356" i="1"/>
  <c r="CD357" i="1"/>
  <c r="CD457" i="1"/>
  <c r="CD358" i="1"/>
  <c r="CD138" i="1"/>
  <c r="CD315" i="1"/>
  <c r="CD316" i="1"/>
  <c r="CD59" i="1"/>
  <c r="CD425" i="1"/>
  <c r="CD359" i="1"/>
  <c r="CD230" i="1"/>
  <c r="CD458" i="1"/>
  <c r="CD426" i="1"/>
  <c r="CD390" i="1"/>
  <c r="CD427" i="1"/>
  <c r="CD274" i="1"/>
  <c r="CD60" i="1"/>
  <c r="CD428" i="1"/>
  <c r="CD429" i="1"/>
  <c r="CD430" i="1"/>
  <c r="CD192" i="1"/>
  <c r="CD193" i="1"/>
  <c r="CD391" i="1"/>
  <c r="CD139" i="1"/>
  <c r="CD61" i="1"/>
  <c r="CD113" i="1"/>
  <c r="CD194" i="1"/>
  <c r="CD195" i="1"/>
  <c r="CD114" i="1"/>
  <c r="CD115" i="1"/>
  <c r="CD431" i="1"/>
  <c r="CD392" i="1"/>
  <c r="CD393" i="1"/>
  <c r="CD439" i="1"/>
  <c r="CD317" i="1"/>
  <c r="CD116" i="1"/>
  <c r="CD459" i="1"/>
  <c r="CD275" i="1"/>
  <c r="CD360" i="1"/>
  <c r="CD361" i="1"/>
  <c r="CD231" i="1"/>
  <c r="CD117" i="1"/>
  <c r="CD276" i="1"/>
  <c r="CD118" i="1"/>
  <c r="CD196" i="1"/>
  <c r="CD197" i="1"/>
  <c r="CD440" i="1"/>
  <c r="CD62" i="1"/>
  <c r="CD198" i="1"/>
  <c r="CD199" i="1"/>
  <c r="CD441" i="1"/>
  <c r="CD244" i="1"/>
  <c r="CD245" i="1"/>
  <c r="CD362" i="1"/>
  <c r="CD366" i="1"/>
  <c r="CD367" i="1"/>
  <c r="CD246" i="1"/>
  <c r="CD163" i="1"/>
  <c r="CD119" i="1"/>
  <c r="BU119" i="1" l="1"/>
  <c r="BZ119" i="1"/>
  <c r="CA119" i="1"/>
  <c r="CC119" i="1"/>
  <c r="BU163" i="1"/>
  <c r="BZ163" i="1"/>
  <c r="CA163" i="1"/>
  <c r="CC163" i="1"/>
  <c r="BU246" i="1"/>
  <c r="BZ246" i="1"/>
  <c r="CA246" i="1"/>
  <c r="CC246" i="1"/>
  <c r="BU367" i="1"/>
  <c r="BZ367" i="1"/>
  <c r="CA367" i="1"/>
  <c r="CC367" i="1"/>
  <c r="BU366" i="1"/>
  <c r="BZ366" i="1"/>
  <c r="CA366" i="1"/>
  <c r="CC366" i="1"/>
  <c r="BU362" i="1"/>
  <c r="BZ362" i="1"/>
  <c r="CA362" i="1"/>
  <c r="CC362" i="1"/>
  <c r="BU245" i="1"/>
  <c r="BZ245" i="1"/>
  <c r="CA245" i="1"/>
  <c r="CC245" i="1"/>
  <c r="BU244" i="1"/>
  <c r="BZ244" i="1"/>
  <c r="CA244" i="1"/>
  <c r="CC244" i="1"/>
  <c r="BU441" i="1"/>
  <c r="BZ441" i="1"/>
  <c r="CA441" i="1"/>
  <c r="CC441" i="1"/>
  <c r="BU199" i="1"/>
  <c r="BZ199" i="1"/>
  <c r="CA199" i="1"/>
  <c r="CC199" i="1"/>
  <c r="BU198" i="1"/>
  <c r="BZ198" i="1"/>
  <c r="CA198" i="1"/>
  <c r="CC198" i="1"/>
  <c r="BU62" i="1"/>
  <c r="BZ62" i="1"/>
  <c r="CA62" i="1"/>
  <c r="CC62" i="1"/>
  <c r="BU440" i="1"/>
  <c r="BZ440" i="1"/>
  <c r="CA440" i="1"/>
  <c r="CC440" i="1"/>
  <c r="BU197" i="1"/>
  <c r="BZ197" i="1"/>
  <c r="CA197" i="1"/>
  <c r="CC197" i="1"/>
  <c r="BU196" i="1" l="1"/>
  <c r="BZ196" i="1"/>
  <c r="CA196" i="1"/>
  <c r="CC196" i="1"/>
  <c r="BU118" i="1"/>
  <c r="BZ118" i="1"/>
  <c r="CA118" i="1"/>
  <c r="CC118" i="1"/>
  <c r="BU276" i="1"/>
  <c r="BZ276" i="1"/>
  <c r="CA276" i="1"/>
  <c r="CC276" i="1"/>
  <c r="BU117" i="1"/>
  <c r="BZ117" i="1"/>
  <c r="CA117" i="1"/>
  <c r="CC117" i="1"/>
  <c r="BU231" i="1"/>
  <c r="BZ231" i="1"/>
  <c r="CA231" i="1"/>
  <c r="CC231" i="1"/>
  <c r="BU361" i="1"/>
  <c r="BZ361" i="1"/>
  <c r="CA361" i="1"/>
  <c r="CC361" i="1"/>
  <c r="BU360" i="1"/>
  <c r="BZ360" i="1"/>
  <c r="CA360" i="1"/>
  <c r="CC360" i="1"/>
  <c r="J5" i="10"/>
  <c r="CC105" i="1" l="1"/>
  <c r="CC106" i="1"/>
  <c r="CC179" i="1"/>
  <c r="CC220" i="1"/>
  <c r="CC345" i="1"/>
  <c r="CC157" i="1"/>
  <c r="CC346" i="1"/>
  <c r="CC347" i="1"/>
  <c r="CC348" i="1"/>
  <c r="CC221" i="1"/>
  <c r="CC349" i="1"/>
  <c r="CC222" i="1"/>
  <c r="CC180" i="1"/>
  <c r="CC158" i="1"/>
  <c r="CC223" i="1"/>
  <c r="CC237" i="1"/>
  <c r="CC238" i="1"/>
  <c r="CC263" i="1"/>
  <c r="CC264" i="1"/>
  <c r="CC265" i="1"/>
  <c r="CC239" i="1"/>
  <c r="CC266" i="1"/>
  <c r="CC267" i="1"/>
  <c r="CC434" i="1"/>
  <c r="CC435" i="1"/>
  <c r="CC181" i="1"/>
  <c r="CC350" i="1"/>
  <c r="CC351" i="1"/>
  <c r="CC224" i="1"/>
  <c r="CC159" i="1"/>
  <c r="CC436" i="1"/>
  <c r="CC182" i="1"/>
  <c r="CC240" i="1"/>
  <c r="CC352" i="1"/>
  <c r="CC225" i="1"/>
  <c r="CC29" i="1"/>
  <c r="CC420" i="1"/>
  <c r="CC50" i="1"/>
  <c r="CC110" i="1"/>
  <c r="CC152" i="1"/>
  <c r="CC449" i="1"/>
  <c r="CC450" i="1"/>
  <c r="CC353" i="1"/>
  <c r="CC226" i="1"/>
  <c r="CC354" i="1"/>
  <c r="CC30" i="1"/>
  <c r="CC111" i="1"/>
  <c r="CC153" i="1"/>
  <c r="CC421" i="1"/>
  <c r="CC154" i="1"/>
  <c r="CC451" i="1"/>
  <c r="CC452" i="1"/>
  <c r="CC155" i="1"/>
  <c r="CC129" i="1"/>
  <c r="CC148" i="1"/>
  <c r="CC130" i="1"/>
  <c r="CC31" i="1"/>
  <c r="CC112" i="1"/>
  <c r="CC422" i="1"/>
  <c r="CC131" i="1"/>
  <c r="CC149" i="1"/>
  <c r="CC51" i="1"/>
  <c r="CC423" i="1"/>
  <c r="CC150" i="1"/>
  <c r="CC241" i="1"/>
  <c r="CC52" i="1"/>
  <c r="CC268" i="1"/>
  <c r="CC269" i="1"/>
  <c r="CC453" i="1"/>
  <c r="CC355" i="1"/>
  <c r="CC227" i="1"/>
  <c r="CC454" i="1"/>
  <c r="CC228" i="1"/>
  <c r="CC53" i="1"/>
  <c r="CC229" i="1"/>
  <c r="CC54" i="1"/>
  <c r="CC270" i="1"/>
  <c r="CC455" i="1"/>
  <c r="CC183" i="1"/>
  <c r="CC55" i="1"/>
  <c r="CC184" i="1"/>
  <c r="CC56" i="1"/>
  <c r="CC185" i="1"/>
  <c r="CC456" i="1"/>
  <c r="CC160" i="1"/>
  <c r="CC156" i="1"/>
  <c r="CC32" i="1"/>
  <c r="CC186" i="1"/>
  <c r="CC57" i="1"/>
  <c r="CC424" i="1"/>
  <c r="CC242" i="1"/>
  <c r="CC161" i="1"/>
  <c r="CC437" i="1"/>
  <c r="CC386" i="1"/>
  <c r="CC387" i="1"/>
  <c r="CC388" i="1"/>
  <c r="CC133" i="1"/>
  <c r="CC134" i="1"/>
  <c r="CC135" i="1"/>
  <c r="CC132" i="1"/>
  <c r="CC151" i="1"/>
  <c r="CC187" i="1"/>
  <c r="CC271" i="1"/>
  <c r="CC188" i="1"/>
  <c r="CC189" i="1"/>
  <c r="CC272" i="1"/>
  <c r="CC389" i="1"/>
  <c r="CC438" i="1"/>
  <c r="CC136" i="1"/>
  <c r="CC162" i="1"/>
  <c r="CC33" i="1"/>
  <c r="CC34" i="1"/>
  <c r="CC313" i="1"/>
  <c r="CC314" i="1"/>
  <c r="CC190" i="1"/>
  <c r="CC243" i="1"/>
  <c r="CC58" i="1"/>
  <c r="CC137" i="1"/>
  <c r="CC191" i="1"/>
  <c r="CC273" i="1"/>
  <c r="CC356" i="1"/>
  <c r="CC357" i="1"/>
  <c r="CC457" i="1"/>
  <c r="CC358" i="1"/>
  <c r="CC138" i="1"/>
  <c r="CC315" i="1"/>
  <c r="CC316" i="1"/>
  <c r="CC59" i="1"/>
  <c r="CC425" i="1"/>
  <c r="CC359" i="1"/>
  <c r="CC230" i="1"/>
  <c r="CC458" i="1"/>
  <c r="CC426" i="1"/>
  <c r="CC390" i="1"/>
  <c r="CC427" i="1"/>
  <c r="CC274" i="1"/>
  <c r="CC60" i="1"/>
  <c r="CC428" i="1"/>
  <c r="CC429" i="1"/>
  <c r="CC430" i="1"/>
  <c r="CC192" i="1"/>
  <c r="CC193" i="1"/>
  <c r="CC391" i="1"/>
  <c r="CC139" i="1"/>
  <c r="CC61" i="1"/>
  <c r="CC113" i="1"/>
  <c r="CC194" i="1"/>
  <c r="CC195" i="1"/>
  <c r="CC114" i="1"/>
  <c r="CC115" i="1"/>
  <c r="CC431" i="1"/>
  <c r="CC392" i="1"/>
  <c r="CC393" i="1"/>
  <c r="CC439" i="1"/>
  <c r="CC317" i="1"/>
  <c r="CC116" i="1"/>
  <c r="CC459" i="1"/>
  <c r="CC275" i="1"/>
  <c r="BU275" i="1"/>
  <c r="BZ275" i="1"/>
  <c r="CA275" i="1"/>
  <c r="BU459" i="1"/>
  <c r="BZ459" i="1"/>
  <c r="CA459" i="1"/>
  <c r="BU116" i="1"/>
  <c r="BZ116" i="1"/>
  <c r="CA116" i="1"/>
  <c r="BU317" i="1"/>
  <c r="BZ317" i="1"/>
  <c r="CA317" i="1"/>
  <c r="BU439" i="1" l="1"/>
  <c r="BZ439" i="1"/>
  <c r="CA439" i="1"/>
  <c r="BU393" i="1"/>
  <c r="BZ393" i="1"/>
  <c r="CA393" i="1"/>
  <c r="CA392" i="1"/>
  <c r="BZ392" i="1"/>
  <c r="BU392" i="1"/>
  <c r="CA431" i="1"/>
  <c r="BZ431" i="1"/>
  <c r="BU431" i="1"/>
  <c r="CA115" i="1"/>
  <c r="BZ115" i="1"/>
  <c r="BU115" i="1"/>
  <c r="CA114" i="1"/>
  <c r="BZ114" i="1"/>
  <c r="BU114" i="1"/>
  <c r="CA195" i="1"/>
  <c r="BZ195" i="1"/>
  <c r="BU195" i="1"/>
  <c r="CA194" i="1"/>
  <c r="BZ194" i="1"/>
  <c r="BU194" i="1"/>
  <c r="CA113" i="1"/>
  <c r="BZ113" i="1"/>
  <c r="BU113" i="1"/>
  <c r="CA61" i="1"/>
  <c r="BZ61" i="1"/>
  <c r="BU61" i="1"/>
  <c r="CA139" i="1"/>
  <c r="BZ139" i="1"/>
  <c r="BU139" i="1"/>
  <c r="BU391" i="1"/>
  <c r="BZ391" i="1"/>
  <c r="CA391" i="1"/>
  <c r="BU193" i="1"/>
  <c r="BZ193" i="1"/>
  <c r="CA193" i="1"/>
  <c r="BU192" i="1"/>
  <c r="BZ192" i="1"/>
  <c r="CA192" i="1"/>
  <c r="BU430" i="1" l="1"/>
  <c r="BZ430" i="1"/>
  <c r="CA430" i="1"/>
  <c r="BU429" i="1"/>
  <c r="BZ429" i="1"/>
  <c r="CA429" i="1"/>
  <c r="BU428" i="1"/>
  <c r="BZ428" i="1"/>
  <c r="CA428" i="1"/>
  <c r="BU60" i="1"/>
  <c r="BZ60" i="1"/>
  <c r="CA60" i="1"/>
  <c r="BU274" i="1"/>
  <c r="BZ274" i="1"/>
  <c r="CA274" i="1"/>
  <c r="BU427" i="1"/>
  <c r="BZ427" i="1"/>
  <c r="CA427" i="1"/>
  <c r="BU390" i="1"/>
  <c r="BZ390" i="1"/>
  <c r="CA390" i="1"/>
  <c r="BU426" i="1"/>
  <c r="BZ426" i="1"/>
  <c r="CA426" i="1"/>
  <c r="BU458" i="1"/>
  <c r="BZ458" i="1"/>
  <c r="CA458" i="1"/>
  <c r="B58" i="15" a="1"/>
  <c r="B58" i="15" s="1"/>
  <c r="BU230" i="1"/>
  <c r="BZ230" i="1"/>
  <c r="CA230" i="1"/>
  <c r="BU359" i="1"/>
  <c r="BZ359" i="1"/>
  <c r="CA359" i="1"/>
  <c r="BU425" i="1"/>
  <c r="BZ425" i="1"/>
  <c r="CA425" i="1"/>
  <c r="BU59" i="1"/>
  <c r="BZ59" i="1"/>
  <c r="CA59" i="1"/>
  <c r="BU316" i="1"/>
  <c r="BZ316" i="1"/>
  <c r="CA316" i="1"/>
  <c r="BU315" i="1"/>
  <c r="BZ315" i="1"/>
  <c r="CA315" i="1"/>
  <c r="BU138" i="1"/>
  <c r="BZ138" i="1"/>
  <c r="CA138" i="1"/>
  <c r="BU358" i="1"/>
  <c r="BZ358" i="1"/>
  <c r="CA358" i="1"/>
  <c r="BU457" i="1"/>
  <c r="BZ457" i="1"/>
  <c r="CA457" i="1"/>
  <c r="BU357" i="1"/>
  <c r="BZ357" i="1"/>
  <c r="CA357" i="1"/>
  <c r="BU356" i="1"/>
  <c r="BZ356" i="1"/>
  <c r="CA356" i="1"/>
  <c r="CA273" i="1"/>
  <c r="BZ273" i="1"/>
  <c r="BU273" i="1"/>
  <c r="CA191" i="1"/>
  <c r="BZ191" i="1"/>
  <c r="BU191" i="1"/>
  <c r="CA137" i="1"/>
  <c r="BZ137" i="1"/>
  <c r="BU137" i="1"/>
  <c r="CA58" i="1"/>
  <c r="BZ58" i="1"/>
  <c r="BU58" i="1"/>
  <c r="CA243" i="1"/>
  <c r="BZ243" i="1"/>
  <c r="BU243" i="1"/>
  <c r="CA190" i="1"/>
  <c r="BZ190" i="1"/>
  <c r="BU190" i="1"/>
  <c r="CA314" i="1"/>
  <c r="BZ314" i="1"/>
  <c r="BU314" i="1"/>
  <c r="CA313" i="1"/>
  <c r="BZ313" i="1"/>
  <c r="BU313" i="1"/>
  <c r="CA34" i="1"/>
  <c r="BZ34" i="1"/>
  <c r="BU34" i="1"/>
  <c r="CA33" i="1"/>
  <c r="BZ33" i="1"/>
  <c r="BU33" i="1"/>
  <c r="CA162" i="1"/>
  <c r="BZ162" i="1"/>
  <c r="BU162" i="1"/>
  <c r="CA136" i="1"/>
  <c r="BZ136" i="1"/>
  <c r="BU136" i="1"/>
  <c r="CA438" i="1"/>
  <c r="BZ438" i="1"/>
  <c r="BU438" i="1"/>
  <c r="CA389" i="1"/>
  <c r="BZ389" i="1"/>
  <c r="BU389" i="1"/>
  <c r="CA272" i="1"/>
  <c r="BZ272" i="1"/>
  <c r="BU272" i="1"/>
  <c r="BU189" i="1"/>
  <c r="BZ189" i="1"/>
  <c r="CA189" i="1"/>
  <c r="BU188" i="1"/>
  <c r="BZ188" i="1"/>
  <c r="CA188" i="1"/>
  <c r="BU271" i="1"/>
  <c r="BZ271" i="1"/>
  <c r="CA271" i="1"/>
  <c r="BU187" i="1" l="1"/>
  <c r="BZ187" i="1"/>
  <c r="CA187" i="1"/>
  <c r="BU151" i="1"/>
  <c r="BZ151" i="1"/>
  <c r="CA151" i="1"/>
  <c r="CA132" i="1"/>
  <c r="BZ132" i="1"/>
  <c r="BU132" i="1"/>
  <c r="BU135" i="1"/>
  <c r="BZ135" i="1"/>
  <c r="CA135" i="1"/>
  <c r="BU134" i="1"/>
  <c r="BZ134" i="1"/>
  <c r="CA134" i="1"/>
  <c r="BU133" i="1"/>
  <c r="BZ133" i="1"/>
  <c r="CA133" i="1"/>
  <c r="BU388" i="1"/>
  <c r="BZ388" i="1"/>
  <c r="CA388" i="1"/>
  <c r="BU387" i="1"/>
  <c r="BZ387" i="1"/>
  <c r="CA387" i="1"/>
  <c r="BU386" i="1"/>
  <c r="BZ386" i="1"/>
  <c r="CA386" i="1"/>
  <c r="BU437" i="1" l="1"/>
  <c r="BZ437" i="1"/>
  <c r="CA437" i="1"/>
  <c r="BU161" i="1"/>
  <c r="BZ161" i="1"/>
  <c r="CA161" i="1"/>
  <c r="BU242" i="1"/>
  <c r="BZ242" i="1"/>
  <c r="CA242" i="1"/>
  <c r="BU424" i="1"/>
  <c r="BZ424" i="1"/>
  <c r="CA424" i="1"/>
  <c r="BU57" i="1"/>
  <c r="BZ57" i="1"/>
  <c r="CA57" i="1"/>
  <c r="BU186" i="1"/>
  <c r="BZ186" i="1"/>
  <c r="CA186" i="1"/>
  <c r="BU32" i="1"/>
  <c r="BZ32" i="1"/>
  <c r="CA32" i="1"/>
  <c r="BU156" i="1"/>
  <c r="BZ156" i="1"/>
  <c r="CA156" i="1"/>
  <c r="CA160" i="1" l="1"/>
  <c r="BZ160" i="1"/>
  <c r="BU160" i="1"/>
  <c r="CA456" i="1"/>
  <c r="BZ456" i="1"/>
  <c r="BU456" i="1"/>
  <c r="BU423" i="1" l="1"/>
  <c r="BU150" i="1"/>
  <c r="BU241" i="1"/>
  <c r="BU52" i="1"/>
  <c r="BU268" i="1"/>
  <c r="BU269" i="1"/>
  <c r="BU453" i="1"/>
  <c r="BU355" i="1"/>
  <c r="BU227" i="1"/>
  <c r="BU454" i="1"/>
  <c r="BU228" i="1"/>
  <c r="BU53" i="1"/>
  <c r="BU229" i="1"/>
  <c r="BU54" i="1"/>
  <c r="BU270" i="1"/>
  <c r="BU455" i="1"/>
  <c r="BU183" i="1"/>
  <c r="BU55" i="1"/>
  <c r="BU184" i="1"/>
  <c r="BU56" i="1"/>
  <c r="BU185" i="1"/>
  <c r="BZ423" i="1"/>
  <c r="BZ150" i="1"/>
  <c r="BZ241" i="1"/>
  <c r="BZ52" i="1"/>
  <c r="BZ268" i="1"/>
  <c r="BZ269" i="1"/>
  <c r="BZ453" i="1"/>
  <c r="BZ355" i="1"/>
  <c r="BZ227" i="1"/>
  <c r="BZ454" i="1"/>
  <c r="BZ228" i="1"/>
  <c r="BZ53" i="1"/>
  <c r="BZ229" i="1"/>
  <c r="BZ54" i="1"/>
  <c r="BZ270" i="1"/>
  <c r="BZ455" i="1"/>
  <c r="BZ183" i="1"/>
  <c r="BZ55" i="1"/>
  <c r="BZ184" i="1"/>
  <c r="BZ56" i="1"/>
  <c r="BZ185" i="1"/>
  <c r="CA423" i="1"/>
  <c r="CA150" i="1"/>
  <c r="CA241" i="1"/>
  <c r="CA52" i="1"/>
  <c r="CA268" i="1"/>
  <c r="CA269" i="1"/>
  <c r="CA453" i="1"/>
  <c r="CA355" i="1"/>
  <c r="CA227" i="1"/>
  <c r="CA454" i="1"/>
  <c r="CA228" i="1"/>
  <c r="CA53" i="1"/>
  <c r="CA229" i="1"/>
  <c r="CA54" i="1"/>
  <c r="CA270" i="1"/>
  <c r="CA455" i="1"/>
  <c r="CA183" i="1"/>
  <c r="CA55" i="1"/>
  <c r="CA184" i="1"/>
  <c r="CA56" i="1"/>
  <c r="CA185" i="1"/>
  <c r="BU51" i="1" l="1"/>
  <c r="BZ51" i="1"/>
  <c r="CA51" i="1"/>
  <c r="BU149" i="1" l="1"/>
  <c r="BZ149" i="1"/>
  <c r="CA149" i="1"/>
  <c r="BU131" i="1"/>
  <c r="BZ131" i="1"/>
  <c r="CA131" i="1"/>
  <c r="BU422" i="1"/>
  <c r="BZ422" i="1"/>
  <c r="CA422" i="1"/>
  <c r="AQ2" i="3" l="1"/>
  <c r="AP2" i="3"/>
  <c r="BU112" i="1"/>
  <c r="BZ112" i="1"/>
  <c r="CA112" i="1"/>
  <c r="C54" i="15"/>
  <c r="G38" i="15"/>
  <c r="M47" i="15" s="1"/>
  <c r="M51" i="15" s="1"/>
  <c r="F38" i="15"/>
  <c r="L47" i="15" s="1"/>
  <c r="L51" i="15" s="1"/>
  <c r="E38" i="15"/>
  <c r="K47" i="15" s="1"/>
  <c r="K51" i="15" s="1"/>
  <c r="D38" i="15"/>
  <c r="J47" i="15" s="1"/>
  <c r="J51" i="15" s="1"/>
  <c r="C38" i="15"/>
  <c r="B38" i="15"/>
  <c r="H47" i="15" s="1"/>
  <c r="H51" i="15" s="1"/>
  <c r="G36" i="15"/>
  <c r="F36" i="15"/>
  <c r="F47" i="15" s="1"/>
  <c r="F51" i="15" s="1"/>
  <c r="E36" i="15"/>
  <c r="E47" i="15" s="1"/>
  <c r="E51" i="15" s="1"/>
  <c r="C36" i="15"/>
  <c r="C47" i="15" s="1"/>
  <c r="C51" i="15" s="1"/>
  <c r="D36" i="15"/>
  <c r="B36" i="15"/>
  <c r="B47" i="15" s="1"/>
  <c r="B40" i="15"/>
  <c r="B49" i="15" s="1"/>
  <c r="S40" i="15"/>
  <c r="X49" i="15" s="1"/>
  <c r="R40" i="15"/>
  <c r="W49" i="15" s="1"/>
  <c r="Q40" i="15"/>
  <c r="V49" i="15" s="1"/>
  <c r="P40" i="15"/>
  <c r="U49" i="15" s="1"/>
  <c r="O40" i="15"/>
  <c r="T49" i="15" s="1"/>
  <c r="N40" i="15"/>
  <c r="S49" i="15" s="1"/>
  <c r="M40" i="15"/>
  <c r="R49" i="15" s="1"/>
  <c r="L40" i="15"/>
  <c r="Q49" i="15" s="1"/>
  <c r="K40" i="15"/>
  <c r="P49" i="15" s="1"/>
  <c r="J40" i="15"/>
  <c r="O49" i="15" s="1"/>
  <c r="I40" i="15"/>
  <c r="N49" i="15" s="1"/>
  <c r="S38" i="15"/>
  <c r="M49" i="15" s="1"/>
  <c r="R38" i="15"/>
  <c r="L49" i="15" s="1"/>
  <c r="Q38" i="15"/>
  <c r="K49" i="15" s="1"/>
  <c r="P38" i="15"/>
  <c r="J49" i="15" s="1"/>
  <c r="O38" i="15"/>
  <c r="I49" i="15" s="1"/>
  <c r="N38" i="15"/>
  <c r="H49" i="15" s="1"/>
  <c r="M38" i="15"/>
  <c r="G49" i="15" s="1"/>
  <c r="L38" i="15"/>
  <c r="F49" i="15" s="1"/>
  <c r="K38" i="15"/>
  <c r="E49" i="15" s="1"/>
  <c r="J38" i="15"/>
  <c r="D49" i="15" s="1"/>
  <c r="I38" i="15"/>
  <c r="C49" i="15" s="1"/>
  <c r="S36" i="15"/>
  <c r="X47" i="15" s="1"/>
  <c r="R36" i="15"/>
  <c r="W47" i="15" s="1"/>
  <c r="Q36" i="15"/>
  <c r="V47" i="15" s="1"/>
  <c r="P36" i="15"/>
  <c r="U47" i="15" s="1"/>
  <c r="O36" i="15"/>
  <c r="T47" i="15" s="1"/>
  <c r="N36" i="15"/>
  <c r="S47" i="15" s="1"/>
  <c r="M36" i="15"/>
  <c r="R47" i="15" s="1"/>
  <c r="L36" i="15"/>
  <c r="Q47" i="15" s="1"/>
  <c r="K36" i="15"/>
  <c r="P47" i="15" s="1"/>
  <c r="J36" i="15"/>
  <c r="O47" i="15" s="1"/>
  <c r="I36" i="15"/>
  <c r="N47" i="15" s="1"/>
  <c r="BD3" i="15"/>
  <c r="BD4" i="15" s="1"/>
  <c r="X3" i="15"/>
  <c r="Z47" i="15" s="1"/>
  <c r="P51" i="15" s="1"/>
  <c r="BU110" i="1"/>
  <c r="BU152" i="1"/>
  <c r="BU449" i="1"/>
  <c r="BU450" i="1"/>
  <c r="BU353" i="1"/>
  <c r="BU226" i="1"/>
  <c r="BU354" i="1"/>
  <c r="BU30" i="1"/>
  <c r="BU111" i="1"/>
  <c r="BU153" i="1"/>
  <c r="BU421" i="1"/>
  <c r="BU154" i="1"/>
  <c r="BU451" i="1"/>
  <c r="BU452" i="1"/>
  <c r="BU155" i="1"/>
  <c r="BU129" i="1"/>
  <c r="BU148" i="1"/>
  <c r="BU130" i="1"/>
  <c r="BU31" i="1"/>
  <c r="BZ110" i="1"/>
  <c r="BZ152" i="1"/>
  <c r="BZ449" i="1"/>
  <c r="BZ450" i="1"/>
  <c r="BZ353" i="1"/>
  <c r="BZ226" i="1"/>
  <c r="BZ354" i="1"/>
  <c r="BZ30" i="1"/>
  <c r="BZ111" i="1"/>
  <c r="BZ153" i="1"/>
  <c r="BZ421" i="1"/>
  <c r="BZ154" i="1"/>
  <c r="BZ451" i="1"/>
  <c r="BZ452" i="1"/>
  <c r="BZ155" i="1"/>
  <c r="BZ129" i="1"/>
  <c r="BZ148" i="1"/>
  <c r="BZ130" i="1"/>
  <c r="BZ31" i="1"/>
  <c r="CA110" i="1"/>
  <c r="CA152" i="1"/>
  <c r="CA449" i="1"/>
  <c r="CA450" i="1"/>
  <c r="CA353" i="1"/>
  <c r="CA226" i="1"/>
  <c r="CA354" i="1"/>
  <c r="CA30" i="1"/>
  <c r="CA111" i="1"/>
  <c r="CA153" i="1"/>
  <c r="CA421" i="1"/>
  <c r="CA154" i="1"/>
  <c r="CA451" i="1"/>
  <c r="CA452" i="1"/>
  <c r="CA155" i="1"/>
  <c r="CA129" i="1"/>
  <c r="CA148" i="1"/>
  <c r="CA130" i="1"/>
  <c r="CA31" i="1"/>
  <c r="G47" i="15" l="1"/>
  <c r="G51" i="15" s="1"/>
  <c r="N51" i="15"/>
  <c r="I47" i="15"/>
  <c r="I51" i="15" s="1"/>
  <c r="D47" i="15"/>
  <c r="D51" i="15" s="1"/>
  <c r="B51" i="15"/>
  <c r="C46" i="15"/>
  <c r="D50" i="15" s="1"/>
  <c r="Y47" i="15"/>
  <c r="O51" i="15" s="1"/>
  <c r="CA105" i="1"/>
  <c r="CA106" i="1"/>
  <c r="CA179" i="1"/>
  <c r="CA220" i="1"/>
  <c r="CA345" i="1"/>
  <c r="CA157" i="1"/>
  <c r="CA346" i="1"/>
  <c r="CA347" i="1"/>
  <c r="CA348" i="1"/>
  <c r="CA221" i="1"/>
  <c r="CA349" i="1"/>
  <c r="CA222" i="1"/>
  <c r="CA180" i="1"/>
  <c r="CA158" i="1"/>
  <c r="CA223" i="1"/>
  <c r="CA237" i="1"/>
  <c r="CA238" i="1"/>
  <c r="CA263" i="1"/>
  <c r="CA264" i="1"/>
  <c r="CA265" i="1"/>
  <c r="CA239" i="1"/>
  <c r="CA266" i="1"/>
  <c r="CA267" i="1"/>
  <c r="CA434" i="1"/>
  <c r="CA435" i="1"/>
  <c r="CA181" i="1"/>
  <c r="CA350" i="1"/>
  <c r="CA351" i="1"/>
  <c r="CA224" i="1"/>
  <c r="CA159" i="1"/>
  <c r="CA436" i="1"/>
  <c r="CA182" i="1"/>
  <c r="CA240" i="1"/>
  <c r="CA352" i="1"/>
  <c r="CA225" i="1"/>
  <c r="CA29" i="1"/>
  <c r="CA420" i="1"/>
  <c r="CA50" i="1"/>
  <c r="BZ105" i="1"/>
  <c r="BZ106" i="1"/>
  <c r="BZ179" i="1"/>
  <c r="BZ220" i="1"/>
  <c r="BZ345" i="1"/>
  <c r="BZ157" i="1"/>
  <c r="BZ346" i="1"/>
  <c r="BZ347" i="1"/>
  <c r="BZ348" i="1"/>
  <c r="BZ221" i="1"/>
  <c r="BZ349" i="1"/>
  <c r="BZ222" i="1"/>
  <c r="BZ180" i="1"/>
  <c r="BZ158" i="1"/>
  <c r="BZ223" i="1"/>
  <c r="BZ237" i="1"/>
  <c r="BZ238" i="1"/>
  <c r="BZ263" i="1"/>
  <c r="BZ264" i="1"/>
  <c r="BZ265" i="1"/>
  <c r="BZ239" i="1"/>
  <c r="BZ266" i="1"/>
  <c r="BZ267" i="1"/>
  <c r="BZ434" i="1"/>
  <c r="BZ435" i="1"/>
  <c r="BZ181" i="1"/>
  <c r="BZ350" i="1"/>
  <c r="BZ351" i="1"/>
  <c r="BZ224" i="1"/>
  <c r="BZ159" i="1"/>
  <c r="BZ436" i="1"/>
  <c r="BZ182" i="1"/>
  <c r="BZ240" i="1"/>
  <c r="BZ352" i="1"/>
  <c r="BZ225" i="1"/>
  <c r="BZ29" i="1"/>
  <c r="BZ420" i="1"/>
  <c r="BZ50" i="1"/>
  <c r="D46" i="15" l="1"/>
  <c r="A2" i="15"/>
  <c r="C8" i="10"/>
  <c r="D8" i="10" l="1"/>
  <c r="BU105" i="1"/>
  <c r="BU106" i="1"/>
  <c r="BU179" i="1"/>
  <c r="BU220" i="1"/>
  <c r="BU345" i="1"/>
  <c r="BU157" i="1"/>
  <c r="BU346" i="1"/>
  <c r="BU347" i="1"/>
  <c r="BU348" i="1"/>
  <c r="BU221" i="1"/>
  <c r="BU349" i="1"/>
  <c r="BU222" i="1"/>
  <c r="BU180" i="1"/>
  <c r="BU158" i="1"/>
  <c r="BU223" i="1"/>
  <c r="BU237" i="1"/>
  <c r="BU238" i="1"/>
  <c r="BU263" i="1"/>
  <c r="BU264" i="1"/>
  <c r="BU265" i="1"/>
  <c r="BU239" i="1"/>
  <c r="BU266" i="1"/>
  <c r="BU267" i="1"/>
  <c r="BU434" i="1"/>
  <c r="BU435" i="1"/>
  <c r="BU181" i="1"/>
  <c r="BU350" i="1"/>
  <c r="BU351" i="1"/>
  <c r="BU224" i="1"/>
  <c r="BU159" i="1"/>
  <c r="BU436" i="1"/>
  <c r="BU182" i="1"/>
  <c r="BU240" i="1"/>
  <c r="BU352" i="1"/>
  <c r="BU225" i="1"/>
  <c r="BU29" i="1"/>
  <c r="BU420" i="1"/>
  <c r="BU50" i="1"/>
  <c r="AD112" i="19" l="1" a="1"/>
  <c r="AD112" i="19" s="1"/>
  <c r="AK112" i="19" a="1"/>
  <c r="AK112" i="19" s="1"/>
  <c r="AI112" i="19" a="1"/>
  <c r="AI112" i="19" s="1"/>
  <c r="AA112" i="19" a="1"/>
  <c r="AA112" i="19" s="1"/>
  <c r="AE112" i="19" a="1"/>
  <c r="AE112" i="19" s="1"/>
  <c r="Z112" i="19" a="1"/>
  <c r="Z112" i="19" s="1"/>
  <c r="AL112" i="19" a="1"/>
  <c r="AL112" i="19" s="1"/>
  <c r="AH112" i="19" a="1"/>
  <c r="AH112" i="19" s="1"/>
  <c r="AF112" i="19" a="1"/>
  <c r="AF112" i="19" s="1"/>
  <c r="AB112" i="19" a="1"/>
  <c r="AB112" i="19" s="1"/>
  <c r="AJ112" i="19" a="1"/>
  <c r="AJ112" i="19" s="1"/>
  <c r="Y112" i="19" a="1"/>
  <c r="Y112" i="19" s="1"/>
  <c r="AC112" i="19" a="1"/>
  <c r="AC112" i="19" s="1"/>
  <c r="AG112" i="19" a="1"/>
  <c r="AG112" i="19" s="1"/>
  <c r="Y111" i="19" a="1"/>
  <c r="Y111" i="19" s="1"/>
  <c r="AG111" i="19" a="1"/>
  <c r="AG111" i="19" s="1"/>
  <c r="AH111" i="19" a="1"/>
  <c r="AH111" i="19" s="1"/>
  <c r="Z111" i="19" a="1"/>
  <c r="Z111" i="19" s="1"/>
  <c r="AA111" i="19" a="1"/>
  <c r="AA111" i="19" s="1"/>
  <c r="AI111" i="19" a="1"/>
  <c r="AI111" i="19" s="1"/>
  <c r="AB111" i="19" a="1"/>
  <c r="AB111" i="19" s="1"/>
  <c r="AJ111" i="19" a="1"/>
  <c r="AJ111" i="19" s="1"/>
  <c r="AC111" i="19" a="1"/>
  <c r="AC111" i="19" s="1"/>
  <c r="AK111" i="19" a="1"/>
  <c r="AK111" i="19" s="1"/>
  <c r="AF111" i="19" a="1"/>
  <c r="AF111" i="19" s="1"/>
  <c r="AD111" i="19" a="1"/>
  <c r="AD111" i="19" s="1"/>
  <c r="AL111" i="19" a="1"/>
  <c r="AL111" i="19" s="1"/>
  <c r="AE111" i="19" a="1"/>
  <c r="AE111" i="19" s="1"/>
  <c r="C11" i="26" a="1"/>
  <c r="C11" i="26" s="1"/>
  <c r="BI64" i="10" a="1"/>
  <c r="BI64" i="10" s="1"/>
  <c r="BI66" i="10" a="1"/>
  <c r="BI66" i="10" s="1"/>
  <c r="BI68" i="10" a="1"/>
  <c r="BI68" i="10" s="1"/>
  <c r="BI70" i="10" a="1"/>
  <c r="BI70" i="10" s="1"/>
  <c r="BH71" i="10" a="1"/>
  <c r="BH71" i="10" s="1"/>
  <c r="BJ67" i="10" a="1"/>
  <c r="BJ67" i="10" s="1"/>
  <c r="BJ64" i="10" a="1"/>
  <c r="BJ64" i="10" s="1"/>
  <c r="BJ66" i="10" a="1"/>
  <c r="BJ66" i="10" s="1"/>
  <c r="BJ68" i="10" a="1"/>
  <c r="BJ68" i="10" s="1"/>
  <c r="BJ70" i="10" a="1"/>
  <c r="BJ70" i="10" s="1"/>
  <c r="BJ65" i="10" a="1"/>
  <c r="BJ65" i="10" s="1"/>
  <c r="BH70" i="10" a="1"/>
  <c r="BH70" i="10" s="1"/>
  <c r="BK64" i="10" a="1"/>
  <c r="BK64" i="10" s="1"/>
  <c r="BK66" i="10" a="1"/>
  <c r="BK66" i="10" s="1"/>
  <c r="BK68" i="10" a="1"/>
  <c r="BK68" i="10" s="1"/>
  <c r="BK70" i="10" a="1"/>
  <c r="BK70" i="10" s="1"/>
  <c r="BI71" i="10" a="1"/>
  <c r="BI71" i="10" s="1"/>
  <c r="BJ69" i="10" a="1"/>
  <c r="BJ69" i="10" s="1"/>
  <c r="BH63" i="10" a="1"/>
  <c r="BH63" i="10" s="1"/>
  <c r="BH65" i="10" a="1"/>
  <c r="BH65" i="10" s="1"/>
  <c r="BH67" i="10" a="1"/>
  <c r="BH67" i="10" s="1"/>
  <c r="BH69" i="10" a="1"/>
  <c r="BH69" i="10" s="1"/>
  <c r="BI69" i="10" a="1"/>
  <c r="BI69" i="10" s="1"/>
  <c r="BJ71" i="10" a="1"/>
  <c r="BJ71" i="10" s="1"/>
  <c r="BI63" i="10" a="1"/>
  <c r="BI63" i="10" s="1"/>
  <c r="BI65" i="10" a="1"/>
  <c r="BI65" i="10" s="1"/>
  <c r="BI67" i="10" a="1"/>
  <c r="BI67" i="10" s="1"/>
  <c r="BJ63" i="10" a="1"/>
  <c r="BJ63" i="10" s="1"/>
  <c r="BH66" i="10" a="1"/>
  <c r="BH66" i="10" s="1"/>
  <c r="BH68" i="10" a="1"/>
  <c r="BH68" i="10" s="1"/>
  <c r="BK63" i="10" a="1"/>
  <c r="BK63" i="10" s="1"/>
  <c r="BK65" i="10" a="1"/>
  <c r="BK65" i="10" s="1"/>
  <c r="BK67" i="10" a="1"/>
  <c r="BK67" i="10" s="1"/>
  <c r="BK69" i="10" a="1"/>
  <c r="BK69" i="10" s="1"/>
  <c r="BK71" i="10" a="1"/>
  <c r="BK71" i="10" s="1"/>
  <c r="BH64" i="10" a="1"/>
  <c r="BH64" i="10" s="1"/>
  <c r="Z110" i="19" a="1"/>
  <c r="Z110" i="19" s="1"/>
  <c r="AH110" i="19" a="1"/>
  <c r="AH110" i="19" s="1"/>
  <c r="AA110" i="19" a="1"/>
  <c r="AA110" i="19" s="1"/>
  <c r="AI110" i="19" a="1"/>
  <c r="AI110" i="19" s="1"/>
  <c r="AB110" i="19" a="1"/>
  <c r="AB110" i="19" s="1"/>
  <c r="AJ110" i="19" a="1"/>
  <c r="AJ110" i="19" s="1"/>
  <c r="AG110" i="19" a="1"/>
  <c r="AG110" i="19" s="1"/>
  <c r="AC110" i="19" a="1"/>
  <c r="AC110" i="19" s="1"/>
  <c r="AK110" i="19" a="1"/>
  <c r="AK110" i="19" s="1"/>
  <c r="AD110" i="19" a="1"/>
  <c r="AD110" i="19" s="1"/>
  <c r="AL110" i="19" a="1"/>
  <c r="AL110" i="19" s="1"/>
  <c r="AE110" i="19" a="1"/>
  <c r="AE110" i="19" s="1"/>
  <c r="AF110" i="19" a="1"/>
  <c r="AF110" i="19" s="1"/>
  <c r="Y110" i="19" a="1"/>
  <c r="Y110" i="19" s="1"/>
  <c r="Z109" i="19" a="1"/>
  <c r="Z109" i="19" s="1"/>
  <c r="AH109" i="19" a="1"/>
  <c r="AH109" i="19" s="1"/>
  <c r="AA109" i="19" a="1"/>
  <c r="AA109" i="19" s="1"/>
  <c r="AI109" i="19" a="1"/>
  <c r="AI109" i="19" s="1"/>
  <c r="AB109" i="19" a="1"/>
  <c r="AB109" i="19" s="1"/>
  <c r="AJ109" i="19" a="1"/>
  <c r="AJ109" i="19" s="1"/>
  <c r="AC109" i="19" a="1"/>
  <c r="AC109" i="19" s="1"/>
  <c r="AK109" i="19" a="1"/>
  <c r="AK109" i="19" s="1"/>
  <c r="AD109" i="19" a="1"/>
  <c r="AD109" i="19" s="1"/>
  <c r="AL109" i="19" a="1"/>
  <c r="AL109" i="19" s="1"/>
  <c r="AE109" i="19" a="1"/>
  <c r="AE109" i="19" s="1"/>
  <c r="AG109" i="19" a="1"/>
  <c r="AG109" i="19" s="1"/>
  <c r="AF109" i="19" a="1"/>
  <c r="AF109" i="19" s="1"/>
  <c r="Y109" i="19" a="1"/>
  <c r="Y109" i="19" s="1"/>
  <c r="Z108" i="19" a="1"/>
  <c r="Z108" i="19" s="1"/>
  <c r="AH108" i="19" a="1"/>
  <c r="AH108" i="19" s="1"/>
  <c r="AA108" i="19" a="1"/>
  <c r="AA108" i="19" s="1"/>
  <c r="AI108" i="19" a="1"/>
  <c r="AI108" i="19" s="1"/>
  <c r="AB108" i="19" a="1"/>
  <c r="AB108" i="19" s="1"/>
  <c r="AJ108" i="19" a="1"/>
  <c r="AJ108" i="19" s="1"/>
  <c r="AC108" i="19" a="1"/>
  <c r="AC108" i="19" s="1"/>
  <c r="AK108" i="19" a="1"/>
  <c r="AK108" i="19" s="1"/>
  <c r="AD108" i="19" a="1"/>
  <c r="AD108" i="19" s="1"/>
  <c r="AL108" i="19" a="1"/>
  <c r="AL108" i="19" s="1"/>
  <c r="AF108" i="19" a="1"/>
  <c r="AF108" i="19" s="1"/>
  <c r="Y108" i="19" a="1"/>
  <c r="Y108" i="19" s="1"/>
  <c r="AG108" i="19" a="1"/>
  <c r="AG108" i="19" s="1"/>
  <c r="AE108" i="19" a="1"/>
  <c r="AE108" i="19" s="1"/>
  <c r="Z107" i="19" a="1"/>
  <c r="Z107" i="19" s="1"/>
  <c r="AH107" i="19" a="1"/>
  <c r="AH107" i="19" s="1"/>
  <c r="AA107" i="19" a="1"/>
  <c r="AA107" i="19" s="1"/>
  <c r="AI107" i="19" a="1"/>
  <c r="AI107" i="19" s="1"/>
  <c r="AB107" i="19" a="1"/>
  <c r="AB107" i="19" s="1"/>
  <c r="AJ107" i="19" a="1"/>
  <c r="AJ107" i="19" s="1"/>
  <c r="AG107" i="19" a="1"/>
  <c r="AG107" i="19" s="1"/>
  <c r="AC107" i="19" a="1"/>
  <c r="AC107" i="19" s="1"/>
  <c r="AK107" i="19" a="1"/>
  <c r="AK107" i="19" s="1"/>
  <c r="AD107" i="19" a="1"/>
  <c r="AD107" i="19" s="1"/>
  <c r="AL107" i="19" a="1"/>
  <c r="AL107" i="19" s="1"/>
  <c r="Y107" i="19" a="1"/>
  <c r="Y107" i="19" s="1"/>
  <c r="AE107" i="19" a="1"/>
  <c r="AE107" i="19" s="1"/>
  <c r="AF107" i="19" a="1"/>
  <c r="AF107" i="19" s="1"/>
  <c r="Z106" i="19" a="1"/>
  <c r="Z106" i="19" s="1"/>
  <c r="AH106" i="19" a="1"/>
  <c r="AH106" i="19" s="1"/>
  <c r="AA106" i="19" a="1"/>
  <c r="AA106" i="19" s="1"/>
  <c r="AI106" i="19" a="1"/>
  <c r="AI106" i="19" s="1"/>
  <c r="AB106" i="19" a="1"/>
  <c r="AB106" i="19" s="1"/>
  <c r="AJ106" i="19" a="1"/>
  <c r="AJ106" i="19" s="1"/>
  <c r="AC106" i="19" a="1"/>
  <c r="AC106" i="19" s="1"/>
  <c r="AK106" i="19" a="1"/>
  <c r="AK106" i="19" s="1"/>
  <c r="AD106" i="19" a="1"/>
  <c r="AD106" i="19" s="1"/>
  <c r="AL106" i="19" a="1"/>
  <c r="AL106" i="19" s="1"/>
  <c r="AE106" i="19" a="1"/>
  <c r="AE106" i="19" s="1"/>
  <c r="AG106" i="19" a="1"/>
  <c r="AG106" i="19" s="1"/>
  <c r="AF106" i="19" a="1"/>
  <c r="AF106" i="19" s="1"/>
  <c r="Y106" i="19" a="1"/>
  <c r="Y106" i="19" s="1"/>
  <c r="Z105" i="19" a="1"/>
  <c r="Z105" i="19" s="1"/>
  <c r="AH105" i="19" a="1"/>
  <c r="AH105" i="19" s="1"/>
  <c r="AI105" i="19" a="1"/>
  <c r="AI105" i="19" s="1"/>
  <c r="AA105" i="19" a="1"/>
  <c r="AA105" i="19" s="1"/>
  <c r="AB105" i="19" a="1"/>
  <c r="AB105" i="19" s="1"/>
  <c r="AJ105" i="19" a="1"/>
  <c r="AJ105" i="19" s="1"/>
  <c r="AC105" i="19" a="1"/>
  <c r="AC105" i="19" s="1"/>
  <c r="AK105" i="19" a="1"/>
  <c r="AK105" i="19" s="1"/>
  <c r="AD105" i="19" a="1"/>
  <c r="AD105" i="19" s="1"/>
  <c r="AL105" i="19" a="1"/>
  <c r="AL105" i="19" s="1"/>
  <c r="AE105" i="19" a="1"/>
  <c r="AE105" i="19" s="1"/>
  <c r="AG105" i="19" a="1"/>
  <c r="AG105" i="19" s="1"/>
  <c r="AF105" i="19" a="1"/>
  <c r="AF105" i="19" s="1"/>
  <c r="Y105" i="19" a="1"/>
  <c r="Y105" i="19" s="1"/>
  <c r="Z104" i="19" a="1"/>
  <c r="Z104" i="19" s="1"/>
  <c r="AH104" i="19" a="1"/>
  <c r="AH104" i="19" s="1"/>
  <c r="AA104" i="19" a="1"/>
  <c r="AA104" i="19" s="1"/>
  <c r="AI104" i="19" a="1"/>
  <c r="AI104" i="19" s="1"/>
  <c r="AB104" i="19" a="1"/>
  <c r="AB104" i="19" s="1"/>
  <c r="AJ104" i="19" a="1"/>
  <c r="AJ104" i="19" s="1"/>
  <c r="AC104" i="19" a="1"/>
  <c r="AC104" i="19" s="1"/>
  <c r="AK104" i="19" a="1"/>
  <c r="AK104" i="19" s="1"/>
  <c r="AD104" i="19" a="1"/>
  <c r="AD104" i="19" s="1"/>
  <c r="AL104" i="19" a="1"/>
  <c r="AL104" i="19" s="1"/>
  <c r="AE104" i="19" a="1"/>
  <c r="AE104" i="19" s="1"/>
  <c r="AF104" i="19" a="1"/>
  <c r="AF104" i="19" s="1"/>
  <c r="Y104" i="19" a="1"/>
  <c r="Y104" i="19" s="1"/>
  <c r="AG104" i="19" a="1"/>
  <c r="AG104" i="19" s="1"/>
  <c r="Z103" i="19" a="1"/>
  <c r="Z103" i="19" s="1"/>
  <c r="AH103" i="19" a="1"/>
  <c r="AH103" i="19" s="1"/>
  <c r="AA103" i="19" a="1"/>
  <c r="AA103" i="19" s="1"/>
  <c r="AI103" i="19" a="1"/>
  <c r="AI103" i="19" s="1"/>
  <c r="AB103" i="19" a="1"/>
  <c r="AB103" i="19" s="1"/>
  <c r="AJ103" i="19" a="1"/>
  <c r="AJ103" i="19" s="1"/>
  <c r="AG103" i="19" a="1"/>
  <c r="AG103" i="19" s="1"/>
  <c r="AC103" i="19" a="1"/>
  <c r="AC103" i="19" s="1"/>
  <c r="AK103" i="19" a="1"/>
  <c r="AK103" i="19" s="1"/>
  <c r="AD103" i="19" a="1"/>
  <c r="AD103" i="19" s="1"/>
  <c r="AL103" i="19" a="1"/>
  <c r="AL103" i="19" s="1"/>
  <c r="Y103" i="19" a="1"/>
  <c r="Y103" i="19" s="1"/>
  <c r="AE103" i="19" a="1"/>
  <c r="AE103" i="19" s="1"/>
  <c r="AF103" i="19" a="1"/>
  <c r="AF103" i="19" s="1"/>
  <c r="Z102" i="19" a="1"/>
  <c r="Z102" i="19" s="1"/>
  <c r="AH102" i="19" a="1"/>
  <c r="AH102" i="19" s="1"/>
  <c r="AA102" i="19" a="1"/>
  <c r="AA102" i="19" s="1"/>
  <c r="AI102" i="19" a="1"/>
  <c r="AI102" i="19" s="1"/>
  <c r="AB102" i="19" a="1"/>
  <c r="AB102" i="19" s="1"/>
  <c r="AJ102" i="19" a="1"/>
  <c r="AJ102" i="19" s="1"/>
  <c r="AC102" i="19" a="1"/>
  <c r="AC102" i="19" s="1"/>
  <c r="AK102" i="19" a="1"/>
  <c r="AK102" i="19" s="1"/>
  <c r="AD102" i="19" a="1"/>
  <c r="AD102" i="19" s="1"/>
  <c r="AL102" i="19" a="1"/>
  <c r="AL102" i="19" s="1"/>
  <c r="AE102" i="19" a="1"/>
  <c r="AE102" i="19" s="1"/>
  <c r="Y102" i="19" a="1"/>
  <c r="Y102" i="19" s="1"/>
  <c r="AF102" i="19" a="1"/>
  <c r="AF102" i="19" s="1"/>
  <c r="AG102" i="19" a="1"/>
  <c r="AG102" i="19" s="1"/>
  <c r="C23" i="9" a="1"/>
  <c r="C23" i="9" s="1"/>
  <c r="Y40" i="19" a="1"/>
  <c r="Y40" i="19" s="1"/>
  <c r="Y46" i="19" a="1"/>
  <c r="Y46" i="19" s="1"/>
  <c r="Y52" i="19" a="1"/>
  <c r="Y52" i="19" s="1"/>
  <c r="Y59" i="19" a="1"/>
  <c r="Y59" i="19" s="1"/>
  <c r="Y65" i="19" a="1"/>
  <c r="Y65" i="19" s="1"/>
  <c r="Y72" i="19" a="1"/>
  <c r="Y72" i="19" s="1"/>
  <c r="Y79" i="19" a="1"/>
  <c r="Y79" i="19" s="1"/>
  <c r="Y86" i="19" a="1"/>
  <c r="Y86" i="19" s="1"/>
  <c r="Y100" i="19" a="1"/>
  <c r="Y100" i="19" s="1"/>
  <c r="Z40" i="19" a="1"/>
  <c r="Z40" i="19" s="1"/>
  <c r="Z54" i="19" a="1"/>
  <c r="Z54" i="19" s="1"/>
  <c r="Z61" i="19" a="1"/>
  <c r="Z61" i="19" s="1"/>
  <c r="Z68" i="19" a="1"/>
  <c r="Z68" i="19" s="1"/>
  <c r="Z76" i="19" a="1"/>
  <c r="Z76" i="19" s="1"/>
  <c r="Z84" i="19" a="1"/>
  <c r="Z84" i="19" s="1"/>
  <c r="Z92" i="19" a="1"/>
  <c r="Z92" i="19" s="1"/>
  <c r="Z100" i="19" a="1"/>
  <c r="Z100" i="19" s="1"/>
  <c r="AA40" i="19" a="1"/>
  <c r="AA40" i="19" s="1"/>
  <c r="AA48" i="19" a="1"/>
  <c r="AA48" i="19" s="1"/>
  <c r="AA56" i="19" a="1"/>
  <c r="AA56" i="19" s="1"/>
  <c r="AA64" i="19" a="1"/>
  <c r="AA64" i="19" s="1"/>
  <c r="AA72" i="19" a="1"/>
  <c r="AA72" i="19" s="1"/>
  <c r="AA80" i="19" a="1"/>
  <c r="AA80" i="19" s="1"/>
  <c r="AA87" i="19" a="1"/>
  <c r="AA87" i="19" s="1"/>
  <c r="AA95" i="19" a="1"/>
  <c r="AA95" i="19" s="1"/>
  <c r="AB35" i="19" a="1"/>
  <c r="AB35" i="19" s="1"/>
  <c r="AB42" i="19" a="1"/>
  <c r="AB42" i="19" s="1"/>
  <c r="AB50" i="19" a="1"/>
  <c r="AB50" i="19" s="1"/>
  <c r="AB58" i="19" a="1"/>
  <c r="AB58" i="19" s="1"/>
  <c r="AB66" i="19" a="1"/>
  <c r="AB66" i="19" s="1"/>
  <c r="AB74" i="19" a="1"/>
  <c r="AB74" i="19" s="1"/>
  <c r="AB89" i="19" a="1"/>
  <c r="AB89" i="19" s="1"/>
  <c r="AB97" i="19" a="1"/>
  <c r="AB97" i="19" s="1"/>
  <c r="AC36" i="19" a="1"/>
  <c r="AC36" i="19" s="1"/>
  <c r="AC44" i="19" a="1"/>
  <c r="AC44" i="19" s="1"/>
  <c r="AC50" i="19" a="1"/>
  <c r="AC50" i="19" s="1"/>
  <c r="AC58" i="19" a="1"/>
  <c r="AC58" i="19" s="1"/>
  <c r="AC65" i="19" a="1"/>
  <c r="AC65" i="19" s="1"/>
  <c r="AC73" i="19" a="1"/>
  <c r="AC73" i="19" s="1"/>
  <c r="AC79" i="19" a="1"/>
  <c r="AC79" i="19" s="1"/>
  <c r="AC84" i="19" a="1"/>
  <c r="AC84" i="19" s="1"/>
  <c r="AC96" i="19" a="1"/>
  <c r="AC96" i="19" s="1"/>
  <c r="AD45" i="19" a="1"/>
  <c r="AD45" i="19" s="1"/>
  <c r="AD50" i="19" a="1"/>
  <c r="AD50" i="19" s="1"/>
  <c r="AD57" i="19" a="1"/>
  <c r="AD57" i="19" s="1"/>
  <c r="AD69" i="19" a="1"/>
  <c r="AD69" i="19" s="1"/>
  <c r="AD75" i="19" a="1"/>
  <c r="AD75" i="19" s="1"/>
  <c r="AD86" i="19" a="1"/>
  <c r="AD86" i="19" s="1"/>
  <c r="AD92" i="19" a="1"/>
  <c r="AD92" i="19" s="1"/>
  <c r="AD98" i="19" a="1"/>
  <c r="AD98" i="19" s="1"/>
  <c r="AE36" i="19" a="1"/>
  <c r="AE36" i="19" s="1"/>
  <c r="AE42" i="19" a="1"/>
  <c r="AE42" i="19" s="1"/>
  <c r="AE47" i="19" a="1"/>
  <c r="AE47" i="19" s="1"/>
  <c r="AE53" i="19" a="1"/>
  <c r="AE53" i="19" s="1"/>
  <c r="AE60" i="19" a="1"/>
  <c r="AE60" i="19" s="1"/>
  <c r="AE66" i="19" a="1"/>
  <c r="AE66" i="19" s="1"/>
  <c r="AE72" i="19" a="1"/>
  <c r="AE72" i="19" s="1"/>
  <c r="AE77" i="19" a="1"/>
  <c r="AE77" i="19" s="1"/>
  <c r="AE83" i="19" a="1"/>
  <c r="AE83" i="19" s="1"/>
  <c r="AE89" i="19" a="1"/>
  <c r="AE89" i="19" s="1"/>
  <c r="AE95" i="19" a="1"/>
  <c r="AE95" i="19" s="1"/>
  <c r="AF39" i="19" a="1"/>
  <c r="AF39" i="19" s="1"/>
  <c r="AF44" i="19" a="1"/>
  <c r="AF44" i="19" s="1"/>
  <c r="AF56" i="19" a="1"/>
  <c r="AF56" i="19" s="1"/>
  <c r="AF63" i="19" a="1"/>
  <c r="AF63" i="19" s="1"/>
  <c r="AF80" i="19" a="1"/>
  <c r="AF80" i="19" s="1"/>
  <c r="AF86" i="19" a="1"/>
  <c r="AF86" i="19" s="1"/>
  <c r="Y41" i="19" a="1"/>
  <c r="Y41" i="19" s="1"/>
  <c r="Y53" i="19" a="1"/>
  <c r="Y53" i="19" s="1"/>
  <c r="Y60" i="19" a="1"/>
  <c r="Y60" i="19" s="1"/>
  <c r="Y66" i="19" a="1"/>
  <c r="Y66" i="19" s="1"/>
  <c r="Y73" i="19" a="1"/>
  <c r="Y73" i="19" s="1"/>
  <c r="Y80" i="19" a="1"/>
  <c r="Y80" i="19" s="1"/>
  <c r="Y87" i="19" a="1"/>
  <c r="Y87" i="19" s="1"/>
  <c r="Y94" i="19" a="1"/>
  <c r="Y94" i="19" s="1"/>
  <c r="Y101" i="19" a="1"/>
  <c r="Y101" i="19" s="1"/>
  <c r="Z41" i="19" a="1"/>
  <c r="Z41" i="19" s="1"/>
  <c r="Z47" i="19" a="1"/>
  <c r="Z47" i="19" s="1"/>
  <c r="Z55" i="19" a="1"/>
  <c r="Z55" i="19" s="1"/>
  <c r="Z62" i="19" a="1"/>
  <c r="Z62" i="19" s="1"/>
  <c r="Z69" i="19" a="1"/>
  <c r="Z69" i="19" s="1"/>
  <c r="Z77" i="19" a="1"/>
  <c r="Z77" i="19" s="1"/>
  <c r="Z85" i="19" a="1"/>
  <c r="Z85" i="19" s="1"/>
  <c r="Z93" i="19" a="1"/>
  <c r="Z93" i="19" s="1"/>
  <c r="Z101" i="19" a="1"/>
  <c r="Z101" i="19" s="1"/>
  <c r="AA41" i="19" a="1"/>
  <c r="AA41" i="19" s="1"/>
  <c r="AA49" i="19" a="1"/>
  <c r="AA49" i="19" s="1"/>
  <c r="AA57" i="19" a="1"/>
  <c r="AA57" i="19" s="1"/>
  <c r="AA65" i="19" a="1"/>
  <c r="AA65" i="19" s="1"/>
  <c r="AA73" i="19" a="1"/>
  <c r="AA73" i="19" s="1"/>
  <c r="AA81" i="19" a="1"/>
  <c r="AA81" i="19" s="1"/>
  <c r="AA88" i="19" a="1"/>
  <c r="AA88" i="19" s="1"/>
  <c r="AA96" i="19" a="1"/>
  <c r="AA96" i="19" s="1"/>
  <c r="AB36" i="19" a="1"/>
  <c r="AB36" i="19" s="1"/>
  <c r="AB43" i="19" a="1"/>
  <c r="AB43" i="19" s="1"/>
  <c r="AB51" i="19" a="1"/>
  <c r="AB51" i="19" s="1"/>
  <c r="AB59" i="19" a="1"/>
  <c r="AB59" i="19" s="1"/>
  <c r="AB67" i="19" a="1"/>
  <c r="AB67" i="19" s="1"/>
  <c r="AB75" i="19" a="1"/>
  <c r="AB75" i="19" s="1"/>
  <c r="AB82" i="19" a="1"/>
  <c r="AB82" i="19" s="1"/>
  <c r="AB90" i="19" a="1"/>
  <c r="AB90" i="19" s="1"/>
  <c r="AB98" i="19" a="1"/>
  <c r="AB98" i="19" s="1"/>
  <c r="AC37" i="19" a="1"/>
  <c r="AC37" i="19" s="1"/>
  <c r="AC45" i="19" a="1"/>
  <c r="AC45" i="19" s="1"/>
  <c r="AC51" i="19" a="1"/>
  <c r="AC51" i="19" s="1"/>
  <c r="AC59" i="19" a="1"/>
  <c r="AC59" i="19" s="1"/>
  <c r="AC66" i="19" a="1"/>
  <c r="AC66" i="19" s="1"/>
  <c r="AC74" i="19" a="1"/>
  <c r="AC74" i="19" s="1"/>
  <c r="AC80" i="19" a="1"/>
  <c r="AC80" i="19" s="1"/>
  <c r="AC85" i="19" a="1"/>
  <c r="AC85" i="19" s="1"/>
  <c r="AC90" i="19" a="1"/>
  <c r="AC90" i="19" s="1"/>
  <c r="AC97" i="19" a="1"/>
  <c r="AC97" i="19" s="1"/>
  <c r="AD40" i="19" a="1"/>
  <c r="AD40" i="19" s="1"/>
  <c r="AD46" i="19" a="1"/>
  <c r="AD46" i="19" s="1"/>
  <c r="AD51" i="19" a="1"/>
  <c r="AD51" i="19" s="1"/>
  <c r="AD64" i="19" a="1"/>
  <c r="AD64" i="19" s="1"/>
  <c r="AD70" i="19" a="1"/>
  <c r="AD70" i="19" s="1"/>
  <c r="AD76" i="19" a="1"/>
  <c r="AD76" i="19" s="1"/>
  <c r="AD81" i="19" a="1"/>
  <c r="AD81" i="19" s="1"/>
  <c r="AD87" i="19" a="1"/>
  <c r="AD87" i="19" s="1"/>
  <c r="AD93" i="19" a="1"/>
  <c r="AD93" i="19" s="1"/>
  <c r="AD99" i="19" a="1"/>
  <c r="AD99" i="19" s="1"/>
  <c r="AE43" i="19" a="1"/>
  <c r="AE43" i="19" s="1"/>
  <c r="AE48" i="19" a="1"/>
  <c r="AE48" i="19" s="1"/>
  <c r="AE61" i="19" a="1"/>
  <c r="AE61" i="19" s="1"/>
  <c r="AE67" i="19" a="1"/>
  <c r="AE67" i="19" s="1"/>
  <c r="Y47" i="19" a="1"/>
  <c r="Y47" i="19" s="1"/>
  <c r="Y54" i="19" a="1"/>
  <c r="Y54" i="19" s="1"/>
  <c r="Y61" i="19" a="1"/>
  <c r="Y61" i="19" s="1"/>
  <c r="Y74" i="19" a="1"/>
  <c r="Y74" i="19" s="1"/>
  <c r="Y81" i="19" a="1"/>
  <c r="Y81" i="19" s="1"/>
  <c r="Y88" i="19" a="1"/>
  <c r="Y88" i="19" s="1"/>
  <c r="Y95" i="19" a="1"/>
  <c r="Y95" i="19" s="1"/>
  <c r="Z48" i="19" a="1"/>
  <c r="Z48" i="19" s="1"/>
  <c r="Z56" i="19" a="1"/>
  <c r="Z56" i="19" s="1"/>
  <c r="Z70" i="19" a="1"/>
  <c r="Z70" i="19" s="1"/>
  <c r="Z78" i="19" a="1"/>
  <c r="Z78" i="19" s="1"/>
  <c r="Z86" i="19" a="1"/>
  <c r="Z86" i="19" s="1"/>
  <c r="Z94" i="19" a="1"/>
  <c r="Z94" i="19" s="1"/>
  <c r="AA42" i="19" a="1"/>
  <c r="AA42" i="19" s="1"/>
  <c r="AA50" i="19" a="1"/>
  <c r="AA50" i="19" s="1"/>
  <c r="AA58" i="19" a="1"/>
  <c r="AA58" i="19" s="1"/>
  <c r="AA66" i="19" a="1"/>
  <c r="AA66" i="19" s="1"/>
  <c r="AA74" i="19" a="1"/>
  <c r="AA74" i="19" s="1"/>
  <c r="AA82" i="19" a="1"/>
  <c r="AA82" i="19" s="1"/>
  <c r="AA89" i="19" a="1"/>
  <c r="AA89" i="19" s="1"/>
  <c r="AA97" i="19" a="1"/>
  <c r="AA97" i="19" s="1"/>
  <c r="AB37" i="19" a="1"/>
  <c r="AB37" i="19" s="1"/>
  <c r="AB44" i="19" a="1"/>
  <c r="AB44" i="19" s="1"/>
  <c r="AB52" i="19" a="1"/>
  <c r="AB52" i="19" s="1"/>
  <c r="AB60" i="19" a="1"/>
  <c r="AB60" i="19" s="1"/>
  <c r="AB68" i="19" a="1"/>
  <c r="AB68" i="19" s="1"/>
  <c r="AB76" i="19" a="1"/>
  <c r="AB76" i="19" s="1"/>
  <c r="AB83" i="19" a="1"/>
  <c r="AB83" i="19" s="1"/>
  <c r="AB91" i="19" a="1"/>
  <c r="AB91" i="19" s="1"/>
  <c r="AC38" i="19" a="1"/>
  <c r="AC38" i="19" s="1"/>
  <c r="AC52" i="19" a="1"/>
  <c r="AC52" i="19" s="1"/>
  <c r="AC60" i="19" a="1"/>
  <c r="AC60" i="19" s="1"/>
  <c r="AC67" i="19" a="1"/>
  <c r="AC67" i="19" s="1"/>
  <c r="AC75" i="19" a="1"/>
  <c r="AC75" i="19" s="1"/>
  <c r="AC81" i="19" a="1"/>
  <c r="AC81" i="19" s="1"/>
  <c r="AC86" i="19" a="1"/>
  <c r="AC86" i="19" s="1"/>
  <c r="AC98" i="19" a="1"/>
  <c r="AC98" i="19" s="1"/>
  <c r="AD35" i="19" a="1"/>
  <c r="AD35" i="19" s="1"/>
  <c r="AD47" i="19" a="1"/>
  <c r="AD47" i="19" s="1"/>
  <c r="AD52" i="19" a="1"/>
  <c r="AD52" i="19" s="1"/>
  <c r="AD58" i="19" a="1"/>
  <c r="AD58" i="19" s="1"/>
  <c r="AD65" i="19" a="1"/>
  <c r="AD65" i="19" s="1"/>
  <c r="AD71" i="19" a="1"/>
  <c r="AD71" i="19" s="1"/>
  <c r="AD88" i="19" a="1"/>
  <c r="AD88" i="19" s="1"/>
  <c r="AD94" i="19" a="1"/>
  <c r="AD94" i="19" s="1"/>
  <c r="AE37" i="19" a="1"/>
  <c r="AE37" i="19" s="1"/>
  <c r="AE49" i="19" a="1"/>
  <c r="AE49" i="19" s="1"/>
  <c r="AE54" i="19" a="1"/>
  <c r="AE54" i="19" s="1"/>
  <c r="AE73" i="19" a="1"/>
  <c r="AE73" i="19" s="1"/>
  <c r="AE78" i="19" a="1"/>
  <c r="AE78" i="19" s="1"/>
  <c r="AE91" i="19" a="1"/>
  <c r="AE91" i="19" s="1"/>
  <c r="AE96" i="19" a="1"/>
  <c r="AE96" i="19" s="1"/>
  <c r="AF40" i="19" a="1"/>
  <c r="AF40" i="19" s="1"/>
  <c r="AF51" i="19" a="1"/>
  <c r="AF51" i="19" s="1"/>
  <c r="AF64" i="19" a="1"/>
  <c r="AF64" i="19" s="1"/>
  <c r="AF70" i="19" a="1"/>
  <c r="AF70" i="19" s="1"/>
  <c r="AF75" i="19" a="1"/>
  <c r="AF75" i="19" s="1"/>
  <c r="AF81" i="19" a="1"/>
  <c r="AF81" i="19" s="1"/>
  <c r="AF93" i="19" a="1"/>
  <c r="AF93" i="19" s="1"/>
  <c r="AF99" i="19" a="1"/>
  <c r="AF99" i="19" s="1"/>
  <c r="AG42" i="19" a="1"/>
  <c r="AG42" i="19" s="1"/>
  <c r="AG48" i="19" a="1"/>
  <c r="AG48" i="19" s="1"/>
  <c r="AG54" i="19" a="1"/>
  <c r="AG54" i="19" s="1"/>
  <c r="Y35" i="19" a="1"/>
  <c r="Y35" i="19" s="1"/>
  <c r="Y42" i="19" a="1"/>
  <c r="Y42" i="19" s="1"/>
  <c r="Y48" i="19" a="1"/>
  <c r="Y48" i="19" s="1"/>
  <c r="Y55" i="19" a="1"/>
  <c r="Y55" i="19" s="1"/>
  <c r="Y67" i="19" a="1"/>
  <c r="Y67" i="19" s="1"/>
  <c r="Y75" i="19" a="1"/>
  <c r="Y75" i="19" s="1"/>
  <c r="Y82" i="19" a="1"/>
  <c r="Y82" i="19" s="1"/>
  <c r="Y89" i="19" a="1"/>
  <c r="Y89" i="19" s="1"/>
  <c r="Y96" i="19" a="1"/>
  <c r="Y96" i="19" s="1"/>
  <c r="Z35" i="19" a="1"/>
  <c r="Z35" i="19" s="1"/>
  <c r="Z42" i="19" a="1"/>
  <c r="Z42" i="19" s="1"/>
  <c r="Z49" i="19" a="1"/>
  <c r="Z49" i="19" s="1"/>
  <c r="Z57" i="19" a="1"/>
  <c r="Z57" i="19" s="1"/>
  <c r="Z63" i="19" a="1"/>
  <c r="Z63" i="19" s="1"/>
  <c r="Z71" i="19" a="1"/>
  <c r="Z71" i="19" s="1"/>
  <c r="Z79" i="19" a="1"/>
  <c r="Z79" i="19" s="1"/>
  <c r="Z87" i="19" a="1"/>
  <c r="Z87" i="19" s="1"/>
  <c r="Z95" i="19" a="1"/>
  <c r="Z95" i="19" s="1"/>
  <c r="AA35" i="19" a="1"/>
  <c r="AA35" i="19" s="1"/>
  <c r="AA43" i="19" a="1"/>
  <c r="AA43" i="19" s="1"/>
  <c r="AA51" i="19" a="1"/>
  <c r="AA51" i="19" s="1"/>
  <c r="AA59" i="19" a="1"/>
  <c r="AA59" i="19" s="1"/>
  <c r="AA67" i="19" a="1"/>
  <c r="AA67" i="19" s="1"/>
  <c r="AA75" i="19" a="1"/>
  <c r="AA75" i="19" s="1"/>
  <c r="AA83" i="19" a="1"/>
  <c r="AA83" i="19" s="1"/>
  <c r="AA90" i="19" a="1"/>
  <c r="AA90" i="19" s="1"/>
  <c r="AA98" i="19" a="1"/>
  <c r="AA98" i="19" s="1"/>
  <c r="AB38" i="19" a="1"/>
  <c r="AB38" i="19" s="1"/>
  <c r="AB45" i="19" a="1"/>
  <c r="AB45" i="19" s="1"/>
  <c r="AB53" i="19" a="1"/>
  <c r="AB53" i="19" s="1"/>
  <c r="AB61" i="19" a="1"/>
  <c r="AB61" i="19" s="1"/>
  <c r="AB69" i="19" a="1"/>
  <c r="AB69" i="19" s="1"/>
  <c r="AB77" i="19" a="1"/>
  <c r="AB77" i="19" s="1"/>
  <c r="AB84" i="19" a="1"/>
  <c r="AB84" i="19" s="1"/>
  <c r="AB92" i="19" a="1"/>
  <c r="AB92" i="19" s="1"/>
  <c r="AB99" i="19" a="1"/>
  <c r="AB99" i="19" s="1"/>
  <c r="AC39" i="19" a="1"/>
  <c r="AC39" i="19" s="1"/>
  <c r="AC46" i="19" a="1"/>
  <c r="AC46" i="19" s="1"/>
  <c r="AC53" i="19" a="1"/>
  <c r="AC53" i="19" s="1"/>
  <c r="AC61" i="19" a="1"/>
  <c r="AC61" i="19" s="1"/>
  <c r="AC68" i="19" a="1"/>
  <c r="AC68" i="19" s="1"/>
  <c r="AC76" i="19" a="1"/>
  <c r="AC76" i="19" s="1"/>
  <c r="AC91" i="19" a="1"/>
  <c r="AC91" i="19" s="1"/>
  <c r="AD41" i="19" a="1"/>
  <c r="AD41" i="19" s="1"/>
  <c r="AD53" i="19" a="1"/>
  <c r="AD53" i="19" s="1"/>
  <c r="AD59" i="19" a="1"/>
  <c r="AD59" i="19" s="1"/>
  <c r="AD77" i="19" a="1"/>
  <c r="AD77" i="19" s="1"/>
  <c r="AD82" i="19" a="1"/>
  <c r="AD82" i="19" s="1"/>
  <c r="AD95" i="19" a="1"/>
  <c r="AD95" i="19" s="1"/>
  <c r="AD100" i="19" a="1"/>
  <c r="AD100" i="19" s="1"/>
  <c r="AE38" i="19" a="1"/>
  <c r="AE38" i="19" s="1"/>
  <c r="AE44" i="19" a="1"/>
  <c r="AE44" i="19" s="1"/>
  <c r="AE55" i="19" a="1"/>
  <c r="AE55" i="19" s="1"/>
  <c r="AE62" i="19" a="1"/>
  <c r="AE62" i="19" s="1"/>
  <c r="AE68" i="19" a="1"/>
  <c r="AE68" i="19" s="1"/>
  <c r="AE74" i="19" a="1"/>
  <c r="AE74" i="19" s="1"/>
  <c r="AE79" i="19" a="1"/>
  <c r="AE79" i="19" s="1"/>
  <c r="AE85" i="19" a="1"/>
  <c r="AE85" i="19" s="1"/>
  <c r="AE97" i="19" a="1"/>
  <c r="AE97" i="19" s="1"/>
  <c r="AF35" i="19" a="1"/>
  <c r="AF35" i="19" s="1"/>
  <c r="AF46" i="19" a="1"/>
  <c r="AF46" i="19" s="1"/>
  <c r="AF52" i="19" a="1"/>
  <c r="AF52" i="19" s="1"/>
  <c r="Y36" i="19" a="1"/>
  <c r="Y36" i="19" s="1"/>
  <c r="Y43" i="19" a="1"/>
  <c r="Y43" i="19" s="1"/>
  <c r="Y49" i="19" a="1"/>
  <c r="Y49" i="19" s="1"/>
  <c r="Y56" i="19" a="1"/>
  <c r="Y56" i="19" s="1"/>
  <c r="Y62" i="19" a="1"/>
  <c r="Y62" i="19" s="1"/>
  <c r="Y68" i="19" a="1"/>
  <c r="Y68" i="19" s="1"/>
  <c r="Y76" i="19" a="1"/>
  <c r="Y76" i="19" s="1"/>
  <c r="Y90" i="19" a="1"/>
  <c r="Y90" i="19" s="1"/>
  <c r="Y97" i="19" a="1"/>
  <c r="Y97" i="19" s="1"/>
  <c r="Z36" i="19" a="1"/>
  <c r="Z36" i="19" s="1"/>
  <c r="Z43" i="19" a="1"/>
  <c r="Z43" i="19" s="1"/>
  <c r="Z50" i="19" a="1"/>
  <c r="Z50" i="19" s="1"/>
  <c r="Z64" i="19" a="1"/>
  <c r="Z64" i="19" s="1"/>
  <c r="Z72" i="19" a="1"/>
  <c r="Z72" i="19" s="1"/>
  <c r="Z80" i="19" a="1"/>
  <c r="Z80" i="19" s="1"/>
  <c r="Z88" i="19" a="1"/>
  <c r="Z88" i="19" s="1"/>
  <c r="Z96" i="19" a="1"/>
  <c r="Z96" i="19" s="1"/>
  <c r="AA36" i="19" a="1"/>
  <c r="AA36" i="19" s="1"/>
  <c r="AA44" i="19" a="1"/>
  <c r="AA44" i="19" s="1"/>
  <c r="AA52" i="19" a="1"/>
  <c r="AA52" i="19" s="1"/>
  <c r="AA60" i="19" a="1"/>
  <c r="AA60" i="19" s="1"/>
  <c r="AA68" i="19" a="1"/>
  <c r="AA68" i="19" s="1"/>
  <c r="AA76" i="19" a="1"/>
  <c r="AA76" i="19" s="1"/>
  <c r="AA84" i="19" a="1"/>
  <c r="AA84" i="19" s="1"/>
  <c r="AA91" i="19" a="1"/>
  <c r="AA91" i="19" s="1"/>
  <c r="AA99" i="19" a="1"/>
  <c r="AA99" i="19" s="1"/>
  <c r="AB46" i="19" a="1"/>
  <c r="AB46" i="19" s="1"/>
  <c r="AB54" i="19" a="1"/>
  <c r="AB54" i="19" s="1"/>
  <c r="AB62" i="19" a="1"/>
  <c r="AB62" i="19" s="1"/>
  <c r="AB70" i="19" a="1"/>
  <c r="AB70" i="19" s="1"/>
  <c r="AB78" i="19" a="1"/>
  <c r="AB78" i="19" s="1"/>
  <c r="AB85" i="19" a="1"/>
  <c r="AB85" i="19" s="1"/>
  <c r="AB93" i="19" a="1"/>
  <c r="AB93" i="19" s="1"/>
  <c r="AB100" i="19" a="1"/>
  <c r="AB100" i="19" s="1"/>
  <c r="AC40" i="19" a="1"/>
  <c r="AC40" i="19" s="1"/>
  <c r="AC54" i="19" a="1"/>
  <c r="AC54" i="19" s="1"/>
  <c r="AC62" i="19" a="1"/>
  <c r="AC62" i="19" s="1"/>
  <c r="AC69" i="19" a="1"/>
  <c r="AC69" i="19" s="1"/>
  <c r="AC77" i="19" a="1"/>
  <c r="AC77" i="19" s="1"/>
  <c r="AC82" i="19" a="1"/>
  <c r="AC82" i="19" s="1"/>
  <c r="AC87" i="19" a="1"/>
  <c r="AC87" i="19" s="1"/>
  <c r="AC92" i="19" a="1"/>
  <c r="AC92" i="19" s="1"/>
  <c r="AC99" i="19" a="1"/>
  <c r="AC99" i="19" s="1"/>
  <c r="AD36" i="19" a="1"/>
  <c r="AD36" i="19" s="1"/>
  <c r="AD42" i="19" a="1"/>
  <c r="AD42" i="19" s="1"/>
  <c r="AD48" i="19" a="1"/>
  <c r="AD48" i="19" s="1"/>
  <c r="AD60" i="19" a="1"/>
  <c r="AD60" i="19" s="1"/>
  <c r="AD66" i="19" a="1"/>
  <c r="AD66" i="19" s="1"/>
  <c r="AD72" i="19" a="1"/>
  <c r="AD72" i="19" s="1"/>
  <c r="AD78" i="19" a="1"/>
  <c r="AD78" i="19" s="1"/>
  <c r="AD83" i="19" a="1"/>
  <c r="AD83" i="19" s="1"/>
  <c r="AD89" i="19" a="1"/>
  <c r="AD89" i="19" s="1"/>
  <c r="AD101" i="19" a="1"/>
  <c r="AD101" i="19" s="1"/>
  <c r="AE39" i="19" a="1"/>
  <c r="AE39" i="19" s="1"/>
  <c r="AE50" i="19" a="1"/>
  <c r="AE50" i="19" s="1"/>
  <c r="AE56" i="19" a="1"/>
  <c r="AE56" i="19" s="1"/>
  <c r="AE63" i="19" a="1"/>
  <c r="AE63" i="19" s="1"/>
  <c r="AE75" i="19" a="1"/>
  <c r="AE75" i="19" s="1"/>
  <c r="AE80" i="19" a="1"/>
  <c r="AE80" i="19" s="1"/>
  <c r="AE92" i="19" a="1"/>
  <c r="AE92" i="19" s="1"/>
  <c r="Y37" i="19" a="1"/>
  <c r="Y37" i="19" s="1"/>
  <c r="Y44" i="19" a="1"/>
  <c r="Y44" i="19" s="1"/>
  <c r="Y50" i="19" a="1"/>
  <c r="Y50" i="19" s="1"/>
  <c r="Y57" i="19" a="1"/>
  <c r="Y57" i="19" s="1"/>
  <c r="Y69" i="19" a="1"/>
  <c r="Y69" i="19" s="1"/>
  <c r="Y77" i="19" a="1"/>
  <c r="Y77" i="19" s="1"/>
  <c r="Y83" i="19" a="1"/>
  <c r="Y83" i="19" s="1"/>
  <c r="Y91" i="19" a="1"/>
  <c r="Y91" i="19" s="1"/>
  <c r="Y98" i="19" a="1"/>
  <c r="Y98" i="19" s="1"/>
  <c r="Z37" i="19" a="1"/>
  <c r="Z37" i="19" s="1"/>
  <c r="Z44" i="19" a="1"/>
  <c r="Z44" i="19" s="1"/>
  <c r="Z51" i="19" a="1"/>
  <c r="Z51" i="19" s="1"/>
  <c r="Z58" i="19" a="1"/>
  <c r="Z58" i="19" s="1"/>
  <c r="Z65" i="19" a="1"/>
  <c r="Z65" i="19" s="1"/>
  <c r="Z73" i="19" a="1"/>
  <c r="Z73" i="19" s="1"/>
  <c r="Z81" i="19" a="1"/>
  <c r="Z81" i="19" s="1"/>
  <c r="Z89" i="19" a="1"/>
  <c r="Z89" i="19" s="1"/>
  <c r="Z97" i="19" a="1"/>
  <c r="Z97" i="19" s="1"/>
  <c r="AA37" i="19" a="1"/>
  <c r="AA37" i="19" s="1"/>
  <c r="AA45" i="19" a="1"/>
  <c r="AA45" i="19" s="1"/>
  <c r="AA53" i="19" a="1"/>
  <c r="AA53" i="19" s="1"/>
  <c r="AA61" i="19" a="1"/>
  <c r="AA61" i="19" s="1"/>
  <c r="AA69" i="19" a="1"/>
  <c r="AA69" i="19" s="1"/>
  <c r="AA77" i="19" a="1"/>
  <c r="AA77" i="19" s="1"/>
  <c r="AA85" i="19" a="1"/>
  <c r="AA85" i="19" s="1"/>
  <c r="AA92" i="19" a="1"/>
  <c r="AA92" i="19" s="1"/>
  <c r="AA100" i="19" a="1"/>
  <c r="AA100" i="19" s="1"/>
  <c r="AB39" i="19" a="1"/>
  <c r="AB39" i="19" s="1"/>
  <c r="AB47" i="19" a="1"/>
  <c r="AB47" i="19" s="1"/>
  <c r="AB55" i="19" a="1"/>
  <c r="AB55" i="19" s="1"/>
  <c r="AB63" i="19" a="1"/>
  <c r="AB63" i="19" s="1"/>
  <c r="AB71" i="19" a="1"/>
  <c r="AB71" i="19" s="1"/>
  <c r="AB79" i="19" a="1"/>
  <c r="AB79" i="19" s="1"/>
  <c r="AB86" i="19" a="1"/>
  <c r="AB86" i="19" s="1"/>
  <c r="AB94" i="19" a="1"/>
  <c r="AB94" i="19" s="1"/>
  <c r="AB101" i="19" a="1"/>
  <c r="AB101" i="19" s="1"/>
  <c r="AC41" i="19" a="1"/>
  <c r="AC41" i="19" s="1"/>
  <c r="AC47" i="19" a="1"/>
  <c r="AC47" i="19" s="1"/>
  <c r="AC55" i="19" a="1"/>
  <c r="AC55" i="19" s="1"/>
  <c r="AC70" i="19" a="1"/>
  <c r="AC70" i="19" s="1"/>
  <c r="AC93" i="19" a="1"/>
  <c r="AC93" i="19" s="1"/>
  <c r="AD37" i="19" a="1"/>
  <c r="AD37" i="19" s="1"/>
  <c r="AD43" i="19" a="1"/>
  <c r="AD43" i="19" s="1"/>
  <c r="Y38" i="19" a="1"/>
  <c r="Y38" i="19" s="1"/>
  <c r="Y45" i="19" a="1"/>
  <c r="Y45" i="19" s="1"/>
  <c r="Y63" i="19" a="1"/>
  <c r="Y63" i="19" s="1"/>
  <c r="Y70" i="19" a="1"/>
  <c r="Y70" i="19" s="1"/>
  <c r="Y84" i="19" a="1"/>
  <c r="Y84" i="19" s="1"/>
  <c r="Y92" i="19" a="1"/>
  <c r="Y92" i="19" s="1"/>
  <c r="Z38" i="19" a="1"/>
  <c r="Z38" i="19" s="1"/>
  <c r="Z45" i="19" a="1"/>
  <c r="Z45" i="19" s="1"/>
  <c r="Z52" i="19" a="1"/>
  <c r="Z52" i="19" s="1"/>
  <c r="Z59" i="19" a="1"/>
  <c r="Z59" i="19" s="1"/>
  <c r="Z66" i="19" a="1"/>
  <c r="Z66" i="19" s="1"/>
  <c r="Z74" i="19" a="1"/>
  <c r="Z74" i="19" s="1"/>
  <c r="Z82" i="19" a="1"/>
  <c r="Z82" i="19" s="1"/>
  <c r="Z90" i="19" a="1"/>
  <c r="Z90" i="19" s="1"/>
  <c r="Z98" i="19" a="1"/>
  <c r="Z98" i="19" s="1"/>
  <c r="AA38" i="19" a="1"/>
  <c r="AA38" i="19" s="1"/>
  <c r="AA46" i="19" a="1"/>
  <c r="AA46" i="19" s="1"/>
  <c r="AA54" i="19" a="1"/>
  <c r="AA54" i="19" s="1"/>
  <c r="AA62" i="19" a="1"/>
  <c r="AA62" i="19" s="1"/>
  <c r="AA70" i="19" a="1"/>
  <c r="AA70" i="19" s="1"/>
  <c r="AA78" i="19" a="1"/>
  <c r="AA78" i="19" s="1"/>
  <c r="AA93" i="19" a="1"/>
  <c r="AA93" i="19" s="1"/>
  <c r="AA101" i="19" a="1"/>
  <c r="AA101" i="19" s="1"/>
  <c r="AB40" i="19" a="1"/>
  <c r="AB40" i="19" s="1"/>
  <c r="AB48" i="19" a="1"/>
  <c r="AB48" i="19" s="1"/>
  <c r="AB56" i="19" a="1"/>
  <c r="AB56" i="19" s="1"/>
  <c r="AB64" i="19" a="1"/>
  <c r="AB64" i="19" s="1"/>
  <c r="AB72" i="19" a="1"/>
  <c r="AB72" i="19" s="1"/>
  <c r="AB80" i="19" a="1"/>
  <c r="AB80" i="19" s="1"/>
  <c r="AB87" i="19" a="1"/>
  <c r="AB87" i="19" s="1"/>
  <c r="AB95" i="19" a="1"/>
  <c r="AB95" i="19" s="1"/>
  <c r="AC42" i="19" a="1"/>
  <c r="AC42" i="19" s="1"/>
  <c r="AC48" i="19" a="1"/>
  <c r="AC48" i="19" s="1"/>
  <c r="AC56" i="19" a="1"/>
  <c r="AC56" i="19" s="1"/>
  <c r="AC63" i="19" a="1"/>
  <c r="AC63" i="19" s="1"/>
  <c r="AC71" i="19" a="1"/>
  <c r="AC71" i="19" s="1"/>
  <c r="AC78" i="19" a="1"/>
  <c r="AC78" i="19" s="1"/>
  <c r="AC83" i="19" a="1"/>
  <c r="AC83" i="19" s="1"/>
  <c r="Y71" i="19" a="1"/>
  <c r="Y71" i="19" s="1"/>
  <c r="Z60" i="19" a="1"/>
  <c r="Z60" i="19" s="1"/>
  <c r="AA55" i="19" a="1"/>
  <c r="AA55" i="19" s="1"/>
  <c r="AB49" i="19" a="1"/>
  <c r="AB49" i="19" s="1"/>
  <c r="AC43" i="19" a="1"/>
  <c r="AC43" i="19" s="1"/>
  <c r="AC89" i="19" a="1"/>
  <c r="AC89" i="19" s="1"/>
  <c r="AD62" i="19" a="1"/>
  <c r="AD62" i="19" s="1"/>
  <c r="AD79" i="19" a="1"/>
  <c r="AD79" i="19" s="1"/>
  <c r="AD91" i="19" a="1"/>
  <c r="AD91" i="19" s="1"/>
  <c r="AE57" i="19" a="1"/>
  <c r="AE57" i="19" s="1"/>
  <c r="AE71" i="19" a="1"/>
  <c r="AE71" i="19" s="1"/>
  <c r="AE82" i="19" a="1"/>
  <c r="AE82" i="19" s="1"/>
  <c r="AE94" i="19" a="1"/>
  <c r="AE94" i="19" s="1"/>
  <c r="AF45" i="19" a="1"/>
  <c r="AF45" i="19" s="1"/>
  <c r="AF55" i="19" a="1"/>
  <c r="AF55" i="19" s="1"/>
  <c r="AF78" i="19" a="1"/>
  <c r="AF78" i="19" s="1"/>
  <c r="AF87" i="19" a="1"/>
  <c r="AF87" i="19" s="1"/>
  <c r="AF94" i="19" a="1"/>
  <c r="AF94" i="19" s="1"/>
  <c r="AG38" i="19" a="1"/>
  <c r="AG38" i="19" s="1"/>
  <c r="AG45" i="19" a="1"/>
  <c r="AG45" i="19" s="1"/>
  <c r="AG52" i="19" a="1"/>
  <c r="AG52" i="19" s="1"/>
  <c r="AG59" i="19" a="1"/>
  <c r="AG59" i="19" s="1"/>
  <c r="AG65" i="19" a="1"/>
  <c r="AG65" i="19" s="1"/>
  <c r="AG70" i="19" a="1"/>
  <c r="AG70" i="19" s="1"/>
  <c r="AG83" i="19" a="1"/>
  <c r="AG83" i="19" s="1"/>
  <c r="AG88" i="19" a="1"/>
  <c r="AG88" i="19" s="1"/>
  <c r="AG94" i="19" a="1"/>
  <c r="AG94" i="19" s="1"/>
  <c r="AG100" i="19" a="1"/>
  <c r="AG100" i="19" s="1"/>
  <c r="AH43" i="19" a="1"/>
  <c r="AH43" i="19" s="1"/>
  <c r="AH62" i="19" a="1"/>
  <c r="AH62" i="19" s="1"/>
  <c r="AH67" i="19" a="1"/>
  <c r="AH67" i="19" s="1"/>
  <c r="AH73" i="19" a="1"/>
  <c r="AH73" i="19" s="1"/>
  <c r="AH85" i="19" a="1"/>
  <c r="AH85" i="19" s="1"/>
  <c r="AH91" i="19" a="1"/>
  <c r="AH91" i="19" s="1"/>
  <c r="AI40" i="19" a="1"/>
  <c r="AI40" i="19" s="1"/>
  <c r="AI46" i="19" a="1"/>
  <c r="AI46" i="19" s="1"/>
  <c r="AI52" i="19" a="1"/>
  <c r="AI52" i="19" s="1"/>
  <c r="AI59" i="19" a="1"/>
  <c r="AI59" i="19" s="1"/>
  <c r="AI65" i="19" a="1"/>
  <c r="AI65" i="19" s="1"/>
  <c r="AI70" i="19" a="1"/>
  <c r="AI70" i="19" s="1"/>
  <c r="AI77" i="19" a="1"/>
  <c r="AI77" i="19" s="1"/>
  <c r="AI83" i="19" a="1"/>
  <c r="AI83" i="19" s="1"/>
  <c r="AI100" i="19" a="1"/>
  <c r="AI100" i="19" s="1"/>
  <c r="AJ38" i="19" a="1"/>
  <c r="AJ38" i="19" s="1"/>
  <c r="AJ49" i="19" a="1"/>
  <c r="AJ49" i="19" s="1"/>
  <c r="AJ67" i="19" a="1"/>
  <c r="AJ67" i="19" s="1"/>
  <c r="AJ85" i="19" a="1"/>
  <c r="AJ85" i="19" s="1"/>
  <c r="AJ90" i="19" a="1"/>
  <c r="AJ90" i="19" s="1"/>
  <c r="AK35" i="19" a="1"/>
  <c r="AK35" i="19" s="1"/>
  <c r="AK40" i="19" a="1"/>
  <c r="AK40" i="19" s="1"/>
  <c r="AK46" i="19" a="1"/>
  <c r="AK46" i="19" s="1"/>
  <c r="AK52" i="19" a="1"/>
  <c r="AK52" i="19" s="1"/>
  <c r="AK63" i="19" a="1"/>
  <c r="AK63" i="19" s="1"/>
  <c r="AK74" i="19" a="1"/>
  <c r="AK74" i="19" s="1"/>
  <c r="AK83" i="19" a="1"/>
  <c r="AK83" i="19" s="1"/>
  <c r="AK88" i="19" a="1"/>
  <c r="AK88" i="19" s="1"/>
  <c r="Y78" i="19" a="1"/>
  <c r="Y78" i="19" s="1"/>
  <c r="Z67" i="19" a="1"/>
  <c r="Z67" i="19" s="1"/>
  <c r="AA63" i="19" a="1"/>
  <c r="AA63" i="19" s="1"/>
  <c r="AB57" i="19" a="1"/>
  <c r="AB57" i="19" s="1"/>
  <c r="AC49" i="19" a="1"/>
  <c r="AC49" i="19" s="1"/>
  <c r="AC94" i="19" a="1"/>
  <c r="AC94" i="19" s="1"/>
  <c r="AD63" i="19" a="1"/>
  <c r="AD63" i="19" s="1"/>
  <c r="AD96" i="19" a="1"/>
  <c r="AD96" i="19" s="1"/>
  <c r="AE41" i="19" a="1"/>
  <c r="AE41" i="19" s="1"/>
  <c r="AE58" i="19" a="1"/>
  <c r="AE58" i="19" s="1"/>
  <c r="AE84" i="19" a="1"/>
  <c r="AE84" i="19" s="1"/>
  <c r="AF37" i="19" a="1"/>
  <c r="AF37" i="19" s="1"/>
  <c r="AF47" i="19" a="1"/>
  <c r="AF47" i="19" s="1"/>
  <c r="AF72" i="19" a="1"/>
  <c r="AF72" i="19" s="1"/>
  <c r="AF79" i="19" a="1"/>
  <c r="AF79" i="19" s="1"/>
  <c r="AF88" i="19" a="1"/>
  <c r="AF88" i="19" s="1"/>
  <c r="AF95" i="19" a="1"/>
  <c r="AF95" i="19" s="1"/>
  <c r="AF101" i="19" a="1"/>
  <c r="AF101" i="19" s="1"/>
  <c r="AG39" i="19" a="1"/>
  <c r="AG39" i="19" s="1"/>
  <c r="AG53" i="19" a="1"/>
  <c r="AG53" i="19" s="1"/>
  <c r="AG60" i="19" a="1"/>
  <c r="AG60" i="19" s="1"/>
  <c r="AG66" i="19" a="1"/>
  <c r="AG66" i="19" s="1"/>
  <c r="AG71" i="19" a="1"/>
  <c r="AG71" i="19" s="1"/>
  <c r="AG77" i="19" a="1"/>
  <c r="AG77" i="19" s="1"/>
  <c r="AG89" i="19" a="1"/>
  <c r="AG89" i="19" s="1"/>
  <c r="AG95" i="19" a="1"/>
  <c r="AG95" i="19" s="1"/>
  <c r="AH38" i="19" a="1"/>
  <c r="AH38" i="19" s="1"/>
  <c r="AH44" i="19" a="1"/>
  <c r="AH44" i="19" s="1"/>
  <c r="AH50" i="19" a="1"/>
  <c r="AH50" i="19" s="1"/>
  <c r="AH56" i="19" a="1"/>
  <c r="AH56" i="19" s="1"/>
  <c r="AH63" i="19" a="1"/>
  <c r="AH63" i="19" s="1"/>
  <c r="AH68" i="19" a="1"/>
  <c r="AH68" i="19" s="1"/>
  <c r="AH80" i="19" a="1"/>
  <c r="AH80" i="19" s="1"/>
  <c r="AH86" i="19" a="1"/>
  <c r="AH86" i="19" s="1"/>
  <c r="AH92" i="19" a="1"/>
  <c r="AH92" i="19" s="1"/>
  <c r="AH97" i="19" a="1"/>
  <c r="AH97" i="19" s="1"/>
  <c r="AI35" i="19" a="1"/>
  <c r="AI35" i="19" s="1"/>
  <c r="AI41" i="19" a="1"/>
  <c r="AI41" i="19" s="1"/>
  <c r="AI47" i="19" a="1"/>
  <c r="AI47" i="19" s="1"/>
  <c r="AI60" i="19" a="1"/>
  <c r="AI60" i="19" s="1"/>
  <c r="AI71" i="19" a="1"/>
  <c r="AI71" i="19" s="1"/>
  <c r="AI89" i="19" a="1"/>
  <c r="AI89" i="19" s="1"/>
  <c r="AI94" i="19" a="1"/>
  <c r="AI94" i="19" s="1"/>
  <c r="AJ39" i="19" a="1"/>
  <c r="AJ39" i="19" s="1"/>
  <c r="AJ44" i="19" a="1"/>
  <c r="AJ44" i="19" s="1"/>
  <c r="AJ50" i="19" a="1"/>
  <c r="AJ50" i="19" s="1"/>
  <c r="AJ56" i="19" a="1"/>
  <c r="AJ56" i="19" s="1"/>
  <c r="AJ62" i="19" a="1"/>
  <c r="AJ62" i="19" s="1"/>
  <c r="AJ68" i="19" a="1"/>
  <c r="AJ68" i="19" s="1"/>
  <c r="AJ74" i="19" a="1"/>
  <c r="AJ74" i="19" s="1"/>
  <c r="AJ80" i="19" a="1"/>
  <c r="AJ80" i="19" s="1"/>
  <c r="AJ86" i="19" a="1"/>
  <c r="AJ86" i="19" s="1"/>
  <c r="AJ91" i="19" a="1"/>
  <c r="AJ91" i="19" s="1"/>
  <c r="AJ97" i="19" a="1"/>
  <c r="AJ97" i="19" s="1"/>
  <c r="AK41" i="19" a="1"/>
  <c r="AK41" i="19" s="1"/>
  <c r="AK47" i="19" a="1"/>
  <c r="AK47" i="19" s="1"/>
  <c r="AK58" i="19" a="1"/>
  <c r="AK58" i="19" s="1"/>
  <c r="AK64" i="19" a="1"/>
  <c r="AK64" i="19" s="1"/>
  <c r="Y85" i="19" a="1"/>
  <c r="Y85" i="19" s="1"/>
  <c r="Z75" i="19" a="1"/>
  <c r="Z75" i="19" s="1"/>
  <c r="AA71" i="19" a="1"/>
  <c r="AA71" i="19" s="1"/>
  <c r="AB65" i="19" a="1"/>
  <c r="AB65" i="19" s="1"/>
  <c r="AC57" i="19" a="1"/>
  <c r="AC57" i="19" s="1"/>
  <c r="AC95" i="19" a="1"/>
  <c r="AC95" i="19" s="1"/>
  <c r="AD49" i="19" a="1"/>
  <c r="AD49" i="19" s="1"/>
  <c r="AD67" i="19" a="1"/>
  <c r="AD67" i="19" s="1"/>
  <c r="AD80" i="19" a="1"/>
  <c r="AD80" i="19" s="1"/>
  <c r="AD97" i="19" a="1"/>
  <c r="AD97" i="19" s="1"/>
  <c r="AE45" i="19" a="1"/>
  <c r="AE45" i="19" s="1"/>
  <c r="AE59" i="19" a="1"/>
  <c r="AE59" i="19" s="1"/>
  <c r="AE86" i="19" a="1"/>
  <c r="AE86" i="19" s="1"/>
  <c r="AE98" i="19" a="1"/>
  <c r="AE98" i="19" s="1"/>
  <c r="AF38" i="19" a="1"/>
  <c r="AF38" i="19" s="1"/>
  <c r="AF48" i="19" a="1"/>
  <c r="AF48" i="19" s="1"/>
  <c r="AF57" i="19" a="1"/>
  <c r="AF57" i="19" s="1"/>
  <c r="AF65" i="19" a="1"/>
  <c r="AF65" i="19" s="1"/>
  <c r="AF89" i="19" a="1"/>
  <c r="AF89" i="19" s="1"/>
  <c r="AG40" i="19" a="1"/>
  <c r="AG40" i="19" s="1"/>
  <c r="AG46" i="19" a="1"/>
  <c r="AG46" i="19" s="1"/>
  <c r="AG67" i="19" a="1"/>
  <c r="AG67" i="19" s="1"/>
  <c r="AG72" i="19" a="1"/>
  <c r="AG72" i="19" s="1"/>
  <c r="AG84" i="19" a="1"/>
  <c r="AG84" i="19" s="1"/>
  <c r="AG90" i="19" a="1"/>
  <c r="AG90" i="19" s="1"/>
  <c r="AG96" i="19" a="1"/>
  <c r="AG96" i="19" s="1"/>
  <c r="AG101" i="19" a="1"/>
  <c r="AG101" i="19" s="1"/>
  <c r="AH39" i="19" a="1"/>
  <c r="AH39" i="19" s="1"/>
  <c r="AH45" i="19" a="1"/>
  <c r="AH45" i="19" s="1"/>
  <c r="AH51" i="19" a="1"/>
  <c r="AH51" i="19" s="1"/>
  <c r="AH57" i="19" a="1"/>
  <c r="AH57" i="19" s="1"/>
  <c r="AH69" i="19" a="1"/>
  <c r="AH69" i="19" s="1"/>
  <c r="AH74" i="19" a="1"/>
  <c r="AH74" i="19" s="1"/>
  <c r="AH81" i="19" a="1"/>
  <c r="AH81" i="19" s="1"/>
  <c r="AH87" i="19" a="1"/>
  <c r="AH87" i="19" s="1"/>
  <c r="AI36" i="19" a="1"/>
  <c r="AI36" i="19" s="1"/>
  <c r="AI42" i="19" a="1"/>
  <c r="AI42" i="19" s="1"/>
  <c r="AI53" i="19" a="1"/>
  <c r="AI53" i="19" s="1"/>
  <c r="AI66" i="19" a="1"/>
  <c r="AI66" i="19" s="1"/>
  <c r="AI72" i="19" a="1"/>
  <c r="AI72" i="19" s="1"/>
  <c r="AI78" i="19" a="1"/>
  <c r="AI78" i="19" s="1"/>
  <c r="AI84" i="19" a="1"/>
  <c r="AI84" i="19" s="1"/>
  <c r="AI90" i="19" a="1"/>
  <c r="AI90" i="19" s="1"/>
  <c r="AI95" i="19" a="1"/>
  <c r="AI95" i="19" s="1"/>
  <c r="AI101" i="19" a="1"/>
  <c r="AI101" i="19" s="1"/>
  <c r="AJ45" i="19" a="1"/>
  <c r="AJ45" i="19" s="1"/>
  <c r="AJ51" i="19" a="1"/>
  <c r="AJ51" i="19" s="1"/>
  <c r="AJ57" i="19" a="1"/>
  <c r="AJ57" i="19" s="1"/>
  <c r="AJ63" i="19" a="1"/>
  <c r="AJ63" i="19" s="1"/>
  <c r="AJ69" i="19" a="1"/>
  <c r="AJ69" i="19" s="1"/>
  <c r="AJ75" i="19" a="1"/>
  <c r="AJ75" i="19" s="1"/>
  <c r="AJ87" i="19" a="1"/>
  <c r="AJ87" i="19" s="1"/>
  <c r="AJ92" i="19" a="1"/>
  <c r="AJ92" i="19" s="1"/>
  <c r="AK36" i="19" a="1"/>
  <c r="AK36" i="19" s="1"/>
  <c r="AK42" i="19" a="1"/>
  <c r="AK42" i="19" s="1"/>
  <c r="AK48" i="19" a="1"/>
  <c r="AK48" i="19" s="1"/>
  <c r="AK53" i="19" a="1"/>
  <c r="AK53" i="19" s="1"/>
  <c r="Y39" i="19" a="1"/>
  <c r="Y39" i="19" s="1"/>
  <c r="Y93" i="19" a="1"/>
  <c r="Y93" i="19" s="1"/>
  <c r="Z83" i="19" a="1"/>
  <c r="Z83" i="19" s="1"/>
  <c r="AA79" i="19" a="1"/>
  <c r="AA79" i="19" s="1"/>
  <c r="AB73" i="19" a="1"/>
  <c r="AB73" i="19" s="1"/>
  <c r="AC64" i="19" a="1"/>
  <c r="AC64" i="19" s="1"/>
  <c r="AC100" i="19" a="1"/>
  <c r="AC100" i="19" s="1"/>
  <c r="AD84" i="19" a="1"/>
  <c r="AD84" i="19" s="1"/>
  <c r="AE76" i="19" a="1"/>
  <c r="AE76" i="19" s="1"/>
  <c r="AE87" i="19" a="1"/>
  <c r="AE87" i="19" s="1"/>
  <c r="AE99" i="19" a="1"/>
  <c r="AE99" i="19" s="1"/>
  <c r="AF58" i="19" a="1"/>
  <c r="AF58" i="19" s="1"/>
  <c r="AF66" i="19" a="1"/>
  <c r="AF66" i="19" s="1"/>
  <c r="AF73" i="19" a="1"/>
  <c r="AF73" i="19" s="1"/>
  <c r="AF96" i="19" a="1"/>
  <c r="AF96" i="19" s="1"/>
  <c r="AG35" i="19" a="1"/>
  <c r="AG35" i="19" s="1"/>
  <c r="AG41" i="19" a="1"/>
  <c r="AG41" i="19" s="1"/>
  <c r="AG47" i="19" a="1"/>
  <c r="AG47" i="19" s="1"/>
  <c r="AG55" i="19" a="1"/>
  <c r="AG55" i="19" s="1"/>
  <c r="AG61" i="19" a="1"/>
  <c r="AG61" i="19" s="1"/>
  <c r="AG73" i="19" a="1"/>
  <c r="AG73" i="19" s="1"/>
  <c r="AG78" i="19" a="1"/>
  <c r="AG78" i="19" s="1"/>
  <c r="AG85" i="19" a="1"/>
  <c r="AG85" i="19" s="1"/>
  <c r="AG91" i="19" a="1"/>
  <c r="AG91" i="19" s="1"/>
  <c r="AH40" i="19" a="1"/>
  <c r="AH40" i="19" s="1"/>
  <c r="AH46" i="19" a="1"/>
  <c r="AH46" i="19" s="1"/>
  <c r="AH58" i="19" a="1"/>
  <c r="AH58" i="19" s="1"/>
  <c r="AH64" i="19" a="1"/>
  <c r="AH64" i="19" s="1"/>
  <c r="AH75" i="19" a="1"/>
  <c r="AH75" i="19" s="1"/>
  <c r="AH93" i="19" a="1"/>
  <c r="AH93" i="19" s="1"/>
  <c r="AH98" i="19" a="1"/>
  <c r="AH98" i="19" s="1"/>
  <c r="AI43" i="19" a="1"/>
  <c r="AI43" i="19" s="1"/>
  <c r="AI48" i="19" a="1"/>
  <c r="AI48" i="19" s="1"/>
  <c r="AI54" i="19" a="1"/>
  <c r="AI54" i="19" s="1"/>
  <c r="AI61" i="19" a="1"/>
  <c r="AI61" i="19" s="1"/>
  <c r="AI67" i="19" a="1"/>
  <c r="AI67" i="19" s="1"/>
  <c r="AI73" i="19" a="1"/>
  <c r="AI73" i="19" s="1"/>
  <c r="AI79" i="19" a="1"/>
  <c r="AI79" i="19" s="1"/>
  <c r="AI91" i="19" a="1"/>
  <c r="AI91" i="19" s="1"/>
  <c r="AI96" i="19" a="1"/>
  <c r="AI96" i="19" s="1"/>
  <c r="AJ40" i="19" a="1"/>
  <c r="AJ40" i="19" s="1"/>
  <c r="AJ46" i="19" a="1"/>
  <c r="AJ46" i="19" s="1"/>
  <c r="AJ52" i="19" a="1"/>
  <c r="AJ52" i="19" s="1"/>
  <c r="AJ64" i="19" a="1"/>
  <c r="AJ64" i="19" s="1"/>
  <c r="AJ70" i="19" a="1"/>
  <c r="AJ70" i="19" s="1"/>
  <c r="AJ81" i="19" a="1"/>
  <c r="AJ81" i="19" s="1"/>
  <c r="AJ93" i="19" a="1"/>
  <c r="AJ93" i="19" s="1"/>
  <c r="AJ98" i="19" a="1"/>
  <c r="AJ98" i="19" s="1"/>
  <c r="AK37" i="19" a="1"/>
  <c r="AK37" i="19" s="1"/>
  <c r="AK43" i="19" a="1"/>
  <c r="AK43" i="19" s="1"/>
  <c r="AK60" i="19" a="1"/>
  <c r="AK60" i="19" s="1"/>
  <c r="AK66" i="19" a="1"/>
  <c r="AK66" i="19" s="1"/>
  <c r="AK71" i="19" a="1"/>
  <c r="AK71" i="19" s="1"/>
  <c r="AK80" i="19" a="1"/>
  <c r="AK80" i="19" s="1"/>
  <c r="AK85" i="19" a="1"/>
  <c r="AK85" i="19" s="1"/>
  <c r="AK90" i="19" a="1"/>
  <c r="AK90" i="19" s="1"/>
  <c r="AK101" i="19" a="1"/>
  <c r="AK101" i="19" s="1"/>
  <c r="AL38" i="19" a="1"/>
  <c r="AL38" i="19" s="1"/>
  <c r="Y99" i="19" a="1"/>
  <c r="Y99" i="19" s="1"/>
  <c r="Z91" i="19" a="1"/>
  <c r="Z91" i="19" s="1"/>
  <c r="AA86" i="19" a="1"/>
  <c r="AA86" i="19" s="1"/>
  <c r="AB81" i="19" a="1"/>
  <c r="AB81" i="19" s="1"/>
  <c r="AC72" i="19" a="1"/>
  <c r="AC72" i="19" s="1"/>
  <c r="AC101" i="19" a="1"/>
  <c r="AC101" i="19" s="1"/>
  <c r="AD54" i="19" a="1"/>
  <c r="AD54" i="19" s="1"/>
  <c r="AD68" i="19" a="1"/>
  <c r="AD68" i="19" s="1"/>
  <c r="AD85" i="19" a="1"/>
  <c r="AD85" i="19" s="1"/>
  <c r="AE46" i="19" a="1"/>
  <c r="AE46" i="19" s="1"/>
  <c r="AE64" i="19" a="1"/>
  <c r="AE64" i="19" s="1"/>
  <c r="AE88" i="19" a="1"/>
  <c r="AE88" i="19" s="1"/>
  <c r="AF41" i="19" a="1"/>
  <c r="AF41" i="19" s="1"/>
  <c r="AF49" i="19" a="1"/>
  <c r="AF49" i="19" s="1"/>
  <c r="AF59" i="19" a="1"/>
  <c r="AF59" i="19" s="1"/>
  <c r="AF67" i="19" a="1"/>
  <c r="AF67" i="19" s="1"/>
  <c r="AF74" i="19" a="1"/>
  <c r="AF74" i="19" s="1"/>
  <c r="AF82" i="19" a="1"/>
  <c r="AF82" i="19" s="1"/>
  <c r="AF90" i="19" a="1"/>
  <c r="AF90" i="19" s="1"/>
  <c r="AG49" i="19" a="1"/>
  <c r="AG49" i="19" s="1"/>
  <c r="AG62" i="19" a="1"/>
  <c r="AG62" i="19" s="1"/>
  <c r="AG68" i="19" a="1"/>
  <c r="AG68" i="19" s="1"/>
  <c r="AG79" i="19" a="1"/>
  <c r="AG79" i="19" s="1"/>
  <c r="AG97" i="19" a="1"/>
  <c r="AG97" i="19" s="1"/>
  <c r="AH47" i="19" a="1"/>
  <c r="AH47" i="19" s="1"/>
  <c r="AH52" i="19" a="1"/>
  <c r="AH52" i="19" s="1"/>
  <c r="AH59" i="19" a="1"/>
  <c r="AH59" i="19" s="1"/>
  <c r="AH70" i="19" a="1"/>
  <c r="AH70" i="19" s="1"/>
  <c r="AH76" i="19" a="1"/>
  <c r="AH76" i="19" s="1"/>
  <c r="AH82" i="19" a="1"/>
  <c r="AH82" i="19" s="1"/>
  <c r="AH88" i="19" a="1"/>
  <c r="AH88" i="19" s="1"/>
  <c r="AH94" i="19" a="1"/>
  <c r="AH94" i="19" s="1"/>
  <c r="AH99" i="19" a="1"/>
  <c r="AH99" i="19" s="1"/>
  <c r="AI37" i="19" a="1"/>
  <c r="AI37" i="19" s="1"/>
  <c r="AI49" i="19" a="1"/>
  <c r="AI49" i="19" s="1"/>
  <c r="AI55" i="19" a="1"/>
  <c r="AI55" i="19" s="1"/>
  <c r="AI68" i="19" a="1"/>
  <c r="AI68" i="19" s="1"/>
  <c r="AI74" i="19" a="1"/>
  <c r="AI74" i="19" s="1"/>
  <c r="AI85" i="19" a="1"/>
  <c r="AI85" i="19" s="1"/>
  <c r="AI97" i="19" a="1"/>
  <c r="AI97" i="19" s="1"/>
  <c r="AJ41" i="19" a="1"/>
  <c r="AJ41" i="19" s="1"/>
  <c r="AJ47" i="19" a="1"/>
  <c r="AJ47" i="19" s="1"/>
  <c r="AJ58" i="19" a="1"/>
  <c r="AJ58" i="19" s="1"/>
  <c r="AJ71" i="19" a="1"/>
  <c r="AJ71" i="19" s="1"/>
  <c r="AJ76" i="19" a="1"/>
  <c r="AJ76" i="19" s="1"/>
  <c r="AJ82" i="19" a="1"/>
  <c r="AJ82" i="19" s="1"/>
  <c r="AJ88" i="19" a="1"/>
  <c r="AJ88" i="19" s="1"/>
  <c r="AJ99" i="19" a="1"/>
  <c r="AJ99" i="19" s="1"/>
  <c r="AK49" i="19" a="1"/>
  <c r="AK49" i="19" s="1"/>
  <c r="AK54" i="19" a="1"/>
  <c r="AK54" i="19" s="1"/>
  <c r="AK67" i="19" a="1"/>
  <c r="AK67" i="19" s="1"/>
  <c r="AK76" i="19" a="1"/>
  <c r="AK76" i="19" s="1"/>
  <c r="AK81" i="19" a="1"/>
  <c r="AK81" i="19" s="1"/>
  <c r="AK91" i="19" a="1"/>
  <c r="AK91" i="19" s="1"/>
  <c r="AK96" i="19" a="1"/>
  <c r="AK96" i="19" s="1"/>
  <c r="AL39" i="19" a="1"/>
  <c r="AL39" i="19" s="1"/>
  <c r="Y51" i="19" a="1"/>
  <c r="Y51" i="19" s="1"/>
  <c r="Z39" i="19" a="1"/>
  <c r="Z39" i="19" s="1"/>
  <c r="Z99" i="19" a="1"/>
  <c r="Z99" i="19" s="1"/>
  <c r="AA94" i="19" a="1"/>
  <c r="AA94" i="19" s="1"/>
  <c r="AB88" i="19" a="1"/>
  <c r="AB88" i="19" s="1"/>
  <c r="AD38" i="19" a="1"/>
  <c r="AD38" i="19" s="1"/>
  <c r="AD55" i="19" a="1"/>
  <c r="AD55" i="19" s="1"/>
  <c r="AE35" i="19" a="1"/>
  <c r="AE35" i="19" s="1"/>
  <c r="AE51" i="19" a="1"/>
  <c r="AE51" i="19" s="1"/>
  <c r="AE65" i="19" a="1"/>
  <c r="AE65" i="19" s="1"/>
  <c r="AE90" i="19" a="1"/>
  <c r="AE90" i="19" s="1"/>
  <c r="AE100" i="19" a="1"/>
  <c r="AE100" i="19" s="1"/>
  <c r="AF50" i="19" a="1"/>
  <c r="AF50" i="19" s="1"/>
  <c r="AF60" i="19" a="1"/>
  <c r="AF60" i="19" s="1"/>
  <c r="AF68" i="19" a="1"/>
  <c r="AF68" i="19" s="1"/>
  <c r="AF76" i="19" a="1"/>
  <c r="AF76" i="19" s="1"/>
  <c r="AF83" i="19" a="1"/>
  <c r="AF83" i="19" s="1"/>
  <c r="AF91" i="19" a="1"/>
  <c r="AF91" i="19" s="1"/>
  <c r="AF97" i="19" a="1"/>
  <c r="AF97" i="19" s="1"/>
  <c r="AG36" i="19" a="1"/>
  <c r="AG36" i="19" s="1"/>
  <c r="AG43" i="19" a="1"/>
  <c r="AG43" i="19" s="1"/>
  <c r="AG50" i="19" a="1"/>
  <c r="AG50" i="19" s="1"/>
  <c r="AG56" i="19" a="1"/>
  <c r="AG56" i="19" s="1"/>
  <c r="AG63" i="19" a="1"/>
  <c r="AG63" i="19" s="1"/>
  <c r="AG74" i="19" a="1"/>
  <c r="AG74" i="19" s="1"/>
  <c r="AG80" i="19" a="1"/>
  <c r="AG80" i="19" s="1"/>
  <c r="AG86" i="19" a="1"/>
  <c r="AG86" i="19" s="1"/>
  <c r="AG92" i="19" a="1"/>
  <c r="AG92" i="19" s="1"/>
  <c r="AG98" i="19" a="1"/>
  <c r="AG98" i="19" s="1"/>
  <c r="AH35" i="19" a="1"/>
  <c r="AH35" i="19" s="1"/>
  <c r="AH41" i="19" a="1"/>
  <c r="AH41" i="19" s="1"/>
  <c r="AH53" i="19" a="1"/>
  <c r="AH53" i="19" s="1"/>
  <c r="AH60" i="19" a="1"/>
  <c r="AH60" i="19" s="1"/>
  <c r="AH65" i="19" a="1"/>
  <c r="AH65" i="19" s="1"/>
  <c r="AH71" i="19" a="1"/>
  <c r="AH71" i="19" s="1"/>
  <c r="AH77" i="19" a="1"/>
  <c r="AH77" i="19" s="1"/>
  <c r="AH83" i="19" a="1"/>
  <c r="AH83" i="19" s="1"/>
  <c r="AH95" i="19" a="1"/>
  <c r="AH95" i="19" s="1"/>
  <c r="AH100" i="19" a="1"/>
  <c r="AH100" i="19" s="1"/>
  <c r="AI44" i="19" a="1"/>
  <c r="AI44" i="19" s="1"/>
  <c r="AI50" i="19" a="1"/>
  <c r="AI50" i="19" s="1"/>
  <c r="AI56" i="19" a="1"/>
  <c r="AI56" i="19" s="1"/>
  <c r="AI62" i="19" a="1"/>
  <c r="AI62" i="19" s="1"/>
  <c r="AI75" i="19" a="1"/>
  <c r="AI75" i="19" s="1"/>
  <c r="AI80" i="19" a="1"/>
  <c r="AI80" i="19" s="1"/>
  <c r="AI86" i="19" a="1"/>
  <c r="AI86" i="19" s="1"/>
  <c r="AI92" i="19" a="1"/>
  <c r="AI92" i="19" s="1"/>
  <c r="AJ35" i="19" a="1"/>
  <c r="AJ35" i="19" s="1"/>
  <c r="AJ53" i="19" a="1"/>
  <c r="AJ53" i="19" s="1"/>
  <c r="AJ59" i="19" a="1"/>
  <c r="AJ59" i="19" s="1"/>
  <c r="AJ65" i="19" a="1"/>
  <c r="AJ65" i="19" s="1"/>
  <c r="AJ77" i="19" a="1"/>
  <c r="AJ77" i="19" s="1"/>
  <c r="AJ83" i="19" a="1"/>
  <c r="AJ83" i="19" s="1"/>
  <c r="AJ94" i="19" a="1"/>
  <c r="AJ94" i="19" s="1"/>
  <c r="Y58" i="19" a="1"/>
  <c r="Y58" i="19" s="1"/>
  <c r="Z46" i="19" a="1"/>
  <c r="Z46" i="19" s="1"/>
  <c r="AA39" i="19" a="1"/>
  <c r="AA39" i="19" s="1"/>
  <c r="AB96" i="19" a="1"/>
  <c r="AB96" i="19" s="1"/>
  <c r="AD39" i="19" a="1"/>
  <c r="AD39" i="19" s="1"/>
  <c r="AD56" i="19" a="1"/>
  <c r="AD56" i="19" s="1"/>
  <c r="AD73" i="19" a="1"/>
  <c r="AD73" i="19" s="1"/>
  <c r="AE52" i="19" a="1"/>
  <c r="AE52" i="19" s="1"/>
  <c r="AE69" i="19" a="1"/>
  <c r="AE69" i="19" s="1"/>
  <c r="AE81" i="19" a="1"/>
  <c r="AE81" i="19" s="1"/>
  <c r="AE93" i="19" a="1"/>
  <c r="AE93" i="19" s="1"/>
  <c r="AE101" i="19" a="1"/>
  <c r="AE101" i="19" s="1"/>
  <c r="AF42" i="19" a="1"/>
  <c r="AF42" i="19" s="1"/>
  <c r="AF53" i="19" a="1"/>
  <c r="AF53" i="19" s="1"/>
  <c r="AF61" i="19" a="1"/>
  <c r="AF61" i="19" s="1"/>
  <c r="AF69" i="19" a="1"/>
  <c r="AF69" i="19" s="1"/>
  <c r="AF77" i="19" a="1"/>
  <c r="AF77" i="19" s="1"/>
  <c r="AF84" i="19" a="1"/>
  <c r="AF84" i="19" s="1"/>
  <c r="AF98" i="19" a="1"/>
  <c r="AF98" i="19" s="1"/>
  <c r="AG37" i="19" a="1"/>
  <c r="AG37" i="19" s="1"/>
  <c r="AG44" i="19" a="1"/>
  <c r="AG44" i="19" s="1"/>
  <c r="AG51" i="19" a="1"/>
  <c r="AG51" i="19" s="1"/>
  <c r="AG57" i="19" a="1"/>
  <c r="AG57" i="19" s="1"/>
  <c r="AG64" i="19" a="1"/>
  <c r="AG64" i="19" s="1"/>
  <c r="AG69" i="19" a="1"/>
  <c r="AG69" i="19" s="1"/>
  <c r="AG75" i="19" a="1"/>
  <c r="AG75" i="19" s="1"/>
  <c r="AG81" i="19" a="1"/>
  <c r="AG81" i="19" s="1"/>
  <c r="AG87" i="19" a="1"/>
  <c r="AG87" i="19" s="1"/>
  <c r="AG99" i="19" a="1"/>
  <c r="AG99" i="19" s="1"/>
  <c r="AH36" i="19" a="1"/>
  <c r="AH36" i="19" s="1"/>
  <c r="AH48" i="19" a="1"/>
  <c r="AH48" i="19" s="1"/>
  <c r="AH54" i="19" a="1"/>
  <c r="AH54" i="19" s="1"/>
  <c r="AH72" i="19" a="1"/>
  <c r="AH72" i="19" s="1"/>
  <c r="AH78" i="19" a="1"/>
  <c r="AH78" i="19" s="1"/>
  <c r="AH89" i="19" a="1"/>
  <c r="AH89" i="19" s="1"/>
  <c r="AH101" i="19" a="1"/>
  <c r="AH101" i="19" s="1"/>
  <c r="AI38" i="19" a="1"/>
  <c r="AI38" i="19" s="1"/>
  <c r="AI45" i="19" a="1"/>
  <c r="AI45" i="19" s="1"/>
  <c r="AI51" i="19" a="1"/>
  <c r="AI51" i="19" s="1"/>
  <c r="AI57" i="19" a="1"/>
  <c r="AI57" i="19" s="1"/>
  <c r="AI63" i="19" a="1"/>
  <c r="AI63" i="19" s="1"/>
  <c r="AI69" i="19" a="1"/>
  <c r="AI69" i="19" s="1"/>
  <c r="AI81" i="19" a="1"/>
  <c r="AI81" i="19" s="1"/>
  <c r="AI87" i="19" a="1"/>
  <c r="AI87" i="19" s="1"/>
  <c r="AI98" i="19" a="1"/>
  <c r="AI98" i="19" s="1"/>
  <c r="AJ36" i="19" a="1"/>
  <c r="AJ36" i="19" s="1"/>
  <c r="AJ42" i="19" a="1"/>
  <c r="AJ42" i="19" s="1"/>
  <c r="AJ48" i="19" a="1"/>
  <c r="AJ48" i="19" s="1"/>
  <c r="AJ54" i="19" a="1"/>
  <c r="AJ54" i="19" s="1"/>
  <c r="AJ60" i="19" a="1"/>
  <c r="AJ60" i="19" s="1"/>
  <c r="AJ72" i="19" a="1"/>
  <c r="AJ72" i="19" s="1"/>
  <c r="AJ78" i="19" a="1"/>
  <c r="AJ78" i="19" s="1"/>
  <c r="AJ84" i="19" a="1"/>
  <c r="AJ84" i="19" s="1"/>
  <c r="AJ89" i="19" a="1"/>
  <c r="AJ89" i="19" s="1"/>
  <c r="AJ95" i="19" a="1"/>
  <c r="AJ95" i="19" s="1"/>
  <c r="AJ101" i="19" a="1"/>
  <c r="AJ101" i="19" s="1"/>
  <c r="Y64" i="19" a="1"/>
  <c r="Y64" i="19" s="1"/>
  <c r="Z53" i="19" a="1"/>
  <c r="Z53" i="19" s="1"/>
  <c r="AA47" i="19" a="1"/>
  <c r="AA47" i="19" s="1"/>
  <c r="AB41" i="19" a="1"/>
  <c r="AB41" i="19" s="1"/>
  <c r="AC35" i="19" a="1"/>
  <c r="AC35" i="19" s="1"/>
  <c r="AC88" i="19" a="1"/>
  <c r="AC88" i="19" s="1"/>
  <c r="AD44" i="19" a="1"/>
  <c r="AD44" i="19" s="1"/>
  <c r="AD61" i="19" a="1"/>
  <c r="AD61" i="19" s="1"/>
  <c r="AD74" i="19" a="1"/>
  <c r="AD74" i="19" s="1"/>
  <c r="AD90" i="19" a="1"/>
  <c r="AD90" i="19" s="1"/>
  <c r="AE40" i="19" a="1"/>
  <c r="AE40" i="19" s="1"/>
  <c r="AE70" i="19" a="1"/>
  <c r="AE70" i="19" s="1"/>
  <c r="AF36" i="19" a="1"/>
  <c r="AF36" i="19" s="1"/>
  <c r="AF43" i="19" a="1"/>
  <c r="AF43" i="19" s="1"/>
  <c r="AF54" i="19" a="1"/>
  <c r="AF54" i="19" s="1"/>
  <c r="AF62" i="19" a="1"/>
  <c r="AF62" i="19" s="1"/>
  <c r="AF71" i="19" a="1"/>
  <c r="AF71" i="19" s="1"/>
  <c r="AF85" i="19" a="1"/>
  <c r="AF85" i="19" s="1"/>
  <c r="AF92" i="19" a="1"/>
  <c r="AF92" i="19" s="1"/>
  <c r="AF100" i="19" a="1"/>
  <c r="AF100" i="19" s="1"/>
  <c r="AG58" i="19" a="1"/>
  <c r="AG58" i="19" s="1"/>
  <c r="AG76" i="19" a="1"/>
  <c r="AG76" i="19" s="1"/>
  <c r="AG82" i="19" a="1"/>
  <c r="AG82" i="19" s="1"/>
  <c r="AG93" i="19" a="1"/>
  <c r="AG93" i="19" s="1"/>
  <c r="AH37" i="19" a="1"/>
  <c r="AH37" i="19" s="1"/>
  <c r="AH42" i="19" a="1"/>
  <c r="AH42" i="19" s="1"/>
  <c r="AH49" i="19" a="1"/>
  <c r="AH49" i="19" s="1"/>
  <c r="AH55" i="19" a="1"/>
  <c r="AH55" i="19" s="1"/>
  <c r="AH61" i="19" a="1"/>
  <c r="AH61" i="19" s="1"/>
  <c r="AH66" i="19" a="1"/>
  <c r="AH66" i="19" s="1"/>
  <c r="AH79" i="19" a="1"/>
  <c r="AH79" i="19" s="1"/>
  <c r="AH84" i="19" a="1"/>
  <c r="AH84" i="19" s="1"/>
  <c r="AH90" i="19" a="1"/>
  <c r="AH90" i="19" s="1"/>
  <c r="AH96" i="19" a="1"/>
  <c r="AH96" i="19" s="1"/>
  <c r="AI39" i="19" a="1"/>
  <c r="AI39" i="19" s="1"/>
  <c r="AI58" i="19" a="1"/>
  <c r="AI58" i="19" s="1"/>
  <c r="AI64" i="19" a="1"/>
  <c r="AI64" i="19" s="1"/>
  <c r="AI76" i="19" a="1"/>
  <c r="AI76" i="19" s="1"/>
  <c r="AI82" i="19" a="1"/>
  <c r="AI82" i="19" s="1"/>
  <c r="AI88" i="19" a="1"/>
  <c r="AI88" i="19" s="1"/>
  <c r="AI93" i="19" a="1"/>
  <c r="AI93" i="19" s="1"/>
  <c r="AI99" i="19" a="1"/>
  <c r="AI99" i="19" s="1"/>
  <c r="AJ37" i="19" a="1"/>
  <c r="AJ37" i="19" s="1"/>
  <c r="AJ43" i="19" a="1"/>
  <c r="AJ43" i="19" s="1"/>
  <c r="AJ55" i="19" a="1"/>
  <c r="AJ55" i="19" s="1"/>
  <c r="AJ61" i="19" a="1"/>
  <c r="AJ61" i="19" s="1"/>
  <c r="AJ66" i="19" a="1"/>
  <c r="AJ66" i="19" s="1"/>
  <c r="AJ73" i="19" a="1"/>
  <c r="AJ73" i="19" s="1"/>
  <c r="AJ79" i="19" a="1"/>
  <c r="AJ79" i="19" s="1"/>
  <c r="AJ96" i="19" a="1"/>
  <c r="AJ96" i="19" s="1"/>
  <c r="AK45" i="19" a="1"/>
  <c r="AK45" i="19" s="1"/>
  <c r="AK57" i="19" a="1"/>
  <c r="AK57" i="19" s="1"/>
  <c r="AK62" i="19" a="1"/>
  <c r="AK62" i="19" s="1"/>
  <c r="AK50" i="19" a="1"/>
  <c r="AK50" i="19" s="1"/>
  <c r="AK82" i="19" a="1"/>
  <c r="AK82" i="19" s="1"/>
  <c r="AL36" i="19" a="1"/>
  <c r="AL36" i="19" s="1"/>
  <c r="AL43" i="19" a="1"/>
  <c r="AL43" i="19" s="1"/>
  <c r="AL49" i="19" a="1"/>
  <c r="AL49" i="19" s="1"/>
  <c r="AL54" i="19" a="1"/>
  <c r="AL54" i="19" s="1"/>
  <c r="AL60" i="19" a="1"/>
  <c r="AL60" i="19" s="1"/>
  <c r="AL78" i="19" a="1"/>
  <c r="AL78" i="19" s="1"/>
  <c r="AL84" i="19" a="1"/>
  <c r="AL84" i="19" s="1"/>
  <c r="AL91" i="19" a="1"/>
  <c r="AL91" i="19" s="1"/>
  <c r="AL97" i="19" a="1"/>
  <c r="AL97" i="19" s="1"/>
  <c r="AK51" i="19" a="1"/>
  <c r="AK51" i="19" s="1"/>
  <c r="AK68" i="19" a="1"/>
  <c r="AK68" i="19" s="1"/>
  <c r="AK75" i="19" a="1"/>
  <c r="AK75" i="19" s="1"/>
  <c r="AK98" i="19" a="1"/>
  <c r="AK98" i="19" s="1"/>
  <c r="AL37" i="19" a="1"/>
  <c r="AL37" i="19" s="1"/>
  <c r="AL44" i="19" a="1"/>
  <c r="AL44" i="19" s="1"/>
  <c r="AL55" i="19" a="1"/>
  <c r="AL55" i="19" s="1"/>
  <c r="AL61" i="19" a="1"/>
  <c r="AL61" i="19" s="1"/>
  <c r="AL66" i="19" a="1"/>
  <c r="AL66" i="19" s="1"/>
  <c r="AL72" i="19" a="1"/>
  <c r="AL72" i="19" s="1"/>
  <c r="AL79" i="19" a="1"/>
  <c r="AL79" i="19" s="1"/>
  <c r="AL85" i="19" a="1"/>
  <c r="AL85" i="19" s="1"/>
  <c r="AL98" i="19" a="1"/>
  <c r="AL98" i="19" s="1"/>
  <c r="AK55" i="19" a="1"/>
  <c r="AK55" i="19" s="1"/>
  <c r="AK69" i="19" a="1"/>
  <c r="AK69" i="19" s="1"/>
  <c r="AK77" i="19" a="1"/>
  <c r="AK77" i="19" s="1"/>
  <c r="AK92" i="19" a="1"/>
  <c r="AK92" i="19" s="1"/>
  <c r="AK99" i="19" a="1"/>
  <c r="AK99" i="19" s="1"/>
  <c r="AL45" i="19" a="1"/>
  <c r="AL45" i="19" s="1"/>
  <c r="AL50" i="19" a="1"/>
  <c r="AL50" i="19" s="1"/>
  <c r="AL67" i="19" a="1"/>
  <c r="AL67" i="19" s="1"/>
  <c r="AL73" i="19" a="1"/>
  <c r="AL73" i="19" s="1"/>
  <c r="AL86" i="19" a="1"/>
  <c r="AL86" i="19" s="1"/>
  <c r="AL92" i="19" a="1"/>
  <c r="AL92" i="19" s="1"/>
  <c r="AL99" i="19" a="1"/>
  <c r="AL99" i="19" s="1"/>
  <c r="AJ100" i="19" a="1"/>
  <c r="AJ100" i="19" s="1"/>
  <c r="AK56" i="19" a="1"/>
  <c r="AK56" i="19" s="1"/>
  <c r="AK70" i="19" a="1"/>
  <c r="AK70" i="19" s="1"/>
  <c r="AK84" i="19" a="1"/>
  <c r="AK84" i="19" s="1"/>
  <c r="AK93" i="19" a="1"/>
  <c r="AK93" i="19" s="1"/>
  <c r="AL51" i="19" a="1"/>
  <c r="AL51" i="19" s="1"/>
  <c r="AL56" i="19" a="1"/>
  <c r="AL56" i="19" s="1"/>
  <c r="AL62" i="19" a="1"/>
  <c r="AL62" i="19" s="1"/>
  <c r="AL74" i="19" a="1"/>
  <c r="AL74" i="19" s="1"/>
  <c r="AL80" i="19" a="1"/>
  <c r="AL80" i="19" s="1"/>
  <c r="AL87" i="19" a="1"/>
  <c r="AL87" i="19" s="1"/>
  <c r="AL93" i="19" a="1"/>
  <c r="AL93" i="19" s="1"/>
  <c r="AK38" i="19" a="1"/>
  <c r="AK38" i="19" s="1"/>
  <c r="AK59" i="19" a="1"/>
  <c r="AK59" i="19" s="1"/>
  <c r="AK78" i="19" a="1"/>
  <c r="AK78" i="19" s="1"/>
  <c r="AK86" i="19" a="1"/>
  <c r="AK86" i="19" s="1"/>
  <c r="AK100" i="19" a="1"/>
  <c r="AK100" i="19" s="1"/>
  <c r="AL40" i="19" a="1"/>
  <c r="AL40" i="19" s="1"/>
  <c r="AL46" i="19" a="1"/>
  <c r="AL46" i="19" s="1"/>
  <c r="AL57" i="19" a="1"/>
  <c r="AL57" i="19" s="1"/>
  <c r="AL63" i="19" a="1"/>
  <c r="AL63" i="19" s="1"/>
  <c r="AL68" i="19" a="1"/>
  <c r="AL68" i="19" s="1"/>
  <c r="AL75" i="19" a="1"/>
  <c r="AL75" i="19" s="1"/>
  <c r="AL81" i="19" a="1"/>
  <c r="AL81" i="19" s="1"/>
  <c r="AL94" i="19" a="1"/>
  <c r="AL94" i="19" s="1"/>
  <c r="AL100" i="19" a="1"/>
  <c r="AL100" i="19" s="1"/>
  <c r="AK39" i="19" a="1"/>
  <c r="AK39" i="19" s="1"/>
  <c r="AK61" i="19" a="1"/>
  <c r="AK61" i="19" s="1"/>
  <c r="AK72" i="19" a="1"/>
  <c r="AK72" i="19" s="1"/>
  <c r="AK79" i="19" a="1"/>
  <c r="AK79" i="19" s="1"/>
  <c r="AK87" i="19" a="1"/>
  <c r="AK87" i="19" s="1"/>
  <c r="AK94" i="19" a="1"/>
  <c r="AK94" i="19" s="1"/>
  <c r="AL41" i="19" a="1"/>
  <c r="AL41" i="19" s="1"/>
  <c r="AL47" i="19" a="1"/>
  <c r="AL47" i="19" s="1"/>
  <c r="AL52" i="19" a="1"/>
  <c r="AL52" i="19" s="1"/>
  <c r="AL69" i="19" a="1"/>
  <c r="AL69" i="19" s="1"/>
  <c r="AL82" i="19" a="1"/>
  <c r="AL82" i="19" s="1"/>
  <c r="AL88" i="19" a="1"/>
  <c r="AL88" i="19" s="1"/>
  <c r="AL95" i="19" a="1"/>
  <c r="AL95" i="19" s="1"/>
  <c r="AL101" i="19" a="1"/>
  <c r="AL101" i="19" s="1"/>
  <c r="AK44" i="19" a="1"/>
  <c r="AK44" i="19" s="1"/>
  <c r="AK73" i="19" a="1"/>
  <c r="AK73" i="19" s="1"/>
  <c r="AK95" i="19" a="1"/>
  <c r="AK95" i="19" s="1"/>
  <c r="AL35" i="19" a="1"/>
  <c r="AL35" i="19" s="1"/>
  <c r="AL53" i="19" a="1"/>
  <c r="AL53" i="19" s="1"/>
  <c r="AL58" i="19" a="1"/>
  <c r="AL58" i="19" s="1"/>
  <c r="AL64" i="19" a="1"/>
  <c r="AL64" i="19" s="1"/>
  <c r="AL70" i="19" a="1"/>
  <c r="AL70" i="19" s="1"/>
  <c r="AL76" i="19" a="1"/>
  <c r="AL76" i="19" s="1"/>
  <c r="AL83" i="19" a="1"/>
  <c r="AL83" i="19" s="1"/>
  <c r="AL89" i="19" a="1"/>
  <c r="AL89" i="19" s="1"/>
  <c r="AK65" i="19" a="1"/>
  <c r="AK65" i="19" s="1"/>
  <c r="AK89" i="19" a="1"/>
  <c r="AK89" i="19" s="1"/>
  <c r="AK97" i="19" a="1"/>
  <c r="AK97" i="19" s="1"/>
  <c r="AL42" i="19" a="1"/>
  <c r="AL42" i="19" s="1"/>
  <c r="AL48" i="19" a="1"/>
  <c r="AL48" i="19" s="1"/>
  <c r="AL59" i="19" a="1"/>
  <c r="AL59" i="19" s="1"/>
  <c r="AL65" i="19" a="1"/>
  <c r="AL65" i="19" s="1"/>
  <c r="AL71" i="19" a="1"/>
  <c r="AL71" i="19" s="1"/>
  <c r="AL77" i="19" a="1"/>
  <c r="AL77" i="19" s="1"/>
  <c r="AL90" i="19" a="1"/>
  <c r="AL90" i="19" s="1"/>
  <c r="AL96" i="19" a="1"/>
  <c r="AL96" i="19" s="1"/>
  <c r="Y33" i="19" a="1"/>
  <c r="Y33" i="19" s="1"/>
  <c r="AH33" i="19" a="1"/>
  <c r="AH33" i="19" s="1"/>
  <c r="AC33" i="19" a="1"/>
  <c r="AC33" i="19" s="1"/>
  <c r="AA33" i="19" a="1"/>
  <c r="AA33" i="19" s="1"/>
  <c r="AG32" i="19" a="1"/>
  <c r="AG32" i="19" s="1"/>
  <c r="AJ33" i="19" a="1"/>
  <c r="AJ33" i="19" s="1"/>
  <c r="AA32" i="19" a="1"/>
  <c r="AA32" i="19" s="1"/>
  <c r="Y32" i="19" a="1"/>
  <c r="Y32" i="19" s="1"/>
  <c r="BL68" i="10" l="1"/>
  <c r="BM68" i="10"/>
  <c r="BL69" i="10"/>
  <c r="BM69" i="10"/>
  <c r="BL66" i="10"/>
  <c r="BM66" i="10"/>
  <c r="BL67" i="10"/>
  <c r="BM67" i="10"/>
  <c r="BL71" i="10"/>
  <c r="BM71" i="10"/>
  <c r="BL64" i="10"/>
  <c r="BM64" i="10"/>
  <c r="BL65" i="10"/>
  <c r="BM65" i="10"/>
  <c r="BL70" i="10"/>
  <c r="BM70" i="10"/>
  <c r="BM63" i="10"/>
  <c r="BL63" i="10"/>
  <c r="AL33" i="19" a="1"/>
  <c r="AL33" i="19" s="1"/>
  <c r="AL32" i="19" a="1"/>
  <c r="AL32" i="19" s="1"/>
  <c r="Z32" i="19" a="1"/>
  <c r="Z32" i="19" s="1"/>
  <c r="AI33" i="19" a="1"/>
  <c r="AI33" i="19" s="1"/>
  <c r="AK33" i="19" a="1"/>
  <c r="AK33" i="19" s="1"/>
  <c r="AH32" i="19" a="1"/>
  <c r="AH32" i="19" s="1"/>
  <c r="AJ32" i="19" a="1"/>
  <c r="AJ32" i="19" s="1"/>
  <c r="AE33" i="19" a="1"/>
  <c r="AE33" i="19" s="1"/>
  <c r="AD32" i="19" a="1"/>
  <c r="AD32" i="19" s="1"/>
  <c r="AI32" i="19" a="1"/>
  <c r="AI32" i="19" s="1"/>
  <c r="AF33" i="19" a="1"/>
  <c r="AF33" i="19" s="1"/>
  <c r="AG33" i="19" a="1"/>
  <c r="AG33" i="19" s="1"/>
  <c r="AF32" i="19" a="1"/>
  <c r="AF32" i="19" s="1"/>
  <c r="AK32" i="19" a="1"/>
  <c r="AK32" i="19" s="1"/>
  <c r="AD33" i="19" a="1"/>
  <c r="AD33" i="19" s="1"/>
  <c r="AC32" i="19" a="1"/>
  <c r="AC32" i="19" s="1"/>
  <c r="AE32" i="19" a="1"/>
  <c r="AE32" i="19" s="1"/>
  <c r="AB32" i="19" a="1"/>
  <c r="AB32" i="19" s="1"/>
  <c r="Z33" i="19" a="1"/>
  <c r="Z33" i="19" s="1"/>
  <c r="AB33" i="19" a="1"/>
  <c r="AB33" i="19" s="1"/>
  <c r="S7" i="28" a="1"/>
  <c r="S7" i="28" s="1"/>
  <c r="D24" i="20" a="1"/>
  <c r="D24" i="20" s="1"/>
  <c r="E11" i="20" a="1"/>
  <c r="E11" i="20" s="1"/>
  <c r="D18" i="20" a="1"/>
  <c r="D18" i="20" s="1"/>
  <c r="E15" i="20" a="1"/>
  <c r="E15" i="20" s="1"/>
  <c r="E17" i="20" a="1"/>
  <c r="E17" i="20" s="1"/>
  <c r="E18" i="20" a="1"/>
  <c r="E18" i="20" s="1"/>
  <c r="E21" i="20" a="1"/>
  <c r="E21" i="20" s="1"/>
  <c r="E22" i="20" a="1"/>
  <c r="E22" i="20" s="1"/>
  <c r="E24" i="20" a="1"/>
  <c r="E24" i="20" s="1"/>
  <c r="D14" i="20" a="1"/>
  <c r="D14" i="20" s="1"/>
  <c r="D23" i="20" a="1"/>
  <c r="D23" i="20" s="1"/>
  <c r="E13" i="20" a="1"/>
  <c r="E13" i="20" s="1"/>
  <c r="D19" i="20" a="1"/>
  <c r="D19" i="20" s="1"/>
  <c r="E19" i="20" a="1"/>
  <c r="E19" i="20" s="1"/>
  <c r="D20" i="20" a="1"/>
  <c r="D20" i="20" s="1"/>
  <c r="D22" i="20" a="1"/>
  <c r="D22" i="20" s="1"/>
  <c r="D16" i="20" a="1"/>
  <c r="D16" i="20" s="1"/>
  <c r="E12" i="20" a="1"/>
  <c r="E12" i="20" s="1"/>
  <c r="D12" i="20" a="1"/>
  <c r="D12" i="20" s="1"/>
  <c r="E16" i="20" a="1"/>
  <c r="E16" i="20" s="1"/>
  <c r="D15" i="20" a="1"/>
  <c r="D15" i="20" s="1"/>
  <c r="D11" i="20" a="1"/>
  <c r="D11" i="20" s="1"/>
  <c r="E14" i="20" a="1"/>
  <c r="E14" i="20" s="1"/>
  <c r="E23" i="20" a="1"/>
  <c r="E23" i="20" s="1"/>
  <c r="D13" i="20" a="1"/>
  <c r="D13" i="20" s="1"/>
  <c r="D17" i="20" a="1"/>
  <c r="D17" i="20" s="1"/>
  <c r="E20" i="20" a="1"/>
  <c r="E20" i="20" s="1"/>
  <c r="D21" i="20" a="1"/>
  <c r="D21" i="20" s="1"/>
  <c r="D10" i="20" a="1"/>
  <c r="D10" i="20" s="1"/>
  <c r="E10" i="20" a="1"/>
  <c r="E10" i="20" s="1"/>
  <c r="Z31" i="19" a="1"/>
  <c r="Z31" i="19" s="1"/>
  <c r="AH31" i="19" a="1"/>
  <c r="AH31" i="19" s="1"/>
  <c r="AA31" i="19" a="1"/>
  <c r="AA31" i="19" s="1"/>
  <c r="AI31" i="19" a="1"/>
  <c r="AI31" i="19" s="1"/>
  <c r="AB31" i="19" a="1"/>
  <c r="AB31" i="19" s="1"/>
  <c r="AJ31" i="19" a="1"/>
  <c r="AJ31" i="19" s="1"/>
  <c r="AC31" i="19" a="1"/>
  <c r="AC31" i="19" s="1"/>
  <c r="AK31" i="19" a="1"/>
  <c r="AK31" i="19" s="1"/>
  <c r="AD31" i="19" a="1"/>
  <c r="AD31" i="19" s="1"/>
  <c r="AL31" i="19" a="1"/>
  <c r="AL31" i="19" s="1"/>
  <c r="AE31" i="19" a="1"/>
  <c r="AE31" i="19" s="1"/>
  <c r="Y31" i="19" a="1"/>
  <c r="Y31" i="19" s="1"/>
  <c r="AF31" i="19" a="1"/>
  <c r="AF31" i="19" s="1"/>
  <c r="AG31" i="19" a="1"/>
  <c r="AG31" i="19" s="1"/>
  <c r="C7" i="26"/>
  <c r="Q36" i="22" a="1"/>
  <c r="Q36" i="22" s="1"/>
  <c r="AL5" i="19" a="1"/>
  <c r="AL5" i="19" s="1"/>
  <c r="AL15" i="19" a="1"/>
  <c r="AL15" i="19" s="1"/>
  <c r="AL23" i="19" a="1"/>
  <c r="AL23" i="19" s="1"/>
  <c r="AL34" i="19" a="1"/>
  <c r="AL34" i="19" s="1"/>
  <c r="AK11" i="19" a="1"/>
  <c r="AK11" i="19" s="1"/>
  <c r="AK19" i="19" a="1"/>
  <c r="AK19" i="19" s="1"/>
  <c r="AK26" i="19" a="1"/>
  <c r="AK26" i="19" s="1"/>
  <c r="AJ2" i="19" a="1"/>
  <c r="AJ2" i="19" s="1"/>
  <c r="AJ4" i="19" a="1"/>
  <c r="AJ4" i="19" s="1"/>
  <c r="AJ14" i="19" a="1"/>
  <c r="AJ14" i="19" s="1"/>
  <c r="AJ22" i="19" a="1"/>
  <c r="AJ22" i="19" s="1"/>
  <c r="AJ30" i="19" a="1"/>
  <c r="AJ30" i="19" s="1"/>
  <c r="AI10" i="19" a="1"/>
  <c r="AI10" i="19" s="1"/>
  <c r="AI18" i="19" a="1"/>
  <c r="AI18" i="19" s="1"/>
  <c r="AI26" i="19" a="1"/>
  <c r="AI26" i="19" s="1"/>
  <c r="AH2" i="19" a="1"/>
  <c r="AH2" i="19" s="1"/>
  <c r="AH4" i="19" a="1"/>
  <c r="AH4" i="19" s="1"/>
  <c r="AH14" i="19" a="1"/>
  <c r="AH14" i="19" s="1"/>
  <c r="AH22" i="19" a="1"/>
  <c r="AH22" i="19" s="1"/>
  <c r="AH30" i="19" a="1"/>
  <c r="AH30" i="19" s="1"/>
  <c r="AG10" i="19" a="1"/>
  <c r="AG10" i="19" s="1"/>
  <c r="AG18" i="19" a="1"/>
  <c r="AG18" i="19" s="1"/>
  <c r="AG26" i="19" a="1"/>
  <c r="AG26" i="19" s="1"/>
  <c r="AF2" i="19" a="1"/>
  <c r="AF2" i="19" s="1"/>
  <c r="AF4" i="19" a="1"/>
  <c r="AF4" i="19" s="1"/>
  <c r="AF14" i="19" a="1"/>
  <c r="AF14" i="19" s="1"/>
  <c r="AF21" i="19" a="1"/>
  <c r="AF21" i="19" s="1"/>
  <c r="AF29" i="19" a="1"/>
  <c r="AF29" i="19" s="1"/>
  <c r="AE7" i="19" a="1"/>
  <c r="AE7" i="19" s="1"/>
  <c r="AE8" i="19" a="1"/>
  <c r="AE8" i="19" s="1"/>
  <c r="AE16" i="19" a="1"/>
  <c r="AE16" i="19" s="1"/>
  <c r="AE24" i="19" a="1"/>
  <c r="AE24" i="19" s="1"/>
  <c r="AD3" i="19" a="1"/>
  <c r="AD3" i="19" s="1"/>
  <c r="Q32" i="22" a="1"/>
  <c r="Q32" i="22" s="1"/>
  <c r="Q37" i="22" a="1"/>
  <c r="Q37" i="22" s="1"/>
  <c r="AL6" i="19" a="1"/>
  <c r="AL6" i="19" s="1"/>
  <c r="AL8" i="19" a="1"/>
  <c r="AL8" i="19" s="1"/>
  <c r="AL16" i="19" a="1"/>
  <c r="AL16" i="19" s="1"/>
  <c r="AL24" i="19" a="1"/>
  <c r="AL24" i="19" s="1"/>
  <c r="AK3" i="19" a="1"/>
  <c r="AK3" i="19" s="1"/>
  <c r="AK12" i="19" a="1"/>
  <c r="AK12" i="19" s="1"/>
  <c r="AK20" i="19" a="1"/>
  <c r="AK20" i="19" s="1"/>
  <c r="AK27" i="19" a="1"/>
  <c r="AK27" i="19" s="1"/>
  <c r="AJ5" i="19" a="1"/>
  <c r="AJ5" i="19" s="1"/>
  <c r="AJ15" i="19" a="1"/>
  <c r="AJ15" i="19" s="1"/>
  <c r="AJ23" i="19" a="1"/>
  <c r="AJ23" i="19" s="1"/>
  <c r="AJ34" i="19" a="1"/>
  <c r="AJ34" i="19" s="1"/>
  <c r="AI11" i="19" a="1"/>
  <c r="AI11" i="19" s="1"/>
  <c r="AI19" i="19" a="1"/>
  <c r="AI19" i="19" s="1"/>
  <c r="AI27" i="19" a="1"/>
  <c r="AI27" i="19" s="1"/>
  <c r="AH5" i="19" a="1"/>
  <c r="AH5" i="19" s="1"/>
  <c r="AH15" i="19" a="1"/>
  <c r="AH15" i="19" s="1"/>
  <c r="AH23" i="19" a="1"/>
  <c r="AH23" i="19" s="1"/>
  <c r="AH34" i="19" a="1"/>
  <c r="AH34" i="19" s="1"/>
  <c r="AG11" i="19" a="1"/>
  <c r="AG11" i="19" s="1"/>
  <c r="AG19" i="19" a="1"/>
  <c r="AG19" i="19" s="1"/>
  <c r="AG27" i="19" a="1"/>
  <c r="AG27" i="19" s="1"/>
  <c r="AF5" i="19" a="1"/>
  <c r="AF5" i="19" s="1"/>
  <c r="AF15" i="19" a="1"/>
  <c r="AF15" i="19" s="1"/>
  <c r="AF22" i="19" a="1"/>
  <c r="AF22" i="19" s="1"/>
  <c r="AF30" i="19" a="1"/>
  <c r="AF30" i="19" s="1"/>
  <c r="AE9" i="19" a="1"/>
  <c r="AE9" i="19" s="1"/>
  <c r="AE17" i="19" a="1"/>
  <c r="AE17" i="19" s="1"/>
  <c r="AE25" i="19" a="1"/>
  <c r="AE25" i="19" s="1"/>
  <c r="Q33" i="22" a="1"/>
  <c r="Q33" i="22" s="1"/>
  <c r="Q38" i="22" a="1"/>
  <c r="Q38" i="22" s="1"/>
  <c r="AL7" i="19" a="1"/>
  <c r="AL7" i="19" s="1"/>
  <c r="AL9" i="19" a="1"/>
  <c r="AL9" i="19" s="1"/>
  <c r="AL17" i="19" a="1"/>
  <c r="AL17" i="19" s="1"/>
  <c r="AL25" i="19" a="1"/>
  <c r="AL25" i="19" s="1"/>
  <c r="AK13" i="19" a="1"/>
  <c r="AK13" i="19" s="1"/>
  <c r="AK21" i="19" a="1"/>
  <c r="AK21" i="19" s="1"/>
  <c r="AK28" i="19" a="1"/>
  <c r="AK28" i="19" s="1"/>
  <c r="AJ6" i="19" a="1"/>
  <c r="AJ6" i="19" s="1"/>
  <c r="AJ8" i="19" a="1"/>
  <c r="AJ8" i="19" s="1"/>
  <c r="AJ16" i="19" a="1"/>
  <c r="AJ16" i="19" s="1"/>
  <c r="AJ24" i="19" a="1"/>
  <c r="AJ24" i="19" s="1"/>
  <c r="AI3" i="19" a="1"/>
  <c r="AI3" i="19" s="1"/>
  <c r="AI12" i="19" a="1"/>
  <c r="AI12" i="19" s="1"/>
  <c r="AI20" i="19" a="1"/>
  <c r="AI20" i="19" s="1"/>
  <c r="AI28" i="19" a="1"/>
  <c r="AI28" i="19" s="1"/>
  <c r="AH6" i="19" a="1"/>
  <c r="AH6" i="19" s="1"/>
  <c r="AH8" i="19" a="1"/>
  <c r="AH8" i="19" s="1"/>
  <c r="AH16" i="19" a="1"/>
  <c r="AH16" i="19" s="1"/>
  <c r="AH24" i="19" a="1"/>
  <c r="AH24" i="19" s="1"/>
  <c r="AG3" i="19" a="1"/>
  <c r="AG3" i="19" s="1"/>
  <c r="AG12" i="19" a="1"/>
  <c r="AG12" i="19" s="1"/>
  <c r="AG20" i="19" a="1"/>
  <c r="AG20" i="19" s="1"/>
  <c r="AG28" i="19" a="1"/>
  <c r="AG28" i="19" s="1"/>
  <c r="AF6" i="19" a="1"/>
  <c r="AF6" i="19" s="1"/>
  <c r="AF8" i="19" a="1"/>
  <c r="AF8" i="19" s="1"/>
  <c r="AF23" i="19" a="1"/>
  <c r="AF23" i="19" s="1"/>
  <c r="AF34" i="19" a="1"/>
  <c r="AF34" i="19" s="1"/>
  <c r="AE10" i="19" a="1"/>
  <c r="AE10" i="19" s="1"/>
  <c r="AE18" i="19" a="1"/>
  <c r="AE18" i="19" s="1"/>
  <c r="AE26" i="19" a="1"/>
  <c r="AE26" i="19" s="1"/>
  <c r="AD2" i="19" a="1"/>
  <c r="AD2" i="19" s="1"/>
  <c r="Q39" i="22" a="1"/>
  <c r="Q39" i="22" s="1"/>
  <c r="AL10" i="19" a="1"/>
  <c r="AL10" i="19" s="1"/>
  <c r="AL18" i="19" a="1"/>
  <c r="AL18" i="19" s="1"/>
  <c r="AL26" i="19" a="1"/>
  <c r="AL26" i="19" s="1"/>
  <c r="AK2" i="19" a="1"/>
  <c r="AK2" i="19" s="1"/>
  <c r="AK4" i="19" a="1"/>
  <c r="AK4" i="19" s="1"/>
  <c r="AK14" i="19" a="1"/>
  <c r="AK14" i="19" s="1"/>
  <c r="AK22" i="19" a="1"/>
  <c r="AK22" i="19" s="1"/>
  <c r="AK29" i="19" a="1"/>
  <c r="AK29" i="19" s="1"/>
  <c r="AJ7" i="19" a="1"/>
  <c r="AJ7" i="19" s="1"/>
  <c r="AJ9" i="19" a="1"/>
  <c r="AJ9" i="19" s="1"/>
  <c r="AJ17" i="19" a="1"/>
  <c r="AJ17" i="19" s="1"/>
  <c r="AJ25" i="19" a="1"/>
  <c r="AJ25" i="19" s="1"/>
  <c r="AI13" i="19" a="1"/>
  <c r="AI13" i="19" s="1"/>
  <c r="AI21" i="19" a="1"/>
  <c r="AI21" i="19" s="1"/>
  <c r="AI29" i="19" a="1"/>
  <c r="AI29" i="19" s="1"/>
  <c r="AH7" i="19" a="1"/>
  <c r="AH7" i="19" s="1"/>
  <c r="AH9" i="19" a="1"/>
  <c r="AH9" i="19" s="1"/>
  <c r="AH17" i="19" a="1"/>
  <c r="AH17" i="19" s="1"/>
  <c r="AH25" i="19" a="1"/>
  <c r="AH25" i="19" s="1"/>
  <c r="AG13" i="19" a="1"/>
  <c r="AG13" i="19" s="1"/>
  <c r="AG21" i="19" a="1"/>
  <c r="AG21" i="19" s="1"/>
  <c r="AG29" i="19" a="1"/>
  <c r="AG29" i="19" s="1"/>
  <c r="AF7" i="19" a="1"/>
  <c r="AF7" i="19" s="1"/>
  <c r="AF9" i="19" a="1"/>
  <c r="AF9" i="19" s="1"/>
  <c r="AF16" i="19" a="1"/>
  <c r="AF16" i="19" s="1"/>
  <c r="AF24" i="19" a="1"/>
  <c r="AF24" i="19" s="1"/>
  <c r="AE3" i="19" a="1"/>
  <c r="AE3" i="19" s="1"/>
  <c r="AE11" i="19" a="1"/>
  <c r="AE11" i="19" s="1"/>
  <c r="AE19" i="19" a="1"/>
  <c r="AE19" i="19" s="1"/>
  <c r="AE27" i="19" a="1"/>
  <c r="AE27" i="19" s="1"/>
  <c r="AD5" i="19" a="1"/>
  <c r="AD5" i="19" s="1"/>
  <c r="Q34" i="22" a="1"/>
  <c r="Q34" i="22" s="1"/>
  <c r="C10" i="18" a="1"/>
  <c r="AL11" i="19" a="1"/>
  <c r="AL11" i="19" s="1"/>
  <c r="AL19" i="19" a="1"/>
  <c r="AL19" i="19" s="1"/>
  <c r="AL27" i="19" a="1"/>
  <c r="AL27" i="19" s="1"/>
  <c r="AK5" i="19" a="1"/>
  <c r="AK5" i="19" s="1"/>
  <c r="AK15" i="19" a="1"/>
  <c r="AK15" i="19" s="1"/>
  <c r="AK30" i="19" a="1"/>
  <c r="AK30" i="19" s="1"/>
  <c r="AJ10" i="19" a="1"/>
  <c r="AJ10" i="19" s="1"/>
  <c r="AJ18" i="19" a="1"/>
  <c r="AJ18" i="19" s="1"/>
  <c r="AJ26" i="19" a="1"/>
  <c r="AJ26" i="19" s="1"/>
  <c r="AI2" i="19" a="1"/>
  <c r="AI2" i="19" s="1"/>
  <c r="AI4" i="19" a="1"/>
  <c r="AI4" i="19" s="1"/>
  <c r="AI14" i="19" a="1"/>
  <c r="AI14" i="19" s="1"/>
  <c r="AI22" i="19" a="1"/>
  <c r="AI22" i="19" s="1"/>
  <c r="AI30" i="19" a="1"/>
  <c r="AI30" i="19" s="1"/>
  <c r="AH10" i="19" a="1"/>
  <c r="AH10" i="19" s="1"/>
  <c r="AH18" i="19" a="1"/>
  <c r="AH18" i="19" s="1"/>
  <c r="AH26" i="19" a="1"/>
  <c r="AH26" i="19" s="1"/>
  <c r="AG2" i="19" a="1"/>
  <c r="AG2" i="19" s="1"/>
  <c r="AG4" i="19" a="1"/>
  <c r="AG4" i="19" s="1"/>
  <c r="AG14" i="19" a="1"/>
  <c r="AG14" i="19" s="1"/>
  <c r="AG22" i="19" a="1"/>
  <c r="AG22" i="19" s="1"/>
  <c r="AG30" i="19" a="1"/>
  <c r="AG30" i="19" s="1"/>
  <c r="AF10" i="19" a="1"/>
  <c r="AF10" i="19" s="1"/>
  <c r="AF17" i="19" a="1"/>
  <c r="AF17" i="19" s="1"/>
  <c r="AF25" i="19" a="1"/>
  <c r="AF25" i="19" s="1"/>
  <c r="AE12" i="19" a="1"/>
  <c r="AE12" i="19" s="1"/>
  <c r="AE20" i="19" a="1"/>
  <c r="AE20" i="19" s="1"/>
  <c r="AE28" i="19" a="1"/>
  <c r="AE28" i="19" s="1"/>
  <c r="AL3" i="19" a="1"/>
  <c r="AL3" i="19" s="1"/>
  <c r="AL12" i="19" a="1"/>
  <c r="AL12" i="19" s="1"/>
  <c r="AL20" i="19" a="1"/>
  <c r="AL20" i="19" s="1"/>
  <c r="AL28" i="19" a="1"/>
  <c r="AL28" i="19" s="1"/>
  <c r="AK6" i="19" a="1"/>
  <c r="AK6" i="19" s="1"/>
  <c r="AK8" i="19" a="1"/>
  <c r="AK8" i="19" s="1"/>
  <c r="AK16" i="19" a="1"/>
  <c r="AK16" i="19" s="1"/>
  <c r="AK23" i="19" a="1"/>
  <c r="AK23" i="19" s="1"/>
  <c r="AK34" i="19" a="1"/>
  <c r="AK34" i="19" s="1"/>
  <c r="AJ11" i="19" a="1"/>
  <c r="AJ11" i="19" s="1"/>
  <c r="AJ19" i="19" a="1"/>
  <c r="AJ19" i="19" s="1"/>
  <c r="AJ27" i="19" a="1"/>
  <c r="AJ27" i="19" s="1"/>
  <c r="AI5" i="19" a="1"/>
  <c r="AI5" i="19" s="1"/>
  <c r="AI15" i="19" a="1"/>
  <c r="AI15" i="19" s="1"/>
  <c r="AI23" i="19" a="1"/>
  <c r="AI23" i="19" s="1"/>
  <c r="AI34" i="19" a="1"/>
  <c r="AI34" i="19" s="1"/>
  <c r="AH11" i="19" a="1"/>
  <c r="AH11" i="19" s="1"/>
  <c r="AH19" i="19" a="1"/>
  <c r="AH19" i="19" s="1"/>
  <c r="AH27" i="19" a="1"/>
  <c r="AH27" i="19" s="1"/>
  <c r="AG5" i="19" a="1"/>
  <c r="AG5" i="19" s="1"/>
  <c r="AG15" i="19" a="1"/>
  <c r="AG15" i="19" s="1"/>
  <c r="AG23" i="19" a="1"/>
  <c r="AG23" i="19" s="1"/>
  <c r="AG34" i="19" a="1"/>
  <c r="AG34" i="19" s="1"/>
  <c r="AF11" i="19" a="1"/>
  <c r="AF11" i="19" s="1"/>
  <c r="AF18" i="19" a="1"/>
  <c r="AF18" i="19" s="1"/>
  <c r="AF26" i="19" a="1"/>
  <c r="AF26" i="19" s="1"/>
  <c r="AE2" i="19" a="1"/>
  <c r="AE2" i="19" s="1"/>
  <c r="AE4" i="19" a="1"/>
  <c r="AE4" i="19" s="1"/>
  <c r="AE13" i="19" a="1"/>
  <c r="AE13" i="19" s="1"/>
  <c r="AE21" i="19" a="1"/>
  <c r="AE21" i="19" s="1"/>
  <c r="AE29" i="19" a="1"/>
  <c r="AE29" i="19" s="1"/>
  <c r="AD7" i="19" a="1"/>
  <c r="AD7" i="19" s="1"/>
  <c r="Q35" i="22" a="1"/>
  <c r="Q35" i="22" s="1"/>
  <c r="AL13" i="19" a="1"/>
  <c r="AL13" i="19" s="1"/>
  <c r="AL21" i="19" a="1"/>
  <c r="AL21" i="19" s="1"/>
  <c r="AL29" i="19" a="1"/>
  <c r="AL29" i="19" s="1"/>
  <c r="AK7" i="19" a="1"/>
  <c r="AK7" i="19" s="1"/>
  <c r="AK9" i="19" a="1"/>
  <c r="AK9" i="19" s="1"/>
  <c r="AK17" i="19" a="1"/>
  <c r="AK17" i="19" s="1"/>
  <c r="AK24" i="19" a="1"/>
  <c r="AK24" i="19" s="1"/>
  <c r="AJ3" i="19" a="1"/>
  <c r="AJ3" i="19" s="1"/>
  <c r="AJ12" i="19" a="1"/>
  <c r="AJ12" i="19" s="1"/>
  <c r="AJ20" i="19" a="1"/>
  <c r="AJ20" i="19" s="1"/>
  <c r="AJ28" i="19" a="1"/>
  <c r="AJ28" i="19" s="1"/>
  <c r="AI6" i="19" a="1"/>
  <c r="AI6" i="19" s="1"/>
  <c r="AI8" i="19" a="1"/>
  <c r="AI8" i="19" s="1"/>
  <c r="AI16" i="19" a="1"/>
  <c r="AI16" i="19" s="1"/>
  <c r="AI24" i="19" a="1"/>
  <c r="AI24" i="19" s="1"/>
  <c r="AH3" i="19" a="1"/>
  <c r="AH3" i="19" s="1"/>
  <c r="AH12" i="19" a="1"/>
  <c r="AH12" i="19" s="1"/>
  <c r="AH20" i="19" a="1"/>
  <c r="AH20" i="19" s="1"/>
  <c r="AH28" i="19" a="1"/>
  <c r="AH28" i="19" s="1"/>
  <c r="AG6" i="19" a="1"/>
  <c r="AG6" i="19" s="1"/>
  <c r="AG8" i="19" a="1"/>
  <c r="AG8" i="19" s="1"/>
  <c r="AG16" i="19" a="1"/>
  <c r="AG16" i="19" s="1"/>
  <c r="AG24" i="19" a="1"/>
  <c r="AG24" i="19" s="1"/>
  <c r="AF3" i="19" a="1"/>
  <c r="AF3" i="19" s="1"/>
  <c r="AF12" i="19" a="1"/>
  <c r="AF12" i="19" s="1"/>
  <c r="AF19" i="19" a="1"/>
  <c r="AF19" i="19" s="1"/>
  <c r="AF27" i="19" a="1"/>
  <c r="AF27" i="19" s="1"/>
  <c r="AE5" i="19" a="1"/>
  <c r="AE5" i="19" s="1"/>
  <c r="AE14" i="19" a="1"/>
  <c r="AE14" i="19" s="1"/>
  <c r="AE22" i="19" a="1"/>
  <c r="AE22" i="19" s="1"/>
  <c r="AE30" i="19" a="1"/>
  <c r="AE30" i="19" s="1"/>
  <c r="AL2" i="19" a="1"/>
  <c r="AL2" i="19" s="1"/>
  <c r="AL4" i="19" a="1"/>
  <c r="AL4" i="19" s="1"/>
  <c r="AL14" i="19" a="1"/>
  <c r="AL14" i="19" s="1"/>
  <c r="AL22" i="19" a="1"/>
  <c r="AL22" i="19" s="1"/>
  <c r="AL30" i="19" a="1"/>
  <c r="AL30" i="19" s="1"/>
  <c r="AK10" i="19" a="1"/>
  <c r="AK10" i="19" s="1"/>
  <c r="AK18" i="19" a="1"/>
  <c r="AK18" i="19" s="1"/>
  <c r="AK25" i="19" a="1"/>
  <c r="AK25" i="19" s="1"/>
  <c r="AJ13" i="19" a="1"/>
  <c r="AJ13" i="19" s="1"/>
  <c r="AJ21" i="19" a="1"/>
  <c r="AJ21" i="19" s="1"/>
  <c r="AJ29" i="19" a="1"/>
  <c r="AJ29" i="19" s="1"/>
  <c r="AI7" i="19" a="1"/>
  <c r="AI7" i="19" s="1"/>
  <c r="AI9" i="19" a="1"/>
  <c r="AI9" i="19" s="1"/>
  <c r="AI17" i="19" a="1"/>
  <c r="AI17" i="19" s="1"/>
  <c r="AI25" i="19" a="1"/>
  <c r="AI25" i="19" s="1"/>
  <c r="AH13" i="19" a="1"/>
  <c r="AH13" i="19" s="1"/>
  <c r="AH21" i="19" a="1"/>
  <c r="AH21" i="19" s="1"/>
  <c r="AH29" i="19" a="1"/>
  <c r="AH29" i="19" s="1"/>
  <c r="AG7" i="19" a="1"/>
  <c r="AG7" i="19" s="1"/>
  <c r="AG9" i="19" a="1"/>
  <c r="AG9" i="19" s="1"/>
  <c r="AG17" i="19" a="1"/>
  <c r="AG17" i="19" s="1"/>
  <c r="AG25" i="19" a="1"/>
  <c r="AG25" i="19" s="1"/>
  <c r="AF13" i="19" a="1"/>
  <c r="AF13" i="19" s="1"/>
  <c r="AF20" i="19" a="1"/>
  <c r="AF20" i="19" s="1"/>
  <c r="AF28" i="19" a="1"/>
  <c r="AF28" i="19" s="1"/>
  <c r="AE6" i="19" a="1"/>
  <c r="AE6" i="19" s="1"/>
  <c r="AE15" i="19" a="1"/>
  <c r="AE15" i="19" s="1"/>
  <c r="AE23" i="19" a="1"/>
  <c r="AE23" i="19" s="1"/>
  <c r="AE34" i="19" a="1"/>
  <c r="AE34" i="19" s="1"/>
  <c r="AD9" i="19" a="1"/>
  <c r="AD9" i="19" s="1"/>
  <c r="AD17" i="19" a="1"/>
  <c r="AD17" i="19" s="1"/>
  <c r="AD25" i="19" a="1"/>
  <c r="AD25" i="19" s="1"/>
  <c r="AC13" i="19" a="1"/>
  <c r="AC13" i="19" s="1"/>
  <c r="AC21" i="19" a="1"/>
  <c r="AC21" i="19" s="1"/>
  <c r="AC29" i="19" a="1"/>
  <c r="AC29" i="19" s="1"/>
  <c r="AB7" i="19" a="1"/>
  <c r="AB7" i="19" s="1"/>
  <c r="AB9" i="19" a="1"/>
  <c r="AB9" i="19" s="1"/>
  <c r="AB17" i="19" a="1"/>
  <c r="AB17" i="19" s="1"/>
  <c r="AB25" i="19" a="1"/>
  <c r="AB25" i="19" s="1"/>
  <c r="AA13" i="19" a="1"/>
  <c r="AA13" i="19" s="1"/>
  <c r="AA21" i="19" a="1"/>
  <c r="AA21" i="19" s="1"/>
  <c r="AA29" i="19" a="1"/>
  <c r="AA29" i="19" s="1"/>
  <c r="Z6" i="19" a="1"/>
  <c r="Z6" i="19" s="1"/>
  <c r="Z8" i="19" a="1"/>
  <c r="Z8" i="19" s="1"/>
  <c r="Z16" i="19" a="1"/>
  <c r="Z16" i="19" s="1"/>
  <c r="Z24" i="19" a="1"/>
  <c r="Z24" i="19" s="1"/>
  <c r="Y3" i="19" a="1"/>
  <c r="Y3" i="19" s="1"/>
  <c r="Y11" i="19" a="1"/>
  <c r="Y11" i="19" s="1"/>
  <c r="Y19" i="19" a="1"/>
  <c r="Y19" i="19" s="1"/>
  <c r="Y27" i="19" a="1"/>
  <c r="Y27" i="19" s="1"/>
  <c r="Y28" i="19" a="1"/>
  <c r="Y28" i="19" s="1"/>
  <c r="Y14" i="19" a="1"/>
  <c r="Y14" i="19" s="1"/>
  <c r="Y23" i="19" a="1"/>
  <c r="Y23" i="19" s="1"/>
  <c r="Z29" i="19" a="1"/>
  <c r="Z29" i="19" s="1"/>
  <c r="Y26" i="19" a="1"/>
  <c r="Y26" i="19" s="1"/>
  <c r="AD10" i="19" a="1"/>
  <c r="AD10" i="19" s="1"/>
  <c r="AD18" i="19" a="1"/>
  <c r="AD18" i="19" s="1"/>
  <c r="AD26" i="19" a="1"/>
  <c r="AD26" i="19" s="1"/>
  <c r="AC2" i="19" a="1"/>
  <c r="AC2" i="19" s="1"/>
  <c r="AC4" i="19" a="1"/>
  <c r="AC4" i="19" s="1"/>
  <c r="AC14" i="19" a="1"/>
  <c r="AC14" i="19" s="1"/>
  <c r="AC22" i="19" a="1"/>
  <c r="AC22" i="19" s="1"/>
  <c r="AC30" i="19" a="1"/>
  <c r="AC30" i="19" s="1"/>
  <c r="AB10" i="19" a="1"/>
  <c r="AB10" i="19" s="1"/>
  <c r="AB18" i="19" a="1"/>
  <c r="AB18" i="19" s="1"/>
  <c r="AB26" i="19" a="1"/>
  <c r="AB26" i="19" s="1"/>
  <c r="AA2" i="19" a="1"/>
  <c r="AA2" i="19" s="1"/>
  <c r="AA4" i="19" a="1"/>
  <c r="AA4" i="19" s="1"/>
  <c r="AA14" i="19" a="1"/>
  <c r="AA14" i="19" s="1"/>
  <c r="AA22" i="19" a="1"/>
  <c r="AA22" i="19" s="1"/>
  <c r="AA30" i="19" a="1"/>
  <c r="AA30" i="19" s="1"/>
  <c r="Z7" i="19" a="1"/>
  <c r="Z7" i="19" s="1"/>
  <c r="Z9" i="19" a="1"/>
  <c r="Z9" i="19" s="1"/>
  <c r="Z17" i="19" a="1"/>
  <c r="Z17" i="19" s="1"/>
  <c r="Z25" i="19" a="1"/>
  <c r="Z25" i="19" s="1"/>
  <c r="Y12" i="19" a="1"/>
  <c r="Y12" i="19" s="1"/>
  <c r="Y20" i="19" a="1"/>
  <c r="Y20" i="19" s="1"/>
  <c r="Y29" i="19" a="1"/>
  <c r="Y29" i="19" s="1"/>
  <c r="Y30" i="19" a="1"/>
  <c r="Y30" i="19" s="1"/>
  <c r="Y7" i="19" a="1"/>
  <c r="Y7" i="19" s="1"/>
  <c r="Y24" i="19" a="1"/>
  <c r="Y24" i="19" s="1"/>
  <c r="AD11" i="19" a="1"/>
  <c r="AD11" i="19" s="1"/>
  <c r="AD19" i="19" a="1"/>
  <c r="AD19" i="19" s="1"/>
  <c r="AD27" i="19" a="1"/>
  <c r="AD27" i="19" s="1"/>
  <c r="AC5" i="19" a="1"/>
  <c r="AC5" i="19" s="1"/>
  <c r="AC15" i="19" a="1"/>
  <c r="AC15" i="19" s="1"/>
  <c r="AC23" i="19" a="1"/>
  <c r="AC23" i="19" s="1"/>
  <c r="AC34" i="19" a="1"/>
  <c r="AC34" i="19" s="1"/>
  <c r="AB11" i="19" a="1"/>
  <c r="AB11" i="19" s="1"/>
  <c r="AB19" i="19" a="1"/>
  <c r="AB19" i="19" s="1"/>
  <c r="AB27" i="19" a="1"/>
  <c r="AB27" i="19" s="1"/>
  <c r="AA5" i="19" a="1"/>
  <c r="AA5" i="19" s="1"/>
  <c r="AA15" i="19" a="1"/>
  <c r="AA15" i="19" s="1"/>
  <c r="AA23" i="19" a="1"/>
  <c r="AA23" i="19" s="1"/>
  <c r="AA34" i="19" a="1"/>
  <c r="AA34" i="19" s="1"/>
  <c r="Z10" i="19" a="1"/>
  <c r="Z10" i="19" s="1"/>
  <c r="Z18" i="19" a="1"/>
  <c r="Z18" i="19" s="1"/>
  <c r="Z26" i="19" a="1"/>
  <c r="Z26" i="19" s="1"/>
  <c r="Y2" i="19" a="1"/>
  <c r="Y2" i="19" s="1"/>
  <c r="Y4" i="19" a="1"/>
  <c r="Y4" i="19" s="1"/>
  <c r="Y13" i="19" a="1"/>
  <c r="Y13" i="19" s="1"/>
  <c r="Y21" i="19" a="1"/>
  <c r="Y21" i="19" s="1"/>
  <c r="Z13" i="19" a="1"/>
  <c r="Z13" i="19" s="1"/>
  <c r="AA20" i="19" a="1"/>
  <c r="AA20" i="19" s="1"/>
  <c r="Z15" i="19" a="1"/>
  <c r="Z15" i="19" s="1"/>
  <c r="AD4" i="19" a="1"/>
  <c r="AD4" i="19" s="1"/>
  <c r="AD12" i="19" a="1"/>
  <c r="AD12" i="19" s="1"/>
  <c r="AD20" i="19" a="1"/>
  <c r="AD20" i="19" s="1"/>
  <c r="AD28" i="19" a="1"/>
  <c r="AD28" i="19" s="1"/>
  <c r="AC6" i="19" a="1"/>
  <c r="AC6" i="19" s="1"/>
  <c r="AC8" i="19" a="1"/>
  <c r="AC8" i="19" s="1"/>
  <c r="AC16" i="19" a="1"/>
  <c r="AC16" i="19" s="1"/>
  <c r="AC24" i="19" a="1"/>
  <c r="AC24" i="19" s="1"/>
  <c r="AB3" i="19" a="1"/>
  <c r="AB3" i="19" s="1"/>
  <c r="AB12" i="19" a="1"/>
  <c r="AB12" i="19" s="1"/>
  <c r="AB20" i="19" a="1"/>
  <c r="AB20" i="19" s="1"/>
  <c r="AB28" i="19" a="1"/>
  <c r="AB28" i="19" s="1"/>
  <c r="AA6" i="19" a="1"/>
  <c r="AA6" i="19" s="1"/>
  <c r="AA8" i="19" a="1"/>
  <c r="AA8" i="19" s="1"/>
  <c r="AA16" i="19" a="1"/>
  <c r="AA16" i="19" s="1"/>
  <c r="AA24" i="19" a="1"/>
  <c r="AA24" i="19" s="1"/>
  <c r="Z3" i="19" a="1"/>
  <c r="Z3" i="19" s="1"/>
  <c r="Z11" i="19" a="1"/>
  <c r="Z11" i="19" s="1"/>
  <c r="Z19" i="19" a="1"/>
  <c r="Z19" i="19" s="1"/>
  <c r="Z27" i="19" a="1"/>
  <c r="Z27" i="19" s="1"/>
  <c r="Y5" i="19" a="1"/>
  <c r="Y5" i="19" s="1"/>
  <c r="Y22" i="19" a="1"/>
  <c r="Y22" i="19" s="1"/>
  <c r="Y34" i="19" a="1"/>
  <c r="Y34" i="19" s="1"/>
  <c r="Y16" i="19" a="1"/>
  <c r="Y16" i="19" s="1"/>
  <c r="AD6" i="19" a="1"/>
  <c r="AD6" i="19" s="1"/>
  <c r="AD13" i="19" a="1"/>
  <c r="AD13" i="19" s="1"/>
  <c r="AD21" i="19" a="1"/>
  <c r="AD21" i="19" s="1"/>
  <c r="AD29" i="19" a="1"/>
  <c r="AD29" i="19" s="1"/>
  <c r="AC7" i="19" a="1"/>
  <c r="AC7" i="19" s="1"/>
  <c r="AC9" i="19" a="1"/>
  <c r="AC9" i="19" s="1"/>
  <c r="AC17" i="19" a="1"/>
  <c r="AC17" i="19" s="1"/>
  <c r="AC25" i="19" a="1"/>
  <c r="AC25" i="19" s="1"/>
  <c r="AB13" i="19" a="1"/>
  <c r="AB13" i="19" s="1"/>
  <c r="AB21" i="19" a="1"/>
  <c r="AB21" i="19" s="1"/>
  <c r="AB29" i="19" a="1"/>
  <c r="AB29" i="19" s="1"/>
  <c r="AA7" i="19" a="1"/>
  <c r="AA7" i="19" s="1"/>
  <c r="AA9" i="19" a="1"/>
  <c r="AA9" i="19" s="1"/>
  <c r="AA17" i="19" a="1"/>
  <c r="AA17" i="19" s="1"/>
  <c r="AA25" i="19" a="1"/>
  <c r="AA25" i="19" s="1"/>
  <c r="Z12" i="19" a="1"/>
  <c r="Z12" i="19" s="1"/>
  <c r="Z20" i="19" a="1"/>
  <c r="Z20" i="19" s="1"/>
  <c r="Z28" i="19" a="1"/>
  <c r="Z28" i="19" s="1"/>
  <c r="Y6" i="19" a="1"/>
  <c r="Y6" i="19" s="1"/>
  <c r="Y15" i="19" a="1"/>
  <c r="Y15" i="19" s="1"/>
  <c r="Z21" i="19" a="1"/>
  <c r="Z21" i="19" s="1"/>
  <c r="AA28" i="19" a="1"/>
  <c r="AA28" i="19" s="1"/>
  <c r="Z23" i="19" a="1"/>
  <c r="Z23" i="19" s="1"/>
  <c r="Y10" i="19" a="1"/>
  <c r="Y10" i="19" s="1"/>
  <c r="AD14" i="19" a="1"/>
  <c r="AD14" i="19" s="1"/>
  <c r="AD22" i="19" a="1"/>
  <c r="AD22" i="19" s="1"/>
  <c r="AD30" i="19" a="1"/>
  <c r="AD30" i="19" s="1"/>
  <c r="AC10" i="19" a="1"/>
  <c r="AC10" i="19" s="1"/>
  <c r="AC18" i="19" a="1"/>
  <c r="AC18" i="19" s="1"/>
  <c r="AC26" i="19" a="1"/>
  <c r="AC26" i="19" s="1"/>
  <c r="AB2" i="19" a="1"/>
  <c r="AB2" i="19" s="1"/>
  <c r="AB4" i="19" a="1"/>
  <c r="AB4" i="19" s="1"/>
  <c r="AB14" i="19" a="1"/>
  <c r="AB14" i="19" s="1"/>
  <c r="AB22" i="19" a="1"/>
  <c r="AB22" i="19" s="1"/>
  <c r="AB30" i="19" a="1"/>
  <c r="AB30" i="19" s="1"/>
  <c r="AA10" i="19" a="1"/>
  <c r="AA10" i="19" s="1"/>
  <c r="AA18" i="19" a="1"/>
  <c r="AA18" i="19" s="1"/>
  <c r="AA26" i="19" a="1"/>
  <c r="AA26" i="19" s="1"/>
  <c r="Z2" i="19" a="1"/>
  <c r="Z2" i="19" s="1"/>
  <c r="Y8" i="19" a="1"/>
  <c r="Y8" i="19" s="1"/>
  <c r="Z5" i="19" a="1"/>
  <c r="Z5" i="19" s="1"/>
  <c r="AD15" i="19" a="1"/>
  <c r="AD15" i="19" s="1"/>
  <c r="AD23" i="19" a="1"/>
  <c r="AD23" i="19" s="1"/>
  <c r="AD34" i="19" a="1"/>
  <c r="AD34" i="19" s="1"/>
  <c r="AC11" i="19" a="1"/>
  <c r="AC11" i="19" s="1"/>
  <c r="AC19" i="19" a="1"/>
  <c r="AC19" i="19" s="1"/>
  <c r="AC27" i="19" a="1"/>
  <c r="AC27" i="19" s="1"/>
  <c r="AB5" i="19" a="1"/>
  <c r="AB5" i="19" s="1"/>
  <c r="AB15" i="19" a="1"/>
  <c r="AB15" i="19" s="1"/>
  <c r="AB23" i="19" a="1"/>
  <c r="AB23" i="19" s="1"/>
  <c r="AB34" i="19" a="1"/>
  <c r="AB34" i="19" s="1"/>
  <c r="AA11" i="19" a="1"/>
  <c r="AA11" i="19" s="1"/>
  <c r="AA19" i="19" a="1"/>
  <c r="AA19" i="19" s="1"/>
  <c r="AA27" i="19" a="1"/>
  <c r="AA27" i="19" s="1"/>
  <c r="Z4" i="19" a="1"/>
  <c r="Z4" i="19" s="1"/>
  <c r="Z14" i="19" a="1"/>
  <c r="Z14" i="19" s="1"/>
  <c r="Z22" i="19" a="1"/>
  <c r="Z22" i="19" s="1"/>
  <c r="Z30" i="19" a="1"/>
  <c r="Z30" i="19" s="1"/>
  <c r="Y9" i="19" a="1"/>
  <c r="Y9" i="19" s="1"/>
  <c r="Y17" i="19" a="1"/>
  <c r="Y17" i="19" s="1"/>
  <c r="Y25" i="19" a="1"/>
  <c r="Y25" i="19" s="1"/>
  <c r="AB8" i="19" a="1"/>
  <c r="AB8" i="19" s="1"/>
  <c r="AB24" i="19" a="1"/>
  <c r="AB24" i="19" s="1"/>
  <c r="AA3" i="19" a="1"/>
  <c r="AA3" i="19" s="1"/>
  <c r="AA12" i="19" a="1"/>
  <c r="AA12" i="19" s="1"/>
  <c r="AD8" i="19" a="1"/>
  <c r="AD8" i="19" s="1"/>
  <c r="AD16" i="19" a="1"/>
  <c r="AD16" i="19" s="1"/>
  <c r="AD24" i="19" a="1"/>
  <c r="AD24" i="19" s="1"/>
  <c r="AC3" i="19" a="1"/>
  <c r="AC3" i="19" s="1"/>
  <c r="AC12" i="19" a="1"/>
  <c r="AC12" i="19" s="1"/>
  <c r="AC20" i="19" a="1"/>
  <c r="AC20" i="19" s="1"/>
  <c r="AC28" i="19" a="1"/>
  <c r="AC28" i="19" s="1"/>
  <c r="AB6" i="19" a="1"/>
  <c r="AB6" i="19" s="1"/>
  <c r="AB16" i="19" a="1"/>
  <c r="AB16" i="19" s="1"/>
  <c r="Z34" i="19" a="1"/>
  <c r="Z34" i="19" s="1"/>
  <c r="Y18" i="19" a="1"/>
  <c r="Y18" i="19" s="1"/>
  <c r="D10" i="13" a="1"/>
  <c r="C10" i="10" a="1"/>
  <c r="AT3" i="3" a="1"/>
  <c r="AT3" i="3" s="1"/>
  <c r="C10" i="17" a="1"/>
  <c r="H30" i="15" a="1"/>
  <c r="H30" i="15" s="1"/>
  <c r="H24" i="15" a="1"/>
  <c r="H24" i="15" s="1"/>
  <c r="H26" i="15" a="1"/>
  <c r="H26" i="15" s="1"/>
  <c r="H28" i="15" a="1"/>
  <c r="H28" i="15" s="1"/>
  <c r="T3" i="13" a="1"/>
  <c r="T3" i="13" s="1"/>
  <c r="BW58" i="17" a="1"/>
  <c r="BW58" i="17" s="1"/>
  <c r="CB58" i="17" s="1"/>
  <c r="BX55" i="17" a="1"/>
  <c r="BX55" i="17" s="1"/>
  <c r="BY59" i="17" a="1"/>
  <c r="BY59" i="17" s="1"/>
  <c r="BV58" i="17" a="1"/>
  <c r="BV58" i="17" s="1"/>
  <c r="BW55" i="17" a="1"/>
  <c r="BW55" i="17" s="1"/>
  <c r="CB55" i="17" s="1"/>
  <c r="BY58" i="17" a="1"/>
  <c r="BY58" i="17" s="1"/>
  <c r="BX57" i="17" a="1"/>
  <c r="BX57" i="17" s="1"/>
  <c r="BV55" i="17" a="1"/>
  <c r="BV55" i="17" s="1"/>
  <c r="BY57" i="17" a="1"/>
  <c r="BY57" i="17" s="1"/>
  <c r="BW57" i="17" a="1"/>
  <c r="BW57" i="17" s="1"/>
  <c r="CB57" i="17" s="1"/>
  <c r="BY56" i="17" a="1"/>
  <c r="BY56" i="17" s="1"/>
  <c r="BX59" i="17" a="1"/>
  <c r="BX59" i="17" s="1"/>
  <c r="BV57" i="17" a="1"/>
  <c r="BV57" i="17" s="1"/>
  <c r="BV56" i="17" a="1"/>
  <c r="BV56" i="17" s="1"/>
  <c r="BY55" i="17" a="1"/>
  <c r="BY55" i="17" s="1"/>
  <c r="BW59" i="17" a="1"/>
  <c r="BW59" i="17" s="1"/>
  <c r="CB59" i="17" s="1"/>
  <c r="BX56" i="17" a="1"/>
  <c r="BX56" i="17" s="1"/>
  <c r="BV59" i="17" a="1"/>
  <c r="BV59" i="17" s="1"/>
  <c r="BW56" i="17" a="1"/>
  <c r="BW56" i="17" s="1"/>
  <c r="CB56" i="17" s="1"/>
  <c r="BX58" i="17" a="1"/>
  <c r="BX58" i="17" s="1"/>
  <c r="G15" i="16" a="1"/>
  <c r="G15" i="16" s="1"/>
  <c r="H13" i="16" a="1"/>
  <c r="H13" i="16" s="1"/>
  <c r="L13" i="16" a="1"/>
  <c r="L13" i="16" s="1"/>
  <c r="H14" i="16" a="1"/>
  <c r="H14" i="16" s="1"/>
  <c r="J15" i="16" a="1"/>
  <c r="J15" i="16" s="1"/>
  <c r="G18" i="16" a="1"/>
  <c r="G18" i="16" s="1"/>
  <c r="J12" i="16" a="1"/>
  <c r="J12" i="16" s="1"/>
  <c r="Y3" i="13" a="1"/>
  <c r="Y3" i="13" s="1"/>
  <c r="G14" i="16" a="1"/>
  <c r="G14" i="16" s="1"/>
  <c r="I15" i="16" a="1"/>
  <c r="I15" i="16" s="1"/>
  <c r="K14" i="16" a="1"/>
  <c r="K14" i="16" s="1"/>
  <c r="J18" i="16" a="1"/>
  <c r="J18" i="16" s="1"/>
  <c r="I18" i="16" a="1"/>
  <c r="I18" i="16" s="1"/>
  <c r="I12" i="16" a="1"/>
  <c r="I12" i="16" s="1"/>
  <c r="H17" i="16" a="1"/>
  <c r="H17" i="16" s="1"/>
  <c r="K12" i="16" a="1"/>
  <c r="K12" i="16" s="1"/>
  <c r="C15" i="16" a="1"/>
  <c r="C15" i="16" s="1"/>
  <c r="K13" i="16" a="1"/>
  <c r="K13" i="16" s="1"/>
  <c r="L14" i="16" a="1"/>
  <c r="L14" i="16" s="1"/>
  <c r="F14" i="16" a="1"/>
  <c r="F14" i="16" s="1"/>
  <c r="K17" i="16" a="1"/>
  <c r="K17" i="16" s="1"/>
  <c r="J17" i="16" a="1"/>
  <c r="J17" i="16" s="1"/>
  <c r="I17" i="16" a="1"/>
  <c r="I17" i="16" s="1"/>
  <c r="I16" i="16" a="1"/>
  <c r="I16" i="16" s="1"/>
  <c r="F18" i="16" a="1"/>
  <c r="F18" i="16" s="1"/>
  <c r="D12" i="16" a="1"/>
  <c r="D12" i="16" s="1"/>
  <c r="C14" i="16" a="1"/>
  <c r="C14" i="16" s="1"/>
  <c r="F13" i="16" a="1"/>
  <c r="F13" i="16" s="1"/>
  <c r="J13" i="16" a="1"/>
  <c r="J13" i="16" s="1"/>
  <c r="L16" i="16" a="1"/>
  <c r="L16" i="16" s="1"/>
  <c r="K16" i="16" a="1"/>
  <c r="K16" i="16" s="1"/>
  <c r="J16" i="16" a="1"/>
  <c r="J16" i="16" s="1"/>
  <c r="L15" i="16" a="1"/>
  <c r="L15" i="16" s="1"/>
  <c r="G17" i="16" a="1"/>
  <c r="G17" i="16" s="1"/>
  <c r="L12" i="16" a="1"/>
  <c r="L12" i="16" s="1"/>
  <c r="E12" i="16" a="1"/>
  <c r="E12" i="16" s="1"/>
  <c r="C13" i="16" a="1"/>
  <c r="C13" i="16" s="1"/>
  <c r="E13" i="16" a="1"/>
  <c r="E13" i="16" s="1"/>
  <c r="E16" i="16" a="1"/>
  <c r="E16" i="16" s="1"/>
  <c r="D16" i="16" a="1"/>
  <c r="D16" i="16" s="1"/>
  <c r="F15" i="16" a="1"/>
  <c r="F15" i="16" s="1"/>
  <c r="E15" i="16" a="1"/>
  <c r="E15" i="16" s="1"/>
  <c r="H16" i="16" a="1"/>
  <c r="H16" i="16" s="1"/>
  <c r="E18" i="16" a="1"/>
  <c r="E18" i="16" s="1"/>
  <c r="L18" i="16" a="1"/>
  <c r="L18" i="16" s="1"/>
  <c r="K18" i="16" a="1"/>
  <c r="K18" i="16" s="1"/>
  <c r="C17" i="16" a="1"/>
  <c r="C17" i="16" s="1"/>
  <c r="H15" i="16" a="1"/>
  <c r="H15" i="16" s="1"/>
  <c r="D14" i="16" a="1"/>
  <c r="D14" i="16" s="1"/>
  <c r="I14" i="16" a="1"/>
  <c r="I14" i="16" s="1"/>
  <c r="K15" i="16" a="1"/>
  <c r="K15" i="16" s="1"/>
  <c r="F17" i="16" a="1"/>
  <c r="F17" i="16" s="1"/>
  <c r="D18" i="16" a="1"/>
  <c r="D18" i="16" s="1"/>
  <c r="L17" i="16" a="1"/>
  <c r="L17" i="16" s="1"/>
  <c r="F12" i="16" a="1"/>
  <c r="F12" i="16" s="1"/>
  <c r="I13" i="16" a="1"/>
  <c r="I13" i="16" s="1"/>
  <c r="J14" i="16" a="1"/>
  <c r="J14" i="16" s="1"/>
  <c r="E17" i="16" a="1"/>
  <c r="E17" i="16" s="1"/>
  <c r="D17" i="16" a="1"/>
  <c r="D17" i="16" s="1"/>
  <c r="C12" i="16" a="1"/>
  <c r="C12" i="16" s="1"/>
  <c r="C18" i="16" a="1"/>
  <c r="C18" i="16" s="1"/>
  <c r="E14" i="16" a="1"/>
  <c r="E14" i="16" s="1"/>
  <c r="C16" i="16" a="1"/>
  <c r="C16" i="16" s="1"/>
  <c r="H18" i="16" a="1"/>
  <c r="H18" i="16" s="1"/>
  <c r="G13" i="16" a="1"/>
  <c r="G13" i="16" s="1"/>
  <c r="D15" i="16" a="1"/>
  <c r="D15" i="16" s="1"/>
  <c r="G16" i="16" a="1"/>
  <c r="G16" i="16" s="1"/>
  <c r="F16" i="16" a="1"/>
  <c r="F16" i="16" s="1"/>
  <c r="G12" i="16" a="1"/>
  <c r="G12" i="16" s="1"/>
  <c r="H12" i="16" a="1"/>
  <c r="H12" i="16" s="1"/>
  <c r="D13" i="16" a="1"/>
  <c r="D13" i="16" s="1"/>
  <c r="L10" i="13" a="1"/>
  <c r="L10" i="13" s="1"/>
  <c r="AO10" i="13" a="1"/>
  <c r="BB65" i="13" s="1"/>
  <c r="Y5" i="13" s="1"/>
  <c r="Z10" i="13" a="1"/>
  <c r="AP3" i="3" a="1"/>
  <c r="AP3" i="3" s="1"/>
  <c r="B24" i="15" a="1"/>
  <c r="B24" i="15" s="1"/>
  <c r="A28" i="15" a="1"/>
  <c r="A28" i="15" s="1"/>
  <c r="A26" i="15" a="1"/>
  <c r="A26" i="15" s="1"/>
  <c r="A10" i="13" a="1"/>
  <c r="A10" i="13" s="1"/>
  <c r="E10" i="22" a="1"/>
  <c r="C10" i="29" l="1" a="1"/>
  <c r="C10" i="29" s="1"/>
  <c r="C10" i="30" a="1"/>
  <c r="P24" i="22"/>
  <c r="P28" i="22"/>
  <c r="P25" i="22"/>
  <c r="P30" i="22"/>
  <c r="P26" i="22"/>
  <c r="P29" i="22"/>
  <c r="P31" i="22"/>
  <c r="P27" i="22"/>
  <c r="Q24" i="22" a="1"/>
  <c r="Q24" i="22" s="1"/>
  <c r="M24" i="22" s="1" a="1"/>
  <c r="M24" i="22" s="1"/>
  <c r="Q25" i="22" a="1"/>
  <c r="Q25" i="22" s="1"/>
  <c r="M25" i="22" s="1" a="1"/>
  <c r="M25" i="22" s="1"/>
  <c r="Q26" i="22" a="1"/>
  <c r="Q26" i="22" s="1"/>
  <c r="M26" i="22" s="1" a="1"/>
  <c r="M26" i="22" s="1"/>
  <c r="Q29" i="22" a="1"/>
  <c r="Q29" i="22" s="1"/>
  <c r="Q27" i="22" a="1"/>
  <c r="Q27" i="22" s="1"/>
  <c r="M27" i="22" s="1" a="1"/>
  <c r="M27" i="22" s="1"/>
  <c r="Q28" i="22" a="1"/>
  <c r="Q28" i="22" s="1"/>
  <c r="Q30" i="22" a="1"/>
  <c r="Q30" i="22" s="1"/>
  <c r="Q31" i="22" a="1"/>
  <c r="Q31" i="22" s="1"/>
  <c r="BH48" i="10" a="1"/>
  <c r="BH48" i="10" s="1"/>
  <c r="BJ50" i="10" a="1"/>
  <c r="BJ50" i="10" s="1"/>
  <c r="BH53" i="10" a="1"/>
  <c r="BH53" i="10" s="1"/>
  <c r="BI54" i="10" a="1"/>
  <c r="BI54" i="10" s="1"/>
  <c r="BK55" i="10" a="1"/>
  <c r="BK55" i="10" s="1"/>
  <c r="BI57" i="10" a="1"/>
  <c r="BI57" i="10" s="1"/>
  <c r="BK58" i="10" a="1"/>
  <c r="BK58" i="10" s="1"/>
  <c r="BI48" i="10" a="1"/>
  <c r="BI48" i="10" s="1"/>
  <c r="BJ49" i="10" a="1"/>
  <c r="BJ49" i="10" s="1"/>
  <c r="BK50" i="10" a="1"/>
  <c r="BK50" i="10" s="1"/>
  <c r="BI53" i="10" a="1"/>
  <c r="BI53" i="10" s="1"/>
  <c r="BI56" i="10" a="1"/>
  <c r="BI56" i="10" s="1"/>
  <c r="BK51" i="10" a="1"/>
  <c r="BK51" i="10" s="1"/>
  <c r="BJ48" i="10" a="1"/>
  <c r="BJ48" i="10" s="1"/>
  <c r="BH52" i="10" a="1"/>
  <c r="BH52" i="10" s="1"/>
  <c r="BJ54" i="10" a="1"/>
  <c r="BJ54" i="10" s="1"/>
  <c r="BH56" i="10" a="1"/>
  <c r="BH56" i="10" s="1"/>
  <c r="BJ57" i="10" a="1"/>
  <c r="BJ57" i="10" s="1"/>
  <c r="BK57" i="10" a="1"/>
  <c r="BK57" i="10" s="1"/>
  <c r="BK49" i="10" a="1"/>
  <c r="BK49" i="10" s="1"/>
  <c r="BH51" i="10" a="1"/>
  <c r="BH51" i="10" s="1"/>
  <c r="BI52" i="10" a="1"/>
  <c r="BI52" i="10" s="1"/>
  <c r="BJ53" i="10" a="1"/>
  <c r="BJ53" i="10" s="1"/>
  <c r="BK54" i="10" a="1"/>
  <c r="BK54" i="10" s="1"/>
  <c r="BI49" i="10" a="1"/>
  <c r="BI49" i="10" s="1"/>
  <c r="BK48" i="10" a="1"/>
  <c r="BK48" i="10" s="1"/>
  <c r="BH50" i="10" a="1"/>
  <c r="BH50" i="10" s="1"/>
  <c r="BJ52" i="10" a="1"/>
  <c r="BJ52" i="10" s="1"/>
  <c r="BJ56" i="10" a="1"/>
  <c r="BJ56" i="10" s="1"/>
  <c r="BH58" i="10" a="1"/>
  <c r="BH58" i="10" s="1"/>
  <c r="BJ58" i="10" a="1"/>
  <c r="BJ58" i="10" s="1"/>
  <c r="BH57" i="10" a="1"/>
  <c r="BH57" i="10" s="1"/>
  <c r="BI51" i="10" a="1"/>
  <c r="BI51" i="10" s="1"/>
  <c r="BK53" i="10" a="1"/>
  <c r="BK53" i="10" s="1"/>
  <c r="BH55" i="10" a="1"/>
  <c r="BH55" i="10" s="1"/>
  <c r="BI58" i="10" a="1"/>
  <c r="BI58" i="10" s="1"/>
  <c r="BI55" i="10" a="1"/>
  <c r="BI55" i="10" s="1"/>
  <c r="BJ55" i="10" a="1"/>
  <c r="BJ55" i="10" s="1"/>
  <c r="BH49" i="10" a="1"/>
  <c r="BH49" i="10" s="1"/>
  <c r="BI50" i="10" a="1"/>
  <c r="BI50" i="10" s="1"/>
  <c r="BJ51" i="10" a="1"/>
  <c r="BJ51" i="10" s="1"/>
  <c r="BK52" i="10" a="1"/>
  <c r="BK52" i="10" s="1"/>
  <c r="BH54" i="10" a="1"/>
  <c r="BH54" i="10" s="1"/>
  <c r="BK56" i="10" a="1"/>
  <c r="BK56" i="10" s="1"/>
  <c r="BX47" i="17" a="1"/>
  <c r="BX47" i="17" s="1"/>
  <c r="BW47" i="17" a="1"/>
  <c r="BW47" i="17" s="1"/>
  <c r="CB47" i="17" s="1"/>
  <c r="BW37" i="17" a="1"/>
  <c r="BW37" i="17" s="1"/>
  <c r="BX49" i="17" a="1"/>
  <c r="BX49" i="17" s="1"/>
  <c r="BV44" i="17" a="1"/>
  <c r="BV44" i="17" s="1"/>
  <c r="BZ44" i="17" s="1"/>
  <c r="BV40" i="17" a="1"/>
  <c r="BV40" i="17" s="1"/>
  <c r="CA40" i="17" s="1"/>
  <c r="BV49" i="17" a="1"/>
  <c r="BV49" i="17" s="1"/>
  <c r="BZ49" i="17" s="1"/>
  <c r="BX32" i="17" a="1"/>
  <c r="BX32" i="17" s="1"/>
  <c r="BY52" i="17" a="1"/>
  <c r="BY52" i="17" s="1"/>
  <c r="BV45" i="17" a="1"/>
  <c r="BV45" i="17" s="1"/>
  <c r="CA45" i="17" s="1"/>
  <c r="BY51" i="17" a="1"/>
  <c r="BY51" i="17" s="1"/>
  <c r="BX44" i="17" a="1"/>
  <c r="BX44" i="17" s="1"/>
  <c r="BV47" i="17" a="1"/>
  <c r="BV47" i="17" s="1"/>
  <c r="CA47" i="17" s="1"/>
  <c r="BY49" i="17" a="1"/>
  <c r="BY49" i="17" s="1"/>
  <c r="BW41" i="17" a="1"/>
  <c r="BW41" i="17" s="1"/>
  <c r="CB41" i="17" s="1"/>
  <c r="T41" i="17" s="1"/>
  <c r="BW46" i="17" a="1"/>
  <c r="BW46" i="17" s="1"/>
  <c r="CB46" i="17" s="1"/>
  <c r="AX46" i="17" s="1"/>
  <c r="BX42" i="17" a="1"/>
  <c r="BX42" i="17" s="1"/>
  <c r="BW51" i="17" a="1"/>
  <c r="BW51" i="17" s="1"/>
  <c r="CB51" i="17" s="1"/>
  <c r="BB51" i="17" s="1"/>
  <c r="BV30" i="17" a="1"/>
  <c r="BV30" i="17" s="1"/>
  <c r="CA30" i="17" s="1"/>
  <c r="BX53" i="17" a="1"/>
  <c r="BX53" i="17" s="1"/>
  <c r="BY44" i="17" a="1"/>
  <c r="BY44" i="17" s="1"/>
  <c r="BW42" i="17" a="1"/>
  <c r="BW42" i="17" s="1"/>
  <c r="CB42" i="17" s="1"/>
  <c r="BY43" i="17" a="1"/>
  <c r="BY43" i="17" s="1"/>
  <c r="BV42" i="17" a="1"/>
  <c r="BV42" i="17" s="1"/>
  <c r="BZ42" i="17" s="1"/>
  <c r="BY50" i="17" a="1"/>
  <c r="BY50" i="17" s="1"/>
  <c r="BW44" i="17" a="1"/>
  <c r="BW44" i="17" s="1"/>
  <c r="CB44" i="17" s="1"/>
  <c r="AX44" i="17" s="1"/>
  <c r="BY41" i="17" a="1"/>
  <c r="BY41" i="17" s="1"/>
  <c r="BX38" i="17" a="1"/>
  <c r="BX38" i="17" s="1"/>
  <c r="BY48" i="17" a="1"/>
  <c r="BY48" i="17" s="1"/>
  <c r="BX43" i="17" a="1"/>
  <c r="BX43" i="17" s="1"/>
  <c r="BV32" i="17" a="1"/>
  <c r="BV32" i="17" s="1"/>
  <c r="BZ32" i="17" s="1"/>
  <c r="BX48" i="17" a="1"/>
  <c r="BX48" i="17" s="1"/>
  <c r="BW32" i="17" a="1"/>
  <c r="BW32" i="17" s="1"/>
  <c r="CB32" i="17" s="1"/>
  <c r="BJ32" i="17" s="1"/>
  <c r="BV51" i="17" a="1"/>
  <c r="BV51" i="17" s="1"/>
  <c r="CA51" i="17" s="1"/>
  <c r="BV48" i="17" a="1"/>
  <c r="BV48" i="17" s="1"/>
  <c r="BZ48" i="17" s="1"/>
  <c r="BY36" i="17" a="1"/>
  <c r="BY36" i="17" s="1"/>
  <c r="BX39" i="17" a="1"/>
  <c r="BX39" i="17" s="1"/>
  <c r="BY35" i="17" a="1"/>
  <c r="BY35" i="17" s="1"/>
  <c r="BW39" i="17" a="1"/>
  <c r="BW39" i="17" s="1"/>
  <c r="CB39" i="17" s="1"/>
  <c r="AB39" i="17" s="1"/>
  <c r="BY42" i="17" a="1"/>
  <c r="BY42" i="17" s="1"/>
  <c r="BX41" i="17" a="1"/>
  <c r="BX41" i="17" s="1"/>
  <c r="BY33" i="17" a="1"/>
  <c r="BY33" i="17" s="1"/>
  <c r="BV36" i="17" a="1"/>
  <c r="BV36" i="17" s="1"/>
  <c r="BZ36" i="17" s="1"/>
  <c r="BY40" i="17" a="1"/>
  <c r="BY40" i="17" s="1"/>
  <c r="BV41" i="17" a="1"/>
  <c r="BV41" i="17" s="1"/>
  <c r="BZ41" i="17" s="1"/>
  <c r="BV46" i="17" a="1"/>
  <c r="BV46" i="17" s="1"/>
  <c r="BZ46" i="17" s="1"/>
  <c r="BY37" i="17" a="1"/>
  <c r="BY37" i="17" s="1"/>
  <c r="BW48" i="17" a="1"/>
  <c r="BW48" i="17" s="1"/>
  <c r="CB48" i="17" s="1"/>
  <c r="BX34" i="17" a="1"/>
  <c r="BX34" i="17" s="1"/>
  <c r="BW33" i="17" a="1"/>
  <c r="BW33" i="17" s="1"/>
  <c r="CB33" i="17" s="1"/>
  <c r="BY32" i="17" a="1"/>
  <c r="BY32" i="17" s="1"/>
  <c r="BW38" i="17" a="1"/>
  <c r="BW38" i="17" s="1"/>
  <c r="CB38" i="17" s="1"/>
  <c r="BY47" i="17" a="1"/>
  <c r="BY47" i="17" s="1"/>
  <c r="BW43" i="17" a="1"/>
  <c r="BW43" i="17" s="1"/>
  <c r="CB43" i="17" s="1"/>
  <c r="BD43" i="17" s="1"/>
  <c r="BY46" i="17" a="1"/>
  <c r="BY46" i="17" s="1"/>
  <c r="BX45" i="17" a="1"/>
  <c r="BX45" i="17" s="1"/>
  <c r="BY53" i="17" a="1"/>
  <c r="BY53" i="17" s="1"/>
  <c r="BW52" i="17" a="1"/>
  <c r="BW52" i="17" s="1"/>
  <c r="CB52" i="17" s="1"/>
  <c r="BW53" i="17" a="1"/>
  <c r="BW53" i="17" s="1"/>
  <c r="CB53" i="17" s="1"/>
  <c r="Z53" i="17" s="1"/>
  <c r="BX33" i="17" a="1"/>
  <c r="BX33" i="17" s="1"/>
  <c r="BW31" i="17" a="1"/>
  <c r="BW31" i="17" s="1"/>
  <c r="CB31" i="17" s="1"/>
  <c r="AJ31" i="17" s="1"/>
  <c r="BX31" i="17" a="1"/>
  <c r="BX31" i="17" s="1"/>
  <c r="BV43" i="17" a="1"/>
  <c r="BV43" i="17" s="1"/>
  <c r="CA43" i="17" s="1"/>
  <c r="BY38" i="17" a="1"/>
  <c r="BY38" i="17" s="1"/>
  <c r="BX40" i="17" a="1"/>
  <c r="BX40" i="17" s="1"/>
  <c r="BY39" i="17" a="1"/>
  <c r="BY39" i="17" s="1"/>
  <c r="BX35" i="17" a="1"/>
  <c r="BX35" i="17" s="1"/>
  <c r="BX30" i="17" a="1"/>
  <c r="BX30" i="17" s="1"/>
  <c r="BV52" i="17" a="1"/>
  <c r="BV52" i="17" s="1"/>
  <c r="BZ52" i="17" s="1"/>
  <c r="BW36" i="17" a="1"/>
  <c r="BW36" i="17" s="1"/>
  <c r="CB36" i="17" s="1"/>
  <c r="BV34" i="17" a="1"/>
  <c r="BV34" i="17" s="1"/>
  <c r="BZ34" i="17" s="1"/>
  <c r="BW34" i="17" a="1"/>
  <c r="BW34" i="17" s="1"/>
  <c r="CB34" i="17" s="1"/>
  <c r="BV35" i="17" a="1"/>
  <c r="BV35" i="17" s="1"/>
  <c r="CA35" i="17" s="1"/>
  <c r="BX37" i="17" a="1"/>
  <c r="BX37" i="17" s="1"/>
  <c r="BW35" i="17" a="1"/>
  <c r="BW35" i="17" s="1"/>
  <c r="CB35" i="17" s="1"/>
  <c r="R35" i="17" s="1"/>
  <c r="BX51" i="17" a="1"/>
  <c r="BX51" i="17" s="1"/>
  <c r="BX46" i="17" a="1"/>
  <c r="BX46" i="17" s="1"/>
  <c r="BX50" i="17" a="1"/>
  <c r="BX50" i="17" s="1"/>
  <c r="BW45" i="17" a="1"/>
  <c r="BW45" i="17" s="1"/>
  <c r="CB45" i="17" s="1"/>
  <c r="BW40" i="17" a="1"/>
  <c r="BW40" i="17" s="1"/>
  <c r="CB40" i="17" s="1"/>
  <c r="BY30" i="17" a="1"/>
  <c r="BY30" i="17" s="1"/>
  <c r="BV38" i="17" a="1"/>
  <c r="BV38" i="17" s="1"/>
  <c r="CA38" i="17" s="1"/>
  <c r="BY31" i="17" a="1"/>
  <c r="BY31" i="17" s="1"/>
  <c r="BV33" i="17" a="1"/>
  <c r="BV33" i="17" s="1"/>
  <c r="CA33" i="17" s="1"/>
  <c r="BY45" i="17" a="1"/>
  <c r="BY45" i="17" s="1"/>
  <c r="BW49" i="17" a="1"/>
  <c r="BW49" i="17" s="1"/>
  <c r="CB49" i="17" s="1"/>
  <c r="BX52" i="17" a="1"/>
  <c r="BX52" i="17" s="1"/>
  <c r="BV53" i="17" a="1"/>
  <c r="BV53" i="17" s="1"/>
  <c r="BZ53" i="17" s="1"/>
  <c r="BV39" i="17" a="1"/>
  <c r="BV39" i="17" s="1"/>
  <c r="CA39" i="17" s="1"/>
  <c r="BY34" i="17" a="1"/>
  <c r="BY34" i="17" s="1"/>
  <c r="BX36" i="17" a="1"/>
  <c r="BX36" i="17" s="1"/>
  <c r="BV37" i="17" a="1"/>
  <c r="BV37" i="17" s="1"/>
  <c r="BZ37" i="17" s="1"/>
  <c r="BW30" i="17" a="1"/>
  <c r="BW30" i="17" s="1"/>
  <c r="CB30" i="17" s="1"/>
  <c r="AP30" i="17" s="1"/>
  <c r="BV31" i="17" a="1"/>
  <c r="BV31" i="17" s="1"/>
  <c r="BZ31" i="17" s="1"/>
  <c r="BV50" i="17" a="1"/>
  <c r="BV50" i="17" s="1"/>
  <c r="BZ50" i="17" s="1"/>
  <c r="BW50" i="17" a="1"/>
  <c r="BW50" i="17" s="1"/>
  <c r="CB50" i="17" s="1"/>
  <c r="C10" i="18"/>
  <c r="CA73" i="18" a="1"/>
  <c r="CA73" i="18" s="1"/>
  <c r="CA42" i="18" a="1"/>
  <c r="CA42" i="18" s="1"/>
  <c r="BZ63" i="18" a="1"/>
  <c r="BZ63" i="18" s="1"/>
  <c r="CD63" i="18" s="1"/>
  <c r="CC68" i="18" a="1"/>
  <c r="CC68" i="18" s="1"/>
  <c r="CB74" i="18" a="1"/>
  <c r="CB74" i="18" s="1"/>
  <c r="CB43" i="18" a="1"/>
  <c r="CB43" i="18" s="1"/>
  <c r="CA64" i="18" a="1"/>
  <c r="CA64" i="18" s="1"/>
  <c r="BZ70" i="18" a="1"/>
  <c r="BZ70" i="18" s="1"/>
  <c r="CD70" i="18" s="1"/>
  <c r="BZ39" i="18" a="1"/>
  <c r="BZ39" i="18" s="1"/>
  <c r="CD39" i="18" s="1"/>
  <c r="CB71" i="18" a="1"/>
  <c r="CB71" i="18" s="1"/>
  <c r="CB40" i="18" a="1"/>
  <c r="CB40" i="18" s="1"/>
  <c r="CA69" i="18" a="1"/>
  <c r="CA69" i="18" s="1"/>
  <c r="CC64" i="18" a="1"/>
  <c r="CC64" i="18" s="1"/>
  <c r="CB39" i="18" a="1"/>
  <c r="CB39" i="18" s="1"/>
  <c r="BZ66" i="18" a="1"/>
  <c r="BZ66" i="18" s="1"/>
  <c r="CD66" i="18" s="1"/>
  <c r="CB67" i="18" a="1"/>
  <c r="CB67" i="18" s="1"/>
  <c r="CB73" i="18" a="1"/>
  <c r="CB73" i="18" s="1"/>
  <c r="CA71" i="18" a="1"/>
  <c r="CA71" i="18" s="1"/>
  <c r="CA40" i="18" a="1"/>
  <c r="CA40" i="18" s="1"/>
  <c r="BZ61" i="18" a="1"/>
  <c r="BZ61" i="18" s="1"/>
  <c r="CD61" i="18" s="1"/>
  <c r="CC66" i="18" a="1"/>
  <c r="CC66" i="18" s="1"/>
  <c r="CB72" i="18" a="1"/>
  <c r="CB72" i="18" s="1"/>
  <c r="CB41" i="18" a="1"/>
  <c r="CB41" i="18" s="1"/>
  <c r="CA62" i="18" a="1"/>
  <c r="CA62" i="18" s="1"/>
  <c r="BZ68" i="18" a="1"/>
  <c r="BZ68" i="18" s="1"/>
  <c r="CE68" i="18" s="1"/>
  <c r="CC73" i="18" a="1"/>
  <c r="CC73" i="18" s="1"/>
  <c r="CB69" i="18" a="1"/>
  <c r="CB69" i="18" s="1"/>
  <c r="CC61" i="18" a="1"/>
  <c r="CC61" i="18" s="1"/>
  <c r="BZ59" i="18" a="1"/>
  <c r="BZ59" i="18" s="1"/>
  <c r="CE59" i="18" s="1"/>
  <c r="CB70" i="18" a="1"/>
  <c r="CB70" i="18" s="1"/>
  <c r="CA60" i="18" a="1"/>
  <c r="CA60" i="18" s="1"/>
  <c r="CC71" i="18" a="1"/>
  <c r="CC71" i="18" s="1"/>
  <c r="CC59" i="18" a="1"/>
  <c r="CC59" i="18" s="1"/>
  <c r="CB42" i="18" a="1"/>
  <c r="CB42" i="18" s="1"/>
  <c r="CA66" i="18" a="1"/>
  <c r="CA66" i="18" s="1"/>
  <c r="CB60" i="18" a="1"/>
  <c r="CB60" i="18" s="1"/>
  <c r="CC39" i="18" a="1"/>
  <c r="CC39" i="18" s="1"/>
  <c r="CC70" i="18" a="1"/>
  <c r="CC70" i="18" s="1"/>
  <c r="BZ65" i="18" a="1"/>
  <c r="BZ65" i="18" s="1"/>
  <c r="CE65" i="18" s="1"/>
  <c r="CA59" i="18" a="1"/>
  <c r="CA59" i="18" s="1"/>
  <c r="CB59" i="18" a="1"/>
  <c r="CB59" i="18" s="1"/>
  <c r="CC63" i="18" a="1"/>
  <c r="CC63" i="18" s="1"/>
  <c r="BZ43" i="18" a="1"/>
  <c r="BZ43" i="18" s="1"/>
  <c r="CD43" i="18" s="1"/>
  <c r="BZ74" i="18" a="1"/>
  <c r="BZ74" i="18" s="1"/>
  <c r="CE74" i="18" s="1"/>
  <c r="CA68" i="18" a="1"/>
  <c r="CA68" i="18" s="1"/>
  <c r="CB62" i="18" a="1"/>
  <c r="CB62" i="18" s="1"/>
  <c r="CC41" i="18" a="1"/>
  <c r="CC41" i="18" s="1"/>
  <c r="CC72" i="18" a="1"/>
  <c r="CC72" i="18" s="1"/>
  <c r="BZ67" i="18" a="1"/>
  <c r="BZ67" i="18" s="1"/>
  <c r="CD67" i="18" s="1"/>
  <c r="CA61" i="18" a="1"/>
  <c r="CA61" i="18" s="1"/>
  <c r="BZ41" i="18" a="1"/>
  <c r="BZ41" i="18" s="1"/>
  <c r="CE41" i="18" s="1"/>
  <c r="CB61" i="18" a="1"/>
  <c r="CB61" i="18" s="1"/>
  <c r="BZ60" i="18" a="1"/>
  <c r="BZ60" i="18" s="1"/>
  <c r="CE60" i="18" s="1"/>
  <c r="CA70" i="18" a="1"/>
  <c r="CA70" i="18" s="1"/>
  <c r="CC43" i="18" a="1"/>
  <c r="CC43" i="18" s="1"/>
  <c r="BZ69" i="18" a="1"/>
  <c r="BZ69" i="18" s="1"/>
  <c r="CD69" i="18" s="1"/>
  <c r="CC40" i="18" a="1"/>
  <c r="CC40" i="18" s="1"/>
  <c r="CB63" i="18" a="1"/>
  <c r="CB63" i="18" s="1"/>
  <c r="CC67" i="18" a="1"/>
  <c r="CC67" i="18" s="1"/>
  <c r="BZ62" i="18" a="1"/>
  <c r="BZ62" i="18" s="1"/>
  <c r="CE62" i="18" s="1"/>
  <c r="CA41" i="18" a="1"/>
  <c r="CA41" i="18" s="1"/>
  <c r="CA72" i="18" a="1"/>
  <c r="CA72" i="18" s="1"/>
  <c r="CB66" i="18" a="1"/>
  <c r="CB66" i="18" s="1"/>
  <c r="CC60" i="18" a="1"/>
  <c r="CC60" i="18" s="1"/>
  <c r="BZ40" i="18" a="1"/>
  <c r="BZ40" i="18" s="1"/>
  <c r="CD40" i="18" s="1"/>
  <c r="BZ71" i="18" a="1"/>
  <c r="BZ71" i="18" s="1"/>
  <c r="CD71" i="18" s="1"/>
  <c r="CA65" i="18" a="1"/>
  <c r="CA65" i="18" s="1"/>
  <c r="BZ72" i="18" a="1"/>
  <c r="BZ72" i="18" s="1"/>
  <c r="CE72" i="18" s="1"/>
  <c r="CC65" i="18" a="1"/>
  <c r="CC65" i="18" s="1"/>
  <c r="CA39" i="18" a="1"/>
  <c r="CA39" i="18" s="1"/>
  <c r="CB64" i="18" a="1"/>
  <c r="CB64" i="18" s="1"/>
  <c r="CC74" i="18" a="1"/>
  <c r="CC74" i="18" s="1"/>
  <c r="CA63" i="18" a="1"/>
  <c r="CA63" i="18" s="1"/>
  <c r="CC42" i="18" a="1"/>
  <c r="CC42" i="18" s="1"/>
  <c r="CB65" i="18" a="1"/>
  <c r="CB65" i="18" s="1"/>
  <c r="CC69" i="18" a="1"/>
  <c r="CC69" i="18" s="1"/>
  <c r="BZ64" i="18" a="1"/>
  <c r="BZ64" i="18" s="1"/>
  <c r="CD64" i="18" s="1"/>
  <c r="CA43" i="18" a="1"/>
  <c r="CA43" i="18" s="1"/>
  <c r="CA74" i="18" a="1"/>
  <c r="CA74" i="18" s="1"/>
  <c r="CB68" i="18" a="1"/>
  <c r="CB68" i="18" s="1"/>
  <c r="CC62" i="18" a="1"/>
  <c r="CC62" i="18" s="1"/>
  <c r="BZ42" i="18" a="1"/>
  <c r="BZ42" i="18" s="1"/>
  <c r="CE42" i="18" s="1"/>
  <c r="BZ73" i="18" a="1"/>
  <c r="BZ73" i="18" s="1"/>
  <c r="CE73" i="18" s="1"/>
  <c r="CA67" i="18" a="1"/>
  <c r="CA67" i="18" s="1"/>
  <c r="C10" i="10"/>
  <c r="H2" i="10" s="1"/>
  <c r="BI61" i="10" a="1"/>
  <c r="BI61" i="10" s="1"/>
  <c r="BJ61" i="10" a="1"/>
  <c r="BJ61" i="10" s="1"/>
  <c r="BK61" i="10" a="1"/>
  <c r="BK61" i="10" s="1"/>
  <c r="BH62" i="10" a="1"/>
  <c r="BH62" i="10" s="1"/>
  <c r="BM62" i="10" s="1"/>
  <c r="BI62" i="10" a="1"/>
  <c r="BI62" i="10" s="1"/>
  <c r="BJ60" i="10" a="1"/>
  <c r="BJ60" i="10" s="1"/>
  <c r="BK47" i="10" a="1"/>
  <c r="BK47" i="10" s="1"/>
  <c r="BJ62" i="10" a="1"/>
  <c r="BJ62" i="10" s="1"/>
  <c r="BK60" i="10" a="1"/>
  <c r="BK60" i="10" s="1"/>
  <c r="BK62" i="10" a="1"/>
  <c r="BK62" i="10" s="1"/>
  <c r="BK43" i="10" a="1"/>
  <c r="BK43" i="10" s="1"/>
  <c r="BJ45" i="10" a="1"/>
  <c r="BJ45" i="10" s="1"/>
  <c r="BI47" i="10" a="1"/>
  <c r="BI47" i="10" s="1"/>
  <c r="BH47" i="10" a="1"/>
  <c r="BH47" i="10" s="1"/>
  <c r="BL47" i="10" s="1"/>
  <c r="BK46" i="10" a="1"/>
  <c r="BK46" i="10" s="1"/>
  <c r="BJ46" i="10" a="1"/>
  <c r="BJ46" i="10" s="1"/>
  <c r="BI46" i="10" a="1"/>
  <c r="BI46" i="10" s="1"/>
  <c r="BH59" i="10" a="1"/>
  <c r="BH59" i="10" s="1"/>
  <c r="BM59" i="10" s="1"/>
  <c r="BJ43" i="10" a="1"/>
  <c r="BJ43" i="10" s="1"/>
  <c r="BI45" i="10" a="1"/>
  <c r="BI45" i="10" s="1"/>
  <c r="BH45" i="10" a="1"/>
  <c r="BH45" i="10" s="1"/>
  <c r="BL45" i="10" s="1"/>
  <c r="BK44" i="10" a="1"/>
  <c r="BK44" i="10" s="1"/>
  <c r="BJ44" i="10" a="1"/>
  <c r="BJ44" i="10" s="1"/>
  <c r="BI44" i="10" a="1"/>
  <c r="BI44" i="10" s="1"/>
  <c r="BH46" i="10" a="1"/>
  <c r="BH46" i="10" s="1"/>
  <c r="BM46" i="10" s="1"/>
  <c r="BK45" i="10" a="1"/>
  <c r="BK45" i="10" s="1"/>
  <c r="BJ47" i="10" a="1"/>
  <c r="BJ47" i="10" s="1"/>
  <c r="BI60" i="10" a="1"/>
  <c r="BI60" i="10" s="1"/>
  <c r="BH60" i="10" a="1"/>
  <c r="BH60" i="10" s="1"/>
  <c r="BL60" i="10" s="1"/>
  <c r="BK59" i="10" a="1"/>
  <c r="BK59" i="10" s="1"/>
  <c r="BJ59" i="10" a="1"/>
  <c r="BJ59" i="10" s="1"/>
  <c r="BI59" i="10" a="1"/>
  <c r="BI59" i="10" s="1"/>
  <c r="BH61" i="10" a="1"/>
  <c r="BH61" i="10" s="1"/>
  <c r="BM61" i="10" s="1"/>
  <c r="BI43" i="10" a="1"/>
  <c r="BI43" i="10" s="1"/>
  <c r="BH43" i="10" a="1"/>
  <c r="BH43" i="10" s="1"/>
  <c r="BL43" i="10" s="1"/>
  <c r="BK42" i="10" a="1"/>
  <c r="BK42" i="10" s="1"/>
  <c r="BJ42" i="10" a="1"/>
  <c r="BJ42" i="10" s="1"/>
  <c r="BI42" i="10" a="1"/>
  <c r="BI42" i="10" s="1"/>
  <c r="BH44" i="10" a="1"/>
  <c r="BH44" i="10" s="1"/>
  <c r="BL44" i="10" s="1"/>
  <c r="BH42" i="10" a="1"/>
  <c r="BH42" i="10" s="1"/>
  <c r="BM42" i="10" s="1"/>
  <c r="C10" i="17"/>
  <c r="BX54" i="17" a="1"/>
  <c r="BX54" i="17" s="1"/>
  <c r="BV54" i="17" a="1"/>
  <c r="BV54" i="17" s="1"/>
  <c r="CA54" i="17" s="1"/>
  <c r="BW54" i="17" a="1"/>
  <c r="BW54" i="17" s="1"/>
  <c r="CB54" i="17" s="1"/>
  <c r="BB54" i="17" s="1"/>
  <c r="CB37" i="17"/>
  <c r="AL37" i="17" s="1"/>
  <c r="BY54" i="17" a="1"/>
  <c r="BY54" i="17" s="1"/>
  <c r="D10" i="13"/>
  <c r="E9" i="13" s="1"/>
  <c r="Y54" i="13"/>
  <c r="BB58" i="13"/>
  <c r="BB50" i="13"/>
  <c r="BB42" i="13"/>
  <c r="AM49" i="13"/>
  <c r="AM57" i="13"/>
  <c r="Y47" i="13"/>
  <c r="Y55" i="13"/>
  <c r="BB56" i="13"/>
  <c r="AM43" i="13"/>
  <c r="AM51" i="13"/>
  <c r="Y49" i="13"/>
  <c r="BB44" i="13"/>
  <c r="Y53" i="13"/>
  <c r="BB51" i="13"/>
  <c r="Y46" i="13"/>
  <c r="BB57" i="13"/>
  <c r="BB49" i="13"/>
  <c r="AM42" i="13"/>
  <c r="AM50" i="13"/>
  <c r="AM58" i="13"/>
  <c r="Y48" i="13"/>
  <c r="Y56" i="13"/>
  <c r="BB48" i="13"/>
  <c r="AM59" i="13"/>
  <c r="Y57" i="13"/>
  <c r="AM48" i="13"/>
  <c r="BB55" i="13"/>
  <c r="BB47" i="13"/>
  <c r="AM44" i="13"/>
  <c r="AM52" i="13"/>
  <c r="Y42" i="13"/>
  <c r="Y50" i="13"/>
  <c r="Y58" i="13"/>
  <c r="BB52" i="13"/>
  <c r="AM55" i="13"/>
  <c r="BB43" i="13"/>
  <c r="BB54" i="13"/>
  <c r="BB46" i="13"/>
  <c r="AM45" i="13"/>
  <c r="AM53" i="13"/>
  <c r="Y43" i="13"/>
  <c r="Y51" i="13"/>
  <c r="Y59" i="13"/>
  <c r="AM54" i="13"/>
  <c r="AM47" i="13"/>
  <c r="Y45" i="13"/>
  <c r="BB59" i="13"/>
  <c r="AM56" i="13"/>
  <c r="BB53" i="13"/>
  <c r="BB45" i="13"/>
  <c r="AM46" i="13"/>
  <c r="Y44" i="13"/>
  <c r="Y52" i="13"/>
  <c r="P23" i="22"/>
  <c r="Q23" i="22" a="1"/>
  <c r="Q23" i="22" s="1"/>
  <c r="L23" i="22" s="1" a="1"/>
  <c r="L23" i="22" s="1"/>
  <c r="P17" i="22"/>
  <c r="P22" i="22"/>
  <c r="P21" i="22"/>
  <c r="P15" i="22"/>
  <c r="P18" i="22"/>
  <c r="P13" i="22"/>
  <c r="P14" i="22"/>
  <c r="P16" i="22"/>
  <c r="P19" i="22"/>
  <c r="P20" i="22"/>
  <c r="Q19" i="22" a="1"/>
  <c r="Q19" i="22" s="1"/>
  <c r="L19" i="22" s="1" a="1"/>
  <c r="L19" i="22" s="1"/>
  <c r="Q22" i="22" a="1"/>
  <c r="Q22" i="22" s="1"/>
  <c r="M22" i="22" s="1" a="1"/>
  <c r="M22" i="22" s="1"/>
  <c r="Q20" i="22" a="1"/>
  <c r="Q20" i="22" s="1"/>
  <c r="M20" i="22" s="1" a="1"/>
  <c r="M20" i="22" s="1"/>
  <c r="Q18" i="22" a="1"/>
  <c r="Q18" i="22" s="1"/>
  <c r="L18" i="22" s="1" a="1"/>
  <c r="L18" i="22" s="1"/>
  <c r="Q17" i="22" a="1"/>
  <c r="Q17" i="22" s="1"/>
  <c r="L17" i="22" s="1" a="1"/>
  <c r="L17" i="22" s="1"/>
  <c r="Q14" i="22" a="1"/>
  <c r="Q14" i="22" s="1"/>
  <c r="L14" i="22" s="1" a="1"/>
  <c r="L14" i="22" s="1"/>
  <c r="Q21" i="22" a="1"/>
  <c r="Q21" i="22" s="1"/>
  <c r="L21" i="22" s="1" a="1"/>
  <c r="L21" i="22" s="1"/>
  <c r="Q15" i="22" a="1"/>
  <c r="Q15" i="22" s="1"/>
  <c r="M15" i="22" s="1" a="1"/>
  <c r="M15" i="22" s="1"/>
  <c r="Q16" i="22" a="1"/>
  <c r="Q16" i="22" s="1"/>
  <c r="M16" i="22" s="1" a="1"/>
  <c r="M16" i="22" s="1"/>
  <c r="Q13" i="22" a="1"/>
  <c r="Q13" i="22" s="1"/>
  <c r="M13" i="22" s="1" a="1"/>
  <c r="M13" i="22" s="1"/>
  <c r="E10" i="22"/>
  <c r="Q10" i="22" a="1"/>
  <c r="Q10" i="22" s="1"/>
  <c r="Q12" i="22" a="1"/>
  <c r="Q12" i="22" s="1"/>
  <c r="Q11" i="22" a="1"/>
  <c r="Q11" i="22" s="1"/>
  <c r="P12" i="22"/>
  <c r="P11" i="22"/>
  <c r="P10" i="22"/>
  <c r="L39" i="22" a="1"/>
  <c r="L39" i="22" s="1"/>
  <c r="M39" i="22" a="1"/>
  <c r="M39" i="22" s="1"/>
  <c r="M38" i="22" a="1"/>
  <c r="M38" i="22" s="1"/>
  <c r="L38" i="22" a="1"/>
  <c r="L38" i="22" s="1"/>
  <c r="CB38" i="18" a="1"/>
  <c r="CB38" i="18" s="1"/>
  <c r="CB31" i="18" a="1"/>
  <c r="CB31" i="18" s="1"/>
  <c r="BZ30" i="18" a="1"/>
  <c r="BZ30" i="18" s="1"/>
  <c r="CD30" i="18" s="1"/>
  <c r="CC29" i="18" a="1"/>
  <c r="CC29" i="18" s="1"/>
  <c r="CA38" i="18" a="1"/>
  <c r="CA38" i="18" s="1"/>
  <c r="CA35" i="18" a="1"/>
  <c r="CA35" i="18" s="1"/>
  <c r="CC27" i="18" a="1"/>
  <c r="CC27" i="18" s="1"/>
  <c r="CC32" i="18" a="1"/>
  <c r="CC32" i="18" s="1"/>
  <c r="CB32" i="18" a="1"/>
  <c r="CB32" i="18" s="1"/>
  <c r="CB27" i="18" a="1"/>
  <c r="CB27" i="18" s="1"/>
  <c r="CC31" i="18" a="1"/>
  <c r="CC31" i="18" s="1"/>
  <c r="CA28" i="18" a="1"/>
  <c r="CA28" i="18" s="1"/>
  <c r="CB33" i="18" a="1"/>
  <c r="CB33" i="18" s="1"/>
  <c r="CA29" i="18" a="1"/>
  <c r="CA29" i="18" s="1"/>
  <c r="CB36" i="18" a="1"/>
  <c r="CB36" i="18" s="1"/>
  <c r="CA31" i="18" a="1"/>
  <c r="CA31" i="18" s="1"/>
  <c r="CB35" i="18" a="1"/>
  <c r="CB35" i="18" s="1"/>
  <c r="CA30" i="18" a="1"/>
  <c r="CA30" i="18" s="1"/>
  <c r="BZ28" i="18" a="1"/>
  <c r="BZ28" i="18" s="1"/>
  <c r="CD28" i="18" s="1"/>
  <c r="BZ27" i="18" a="1"/>
  <c r="BZ27" i="18" s="1"/>
  <c r="CE27" i="18" s="1"/>
  <c r="BZ37" i="18" a="1"/>
  <c r="BZ37" i="18" s="1"/>
  <c r="CD37" i="18" s="1"/>
  <c r="BZ36" i="18" a="1"/>
  <c r="BZ36" i="18" s="1"/>
  <c r="CD36" i="18" s="1"/>
  <c r="CA32" i="18" a="1"/>
  <c r="CA32" i="18" s="1"/>
  <c r="BZ34" i="18" a="1"/>
  <c r="BZ34" i="18" s="1"/>
  <c r="CE34" i="18" s="1"/>
  <c r="CA34" i="18" a="1"/>
  <c r="CA34" i="18" s="1"/>
  <c r="CC33" i="18" a="1"/>
  <c r="CC33" i="18" s="1"/>
  <c r="CC37" i="18" a="1"/>
  <c r="CC37" i="18" s="1"/>
  <c r="BZ35" i="18" a="1"/>
  <c r="BZ35" i="18" s="1"/>
  <c r="CE35" i="18" s="1"/>
  <c r="CA37" i="18" a="1"/>
  <c r="CA37" i="18" s="1"/>
  <c r="CB37" i="18" a="1"/>
  <c r="CB37" i="18" s="1"/>
  <c r="CC35" i="18" a="1"/>
  <c r="CC35" i="18" s="1"/>
  <c r="BZ38" i="18" a="1"/>
  <c r="BZ38" i="18" s="1"/>
  <c r="CD38" i="18" s="1"/>
  <c r="CA36" i="18" a="1"/>
  <c r="CA36" i="18" s="1"/>
  <c r="CC30" i="18" a="1"/>
  <c r="CC30" i="18" s="1"/>
  <c r="BX27" i="17" a="1"/>
  <c r="BX27" i="17" s="1"/>
  <c r="BW28" i="17" a="1"/>
  <c r="BW28" i="17" s="1"/>
  <c r="BX29" i="17" a="1"/>
  <c r="BX29" i="17" s="1"/>
  <c r="BX26" i="17" a="1"/>
  <c r="BX26" i="17" s="1"/>
  <c r="BY25" i="17" a="1"/>
  <c r="BY25" i="17" s="1"/>
  <c r="BW27" i="17" a="1"/>
  <c r="BW27" i="17" s="1"/>
  <c r="BY29" i="17" a="1"/>
  <c r="BY29" i="17" s="1"/>
  <c r="BY26" i="17" a="1"/>
  <c r="BY26" i="17" s="1"/>
  <c r="BV26" i="17" a="1"/>
  <c r="BV26" i="17" s="1"/>
  <c r="BZ26" i="17" s="1"/>
  <c r="BV28" i="17" a="1"/>
  <c r="BV28" i="17" s="1"/>
  <c r="CA28" i="17" s="1"/>
  <c r="BW26" i="17" a="1"/>
  <c r="BW26" i="17" s="1"/>
  <c r="CC38" i="18" a="1"/>
  <c r="CC38" i="18" s="1"/>
  <c r="CC36" i="18" a="1"/>
  <c r="CC36" i="18" s="1"/>
  <c r="BV25" i="17" a="1"/>
  <c r="BV25" i="17" s="1"/>
  <c r="BZ25" i="17" s="1"/>
  <c r="BY27" i="17" a="1"/>
  <c r="BY27" i="17" s="1"/>
  <c r="BV27" i="17" a="1"/>
  <c r="BV27" i="17" s="1"/>
  <c r="BZ27" i="17" s="1"/>
  <c r="BX25" i="17" a="1"/>
  <c r="BX25" i="17" s="1"/>
  <c r="BV29" i="17" a="1"/>
  <c r="BV29" i="17" s="1"/>
  <c r="CA29" i="17" s="1"/>
  <c r="BZ32" i="18" a="1"/>
  <c r="BZ32" i="18" s="1"/>
  <c r="CD32" i="18" s="1"/>
  <c r="CB30" i="18" a="1"/>
  <c r="CB30" i="18" s="1"/>
  <c r="CC28" i="18" a="1"/>
  <c r="CC28" i="18" s="1"/>
  <c r="CB34" i="18" a="1"/>
  <c r="CB34" i="18" s="1"/>
  <c r="BW29" i="17" a="1"/>
  <c r="BW29" i="17" s="1"/>
  <c r="CB29" i="17" s="1"/>
  <c r="BZ31" i="18" a="1"/>
  <c r="BZ31" i="18" s="1"/>
  <c r="CE31" i="18" s="1"/>
  <c r="BZ33" i="18" a="1"/>
  <c r="BZ33" i="18" s="1"/>
  <c r="CC34" i="18" a="1"/>
  <c r="CC34" i="18" s="1"/>
  <c r="CA27" i="18" a="1"/>
  <c r="CA27" i="18" s="1"/>
  <c r="BW25" i="17" a="1"/>
  <c r="BW25" i="17" s="1"/>
  <c r="BX28" i="17" a="1"/>
  <c r="BX28" i="17" s="1"/>
  <c r="BY28" i="17" a="1"/>
  <c r="BY28" i="17" s="1"/>
  <c r="CB28" i="18" a="1"/>
  <c r="CB28" i="18" s="1"/>
  <c r="CA33" i="18" a="1"/>
  <c r="CA33" i="18" s="1"/>
  <c r="CB29" i="18" a="1"/>
  <c r="CB29" i="18" s="1"/>
  <c r="BZ29" i="18" a="1"/>
  <c r="BZ29" i="18" s="1"/>
  <c r="CD29" i="18" s="1"/>
  <c r="BL55" i="17"/>
  <c r="AV55" i="17"/>
  <c r="AF55" i="17"/>
  <c r="P55" i="17"/>
  <c r="BJ55" i="17"/>
  <c r="AT55" i="17"/>
  <c r="AD55" i="17"/>
  <c r="N55" i="17"/>
  <c r="BH55" i="17"/>
  <c r="AR55" i="17"/>
  <c r="AB55" i="17"/>
  <c r="BF55" i="17"/>
  <c r="AP55" i="17"/>
  <c r="Z55" i="17"/>
  <c r="BD55" i="17"/>
  <c r="AN55" i="17"/>
  <c r="X55" i="17"/>
  <c r="AZ55" i="17"/>
  <c r="AJ55" i="17"/>
  <c r="T55" i="17"/>
  <c r="AX55" i="17"/>
  <c r="AL55" i="17"/>
  <c r="AH55" i="17"/>
  <c r="V55" i="17"/>
  <c r="R55" i="17"/>
  <c r="BN55" i="17"/>
  <c r="BB55" i="17"/>
  <c r="AN43" i="17"/>
  <c r="P43" i="17"/>
  <c r="BJ43" i="17"/>
  <c r="CA58" i="17"/>
  <c r="BZ58" i="17"/>
  <c r="AD32" i="17"/>
  <c r="N32" i="17"/>
  <c r="AB32" i="17"/>
  <c r="BF32" i="17"/>
  <c r="BD32" i="17"/>
  <c r="AN32" i="17"/>
  <c r="AL32" i="17"/>
  <c r="V32" i="17"/>
  <c r="AH32" i="17"/>
  <c r="R32" i="17"/>
  <c r="P32" i="17"/>
  <c r="BL32" i="17"/>
  <c r="AJ32" i="17"/>
  <c r="BF30" i="17"/>
  <c r="BD30" i="17"/>
  <c r="AN30" i="17"/>
  <c r="AL30" i="17"/>
  <c r="V30" i="17"/>
  <c r="T30" i="17"/>
  <c r="BN30" i="17"/>
  <c r="R30" i="17"/>
  <c r="BJ30" i="17"/>
  <c r="N30" i="17"/>
  <c r="BL30" i="17"/>
  <c r="AR30" i="17"/>
  <c r="AF30" i="17"/>
  <c r="CA36" i="17"/>
  <c r="AZ57" i="17"/>
  <c r="AJ57" i="17"/>
  <c r="T57" i="17"/>
  <c r="BN57" i="17"/>
  <c r="AX57" i="17"/>
  <c r="AH57" i="17"/>
  <c r="R57" i="17"/>
  <c r="BL57" i="17"/>
  <c r="AV57" i="17"/>
  <c r="AF57" i="17"/>
  <c r="P57" i="17"/>
  <c r="BJ57" i="17"/>
  <c r="AT57" i="17"/>
  <c r="AD57" i="17"/>
  <c r="N57" i="17"/>
  <c r="BH57" i="17"/>
  <c r="AR57" i="17"/>
  <c r="AB57" i="17"/>
  <c r="BD57" i="17"/>
  <c r="AN57" i="17"/>
  <c r="X57" i="17"/>
  <c r="BF57" i="17"/>
  <c r="BB57" i="17"/>
  <c r="AP57" i="17"/>
  <c r="AL57" i="17"/>
  <c r="V57" i="17"/>
  <c r="Z57" i="17"/>
  <c r="BB37" i="17"/>
  <c r="BH39" i="17"/>
  <c r="AR39" i="17"/>
  <c r="X39" i="17"/>
  <c r="AZ39" i="17"/>
  <c r="BB39" i="17"/>
  <c r="N39" i="17"/>
  <c r="BF56" i="17"/>
  <c r="AP56" i="17"/>
  <c r="Z56" i="17"/>
  <c r="BD56" i="17"/>
  <c r="AN56" i="17"/>
  <c r="X56" i="17"/>
  <c r="BB56" i="17"/>
  <c r="AL56" i="17"/>
  <c r="V56" i="17"/>
  <c r="AZ56" i="17"/>
  <c r="AJ56" i="17"/>
  <c r="T56" i="17"/>
  <c r="BN56" i="17"/>
  <c r="AX56" i="17"/>
  <c r="AH56" i="17"/>
  <c r="R56" i="17"/>
  <c r="BJ56" i="17"/>
  <c r="AT56" i="17"/>
  <c r="AD56" i="17"/>
  <c r="N56" i="17"/>
  <c r="BH56" i="17"/>
  <c r="AV56" i="17"/>
  <c r="AR56" i="17"/>
  <c r="AF56" i="17"/>
  <c r="AB56" i="17"/>
  <c r="BL56" i="17"/>
  <c r="P56" i="17"/>
  <c r="CA55" i="17"/>
  <c r="BZ55" i="17"/>
  <c r="CA59" i="17"/>
  <c r="BZ59" i="17"/>
  <c r="AN51" i="17"/>
  <c r="X51" i="17"/>
  <c r="V51" i="17"/>
  <c r="AZ51" i="17"/>
  <c r="BN51" i="17"/>
  <c r="AX51" i="17"/>
  <c r="BL51" i="17"/>
  <c r="AV51" i="17"/>
  <c r="BH51" i="17"/>
  <c r="AR51" i="17"/>
  <c r="BF51" i="17"/>
  <c r="AT51" i="17"/>
  <c r="AD51" i="17"/>
  <c r="N51" i="17"/>
  <c r="BZ57" i="17"/>
  <c r="CA57" i="17"/>
  <c r="AZ41" i="17"/>
  <c r="AJ41" i="17"/>
  <c r="BJ41" i="17"/>
  <c r="AT41" i="17"/>
  <c r="AD41" i="17"/>
  <c r="AN41" i="17"/>
  <c r="X41" i="17"/>
  <c r="AP41" i="17"/>
  <c r="BB41" i="17"/>
  <c r="AX41" i="17"/>
  <c r="R41" i="17"/>
  <c r="CA48" i="17"/>
  <c r="BY20" i="17" a="1"/>
  <c r="BY20" i="17" s="1"/>
  <c r="BY17" i="17" a="1"/>
  <c r="BY17" i="17" s="1"/>
  <c r="BX20" i="17" a="1"/>
  <c r="BX20" i="17" s="1"/>
  <c r="BW15" i="17" a="1"/>
  <c r="BW15" i="17" s="1"/>
  <c r="BX14" i="17" a="1"/>
  <c r="BX14" i="17" s="1"/>
  <c r="BV17" i="17" a="1"/>
  <c r="BV17" i="17" s="1"/>
  <c r="BW16" i="17" a="1"/>
  <c r="BW16" i="17" s="1"/>
  <c r="BW21" i="17" a="1"/>
  <c r="BW21" i="17" s="1"/>
  <c r="BW12" i="17" a="1"/>
  <c r="BW12" i="17" s="1"/>
  <c r="BY10" i="17" a="1"/>
  <c r="BY10" i="17" s="1"/>
  <c r="BV11" i="17" a="1"/>
  <c r="BV11" i="17" s="1"/>
  <c r="G8" i="17"/>
  <c r="BY11" i="17" a="1"/>
  <c r="BY11" i="17" s="1"/>
  <c r="BY23" i="17" a="1"/>
  <c r="BY23" i="17" s="1"/>
  <c r="BX19" i="17" a="1"/>
  <c r="BX19" i="17" s="1"/>
  <c r="BX11" i="17" a="1"/>
  <c r="BX11" i="17" s="1"/>
  <c r="BV24" i="17" a="1"/>
  <c r="BV24" i="17" s="1"/>
  <c r="BX16" i="17" a="1"/>
  <c r="BX16" i="17" s="1"/>
  <c r="BV16" i="17" a="1"/>
  <c r="BV16" i="17" s="1"/>
  <c r="BV20" i="17" a="1"/>
  <c r="BV20" i="17" s="1"/>
  <c r="BY18" i="17" a="1"/>
  <c r="BY18" i="17" s="1"/>
  <c r="BX24" i="17" a="1"/>
  <c r="BX24" i="17" s="1"/>
  <c r="BX17" i="17" a="1"/>
  <c r="BX17" i="17" s="1"/>
  <c r="H8" i="17"/>
  <c r="BY19" i="17" a="1"/>
  <c r="BY19" i="17" s="1"/>
  <c r="BY15" i="17" a="1"/>
  <c r="BY15" i="17" s="1"/>
  <c r="I65" i="17"/>
  <c r="BX22" i="17" a="1"/>
  <c r="BX22" i="17" s="1"/>
  <c r="BW10" i="17" a="1"/>
  <c r="BW10" i="17" s="1"/>
  <c r="BX23" i="17" a="1"/>
  <c r="BX23" i="17" s="1"/>
  <c r="BW14" i="17" a="1"/>
  <c r="BW14" i="17" s="1"/>
  <c r="BX15" i="17" a="1"/>
  <c r="BX15" i="17" s="1"/>
  <c r="BW18" i="17" a="1"/>
  <c r="BW18" i="17" s="1"/>
  <c r="BW19" i="17" a="1"/>
  <c r="BW19" i="17" s="1"/>
  <c r="I8" i="17"/>
  <c r="BY12" i="17" a="1"/>
  <c r="BY12" i="17" s="1"/>
  <c r="BY22" i="17" a="1"/>
  <c r="BY22" i="17" s="1"/>
  <c r="H65" i="17"/>
  <c r="BX13" i="17" a="1"/>
  <c r="BX13" i="17" s="1"/>
  <c r="BV15" i="17" a="1"/>
  <c r="BV15" i="17" s="1"/>
  <c r="BV13" i="17" a="1"/>
  <c r="BV13" i="17" s="1"/>
  <c r="E9" i="17"/>
  <c r="BV14" i="17" a="1"/>
  <c r="BV14" i="17" s="1"/>
  <c r="BW13" i="17" a="1"/>
  <c r="BW13" i="17" s="1"/>
  <c r="BW20" i="17" a="1"/>
  <c r="BW20" i="17" s="1"/>
  <c r="BW17" i="17" a="1"/>
  <c r="BW17" i="17" s="1"/>
  <c r="BY24" i="17" a="1"/>
  <c r="BY24" i="17" s="1"/>
  <c r="BY14" i="17" a="1"/>
  <c r="BY14" i="17" s="1"/>
  <c r="BV23" i="17" a="1"/>
  <c r="BV23" i="17" s="1"/>
  <c r="BW22" i="17" a="1"/>
  <c r="BW22" i="17" s="1"/>
  <c r="BX12" i="17" a="1"/>
  <c r="BX12" i="17" s="1"/>
  <c r="BW11" i="17" a="1"/>
  <c r="BW11" i="17" s="1"/>
  <c r="BW23" i="17" a="1"/>
  <c r="BW23" i="17" s="1"/>
  <c r="BV12" i="17" a="1"/>
  <c r="BV12" i="17" s="1"/>
  <c r="BV18" i="17" a="1"/>
  <c r="BV18" i="17" s="1"/>
  <c r="BX21" i="17" a="1"/>
  <c r="BX21" i="17" s="1"/>
  <c r="BY16" i="17" a="1"/>
  <c r="BY16" i="17" s="1"/>
  <c r="BW24" i="17" a="1"/>
  <c r="BW24" i="17" s="1"/>
  <c r="BV21" i="17" a="1"/>
  <c r="BV21" i="17" s="1"/>
  <c r="B10" i="17" a="1"/>
  <c r="B10" i="17" s="1"/>
  <c r="BV22" i="17" a="1"/>
  <c r="BV22" i="17" s="1"/>
  <c r="BX18" i="17" a="1"/>
  <c r="BX18" i="17" s="1"/>
  <c r="BX10" i="17" a="1"/>
  <c r="BX10" i="17" s="1"/>
  <c r="BY21" i="17" a="1"/>
  <c r="BY21" i="17" s="1"/>
  <c r="BV10" i="17" a="1"/>
  <c r="BV10" i="17" s="1"/>
  <c r="BY13" i="17" a="1"/>
  <c r="BY13" i="17" s="1"/>
  <c r="BV19" i="17" a="1"/>
  <c r="BV19" i="17" s="1"/>
  <c r="CA44" i="17"/>
  <c r="BJ58" i="17"/>
  <c r="AT58" i="17"/>
  <c r="AD58" i="17"/>
  <c r="N58" i="17"/>
  <c r="BH58" i="17"/>
  <c r="AR58" i="17"/>
  <c r="AB58" i="17"/>
  <c r="BF58" i="17"/>
  <c r="AP58" i="17"/>
  <c r="Z58" i="17"/>
  <c r="BD58" i="17"/>
  <c r="AN58" i="17"/>
  <c r="X58" i="17"/>
  <c r="BB58" i="17"/>
  <c r="AL58" i="17"/>
  <c r="V58" i="17"/>
  <c r="BN58" i="17"/>
  <c r="AX58" i="17"/>
  <c r="AH58" i="17"/>
  <c r="R58" i="17"/>
  <c r="P58" i="17"/>
  <c r="BL58" i="17"/>
  <c r="AZ58" i="17"/>
  <c r="AV58" i="17"/>
  <c r="AF58" i="17"/>
  <c r="AJ58" i="17"/>
  <c r="T58" i="17"/>
  <c r="AB35" i="17"/>
  <c r="BZ56" i="17"/>
  <c r="CA56" i="17"/>
  <c r="BD59" i="17"/>
  <c r="AN59" i="17"/>
  <c r="X59" i="17"/>
  <c r="BB59" i="17"/>
  <c r="AL59" i="17"/>
  <c r="V59" i="17"/>
  <c r="AZ59" i="17"/>
  <c r="AJ59" i="17"/>
  <c r="T59" i="17"/>
  <c r="BN59" i="17"/>
  <c r="AX59" i="17"/>
  <c r="AH59" i="17"/>
  <c r="R59" i="17"/>
  <c r="BL59" i="17"/>
  <c r="AV59" i="17"/>
  <c r="AF59" i="17"/>
  <c r="P59" i="17"/>
  <c r="BH59" i="17"/>
  <c r="AR59" i="17"/>
  <c r="AB59" i="17"/>
  <c r="Z59" i="17"/>
  <c r="N59" i="17"/>
  <c r="BJ59" i="17"/>
  <c r="BF59" i="17"/>
  <c r="AP59" i="17"/>
  <c r="AT59" i="17"/>
  <c r="AD59" i="17"/>
  <c r="BN44" i="17"/>
  <c r="R44" i="17"/>
  <c r="BJ44" i="17"/>
  <c r="N44" i="17"/>
  <c r="BH44" i="17"/>
  <c r="BF44" i="17"/>
  <c r="AP44" i="17"/>
  <c r="AL44" i="17"/>
  <c r="V44" i="17"/>
  <c r="AN44" i="17"/>
  <c r="AJ44" i="17"/>
  <c r="T44" i="17"/>
  <c r="BD44" i="17"/>
  <c r="CA26" i="18" a="1"/>
  <c r="CA26" i="18" s="1"/>
  <c r="CA24" i="18" a="1"/>
  <c r="CA24" i="18" s="1"/>
  <c r="CB22" i="18" a="1"/>
  <c r="CB22" i="18" s="1"/>
  <c r="CB20" i="18" a="1"/>
  <c r="CB20" i="18" s="1"/>
  <c r="CC18" i="18" a="1"/>
  <c r="CC18" i="18" s="1"/>
  <c r="CA15" i="18" a="1"/>
  <c r="CA15" i="18" s="1"/>
  <c r="CB13" i="18" a="1"/>
  <c r="CB13" i="18" s="1"/>
  <c r="CB11" i="18" a="1"/>
  <c r="CB11" i="18" s="1"/>
  <c r="CC25" i="18" a="1"/>
  <c r="CC25" i="18" s="1"/>
  <c r="CC23" i="18" a="1"/>
  <c r="CC23" i="18" s="1"/>
  <c r="BZ22" i="18" a="1"/>
  <c r="BZ22" i="18" s="1"/>
  <c r="BZ20" i="18" a="1"/>
  <c r="BZ20" i="18" s="1"/>
  <c r="CA18" i="18" a="1"/>
  <c r="CA18" i="18" s="1"/>
  <c r="CC16" i="18" a="1"/>
  <c r="CC16" i="18" s="1"/>
  <c r="BZ15" i="18" a="1"/>
  <c r="BZ15" i="18" s="1"/>
  <c r="BZ13" i="18" a="1"/>
  <c r="BZ13" i="18" s="1"/>
  <c r="CB25" i="18" a="1"/>
  <c r="CB25" i="18" s="1"/>
  <c r="CC21" i="18" a="1"/>
  <c r="CC21" i="18" s="1"/>
  <c r="CB16" i="18" a="1"/>
  <c r="CB16" i="18" s="1"/>
  <c r="CC12" i="18" a="1"/>
  <c r="CC12" i="18" s="1"/>
  <c r="CC10" i="18" a="1"/>
  <c r="CC10" i="18" s="1"/>
  <c r="CB23" i="18" a="1"/>
  <c r="CB23" i="18" s="1"/>
  <c r="CC19" i="18" a="1"/>
  <c r="CC19" i="18" s="1"/>
  <c r="CC14" i="18" a="1"/>
  <c r="CC14" i="18" s="1"/>
  <c r="BZ11" i="18" a="1"/>
  <c r="BZ11" i="18" s="1"/>
  <c r="CA21" i="18" a="1"/>
  <c r="CA21" i="18" s="1"/>
  <c r="CA12" i="18" a="1"/>
  <c r="CA12" i="18" s="1"/>
  <c r="CA25" i="18" a="1"/>
  <c r="CA25" i="18" s="1"/>
  <c r="CA23" i="18" a="1"/>
  <c r="CA23" i="18" s="1"/>
  <c r="CB21" i="18" a="1"/>
  <c r="CB21" i="18" s="1"/>
  <c r="CB19" i="18" a="1"/>
  <c r="CB19" i="18" s="1"/>
  <c r="BZ18" i="18" a="1"/>
  <c r="BZ18" i="18" s="1"/>
  <c r="CA16" i="18" a="1"/>
  <c r="CA16" i="18" s="1"/>
  <c r="CB14" i="18" a="1"/>
  <c r="CB14" i="18" s="1"/>
  <c r="CB12" i="18" a="1"/>
  <c r="CB12" i="18" s="1"/>
  <c r="BZ25" i="18" a="1"/>
  <c r="BZ25" i="18" s="1"/>
  <c r="CA19" i="18" a="1"/>
  <c r="CA19" i="18" s="1"/>
  <c r="CC17" i="18" a="1"/>
  <c r="CC17" i="18" s="1"/>
  <c r="BZ16" i="18" a="1"/>
  <c r="BZ16" i="18" s="1"/>
  <c r="CA14" i="18" a="1"/>
  <c r="CA14" i="18" s="1"/>
  <c r="CB10" i="18" a="1"/>
  <c r="CB10" i="18" s="1"/>
  <c r="CB26" i="18" a="1"/>
  <c r="CB26" i="18" s="1"/>
  <c r="CB24" i="18" a="1"/>
  <c r="CB24" i="18" s="1"/>
  <c r="CC22" i="18" a="1"/>
  <c r="CC22" i="18" s="1"/>
  <c r="CC20" i="18" a="1"/>
  <c r="CC20" i="18" s="1"/>
  <c r="BZ19" i="18" a="1"/>
  <c r="BZ19" i="18" s="1"/>
  <c r="CA17" i="18" a="1"/>
  <c r="CA17" i="18" s="1"/>
  <c r="CB15" i="18" a="1"/>
  <c r="CB15" i="18" s="1"/>
  <c r="CC13" i="18" a="1"/>
  <c r="CC13" i="18" s="1"/>
  <c r="CC11" i="18" a="1"/>
  <c r="CC11" i="18" s="1"/>
  <c r="BZ10" i="18" a="1"/>
  <c r="BZ10" i="18" s="1"/>
  <c r="CC24" i="18" a="1"/>
  <c r="CC24" i="18" s="1"/>
  <c r="CB17" i="18" a="1"/>
  <c r="CB17" i="18" s="1"/>
  <c r="CA10" i="18" a="1"/>
  <c r="CA10" i="18" s="1"/>
  <c r="CA22" i="18" a="1"/>
  <c r="CA22" i="18" s="1"/>
  <c r="BZ21" i="18" a="1"/>
  <c r="BZ21" i="18" s="1"/>
  <c r="BZ14" i="18" a="1"/>
  <c r="BZ14" i="18" s="1"/>
  <c r="CA13" i="18" a="1"/>
  <c r="CA13" i="18" s="1"/>
  <c r="CB18" i="18" a="1"/>
  <c r="CB18" i="18" s="1"/>
  <c r="BZ24" i="18" a="1"/>
  <c r="BZ24" i="18" s="1"/>
  <c r="BZ17" i="18" a="1"/>
  <c r="BZ17" i="18" s="1"/>
  <c r="BZ23" i="18" a="1"/>
  <c r="BZ23" i="18" s="1"/>
  <c r="CC15" i="18" a="1"/>
  <c r="CC15" i="18" s="1"/>
  <c r="CA20" i="18" a="1"/>
  <c r="CA20" i="18" s="1"/>
  <c r="BZ26" i="18" a="1"/>
  <c r="BZ26" i="18" s="1"/>
  <c r="CA11" i="18" a="1"/>
  <c r="CA11" i="18" s="1"/>
  <c r="CC26" i="18" a="1"/>
  <c r="CC26" i="18" s="1"/>
  <c r="BZ12" i="18" a="1"/>
  <c r="BZ12" i="18" s="1"/>
  <c r="J80" i="18"/>
  <c r="E9" i="18"/>
  <c r="I80" i="18"/>
  <c r="H80" i="18"/>
  <c r="B10" i="18" a="1"/>
  <c r="B10" i="18" s="1"/>
  <c r="BH24" i="10" a="1"/>
  <c r="BH24" i="10" s="1"/>
  <c r="L21" i="16"/>
  <c r="F21" i="16"/>
  <c r="E21" i="16"/>
  <c r="D21" i="16"/>
  <c r="H21" i="16"/>
  <c r="K21" i="16"/>
  <c r="G21" i="16"/>
  <c r="J21" i="16"/>
  <c r="I21" i="16"/>
  <c r="C21" i="16"/>
  <c r="J76" i="10"/>
  <c r="Y65" i="13"/>
  <c r="W62" i="13"/>
  <c r="Z10" i="13"/>
  <c r="AM65" i="13"/>
  <c r="Y4" i="13" s="1"/>
  <c r="AO10" i="13"/>
  <c r="AY62" i="13"/>
  <c r="AV62" i="13"/>
  <c r="AT62" i="13"/>
  <c r="AR62" i="13"/>
  <c r="AW62" i="13"/>
  <c r="AU62" i="13"/>
  <c r="AS62" i="13"/>
  <c r="AX62" i="13"/>
  <c r="AQ62" i="13"/>
  <c r="BA62" i="13"/>
  <c r="BB35" i="13"/>
  <c r="BB27" i="13"/>
  <c r="AM26" i="13"/>
  <c r="AM34" i="13"/>
  <c r="Y31" i="13"/>
  <c r="Y39" i="13"/>
  <c r="BB34" i="13"/>
  <c r="BB26" i="13"/>
  <c r="AM27" i="13"/>
  <c r="Y32" i="13"/>
  <c r="Y40" i="13"/>
  <c r="Y41" i="13"/>
  <c r="BB41" i="13"/>
  <c r="BB33" i="13"/>
  <c r="BB25" i="13"/>
  <c r="AM28" i="13"/>
  <c r="AM36" i="13"/>
  <c r="Y25" i="13"/>
  <c r="BB40" i="13"/>
  <c r="BB32" i="13"/>
  <c r="BB24" i="13"/>
  <c r="AM29" i="13"/>
  <c r="AM37" i="13"/>
  <c r="Y26" i="13"/>
  <c r="Y34" i="13"/>
  <c r="AM30" i="13"/>
  <c r="AM38" i="13"/>
  <c r="Y27" i="13"/>
  <c r="Y35" i="13"/>
  <c r="Y33" i="13"/>
  <c r="BB39" i="13"/>
  <c r="BB31" i="13"/>
  <c r="BB38" i="13"/>
  <c r="BB30" i="13"/>
  <c r="AM31" i="13"/>
  <c r="AM39" i="13"/>
  <c r="Y28" i="13"/>
  <c r="Y36" i="13"/>
  <c r="Y24" i="13"/>
  <c r="Y30" i="13"/>
  <c r="AM35" i="13"/>
  <c r="BB37" i="13"/>
  <c r="BB29" i="13"/>
  <c r="AM24" i="13"/>
  <c r="AM32" i="13"/>
  <c r="AM40" i="13"/>
  <c r="Y29" i="13"/>
  <c r="Y37" i="13"/>
  <c r="BB36" i="13"/>
  <c r="BB28" i="13"/>
  <c r="AM25" i="13"/>
  <c r="AM33" i="13"/>
  <c r="AM41" i="13"/>
  <c r="Y38" i="13"/>
  <c r="BB17" i="13"/>
  <c r="BB23" i="13"/>
  <c r="BB15" i="13"/>
  <c r="AM11" i="13"/>
  <c r="AM19" i="13"/>
  <c r="Y14" i="13"/>
  <c r="Y22" i="13"/>
  <c r="AM14" i="13"/>
  <c r="Y12" i="13"/>
  <c r="BB22" i="13"/>
  <c r="BB14" i="13"/>
  <c r="AM12" i="13"/>
  <c r="AM20" i="13"/>
  <c r="AM10" i="13"/>
  <c r="Y15" i="13"/>
  <c r="Y23" i="13"/>
  <c r="BB21" i="13"/>
  <c r="AM13" i="13"/>
  <c r="AM21" i="13"/>
  <c r="Y16" i="13"/>
  <c r="BB20" i="13"/>
  <c r="AM22" i="13"/>
  <c r="Y10" i="13"/>
  <c r="AM17" i="13"/>
  <c r="AM18" i="13"/>
  <c r="BB13" i="13"/>
  <c r="BB12" i="13"/>
  <c r="Y17" i="13"/>
  <c r="Y20" i="13"/>
  <c r="Y13" i="13"/>
  <c r="BB19" i="13"/>
  <c r="BB11" i="13"/>
  <c r="AM15" i="13"/>
  <c r="AM23" i="13"/>
  <c r="Y18" i="13"/>
  <c r="BB18" i="13"/>
  <c r="BB10" i="13"/>
  <c r="AM16" i="13"/>
  <c r="Y11" i="13"/>
  <c r="Y19" i="13"/>
  <c r="BB16" i="13"/>
  <c r="Y21" i="13"/>
  <c r="I76" i="10"/>
  <c r="H76" i="10"/>
  <c r="BH26" i="10" a="1"/>
  <c r="BH26" i="10" s="1"/>
  <c r="BH28" i="10" a="1"/>
  <c r="BH28" i="10" s="1"/>
  <c r="BH30" i="10" a="1"/>
  <c r="BH30" i="10" s="1"/>
  <c r="BH32" i="10" a="1"/>
  <c r="BH32" i="10" s="1"/>
  <c r="BH34" i="10" a="1"/>
  <c r="BH34" i="10" s="1"/>
  <c r="BH36" i="10" a="1"/>
  <c r="BH36" i="10" s="1"/>
  <c r="BH38" i="10" a="1"/>
  <c r="BH38" i="10" s="1"/>
  <c r="BH40" i="10" a="1"/>
  <c r="BH40" i="10" s="1"/>
  <c r="BI24" i="10" a="1"/>
  <c r="BI24" i="10" s="1"/>
  <c r="BI26" i="10" a="1"/>
  <c r="BI26" i="10" s="1"/>
  <c r="BI28" i="10" a="1"/>
  <c r="BI28" i="10" s="1"/>
  <c r="BI30" i="10" a="1"/>
  <c r="BI30" i="10" s="1"/>
  <c r="BI32" i="10" a="1"/>
  <c r="BI32" i="10" s="1"/>
  <c r="BI34" i="10" a="1"/>
  <c r="BI34" i="10" s="1"/>
  <c r="BI36" i="10" a="1"/>
  <c r="BI36" i="10" s="1"/>
  <c r="BI38" i="10" a="1"/>
  <c r="BI38" i="10" s="1"/>
  <c r="BI40" i="10" a="1"/>
  <c r="BI40" i="10" s="1"/>
  <c r="BJ24" i="10" a="1"/>
  <c r="BJ24" i="10" s="1"/>
  <c r="BJ26" i="10" a="1"/>
  <c r="BJ26" i="10" s="1"/>
  <c r="BJ28" i="10" a="1"/>
  <c r="BJ28" i="10" s="1"/>
  <c r="BJ30" i="10" a="1"/>
  <c r="BJ30" i="10" s="1"/>
  <c r="BJ32" i="10" a="1"/>
  <c r="BJ32" i="10" s="1"/>
  <c r="BJ34" i="10" a="1"/>
  <c r="BJ34" i="10" s="1"/>
  <c r="BJ36" i="10" a="1"/>
  <c r="BJ36" i="10" s="1"/>
  <c r="BJ38" i="10" a="1"/>
  <c r="BJ38" i="10" s="1"/>
  <c r="BJ40" i="10" a="1"/>
  <c r="BJ40" i="10" s="1"/>
  <c r="BK24" i="10" a="1"/>
  <c r="BK24" i="10" s="1"/>
  <c r="BK26" i="10" a="1"/>
  <c r="BK26" i="10" s="1"/>
  <c r="BK28" i="10" a="1"/>
  <c r="BK28" i="10" s="1"/>
  <c r="BK30" i="10" a="1"/>
  <c r="BK30" i="10" s="1"/>
  <c r="BK32" i="10" a="1"/>
  <c r="BK32" i="10" s="1"/>
  <c r="BK34" i="10" a="1"/>
  <c r="BK34" i="10" s="1"/>
  <c r="BK36" i="10" a="1"/>
  <c r="BK36" i="10" s="1"/>
  <c r="BK38" i="10" a="1"/>
  <c r="BK38" i="10" s="1"/>
  <c r="BK40" i="10" a="1"/>
  <c r="BK40" i="10" s="1"/>
  <c r="BH25" i="10" a="1"/>
  <c r="BH25" i="10" s="1"/>
  <c r="BH27" i="10" a="1"/>
  <c r="BH27" i="10" s="1"/>
  <c r="BH29" i="10" a="1"/>
  <c r="BH29" i="10" s="1"/>
  <c r="BH31" i="10" a="1"/>
  <c r="BH31" i="10" s="1"/>
  <c r="BH33" i="10" a="1"/>
  <c r="BH33" i="10" s="1"/>
  <c r="BH35" i="10" a="1"/>
  <c r="BH35" i="10" s="1"/>
  <c r="BH37" i="10" a="1"/>
  <c r="BH37" i="10" s="1"/>
  <c r="BH39" i="10" a="1"/>
  <c r="BH39" i="10" s="1"/>
  <c r="BH41" i="10" a="1"/>
  <c r="BH41" i="10" s="1"/>
  <c r="BI25" i="10" a="1"/>
  <c r="BI25" i="10" s="1"/>
  <c r="BI27" i="10" a="1"/>
  <c r="BI27" i="10" s="1"/>
  <c r="BI29" i="10" a="1"/>
  <c r="BI29" i="10" s="1"/>
  <c r="BI31" i="10" a="1"/>
  <c r="BI31" i="10" s="1"/>
  <c r="BI33" i="10" a="1"/>
  <c r="BI33" i="10" s="1"/>
  <c r="BI35" i="10" a="1"/>
  <c r="BI35" i="10" s="1"/>
  <c r="BI37" i="10" a="1"/>
  <c r="BI37" i="10" s="1"/>
  <c r="BI39" i="10" a="1"/>
  <c r="BI39" i="10" s="1"/>
  <c r="BI41" i="10" a="1"/>
  <c r="BI41" i="10" s="1"/>
  <c r="BJ25" i="10" a="1"/>
  <c r="BJ25" i="10" s="1"/>
  <c r="BJ27" i="10" a="1"/>
  <c r="BJ27" i="10" s="1"/>
  <c r="BJ29" i="10" a="1"/>
  <c r="BJ29" i="10" s="1"/>
  <c r="BJ31" i="10" a="1"/>
  <c r="BJ31" i="10" s="1"/>
  <c r="BJ33" i="10" a="1"/>
  <c r="BJ33" i="10" s="1"/>
  <c r="BJ35" i="10" a="1"/>
  <c r="BJ35" i="10" s="1"/>
  <c r="BJ37" i="10" a="1"/>
  <c r="BJ37" i="10" s="1"/>
  <c r="BJ39" i="10" a="1"/>
  <c r="BJ39" i="10" s="1"/>
  <c r="BJ41" i="10" a="1"/>
  <c r="BJ41" i="10" s="1"/>
  <c r="BK25" i="10" a="1"/>
  <c r="BK25" i="10" s="1"/>
  <c r="BK27" i="10" a="1"/>
  <c r="BK27" i="10" s="1"/>
  <c r="BK29" i="10" a="1"/>
  <c r="BK29" i="10" s="1"/>
  <c r="BK31" i="10" a="1"/>
  <c r="BK31" i="10" s="1"/>
  <c r="BK33" i="10" a="1"/>
  <c r="BK33" i="10" s="1"/>
  <c r="BK35" i="10" a="1"/>
  <c r="BK35" i="10" s="1"/>
  <c r="BK37" i="10" a="1"/>
  <c r="BK37" i="10" s="1"/>
  <c r="BK39" i="10" a="1"/>
  <c r="BK39" i="10" s="1"/>
  <c r="BK41" i="10" a="1"/>
  <c r="BK41" i="10" s="1"/>
  <c r="BI11" i="10" a="1"/>
  <c r="BI11" i="10" s="1"/>
  <c r="BJ12" i="10" a="1"/>
  <c r="BJ12" i="10" s="1"/>
  <c r="BK13" i="10" a="1"/>
  <c r="BK13" i="10" s="1"/>
  <c r="BI16" i="10" a="1"/>
  <c r="BI16" i="10" s="1"/>
  <c r="BK18" i="10" a="1"/>
  <c r="BK18" i="10" s="1"/>
  <c r="BI21" i="10" a="1"/>
  <c r="BI21" i="10" s="1"/>
  <c r="BH10" i="10" a="1"/>
  <c r="BH10" i="10" s="1"/>
  <c r="BJ17" i="10" a="1"/>
  <c r="BJ17" i="10" s="1"/>
  <c r="BJ21" i="10" a="1"/>
  <c r="BJ21" i="10" s="1"/>
  <c r="BK12" i="10" a="1"/>
  <c r="BK12" i="10" s="1"/>
  <c r="BH14" i="10" a="1"/>
  <c r="BH14" i="10" s="1"/>
  <c r="BK17" i="10" a="1"/>
  <c r="BK17" i="10" s="1"/>
  <c r="BI23" i="10" a="1"/>
  <c r="BI23" i="10" s="1"/>
  <c r="BJ23" i="10" a="1"/>
  <c r="BJ23" i="10" s="1"/>
  <c r="BH12" i="10" a="1"/>
  <c r="BH12" i="10" s="1"/>
  <c r="BJ14" i="10" a="1"/>
  <c r="BJ14" i="10" s="1"/>
  <c r="BJ19" i="10" a="1"/>
  <c r="BJ19" i="10" s="1"/>
  <c r="BI22" i="10" a="1"/>
  <c r="BI22" i="10" s="1"/>
  <c r="BJ11" i="10" a="1"/>
  <c r="BJ11" i="10" s="1"/>
  <c r="BH15" i="10" a="1"/>
  <c r="BH15" i="10" s="1"/>
  <c r="BH20" i="10" a="1"/>
  <c r="BH20" i="10" s="1"/>
  <c r="BH23" i="10" a="1"/>
  <c r="BH23" i="10" s="1"/>
  <c r="BJ16" i="10" a="1"/>
  <c r="BJ16" i="10" s="1"/>
  <c r="BK21" i="10" a="1"/>
  <c r="BK21" i="10" s="1"/>
  <c r="BI15" i="10" a="1"/>
  <c r="BI15" i="10" s="1"/>
  <c r="BI20" i="10" a="1"/>
  <c r="BI20" i="10" s="1"/>
  <c r="BJ15" i="10" a="1"/>
  <c r="BJ15" i="10" s="1"/>
  <c r="BH17" i="10" a="1"/>
  <c r="BH17" i="10" s="1"/>
  <c r="BK10" i="10" a="1"/>
  <c r="BK10" i="10" s="1"/>
  <c r="BK22" i="10" a="1"/>
  <c r="BK22" i="10" s="1"/>
  <c r="BK11" i="10" a="1"/>
  <c r="BK11" i="10" s="1"/>
  <c r="BH13" i="10" a="1"/>
  <c r="BH13" i="10" s="1"/>
  <c r="BH19" i="10" a="1"/>
  <c r="BH19" i="10" s="1"/>
  <c r="BI13" i="10" a="1"/>
  <c r="BI13" i="10" s="1"/>
  <c r="BK15" i="10" a="1"/>
  <c r="BK15" i="10" s="1"/>
  <c r="BK20" i="10" a="1"/>
  <c r="BK20" i="10" s="1"/>
  <c r="BI14" i="10" a="1"/>
  <c r="BI14" i="10" s="1"/>
  <c r="BK16" i="10" a="1"/>
  <c r="BK16" i="10" s="1"/>
  <c r="BH18" i="10" a="1"/>
  <c r="BH18" i="10" s="1"/>
  <c r="BI19" i="10" a="1"/>
  <c r="BI19" i="10" s="1"/>
  <c r="BJ20" i="10" a="1"/>
  <c r="BJ20" i="10" s="1"/>
  <c r="BH22" i="10" a="1"/>
  <c r="BH22" i="10" s="1"/>
  <c r="BK23" i="10" a="1"/>
  <c r="BK23" i="10" s="1"/>
  <c r="BK19" i="10" a="1"/>
  <c r="BK19" i="10" s="1"/>
  <c r="BI12" i="10" a="1"/>
  <c r="BI12" i="10" s="1"/>
  <c r="BK14" i="10" a="1"/>
  <c r="BK14" i="10" s="1"/>
  <c r="BI18" i="10" a="1"/>
  <c r="BI18" i="10" s="1"/>
  <c r="BH21" i="10" a="1"/>
  <c r="BH21" i="10" s="1"/>
  <c r="BJ22" i="10" a="1"/>
  <c r="BJ22" i="10" s="1"/>
  <c r="BJ10" i="10" a="1"/>
  <c r="BJ10" i="10" s="1"/>
  <c r="BH11" i="10" a="1"/>
  <c r="BH11" i="10" s="1"/>
  <c r="BJ13" i="10" a="1"/>
  <c r="BJ13" i="10" s="1"/>
  <c r="BH16" i="10" a="1"/>
  <c r="BH16" i="10" s="1"/>
  <c r="BI17" i="10" a="1"/>
  <c r="BI17" i="10" s="1"/>
  <c r="BJ18" i="10" a="1"/>
  <c r="BJ18" i="10" s="1"/>
  <c r="BI10" i="10" a="1"/>
  <c r="BI10" i="10" s="1"/>
  <c r="E9" i="10"/>
  <c r="C10" i="30" l="1"/>
  <c r="C4" i="30" s="1"/>
  <c r="M21" i="30" a="1"/>
  <c r="M21" i="30" s="1"/>
  <c r="M19" i="30" a="1"/>
  <c r="M19" i="30" s="1"/>
  <c r="L19" i="30" a="1"/>
  <c r="L19" i="30" s="1"/>
  <c r="M17" i="30" a="1"/>
  <c r="M17" i="30" s="1"/>
  <c r="M22" i="30" a="1"/>
  <c r="M22" i="30" s="1"/>
  <c r="L23" i="30" a="1"/>
  <c r="L23" i="30" s="1"/>
  <c r="M20" i="30" a="1"/>
  <c r="M20" i="30" s="1"/>
  <c r="M23" i="30" a="1"/>
  <c r="M23" i="30" s="1"/>
  <c r="L22" i="30" a="1"/>
  <c r="L22" i="30" s="1"/>
  <c r="L18" i="30" a="1"/>
  <c r="L18" i="30" s="1"/>
  <c r="L24" i="30" a="1"/>
  <c r="L24" i="30" s="1"/>
  <c r="L17" i="30" a="1"/>
  <c r="L17" i="30" s="1"/>
  <c r="L25" i="30" a="1"/>
  <c r="L25" i="30" s="1"/>
  <c r="M24" i="30" a="1"/>
  <c r="M24" i="30" s="1"/>
  <c r="M18" i="30" a="1"/>
  <c r="M18" i="30" s="1"/>
  <c r="M25" i="30" a="1"/>
  <c r="M25" i="30" s="1"/>
  <c r="L21" i="30" a="1"/>
  <c r="L21" i="30" s="1"/>
  <c r="L20" i="30" a="1"/>
  <c r="L20" i="30" s="1"/>
  <c r="C4" i="29"/>
  <c r="L41" i="29" a="1"/>
  <c r="L41" i="29" s="1"/>
  <c r="M42" i="29" a="1"/>
  <c r="M42" i="29" s="1"/>
  <c r="L44" i="29" a="1"/>
  <c r="L44" i="29" s="1"/>
  <c r="M45" i="29" a="1"/>
  <c r="M45" i="29" s="1"/>
  <c r="M39" i="29" a="1"/>
  <c r="M39" i="29" s="1"/>
  <c r="M38" i="29" a="1"/>
  <c r="M38" i="29" s="1"/>
  <c r="L49" i="29" a="1"/>
  <c r="L49" i="29" s="1"/>
  <c r="M50" i="29" a="1"/>
  <c r="M50" i="29" s="1"/>
  <c r="L37" i="29" a="1"/>
  <c r="L37" i="29" s="1"/>
  <c r="M46" i="29" a="1"/>
  <c r="M46" i="29" s="1"/>
  <c r="M32" i="29" a="1"/>
  <c r="M32" i="29" s="1"/>
  <c r="L34" i="29" a="1"/>
  <c r="L34" i="29" s="1"/>
  <c r="M35" i="29" a="1"/>
  <c r="M35" i="29" s="1"/>
  <c r="L45" i="29" a="1"/>
  <c r="L45" i="29" s="1"/>
  <c r="L40" i="29" a="1"/>
  <c r="L40" i="29" s="1"/>
  <c r="M40" i="29" a="1"/>
  <c r="M40" i="29" s="1"/>
  <c r="L42" i="29" a="1"/>
  <c r="L42" i="29" s="1"/>
  <c r="M43" i="29" a="1"/>
  <c r="M43" i="29" s="1"/>
  <c r="M47" i="29" a="1"/>
  <c r="M47" i="29" s="1"/>
  <c r="M48" i="29" a="1"/>
  <c r="M48" i="29" s="1"/>
  <c r="L50" i="29" a="1"/>
  <c r="L50" i="29" s="1"/>
  <c r="L35" i="29" a="1"/>
  <c r="L35" i="29" s="1"/>
  <c r="M51" i="29" a="1"/>
  <c r="M51" i="29" s="1"/>
  <c r="M36" i="29" a="1"/>
  <c r="M36" i="29" s="1"/>
  <c r="L38" i="29" a="1"/>
  <c r="L38" i="29" s="1"/>
  <c r="M33" i="29" a="1"/>
  <c r="M33" i="29" s="1"/>
  <c r="L43" i="29" a="1"/>
  <c r="L43" i="29" s="1"/>
  <c r="M44" i="29" a="1"/>
  <c r="M44" i="29" s="1"/>
  <c r="L46" i="29" a="1"/>
  <c r="L46" i="29" s="1"/>
  <c r="L39" i="29" a="1"/>
  <c r="L39" i="29" s="1"/>
  <c r="M41" i="29" a="1"/>
  <c r="M41" i="29" s="1"/>
  <c r="L51" i="29" a="1"/>
  <c r="L51" i="29" s="1"/>
  <c r="L48" i="29" a="1"/>
  <c r="L48" i="29" s="1"/>
  <c r="L47" i="29" a="1"/>
  <c r="L47" i="29" s="1"/>
  <c r="L33" i="29" a="1"/>
  <c r="L33" i="29" s="1"/>
  <c r="M49" i="29" a="1"/>
  <c r="M49" i="29" s="1"/>
  <c r="M34" i="29" a="1"/>
  <c r="M34" i="29" s="1"/>
  <c r="L32" i="29" a="1"/>
  <c r="L32" i="29" s="1"/>
  <c r="L36" i="29" a="1"/>
  <c r="L36" i="29" s="1"/>
  <c r="M37" i="29" a="1"/>
  <c r="M37" i="29" s="1"/>
  <c r="L26" i="22" a="1"/>
  <c r="L26" i="22" s="1"/>
  <c r="L25" i="22" a="1"/>
  <c r="L25" i="22" s="1"/>
  <c r="L24" i="22" a="1"/>
  <c r="L24" i="22" s="1"/>
  <c r="L27" i="22" a="1"/>
  <c r="L27" i="22" s="1"/>
  <c r="BZ43" i="17"/>
  <c r="M31" i="29" a="1"/>
  <c r="M31" i="29" s="1"/>
  <c r="L31" i="29" a="1"/>
  <c r="L31" i="29" s="1"/>
  <c r="M30" i="29" a="1"/>
  <c r="M30" i="29" s="1"/>
  <c r="L30" i="29" a="1"/>
  <c r="L30" i="29" s="1"/>
  <c r="L29" i="29" a="1"/>
  <c r="L29" i="29" s="1"/>
  <c r="M29" i="29" a="1"/>
  <c r="M29" i="29" s="1"/>
  <c r="L16" i="30" a="1"/>
  <c r="L16" i="30" s="1"/>
  <c r="M16" i="30" a="1"/>
  <c r="M16" i="30" s="1"/>
  <c r="M28" i="29" a="1"/>
  <c r="M28" i="29" s="1"/>
  <c r="L28" i="29" a="1"/>
  <c r="L28" i="29" s="1"/>
  <c r="M15" i="30" a="1"/>
  <c r="M15" i="30" s="1"/>
  <c r="L15" i="30" a="1"/>
  <c r="L15" i="30" s="1"/>
  <c r="L27" i="29" a="1"/>
  <c r="L27" i="29" s="1"/>
  <c r="M27" i="29" a="1"/>
  <c r="M27" i="29" s="1"/>
  <c r="M26" i="29" a="1"/>
  <c r="M26" i="29" s="1"/>
  <c r="L26" i="29" a="1"/>
  <c r="L26" i="29" s="1"/>
  <c r="L25" i="29" a="1"/>
  <c r="L25" i="29" s="1"/>
  <c r="M25" i="29" a="1"/>
  <c r="M25" i="29" s="1"/>
  <c r="L14" i="30" a="1"/>
  <c r="L14" i="30" s="1"/>
  <c r="M14" i="30" a="1"/>
  <c r="M14" i="30" s="1"/>
  <c r="BZ30" i="17"/>
  <c r="L24" i="29" a="1"/>
  <c r="L24" i="29" s="1"/>
  <c r="M24" i="29" a="1"/>
  <c r="M24" i="29" s="1"/>
  <c r="CE61" i="18"/>
  <c r="AP61" i="18" s="1"/>
  <c r="AQ61" i="18" s="1"/>
  <c r="M23" i="29" a="1"/>
  <c r="M23" i="29" s="1"/>
  <c r="L23" i="29" a="1"/>
  <c r="L23" i="29" s="1"/>
  <c r="M13" i="30" a="1"/>
  <c r="M13" i="30" s="1"/>
  <c r="L13" i="30" a="1"/>
  <c r="L13" i="30" s="1"/>
  <c r="M12" i="30" a="1"/>
  <c r="M12" i="30" s="1"/>
  <c r="L12" i="30" a="1"/>
  <c r="L12" i="30" s="1"/>
  <c r="M10" i="30" a="1"/>
  <c r="M10" i="30" s="1"/>
  <c r="L11" i="30" a="1"/>
  <c r="L11" i="30" s="1"/>
  <c r="M11" i="30" a="1"/>
  <c r="M11" i="30" s="1"/>
  <c r="B10" i="30" a="1"/>
  <c r="B10" i="30" s="1"/>
  <c r="L13" i="29" a="1"/>
  <c r="L13" i="29" s="1"/>
  <c r="L21" i="29" a="1"/>
  <c r="L21" i="29" s="1"/>
  <c r="M15" i="29" a="1"/>
  <c r="M15" i="29" s="1"/>
  <c r="M14" i="29" a="1"/>
  <c r="M14" i="29" s="1"/>
  <c r="L14" i="29" a="1"/>
  <c r="L14" i="29" s="1"/>
  <c r="L22" i="29" a="1"/>
  <c r="L22" i="29" s="1"/>
  <c r="M16" i="29" a="1"/>
  <c r="M16" i="29" s="1"/>
  <c r="L15" i="29" a="1"/>
  <c r="L15" i="29" s="1"/>
  <c r="M17" i="29" a="1"/>
  <c r="M17" i="29" s="1"/>
  <c r="L20" i="29" a="1"/>
  <c r="L20" i="29" s="1"/>
  <c r="L16" i="29" a="1"/>
  <c r="L16" i="29" s="1"/>
  <c r="M18" i="29" a="1"/>
  <c r="M18" i="29" s="1"/>
  <c r="L17" i="29" a="1"/>
  <c r="L17" i="29" s="1"/>
  <c r="M19" i="29" a="1"/>
  <c r="M19" i="29" s="1"/>
  <c r="L18" i="29" a="1"/>
  <c r="L18" i="29" s="1"/>
  <c r="M20" i="29" a="1"/>
  <c r="M20" i="29" s="1"/>
  <c r="M22" i="29" a="1"/>
  <c r="M22" i="29" s="1"/>
  <c r="L19" i="29" a="1"/>
  <c r="L19" i="29" s="1"/>
  <c r="M13" i="29" a="1"/>
  <c r="M13" i="29" s="1"/>
  <c r="M21" i="29" a="1"/>
  <c r="M21" i="29" s="1"/>
  <c r="B10" i="29" a="1"/>
  <c r="B10" i="29" s="1"/>
  <c r="L11" i="29" a="1"/>
  <c r="L11" i="29" s="1"/>
  <c r="M11" i="29" a="1"/>
  <c r="M11" i="29" s="1"/>
  <c r="L12" i="29" a="1"/>
  <c r="L12" i="29" s="1"/>
  <c r="M12" i="29" a="1"/>
  <c r="M12" i="29" s="1"/>
  <c r="CA37" i="17"/>
  <c r="BL57" i="10"/>
  <c r="BM57" i="10"/>
  <c r="BL49" i="10"/>
  <c r="BM49" i="10"/>
  <c r="BL52" i="10"/>
  <c r="BM52" i="10"/>
  <c r="BM58" i="10"/>
  <c r="BL58" i="10"/>
  <c r="BL51" i="10"/>
  <c r="BM51" i="10"/>
  <c r="BL54" i="10"/>
  <c r="BM54" i="10"/>
  <c r="BM55" i="10"/>
  <c r="BL55" i="10"/>
  <c r="BL50" i="10"/>
  <c r="BM50" i="10"/>
  <c r="BL53" i="10"/>
  <c r="BM53" i="10"/>
  <c r="BM56" i="10"/>
  <c r="BL56" i="10"/>
  <c r="BL48" i="10"/>
  <c r="BM48" i="10"/>
  <c r="BZ33" i="17"/>
  <c r="BM44" i="10"/>
  <c r="CA32" i="17"/>
  <c r="CA34" i="17"/>
  <c r="CA50" i="17"/>
  <c r="CA49" i="17"/>
  <c r="BZ51" i="17"/>
  <c r="CA41" i="17"/>
  <c r="CA52" i="17"/>
  <c r="BZ47" i="17"/>
  <c r="CA31" i="17"/>
  <c r="BZ40" i="17"/>
  <c r="CE39" i="18"/>
  <c r="AD39" i="18" s="1"/>
  <c r="AE39" i="18" s="1"/>
  <c r="CD41" i="18"/>
  <c r="BH41" i="18" s="1"/>
  <c r="BI41" i="18" s="1"/>
  <c r="CE63" i="18"/>
  <c r="AD63" i="18" s="1"/>
  <c r="AE63" i="18" s="1"/>
  <c r="CD73" i="18"/>
  <c r="BB73" i="18" s="1"/>
  <c r="BC73" i="18" s="1"/>
  <c r="BJ46" i="17"/>
  <c r="X46" i="17"/>
  <c r="BN46" i="17"/>
  <c r="CE69" i="18"/>
  <c r="BF69" i="18" s="1"/>
  <c r="BG69" i="18" s="1"/>
  <c r="CE67" i="18"/>
  <c r="P67" i="18" s="1"/>
  <c r="Q67" i="18" s="1"/>
  <c r="BM43" i="10"/>
  <c r="BN38" i="17"/>
  <c r="BB38" i="17"/>
  <c r="AF38" i="17"/>
  <c r="Z38" i="17"/>
  <c r="AR38" i="17"/>
  <c r="AL38" i="17"/>
  <c r="P38" i="17"/>
  <c r="AJ38" i="17"/>
  <c r="AN38" i="17"/>
  <c r="AH38" i="17"/>
  <c r="AD38" i="17"/>
  <c r="BH38" i="17"/>
  <c r="R38" i="17"/>
  <c r="N38" i="17"/>
  <c r="V38" i="17"/>
  <c r="CD65" i="18"/>
  <c r="AH65" i="18" s="1"/>
  <c r="AI65" i="18" s="1"/>
  <c r="CE43" i="18"/>
  <c r="BJ43" i="18" s="1"/>
  <c r="BK43" i="18" s="1"/>
  <c r="R31" i="17"/>
  <c r="V35" i="17"/>
  <c r="T38" i="17"/>
  <c r="X38" i="17"/>
  <c r="AP38" i="17"/>
  <c r="AT38" i="17"/>
  <c r="AV38" i="17"/>
  <c r="AX38" i="17"/>
  <c r="AZ38" i="17"/>
  <c r="BD38" i="17"/>
  <c r="AB38" i="17"/>
  <c r="BF38" i="17"/>
  <c r="BJ38" i="17"/>
  <c r="BL38" i="17"/>
  <c r="BF31" i="17"/>
  <c r="CD62" i="18"/>
  <c r="AP62" i="18" s="1"/>
  <c r="AQ62" i="18" s="1"/>
  <c r="CD74" i="18"/>
  <c r="AH74" i="18" s="1"/>
  <c r="AI74" i="18" s="1"/>
  <c r="CD72" i="18"/>
  <c r="AH72" i="18" s="1"/>
  <c r="AI72" i="18" s="1"/>
  <c r="AD42" i="17"/>
  <c r="AB42" i="17"/>
  <c r="AJ42" i="17"/>
  <c r="N42" i="17"/>
  <c r="BD42" i="17"/>
  <c r="AL42" i="17"/>
  <c r="AH42" i="17"/>
  <c r="BL42" i="17"/>
  <c r="AZ42" i="17"/>
  <c r="BJ42" i="17"/>
  <c r="BF42" i="17"/>
  <c r="AN42" i="17"/>
  <c r="V42" i="17"/>
  <c r="R42" i="17"/>
  <c r="T42" i="17"/>
  <c r="AR42" i="17"/>
  <c r="AT42" i="17"/>
  <c r="AP42" i="17"/>
  <c r="X42" i="17"/>
  <c r="BN42" i="17"/>
  <c r="AF42" i="17"/>
  <c r="BH42" i="17"/>
  <c r="AV42" i="17"/>
  <c r="Z42" i="17"/>
  <c r="BB42" i="17"/>
  <c r="AX42" i="17"/>
  <c r="P42" i="17"/>
  <c r="AV47" i="17"/>
  <c r="AR47" i="17"/>
  <c r="Z47" i="17"/>
  <c r="AZ47" i="17"/>
  <c r="R47" i="17"/>
  <c r="AT47" i="17"/>
  <c r="AH47" i="17"/>
  <c r="AF47" i="17"/>
  <c r="AB47" i="17"/>
  <c r="BD47" i="17"/>
  <c r="AJ47" i="17"/>
  <c r="BB47" i="17"/>
  <c r="AL47" i="17"/>
  <c r="V47" i="17"/>
  <c r="P47" i="17"/>
  <c r="BF47" i="17"/>
  <c r="AN47" i="17"/>
  <c r="T47" i="17"/>
  <c r="N47" i="17"/>
  <c r="AD47" i="17"/>
  <c r="BL47" i="17"/>
  <c r="BH47" i="17"/>
  <c r="AP47" i="17"/>
  <c r="X47" i="17"/>
  <c r="BJ47" i="17"/>
  <c r="AX47" i="17"/>
  <c r="BN47" i="17"/>
  <c r="CE70" i="18"/>
  <c r="BD70" i="18" s="1"/>
  <c r="BE70" i="18" s="1"/>
  <c r="P44" i="17"/>
  <c r="BL44" i="17"/>
  <c r="AV44" i="17"/>
  <c r="BB44" i="17"/>
  <c r="AB44" i="17"/>
  <c r="AD44" i="17"/>
  <c r="AH44" i="17"/>
  <c r="CD68" i="18"/>
  <c r="AL68" i="18" s="1"/>
  <c r="AM68" i="18" s="1"/>
  <c r="BZ39" i="17"/>
  <c r="Z51" i="17"/>
  <c r="BJ51" i="17"/>
  <c r="P51" i="17"/>
  <c r="R51" i="17"/>
  <c r="T51" i="17"/>
  <c r="AL51" i="17"/>
  <c r="BD51" i="17"/>
  <c r="BZ35" i="17"/>
  <c r="P30" i="17"/>
  <c r="AV30" i="17"/>
  <c r="AD30" i="17"/>
  <c r="AH30" i="17"/>
  <c r="AJ30" i="17"/>
  <c r="BB30" i="17"/>
  <c r="Z30" i="17"/>
  <c r="AV32" i="17"/>
  <c r="T32" i="17"/>
  <c r="AX32" i="17"/>
  <c r="BB32" i="17"/>
  <c r="Z32" i="17"/>
  <c r="AR32" i="17"/>
  <c r="AT32" i="17"/>
  <c r="AL43" i="17"/>
  <c r="R43" i="17"/>
  <c r="BZ45" i="17"/>
  <c r="X44" i="17"/>
  <c r="AF44" i="17"/>
  <c r="AZ44" i="17"/>
  <c r="Z44" i="17"/>
  <c r="AR44" i="17"/>
  <c r="AT44" i="17"/>
  <c r="AP51" i="17"/>
  <c r="AB51" i="17"/>
  <c r="AF51" i="17"/>
  <c r="AH51" i="17"/>
  <c r="AJ51" i="17"/>
  <c r="AB30" i="17"/>
  <c r="BH30" i="17"/>
  <c r="AT30" i="17"/>
  <c r="AX30" i="17"/>
  <c r="AZ30" i="17"/>
  <c r="X30" i="17"/>
  <c r="AZ32" i="17"/>
  <c r="AF32" i="17"/>
  <c r="BN32" i="17"/>
  <c r="X32" i="17"/>
  <c r="AP32" i="17"/>
  <c r="BH32" i="17"/>
  <c r="BB43" i="17"/>
  <c r="T43" i="17"/>
  <c r="BL42" i="10"/>
  <c r="BM45" i="10"/>
  <c r="BF35" i="17"/>
  <c r="AP35" i="17"/>
  <c r="AV35" i="17"/>
  <c r="BB35" i="17"/>
  <c r="AX35" i="17"/>
  <c r="BD31" i="17"/>
  <c r="T31" i="17"/>
  <c r="CE40" i="18"/>
  <c r="V40" i="18" s="1"/>
  <c r="W40" i="18" s="1"/>
  <c r="V53" i="17"/>
  <c r="N31" i="17"/>
  <c r="BZ54" i="17"/>
  <c r="BH54" i="17"/>
  <c r="Z31" i="17"/>
  <c r="P31" i="17"/>
  <c r="X54" i="17"/>
  <c r="BM47" i="10"/>
  <c r="P35" i="17"/>
  <c r="T35" i="17"/>
  <c r="Z35" i="17"/>
  <c r="AJ35" i="17"/>
  <c r="BJ35" i="17"/>
  <c r="AF35" i="17"/>
  <c r="AH35" i="17"/>
  <c r="CD42" i="18"/>
  <c r="AX42" i="18" s="1"/>
  <c r="AY42" i="18" s="1"/>
  <c r="CE71" i="18"/>
  <c r="AP71" i="18" s="1"/>
  <c r="AQ71" i="18" s="1"/>
  <c r="AF37" i="17"/>
  <c r="BL62" i="10"/>
  <c r="BL59" i="10"/>
  <c r="AN35" i="17"/>
  <c r="X35" i="17"/>
  <c r="AD35" i="17"/>
  <c r="N35" i="17"/>
  <c r="AR35" i="17"/>
  <c r="BL35" i="17"/>
  <c r="BN35" i="17"/>
  <c r="AP37" i="17"/>
  <c r="AT35" i="17"/>
  <c r="AZ35" i="17"/>
  <c r="BD35" i="17"/>
  <c r="AL35" i="17"/>
  <c r="BH35" i="17"/>
  <c r="AT37" i="17"/>
  <c r="BF36" i="17"/>
  <c r="T36" i="17"/>
  <c r="AN36" i="17"/>
  <c r="AT36" i="17"/>
  <c r="BL52" i="17"/>
  <c r="AL52" i="17"/>
  <c r="T52" i="17"/>
  <c r="BD33" i="17"/>
  <c r="AL33" i="17"/>
  <c r="T33" i="17"/>
  <c r="R33" i="17"/>
  <c r="P33" i="17"/>
  <c r="AP33" i="17"/>
  <c r="BJ33" i="17"/>
  <c r="AN33" i="17"/>
  <c r="V33" i="17"/>
  <c r="BN33" i="17"/>
  <c r="BL33" i="17"/>
  <c r="BH33" i="17"/>
  <c r="AD33" i="17"/>
  <c r="BF33" i="17"/>
  <c r="X33" i="17"/>
  <c r="AZ33" i="17"/>
  <c r="AX33" i="17"/>
  <c r="AV33" i="17"/>
  <c r="AR33" i="17"/>
  <c r="Z33" i="17"/>
  <c r="AT33" i="17"/>
  <c r="BB33" i="17"/>
  <c r="AJ33" i="17"/>
  <c r="AH33" i="17"/>
  <c r="AF33" i="17"/>
  <c r="AB33" i="17"/>
  <c r="N33" i="17"/>
  <c r="BM60" i="10"/>
  <c r="BL46" i="10"/>
  <c r="BL61" i="10"/>
  <c r="AP31" i="17"/>
  <c r="X31" i="17"/>
  <c r="AR31" i="17"/>
  <c r="AT31" i="17"/>
  <c r="AV31" i="17"/>
  <c r="AX31" i="17"/>
  <c r="AZ31" i="17"/>
  <c r="BZ38" i="17"/>
  <c r="CD59" i="18"/>
  <c r="BL59" i="18" s="1"/>
  <c r="BM59" i="18" s="1"/>
  <c r="CE64" i="18"/>
  <c r="AT64" i="18" s="1"/>
  <c r="AU64" i="18" s="1"/>
  <c r="AD53" i="17"/>
  <c r="BF53" i="17"/>
  <c r="CD60" i="18"/>
  <c r="X60" i="18" s="1"/>
  <c r="Y60" i="18" s="1"/>
  <c r="CA46" i="17"/>
  <c r="AP43" i="17"/>
  <c r="BF43" i="17"/>
  <c r="AR43" i="17"/>
  <c r="AV43" i="17"/>
  <c r="AX43" i="17"/>
  <c r="AZ43" i="17"/>
  <c r="BB31" i="17"/>
  <c r="AN31" i="17"/>
  <c r="BH31" i="17"/>
  <c r="BJ31" i="17"/>
  <c r="BL31" i="17"/>
  <c r="BN31" i="17"/>
  <c r="AZ53" i="17"/>
  <c r="Z43" i="17"/>
  <c r="AT43" i="17"/>
  <c r="V43" i="17"/>
  <c r="BH43" i="17"/>
  <c r="BL43" i="17"/>
  <c r="BN43" i="17"/>
  <c r="X43" i="17"/>
  <c r="AL31" i="17"/>
  <c r="V31" i="17"/>
  <c r="AB31" i="17"/>
  <c r="AD31" i="17"/>
  <c r="AF31" i="17"/>
  <c r="AH31" i="17"/>
  <c r="R53" i="17"/>
  <c r="AP53" i="17"/>
  <c r="AD43" i="17"/>
  <c r="N43" i="17"/>
  <c r="AB43" i="17"/>
  <c r="AF43" i="17"/>
  <c r="AH43" i="17"/>
  <c r="AJ43" i="17"/>
  <c r="N50" i="17"/>
  <c r="AN50" i="17"/>
  <c r="R50" i="17"/>
  <c r="BH50" i="17"/>
  <c r="X50" i="17"/>
  <c r="BL50" i="17"/>
  <c r="AR50" i="17"/>
  <c r="BB50" i="17"/>
  <c r="AZ50" i="17"/>
  <c r="AT50" i="17"/>
  <c r="Z50" i="17"/>
  <c r="AB50" i="17"/>
  <c r="AL50" i="17"/>
  <c r="AV50" i="17"/>
  <c r="AX50" i="17"/>
  <c r="BF50" i="17"/>
  <c r="V50" i="17"/>
  <c r="AJ50" i="17"/>
  <c r="BJ50" i="17"/>
  <c r="AP50" i="17"/>
  <c r="BN50" i="17"/>
  <c r="AF50" i="17"/>
  <c r="AD50" i="17"/>
  <c r="BD50" i="17"/>
  <c r="AH50" i="17"/>
  <c r="T50" i="17"/>
  <c r="P50" i="17"/>
  <c r="Z40" i="17"/>
  <c r="AX40" i="17"/>
  <c r="AV40" i="17"/>
  <c r="P40" i="17"/>
  <c r="BB40" i="17"/>
  <c r="AH40" i="17"/>
  <c r="AR40" i="17"/>
  <c r="AL40" i="17"/>
  <c r="R40" i="17"/>
  <c r="AN40" i="17"/>
  <c r="V40" i="17"/>
  <c r="BJ40" i="17"/>
  <c r="AF40" i="17"/>
  <c r="AJ40" i="17"/>
  <c r="AD40" i="17"/>
  <c r="X40" i="17"/>
  <c r="AZ40" i="17"/>
  <c r="AT40" i="17"/>
  <c r="BL40" i="17"/>
  <c r="BF40" i="17"/>
  <c r="T40" i="17"/>
  <c r="N40" i="17"/>
  <c r="BH40" i="17"/>
  <c r="AP40" i="17"/>
  <c r="BN40" i="17"/>
  <c r="BD40" i="17"/>
  <c r="AB40" i="17"/>
  <c r="BN34" i="17"/>
  <c r="BJ34" i="17"/>
  <c r="AP34" i="17"/>
  <c r="X34" i="17"/>
  <c r="AX34" i="17"/>
  <c r="AT34" i="17"/>
  <c r="Z34" i="17"/>
  <c r="T34" i="17"/>
  <c r="AH34" i="17"/>
  <c r="AD34" i="17"/>
  <c r="BB34" i="17"/>
  <c r="BD34" i="17"/>
  <c r="AN34" i="17"/>
  <c r="R34" i="17"/>
  <c r="N34" i="17"/>
  <c r="AL34" i="17"/>
  <c r="AB34" i="17"/>
  <c r="BL34" i="17"/>
  <c r="BH34" i="17"/>
  <c r="V34" i="17"/>
  <c r="AV34" i="17"/>
  <c r="AR34" i="17"/>
  <c r="AZ34" i="17"/>
  <c r="AF34" i="17"/>
  <c r="P34" i="17"/>
  <c r="AJ34" i="17"/>
  <c r="BF34" i="17"/>
  <c r="BB48" i="17"/>
  <c r="AH48" i="17"/>
  <c r="AN48" i="17"/>
  <c r="AL48" i="17"/>
  <c r="R48" i="17"/>
  <c r="AF48" i="17"/>
  <c r="V48" i="17"/>
  <c r="BJ48" i="17"/>
  <c r="AB48" i="17"/>
  <c r="AP48" i="17"/>
  <c r="BD48" i="17"/>
  <c r="AZ48" i="17"/>
  <c r="AT48" i="17"/>
  <c r="BH48" i="17"/>
  <c r="AV48" i="17"/>
  <c r="AJ48" i="17"/>
  <c r="AD48" i="17"/>
  <c r="P48" i="17"/>
  <c r="BF48" i="17"/>
  <c r="T48" i="17"/>
  <c r="N48" i="17"/>
  <c r="BL48" i="17"/>
  <c r="Z48" i="17"/>
  <c r="AX48" i="17"/>
  <c r="AR48" i="17"/>
  <c r="X48" i="17"/>
  <c r="BN48" i="17"/>
  <c r="AX49" i="17"/>
  <c r="AT49" i="17"/>
  <c r="X49" i="17"/>
  <c r="AH49" i="17"/>
  <c r="AD49" i="17"/>
  <c r="BB49" i="17"/>
  <c r="R49" i="17"/>
  <c r="N49" i="17"/>
  <c r="AP49" i="17"/>
  <c r="BH49" i="17"/>
  <c r="AL49" i="17"/>
  <c r="AB49" i="17"/>
  <c r="BL49" i="17"/>
  <c r="AZ49" i="17"/>
  <c r="AV49" i="17"/>
  <c r="AR49" i="17"/>
  <c r="Z49" i="17"/>
  <c r="T49" i="17"/>
  <c r="P49" i="17"/>
  <c r="BD49" i="17"/>
  <c r="BF49" i="17"/>
  <c r="BN49" i="17"/>
  <c r="BJ49" i="17"/>
  <c r="AN49" i="17"/>
  <c r="AJ49" i="17"/>
  <c r="AF49" i="17"/>
  <c r="V49" i="17"/>
  <c r="BD45" i="17"/>
  <c r="T45" i="17"/>
  <c r="BN45" i="17"/>
  <c r="AN45" i="17"/>
  <c r="BL45" i="17"/>
  <c r="Z45" i="17"/>
  <c r="X45" i="17"/>
  <c r="AV45" i="17"/>
  <c r="BJ45" i="17"/>
  <c r="AZ45" i="17"/>
  <c r="BB45" i="17"/>
  <c r="AF45" i="17"/>
  <c r="R45" i="17"/>
  <c r="AL45" i="17"/>
  <c r="P45" i="17"/>
  <c r="AX45" i="17"/>
  <c r="BH45" i="17"/>
  <c r="V45" i="17"/>
  <c r="AP45" i="17"/>
  <c r="BF45" i="17"/>
  <c r="AB45" i="17"/>
  <c r="AD45" i="17"/>
  <c r="N45" i="17"/>
  <c r="AR45" i="17"/>
  <c r="AH45" i="17"/>
  <c r="AT45" i="17"/>
  <c r="AJ45" i="17"/>
  <c r="AJ46" i="17"/>
  <c r="BH37" i="17"/>
  <c r="CA53" i="17"/>
  <c r="AH53" i="17"/>
  <c r="P53" i="17"/>
  <c r="AL53" i="17"/>
  <c r="AB53" i="17"/>
  <c r="AR46" i="17"/>
  <c r="Z46" i="17"/>
  <c r="AF46" i="17"/>
  <c r="AL46" i="17"/>
  <c r="R39" i="17"/>
  <c r="AN39" i="17"/>
  <c r="P39" i="17"/>
  <c r="BN37" i="17"/>
  <c r="AX37" i="17"/>
  <c r="BL37" i="17"/>
  <c r="AF36" i="17"/>
  <c r="V41" i="17"/>
  <c r="BD41" i="17"/>
  <c r="P41" i="17"/>
  <c r="AX53" i="17"/>
  <c r="AF53" i="17"/>
  <c r="BB53" i="17"/>
  <c r="AR53" i="17"/>
  <c r="CA42" i="17"/>
  <c r="N54" i="17"/>
  <c r="AN46" i="17"/>
  <c r="AP46" i="17"/>
  <c r="AV46" i="17"/>
  <c r="BB46" i="17"/>
  <c r="AD39" i="17"/>
  <c r="BJ39" i="17"/>
  <c r="BD39" i="17"/>
  <c r="AF39" i="17"/>
  <c r="AN37" i="17"/>
  <c r="AB37" i="17"/>
  <c r="T37" i="17"/>
  <c r="AR52" i="17"/>
  <c r="P46" i="17"/>
  <c r="AH36" i="17"/>
  <c r="BN41" i="17"/>
  <c r="AB41" i="17"/>
  <c r="AF41" i="17"/>
  <c r="AT53" i="17"/>
  <c r="AV53" i="17"/>
  <c r="X53" i="17"/>
  <c r="BH53" i="17"/>
  <c r="AT54" i="17"/>
  <c r="AZ46" i="17"/>
  <c r="BF46" i="17"/>
  <c r="BL46" i="17"/>
  <c r="AL39" i="17"/>
  <c r="V39" i="17"/>
  <c r="Z39" i="17"/>
  <c r="AV39" i="17"/>
  <c r="BJ37" i="17"/>
  <c r="BD37" i="17"/>
  <c r="AJ37" i="17"/>
  <c r="N52" i="17"/>
  <c r="AB46" i="17"/>
  <c r="V46" i="17"/>
  <c r="Z37" i="17"/>
  <c r="AV37" i="17"/>
  <c r="AP36" i="17"/>
  <c r="Z41" i="17"/>
  <c r="AR41" i="17"/>
  <c r="AV41" i="17"/>
  <c r="BJ53" i="17"/>
  <c r="BL53" i="17"/>
  <c r="AN53" i="17"/>
  <c r="R54" i="17"/>
  <c r="BD46" i="17"/>
  <c r="N46" i="17"/>
  <c r="R46" i="17"/>
  <c r="AH39" i="17"/>
  <c r="BN39" i="17"/>
  <c r="AP39" i="17"/>
  <c r="BL39" i="17"/>
  <c r="R37" i="17"/>
  <c r="AD37" i="17"/>
  <c r="AZ37" i="17"/>
  <c r="AV52" i="17"/>
  <c r="AB36" i="17"/>
  <c r="AH41" i="17"/>
  <c r="BH41" i="17"/>
  <c r="BL41" i="17"/>
  <c r="BN53" i="17"/>
  <c r="T53" i="17"/>
  <c r="BD53" i="17"/>
  <c r="AX54" i="17"/>
  <c r="T46" i="17"/>
  <c r="AD46" i="17"/>
  <c r="AH46" i="17"/>
  <c r="AT39" i="17"/>
  <c r="T39" i="17"/>
  <c r="BF39" i="17"/>
  <c r="N37" i="17"/>
  <c r="AR37" i="17"/>
  <c r="BF37" i="17"/>
  <c r="V37" i="17"/>
  <c r="R52" i="17"/>
  <c r="BF41" i="17"/>
  <c r="AL41" i="17"/>
  <c r="N41" i="17"/>
  <c r="N53" i="17"/>
  <c r="AJ53" i="17"/>
  <c r="AL54" i="17"/>
  <c r="BH46" i="17"/>
  <c r="AT46" i="17"/>
  <c r="AX39" i="17"/>
  <c r="AJ39" i="17"/>
  <c r="AH37" i="17"/>
  <c r="X37" i="17"/>
  <c r="P37" i="17"/>
  <c r="CE66" i="18"/>
  <c r="BB66" i="18" s="1"/>
  <c r="BC66" i="18" s="1"/>
  <c r="BL36" i="17"/>
  <c r="AV36" i="17"/>
  <c r="BJ36" i="17"/>
  <c r="AR36" i="17"/>
  <c r="AB54" i="17"/>
  <c r="BJ54" i="17"/>
  <c r="BN54" i="17"/>
  <c r="AN52" i="17"/>
  <c r="BB52" i="17"/>
  <c r="AD52" i="17"/>
  <c r="AH52" i="17"/>
  <c r="N36" i="17"/>
  <c r="X36" i="17"/>
  <c r="V36" i="17"/>
  <c r="BH36" i="17"/>
  <c r="AN54" i="17"/>
  <c r="P54" i="17"/>
  <c r="T54" i="17"/>
  <c r="X52" i="17"/>
  <c r="Z52" i="17"/>
  <c r="AT52" i="17"/>
  <c r="AX52" i="17"/>
  <c r="R36" i="17"/>
  <c r="AX36" i="17"/>
  <c r="AL36" i="17"/>
  <c r="Z54" i="17"/>
  <c r="AF54" i="17"/>
  <c r="AJ54" i="17"/>
  <c r="AJ52" i="17"/>
  <c r="AP52" i="17"/>
  <c r="BJ52" i="17"/>
  <c r="BN52" i="17"/>
  <c r="AJ36" i="17"/>
  <c r="AD36" i="17"/>
  <c r="BB36" i="17"/>
  <c r="AP54" i="17"/>
  <c r="AV54" i="17"/>
  <c r="AZ54" i="17"/>
  <c r="AZ52" i="17"/>
  <c r="BF52" i="17"/>
  <c r="P52" i="17"/>
  <c r="P36" i="17"/>
  <c r="AZ36" i="17"/>
  <c r="Z36" i="17"/>
  <c r="AR54" i="17"/>
  <c r="BF54" i="17"/>
  <c r="BL54" i="17"/>
  <c r="V54" i="17"/>
  <c r="BD52" i="17"/>
  <c r="AB52" i="17"/>
  <c r="AF52" i="17"/>
  <c r="BN36" i="17"/>
  <c r="BD36" i="17"/>
  <c r="BD54" i="17"/>
  <c r="AD54" i="17"/>
  <c r="AH54" i="17"/>
  <c r="V52" i="17"/>
  <c r="BH52" i="17"/>
  <c r="CD34" i="18"/>
  <c r="AN34" i="18" s="1"/>
  <c r="AO34" i="18" s="1"/>
  <c r="CE36" i="18"/>
  <c r="BN36" i="18" s="1"/>
  <c r="BO36" i="18" s="1"/>
  <c r="CA26" i="17"/>
  <c r="CD35" i="18"/>
  <c r="X35" i="18" s="1"/>
  <c r="Y35" i="18" s="1"/>
  <c r="BZ28" i="17"/>
  <c r="M23" i="22" a="1"/>
  <c r="M23" i="22" s="1"/>
  <c r="CE30" i="18"/>
  <c r="N30" i="18" s="1"/>
  <c r="O30" i="18" s="1"/>
  <c r="L15" i="22" a="1"/>
  <c r="L15" i="22" s="1"/>
  <c r="M21" i="22" a="1"/>
  <c r="M21" i="22" s="1"/>
  <c r="M17" i="22" a="1"/>
  <c r="M17" i="22" s="1"/>
  <c r="M19" i="22" a="1"/>
  <c r="M19" i="22" s="1"/>
  <c r="L22" i="22" a="1"/>
  <c r="L22" i="22" s="1"/>
  <c r="L20" i="22" a="1"/>
  <c r="L20" i="22" s="1"/>
  <c r="L16" i="22" a="1"/>
  <c r="L16" i="22" s="1"/>
  <c r="M14" i="22" a="1"/>
  <c r="M14" i="22" s="1"/>
  <c r="L13" i="22" a="1"/>
  <c r="L13" i="22" s="1"/>
  <c r="M18" i="22" a="1"/>
  <c r="M18" i="22" s="1"/>
  <c r="CE38" i="18"/>
  <c r="AL38" i="18" s="1"/>
  <c r="AM38" i="18" s="1"/>
  <c r="M11" i="22" a="1"/>
  <c r="M11" i="22" s="1"/>
  <c r="L11" i="22" a="1"/>
  <c r="L11" i="22" s="1"/>
  <c r="M12" i="22" a="1"/>
  <c r="M12" i="22" s="1"/>
  <c r="L12" i="22" a="1"/>
  <c r="L12" i="22" s="1"/>
  <c r="M10" i="22" a="1"/>
  <c r="M10" i="22" s="1"/>
  <c r="L10" i="22" a="1"/>
  <c r="L10" i="22" s="1"/>
  <c r="CE37" i="18"/>
  <c r="AX37" i="18" s="1"/>
  <c r="AY37" i="18" s="1"/>
  <c r="CE32" i="18"/>
  <c r="AF32" i="18" s="1"/>
  <c r="AG32" i="18" s="1"/>
  <c r="CE28" i="18"/>
  <c r="T28" i="18" s="1"/>
  <c r="U28" i="18" s="1"/>
  <c r="CE29" i="18"/>
  <c r="V29" i="18" s="1"/>
  <c r="W29" i="18" s="1"/>
  <c r="CA25" i="17"/>
  <c r="CB26" i="17"/>
  <c r="BF26" i="17" s="1"/>
  <c r="BZ29" i="17"/>
  <c r="CB28" i="17"/>
  <c r="BD28" i="17" s="1"/>
  <c r="CD27" i="18"/>
  <c r="BN27" i="18" s="1"/>
  <c r="BO27" i="18" s="1"/>
  <c r="CB25" i="17"/>
  <c r="V25" i="17" s="1"/>
  <c r="CB27" i="17"/>
  <c r="AD27" i="17" s="1"/>
  <c r="CA27" i="17"/>
  <c r="CD31" i="18"/>
  <c r="BF31" i="18" s="1"/>
  <c r="BG31" i="18" s="1"/>
  <c r="AD29" i="17"/>
  <c r="BD29" i="17"/>
  <c r="AX29" i="17"/>
  <c r="N29" i="17"/>
  <c r="AN29" i="17"/>
  <c r="AL29" i="17"/>
  <c r="BL29" i="17"/>
  <c r="BH29" i="17"/>
  <c r="X29" i="17"/>
  <c r="AH29" i="17"/>
  <c r="AV29" i="17"/>
  <c r="AR29" i="17"/>
  <c r="AZ29" i="17"/>
  <c r="V29" i="17"/>
  <c r="AF29" i="17"/>
  <c r="AB29" i="17"/>
  <c r="AJ29" i="17"/>
  <c r="R29" i="17"/>
  <c r="P29" i="17"/>
  <c r="BF29" i="17"/>
  <c r="T29" i="17"/>
  <c r="BJ29" i="17"/>
  <c r="AP29" i="17"/>
  <c r="BN29" i="17"/>
  <c r="AT29" i="17"/>
  <c r="Z29" i="17"/>
  <c r="BB29" i="17"/>
  <c r="CE33" i="18"/>
  <c r="CD33" i="18"/>
  <c r="CB20" i="17"/>
  <c r="T20" i="17" s="1"/>
  <c r="CB24" i="17"/>
  <c r="AD24" i="17" s="1"/>
  <c r="CB11" i="17"/>
  <c r="BB11" i="17" s="1"/>
  <c r="CB22" i="17"/>
  <c r="AZ22" i="17" s="1"/>
  <c r="CB18" i="17"/>
  <c r="AR18" i="17" s="1"/>
  <c r="CB19" i="17"/>
  <c r="AP19" i="17" s="1"/>
  <c r="BL61" i="18"/>
  <c r="BM61" i="18" s="1"/>
  <c r="CB23" i="17"/>
  <c r="AJ23" i="17" s="1"/>
  <c r="CD26" i="18"/>
  <c r="CE26" i="18"/>
  <c r="CE14" i="18"/>
  <c r="CD14" i="18"/>
  <c r="CD11" i="18"/>
  <c r="CE11" i="18"/>
  <c r="CD21" i="18"/>
  <c r="CE21" i="18"/>
  <c r="CD18" i="18"/>
  <c r="CE18" i="18"/>
  <c r="CD13" i="18"/>
  <c r="CE13" i="18"/>
  <c r="CE16" i="18"/>
  <c r="CD16" i="18"/>
  <c r="CD15" i="18"/>
  <c r="CE15" i="18"/>
  <c r="CD23" i="18"/>
  <c r="CE23" i="18"/>
  <c r="CD19" i="18"/>
  <c r="CE19" i="18"/>
  <c r="BZ19" i="17"/>
  <c r="CA19" i="17"/>
  <c r="BZ21" i="17"/>
  <c r="CA21" i="17"/>
  <c r="BZ14" i="17"/>
  <c r="CA14" i="17"/>
  <c r="CA16" i="17"/>
  <c r="BZ16" i="17"/>
  <c r="BZ11" i="17"/>
  <c r="CA11" i="17"/>
  <c r="CE17" i="18"/>
  <c r="CD17" i="18"/>
  <c r="CD12" i="18"/>
  <c r="CE12" i="18"/>
  <c r="CD24" i="18"/>
  <c r="CE24" i="18"/>
  <c r="CD25" i="18"/>
  <c r="CE25" i="18"/>
  <c r="CE10" i="18"/>
  <c r="CD10" i="18"/>
  <c r="CD22" i="18"/>
  <c r="CE22" i="18"/>
  <c r="K55" i="17"/>
  <c r="J58" i="17"/>
  <c r="CA10" i="17"/>
  <c r="BZ10" i="17"/>
  <c r="CA23" i="17"/>
  <c r="BZ23" i="17"/>
  <c r="CA13" i="17"/>
  <c r="BZ13" i="17"/>
  <c r="CA24" i="17"/>
  <c r="BZ24" i="17"/>
  <c r="CB12" i="17"/>
  <c r="BZ15" i="17"/>
  <c r="CA15" i="17"/>
  <c r="CB21" i="17"/>
  <c r="K56" i="17"/>
  <c r="K59" i="17"/>
  <c r="BZ18" i="17"/>
  <c r="CA18" i="17"/>
  <c r="CB14" i="17"/>
  <c r="CB16" i="17"/>
  <c r="CD20" i="18"/>
  <c r="CE20" i="18"/>
  <c r="CA12" i="17"/>
  <c r="BZ12" i="17"/>
  <c r="CB17" i="17"/>
  <c r="CA17" i="17"/>
  <c r="BZ17" i="17"/>
  <c r="J57" i="17"/>
  <c r="J59" i="17"/>
  <c r="BZ22" i="17"/>
  <c r="CA22" i="17"/>
  <c r="CB10" i="17"/>
  <c r="J56" i="17"/>
  <c r="K58" i="17"/>
  <c r="CB13" i="17"/>
  <c r="CA20" i="17"/>
  <c r="BZ20" i="17"/>
  <c r="CB15" i="17"/>
  <c r="K57" i="17"/>
  <c r="J55" i="17"/>
  <c r="BB62" i="13"/>
  <c r="BM31" i="10"/>
  <c r="BL31" i="10"/>
  <c r="BL38" i="10"/>
  <c r="BM38" i="10"/>
  <c r="BL29" i="10"/>
  <c r="BM29" i="10"/>
  <c r="BL36" i="10"/>
  <c r="BM36" i="10"/>
  <c r="BM27" i="10"/>
  <c r="BL27" i="10"/>
  <c r="BL34" i="10"/>
  <c r="BM34" i="10"/>
  <c r="BL41" i="10"/>
  <c r="BM41" i="10"/>
  <c r="BL25" i="10"/>
  <c r="BM25" i="10"/>
  <c r="BL32" i="10"/>
  <c r="BM32" i="10"/>
  <c r="BM39" i="10"/>
  <c r="BL39" i="10"/>
  <c r="BL30" i="10"/>
  <c r="BM30" i="10"/>
  <c r="BM37" i="10"/>
  <c r="BL37" i="10"/>
  <c r="BL28" i="10"/>
  <c r="BM28" i="10"/>
  <c r="BM35" i="10"/>
  <c r="BL35" i="10"/>
  <c r="BL26" i="10"/>
  <c r="BM26" i="10"/>
  <c r="BM33" i="10"/>
  <c r="BL33" i="10"/>
  <c r="BL40" i="10"/>
  <c r="BM40" i="10"/>
  <c r="BL24" i="10"/>
  <c r="BM24" i="10"/>
  <c r="BM20" i="10"/>
  <c r="BL20" i="10"/>
  <c r="BL18" i="10"/>
  <c r="BM18" i="10"/>
  <c r="BL12" i="10"/>
  <c r="BM12" i="10"/>
  <c r="BM10" i="10"/>
  <c r="BL10" i="10"/>
  <c r="BL16" i="10"/>
  <c r="BM16" i="10"/>
  <c r="BM23" i="10"/>
  <c r="BL23" i="10"/>
  <c r="BL17" i="10"/>
  <c r="BM17" i="10"/>
  <c r="BL15" i="10"/>
  <c r="BM15" i="10"/>
  <c r="BM11" i="10"/>
  <c r="BL11" i="10"/>
  <c r="BL14" i="10"/>
  <c r="BM14" i="10"/>
  <c r="BM22" i="10"/>
  <c r="BL22" i="10"/>
  <c r="BL19" i="10"/>
  <c r="BM19" i="10"/>
  <c r="BL21" i="10"/>
  <c r="BM21" i="10"/>
  <c r="BL13" i="10"/>
  <c r="BM13" i="10"/>
  <c r="M269" i="30" l="1" a="1"/>
  <c r="M269" i="30" s="1"/>
  <c r="M205" i="30" a="1"/>
  <c r="M205" i="30" s="1"/>
  <c r="M141" i="30" a="1"/>
  <c r="M141" i="30" s="1"/>
  <c r="M77" i="30" a="1"/>
  <c r="M77" i="30" s="1"/>
  <c r="M34" i="30" a="1"/>
  <c r="M34" i="30" s="1"/>
  <c r="L30" i="30" a="1"/>
  <c r="L30" i="30" s="1"/>
  <c r="M244" i="30" a="1"/>
  <c r="M244" i="30" s="1"/>
  <c r="M180" i="30" a="1"/>
  <c r="M180" i="30" s="1"/>
  <c r="M116" i="30" a="1"/>
  <c r="M116" i="30" s="1"/>
  <c r="L54" i="30" a="1"/>
  <c r="L54" i="30" s="1"/>
  <c r="M243" i="30" a="1"/>
  <c r="M243" i="30" s="1"/>
  <c r="M179" i="30" a="1"/>
  <c r="M179" i="30" s="1"/>
  <c r="M115" i="30" a="1"/>
  <c r="M115" i="30" s="1"/>
  <c r="M53" i="30" a="1"/>
  <c r="M53" i="30" s="1"/>
  <c r="M234" i="30" a="1"/>
  <c r="M234" i="30" s="1"/>
  <c r="M170" i="30" a="1"/>
  <c r="M170" i="30" s="1"/>
  <c r="M106" i="30" a="1"/>
  <c r="M106" i="30" s="1"/>
  <c r="L49" i="30" a="1"/>
  <c r="L49" i="30" s="1"/>
  <c r="M297" i="30" a="1"/>
  <c r="M297" i="30" s="1"/>
  <c r="M233" i="30" a="1"/>
  <c r="M233" i="30" s="1"/>
  <c r="M169" i="30" a="1"/>
  <c r="M169" i="30" s="1"/>
  <c r="M105" i="30" a="1"/>
  <c r="M105" i="30" s="1"/>
  <c r="M48" i="30" a="1"/>
  <c r="M48" i="30" s="1"/>
  <c r="M288" i="30" a="1"/>
  <c r="M288" i="30" s="1"/>
  <c r="M224" i="30" a="1"/>
  <c r="M224" i="30" s="1"/>
  <c r="M160" i="30" a="1"/>
  <c r="M160" i="30" s="1"/>
  <c r="M96" i="30" a="1"/>
  <c r="M96" i="30" s="1"/>
  <c r="L44" i="30" a="1"/>
  <c r="L44" i="30" s="1"/>
  <c r="M279" i="30" a="1"/>
  <c r="M279" i="30" s="1"/>
  <c r="M215" i="30" a="1"/>
  <c r="M215" i="30" s="1"/>
  <c r="M151" i="30" a="1"/>
  <c r="M151" i="30" s="1"/>
  <c r="M87" i="30" a="1"/>
  <c r="M87" i="30" s="1"/>
  <c r="M39" i="30" a="1"/>
  <c r="M39" i="30" s="1"/>
  <c r="M270" i="30" a="1"/>
  <c r="M270" i="30" s="1"/>
  <c r="M206" i="30" a="1"/>
  <c r="M206" i="30" s="1"/>
  <c r="M142" i="30" a="1"/>
  <c r="M142" i="30" s="1"/>
  <c r="M78" i="30" a="1"/>
  <c r="M78" i="30" s="1"/>
  <c r="L35" i="30" a="1"/>
  <c r="L35" i="30" s="1"/>
  <c r="M261" i="30" a="1"/>
  <c r="M261" i="30" s="1"/>
  <c r="M197" i="30" a="1"/>
  <c r="M197" i="30" s="1"/>
  <c r="M133" i="30" a="1"/>
  <c r="M133" i="30" s="1"/>
  <c r="M69" i="30" a="1"/>
  <c r="M69" i="30" s="1"/>
  <c r="M30" i="30" a="1"/>
  <c r="M30" i="30" s="1"/>
  <c r="L26" i="30" a="1"/>
  <c r="L26" i="30" s="1"/>
  <c r="M236" i="30" a="1"/>
  <c r="M236" i="30" s="1"/>
  <c r="M172" i="30" a="1"/>
  <c r="M172" i="30" s="1"/>
  <c r="M108" i="30" a="1"/>
  <c r="M108" i="30" s="1"/>
  <c r="L50" i="30" a="1"/>
  <c r="L50" i="30" s="1"/>
  <c r="M235" i="30" a="1"/>
  <c r="M235" i="30" s="1"/>
  <c r="M171" i="30" a="1"/>
  <c r="M171" i="30" s="1"/>
  <c r="M107" i="30" a="1"/>
  <c r="M107" i="30" s="1"/>
  <c r="M49" i="30" a="1"/>
  <c r="M49" i="30" s="1"/>
  <c r="M290" i="30" a="1"/>
  <c r="M290" i="30" s="1"/>
  <c r="M226" i="30" a="1"/>
  <c r="M226" i="30" s="1"/>
  <c r="M162" i="30" a="1"/>
  <c r="M162" i="30" s="1"/>
  <c r="M98" i="30" a="1"/>
  <c r="M98" i="30" s="1"/>
  <c r="L45" i="30" a="1"/>
  <c r="L45" i="30" s="1"/>
  <c r="M289" i="30" a="1"/>
  <c r="M289" i="30" s="1"/>
  <c r="M225" i="30" a="1"/>
  <c r="M225" i="30" s="1"/>
  <c r="M161" i="30" a="1"/>
  <c r="M161" i="30" s="1"/>
  <c r="M97" i="30" a="1"/>
  <c r="M97" i="30" s="1"/>
  <c r="M44" i="30" a="1"/>
  <c r="M44" i="30" s="1"/>
  <c r="M280" i="30" a="1"/>
  <c r="M280" i="30" s="1"/>
  <c r="M216" i="30" a="1"/>
  <c r="M216" i="30" s="1"/>
  <c r="M152" i="30" a="1"/>
  <c r="M152" i="30" s="1"/>
  <c r="M88" i="30" a="1"/>
  <c r="M88" i="30" s="1"/>
  <c r="L40" i="30" a="1"/>
  <c r="L40" i="30" s="1"/>
  <c r="M271" i="30" a="1"/>
  <c r="M271" i="30" s="1"/>
  <c r="M207" i="30" a="1"/>
  <c r="M207" i="30" s="1"/>
  <c r="M143" i="30" a="1"/>
  <c r="M143" i="30" s="1"/>
  <c r="M79" i="30" a="1"/>
  <c r="M79" i="30" s="1"/>
  <c r="M35" i="30" a="1"/>
  <c r="M35" i="30" s="1"/>
  <c r="M262" i="30" a="1"/>
  <c r="M262" i="30" s="1"/>
  <c r="M198" i="30" a="1"/>
  <c r="M198" i="30" s="1"/>
  <c r="M134" i="30" a="1"/>
  <c r="M134" i="30" s="1"/>
  <c r="M70" i="30" a="1"/>
  <c r="M70" i="30" s="1"/>
  <c r="L31" i="30" a="1"/>
  <c r="L31" i="30" s="1"/>
  <c r="M253" i="30" a="1"/>
  <c r="M253" i="30" s="1"/>
  <c r="M189" i="30" a="1"/>
  <c r="M189" i="30" s="1"/>
  <c r="M125" i="30" a="1"/>
  <c r="M125" i="30" s="1"/>
  <c r="M61" i="30" a="1"/>
  <c r="M61" i="30" s="1"/>
  <c r="M26" i="30" a="1"/>
  <c r="M26" i="30" s="1"/>
  <c r="M292" i="30" a="1"/>
  <c r="M292" i="30" s="1"/>
  <c r="M228" i="30" a="1"/>
  <c r="M228" i="30" s="1"/>
  <c r="M164" i="30" a="1"/>
  <c r="M164" i="30" s="1"/>
  <c r="M100" i="30" a="1"/>
  <c r="M100" i="30" s="1"/>
  <c r="M291" i="30" a="1"/>
  <c r="M291" i="30" s="1"/>
  <c r="M227" i="30" a="1"/>
  <c r="M227" i="30" s="1"/>
  <c r="M163" i="30" a="1"/>
  <c r="M163" i="30" s="1"/>
  <c r="M99" i="30" a="1"/>
  <c r="M99" i="30" s="1"/>
  <c r="M45" i="30" a="1"/>
  <c r="M45" i="30" s="1"/>
  <c r="M282" i="30" a="1"/>
  <c r="M282" i="30" s="1"/>
  <c r="M218" i="30" a="1"/>
  <c r="M218" i="30" s="1"/>
  <c r="M154" i="30" a="1"/>
  <c r="M154" i="30" s="1"/>
  <c r="M90" i="30" a="1"/>
  <c r="M90" i="30" s="1"/>
  <c r="L41" i="30" a="1"/>
  <c r="L41" i="30" s="1"/>
  <c r="M281" i="30" a="1"/>
  <c r="M281" i="30" s="1"/>
  <c r="M217" i="30" a="1"/>
  <c r="M217" i="30" s="1"/>
  <c r="M153" i="30" a="1"/>
  <c r="M153" i="30" s="1"/>
  <c r="M89" i="30" a="1"/>
  <c r="M89" i="30" s="1"/>
  <c r="M40" i="30" a="1"/>
  <c r="M40" i="30" s="1"/>
  <c r="M272" i="30" a="1"/>
  <c r="M272" i="30" s="1"/>
  <c r="M208" i="30" a="1"/>
  <c r="M208" i="30" s="1"/>
  <c r="M144" i="30" a="1"/>
  <c r="M144" i="30" s="1"/>
  <c r="M80" i="30" a="1"/>
  <c r="M80" i="30" s="1"/>
  <c r="L36" i="30" a="1"/>
  <c r="L36" i="30" s="1"/>
  <c r="M263" i="30" a="1"/>
  <c r="M263" i="30" s="1"/>
  <c r="M199" i="30" a="1"/>
  <c r="M199" i="30" s="1"/>
  <c r="M135" i="30" a="1"/>
  <c r="M135" i="30" s="1"/>
  <c r="M71" i="30" a="1"/>
  <c r="M71" i="30" s="1"/>
  <c r="M31" i="30" a="1"/>
  <c r="M31" i="30" s="1"/>
  <c r="M254" i="30" a="1"/>
  <c r="M254" i="30" s="1"/>
  <c r="M190" i="30" a="1"/>
  <c r="M190" i="30" s="1"/>
  <c r="M126" i="30" a="1"/>
  <c r="M126" i="30" s="1"/>
  <c r="M62" i="30" a="1"/>
  <c r="M62" i="30" s="1"/>
  <c r="L27" i="30" a="1"/>
  <c r="L27" i="30" s="1"/>
  <c r="M245" i="30" a="1"/>
  <c r="M245" i="30" s="1"/>
  <c r="M181" i="30" a="1"/>
  <c r="M181" i="30" s="1"/>
  <c r="M117" i="30" a="1"/>
  <c r="M117" i="30" s="1"/>
  <c r="M54" i="30" a="1"/>
  <c r="M54" i="30" s="1"/>
  <c r="M284" i="30" a="1"/>
  <c r="M284" i="30" s="1"/>
  <c r="M220" i="30" a="1"/>
  <c r="M220" i="30" s="1"/>
  <c r="M156" i="30" a="1"/>
  <c r="M156" i="30" s="1"/>
  <c r="M92" i="30" a="1"/>
  <c r="M92" i="30" s="1"/>
  <c r="M283" i="30" a="1"/>
  <c r="M283" i="30" s="1"/>
  <c r="M219" i="30" a="1"/>
  <c r="M219" i="30" s="1"/>
  <c r="M155" i="30" a="1"/>
  <c r="M155" i="30" s="1"/>
  <c r="M91" i="30" a="1"/>
  <c r="M91" i="30" s="1"/>
  <c r="M41" i="30" a="1"/>
  <c r="M41" i="30" s="1"/>
  <c r="M274" i="30" a="1"/>
  <c r="M274" i="30" s="1"/>
  <c r="M210" i="30" a="1"/>
  <c r="M210" i="30" s="1"/>
  <c r="M146" i="30" a="1"/>
  <c r="M146" i="30" s="1"/>
  <c r="M82" i="30" a="1"/>
  <c r="M82" i="30" s="1"/>
  <c r="L37" i="30" a="1"/>
  <c r="L37" i="30" s="1"/>
  <c r="M273" i="30" a="1"/>
  <c r="M273" i="30" s="1"/>
  <c r="M209" i="30" a="1"/>
  <c r="M209" i="30" s="1"/>
  <c r="M145" i="30" a="1"/>
  <c r="M145" i="30" s="1"/>
  <c r="M81" i="30" a="1"/>
  <c r="M81" i="30" s="1"/>
  <c r="M36" i="30" a="1"/>
  <c r="M36" i="30" s="1"/>
  <c r="M264" i="30" a="1"/>
  <c r="M264" i="30" s="1"/>
  <c r="M200" i="30" a="1"/>
  <c r="M200" i="30" s="1"/>
  <c r="M136" i="30" a="1"/>
  <c r="M136" i="30" s="1"/>
  <c r="M72" i="30" a="1"/>
  <c r="M72" i="30" s="1"/>
  <c r="L32" i="30" a="1"/>
  <c r="L32" i="30" s="1"/>
  <c r="M255" i="30" a="1"/>
  <c r="M255" i="30" s="1"/>
  <c r="M191" i="30" a="1"/>
  <c r="M191" i="30" s="1"/>
  <c r="M127" i="30" a="1"/>
  <c r="M127" i="30" s="1"/>
  <c r="M63" i="30" a="1"/>
  <c r="M63" i="30" s="1"/>
  <c r="M27" i="30" a="1"/>
  <c r="M27" i="30" s="1"/>
  <c r="M246" i="30" a="1"/>
  <c r="M246" i="30" s="1"/>
  <c r="M182" i="30" a="1"/>
  <c r="M182" i="30" s="1"/>
  <c r="M118" i="30" a="1"/>
  <c r="M118" i="30" s="1"/>
  <c r="L55" i="30" a="1"/>
  <c r="L55" i="30" s="1"/>
  <c r="M237" i="30" a="1"/>
  <c r="M237" i="30" s="1"/>
  <c r="M173" i="30" a="1"/>
  <c r="M173" i="30" s="1"/>
  <c r="M109" i="30" a="1"/>
  <c r="M109" i="30" s="1"/>
  <c r="M50" i="30" a="1"/>
  <c r="M50" i="30" s="1"/>
  <c r="L46" i="30" a="1"/>
  <c r="L46" i="30" s="1"/>
  <c r="M276" i="30" a="1"/>
  <c r="M276" i="30" s="1"/>
  <c r="M212" i="30" a="1"/>
  <c r="M212" i="30" s="1"/>
  <c r="M148" i="30" a="1"/>
  <c r="M148" i="30" s="1"/>
  <c r="M84" i="30" a="1"/>
  <c r="M84" i="30" s="1"/>
  <c r="M275" i="30" a="1"/>
  <c r="M275" i="30" s="1"/>
  <c r="M211" i="30" a="1"/>
  <c r="M211" i="30" s="1"/>
  <c r="M147" i="30" a="1"/>
  <c r="M147" i="30" s="1"/>
  <c r="M83" i="30" a="1"/>
  <c r="M83" i="30" s="1"/>
  <c r="M37" i="30" a="1"/>
  <c r="M37" i="30" s="1"/>
  <c r="M266" i="30" a="1"/>
  <c r="M266" i="30" s="1"/>
  <c r="M202" i="30" a="1"/>
  <c r="M202" i="30" s="1"/>
  <c r="M138" i="30" a="1"/>
  <c r="M138" i="30" s="1"/>
  <c r="M74" i="30" a="1"/>
  <c r="M74" i="30" s="1"/>
  <c r="L33" i="30" a="1"/>
  <c r="L33" i="30" s="1"/>
  <c r="M265" i="30" a="1"/>
  <c r="M265" i="30" s="1"/>
  <c r="M201" i="30" a="1"/>
  <c r="M201" i="30" s="1"/>
  <c r="M137" i="30" a="1"/>
  <c r="M137" i="30" s="1"/>
  <c r="M73" i="30" a="1"/>
  <c r="M73" i="30" s="1"/>
  <c r="M32" i="30" a="1"/>
  <c r="M32" i="30" s="1"/>
  <c r="M256" i="30" a="1"/>
  <c r="M256" i="30" s="1"/>
  <c r="M192" i="30" a="1"/>
  <c r="M192" i="30" s="1"/>
  <c r="M128" i="30" a="1"/>
  <c r="M128" i="30" s="1"/>
  <c r="M64" i="30" a="1"/>
  <c r="M64" i="30" s="1"/>
  <c r="L28" i="30" a="1"/>
  <c r="L28" i="30" s="1"/>
  <c r="M247" i="30" a="1"/>
  <c r="M247" i="30" s="1"/>
  <c r="M183" i="30" a="1"/>
  <c r="M183" i="30" s="1"/>
  <c r="M119" i="30" a="1"/>
  <c r="M119" i="30" s="1"/>
  <c r="M55" i="30" a="1"/>
  <c r="M55" i="30" s="1"/>
  <c r="M238" i="30" a="1"/>
  <c r="M238" i="30" s="1"/>
  <c r="M174" i="30" a="1"/>
  <c r="M174" i="30" s="1"/>
  <c r="M110" i="30" a="1"/>
  <c r="M110" i="30" s="1"/>
  <c r="L51" i="30" a="1"/>
  <c r="L51" i="30" s="1"/>
  <c r="M293" i="30" a="1"/>
  <c r="M293" i="30" s="1"/>
  <c r="M229" i="30" a="1"/>
  <c r="M229" i="30" s="1"/>
  <c r="M165" i="30" a="1"/>
  <c r="M165" i="30" s="1"/>
  <c r="M101" i="30" a="1"/>
  <c r="M101" i="30" s="1"/>
  <c r="M46" i="30" a="1"/>
  <c r="M46" i="30" s="1"/>
  <c r="L42" i="30" a="1"/>
  <c r="L42" i="30" s="1"/>
  <c r="M268" i="30" a="1"/>
  <c r="M268" i="30" s="1"/>
  <c r="M204" i="30" a="1"/>
  <c r="M204" i="30" s="1"/>
  <c r="M140" i="30" a="1"/>
  <c r="M140" i="30" s="1"/>
  <c r="M76" i="30" a="1"/>
  <c r="M76" i="30" s="1"/>
  <c r="M267" i="30" a="1"/>
  <c r="M267" i="30" s="1"/>
  <c r="M203" i="30" a="1"/>
  <c r="M203" i="30" s="1"/>
  <c r="M139" i="30" a="1"/>
  <c r="M139" i="30" s="1"/>
  <c r="M75" i="30" a="1"/>
  <c r="M75" i="30" s="1"/>
  <c r="M33" i="30" a="1"/>
  <c r="M33" i="30" s="1"/>
  <c r="M258" i="30" a="1"/>
  <c r="M258" i="30" s="1"/>
  <c r="M194" i="30" a="1"/>
  <c r="M194" i="30" s="1"/>
  <c r="M130" i="30" a="1"/>
  <c r="M130" i="30" s="1"/>
  <c r="M66" i="30" a="1"/>
  <c r="M66" i="30" s="1"/>
  <c r="L29" i="30" a="1"/>
  <c r="L29" i="30" s="1"/>
  <c r="M257" i="30" a="1"/>
  <c r="M257" i="30" s="1"/>
  <c r="M193" i="30" a="1"/>
  <c r="M193" i="30" s="1"/>
  <c r="M129" i="30" a="1"/>
  <c r="M129" i="30" s="1"/>
  <c r="M65" i="30" a="1"/>
  <c r="M65" i="30" s="1"/>
  <c r="M28" i="30" a="1"/>
  <c r="M28" i="30" s="1"/>
  <c r="M248" i="30" a="1"/>
  <c r="M248" i="30" s="1"/>
  <c r="M184" i="30" a="1"/>
  <c r="M184" i="30" s="1"/>
  <c r="M120" i="30" a="1"/>
  <c r="M120" i="30" s="1"/>
  <c r="M56" i="30" a="1"/>
  <c r="M56" i="30" s="1"/>
  <c r="M239" i="30" a="1"/>
  <c r="M239" i="30" s="1"/>
  <c r="M175" i="30" a="1"/>
  <c r="M175" i="30" s="1"/>
  <c r="M111" i="30" a="1"/>
  <c r="M111" i="30" s="1"/>
  <c r="M51" i="30" a="1"/>
  <c r="M51" i="30" s="1"/>
  <c r="M294" i="30" a="1"/>
  <c r="M294" i="30" s="1"/>
  <c r="M230" i="30" a="1"/>
  <c r="M230" i="30" s="1"/>
  <c r="M166" i="30" a="1"/>
  <c r="M166" i="30" s="1"/>
  <c r="M102" i="30" a="1"/>
  <c r="M102" i="30" s="1"/>
  <c r="L47" i="30" a="1"/>
  <c r="L47" i="30" s="1"/>
  <c r="M285" i="30" a="1"/>
  <c r="M285" i="30" s="1"/>
  <c r="M221" i="30" a="1"/>
  <c r="M221" i="30" s="1"/>
  <c r="M157" i="30" a="1"/>
  <c r="M157" i="30" s="1"/>
  <c r="M93" i="30" a="1"/>
  <c r="M93" i="30" s="1"/>
  <c r="M42" i="30" a="1"/>
  <c r="M42" i="30" s="1"/>
  <c r="L38" i="30" a="1"/>
  <c r="L38" i="30" s="1"/>
  <c r="M260" i="30" a="1"/>
  <c r="M260" i="30" s="1"/>
  <c r="M196" i="30" a="1"/>
  <c r="M196" i="30" s="1"/>
  <c r="M132" i="30" a="1"/>
  <c r="M132" i="30" s="1"/>
  <c r="M68" i="30" a="1"/>
  <c r="M68" i="30" s="1"/>
  <c r="M259" i="30" a="1"/>
  <c r="M259" i="30" s="1"/>
  <c r="M195" i="30" a="1"/>
  <c r="M195" i="30" s="1"/>
  <c r="M131" i="30" a="1"/>
  <c r="M131" i="30" s="1"/>
  <c r="M67" i="30" a="1"/>
  <c r="M67" i="30" s="1"/>
  <c r="M29" i="30" a="1"/>
  <c r="M29" i="30" s="1"/>
  <c r="M250" i="30" a="1"/>
  <c r="M250" i="30" s="1"/>
  <c r="M186" i="30" a="1"/>
  <c r="M186" i="30" s="1"/>
  <c r="M122" i="30" a="1"/>
  <c r="M122" i="30" s="1"/>
  <c r="M58" i="30" a="1"/>
  <c r="M58" i="30" s="1"/>
  <c r="M249" i="30" a="1"/>
  <c r="M249" i="30" s="1"/>
  <c r="M185" i="30" a="1"/>
  <c r="M185" i="30" s="1"/>
  <c r="M121" i="30" a="1"/>
  <c r="M121" i="30" s="1"/>
  <c r="M57" i="30" a="1"/>
  <c r="M57" i="30" s="1"/>
  <c r="M240" i="30" a="1"/>
  <c r="M240" i="30" s="1"/>
  <c r="M176" i="30" a="1"/>
  <c r="M176" i="30" s="1"/>
  <c r="M112" i="30" a="1"/>
  <c r="M112" i="30" s="1"/>
  <c r="L52" i="30" a="1"/>
  <c r="L52" i="30" s="1"/>
  <c r="M295" i="30" a="1"/>
  <c r="M295" i="30" s="1"/>
  <c r="M231" i="30" a="1"/>
  <c r="M231" i="30" s="1"/>
  <c r="M167" i="30" a="1"/>
  <c r="M167" i="30" s="1"/>
  <c r="M103" i="30" a="1"/>
  <c r="M103" i="30" s="1"/>
  <c r="M47" i="30" a="1"/>
  <c r="M47" i="30" s="1"/>
  <c r="M286" i="30" a="1"/>
  <c r="M286" i="30" s="1"/>
  <c r="M222" i="30" a="1"/>
  <c r="M222" i="30" s="1"/>
  <c r="M158" i="30" a="1"/>
  <c r="M158" i="30" s="1"/>
  <c r="M94" i="30" a="1"/>
  <c r="M94" i="30" s="1"/>
  <c r="L43" i="30" a="1"/>
  <c r="L43" i="30" s="1"/>
  <c r="M277" i="30" a="1"/>
  <c r="M277" i="30" s="1"/>
  <c r="M213" i="30" a="1"/>
  <c r="M213" i="30" s="1"/>
  <c r="M149" i="30" a="1"/>
  <c r="M149" i="30" s="1"/>
  <c r="M85" i="30" a="1"/>
  <c r="M85" i="30" s="1"/>
  <c r="M38" i="30" a="1"/>
  <c r="M38" i="30" s="1"/>
  <c r="L34" i="30" a="1"/>
  <c r="L34" i="30" s="1"/>
  <c r="M252" i="30" a="1"/>
  <c r="M252" i="30" s="1"/>
  <c r="M188" i="30" a="1"/>
  <c r="M188" i="30" s="1"/>
  <c r="M124" i="30" a="1"/>
  <c r="M124" i="30" s="1"/>
  <c r="M60" i="30" a="1"/>
  <c r="M60" i="30" s="1"/>
  <c r="M251" i="30" a="1"/>
  <c r="M251" i="30" s="1"/>
  <c r="M187" i="30" a="1"/>
  <c r="M187" i="30" s="1"/>
  <c r="M123" i="30" a="1"/>
  <c r="M123" i="30" s="1"/>
  <c r="M59" i="30" a="1"/>
  <c r="M59" i="30" s="1"/>
  <c r="M242" i="30" a="1"/>
  <c r="M242" i="30" s="1"/>
  <c r="M178" i="30" a="1"/>
  <c r="M178" i="30" s="1"/>
  <c r="M114" i="30" a="1"/>
  <c r="M114" i="30" s="1"/>
  <c r="L53" i="30" a="1"/>
  <c r="L53" i="30" s="1"/>
  <c r="M241" i="30" a="1"/>
  <c r="M241" i="30" s="1"/>
  <c r="M177" i="30" a="1"/>
  <c r="M177" i="30" s="1"/>
  <c r="M113" i="30" a="1"/>
  <c r="M113" i="30" s="1"/>
  <c r="M52" i="30" a="1"/>
  <c r="M52" i="30" s="1"/>
  <c r="M296" i="30" a="1"/>
  <c r="M296" i="30" s="1"/>
  <c r="M232" i="30" a="1"/>
  <c r="M232" i="30" s="1"/>
  <c r="M168" i="30" a="1"/>
  <c r="M168" i="30" s="1"/>
  <c r="M104" i="30" a="1"/>
  <c r="M104" i="30" s="1"/>
  <c r="L48" i="30" a="1"/>
  <c r="L48" i="30" s="1"/>
  <c r="M287" i="30" a="1"/>
  <c r="M287" i="30" s="1"/>
  <c r="M223" i="30" a="1"/>
  <c r="M223" i="30" s="1"/>
  <c r="M159" i="30" a="1"/>
  <c r="M159" i="30" s="1"/>
  <c r="M95" i="30" a="1"/>
  <c r="M95" i="30" s="1"/>
  <c r="M43" i="30" a="1"/>
  <c r="M43" i="30" s="1"/>
  <c r="M278" i="30" a="1"/>
  <c r="M278" i="30" s="1"/>
  <c r="M214" i="30" a="1"/>
  <c r="M214" i="30" s="1"/>
  <c r="M150" i="30" a="1"/>
  <c r="M150" i="30" s="1"/>
  <c r="M86" i="30" a="1"/>
  <c r="M86" i="30" s="1"/>
  <c r="L39" i="30" a="1"/>
  <c r="L39" i="30" s="1"/>
  <c r="L55" i="29" a="1"/>
  <c r="L55" i="29" s="1"/>
  <c r="M94" i="29" a="1"/>
  <c r="M94" i="29" s="1"/>
  <c r="M158" i="29" a="1"/>
  <c r="M158" i="29" s="1"/>
  <c r="M222" i="29" a="1"/>
  <c r="M222" i="29" s="1"/>
  <c r="M286" i="29" a="1"/>
  <c r="M286" i="29" s="1"/>
  <c r="M80" i="29" a="1"/>
  <c r="M80" i="29" s="1"/>
  <c r="M144" i="29" a="1"/>
  <c r="M144" i="29" s="1"/>
  <c r="M208" i="29" a="1"/>
  <c r="M208" i="29" s="1"/>
  <c r="M272" i="29" a="1"/>
  <c r="M272" i="29" s="1"/>
  <c r="M220" i="29" a="1"/>
  <c r="M220" i="29" s="1"/>
  <c r="M57" i="29" a="1"/>
  <c r="M57" i="29" s="1"/>
  <c r="M121" i="29" a="1"/>
  <c r="M121" i="29" s="1"/>
  <c r="M185" i="29" a="1"/>
  <c r="M185" i="29" s="1"/>
  <c r="M249" i="29" a="1"/>
  <c r="M249" i="29" s="1"/>
  <c r="M235" i="29" a="1"/>
  <c r="M235" i="29" s="1"/>
  <c r="M106" i="29" a="1"/>
  <c r="M106" i="29" s="1"/>
  <c r="M170" i="29" a="1"/>
  <c r="M170" i="29" s="1"/>
  <c r="M234" i="29" a="1"/>
  <c r="M234" i="29" s="1"/>
  <c r="M171" i="29" a="1"/>
  <c r="M171" i="29" s="1"/>
  <c r="M83" i="29" a="1"/>
  <c r="M83" i="29" s="1"/>
  <c r="M147" i="29" a="1"/>
  <c r="M147" i="29" s="1"/>
  <c r="M268" i="29" a="1"/>
  <c r="M268" i="29" s="1"/>
  <c r="M68" i="29" a="1"/>
  <c r="M68" i="29" s="1"/>
  <c r="M132" i="29" a="1"/>
  <c r="M132" i="29" s="1"/>
  <c r="M196" i="29" a="1"/>
  <c r="M196" i="29" s="1"/>
  <c r="M109" i="29" a="1"/>
  <c r="M109" i="29" s="1"/>
  <c r="M173" i="29" a="1"/>
  <c r="M173" i="29" s="1"/>
  <c r="M237" i="29" a="1"/>
  <c r="M237" i="29" s="1"/>
  <c r="M143" i="29" a="1"/>
  <c r="M143" i="29" s="1"/>
  <c r="M279" i="29" a="1"/>
  <c r="M279" i="29" s="1"/>
  <c r="M191" i="29" a="1"/>
  <c r="M191" i="29" s="1"/>
  <c r="M135" i="29" a="1"/>
  <c r="M135" i="29" s="1"/>
  <c r="M102" i="29" a="1"/>
  <c r="M102" i="29" s="1"/>
  <c r="M166" i="29" a="1"/>
  <c r="M166" i="29" s="1"/>
  <c r="M230" i="29" a="1"/>
  <c r="M230" i="29" s="1"/>
  <c r="M294" i="29" a="1"/>
  <c r="M294" i="29" s="1"/>
  <c r="M88" i="29" a="1"/>
  <c r="M88" i="29" s="1"/>
  <c r="M152" i="29" a="1"/>
  <c r="M152" i="29" s="1"/>
  <c r="M216" i="29" a="1"/>
  <c r="M216" i="29" s="1"/>
  <c r="M280" i="29" a="1"/>
  <c r="M280" i="29" s="1"/>
  <c r="M252" i="29" a="1"/>
  <c r="M252" i="29" s="1"/>
  <c r="M65" i="29" a="1"/>
  <c r="M65" i="29" s="1"/>
  <c r="M129" i="29" a="1"/>
  <c r="M129" i="29" s="1"/>
  <c r="M193" i="29" a="1"/>
  <c r="M193" i="29" s="1"/>
  <c r="M257" i="29" a="1"/>
  <c r="M257" i="29" s="1"/>
  <c r="M267" i="29" a="1"/>
  <c r="M267" i="29" s="1"/>
  <c r="M114" i="29" a="1"/>
  <c r="M114" i="29" s="1"/>
  <c r="M178" i="29" a="1"/>
  <c r="M178" i="29" s="1"/>
  <c r="M242" i="29" a="1"/>
  <c r="M242" i="29" s="1"/>
  <c r="M187" i="29" a="1"/>
  <c r="M187" i="29" s="1"/>
  <c r="L52" i="29" a="1"/>
  <c r="L52" i="29" s="1"/>
  <c r="M91" i="29" a="1"/>
  <c r="M91" i="29" s="1"/>
  <c r="M155" i="29" a="1"/>
  <c r="M155" i="29" s="1"/>
  <c r="M285" i="29" a="1"/>
  <c r="M285" i="29" s="1"/>
  <c r="M76" i="29" a="1"/>
  <c r="M76" i="29" s="1"/>
  <c r="M140" i="29" a="1"/>
  <c r="M140" i="29" s="1"/>
  <c r="M204" i="29" a="1"/>
  <c r="M204" i="29" s="1"/>
  <c r="M53" i="29" a="1"/>
  <c r="M53" i="29" s="1"/>
  <c r="M117" i="29" a="1"/>
  <c r="M117" i="29" s="1"/>
  <c r="M181" i="29" a="1"/>
  <c r="M181" i="29" s="1"/>
  <c r="M245" i="29" a="1"/>
  <c r="M245" i="29" s="1"/>
  <c r="M207" i="29" a="1"/>
  <c r="M207" i="29" s="1"/>
  <c r="M295" i="29" a="1"/>
  <c r="M295" i="29" s="1"/>
  <c r="M103" i="29" a="1"/>
  <c r="M103" i="29" s="1"/>
  <c r="M71" i="29" a="1"/>
  <c r="M71" i="29" s="1"/>
  <c r="M110" i="29" a="1"/>
  <c r="M110" i="29" s="1"/>
  <c r="M174" i="29" a="1"/>
  <c r="M174" i="29" s="1"/>
  <c r="M238" i="29" a="1"/>
  <c r="M238" i="29" s="1"/>
  <c r="M96" i="29" a="1"/>
  <c r="M96" i="29" s="1"/>
  <c r="M160" i="29" a="1"/>
  <c r="M160" i="29" s="1"/>
  <c r="M224" i="29" a="1"/>
  <c r="M224" i="29" s="1"/>
  <c r="M288" i="29" a="1"/>
  <c r="M288" i="29" s="1"/>
  <c r="M292" i="29" a="1"/>
  <c r="M292" i="29" s="1"/>
  <c r="M73" i="29" a="1"/>
  <c r="M73" i="29" s="1"/>
  <c r="M137" i="29" a="1"/>
  <c r="M137" i="29" s="1"/>
  <c r="M201" i="29" a="1"/>
  <c r="M201" i="29" s="1"/>
  <c r="M265" i="29" a="1"/>
  <c r="M265" i="29" s="1"/>
  <c r="M228" i="29" a="1"/>
  <c r="M228" i="29" s="1"/>
  <c r="M58" i="29" a="1"/>
  <c r="M58" i="29" s="1"/>
  <c r="M122" i="29" a="1"/>
  <c r="M122" i="29" s="1"/>
  <c r="M186" i="29" a="1"/>
  <c r="M186" i="29" s="1"/>
  <c r="M250" i="29" a="1"/>
  <c r="M250" i="29" s="1"/>
  <c r="M219" i="29" a="1"/>
  <c r="M219" i="29" s="1"/>
  <c r="M99" i="29" a="1"/>
  <c r="M99" i="29" s="1"/>
  <c r="M163" i="29" a="1"/>
  <c r="M163" i="29" s="1"/>
  <c r="M84" i="29" a="1"/>
  <c r="M84" i="29" s="1"/>
  <c r="M148" i="29" a="1"/>
  <c r="M148" i="29" s="1"/>
  <c r="M236" i="29" a="1"/>
  <c r="M236" i="29" s="1"/>
  <c r="M61" i="29" a="1"/>
  <c r="M61" i="29" s="1"/>
  <c r="M125" i="29" a="1"/>
  <c r="M125" i="29" s="1"/>
  <c r="M189" i="29" a="1"/>
  <c r="M189" i="29" s="1"/>
  <c r="M253" i="29" a="1"/>
  <c r="M253" i="29" s="1"/>
  <c r="M271" i="29" a="1"/>
  <c r="M271" i="29" s="1"/>
  <c r="M95" i="29" a="1"/>
  <c r="M95" i="29" s="1"/>
  <c r="M55" i="29" a="1"/>
  <c r="M55" i="29" s="1"/>
  <c r="M54" i="29" a="1"/>
  <c r="M54" i="29" s="1"/>
  <c r="M118" i="29" a="1"/>
  <c r="M118" i="29" s="1"/>
  <c r="M182" i="29" a="1"/>
  <c r="M182" i="29" s="1"/>
  <c r="M246" i="29" a="1"/>
  <c r="M246" i="29" s="1"/>
  <c r="M104" i="29" a="1"/>
  <c r="M104" i="29" s="1"/>
  <c r="M168" i="29" a="1"/>
  <c r="M168" i="29" s="1"/>
  <c r="M232" i="29" a="1"/>
  <c r="M232" i="29" s="1"/>
  <c r="M296" i="29" a="1"/>
  <c r="M296" i="29" s="1"/>
  <c r="M81" i="29" a="1"/>
  <c r="M81" i="29" s="1"/>
  <c r="M145" i="29" a="1"/>
  <c r="M145" i="29" s="1"/>
  <c r="M209" i="29" a="1"/>
  <c r="M209" i="29" s="1"/>
  <c r="M273" i="29" a="1"/>
  <c r="M273" i="29" s="1"/>
  <c r="M260" i="29" a="1"/>
  <c r="M260" i="29" s="1"/>
  <c r="M66" i="29" a="1"/>
  <c r="M66" i="29" s="1"/>
  <c r="M130" i="29" a="1"/>
  <c r="M130" i="29" s="1"/>
  <c r="M194" i="29" a="1"/>
  <c r="M194" i="29" s="1"/>
  <c r="M258" i="29" a="1"/>
  <c r="M258" i="29" s="1"/>
  <c r="M259" i="29" a="1"/>
  <c r="M259" i="29" s="1"/>
  <c r="M107" i="29" a="1"/>
  <c r="M107" i="29" s="1"/>
  <c r="M179" i="29" a="1"/>
  <c r="M179" i="29" s="1"/>
  <c r="L53" i="29" a="1"/>
  <c r="L53" i="29" s="1"/>
  <c r="M92" i="29" a="1"/>
  <c r="M92" i="29" s="1"/>
  <c r="M156" i="29" a="1"/>
  <c r="M156" i="29" s="1"/>
  <c r="M276" i="29" a="1"/>
  <c r="M276" i="29" s="1"/>
  <c r="M69" i="29" a="1"/>
  <c r="M69" i="29" s="1"/>
  <c r="M133" i="29" a="1"/>
  <c r="M133" i="29" s="1"/>
  <c r="M197" i="29" a="1"/>
  <c r="M197" i="29" s="1"/>
  <c r="M261" i="29" a="1"/>
  <c r="M261" i="29" s="1"/>
  <c r="M231" i="29" a="1"/>
  <c r="M231" i="29" s="1"/>
  <c r="M159" i="29" a="1"/>
  <c r="M159" i="29" s="1"/>
  <c r="M119" i="29" a="1"/>
  <c r="M119" i="29" s="1"/>
  <c r="M62" i="29" a="1"/>
  <c r="M62" i="29" s="1"/>
  <c r="M126" i="29" a="1"/>
  <c r="M126" i="29" s="1"/>
  <c r="M190" i="29" a="1"/>
  <c r="M190" i="29" s="1"/>
  <c r="M254" i="29" a="1"/>
  <c r="M254" i="29" s="1"/>
  <c r="M112" i="29" a="1"/>
  <c r="M112" i="29" s="1"/>
  <c r="M176" i="29" a="1"/>
  <c r="M176" i="29" s="1"/>
  <c r="M240" i="29" a="1"/>
  <c r="M240" i="29" s="1"/>
  <c r="M203" i="29" a="1"/>
  <c r="M203" i="29" s="1"/>
  <c r="M89" i="29" a="1"/>
  <c r="M89" i="29" s="1"/>
  <c r="M153" i="29" a="1"/>
  <c r="M153" i="29" s="1"/>
  <c r="M217" i="29" a="1"/>
  <c r="M217" i="29" s="1"/>
  <c r="M281" i="29" a="1"/>
  <c r="M281" i="29" s="1"/>
  <c r="M277" i="29" a="1"/>
  <c r="M277" i="29" s="1"/>
  <c r="M74" i="29" a="1"/>
  <c r="M74" i="29" s="1"/>
  <c r="M138" i="29" a="1"/>
  <c r="M138" i="29" s="1"/>
  <c r="M202" i="29" a="1"/>
  <c r="M202" i="29" s="1"/>
  <c r="M266" i="29" a="1"/>
  <c r="M266" i="29" s="1"/>
  <c r="M291" i="29" a="1"/>
  <c r="M291" i="29" s="1"/>
  <c r="M115" i="29" a="1"/>
  <c r="M115" i="29" s="1"/>
  <c r="M211" i="29" a="1"/>
  <c r="M211" i="29" s="1"/>
  <c r="M100" i="29" a="1"/>
  <c r="M100" i="29" s="1"/>
  <c r="M164" i="29" a="1"/>
  <c r="M164" i="29" s="1"/>
  <c r="M293" i="29" a="1"/>
  <c r="M293" i="29" s="1"/>
  <c r="M77" i="29" a="1"/>
  <c r="M77" i="29" s="1"/>
  <c r="M141" i="29" a="1"/>
  <c r="M141" i="29" s="1"/>
  <c r="M205" i="29" a="1"/>
  <c r="M205" i="29" s="1"/>
  <c r="M269" i="29" a="1"/>
  <c r="M269" i="29" s="1"/>
  <c r="M263" i="29" a="1"/>
  <c r="M263" i="29" s="1"/>
  <c r="M223" i="29" a="1"/>
  <c r="M223" i="29" s="1"/>
  <c r="M111" i="29" a="1"/>
  <c r="M111" i="29" s="1"/>
  <c r="M183" i="29" a="1"/>
  <c r="M183" i="29" s="1"/>
  <c r="M70" i="29" a="1"/>
  <c r="M70" i="29" s="1"/>
  <c r="M134" i="29" a="1"/>
  <c r="M134" i="29" s="1"/>
  <c r="M198" i="29" a="1"/>
  <c r="M198" i="29" s="1"/>
  <c r="M262" i="29" a="1"/>
  <c r="M262" i="29" s="1"/>
  <c r="M56" i="29" a="1"/>
  <c r="M56" i="29" s="1"/>
  <c r="M120" i="29" a="1"/>
  <c r="M120" i="29" s="1"/>
  <c r="M184" i="29" a="1"/>
  <c r="M184" i="29" s="1"/>
  <c r="M248" i="29" a="1"/>
  <c r="M248" i="29" s="1"/>
  <c r="M227" i="29" a="1"/>
  <c r="M227" i="29" s="1"/>
  <c r="M97" i="29" a="1"/>
  <c r="M97" i="29" s="1"/>
  <c r="M161" i="29" a="1"/>
  <c r="M161" i="29" s="1"/>
  <c r="M225" i="29" a="1"/>
  <c r="M225" i="29" s="1"/>
  <c r="M289" i="29" a="1"/>
  <c r="M289" i="29" s="1"/>
  <c r="M82" i="29" a="1"/>
  <c r="M82" i="29" s="1"/>
  <c r="M146" i="29" a="1"/>
  <c r="M146" i="29" s="1"/>
  <c r="M210" i="29" a="1"/>
  <c r="M210" i="29" s="1"/>
  <c r="M274" i="29" a="1"/>
  <c r="M274" i="29" s="1"/>
  <c r="M244" i="29" a="1"/>
  <c r="M244" i="29" s="1"/>
  <c r="M59" i="29" a="1"/>
  <c r="M59" i="29" s="1"/>
  <c r="M123" i="29" a="1"/>
  <c r="M123" i="29" s="1"/>
  <c r="M243" i="29" a="1"/>
  <c r="M243" i="29" s="1"/>
  <c r="M108" i="29" a="1"/>
  <c r="M108" i="29" s="1"/>
  <c r="M172" i="29" a="1"/>
  <c r="M172" i="29" s="1"/>
  <c r="M85" i="29" a="1"/>
  <c r="M85" i="29" s="1"/>
  <c r="M149" i="29" a="1"/>
  <c r="M149" i="29" s="1"/>
  <c r="M213" i="29" a="1"/>
  <c r="M213" i="29" s="1"/>
  <c r="M87" i="29" a="1"/>
  <c r="M87" i="29" s="1"/>
  <c r="M287" i="29" a="1"/>
  <c r="M287" i="29" s="1"/>
  <c r="M175" i="29" a="1"/>
  <c r="M175" i="29" s="1"/>
  <c r="M247" i="29" a="1"/>
  <c r="M247" i="29" s="1"/>
  <c r="M78" i="29" a="1"/>
  <c r="M78" i="29" s="1"/>
  <c r="M142" i="29" a="1"/>
  <c r="M142" i="29" s="1"/>
  <c r="M206" i="29" a="1"/>
  <c r="M206" i="29" s="1"/>
  <c r="M270" i="29" a="1"/>
  <c r="M270" i="29" s="1"/>
  <c r="M64" i="29" a="1"/>
  <c r="M64" i="29" s="1"/>
  <c r="M128" i="29" a="1"/>
  <c r="M128" i="29" s="1"/>
  <c r="M192" i="29" a="1"/>
  <c r="M192" i="29" s="1"/>
  <c r="M256" i="29" a="1"/>
  <c r="M256" i="29" s="1"/>
  <c r="M251" i="29" a="1"/>
  <c r="M251" i="29" s="1"/>
  <c r="M105" i="29" a="1"/>
  <c r="M105" i="29" s="1"/>
  <c r="M169" i="29" a="1"/>
  <c r="M169" i="29" s="1"/>
  <c r="M233" i="29" a="1"/>
  <c r="M233" i="29" s="1"/>
  <c r="M297" i="29" a="1"/>
  <c r="M297" i="29" s="1"/>
  <c r="M90" i="29" a="1"/>
  <c r="M90" i="29" s="1"/>
  <c r="M154" i="29" a="1"/>
  <c r="M154" i="29" s="1"/>
  <c r="M218" i="29" a="1"/>
  <c r="M218" i="29" s="1"/>
  <c r="M282" i="29" a="1"/>
  <c r="M282" i="29" s="1"/>
  <c r="M284" i="29" a="1"/>
  <c r="M284" i="29" s="1"/>
  <c r="M67" i="29" a="1"/>
  <c r="M67" i="29" s="1"/>
  <c r="M131" i="29" a="1"/>
  <c r="M131" i="29" s="1"/>
  <c r="M275" i="29" a="1"/>
  <c r="M275" i="29" s="1"/>
  <c r="M52" i="29" a="1"/>
  <c r="M52" i="29" s="1"/>
  <c r="M116" i="29" a="1"/>
  <c r="M116" i="29" s="1"/>
  <c r="M180" i="29" a="1"/>
  <c r="M180" i="29" s="1"/>
  <c r="L54" i="29" a="1"/>
  <c r="L54" i="29" s="1"/>
  <c r="M93" i="29" a="1"/>
  <c r="M93" i="29" s="1"/>
  <c r="M157" i="29" a="1"/>
  <c r="M157" i="29" s="1"/>
  <c r="M221" i="29" a="1"/>
  <c r="M221" i="29" s="1"/>
  <c r="M151" i="29" a="1"/>
  <c r="M151" i="29" s="1"/>
  <c r="M167" i="29" a="1"/>
  <c r="M167" i="29" s="1"/>
  <c r="M239" i="29" a="1"/>
  <c r="M239" i="29" s="1"/>
  <c r="M127" i="29" a="1"/>
  <c r="M127" i="29" s="1"/>
  <c r="M86" i="29" a="1"/>
  <c r="M86" i="29" s="1"/>
  <c r="M150" i="29" a="1"/>
  <c r="M150" i="29" s="1"/>
  <c r="M214" i="29" a="1"/>
  <c r="M214" i="29" s="1"/>
  <c r="M278" i="29" a="1"/>
  <c r="M278" i="29" s="1"/>
  <c r="M72" i="29" a="1"/>
  <c r="M72" i="29" s="1"/>
  <c r="M136" i="29" a="1"/>
  <c r="M136" i="29" s="1"/>
  <c r="M200" i="29" a="1"/>
  <c r="M200" i="29" s="1"/>
  <c r="M264" i="29" a="1"/>
  <c r="M264" i="29" s="1"/>
  <c r="M283" i="29" a="1"/>
  <c r="M283" i="29" s="1"/>
  <c r="M113" i="29" a="1"/>
  <c r="M113" i="29" s="1"/>
  <c r="M177" i="29" a="1"/>
  <c r="M177" i="29" s="1"/>
  <c r="M241" i="29" a="1"/>
  <c r="M241" i="29" s="1"/>
  <c r="M195" i="29" a="1"/>
  <c r="M195" i="29" s="1"/>
  <c r="M98" i="29" a="1"/>
  <c r="M98" i="29" s="1"/>
  <c r="M162" i="29" a="1"/>
  <c r="M162" i="29" s="1"/>
  <c r="M226" i="29" a="1"/>
  <c r="M226" i="29" s="1"/>
  <c r="M290" i="29" a="1"/>
  <c r="M290" i="29" s="1"/>
  <c r="M75" i="29" a="1"/>
  <c r="M75" i="29" s="1"/>
  <c r="M139" i="29" a="1"/>
  <c r="M139" i="29" s="1"/>
  <c r="M212" i="29" a="1"/>
  <c r="M212" i="29" s="1"/>
  <c r="M60" i="29" a="1"/>
  <c r="M60" i="29" s="1"/>
  <c r="M124" i="29" a="1"/>
  <c r="M124" i="29" s="1"/>
  <c r="M188" i="29" a="1"/>
  <c r="M188" i="29" s="1"/>
  <c r="M101" i="29" a="1"/>
  <c r="M101" i="29" s="1"/>
  <c r="M165" i="29" a="1"/>
  <c r="M165" i="29" s="1"/>
  <c r="M229" i="29" a="1"/>
  <c r="M229" i="29" s="1"/>
  <c r="M79" i="29" a="1"/>
  <c r="M79" i="29" s="1"/>
  <c r="M215" i="29" a="1"/>
  <c r="M215" i="29" s="1"/>
  <c r="M199" i="29" a="1"/>
  <c r="M199" i="29" s="1"/>
  <c r="M63" i="29" a="1"/>
  <c r="M63" i="29" s="1"/>
  <c r="M255" i="29" a="1"/>
  <c r="M255" i="29" s="1"/>
  <c r="R61" i="18"/>
  <c r="S61" i="18" s="1"/>
  <c r="AD61" i="18"/>
  <c r="AE61" i="18" s="1"/>
  <c r="AL61" i="18"/>
  <c r="AM61" i="18" s="1"/>
  <c r="V61" i="18"/>
  <c r="W61" i="18" s="1"/>
  <c r="BH61" i="18"/>
  <c r="BI61" i="18" s="1"/>
  <c r="BF61" i="18"/>
  <c r="BG61" i="18" s="1"/>
  <c r="AF61" i="18"/>
  <c r="AG61" i="18" s="1"/>
  <c r="BN61" i="18"/>
  <c r="BO61" i="18" s="1"/>
  <c r="Z61" i="18"/>
  <c r="AA61" i="18" s="1"/>
  <c r="X61" i="18"/>
  <c r="Y61" i="18" s="1"/>
  <c r="BB61" i="18"/>
  <c r="BC61" i="18" s="1"/>
  <c r="T61" i="18"/>
  <c r="U61" i="18" s="1"/>
  <c r="AV61" i="18"/>
  <c r="AW61" i="18" s="1"/>
  <c r="AH61" i="18"/>
  <c r="AI61" i="18" s="1"/>
  <c r="AX61" i="18"/>
  <c r="AY61" i="18" s="1"/>
  <c r="P61" i="18"/>
  <c r="Q61" i="18" s="1"/>
  <c r="BD61" i="18"/>
  <c r="BE61" i="18" s="1"/>
  <c r="AB61" i="18"/>
  <c r="AC61" i="18" s="1"/>
  <c r="AZ61" i="18"/>
  <c r="BA61" i="18" s="1"/>
  <c r="AT61" i="18"/>
  <c r="AU61" i="18" s="1"/>
  <c r="AJ61" i="18"/>
  <c r="AK61" i="18" s="1"/>
  <c r="N61" i="18"/>
  <c r="O61" i="18" s="1"/>
  <c r="AN61" i="18"/>
  <c r="AO61" i="18" s="1"/>
  <c r="AR61" i="18"/>
  <c r="AS61" i="18" s="1"/>
  <c r="BJ61" i="18"/>
  <c r="BK61" i="18" s="1"/>
  <c r="L10" i="30" a="1"/>
  <c r="L10" i="30" s="1"/>
  <c r="Z67" i="18"/>
  <c r="AA67" i="18" s="1"/>
  <c r="M10" i="29" a="1"/>
  <c r="M10" i="29" s="1"/>
  <c r="L10" i="29" a="1"/>
  <c r="L10" i="29" s="1"/>
  <c r="BD60" i="18"/>
  <c r="BE60" i="18" s="1"/>
  <c r="BJ42" i="18"/>
  <c r="BK42" i="18" s="1"/>
  <c r="AZ39" i="18"/>
  <c r="BA39" i="18" s="1"/>
  <c r="V39" i="18"/>
  <c r="W39" i="18" s="1"/>
  <c r="V73" i="18"/>
  <c r="W73" i="18" s="1"/>
  <c r="AJ73" i="18"/>
  <c r="AK73" i="18" s="1"/>
  <c r="P73" i="18"/>
  <c r="Q73" i="18" s="1"/>
  <c r="AZ73" i="18"/>
  <c r="BA73" i="18" s="1"/>
  <c r="AP73" i="18"/>
  <c r="AQ73" i="18" s="1"/>
  <c r="BH73" i="18"/>
  <c r="BI73" i="18" s="1"/>
  <c r="BL73" i="18"/>
  <c r="BM73" i="18" s="1"/>
  <c r="AR39" i="18"/>
  <c r="AS39" i="18" s="1"/>
  <c r="BB39" i="18"/>
  <c r="BC39" i="18" s="1"/>
  <c r="AT39" i="18"/>
  <c r="AU39" i="18" s="1"/>
  <c r="BL39" i="18"/>
  <c r="BM39" i="18" s="1"/>
  <c r="AN39" i="18"/>
  <c r="AO39" i="18" s="1"/>
  <c r="AF39" i="18"/>
  <c r="AG39" i="18" s="1"/>
  <c r="X39" i="18"/>
  <c r="Y39" i="18" s="1"/>
  <c r="T39" i="18"/>
  <c r="U39" i="18" s="1"/>
  <c r="AJ39" i="18"/>
  <c r="AK39" i="18" s="1"/>
  <c r="Z39" i="18"/>
  <c r="AA39" i="18" s="1"/>
  <c r="AB39" i="18"/>
  <c r="AC39" i="18" s="1"/>
  <c r="BD39" i="18"/>
  <c r="BE39" i="18" s="1"/>
  <c r="AP39" i="18"/>
  <c r="AQ39" i="18" s="1"/>
  <c r="AL39" i="18"/>
  <c r="AM39" i="18" s="1"/>
  <c r="P39" i="18"/>
  <c r="Q39" i="18" s="1"/>
  <c r="BN39" i="18"/>
  <c r="BO39" i="18" s="1"/>
  <c r="AV39" i="18"/>
  <c r="AW39" i="18" s="1"/>
  <c r="R39" i="18"/>
  <c r="S39" i="18" s="1"/>
  <c r="BF39" i="18"/>
  <c r="BG39" i="18" s="1"/>
  <c r="N39" i="18"/>
  <c r="O39" i="18" s="1"/>
  <c r="BH39" i="18"/>
  <c r="BI39" i="18" s="1"/>
  <c r="AX39" i="18"/>
  <c r="AY39" i="18" s="1"/>
  <c r="BJ39" i="18"/>
  <c r="BK39" i="18" s="1"/>
  <c r="AH39" i="18"/>
  <c r="AI39" i="18" s="1"/>
  <c r="P63" i="18"/>
  <c r="Q63" i="18" s="1"/>
  <c r="AJ63" i="18"/>
  <c r="AK63" i="18" s="1"/>
  <c r="BN63" i="18"/>
  <c r="BO63" i="18" s="1"/>
  <c r="X63" i="18"/>
  <c r="Y63" i="18" s="1"/>
  <c r="AH63" i="18"/>
  <c r="AI63" i="18" s="1"/>
  <c r="AZ63" i="18"/>
  <c r="BA63" i="18" s="1"/>
  <c r="BF63" i="18"/>
  <c r="BG63" i="18" s="1"/>
  <c r="AN59" i="18"/>
  <c r="AO59" i="18" s="1"/>
  <c r="AR63" i="18"/>
  <c r="AS63" i="18" s="1"/>
  <c r="Z63" i="18"/>
  <c r="AA63" i="18" s="1"/>
  <c r="BD63" i="18"/>
  <c r="BE63" i="18" s="1"/>
  <c r="T63" i="18"/>
  <c r="U63" i="18" s="1"/>
  <c r="AX73" i="18"/>
  <c r="AY73" i="18" s="1"/>
  <c r="BF73" i="18"/>
  <c r="BG73" i="18" s="1"/>
  <c r="R63" i="18"/>
  <c r="S63" i="18" s="1"/>
  <c r="BN73" i="18"/>
  <c r="BO73" i="18" s="1"/>
  <c r="AB73" i="18"/>
  <c r="AC73" i="18" s="1"/>
  <c r="AP63" i="18"/>
  <c r="AQ63" i="18" s="1"/>
  <c r="BL63" i="18"/>
  <c r="BM63" i="18" s="1"/>
  <c r="AL63" i="18"/>
  <c r="AM63" i="18" s="1"/>
  <c r="BD73" i="18"/>
  <c r="BE73" i="18" s="1"/>
  <c r="T73" i="18"/>
  <c r="U73" i="18" s="1"/>
  <c r="BB63" i="18"/>
  <c r="BC63" i="18" s="1"/>
  <c r="AT63" i="18"/>
  <c r="AU63" i="18" s="1"/>
  <c r="N73" i="18"/>
  <c r="O73" i="18" s="1"/>
  <c r="X73" i="18"/>
  <c r="Y73" i="18" s="1"/>
  <c r="BH63" i="18"/>
  <c r="BI63" i="18" s="1"/>
  <c r="AN63" i="18"/>
  <c r="AO63" i="18" s="1"/>
  <c r="AB63" i="18"/>
  <c r="AC63" i="18" s="1"/>
  <c r="AH73" i="18"/>
  <c r="AI73" i="18" s="1"/>
  <c r="Z73" i="18"/>
  <c r="AA73" i="18" s="1"/>
  <c r="Z41" i="18"/>
  <c r="AA41" i="18" s="1"/>
  <c r="BJ63" i="18"/>
  <c r="BK63" i="18" s="1"/>
  <c r="AF63" i="18"/>
  <c r="AG63" i="18" s="1"/>
  <c r="N63" i="18"/>
  <c r="O63" i="18" s="1"/>
  <c r="BJ73" i="18"/>
  <c r="BK73" i="18" s="1"/>
  <c r="AF73" i="18"/>
  <c r="AG73" i="18" s="1"/>
  <c r="AL73" i="18"/>
  <c r="AM73" i="18" s="1"/>
  <c r="AV63" i="18"/>
  <c r="AW63" i="18" s="1"/>
  <c r="AV73" i="18"/>
  <c r="AW73" i="18" s="1"/>
  <c r="AT73" i="18"/>
  <c r="AU73" i="18" s="1"/>
  <c r="AN73" i="18"/>
  <c r="AO73" i="18" s="1"/>
  <c r="AX63" i="18"/>
  <c r="AY63" i="18" s="1"/>
  <c r="V63" i="18"/>
  <c r="W63" i="18" s="1"/>
  <c r="R73" i="18"/>
  <c r="S73" i="18" s="1"/>
  <c r="V41" i="18"/>
  <c r="W41" i="18" s="1"/>
  <c r="BN41" i="18"/>
  <c r="BO41" i="18" s="1"/>
  <c r="AL41" i="18"/>
  <c r="AM41" i="18" s="1"/>
  <c r="BL41" i="18"/>
  <c r="BM41" i="18" s="1"/>
  <c r="AX41" i="18"/>
  <c r="AY41" i="18" s="1"/>
  <c r="BF41" i="18"/>
  <c r="BG41" i="18" s="1"/>
  <c r="T41" i="18"/>
  <c r="U41" i="18" s="1"/>
  <c r="AB41" i="18"/>
  <c r="AC41" i="18" s="1"/>
  <c r="AP41" i="18"/>
  <c r="AQ41" i="18" s="1"/>
  <c r="AT41" i="18"/>
  <c r="AU41" i="18" s="1"/>
  <c r="AV41" i="18"/>
  <c r="AW41" i="18" s="1"/>
  <c r="BD41" i="18"/>
  <c r="BE41" i="18" s="1"/>
  <c r="AJ41" i="18"/>
  <c r="AK41" i="18" s="1"/>
  <c r="N41" i="18"/>
  <c r="O41" i="18" s="1"/>
  <c r="AF41" i="18"/>
  <c r="AG41" i="18" s="1"/>
  <c r="AN41" i="18"/>
  <c r="AO41" i="18" s="1"/>
  <c r="AZ41" i="18"/>
  <c r="BA41" i="18" s="1"/>
  <c r="BJ41" i="18"/>
  <c r="BK41" i="18" s="1"/>
  <c r="R41" i="18"/>
  <c r="S41" i="18" s="1"/>
  <c r="X41" i="18"/>
  <c r="Y41" i="18" s="1"/>
  <c r="P41" i="18"/>
  <c r="Q41" i="18" s="1"/>
  <c r="AR41" i="18"/>
  <c r="AS41" i="18" s="1"/>
  <c r="BB41" i="18"/>
  <c r="BC41" i="18" s="1"/>
  <c r="AD41" i="18"/>
  <c r="AE41" i="18" s="1"/>
  <c r="AH41" i="18"/>
  <c r="AI41" i="18" s="1"/>
  <c r="BD69" i="18"/>
  <c r="BE69" i="18" s="1"/>
  <c r="AX69" i="18"/>
  <c r="AY69" i="18" s="1"/>
  <c r="AP69" i="18"/>
  <c r="AQ69" i="18" s="1"/>
  <c r="AD69" i="18"/>
  <c r="AE69" i="18" s="1"/>
  <c r="BL69" i="18"/>
  <c r="BM69" i="18" s="1"/>
  <c r="P69" i="18"/>
  <c r="Q69" i="18" s="1"/>
  <c r="BH69" i="18"/>
  <c r="BI69" i="18" s="1"/>
  <c r="AT69" i="18"/>
  <c r="AU69" i="18" s="1"/>
  <c r="AL69" i="18"/>
  <c r="AM69" i="18" s="1"/>
  <c r="AB60" i="18"/>
  <c r="AC60" i="18" s="1"/>
  <c r="AJ60" i="18"/>
  <c r="AK60" i="18" s="1"/>
  <c r="AR73" i="18"/>
  <c r="AS73" i="18" s="1"/>
  <c r="AD73" i="18"/>
  <c r="AE73" i="18" s="1"/>
  <c r="BJ74" i="18"/>
  <c r="BK74" i="18" s="1"/>
  <c r="T67" i="18"/>
  <c r="U67" i="18" s="1"/>
  <c r="AB69" i="18"/>
  <c r="AC69" i="18" s="1"/>
  <c r="AJ69" i="18"/>
  <c r="AK69" i="18" s="1"/>
  <c r="BJ67" i="18"/>
  <c r="BK67" i="18" s="1"/>
  <c r="AV67" i="18"/>
  <c r="AW67" i="18" s="1"/>
  <c r="BJ69" i="18"/>
  <c r="BK69" i="18" s="1"/>
  <c r="T69" i="18"/>
  <c r="U69" i="18" s="1"/>
  <c r="V69" i="18"/>
  <c r="W69" i="18" s="1"/>
  <c r="AJ67" i="18"/>
  <c r="AK67" i="18" s="1"/>
  <c r="V67" i="18"/>
  <c r="W67" i="18" s="1"/>
  <c r="AF67" i="18"/>
  <c r="AG67" i="18" s="1"/>
  <c r="BB69" i="18"/>
  <c r="BC69" i="18" s="1"/>
  <c r="N69" i="18"/>
  <c r="O69" i="18" s="1"/>
  <c r="BD67" i="18"/>
  <c r="BE67" i="18" s="1"/>
  <c r="AF69" i="18"/>
  <c r="AG69" i="18" s="1"/>
  <c r="BL67" i="18"/>
  <c r="BM67" i="18" s="1"/>
  <c r="BN67" i="18"/>
  <c r="BO67" i="18" s="1"/>
  <c r="BH67" i="18"/>
  <c r="BI67" i="18" s="1"/>
  <c r="R69" i="18"/>
  <c r="S69" i="18" s="1"/>
  <c r="X69" i="18"/>
  <c r="Y69" i="18" s="1"/>
  <c r="AR67" i="18"/>
  <c r="AS67" i="18" s="1"/>
  <c r="BF67" i="18"/>
  <c r="BG67" i="18" s="1"/>
  <c r="AX67" i="18"/>
  <c r="AY67" i="18" s="1"/>
  <c r="R67" i="18"/>
  <c r="S67" i="18" s="1"/>
  <c r="AB67" i="18"/>
  <c r="AC67" i="18" s="1"/>
  <c r="N67" i="18"/>
  <c r="O67" i="18" s="1"/>
  <c r="AV69" i="18"/>
  <c r="AW69" i="18" s="1"/>
  <c r="AN69" i="18"/>
  <c r="AO69" i="18" s="1"/>
  <c r="BN69" i="18"/>
  <c r="BO69" i="18" s="1"/>
  <c r="Z69" i="18"/>
  <c r="AA69" i="18" s="1"/>
  <c r="AZ69" i="18"/>
  <c r="BA69" i="18" s="1"/>
  <c r="AZ67" i="18"/>
  <c r="BA67" i="18" s="1"/>
  <c r="AL67" i="18"/>
  <c r="AM67" i="18" s="1"/>
  <c r="AH67" i="18"/>
  <c r="AI67" i="18" s="1"/>
  <c r="AP67" i="18"/>
  <c r="AQ67" i="18" s="1"/>
  <c r="AH69" i="18"/>
  <c r="AI69" i="18" s="1"/>
  <c r="AR69" i="18"/>
  <c r="AS69" i="18" s="1"/>
  <c r="BL60" i="18"/>
  <c r="BM60" i="18" s="1"/>
  <c r="AN67" i="18"/>
  <c r="AO67" i="18" s="1"/>
  <c r="BN43" i="18"/>
  <c r="BO43" i="18" s="1"/>
  <c r="AV43" i="18"/>
  <c r="AW43" i="18" s="1"/>
  <c r="AT67" i="18"/>
  <c r="AU67" i="18" s="1"/>
  <c r="AD67" i="18"/>
  <c r="AE67" i="18" s="1"/>
  <c r="X43" i="18"/>
  <c r="Y43" i="18" s="1"/>
  <c r="X62" i="18"/>
  <c r="Y62" i="18" s="1"/>
  <c r="BH43" i="18"/>
  <c r="BI43" i="18" s="1"/>
  <c r="BB67" i="18"/>
  <c r="BC67" i="18" s="1"/>
  <c r="AJ62" i="18"/>
  <c r="AK62" i="18" s="1"/>
  <c r="X67" i="18"/>
  <c r="Y67" i="18" s="1"/>
  <c r="BB62" i="18"/>
  <c r="BC62" i="18" s="1"/>
  <c r="AH62" i="18"/>
  <c r="AI62" i="18" s="1"/>
  <c r="AH59" i="18"/>
  <c r="AI59" i="18" s="1"/>
  <c r="BH62" i="18"/>
  <c r="BI62" i="18" s="1"/>
  <c r="BF43" i="18"/>
  <c r="BG43" i="18" s="1"/>
  <c r="AN43" i="18"/>
  <c r="AO43" i="18" s="1"/>
  <c r="AJ43" i="18"/>
  <c r="AK43" i="18" s="1"/>
  <c r="AX59" i="18"/>
  <c r="AY59" i="18" s="1"/>
  <c r="AZ43" i="18"/>
  <c r="BA43" i="18" s="1"/>
  <c r="BF62" i="18"/>
  <c r="BG62" i="18" s="1"/>
  <c r="N62" i="18"/>
  <c r="O62" i="18" s="1"/>
  <c r="BD59" i="18"/>
  <c r="BE59" i="18" s="1"/>
  <c r="Z74" i="18"/>
  <c r="AA74" i="18" s="1"/>
  <c r="AR43" i="18"/>
  <c r="AS43" i="18" s="1"/>
  <c r="AZ62" i="18"/>
  <c r="BA62" i="18" s="1"/>
  <c r="V43" i="18"/>
  <c r="W43" i="18" s="1"/>
  <c r="AP74" i="18"/>
  <c r="AQ74" i="18" s="1"/>
  <c r="AP59" i="18"/>
  <c r="AQ59" i="18" s="1"/>
  <c r="T59" i="18"/>
  <c r="U59" i="18" s="1"/>
  <c r="P62" i="18"/>
  <c r="Q62" i="18" s="1"/>
  <c r="AV59" i="18"/>
  <c r="AW59" i="18" s="1"/>
  <c r="P43" i="18"/>
  <c r="Q43" i="18" s="1"/>
  <c r="AZ70" i="18"/>
  <c r="BA70" i="18" s="1"/>
  <c r="AN62" i="18"/>
  <c r="AO62" i="18" s="1"/>
  <c r="T62" i="18"/>
  <c r="U62" i="18" s="1"/>
  <c r="AX65" i="18"/>
  <c r="AY65" i="18" s="1"/>
  <c r="AR62" i="18"/>
  <c r="AS62" i="18" s="1"/>
  <c r="AD43" i="18"/>
  <c r="AE43" i="18" s="1"/>
  <c r="BL62" i="18"/>
  <c r="BM62" i="18" s="1"/>
  <c r="BB34" i="18"/>
  <c r="BC34" i="18" s="1"/>
  <c r="AT43" i="18"/>
  <c r="AU43" i="18" s="1"/>
  <c r="BJ59" i="18"/>
  <c r="BK59" i="18" s="1"/>
  <c r="V59" i="18"/>
  <c r="W59" i="18" s="1"/>
  <c r="BF59" i="18"/>
  <c r="BG59" i="18" s="1"/>
  <c r="P59" i="18"/>
  <c r="Q59" i="18" s="1"/>
  <c r="AB43" i="18"/>
  <c r="AC43" i="18" s="1"/>
  <c r="R62" i="18"/>
  <c r="S62" i="18" s="1"/>
  <c r="BL43" i="18"/>
  <c r="BM43" i="18" s="1"/>
  <c r="Z59" i="18"/>
  <c r="AA59" i="18" s="1"/>
  <c r="AB62" i="18"/>
  <c r="AC62" i="18" s="1"/>
  <c r="AD62" i="18"/>
  <c r="AE62" i="18" s="1"/>
  <c r="BD62" i="18"/>
  <c r="BE62" i="18" s="1"/>
  <c r="AD65" i="18"/>
  <c r="AE65" i="18" s="1"/>
  <c r="T43" i="18"/>
  <c r="U43" i="18" s="1"/>
  <c r="AB59" i="18"/>
  <c r="AC59" i="18" s="1"/>
  <c r="AL59" i="18"/>
  <c r="AM59" i="18" s="1"/>
  <c r="BN59" i="18"/>
  <c r="BO59" i="18" s="1"/>
  <c r="Z43" i="18"/>
  <c r="AA43" i="18" s="1"/>
  <c r="BN62" i="18"/>
  <c r="BO62" i="18" s="1"/>
  <c r="AX43" i="18"/>
  <c r="AY43" i="18" s="1"/>
  <c r="BF34" i="18"/>
  <c r="BG34" i="18" s="1"/>
  <c r="AD59" i="18"/>
  <c r="AE59" i="18" s="1"/>
  <c r="AP43" i="18"/>
  <c r="AQ43" i="18" s="1"/>
  <c r="R43" i="18"/>
  <c r="S43" i="18" s="1"/>
  <c r="AF43" i="18"/>
  <c r="AG43" i="18" s="1"/>
  <c r="AT59" i="18"/>
  <c r="AU59" i="18" s="1"/>
  <c r="AV62" i="18"/>
  <c r="AW62" i="18" s="1"/>
  <c r="AX62" i="18"/>
  <c r="AY62" i="18" s="1"/>
  <c r="BJ62" i="18"/>
  <c r="BK62" i="18" s="1"/>
  <c r="AF59" i="18"/>
  <c r="AG59" i="18" s="1"/>
  <c r="BN34" i="18"/>
  <c r="BO34" i="18" s="1"/>
  <c r="AR59" i="18"/>
  <c r="AS59" i="18" s="1"/>
  <c r="N59" i="18"/>
  <c r="O59" i="18" s="1"/>
  <c r="BD43" i="18"/>
  <c r="BE43" i="18" s="1"/>
  <c r="BB43" i="18"/>
  <c r="BC43" i="18" s="1"/>
  <c r="AT62" i="18"/>
  <c r="AU62" i="18" s="1"/>
  <c r="AZ59" i="18"/>
  <c r="BA59" i="18" s="1"/>
  <c r="AL62" i="18"/>
  <c r="AM62" i="18" s="1"/>
  <c r="BJ34" i="18"/>
  <c r="BK34" i="18" s="1"/>
  <c r="R59" i="18"/>
  <c r="S59" i="18" s="1"/>
  <c r="BH59" i="18"/>
  <c r="BI59" i="18" s="1"/>
  <c r="V62" i="18"/>
  <c r="W62" i="18" s="1"/>
  <c r="AL43" i="18"/>
  <c r="AM43" i="18" s="1"/>
  <c r="AH43" i="18"/>
  <c r="AI43" i="18" s="1"/>
  <c r="AJ59" i="18"/>
  <c r="AK59" i="18" s="1"/>
  <c r="N43" i="18"/>
  <c r="O43" i="18" s="1"/>
  <c r="Z62" i="18"/>
  <c r="AA62" i="18" s="1"/>
  <c r="AF62" i="18"/>
  <c r="AG62" i="18" s="1"/>
  <c r="AH34" i="18"/>
  <c r="AI34" i="18" s="1"/>
  <c r="X59" i="18"/>
  <c r="Y59" i="18" s="1"/>
  <c r="BB59" i="18"/>
  <c r="BC59" i="18" s="1"/>
  <c r="BF70" i="18"/>
  <c r="BG70" i="18" s="1"/>
  <c r="P74" i="18"/>
  <c r="Q74" i="18" s="1"/>
  <c r="BL65" i="18"/>
  <c r="BM65" i="18" s="1"/>
  <c r="Z70" i="18"/>
  <c r="AA70" i="18" s="1"/>
  <c r="Z68" i="18"/>
  <c r="AA68" i="18" s="1"/>
  <c r="AV70" i="18"/>
  <c r="AW70" i="18" s="1"/>
  <c r="AP65" i="18"/>
  <c r="AQ65" i="18" s="1"/>
  <c r="N64" i="18"/>
  <c r="O64" i="18" s="1"/>
  <c r="BB68" i="18"/>
  <c r="BC68" i="18" s="1"/>
  <c r="AH68" i="18"/>
  <c r="AI68" i="18" s="1"/>
  <c r="AL70" i="18"/>
  <c r="AM70" i="18" s="1"/>
  <c r="AL74" i="18"/>
  <c r="AM74" i="18" s="1"/>
  <c r="AD70" i="18"/>
  <c r="AE70" i="18" s="1"/>
  <c r="BL68" i="18"/>
  <c r="BM68" i="18" s="1"/>
  <c r="BH70" i="18"/>
  <c r="BI70" i="18" s="1"/>
  <c r="AV74" i="18"/>
  <c r="AW74" i="18" s="1"/>
  <c r="V70" i="18"/>
  <c r="W70" i="18" s="1"/>
  <c r="AP64" i="18"/>
  <c r="AQ64" i="18" s="1"/>
  <c r="T70" i="18"/>
  <c r="U70" i="18" s="1"/>
  <c r="P70" i="18"/>
  <c r="Q70" i="18" s="1"/>
  <c r="N74" i="18"/>
  <c r="O74" i="18" s="1"/>
  <c r="AR68" i="18"/>
  <c r="AS68" i="18" s="1"/>
  <c r="AJ68" i="18"/>
  <c r="AK68" i="18" s="1"/>
  <c r="R70" i="18"/>
  <c r="S70" i="18" s="1"/>
  <c r="N70" i="18"/>
  <c r="O70" i="18" s="1"/>
  <c r="AN74" i="18"/>
  <c r="AO74" i="18" s="1"/>
  <c r="BB74" i="18"/>
  <c r="BC74" i="18" s="1"/>
  <c r="BF68" i="18"/>
  <c r="BG68" i="18" s="1"/>
  <c r="AP68" i="18"/>
  <c r="AQ68" i="18" s="1"/>
  <c r="BN68" i="18"/>
  <c r="BO68" i="18" s="1"/>
  <c r="AT68" i="18"/>
  <c r="AU68" i="18" s="1"/>
  <c r="AD68" i="18"/>
  <c r="AE68" i="18" s="1"/>
  <c r="AR70" i="18"/>
  <c r="AS70" i="18" s="1"/>
  <c r="AT70" i="18"/>
  <c r="AU70" i="18" s="1"/>
  <c r="R74" i="18"/>
  <c r="S74" i="18" s="1"/>
  <c r="X70" i="18"/>
  <c r="Y70" i="18" s="1"/>
  <c r="AJ74" i="18"/>
  <c r="AK74" i="18" s="1"/>
  <c r="AN68" i="18"/>
  <c r="AO68" i="18" s="1"/>
  <c r="N68" i="18"/>
  <c r="O68" i="18" s="1"/>
  <c r="AX68" i="18"/>
  <c r="AY68" i="18" s="1"/>
  <c r="BB70" i="18"/>
  <c r="BC70" i="18" s="1"/>
  <c r="AH70" i="18"/>
  <c r="AI70" i="18" s="1"/>
  <c r="BH68" i="18"/>
  <c r="BI68" i="18" s="1"/>
  <c r="T74" i="18"/>
  <c r="U74" i="18" s="1"/>
  <c r="AF74" i="18"/>
  <c r="AG74" i="18" s="1"/>
  <c r="BF74" i="18"/>
  <c r="BG74" i="18" s="1"/>
  <c r="AX74" i="18"/>
  <c r="AY74" i="18" s="1"/>
  <c r="AX36" i="18"/>
  <c r="AY36" i="18" s="1"/>
  <c r="BL70" i="18"/>
  <c r="BM70" i="18" s="1"/>
  <c r="X68" i="18"/>
  <c r="Y68" i="18" s="1"/>
  <c r="BD68" i="18"/>
  <c r="BE68" i="18" s="1"/>
  <c r="BH64" i="18"/>
  <c r="BI64" i="18" s="1"/>
  <c r="AF70" i="18"/>
  <c r="AG70" i="18" s="1"/>
  <c r="BJ70" i="18"/>
  <c r="BK70" i="18" s="1"/>
  <c r="BH74" i="18"/>
  <c r="BI74" i="18" s="1"/>
  <c r="AB68" i="18"/>
  <c r="AC68" i="18" s="1"/>
  <c r="AV68" i="18"/>
  <c r="AW68" i="18" s="1"/>
  <c r="BN74" i="18"/>
  <c r="BO74" i="18" s="1"/>
  <c r="AD74" i="18"/>
  <c r="AE74" i="18" s="1"/>
  <c r="BL74" i="18"/>
  <c r="BM74" i="18" s="1"/>
  <c r="P68" i="18"/>
  <c r="Q68" i="18" s="1"/>
  <c r="BD74" i="18"/>
  <c r="BE74" i="18" s="1"/>
  <c r="R68" i="18"/>
  <c r="S68" i="18" s="1"/>
  <c r="AB74" i="18"/>
  <c r="AC74" i="18" s="1"/>
  <c r="AN70" i="18"/>
  <c r="AO70" i="18" s="1"/>
  <c r="AZ68" i="18"/>
  <c r="BA68" i="18" s="1"/>
  <c r="AF68" i="18"/>
  <c r="AG68" i="18" s="1"/>
  <c r="T64" i="18"/>
  <c r="U64" i="18" s="1"/>
  <c r="AP70" i="18"/>
  <c r="AQ70" i="18" s="1"/>
  <c r="AB70" i="18"/>
  <c r="AC70" i="18" s="1"/>
  <c r="AT74" i="18"/>
  <c r="AU74" i="18" s="1"/>
  <c r="V74" i="18"/>
  <c r="W74" i="18" s="1"/>
  <c r="T68" i="18"/>
  <c r="U68" i="18" s="1"/>
  <c r="AR74" i="18"/>
  <c r="AS74" i="18" s="1"/>
  <c r="BJ68" i="18"/>
  <c r="BK68" i="18" s="1"/>
  <c r="X74" i="18"/>
  <c r="Y74" i="18" s="1"/>
  <c r="R36" i="18"/>
  <c r="S36" i="18" s="1"/>
  <c r="V68" i="18"/>
  <c r="W68" i="18" s="1"/>
  <c r="AF64" i="18"/>
  <c r="AG64" i="18" s="1"/>
  <c r="AX70" i="18"/>
  <c r="AY70" i="18" s="1"/>
  <c r="AJ70" i="18"/>
  <c r="AK70" i="18" s="1"/>
  <c r="AZ74" i="18"/>
  <c r="BA74" i="18" s="1"/>
  <c r="BN70" i="18"/>
  <c r="BO70" i="18" s="1"/>
  <c r="BF72" i="18"/>
  <c r="BG72" i="18" s="1"/>
  <c r="BL36" i="18"/>
  <c r="BM36" i="18" s="1"/>
  <c r="AZ64" i="18"/>
  <c r="BA64" i="18" s="1"/>
  <c r="AH36" i="18"/>
  <c r="AI36" i="18" s="1"/>
  <c r="K51" i="17"/>
  <c r="AX60" i="18"/>
  <c r="AY60" i="18" s="1"/>
  <c r="AD60" i="18"/>
  <c r="AE60" i="18" s="1"/>
  <c r="BH60" i="18"/>
  <c r="BI60" i="18" s="1"/>
  <c r="BN60" i="18"/>
  <c r="BO60" i="18" s="1"/>
  <c r="P60" i="18"/>
  <c r="Q60" i="18" s="1"/>
  <c r="Z60" i="18"/>
  <c r="AA60" i="18" s="1"/>
  <c r="AL60" i="18"/>
  <c r="AM60" i="18" s="1"/>
  <c r="AR60" i="18"/>
  <c r="AS60" i="18" s="1"/>
  <c r="AP60" i="18"/>
  <c r="AQ60" i="18" s="1"/>
  <c r="AZ60" i="18"/>
  <c r="BA60" i="18" s="1"/>
  <c r="AN60" i="18"/>
  <c r="AO60" i="18" s="1"/>
  <c r="AF60" i="18"/>
  <c r="AG60" i="18" s="1"/>
  <c r="BB60" i="18"/>
  <c r="BC60" i="18" s="1"/>
  <c r="BF60" i="18"/>
  <c r="BG60" i="18" s="1"/>
  <c r="T60" i="18"/>
  <c r="U60" i="18" s="1"/>
  <c r="AV60" i="18"/>
  <c r="AW60" i="18" s="1"/>
  <c r="V60" i="18"/>
  <c r="W60" i="18" s="1"/>
  <c r="R60" i="18"/>
  <c r="S60" i="18" s="1"/>
  <c r="BJ60" i="18"/>
  <c r="BK60" i="18" s="1"/>
  <c r="AH60" i="18"/>
  <c r="AI60" i="18" s="1"/>
  <c r="AT60" i="18"/>
  <c r="AU60" i="18" s="1"/>
  <c r="N60" i="18"/>
  <c r="O60" i="18" s="1"/>
  <c r="K38" i="17"/>
  <c r="J38" i="17"/>
  <c r="AD66" i="18"/>
  <c r="AE66" i="18" s="1"/>
  <c r="BD66" i="18"/>
  <c r="BE66" i="18" s="1"/>
  <c r="AN66" i="18"/>
  <c r="AO66" i="18" s="1"/>
  <c r="X66" i="18"/>
  <c r="Y66" i="18" s="1"/>
  <c r="AJ66" i="18"/>
  <c r="AK66" i="18" s="1"/>
  <c r="BJ65" i="18"/>
  <c r="BK65" i="18" s="1"/>
  <c r="AV65" i="18"/>
  <c r="AW65" i="18" s="1"/>
  <c r="AL65" i="18"/>
  <c r="AM65" i="18" s="1"/>
  <c r="AJ65" i="18"/>
  <c r="AK65" i="18" s="1"/>
  <c r="AD71" i="18"/>
  <c r="AE71" i="18" s="1"/>
  <c r="AR65" i="18"/>
  <c r="AS65" i="18" s="1"/>
  <c r="BN65" i="18"/>
  <c r="BO65" i="18" s="1"/>
  <c r="X65" i="18"/>
  <c r="Y65" i="18" s="1"/>
  <c r="BJ71" i="18"/>
  <c r="BK71" i="18" s="1"/>
  <c r="Z65" i="18"/>
  <c r="AA65" i="18" s="1"/>
  <c r="V65" i="18"/>
  <c r="W65" i="18" s="1"/>
  <c r="AB65" i="18"/>
  <c r="AC65" i="18" s="1"/>
  <c r="P65" i="18"/>
  <c r="Q65" i="18" s="1"/>
  <c r="N65" i="18"/>
  <c r="O65" i="18" s="1"/>
  <c r="AX71" i="18"/>
  <c r="AY71" i="18" s="1"/>
  <c r="T65" i="18"/>
  <c r="U65" i="18" s="1"/>
  <c r="R65" i="18"/>
  <c r="S65" i="18" s="1"/>
  <c r="BL71" i="18"/>
  <c r="BM71" i="18" s="1"/>
  <c r="AT71" i="18"/>
  <c r="AU71" i="18" s="1"/>
  <c r="BH65" i="18"/>
  <c r="BI65" i="18" s="1"/>
  <c r="N71" i="18"/>
  <c r="O71" i="18" s="1"/>
  <c r="AF65" i="18"/>
  <c r="AG65" i="18" s="1"/>
  <c r="BB65" i="18"/>
  <c r="BC65" i="18" s="1"/>
  <c r="R71" i="18"/>
  <c r="S71" i="18" s="1"/>
  <c r="AT65" i="18"/>
  <c r="AU65" i="18" s="1"/>
  <c r="AN65" i="18"/>
  <c r="AO65" i="18" s="1"/>
  <c r="BD65" i="18"/>
  <c r="BE65" i="18" s="1"/>
  <c r="BF65" i="18"/>
  <c r="BG65" i="18" s="1"/>
  <c r="AN71" i="18"/>
  <c r="AO71" i="18" s="1"/>
  <c r="AZ65" i="18"/>
  <c r="BA65" i="18" s="1"/>
  <c r="J42" i="17"/>
  <c r="J30" i="17"/>
  <c r="J47" i="17"/>
  <c r="K47" i="17"/>
  <c r="R72" i="18"/>
  <c r="S72" i="18" s="1"/>
  <c r="K32" i="17"/>
  <c r="K42" i="17"/>
  <c r="AZ72" i="18"/>
  <c r="BA72" i="18" s="1"/>
  <c r="Z72" i="18"/>
  <c r="AA72" i="18" s="1"/>
  <c r="P72" i="18"/>
  <c r="Q72" i="18" s="1"/>
  <c r="BN72" i="18"/>
  <c r="BO72" i="18" s="1"/>
  <c r="AV72" i="18"/>
  <c r="AW72" i="18" s="1"/>
  <c r="AL72" i="18"/>
  <c r="AM72" i="18" s="1"/>
  <c r="V72" i="18"/>
  <c r="W72" i="18" s="1"/>
  <c r="AB72" i="18"/>
  <c r="AC72" i="18" s="1"/>
  <c r="AD72" i="18"/>
  <c r="AE72" i="18" s="1"/>
  <c r="AX72" i="18"/>
  <c r="AY72" i="18" s="1"/>
  <c r="AN72" i="18"/>
  <c r="AO72" i="18" s="1"/>
  <c r="T72" i="18"/>
  <c r="U72" i="18" s="1"/>
  <c r="AJ72" i="18"/>
  <c r="AK72" i="18" s="1"/>
  <c r="X72" i="18"/>
  <c r="Y72" i="18" s="1"/>
  <c r="AF72" i="18"/>
  <c r="AG72" i="18" s="1"/>
  <c r="BD72" i="18"/>
  <c r="BE72" i="18" s="1"/>
  <c r="BB36" i="18"/>
  <c r="BC36" i="18" s="1"/>
  <c r="AP72" i="18"/>
  <c r="AQ72" i="18" s="1"/>
  <c r="N72" i="18"/>
  <c r="O72" i="18" s="1"/>
  <c r="BH72" i="18"/>
  <c r="BI72" i="18" s="1"/>
  <c r="BB72" i="18"/>
  <c r="BC72" i="18" s="1"/>
  <c r="AT72" i="18"/>
  <c r="AU72" i="18" s="1"/>
  <c r="BJ72" i="18"/>
  <c r="BK72" i="18" s="1"/>
  <c r="AR72" i="18"/>
  <c r="AS72" i="18" s="1"/>
  <c r="BL72" i="18"/>
  <c r="BM72" i="18" s="1"/>
  <c r="K30" i="17"/>
  <c r="J51" i="17"/>
  <c r="K44" i="17"/>
  <c r="J32" i="17"/>
  <c r="J44" i="17"/>
  <c r="AP42" i="18"/>
  <c r="AQ42" i="18" s="1"/>
  <c r="BB40" i="18"/>
  <c r="BC40" i="18" s="1"/>
  <c r="R42" i="18"/>
  <c r="S42" i="18" s="1"/>
  <c r="AR40" i="18"/>
  <c r="AS40" i="18" s="1"/>
  <c r="X42" i="18"/>
  <c r="Y42" i="18" s="1"/>
  <c r="AH42" i="18"/>
  <c r="AI42" i="18" s="1"/>
  <c r="AB40" i="18"/>
  <c r="AC40" i="18" s="1"/>
  <c r="N40" i="18"/>
  <c r="O40" i="18" s="1"/>
  <c r="AZ42" i="18"/>
  <c r="BA42" i="18" s="1"/>
  <c r="AJ42" i="18"/>
  <c r="AK42" i="18" s="1"/>
  <c r="Z40" i="18"/>
  <c r="AA40" i="18" s="1"/>
  <c r="AV36" i="18"/>
  <c r="AW36" i="18" s="1"/>
  <c r="AX66" i="18"/>
  <c r="AY66" i="18" s="1"/>
  <c r="K35" i="17"/>
  <c r="AD36" i="18"/>
  <c r="AE36" i="18" s="1"/>
  <c r="AF36" i="18"/>
  <c r="AG36" i="18" s="1"/>
  <c r="AL36" i="18"/>
  <c r="AM36" i="18" s="1"/>
  <c r="K33" i="17"/>
  <c r="BJ36" i="18"/>
  <c r="BK36" i="18" s="1"/>
  <c r="AD40" i="18"/>
  <c r="AE40" i="18" s="1"/>
  <c r="N42" i="18"/>
  <c r="O42" i="18" s="1"/>
  <c r="AJ40" i="18"/>
  <c r="AK40" i="18" s="1"/>
  <c r="AH40" i="18"/>
  <c r="AI40" i="18" s="1"/>
  <c r="P40" i="18"/>
  <c r="Q40" i="18" s="1"/>
  <c r="AV42" i="18"/>
  <c r="AW42" i="18" s="1"/>
  <c r="AN40" i="18"/>
  <c r="AO40" i="18" s="1"/>
  <c r="P42" i="18"/>
  <c r="Q42" i="18" s="1"/>
  <c r="AF42" i="18"/>
  <c r="AG42" i="18" s="1"/>
  <c r="R40" i="18"/>
  <c r="S40" i="18" s="1"/>
  <c r="AR42" i="18"/>
  <c r="AS42" i="18" s="1"/>
  <c r="AP40" i="18"/>
  <c r="AQ40" i="18" s="1"/>
  <c r="AL42" i="18"/>
  <c r="AM42" i="18" s="1"/>
  <c r="AL40" i="18"/>
  <c r="AM40" i="18" s="1"/>
  <c r="AT40" i="18"/>
  <c r="AU40" i="18" s="1"/>
  <c r="BH42" i="18"/>
  <c r="BI42" i="18" s="1"/>
  <c r="AD42" i="18"/>
  <c r="AE42" i="18" s="1"/>
  <c r="T40" i="18"/>
  <c r="U40" i="18" s="1"/>
  <c r="V42" i="18"/>
  <c r="W42" i="18" s="1"/>
  <c r="J35" i="17"/>
  <c r="T42" i="18"/>
  <c r="U42" i="18" s="1"/>
  <c r="BL40" i="18"/>
  <c r="BM40" i="18" s="1"/>
  <c r="BD40" i="18"/>
  <c r="BE40" i="18" s="1"/>
  <c r="BH40" i="18"/>
  <c r="BI40" i="18" s="1"/>
  <c r="BL42" i="18"/>
  <c r="BM42" i="18" s="1"/>
  <c r="BN42" i="18"/>
  <c r="BO42" i="18" s="1"/>
  <c r="BD42" i="18"/>
  <c r="BE42" i="18" s="1"/>
  <c r="AV40" i="18"/>
  <c r="AW40" i="18" s="1"/>
  <c r="BF40" i="18"/>
  <c r="BG40" i="18" s="1"/>
  <c r="BB42" i="18"/>
  <c r="BC42" i="18" s="1"/>
  <c r="BF42" i="18"/>
  <c r="BG42" i="18" s="1"/>
  <c r="X40" i="18"/>
  <c r="Y40" i="18" s="1"/>
  <c r="Z42" i="18"/>
  <c r="AA42" i="18" s="1"/>
  <c r="BN40" i="18"/>
  <c r="BO40" i="18" s="1"/>
  <c r="AX38" i="18"/>
  <c r="AY38" i="18" s="1"/>
  <c r="AB42" i="18"/>
  <c r="AC42" i="18" s="1"/>
  <c r="AT42" i="18"/>
  <c r="AU42" i="18" s="1"/>
  <c r="AN42" i="18"/>
  <c r="AO42" i="18" s="1"/>
  <c r="BJ40" i="18"/>
  <c r="BK40" i="18" s="1"/>
  <c r="AF40" i="18"/>
  <c r="AG40" i="18" s="1"/>
  <c r="AX40" i="18"/>
  <c r="AY40" i="18" s="1"/>
  <c r="AZ40" i="18"/>
  <c r="BA40" i="18" s="1"/>
  <c r="J33" i="17"/>
  <c r="BD71" i="18"/>
  <c r="BE71" i="18" s="1"/>
  <c r="BB71" i="18"/>
  <c r="BC71" i="18" s="1"/>
  <c r="X71" i="18"/>
  <c r="Y71" i="18" s="1"/>
  <c r="AF71" i="18"/>
  <c r="AG71" i="18" s="1"/>
  <c r="AV71" i="18"/>
  <c r="AW71" i="18" s="1"/>
  <c r="AR71" i="18"/>
  <c r="AS71" i="18" s="1"/>
  <c r="T71" i="18"/>
  <c r="U71" i="18" s="1"/>
  <c r="Z71" i="18"/>
  <c r="AA71" i="18" s="1"/>
  <c r="AH71" i="18"/>
  <c r="AI71" i="18" s="1"/>
  <c r="P71" i="18"/>
  <c r="Q71" i="18" s="1"/>
  <c r="BF71" i="18"/>
  <c r="BG71" i="18" s="1"/>
  <c r="BH71" i="18"/>
  <c r="BI71" i="18" s="1"/>
  <c r="BN71" i="18"/>
  <c r="BO71" i="18" s="1"/>
  <c r="AJ71" i="18"/>
  <c r="AK71" i="18" s="1"/>
  <c r="V71" i="18"/>
  <c r="W71" i="18" s="1"/>
  <c r="AB71" i="18"/>
  <c r="AC71" i="18" s="1"/>
  <c r="AZ71" i="18"/>
  <c r="BA71" i="18" s="1"/>
  <c r="AL71" i="18"/>
  <c r="AM71" i="18" s="1"/>
  <c r="J43" i="17"/>
  <c r="K43" i="17"/>
  <c r="K31" i="17"/>
  <c r="J31" i="17"/>
  <c r="BF64" i="18"/>
  <c r="BG64" i="18" s="1"/>
  <c r="BF36" i="18"/>
  <c r="BG36" i="18" s="1"/>
  <c r="AV64" i="18"/>
  <c r="AW64" i="18" s="1"/>
  <c r="AL64" i="18"/>
  <c r="AM64" i="18" s="1"/>
  <c r="BN64" i="18"/>
  <c r="BO64" i="18" s="1"/>
  <c r="AB64" i="18"/>
  <c r="AC64" i="18" s="1"/>
  <c r="AD64" i="18"/>
  <c r="AE64" i="18" s="1"/>
  <c r="BL64" i="18"/>
  <c r="BM64" i="18" s="1"/>
  <c r="BD64" i="18"/>
  <c r="BE64" i="18" s="1"/>
  <c r="V66" i="18"/>
  <c r="W66" i="18" s="1"/>
  <c r="AV66" i="18"/>
  <c r="AW66" i="18" s="1"/>
  <c r="P66" i="18"/>
  <c r="Q66" i="18" s="1"/>
  <c r="AR66" i="18"/>
  <c r="AS66" i="18" s="1"/>
  <c r="BH66" i="18"/>
  <c r="BI66" i="18" s="1"/>
  <c r="AZ36" i="18"/>
  <c r="BA36" i="18" s="1"/>
  <c r="T36" i="18"/>
  <c r="U36" i="18" s="1"/>
  <c r="V36" i="18"/>
  <c r="W36" i="18" s="1"/>
  <c r="AT36" i="18"/>
  <c r="AU36" i="18" s="1"/>
  <c r="P64" i="18"/>
  <c r="Q64" i="18" s="1"/>
  <c r="Z64" i="18"/>
  <c r="AA64" i="18" s="1"/>
  <c r="V64" i="18"/>
  <c r="W64" i="18" s="1"/>
  <c r="AN64" i="18"/>
  <c r="AO64" i="18" s="1"/>
  <c r="BJ64" i="18"/>
  <c r="BK64" i="18" s="1"/>
  <c r="Z66" i="18"/>
  <c r="AA66" i="18" s="1"/>
  <c r="AB66" i="18"/>
  <c r="AC66" i="18" s="1"/>
  <c r="AF66" i="18"/>
  <c r="AG66" i="18" s="1"/>
  <c r="R66" i="18"/>
  <c r="S66" i="18" s="1"/>
  <c r="BF66" i="18"/>
  <c r="BG66" i="18" s="1"/>
  <c r="BN66" i="18"/>
  <c r="BO66" i="18" s="1"/>
  <c r="BH36" i="18"/>
  <c r="BI36" i="18" s="1"/>
  <c r="Z36" i="18"/>
  <c r="AA36" i="18" s="1"/>
  <c r="T66" i="18"/>
  <c r="U66" i="18" s="1"/>
  <c r="X36" i="18"/>
  <c r="Y36" i="18" s="1"/>
  <c r="X64" i="18"/>
  <c r="Y64" i="18" s="1"/>
  <c r="AJ36" i="18"/>
  <c r="AK36" i="18" s="1"/>
  <c r="BD36" i="18"/>
  <c r="BE36" i="18" s="1"/>
  <c r="N36" i="18"/>
  <c r="O36" i="18" s="1"/>
  <c r="AP66" i="18"/>
  <c r="AQ66" i="18" s="1"/>
  <c r="AR64" i="18"/>
  <c r="AS64" i="18" s="1"/>
  <c r="AP36" i="18"/>
  <c r="AQ36" i="18" s="1"/>
  <c r="R64" i="18"/>
  <c r="S64" i="18" s="1"/>
  <c r="AB36" i="18"/>
  <c r="AC36" i="18" s="1"/>
  <c r="BB64" i="18"/>
  <c r="BC64" i="18" s="1"/>
  <c r="AL66" i="18"/>
  <c r="AM66" i="18" s="1"/>
  <c r="AH64" i="18"/>
  <c r="AI64" i="18" s="1"/>
  <c r="AJ64" i="18"/>
  <c r="AK64" i="18" s="1"/>
  <c r="AX64" i="18"/>
  <c r="AY64" i="18" s="1"/>
  <c r="AT66" i="18"/>
  <c r="AU66" i="18" s="1"/>
  <c r="BL66" i="18"/>
  <c r="BM66" i="18" s="1"/>
  <c r="BJ66" i="18"/>
  <c r="BK66" i="18" s="1"/>
  <c r="AZ66" i="18"/>
  <c r="BA66" i="18" s="1"/>
  <c r="N66" i="18"/>
  <c r="O66" i="18" s="1"/>
  <c r="P36" i="18"/>
  <c r="Q36" i="18" s="1"/>
  <c r="AR36" i="18"/>
  <c r="AS36" i="18" s="1"/>
  <c r="AH66" i="18"/>
  <c r="AI66" i="18" s="1"/>
  <c r="AN36" i="18"/>
  <c r="AO36" i="18" s="1"/>
  <c r="AJ32" i="18"/>
  <c r="AK32" i="18" s="1"/>
  <c r="AN38" i="18"/>
  <c r="AO38" i="18" s="1"/>
  <c r="AR34" i="18"/>
  <c r="AS34" i="18" s="1"/>
  <c r="P34" i="18"/>
  <c r="Q34" i="18" s="1"/>
  <c r="AB34" i="18"/>
  <c r="AC34" i="18" s="1"/>
  <c r="BL34" i="18"/>
  <c r="BM34" i="18" s="1"/>
  <c r="AT34" i="18"/>
  <c r="AU34" i="18" s="1"/>
  <c r="T34" i="18"/>
  <c r="U34" i="18" s="1"/>
  <c r="BD34" i="18"/>
  <c r="BE34" i="18" s="1"/>
  <c r="K46" i="17"/>
  <c r="K37" i="17"/>
  <c r="J41" i="17"/>
  <c r="K39" i="17"/>
  <c r="J53" i="17"/>
  <c r="K48" i="17"/>
  <c r="J34" i="17"/>
  <c r="J50" i="17"/>
  <c r="AX34" i="18"/>
  <c r="AY34" i="18" s="1"/>
  <c r="AV34" i="18"/>
  <c r="AW34" i="18" s="1"/>
  <c r="R20" i="17"/>
  <c r="AP34" i="18"/>
  <c r="AQ34" i="18" s="1"/>
  <c r="N34" i="18"/>
  <c r="O34" i="18" s="1"/>
  <c r="R34" i="18"/>
  <c r="S34" i="18" s="1"/>
  <c r="AD34" i="18"/>
  <c r="AE34" i="18" s="1"/>
  <c r="Z34" i="18"/>
  <c r="AA34" i="18" s="1"/>
  <c r="V34" i="18"/>
  <c r="W34" i="18" s="1"/>
  <c r="AF34" i="18"/>
  <c r="AG34" i="18" s="1"/>
  <c r="AL34" i="18"/>
  <c r="AM34" i="18" s="1"/>
  <c r="AJ34" i="18"/>
  <c r="AK34" i="18" s="1"/>
  <c r="X34" i="18"/>
  <c r="Y34" i="18" s="1"/>
  <c r="BH34" i="18"/>
  <c r="BI34" i="18" s="1"/>
  <c r="AZ34" i="18"/>
  <c r="BA34" i="18" s="1"/>
  <c r="BN28" i="18"/>
  <c r="BO28" i="18" s="1"/>
  <c r="AD38" i="18"/>
  <c r="AE38" i="18" s="1"/>
  <c r="J45" i="17"/>
  <c r="K49" i="17"/>
  <c r="J40" i="17"/>
  <c r="K41" i="17"/>
  <c r="J54" i="17"/>
  <c r="K36" i="17"/>
  <c r="J46" i="17"/>
  <c r="J39" i="17"/>
  <c r="K53" i="17"/>
  <c r="J37" i="17"/>
  <c r="K45" i="17"/>
  <c r="J49" i="17"/>
  <c r="J48" i="17"/>
  <c r="K34" i="17"/>
  <c r="K40" i="17"/>
  <c r="K50" i="17"/>
  <c r="K54" i="17"/>
  <c r="J52" i="17"/>
  <c r="K52" i="17"/>
  <c r="J36" i="17"/>
  <c r="N28" i="18"/>
  <c r="O28" i="18" s="1"/>
  <c r="P35" i="18"/>
  <c r="Q35" i="18" s="1"/>
  <c r="AV28" i="18"/>
  <c r="AW28" i="18" s="1"/>
  <c r="AF28" i="18"/>
  <c r="AG28" i="18" s="1"/>
  <c r="BF28" i="18"/>
  <c r="BG28" i="18" s="1"/>
  <c r="V28" i="18"/>
  <c r="W28" i="18" s="1"/>
  <c r="AB35" i="18"/>
  <c r="AC35" i="18" s="1"/>
  <c r="AD30" i="18"/>
  <c r="AE30" i="18" s="1"/>
  <c r="AL30" i="18"/>
  <c r="AM30" i="18" s="1"/>
  <c r="AB30" i="18"/>
  <c r="AC30" i="18" s="1"/>
  <c r="AT30" i="18"/>
  <c r="AU30" i="18" s="1"/>
  <c r="BF30" i="18"/>
  <c r="BG30" i="18" s="1"/>
  <c r="Z30" i="18"/>
  <c r="AA30" i="18" s="1"/>
  <c r="X30" i="18"/>
  <c r="Y30" i="18" s="1"/>
  <c r="AJ35" i="18"/>
  <c r="AK35" i="18" s="1"/>
  <c r="T35" i="18"/>
  <c r="U35" i="18" s="1"/>
  <c r="BH28" i="18"/>
  <c r="BI28" i="18" s="1"/>
  <c r="R28" i="18"/>
  <c r="S28" i="18" s="1"/>
  <c r="BD35" i="18"/>
  <c r="BE35" i="18" s="1"/>
  <c r="BL28" i="18"/>
  <c r="BM28" i="18" s="1"/>
  <c r="AT28" i="18"/>
  <c r="AU28" i="18" s="1"/>
  <c r="AP28" i="18"/>
  <c r="AQ28" i="18" s="1"/>
  <c r="BF35" i="18"/>
  <c r="BG35" i="18" s="1"/>
  <c r="AZ35" i="18"/>
  <c r="BA35" i="18" s="1"/>
  <c r="AV35" i="18"/>
  <c r="AW35" i="18" s="1"/>
  <c r="Z28" i="18"/>
  <c r="AA28" i="18" s="1"/>
  <c r="AJ28" i="18"/>
  <c r="AK28" i="18" s="1"/>
  <c r="P28" i="18"/>
  <c r="Q28" i="18" s="1"/>
  <c r="AN35" i="18"/>
  <c r="AO35" i="18" s="1"/>
  <c r="AX35" i="18"/>
  <c r="AY35" i="18" s="1"/>
  <c r="AL35" i="18"/>
  <c r="AM35" i="18" s="1"/>
  <c r="AP35" i="18"/>
  <c r="AQ35" i="18" s="1"/>
  <c r="AT35" i="18"/>
  <c r="AU35" i="18" s="1"/>
  <c r="AD35" i="18"/>
  <c r="AE35" i="18" s="1"/>
  <c r="BJ35" i="18"/>
  <c r="BK35" i="18" s="1"/>
  <c r="BH35" i="18"/>
  <c r="BI35" i="18" s="1"/>
  <c r="Z35" i="18"/>
  <c r="AA35" i="18" s="1"/>
  <c r="BL35" i="18"/>
  <c r="BM35" i="18" s="1"/>
  <c r="AR35" i="18"/>
  <c r="AS35" i="18" s="1"/>
  <c r="R35" i="18"/>
  <c r="S35" i="18" s="1"/>
  <c r="BN35" i="18"/>
  <c r="BO35" i="18" s="1"/>
  <c r="BB35" i="18"/>
  <c r="BC35" i="18" s="1"/>
  <c r="AH28" i="18"/>
  <c r="AI28" i="18" s="1"/>
  <c r="AH35" i="18"/>
  <c r="AI35" i="18" s="1"/>
  <c r="AF35" i="18"/>
  <c r="AG35" i="18" s="1"/>
  <c r="V35" i="18"/>
  <c r="W35" i="18" s="1"/>
  <c r="N35" i="18"/>
  <c r="O35" i="18" s="1"/>
  <c r="BJ28" i="18"/>
  <c r="BK28" i="18" s="1"/>
  <c r="AB29" i="18"/>
  <c r="AC29" i="18" s="1"/>
  <c r="AX28" i="18"/>
  <c r="AY28" i="18" s="1"/>
  <c r="AZ20" i="17"/>
  <c r="AT20" i="17"/>
  <c r="BJ20" i="17"/>
  <c r="AJ20" i="17"/>
  <c r="AN20" i="17"/>
  <c r="V20" i="17"/>
  <c r="AR20" i="17"/>
  <c r="AX20" i="17"/>
  <c r="AD20" i="17"/>
  <c r="AF30" i="18"/>
  <c r="AG30" i="18" s="1"/>
  <c r="AH30" i="18"/>
  <c r="AI30" i="18" s="1"/>
  <c r="AZ30" i="18"/>
  <c r="BA30" i="18" s="1"/>
  <c r="BJ30" i="18"/>
  <c r="BK30" i="18" s="1"/>
  <c r="AP30" i="18"/>
  <c r="AQ30" i="18" s="1"/>
  <c r="AR30" i="18"/>
  <c r="AS30" i="18" s="1"/>
  <c r="BD30" i="18"/>
  <c r="BE30" i="18" s="1"/>
  <c r="BL30" i="18"/>
  <c r="BM30" i="18" s="1"/>
  <c r="AN30" i="18"/>
  <c r="AO30" i="18" s="1"/>
  <c r="P30" i="18"/>
  <c r="Q30" i="18" s="1"/>
  <c r="BH30" i="18"/>
  <c r="BI30" i="18" s="1"/>
  <c r="AV30" i="18"/>
  <c r="AW30" i="18" s="1"/>
  <c r="R30" i="18"/>
  <c r="S30" i="18" s="1"/>
  <c r="BB30" i="18"/>
  <c r="BC30" i="18" s="1"/>
  <c r="T30" i="18"/>
  <c r="U30" i="18" s="1"/>
  <c r="BN30" i="18"/>
  <c r="BO30" i="18" s="1"/>
  <c r="AV38" i="18"/>
  <c r="AW38" i="18" s="1"/>
  <c r="BH38" i="18"/>
  <c r="BI38" i="18" s="1"/>
  <c r="BB38" i="18"/>
  <c r="BC38" i="18" s="1"/>
  <c r="V38" i="18"/>
  <c r="W38" i="18" s="1"/>
  <c r="AP38" i="18"/>
  <c r="AQ38" i="18" s="1"/>
  <c r="X38" i="18"/>
  <c r="Y38" i="18" s="1"/>
  <c r="BF38" i="18"/>
  <c r="BG38" i="18" s="1"/>
  <c r="Z38" i="18"/>
  <c r="AA38" i="18" s="1"/>
  <c r="BD38" i="18"/>
  <c r="BE38" i="18" s="1"/>
  <c r="AF38" i="18"/>
  <c r="AG38" i="18" s="1"/>
  <c r="P38" i="18"/>
  <c r="Q38" i="18" s="1"/>
  <c r="AT38" i="18"/>
  <c r="AU38" i="18" s="1"/>
  <c r="AR38" i="18"/>
  <c r="AS38" i="18" s="1"/>
  <c r="BL38" i="18"/>
  <c r="BM38" i="18" s="1"/>
  <c r="AH38" i="18"/>
  <c r="AI38" i="18" s="1"/>
  <c r="T38" i="18"/>
  <c r="U38" i="18" s="1"/>
  <c r="N38" i="18"/>
  <c r="O38" i="18" s="1"/>
  <c r="BN38" i="18"/>
  <c r="BO38" i="18" s="1"/>
  <c r="AJ38" i="18"/>
  <c r="AK38" i="18" s="1"/>
  <c r="BJ38" i="18"/>
  <c r="BK38" i="18" s="1"/>
  <c r="R38" i="18"/>
  <c r="S38" i="18" s="1"/>
  <c r="AZ38" i="18"/>
  <c r="BA38" i="18" s="1"/>
  <c r="AB38" i="18"/>
  <c r="AC38" i="18" s="1"/>
  <c r="V30" i="18"/>
  <c r="W30" i="18" s="1"/>
  <c r="AJ30" i="18"/>
  <c r="AK30" i="18" s="1"/>
  <c r="AX30" i="18"/>
  <c r="AY30" i="18" s="1"/>
  <c r="AN11" i="17"/>
  <c r="BF32" i="18"/>
  <c r="BG32" i="18" s="1"/>
  <c r="X32" i="18"/>
  <c r="Y32" i="18" s="1"/>
  <c r="X28" i="17"/>
  <c r="AL29" i="18"/>
  <c r="AM29" i="18" s="1"/>
  <c r="BH29" i="18"/>
  <c r="BI29" i="18" s="1"/>
  <c r="AH29" i="18"/>
  <c r="AI29" i="18" s="1"/>
  <c r="AR29" i="18"/>
  <c r="AS29" i="18" s="1"/>
  <c r="BB29" i="18"/>
  <c r="BC29" i="18" s="1"/>
  <c r="AJ29" i="18"/>
  <c r="AK29" i="18" s="1"/>
  <c r="AF29" i="18"/>
  <c r="AG29" i="18" s="1"/>
  <c r="BF29" i="18"/>
  <c r="BG29" i="18" s="1"/>
  <c r="N29" i="18"/>
  <c r="O29" i="18" s="1"/>
  <c r="AN29" i="18"/>
  <c r="AO29" i="18" s="1"/>
  <c r="AV29" i="18"/>
  <c r="AW29" i="18" s="1"/>
  <c r="X33" i="18"/>
  <c r="Y33" i="18" s="1"/>
  <c r="T29" i="18"/>
  <c r="U29" i="18" s="1"/>
  <c r="AT29" i="18"/>
  <c r="AU29" i="18" s="1"/>
  <c r="AZ29" i="18"/>
  <c r="BA29" i="18" s="1"/>
  <c r="BN29" i="18"/>
  <c r="BO29" i="18" s="1"/>
  <c r="BD29" i="18"/>
  <c r="BE29" i="18" s="1"/>
  <c r="AD28" i="17"/>
  <c r="P28" i="17"/>
  <c r="AJ28" i="17"/>
  <c r="BB28" i="18"/>
  <c r="BC28" i="18" s="1"/>
  <c r="AT28" i="17"/>
  <c r="Z26" i="17"/>
  <c r="AZ28" i="17"/>
  <c r="BF28" i="17"/>
  <c r="X26" i="17"/>
  <c r="AR26" i="17"/>
  <c r="AF37" i="18"/>
  <c r="AG37" i="18" s="1"/>
  <c r="AH37" i="18"/>
  <c r="AI37" i="18" s="1"/>
  <c r="N37" i="18"/>
  <c r="O37" i="18" s="1"/>
  <c r="AJ37" i="18"/>
  <c r="AK37" i="18" s="1"/>
  <c r="AV37" i="18"/>
  <c r="AW37" i="18" s="1"/>
  <c r="V37" i="18"/>
  <c r="W37" i="18" s="1"/>
  <c r="T37" i="18"/>
  <c r="U37" i="18" s="1"/>
  <c r="AP37" i="18"/>
  <c r="AQ37" i="18" s="1"/>
  <c r="AZ37" i="18"/>
  <c r="BA37" i="18" s="1"/>
  <c r="BD37" i="18"/>
  <c r="BE37" i="18" s="1"/>
  <c r="P37" i="18"/>
  <c r="Q37" i="18" s="1"/>
  <c r="BB37" i="18"/>
  <c r="BC37" i="18" s="1"/>
  <c r="BF37" i="18"/>
  <c r="BG37" i="18" s="1"/>
  <c r="AT37" i="18"/>
  <c r="AU37" i="18" s="1"/>
  <c r="Z37" i="18"/>
  <c r="AA37" i="18" s="1"/>
  <c r="AB37" i="18"/>
  <c r="AC37" i="18" s="1"/>
  <c r="AN37" i="18"/>
  <c r="AO37" i="18" s="1"/>
  <c r="X37" i="18"/>
  <c r="Y37" i="18" s="1"/>
  <c r="R37" i="18"/>
  <c r="S37" i="18" s="1"/>
  <c r="AR37" i="18"/>
  <c r="AS37" i="18" s="1"/>
  <c r="BN37" i="18"/>
  <c r="BO37" i="18" s="1"/>
  <c r="BH37" i="18"/>
  <c r="BI37" i="18" s="1"/>
  <c r="AD37" i="18"/>
  <c r="AE37" i="18" s="1"/>
  <c r="BJ37" i="18"/>
  <c r="BK37" i="18" s="1"/>
  <c r="BL37" i="18"/>
  <c r="BM37" i="18" s="1"/>
  <c r="AL37" i="18"/>
  <c r="AM37" i="18" s="1"/>
  <c r="L42" i="22"/>
  <c r="K4" i="22" s="1"/>
  <c r="M42" i="22"/>
  <c r="P32" i="18"/>
  <c r="Q32" i="18" s="1"/>
  <c r="AL32" i="18"/>
  <c r="AM32" i="18" s="1"/>
  <c r="BH32" i="18"/>
  <c r="BI32" i="18" s="1"/>
  <c r="AZ26" i="17"/>
  <c r="AD26" i="17"/>
  <c r="BJ32" i="18"/>
  <c r="BK32" i="18" s="1"/>
  <c r="Z32" i="18"/>
  <c r="AA32" i="18" s="1"/>
  <c r="T32" i="18"/>
  <c r="U32" i="18" s="1"/>
  <c r="AD32" i="18"/>
  <c r="AE32" i="18" s="1"/>
  <c r="BB32" i="18"/>
  <c r="BC32" i="18" s="1"/>
  <c r="N32" i="18"/>
  <c r="O32" i="18" s="1"/>
  <c r="AZ32" i="18"/>
  <c r="BA32" i="18" s="1"/>
  <c r="BH26" i="17"/>
  <c r="V32" i="18"/>
  <c r="W32" i="18" s="1"/>
  <c r="AT32" i="18"/>
  <c r="AU32" i="18" s="1"/>
  <c r="BD32" i="18"/>
  <c r="BE32" i="18" s="1"/>
  <c r="AR32" i="18"/>
  <c r="AS32" i="18" s="1"/>
  <c r="AH32" i="18"/>
  <c r="AI32" i="18" s="1"/>
  <c r="AP26" i="17"/>
  <c r="AX32" i="18"/>
  <c r="AY32" i="18" s="1"/>
  <c r="AP32" i="18"/>
  <c r="AQ32" i="18" s="1"/>
  <c r="AN32" i="18"/>
  <c r="AO32" i="18" s="1"/>
  <c r="V26" i="17"/>
  <c r="AV32" i="18"/>
  <c r="AW32" i="18" s="1"/>
  <c r="AB32" i="18"/>
  <c r="AC32" i="18" s="1"/>
  <c r="X31" i="18"/>
  <c r="Y31" i="18" s="1"/>
  <c r="BJ31" i="18"/>
  <c r="BK31" i="18" s="1"/>
  <c r="R32" i="18"/>
  <c r="S32" i="18" s="1"/>
  <c r="BJ29" i="18"/>
  <c r="BK29" i="18" s="1"/>
  <c r="X29" i="18"/>
  <c r="Y29" i="18" s="1"/>
  <c r="AX29" i="18"/>
  <c r="AY29" i="18" s="1"/>
  <c r="AP31" i="18"/>
  <c r="AQ31" i="18" s="1"/>
  <c r="V31" i="18"/>
  <c r="W31" i="18" s="1"/>
  <c r="BN32" i="18"/>
  <c r="BO32" i="18" s="1"/>
  <c r="AP29" i="18"/>
  <c r="AQ29" i="18" s="1"/>
  <c r="Z29" i="18"/>
  <c r="AA29" i="18" s="1"/>
  <c r="P29" i="18"/>
  <c r="Q29" i="18" s="1"/>
  <c r="BL32" i="18"/>
  <c r="BM32" i="18" s="1"/>
  <c r="BL29" i="18"/>
  <c r="BM29" i="18" s="1"/>
  <c r="AZ28" i="18"/>
  <c r="BA28" i="18" s="1"/>
  <c r="AB28" i="18"/>
  <c r="AC28" i="18" s="1"/>
  <c r="AL28" i="18"/>
  <c r="AM28" i="18" s="1"/>
  <c r="X28" i="18"/>
  <c r="Y28" i="18" s="1"/>
  <c r="AR28" i="18"/>
  <c r="AS28" i="18" s="1"/>
  <c r="AN28" i="18"/>
  <c r="AO28" i="18" s="1"/>
  <c r="BD28" i="18"/>
  <c r="BE28" i="18" s="1"/>
  <c r="R29" i="18"/>
  <c r="S29" i="18" s="1"/>
  <c r="AD29" i="18"/>
  <c r="AE29" i="18" s="1"/>
  <c r="AD28" i="18"/>
  <c r="AE28" i="18" s="1"/>
  <c r="N33" i="18"/>
  <c r="O33" i="18" s="1"/>
  <c r="BD31" i="18"/>
  <c r="BE31" i="18" s="1"/>
  <c r="AR31" i="18"/>
  <c r="AS31" i="18" s="1"/>
  <c r="AJ33" i="18"/>
  <c r="AK33" i="18" s="1"/>
  <c r="AV31" i="18"/>
  <c r="AW31" i="18" s="1"/>
  <c r="AD33" i="18"/>
  <c r="AE33" i="18" s="1"/>
  <c r="AT31" i="18"/>
  <c r="AU31" i="18" s="1"/>
  <c r="AZ31" i="18"/>
  <c r="BA31" i="18" s="1"/>
  <c r="BL31" i="18"/>
  <c r="BM31" i="18" s="1"/>
  <c r="AD31" i="18"/>
  <c r="AE31" i="18" s="1"/>
  <c r="V33" i="18"/>
  <c r="W33" i="18" s="1"/>
  <c r="P27" i="18"/>
  <c r="Q27" i="18" s="1"/>
  <c r="BF27" i="18"/>
  <c r="BG27" i="18" s="1"/>
  <c r="R27" i="18"/>
  <c r="S27" i="18" s="1"/>
  <c r="Z27" i="18"/>
  <c r="AA27" i="18" s="1"/>
  <c r="V27" i="18"/>
  <c r="W27" i="18" s="1"/>
  <c r="T27" i="18"/>
  <c r="U27" i="18" s="1"/>
  <c r="BJ27" i="18"/>
  <c r="BK27" i="18" s="1"/>
  <c r="BH27" i="18"/>
  <c r="BI27" i="18" s="1"/>
  <c r="BB27" i="18"/>
  <c r="BC27" i="18" s="1"/>
  <c r="AB27" i="18"/>
  <c r="AC27" i="18" s="1"/>
  <c r="BL27" i="18"/>
  <c r="BM27" i="18" s="1"/>
  <c r="AD27" i="18"/>
  <c r="AE27" i="18" s="1"/>
  <c r="AV27" i="18"/>
  <c r="AW27" i="18" s="1"/>
  <c r="AH27" i="18"/>
  <c r="AI27" i="18" s="1"/>
  <c r="AZ27" i="18"/>
  <c r="BA27" i="18" s="1"/>
  <c r="AR27" i="18"/>
  <c r="AS27" i="18" s="1"/>
  <c r="AT27" i="18"/>
  <c r="AU27" i="18" s="1"/>
  <c r="AJ27" i="18"/>
  <c r="AK27" i="18" s="1"/>
  <c r="AF27" i="18"/>
  <c r="AG27" i="18" s="1"/>
  <c r="AP27" i="18"/>
  <c r="AQ27" i="18" s="1"/>
  <c r="BD27" i="18"/>
  <c r="BE27" i="18" s="1"/>
  <c r="AL27" i="18"/>
  <c r="AM27" i="18" s="1"/>
  <c r="N28" i="17"/>
  <c r="BB28" i="17"/>
  <c r="AR28" i="17"/>
  <c r="T28" i="17"/>
  <c r="AP28" i="17"/>
  <c r="V28" i="17"/>
  <c r="AL28" i="17"/>
  <c r="AN28" i="17"/>
  <c r="BN28" i="17"/>
  <c r="Z28" i="17"/>
  <c r="AH26" i="17"/>
  <c r="AF26" i="17"/>
  <c r="AV26" i="17"/>
  <c r="X27" i="18"/>
  <c r="Y27" i="18" s="1"/>
  <c r="AN27" i="18"/>
  <c r="AO27" i="18" s="1"/>
  <c r="N27" i="18"/>
  <c r="O27" i="18" s="1"/>
  <c r="AX27" i="18"/>
  <c r="AY27" i="18" s="1"/>
  <c r="N26" i="17"/>
  <c r="AX18" i="17"/>
  <c r="AV28" i="17"/>
  <c r="R28" i="17"/>
  <c r="AX28" i="17"/>
  <c r="AF28" i="17"/>
  <c r="BL26" i="17"/>
  <c r="BD26" i="17"/>
  <c r="AN26" i="17"/>
  <c r="R26" i="17"/>
  <c r="BD22" i="17"/>
  <c r="BH28" i="17"/>
  <c r="AB28" i="17"/>
  <c r="BJ28" i="17"/>
  <c r="BN26" i="17"/>
  <c r="BJ26" i="17"/>
  <c r="T26" i="17"/>
  <c r="AJ26" i="17"/>
  <c r="AT26" i="17"/>
  <c r="BL28" i="17"/>
  <c r="AH28" i="17"/>
  <c r="AL26" i="17"/>
  <c r="AB26" i="17"/>
  <c r="P26" i="17"/>
  <c r="AX26" i="17"/>
  <c r="X27" i="17"/>
  <c r="Z24" i="17"/>
  <c r="AV22" i="17"/>
  <c r="AP27" i="17"/>
  <c r="AT26" i="18"/>
  <c r="AU26" i="18" s="1"/>
  <c r="T33" i="18"/>
  <c r="U33" i="18" s="1"/>
  <c r="BB26" i="17"/>
  <c r="Z25" i="17"/>
  <c r="R25" i="17"/>
  <c r="AL25" i="17"/>
  <c r="AH25" i="17"/>
  <c r="AX25" i="17"/>
  <c r="AP25" i="17"/>
  <c r="AN31" i="18"/>
  <c r="AO31" i="18" s="1"/>
  <c r="AL31" i="18"/>
  <c r="AM31" i="18" s="1"/>
  <c r="AH33" i="18"/>
  <c r="AI33" i="18" s="1"/>
  <c r="BB33" i="18"/>
  <c r="BC33" i="18" s="1"/>
  <c r="AJ31" i="18"/>
  <c r="AK31" i="18" s="1"/>
  <c r="AR33" i="18"/>
  <c r="AS33" i="18" s="1"/>
  <c r="R33" i="18"/>
  <c r="S33" i="18" s="1"/>
  <c r="AP33" i="18"/>
  <c r="AQ33" i="18" s="1"/>
  <c r="BB31" i="18"/>
  <c r="BC31" i="18" s="1"/>
  <c r="AH31" i="18"/>
  <c r="AI31" i="18" s="1"/>
  <c r="BN33" i="18"/>
  <c r="BO33" i="18" s="1"/>
  <c r="AN33" i="18"/>
  <c r="AO33" i="18" s="1"/>
  <c r="N31" i="18"/>
  <c r="O31" i="18" s="1"/>
  <c r="AB33" i="18"/>
  <c r="AC33" i="18" s="1"/>
  <c r="P31" i="18"/>
  <c r="Q31" i="18" s="1"/>
  <c r="AF33" i="18"/>
  <c r="AG33" i="18" s="1"/>
  <c r="AV33" i="18"/>
  <c r="AW33" i="18" s="1"/>
  <c r="AF25" i="17"/>
  <c r="AX33" i="18"/>
  <c r="AY33" i="18" s="1"/>
  <c r="AX31" i="18"/>
  <c r="AY31" i="18" s="1"/>
  <c r="T31" i="18"/>
  <c r="U31" i="18" s="1"/>
  <c r="P33" i="18"/>
  <c r="Q33" i="18" s="1"/>
  <c r="R31" i="18"/>
  <c r="S31" i="18" s="1"/>
  <c r="BH25" i="17"/>
  <c r="AB31" i="18"/>
  <c r="AC31" i="18" s="1"/>
  <c r="BF33" i="18"/>
  <c r="BG33" i="18" s="1"/>
  <c r="Z33" i="18"/>
  <c r="AA33" i="18" s="1"/>
  <c r="Z31" i="18"/>
  <c r="AA31" i="18" s="1"/>
  <c r="BH31" i="18"/>
  <c r="BI31" i="18" s="1"/>
  <c r="AZ33" i="18"/>
  <c r="BA33" i="18" s="1"/>
  <c r="BN31" i="18"/>
  <c r="BO31" i="18" s="1"/>
  <c r="BJ33" i="18"/>
  <c r="BK33" i="18" s="1"/>
  <c r="AF31" i="18"/>
  <c r="AG31" i="18" s="1"/>
  <c r="BD33" i="18"/>
  <c r="BE33" i="18" s="1"/>
  <c r="BH33" i="18"/>
  <c r="BI33" i="18" s="1"/>
  <c r="BL33" i="18"/>
  <c r="BM33" i="18" s="1"/>
  <c r="AJ25" i="17"/>
  <c r="AT33" i="18"/>
  <c r="AU33" i="18" s="1"/>
  <c r="AB25" i="17"/>
  <c r="BB25" i="17"/>
  <c r="AZ25" i="17"/>
  <c r="AD25" i="17"/>
  <c r="AT25" i="17"/>
  <c r="X25" i="17"/>
  <c r="P25" i="17"/>
  <c r="T25" i="17"/>
  <c r="AR25" i="17"/>
  <c r="BN25" i="17"/>
  <c r="BD25" i="17"/>
  <c r="AN25" i="17"/>
  <c r="N25" i="17"/>
  <c r="BJ25" i="17"/>
  <c r="BL25" i="17"/>
  <c r="BF25" i="17"/>
  <c r="AV25" i="17"/>
  <c r="AL27" i="17"/>
  <c r="V22" i="17"/>
  <c r="K29" i="17"/>
  <c r="BL22" i="17"/>
  <c r="AD22" i="17"/>
  <c r="BJ22" i="17"/>
  <c r="AX22" i="17"/>
  <c r="T22" i="17"/>
  <c r="AL22" i="17"/>
  <c r="AN22" i="17"/>
  <c r="T24" i="17"/>
  <c r="AH24" i="17"/>
  <c r="AV27" i="17"/>
  <c r="AF27" i="17"/>
  <c r="BD27" i="17"/>
  <c r="N27" i="17"/>
  <c r="BH27" i="17"/>
  <c r="AX27" i="17"/>
  <c r="P27" i="17"/>
  <c r="AJ27" i="17"/>
  <c r="AN27" i="17"/>
  <c r="V27" i="17"/>
  <c r="BJ27" i="17"/>
  <c r="AB27" i="17"/>
  <c r="AH27" i="17"/>
  <c r="AT27" i="17"/>
  <c r="BL27" i="17"/>
  <c r="R27" i="17"/>
  <c r="BB27" i="17"/>
  <c r="Z27" i="17"/>
  <c r="AZ27" i="17"/>
  <c r="BF27" i="17"/>
  <c r="BN27" i="17"/>
  <c r="AR27" i="17"/>
  <c r="T27" i="17"/>
  <c r="AL18" i="17"/>
  <c r="X18" i="17"/>
  <c r="AL33" i="18"/>
  <c r="AM33" i="18" s="1"/>
  <c r="J29" i="17"/>
  <c r="AF24" i="17"/>
  <c r="AX24" i="17"/>
  <c r="BF24" i="17"/>
  <c r="AJ24" i="17"/>
  <c r="BH20" i="17"/>
  <c r="BD20" i="17"/>
  <c r="P20" i="17"/>
  <c r="AL20" i="17"/>
  <c r="R19" i="17"/>
  <c r="AV24" i="17"/>
  <c r="V24" i="17"/>
  <c r="AR24" i="17"/>
  <c r="X20" i="17"/>
  <c r="Z20" i="17"/>
  <c r="AF20" i="17"/>
  <c r="BB20" i="17"/>
  <c r="T19" i="17"/>
  <c r="AZ24" i="17"/>
  <c r="AL24" i="17"/>
  <c r="N24" i="17"/>
  <c r="AP20" i="17"/>
  <c r="AV20" i="17"/>
  <c r="BF19" i="17"/>
  <c r="BL24" i="17"/>
  <c r="BB24" i="17"/>
  <c r="AT24" i="17"/>
  <c r="BN24" i="17"/>
  <c r="AB24" i="17"/>
  <c r="BN20" i="17"/>
  <c r="AB20" i="17"/>
  <c r="BF20" i="17"/>
  <c r="BL20" i="17"/>
  <c r="P24" i="17"/>
  <c r="AN24" i="17"/>
  <c r="AH20" i="17"/>
  <c r="N20" i="17"/>
  <c r="R24" i="17"/>
  <c r="BD24" i="17"/>
  <c r="BB18" i="17"/>
  <c r="AD18" i="17"/>
  <c r="N11" i="17"/>
  <c r="R11" i="17"/>
  <c r="AF18" i="17"/>
  <c r="BJ18" i="17"/>
  <c r="AV18" i="17"/>
  <c r="R18" i="17"/>
  <c r="AN18" i="17"/>
  <c r="BH18" i="17"/>
  <c r="AH18" i="17"/>
  <c r="BL18" i="17"/>
  <c r="BN18" i="17"/>
  <c r="AZ18" i="17"/>
  <c r="AB18" i="17"/>
  <c r="T18" i="17"/>
  <c r="AT18" i="17"/>
  <c r="V18" i="17"/>
  <c r="N18" i="17"/>
  <c r="AJ20" i="18"/>
  <c r="AK20" i="18" s="1"/>
  <c r="AP17" i="10"/>
  <c r="AQ17" i="10" s="1"/>
  <c r="AN23" i="18"/>
  <c r="AO23" i="18" s="1"/>
  <c r="Z15" i="18"/>
  <c r="AA15" i="18" s="1"/>
  <c r="AL22" i="18"/>
  <c r="AM22" i="18" s="1"/>
  <c r="T12" i="18"/>
  <c r="U12" i="18" s="1"/>
  <c r="N11" i="18"/>
  <c r="O11" i="18" s="1"/>
  <c r="AP19" i="18"/>
  <c r="AQ19" i="18" s="1"/>
  <c r="AH18" i="18"/>
  <c r="AI18" i="18" s="1"/>
  <c r="AR25" i="18"/>
  <c r="AS25" i="18" s="1"/>
  <c r="AN22" i="18"/>
  <c r="AO22" i="18" s="1"/>
  <c r="AN24" i="18"/>
  <c r="AO24" i="18" s="1"/>
  <c r="AH21" i="18"/>
  <c r="AI21" i="18" s="1"/>
  <c r="X13" i="18"/>
  <c r="Y13" i="18" s="1"/>
  <c r="X14" i="18"/>
  <c r="Y14" i="18" s="1"/>
  <c r="AP24" i="18"/>
  <c r="AQ24" i="18" s="1"/>
  <c r="X11" i="18"/>
  <c r="Y11" i="18" s="1"/>
  <c r="AF20" i="18"/>
  <c r="AG20" i="18" s="1"/>
  <c r="AJ22" i="18"/>
  <c r="AK22" i="18" s="1"/>
  <c r="AV25" i="18"/>
  <c r="AW25" i="18" s="1"/>
  <c r="P12" i="18"/>
  <c r="Q12" i="18" s="1"/>
  <c r="AH20" i="18"/>
  <c r="AI20" i="18" s="1"/>
  <c r="AJ17" i="18"/>
  <c r="AK17" i="18" s="1"/>
  <c r="AN21" i="18"/>
  <c r="AO21" i="18" s="1"/>
  <c r="V14" i="18"/>
  <c r="W14" i="18" s="1"/>
  <c r="AJ21" i="18"/>
  <c r="AK21" i="18" s="1"/>
  <c r="Z14" i="18"/>
  <c r="AA14" i="18" s="1"/>
  <c r="AL20" i="18"/>
  <c r="AM20" i="18" s="1"/>
  <c r="AF22" i="18"/>
  <c r="AG22" i="18" s="1"/>
  <c r="N12" i="18"/>
  <c r="O12" i="18" s="1"/>
  <c r="AL21" i="18"/>
  <c r="AM21" i="18" s="1"/>
  <c r="AV24" i="18"/>
  <c r="AW24" i="18" s="1"/>
  <c r="R14" i="18"/>
  <c r="S14" i="18" s="1"/>
  <c r="AT24" i="18"/>
  <c r="AU24" i="18" s="1"/>
  <c r="AN19" i="18"/>
  <c r="AO19" i="18" s="1"/>
  <c r="AN20" i="18"/>
  <c r="AO20" i="18" s="1"/>
  <c r="AH22" i="18"/>
  <c r="AI22" i="18" s="1"/>
  <c r="AR24" i="18"/>
  <c r="AS24" i="18" s="1"/>
  <c r="R12" i="18"/>
  <c r="S12" i="18" s="1"/>
  <c r="AF19" i="18"/>
  <c r="AG19" i="18" s="1"/>
  <c r="P11" i="18"/>
  <c r="Q11" i="18" s="1"/>
  <c r="AL17" i="18"/>
  <c r="AM17" i="18" s="1"/>
  <c r="AD18" i="18"/>
  <c r="AE18" i="18" s="1"/>
  <c r="V11" i="18"/>
  <c r="W11" i="18" s="1"/>
  <c r="AH17" i="18"/>
  <c r="AI17" i="18" s="1"/>
  <c r="Z13" i="18"/>
  <c r="AA13" i="18" s="1"/>
  <c r="AL18" i="18"/>
  <c r="AM18" i="18" s="1"/>
  <c r="AF21" i="18"/>
  <c r="AG21" i="18" s="1"/>
  <c r="R11" i="18"/>
  <c r="S11" i="18" s="1"/>
  <c r="T14" i="18"/>
  <c r="U14" i="18" s="1"/>
  <c r="AF17" i="18"/>
  <c r="AG17" i="18" s="1"/>
  <c r="AL19" i="18"/>
  <c r="AM19" i="18" s="1"/>
  <c r="R13" i="18"/>
  <c r="S13" i="18" s="1"/>
  <c r="AJ18" i="18"/>
  <c r="AK18" i="18" s="1"/>
  <c r="Z11" i="18"/>
  <c r="AA11" i="18" s="1"/>
  <c r="AB17" i="18"/>
  <c r="AC17" i="18" s="1"/>
  <c r="AH19" i="18"/>
  <c r="AI19" i="18" s="1"/>
  <c r="X15" i="18"/>
  <c r="Y15" i="18" s="1"/>
  <c r="T13" i="18"/>
  <c r="U13" i="18" s="1"/>
  <c r="AF18" i="18"/>
  <c r="AG18" i="18" s="1"/>
  <c r="T11" i="18"/>
  <c r="U11" i="18" s="1"/>
  <c r="AT25" i="18"/>
  <c r="AU25" i="18" s="1"/>
  <c r="AD17" i="18"/>
  <c r="AE17" i="18" s="1"/>
  <c r="AJ19" i="18"/>
  <c r="AK19" i="18" s="1"/>
  <c r="V13" i="18"/>
  <c r="W13" i="18" s="1"/>
  <c r="AR20" i="18"/>
  <c r="AS20" i="18" s="1"/>
  <c r="AJ23" i="18"/>
  <c r="AK23" i="18" s="1"/>
  <c r="V15" i="18"/>
  <c r="W15" i="18" s="1"/>
  <c r="N13" i="18"/>
  <c r="O13" i="18" s="1"/>
  <c r="AR26" i="18"/>
  <c r="AS26" i="18" s="1"/>
  <c r="BB22" i="17"/>
  <c r="R22" i="17"/>
  <c r="Z22" i="17"/>
  <c r="BH11" i="17"/>
  <c r="BH22" i="17"/>
  <c r="AH22" i="17"/>
  <c r="BF22" i="17"/>
  <c r="AH11" i="17"/>
  <c r="AB22" i="17"/>
  <c r="AJ22" i="17"/>
  <c r="AL23" i="17"/>
  <c r="X11" i="17"/>
  <c r="AN23" i="17"/>
  <c r="N22" i="17"/>
  <c r="X22" i="17"/>
  <c r="AP24" i="17"/>
  <c r="BJ24" i="17"/>
  <c r="X24" i="17"/>
  <c r="BH24" i="17"/>
  <c r="AD11" i="17"/>
  <c r="AX11" i="17"/>
  <c r="BD11" i="17"/>
  <c r="BJ23" i="17"/>
  <c r="AT11" i="17"/>
  <c r="BN11" i="17"/>
  <c r="BJ11" i="17"/>
  <c r="AP11" i="17"/>
  <c r="P11" i="17"/>
  <c r="AJ11" i="17"/>
  <c r="BF11" i="17"/>
  <c r="AF11" i="17"/>
  <c r="V11" i="17"/>
  <c r="Z11" i="17"/>
  <c r="T11" i="17"/>
  <c r="AB11" i="17"/>
  <c r="BL11" i="17"/>
  <c r="AL11" i="17"/>
  <c r="AD19" i="18"/>
  <c r="AE19" i="18" s="1"/>
  <c r="P13" i="18"/>
  <c r="Q13" i="18" s="1"/>
  <c r="X16" i="18"/>
  <c r="Y16" i="18" s="1"/>
  <c r="AB18" i="18"/>
  <c r="AC18" i="18" s="1"/>
  <c r="AB15" i="18"/>
  <c r="AC15" i="18" s="1"/>
  <c r="T15" i="18"/>
  <c r="U15" i="18" s="1"/>
  <c r="AT22" i="18"/>
  <c r="AU22" i="18" s="1"/>
  <c r="AN25" i="18"/>
  <c r="AO25" i="18" s="1"/>
  <c r="AR22" i="18"/>
  <c r="AS22" i="18" s="1"/>
  <c r="AD15" i="18"/>
  <c r="AE15" i="18" s="1"/>
  <c r="AP22" i="18"/>
  <c r="AQ22" i="18" s="1"/>
  <c r="AT20" i="18"/>
  <c r="AU20" i="18" s="1"/>
  <c r="Z16" i="18"/>
  <c r="AA16" i="18" s="1"/>
  <c r="AP20" i="18"/>
  <c r="AQ20" i="18" s="1"/>
  <c r="AP25" i="18"/>
  <c r="AQ25" i="18" s="1"/>
  <c r="AL23" i="18"/>
  <c r="AM23" i="18" s="1"/>
  <c r="AH23" i="18"/>
  <c r="AI23" i="18" s="1"/>
  <c r="AF23" i="18"/>
  <c r="AG23" i="18" s="1"/>
  <c r="AV26" i="18"/>
  <c r="AW26" i="18" s="1"/>
  <c r="AR11" i="17"/>
  <c r="AV11" i="17"/>
  <c r="AZ11" i="17"/>
  <c r="AR22" i="17"/>
  <c r="AF22" i="17"/>
  <c r="BN22" i="17"/>
  <c r="AP22" i="17"/>
  <c r="P22" i="17"/>
  <c r="AT22" i="17"/>
  <c r="AL16" i="18"/>
  <c r="AM16" i="18" s="1"/>
  <c r="BH17" i="18"/>
  <c r="BI17" i="18" s="1"/>
  <c r="AD19" i="17"/>
  <c r="BJ19" i="17"/>
  <c r="X19" i="17"/>
  <c r="V19" i="17"/>
  <c r="AJ19" i="17"/>
  <c r="AZ19" i="17"/>
  <c r="BN19" i="17"/>
  <c r="BH19" i="17"/>
  <c r="AZ23" i="17"/>
  <c r="AT19" i="17"/>
  <c r="AF19" i="17"/>
  <c r="AJ18" i="17"/>
  <c r="Z18" i="17"/>
  <c r="BF18" i="17"/>
  <c r="N19" i="17"/>
  <c r="AV19" i="17"/>
  <c r="Z19" i="17"/>
  <c r="AB19" i="17"/>
  <c r="AH19" i="17"/>
  <c r="AR19" i="17"/>
  <c r="AN19" i="17"/>
  <c r="P19" i="17"/>
  <c r="AL19" i="17"/>
  <c r="AX19" i="17"/>
  <c r="BB19" i="17"/>
  <c r="P18" i="17"/>
  <c r="BD18" i="17"/>
  <c r="AP18" i="17"/>
  <c r="BD19" i="17"/>
  <c r="BL19" i="17"/>
  <c r="AR10" i="18"/>
  <c r="AS10" i="18" s="1"/>
  <c r="AP23" i="17"/>
  <c r="BL23" i="17"/>
  <c r="BD23" i="17"/>
  <c r="AV23" i="17"/>
  <c r="AB23" i="17"/>
  <c r="R23" i="17"/>
  <c r="AN16" i="18"/>
  <c r="AO16" i="18" s="1"/>
  <c r="P21" i="18"/>
  <c r="Q21" i="18" s="1"/>
  <c r="BB23" i="17"/>
  <c r="AR23" i="17"/>
  <c r="AH23" i="17"/>
  <c r="P23" i="17"/>
  <c r="BH23" i="17"/>
  <c r="AX23" i="17"/>
  <c r="BF23" i="17"/>
  <c r="N23" i="17"/>
  <c r="BN23" i="17"/>
  <c r="T25" i="18"/>
  <c r="U25" i="18" s="1"/>
  <c r="Z23" i="17"/>
  <c r="V23" i="17"/>
  <c r="AD23" i="17"/>
  <c r="T23" i="17"/>
  <c r="AJ16" i="18"/>
  <c r="AK16" i="18" s="1"/>
  <c r="AF23" i="17"/>
  <c r="X23" i="17"/>
  <c r="AT23" i="17"/>
  <c r="BD22" i="18"/>
  <c r="BE22" i="18" s="1"/>
  <c r="R22" i="18"/>
  <c r="S22" i="18" s="1"/>
  <c r="AZ22" i="18"/>
  <c r="BA22" i="18" s="1"/>
  <c r="BH26" i="18"/>
  <c r="BI26" i="18" s="1"/>
  <c r="X10" i="18"/>
  <c r="Y10" i="18" s="1"/>
  <c r="Z18" i="18"/>
  <c r="AA18" i="18" s="1"/>
  <c r="BD21" i="18"/>
  <c r="BE21" i="18" s="1"/>
  <c r="BB24" i="18"/>
  <c r="BC24" i="18" s="1"/>
  <c r="AP15" i="18"/>
  <c r="AQ15" i="18" s="1"/>
  <c r="P22" i="18"/>
  <c r="Q22" i="18" s="1"/>
  <c r="V22" i="18"/>
  <c r="W22" i="18" s="1"/>
  <c r="AV23" i="18"/>
  <c r="AW23" i="18" s="1"/>
  <c r="AL10" i="18"/>
  <c r="AM10" i="18" s="1"/>
  <c r="AF10" i="18"/>
  <c r="AG10" i="18" s="1"/>
  <c r="AV12" i="18"/>
  <c r="AW12" i="18" s="1"/>
  <c r="BN19" i="18"/>
  <c r="BO19" i="18" s="1"/>
  <c r="BB10" i="18"/>
  <c r="BC10" i="18" s="1"/>
  <c r="V17" i="18"/>
  <c r="W17" i="18" s="1"/>
  <c r="AF16" i="18"/>
  <c r="AG16" i="18" s="1"/>
  <c r="AP10" i="18"/>
  <c r="AQ10" i="18" s="1"/>
  <c r="AV17" i="18"/>
  <c r="AW17" i="18" s="1"/>
  <c r="BJ13" i="18"/>
  <c r="BK13" i="18" s="1"/>
  <c r="AX21" i="18"/>
  <c r="AY21" i="18" s="1"/>
  <c r="AV22" i="18"/>
  <c r="AW22" i="18" s="1"/>
  <c r="AD24" i="18"/>
  <c r="AE24" i="18" s="1"/>
  <c r="AX14" i="18"/>
  <c r="AY14" i="18" s="1"/>
  <c r="N24" i="18"/>
  <c r="O24" i="18" s="1"/>
  <c r="BH24" i="18"/>
  <c r="BI24" i="18" s="1"/>
  <c r="R19" i="18"/>
  <c r="S19" i="18" s="1"/>
  <c r="N22" i="18"/>
  <c r="O22" i="18" s="1"/>
  <c r="AV10" i="18"/>
  <c r="AW10" i="18" s="1"/>
  <c r="N10" i="18"/>
  <c r="O10" i="18" s="1"/>
  <c r="X24" i="18"/>
  <c r="Y24" i="18" s="1"/>
  <c r="T24" i="18"/>
  <c r="U24" i="18" s="1"/>
  <c r="BJ24" i="18"/>
  <c r="BK24" i="18" s="1"/>
  <c r="R17" i="18"/>
  <c r="S17" i="18" s="1"/>
  <c r="Z23" i="18"/>
  <c r="AA23" i="18" s="1"/>
  <c r="BD16" i="18"/>
  <c r="BE16" i="18" s="1"/>
  <c r="T22" i="18"/>
  <c r="U22" i="18" s="1"/>
  <c r="AH10" i="18"/>
  <c r="AI10" i="18" s="1"/>
  <c r="BJ10" i="18"/>
  <c r="BK10" i="18" s="1"/>
  <c r="Z24" i="18"/>
  <c r="AA24" i="18" s="1"/>
  <c r="AZ16" i="18"/>
  <c r="BA16" i="18" s="1"/>
  <c r="AX11" i="18"/>
  <c r="AY11" i="18" s="1"/>
  <c r="P26" i="18"/>
  <c r="Q26" i="18" s="1"/>
  <c r="AJ24" i="18"/>
  <c r="AK24" i="18" s="1"/>
  <c r="AB19" i="18"/>
  <c r="AC19" i="18" s="1"/>
  <c r="AR16" i="18"/>
  <c r="AS16" i="18" s="1"/>
  <c r="AB13" i="18"/>
  <c r="AC13" i="18" s="1"/>
  <c r="AV13" i="18"/>
  <c r="AW13" i="18" s="1"/>
  <c r="AX22" i="18"/>
  <c r="AY22" i="18" s="1"/>
  <c r="P10" i="18"/>
  <c r="Q10" i="18" s="1"/>
  <c r="BN10" i="18"/>
  <c r="BO10" i="18" s="1"/>
  <c r="V24" i="18"/>
  <c r="W24" i="18" s="1"/>
  <c r="AL24" i="18"/>
  <c r="AM24" i="18" s="1"/>
  <c r="X17" i="18"/>
  <c r="Y17" i="18" s="1"/>
  <c r="Z17" i="18"/>
  <c r="AA17" i="18" s="1"/>
  <c r="BH19" i="18"/>
  <c r="BI19" i="18" s="1"/>
  <c r="BD15" i="18"/>
  <c r="BE15" i="18" s="1"/>
  <c r="V16" i="18"/>
  <c r="W16" i="18" s="1"/>
  <c r="AX13" i="18"/>
  <c r="AY13" i="18" s="1"/>
  <c r="R21" i="18"/>
  <c r="S21" i="18" s="1"/>
  <c r="Z22" i="18"/>
  <c r="AA22" i="18" s="1"/>
  <c r="BF22" i="18"/>
  <c r="BG22" i="18" s="1"/>
  <c r="AD10" i="18"/>
  <c r="AE10" i="18" s="1"/>
  <c r="BD10" i="18"/>
  <c r="BE10" i="18" s="1"/>
  <c r="BD24" i="18"/>
  <c r="BE24" i="18" s="1"/>
  <c r="BN17" i="18"/>
  <c r="BO17" i="18" s="1"/>
  <c r="N16" i="18"/>
  <c r="O16" i="18" s="1"/>
  <c r="AN18" i="18"/>
  <c r="AO18" i="18" s="1"/>
  <c r="X21" i="18"/>
  <c r="Y21" i="18" s="1"/>
  <c r="AH26" i="18"/>
  <c r="AI26" i="18" s="1"/>
  <c r="BL22" i="18"/>
  <c r="BM22" i="18" s="1"/>
  <c r="AB10" i="18"/>
  <c r="AC10" i="18" s="1"/>
  <c r="BN12" i="18"/>
  <c r="BO12" i="18" s="1"/>
  <c r="BJ16" i="18"/>
  <c r="BK16" i="18" s="1"/>
  <c r="BD20" i="18"/>
  <c r="BE20" i="18" s="1"/>
  <c r="AH12" i="18"/>
  <c r="AI12" i="18" s="1"/>
  <c r="BH12" i="18"/>
  <c r="BI12" i="18" s="1"/>
  <c r="BH15" i="18"/>
  <c r="BI15" i="18" s="1"/>
  <c r="AZ18" i="18"/>
  <c r="BA18" i="18" s="1"/>
  <c r="Z21" i="18"/>
  <c r="AA21" i="18" s="1"/>
  <c r="AV11" i="18"/>
  <c r="AW11" i="18" s="1"/>
  <c r="BJ11" i="18"/>
  <c r="BK11" i="18" s="1"/>
  <c r="AD26" i="18"/>
  <c r="AE26" i="18" s="1"/>
  <c r="AP26" i="18"/>
  <c r="AQ26" i="18" s="1"/>
  <c r="BF12" i="18"/>
  <c r="BG12" i="18" s="1"/>
  <c r="BN15" i="18"/>
  <c r="BO15" i="18" s="1"/>
  <c r="BL18" i="18"/>
  <c r="BM18" i="18" s="1"/>
  <c r="BL11" i="18"/>
  <c r="BM11" i="18" s="1"/>
  <c r="AT12" i="18"/>
  <c r="AU12" i="18" s="1"/>
  <c r="BN23" i="18"/>
  <c r="BO23" i="18" s="1"/>
  <c r="AP18" i="18"/>
  <c r="AQ18" i="18" s="1"/>
  <c r="V21" i="18"/>
  <c r="W21" i="18" s="1"/>
  <c r="AR21" i="18"/>
  <c r="AS21" i="18" s="1"/>
  <c r="BH21" i="18"/>
  <c r="BI21" i="18" s="1"/>
  <c r="AL11" i="18"/>
  <c r="AM11" i="18" s="1"/>
  <c r="AL14" i="18"/>
  <c r="AM14" i="18" s="1"/>
  <c r="Z26" i="18"/>
  <c r="AA26" i="18" s="1"/>
  <c r="BB26" i="18"/>
  <c r="BC26" i="18" s="1"/>
  <c r="N20" i="18"/>
  <c r="O20" i="18" s="1"/>
  <c r="BD25" i="18"/>
  <c r="BE25" i="18" s="1"/>
  <c r="AN12" i="18"/>
  <c r="AO12" i="18" s="1"/>
  <c r="N23" i="18"/>
  <c r="O23" i="18" s="1"/>
  <c r="BB23" i="18"/>
  <c r="BC23" i="18" s="1"/>
  <c r="AT15" i="18"/>
  <c r="AU15" i="18" s="1"/>
  <c r="AP21" i="18"/>
  <c r="AQ21" i="18" s="1"/>
  <c r="AV21" i="18"/>
  <c r="AW21" i="18" s="1"/>
  <c r="BB21" i="18"/>
  <c r="BC21" i="18" s="1"/>
  <c r="AB11" i="18"/>
  <c r="AC11" i="18" s="1"/>
  <c r="BF14" i="18"/>
  <c r="BG14" i="18" s="1"/>
  <c r="AB26" i="18"/>
  <c r="AC26" i="18" s="1"/>
  <c r="AX26" i="18"/>
  <c r="AY26" i="18" s="1"/>
  <c r="P25" i="18"/>
  <c r="Q25" i="18" s="1"/>
  <c r="AZ25" i="18"/>
  <c r="BA25" i="18" s="1"/>
  <c r="AR12" i="18"/>
  <c r="AS12" i="18" s="1"/>
  <c r="AD12" i="18"/>
  <c r="AE12" i="18" s="1"/>
  <c r="R23" i="18"/>
  <c r="S23" i="18" s="1"/>
  <c r="AZ23" i="18"/>
  <c r="BA23" i="18" s="1"/>
  <c r="BL16" i="18"/>
  <c r="BM16" i="18" s="1"/>
  <c r="T21" i="18"/>
  <c r="U21" i="18" s="1"/>
  <c r="BN21" i="18"/>
  <c r="BO21" i="18" s="1"/>
  <c r="AF11" i="18"/>
  <c r="AG11" i="18" s="1"/>
  <c r="V26" i="18"/>
  <c r="W26" i="18" s="1"/>
  <c r="BJ26" i="18"/>
  <c r="BK26" i="18" s="1"/>
  <c r="AB20" i="18"/>
  <c r="AC20" i="18" s="1"/>
  <c r="AB22" i="18"/>
  <c r="AC22" i="18" s="1"/>
  <c r="BJ22" i="18"/>
  <c r="BK22" i="18" s="1"/>
  <c r="AH24" i="18"/>
  <c r="AI24" i="18" s="1"/>
  <c r="AF24" i="18"/>
  <c r="AG24" i="18" s="1"/>
  <c r="BF24" i="18"/>
  <c r="BG24" i="18" s="1"/>
  <c r="T17" i="18"/>
  <c r="U17" i="18" s="1"/>
  <c r="BD17" i="18"/>
  <c r="BE17" i="18" s="1"/>
  <c r="BD19" i="18"/>
  <c r="BE19" i="18" s="1"/>
  <c r="AT23" i="18"/>
  <c r="AU23" i="18" s="1"/>
  <c r="BH23" i="18"/>
  <c r="BI23" i="18" s="1"/>
  <c r="BN16" i="18"/>
  <c r="BO16" i="18" s="1"/>
  <c r="BL13" i="18"/>
  <c r="BM13" i="18" s="1"/>
  <c r="AT21" i="18"/>
  <c r="AU21" i="18" s="1"/>
  <c r="AD21" i="18"/>
  <c r="AE21" i="18" s="1"/>
  <c r="BJ21" i="18"/>
  <c r="BK21" i="18" s="1"/>
  <c r="T26" i="18"/>
  <c r="U26" i="18" s="1"/>
  <c r="AN26" i="18"/>
  <c r="AO26" i="18" s="1"/>
  <c r="X22" i="18"/>
  <c r="Y22" i="18" s="1"/>
  <c r="AD22" i="18"/>
  <c r="AE22" i="18" s="1"/>
  <c r="BN22" i="18"/>
  <c r="BO22" i="18" s="1"/>
  <c r="AB24" i="18"/>
  <c r="AC24" i="18" s="1"/>
  <c r="AX24" i="18"/>
  <c r="AY24" i="18" s="1"/>
  <c r="X12" i="18"/>
  <c r="Y12" i="18" s="1"/>
  <c r="V12" i="18"/>
  <c r="W12" i="18" s="1"/>
  <c r="P17" i="18"/>
  <c r="Q17" i="18" s="1"/>
  <c r="AR17" i="18"/>
  <c r="AS17" i="18" s="1"/>
  <c r="AZ17" i="18"/>
  <c r="BA17" i="18" s="1"/>
  <c r="AD23" i="18"/>
  <c r="AE23" i="18" s="1"/>
  <c r="BJ23" i="18"/>
  <c r="BK23" i="18" s="1"/>
  <c r="AH15" i="18"/>
  <c r="AI15" i="18" s="1"/>
  <c r="AR15" i="18"/>
  <c r="AS15" i="18" s="1"/>
  <c r="BB16" i="18"/>
  <c r="BC16" i="18" s="1"/>
  <c r="AJ13" i="18"/>
  <c r="AK13" i="18" s="1"/>
  <c r="BH13" i="18"/>
  <c r="BI13" i="18" s="1"/>
  <c r="BF21" i="18"/>
  <c r="BG21" i="18" s="1"/>
  <c r="AJ11" i="18"/>
  <c r="AK11" i="18" s="1"/>
  <c r="AT11" i="18"/>
  <c r="AU11" i="18" s="1"/>
  <c r="AJ14" i="18"/>
  <c r="AK14" i="18" s="1"/>
  <c r="N26" i="18"/>
  <c r="O26" i="18" s="1"/>
  <c r="Z20" i="18"/>
  <c r="AA20" i="18" s="1"/>
  <c r="BN12" i="17"/>
  <c r="AX12" i="17"/>
  <c r="AH12" i="17"/>
  <c r="R12" i="17"/>
  <c r="BL12" i="17"/>
  <c r="AV12" i="17"/>
  <c r="AF12" i="17"/>
  <c r="P12" i="17"/>
  <c r="BJ12" i="17"/>
  <c r="AT12" i="17"/>
  <c r="AD12" i="17"/>
  <c r="N12" i="17"/>
  <c r="BH12" i="17"/>
  <c r="AR12" i="17"/>
  <c r="AB12" i="17"/>
  <c r="BF12" i="17"/>
  <c r="AP12" i="17"/>
  <c r="Z12" i="17"/>
  <c r="BD12" i="17"/>
  <c r="AN12" i="17"/>
  <c r="X12" i="17"/>
  <c r="BB12" i="17"/>
  <c r="AL12" i="17"/>
  <c r="V12" i="17"/>
  <c r="AZ12" i="17"/>
  <c r="AJ12" i="17"/>
  <c r="T12" i="17"/>
  <c r="AF25" i="18"/>
  <c r="AG25" i="18" s="1"/>
  <c r="R25" i="18"/>
  <c r="S25" i="18" s="1"/>
  <c r="BL25" i="18"/>
  <c r="BM25" i="18" s="1"/>
  <c r="AZ19" i="18"/>
  <c r="BA19" i="18" s="1"/>
  <c r="BL15" i="18"/>
  <c r="BM15" i="18" s="1"/>
  <c r="AR18" i="18"/>
  <c r="AS18" i="18" s="1"/>
  <c r="BB18" i="18"/>
  <c r="BC18" i="18" s="1"/>
  <c r="BH14" i="18"/>
  <c r="BI14" i="18" s="1"/>
  <c r="BJ20" i="18"/>
  <c r="BK20" i="18" s="1"/>
  <c r="BN20" i="18"/>
  <c r="BO20" i="18" s="1"/>
  <c r="BB14" i="17"/>
  <c r="AL14" i="17"/>
  <c r="V14" i="17"/>
  <c r="AZ14" i="17"/>
  <c r="AJ14" i="17"/>
  <c r="T14" i="17"/>
  <c r="BN14" i="17"/>
  <c r="AX14" i="17"/>
  <c r="AH14" i="17"/>
  <c r="R14" i="17"/>
  <c r="BL14" i="17"/>
  <c r="AV14" i="17"/>
  <c r="AF14" i="17"/>
  <c r="P14" i="17"/>
  <c r="BJ14" i="17"/>
  <c r="AT14" i="17"/>
  <c r="AD14" i="17"/>
  <c r="N14" i="17"/>
  <c r="BH14" i="17"/>
  <c r="AR14" i="17"/>
  <c r="AB14" i="17"/>
  <c r="BF14" i="17"/>
  <c r="AP14" i="17"/>
  <c r="Z14" i="17"/>
  <c r="BD14" i="17"/>
  <c r="AN14" i="17"/>
  <c r="X14" i="17"/>
  <c r="V20" i="18"/>
  <c r="W20" i="18" s="1"/>
  <c r="BB20" i="18"/>
  <c r="BC20" i="18" s="1"/>
  <c r="BB22" i="18"/>
  <c r="BC22" i="18" s="1"/>
  <c r="AJ10" i="18"/>
  <c r="AK10" i="18" s="1"/>
  <c r="V10" i="18"/>
  <c r="W10" i="18" s="1"/>
  <c r="BL10" i="18"/>
  <c r="BM10" i="18" s="1"/>
  <c r="AJ25" i="18"/>
  <c r="AK25" i="18" s="1"/>
  <c r="BF25" i="18"/>
  <c r="BG25" i="18" s="1"/>
  <c r="BH25" i="18"/>
  <c r="BI25" i="18" s="1"/>
  <c r="R24" i="18"/>
  <c r="S24" i="18" s="1"/>
  <c r="P24" i="18"/>
  <c r="Q24" i="18" s="1"/>
  <c r="BN24" i="18"/>
  <c r="BO24" i="18" s="1"/>
  <c r="AF12" i="18"/>
  <c r="AG12" i="18" s="1"/>
  <c r="BJ12" i="18"/>
  <c r="BK12" i="18" s="1"/>
  <c r="AT17" i="18"/>
  <c r="AU17" i="18" s="1"/>
  <c r="N17" i="18"/>
  <c r="O17" i="18" s="1"/>
  <c r="BL17" i="18"/>
  <c r="BM17" i="18" s="1"/>
  <c r="N19" i="18"/>
  <c r="O19" i="18" s="1"/>
  <c r="Z19" i="18"/>
  <c r="AA19" i="18" s="1"/>
  <c r="BL19" i="18"/>
  <c r="BM19" i="18" s="1"/>
  <c r="V23" i="18"/>
  <c r="W23" i="18" s="1"/>
  <c r="T23" i="18"/>
  <c r="U23" i="18" s="1"/>
  <c r="BF23" i="18"/>
  <c r="BG23" i="18" s="1"/>
  <c r="AN15" i="18"/>
  <c r="AO15" i="18" s="1"/>
  <c r="AF15" i="18"/>
  <c r="AG15" i="18" s="1"/>
  <c r="BJ15" i="18"/>
  <c r="BK15" i="18" s="1"/>
  <c r="R16" i="18"/>
  <c r="S16" i="18" s="1"/>
  <c r="BF16" i="18"/>
  <c r="BG16" i="18" s="1"/>
  <c r="AD13" i="18"/>
  <c r="AE13" i="18" s="1"/>
  <c r="AH13" i="18"/>
  <c r="AI13" i="18" s="1"/>
  <c r="AR13" i="18"/>
  <c r="AS13" i="18" s="1"/>
  <c r="BF13" i="18"/>
  <c r="BG13" i="18" s="1"/>
  <c r="BH18" i="18"/>
  <c r="BI18" i="18" s="1"/>
  <c r="AX18" i="18"/>
  <c r="AY18" i="18" s="1"/>
  <c r="N21" i="18"/>
  <c r="O21" i="18" s="1"/>
  <c r="AZ21" i="18"/>
  <c r="BA21" i="18" s="1"/>
  <c r="AP11" i="18"/>
  <c r="AQ11" i="18" s="1"/>
  <c r="AH11" i="18"/>
  <c r="AI11" i="18" s="1"/>
  <c r="BN11" i="18"/>
  <c r="BO11" i="18" s="1"/>
  <c r="AR14" i="18"/>
  <c r="AS14" i="18" s="1"/>
  <c r="AP14" i="18"/>
  <c r="AQ14" i="18" s="1"/>
  <c r="BJ14" i="18"/>
  <c r="BK14" i="18" s="1"/>
  <c r="BN14" i="18"/>
  <c r="BO14" i="18" s="1"/>
  <c r="X26" i="18"/>
  <c r="Y26" i="18" s="1"/>
  <c r="AL26" i="18"/>
  <c r="AM26" i="18" s="1"/>
  <c r="BF26" i="18"/>
  <c r="BG26" i="18" s="1"/>
  <c r="AX20" i="18"/>
  <c r="AY20" i="18" s="1"/>
  <c r="BL21" i="17"/>
  <c r="AV21" i="17"/>
  <c r="AF21" i="17"/>
  <c r="P21" i="17"/>
  <c r="BJ21" i="17"/>
  <c r="AT21" i="17"/>
  <c r="AD21" i="17"/>
  <c r="N21" i="17"/>
  <c r="BF21" i="17"/>
  <c r="AP21" i="17"/>
  <c r="Z21" i="17"/>
  <c r="BD21" i="17"/>
  <c r="AN21" i="17"/>
  <c r="X21" i="17"/>
  <c r="AZ21" i="17"/>
  <c r="AJ21" i="17"/>
  <c r="T21" i="17"/>
  <c r="AR21" i="17"/>
  <c r="AL21" i="17"/>
  <c r="AH21" i="17"/>
  <c r="AB21" i="17"/>
  <c r="BN21" i="17"/>
  <c r="V21" i="17"/>
  <c r="BH21" i="17"/>
  <c r="R21" i="17"/>
  <c r="BB21" i="17"/>
  <c r="AX21" i="17"/>
  <c r="BH10" i="18"/>
  <c r="BI10" i="18" s="1"/>
  <c r="BB25" i="18"/>
  <c r="BC25" i="18" s="1"/>
  <c r="AX12" i="18"/>
  <c r="AY12" i="18" s="1"/>
  <c r="BF17" i="18"/>
  <c r="BG17" i="18" s="1"/>
  <c r="BB19" i="18"/>
  <c r="BC19" i="18" s="1"/>
  <c r="AX19" i="18"/>
  <c r="AY19" i="18" s="1"/>
  <c r="AL15" i="18"/>
  <c r="AM15" i="18" s="1"/>
  <c r="BB15" i="18"/>
  <c r="BC15" i="18" s="1"/>
  <c r="AZ15" i="18"/>
  <c r="BA15" i="18" s="1"/>
  <c r="BD13" i="18"/>
  <c r="BE13" i="18" s="1"/>
  <c r="AV18" i="18"/>
  <c r="AW18" i="18" s="1"/>
  <c r="BD18" i="18"/>
  <c r="BE18" i="18" s="1"/>
  <c r="AZ11" i="18"/>
  <c r="BA11" i="18" s="1"/>
  <c r="AF14" i="18"/>
  <c r="AG14" i="18" s="1"/>
  <c r="N14" i="18"/>
  <c r="O14" i="18" s="1"/>
  <c r="BL14" i="18"/>
  <c r="BM14" i="18" s="1"/>
  <c r="AF26" i="18"/>
  <c r="AG26" i="18" s="1"/>
  <c r="BN26" i="18"/>
  <c r="BO26" i="18" s="1"/>
  <c r="T20" i="18"/>
  <c r="U20" i="18" s="1"/>
  <c r="BL20" i="18"/>
  <c r="BM20" i="18" s="1"/>
  <c r="Z10" i="18"/>
  <c r="AA10" i="18" s="1"/>
  <c r="R10" i="18"/>
  <c r="S10" i="18" s="1"/>
  <c r="AX10" i="18"/>
  <c r="AY10" i="18" s="1"/>
  <c r="BF10" i="18"/>
  <c r="BG10" i="18" s="1"/>
  <c r="X25" i="18"/>
  <c r="Y25" i="18" s="1"/>
  <c r="BJ25" i="18"/>
  <c r="BK25" i="18" s="1"/>
  <c r="BL24" i="18"/>
  <c r="BM24" i="18" s="1"/>
  <c r="AJ12" i="18"/>
  <c r="AK12" i="18" s="1"/>
  <c r="AL12" i="18"/>
  <c r="AM12" i="18" s="1"/>
  <c r="BL12" i="18"/>
  <c r="BM12" i="18" s="1"/>
  <c r="BD12" i="18"/>
  <c r="BE12" i="18" s="1"/>
  <c r="AN17" i="18"/>
  <c r="AO17" i="18" s="1"/>
  <c r="AX17" i="18"/>
  <c r="AY17" i="18" s="1"/>
  <c r="BB17" i="18"/>
  <c r="BC17" i="18" s="1"/>
  <c r="AT19" i="18"/>
  <c r="AU19" i="18" s="1"/>
  <c r="P19" i="18"/>
  <c r="Q19" i="18" s="1"/>
  <c r="BJ19" i="18"/>
  <c r="BK19" i="18" s="1"/>
  <c r="AR23" i="18"/>
  <c r="AS23" i="18" s="1"/>
  <c r="AP23" i="18"/>
  <c r="AQ23" i="18" s="1"/>
  <c r="BL23" i="18"/>
  <c r="BM23" i="18" s="1"/>
  <c r="AV15" i="18"/>
  <c r="AW15" i="18" s="1"/>
  <c r="R15" i="18"/>
  <c r="S15" i="18" s="1"/>
  <c r="BF15" i="18"/>
  <c r="BG15" i="18" s="1"/>
  <c r="AV16" i="18"/>
  <c r="AW16" i="18" s="1"/>
  <c r="AD16" i="18"/>
  <c r="AE16" i="18" s="1"/>
  <c r="AT16" i="18"/>
  <c r="AU16" i="18" s="1"/>
  <c r="AX16" i="18"/>
  <c r="AY16" i="18" s="1"/>
  <c r="AT13" i="18"/>
  <c r="AU13" i="18" s="1"/>
  <c r="BN13" i="18"/>
  <c r="BO13" i="18" s="1"/>
  <c r="BJ18" i="18"/>
  <c r="BK18" i="18" s="1"/>
  <c r="AD11" i="18"/>
  <c r="AE11" i="18" s="1"/>
  <c r="BF11" i="18"/>
  <c r="BG11" i="18" s="1"/>
  <c r="BB14" i="18"/>
  <c r="BC14" i="18" s="1"/>
  <c r="BJ10" i="17"/>
  <c r="AT10" i="17"/>
  <c r="AD10" i="17"/>
  <c r="N10" i="17"/>
  <c r="BH10" i="17"/>
  <c r="AR10" i="17"/>
  <c r="AB10" i="17"/>
  <c r="BF10" i="17"/>
  <c r="AP10" i="17"/>
  <c r="Z10" i="17"/>
  <c r="BD10" i="17"/>
  <c r="AN10" i="17"/>
  <c r="X10" i="17"/>
  <c r="BB10" i="17"/>
  <c r="AL10" i="17"/>
  <c r="V10" i="17"/>
  <c r="AZ10" i="17"/>
  <c r="AJ10" i="17"/>
  <c r="T10" i="17"/>
  <c r="BN10" i="17"/>
  <c r="AX10" i="17"/>
  <c r="AH10" i="17"/>
  <c r="R10" i="17"/>
  <c r="BL10" i="17"/>
  <c r="AV10" i="17"/>
  <c r="AF10" i="17"/>
  <c r="P10" i="17"/>
  <c r="BH13" i="17"/>
  <c r="AR13" i="17"/>
  <c r="AB13" i="17"/>
  <c r="BF13" i="17"/>
  <c r="AP13" i="17"/>
  <c r="Z13" i="17"/>
  <c r="BD13" i="17"/>
  <c r="AN13" i="17"/>
  <c r="X13" i="17"/>
  <c r="BB13" i="17"/>
  <c r="AL13" i="17"/>
  <c r="V13" i="17"/>
  <c r="AZ13" i="17"/>
  <c r="AJ13" i="17"/>
  <c r="T13" i="17"/>
  <c r="BN13" i="17"/>
  <c r="AX13" i="17"/>
  <c r="AH13" i="17"/>
  <c r="R13" i="17"/>
  <c r="BL13" i="17"/>
  <c r="AV13" i="17"/>
  <c r="AF13" i="17"/>
  <c r="P13" i="17"/>
  <c r="BJ13" i="17"/>
  <c r="AT13" i="17"/>
  <c r="AD13" i="17"/>
  <c r="N13" i="17"/>
  <c r="P20" i="18"/>
  <c r="Q20" i="18" s="1"/>
  <c r="R20" i="18"/>
  <c r="S20" i="18" s="1"/>
  <c r="BF20" i="18"/>
  <c r="BG20" i="18" s="1"/>
  <c r="BH22" i="18"/>
  <c r="BI22" i="18" s="1"/>
  <c r="AT10" i="18"/>
  <c r="AU10" i="18" s="1"/>
  <c r="AN10" i="18"/>
  <c r="AO10" i="18" s="1"/>
  <c r="AZ10" i="18"/>
  <c r="BA10" i="18" s="1"/>
  <c r="AD25" i="18"/>
  <c r="AE25" i="18" s="1"/>
  <c r="AL25" i="18"/>
  <c r="AM25" i="18" s="1"/>
  <c r="BN25" i="18"/>
  <c r="BO25" i="18" s="1"/>
  <c r="AZ24" i="18"/>
  <c r="BA24" i="18" s="1"/>
  <c r="AB12" i="18"/>
  <c r="AC12" i="18" s="1"/>
  <c r="BB12" i="18"/>
  <c r="BC12" i="18" s="1"/>
  <c r="BJ17" i="18"/>
  <c r="BK17" i="18" s="1"/>
  <c r="AR19" i="18"/>
  <c r="AS19" i="18" s="1"/>
  <c r="AV19" i="18"/>
  <c r="AW19" i="18" s="1"/>
  <c r="BF19" i="18"/>
  <c r="BG19" i="18" s="1"/>
  <c r="AB23" i="18"/>
  <c r="AC23" i="18" s="1"/>
  <c r="P23" i="18"/>
  <c r="Q23" i="18" s="1"/>
  <c r="AX23" i="18"/>
  <c r="AY23" i="18" s="1"/>
  <c r="AX15" i="18"/>
  <c r="AY15" i="18" s="1"/>
  <c r="AB16" i="18"/>
  <c r="AC16" i="18" s="1"/>
  <c r="AH16" i="18"/>
  <c r="AI16" i="18" s="1"/>
  <c r="AP16" i="18"/>
  <c r="AQ16" i="18" s="1"/>
  <c r="BH16" i="18"/>
  <c r="BI16" i="18" s="1"/>
  <c r="AN13" i="18"/>
  <c r="AO13" i="18" s="1"/>
  <c r="AL13" i="18"/>
  <c r="AM13" i="18" s="1"/>
  <c r="BB13" i="18"/>
  <c r="BC13" i="18" s="1"/>
  <c r="AZ13" i="18"/>
  <c r="BA13" i="18" s="1"/>
  <c r="N18" i="18"/>
  <c r="O18" i="18" s="1"/>
  <c r="R18" i="18"/>
  <c r="S18" i="18" s="1"/>
  <c r="BF18" i="18"/>
  <c r="BG18" i="18" s="1"/>
  <c r="BL21" i="18"/>
  <c r="BM21" i="18" s="1"/>
  <c r="AR11" i="18"/>
  <c r="AS11" i="18" s="1"/>
  <c r="BH11" i="18"/>
  <c r="BI11" i="18" s="1"/>
  <c r="BB11" i="18"/>
  <c r="BC11" i="18" s="1"/>
  <c r="AN14" i="18"/>
  <c r="AO14" i="18" s="1"/>
  <c r="BD14" i="18"/>
  <c r="BE14" i="18" s="1"/>
  <c r="BD26" i="18"/>
  <c r="BE26" i="18" s="1"/>
  <c r="BF16" i="17"/>
  <c r="AP16" i="17"/>
  <c r="Z16" i="17"/>
  <c r="BD16" i="17"/>
  <c r="AN16" i="17"/>
  <c r="X16" i="17"/>
  <c r="BB16" i="17"/>
  <c r="AL16" i="17"/>
  <c r="V16" i="17"/>
  <c r="AZ16" i="17"/>
  <c r="AJ16" i="17"/>
  <c r="T16" i="17"/>
  <c r="BN16" i="17"/>
  <c r="AX16" i="17"/>
  <c r="AH16" i="17"/>
  <c r="R16" i="17"/>
  <c r="BL16" i="17"/>
  <c r="AV16" i="17"/>
  <c r="AF16" i="17"/>
  <c r="P16" i="17"/>
  <c r="BJ16" i="17"/>
  <c r="AT16" i="17"/>
  <c r="AD16" i="17"/>
  <c r="N16" i="17"/>
  <c r="BH16" i="17"/>
  <c r="AR16" i="17"/>
  <c r="AB16" i="17"/>
  <c r="AD20" i="18"/>
  <c r="AE20" i="18" s="1"/>
  <c r="X20" i="18"/>
  <c r="Y20" i="18" s="1"/>
  <c r="AZ20" i="18"/>
  <c r="BA20" i="18" s="1"/>
  <c r="T10" i="18"/>
  <c r="U10" i="18" s="1"/>
  <c r="V25" i="18"/>
  <c r="W25" i="18" s="1"/>
  <c r="N25" i="18"/>
  <c r="O25" i="18" s="1"/>
  <c r="AX25" i="18"/>
  <c r="AY25" i="18" s="1"/>
  <c r="AP12" i="18"/>
  <c r="AQ12" i="18" s="1"/>
  <c r="Z12" i="18"/>
  <c r="AA12" i="18" s="1"/>
  <c r="AZ12" i="18"/>
  <c r="BA12" i="18" s="1"/>
  <c r="AP17" i="18"/>
  <c r="AQ17" i="18" s="1"/>
  <c r="T19" i="18"/>
  <c r="U19" i="18" s="1"/>
  <c r="X23" i="18"/>
  <c r="Y23" i="18" s="1"/>
  <c r="BD23" i="18"/>
  <c r="BE23" i="18" s="1"/>
  <c r="AJ15" i="18"/>
  <c r="AK15" i="18" s="1"/>
  <c r="T16" i="18"/>
  <c r="U16" i="18" s="1"/>
  <c r="P16" i="18"/>
  <c r="Q16" i="18" s="1"/>
  <c r="AP13" i="18"/>
  <c r="AQ13" i="18" s="1"/>
  <c r="AF13" i="18"/>
  <c r="AG13" i="18" s="1"/>
  <c r="T18" i="18"/>
  <c r="U18" i="18" s="1"/>
  <c r="P18" i="18"/>
  <c r="Q18" i="18" s="1"/>
  <c r="BN18" i="18"/>
  <c r="BO18" i="18" s="1"/>
  <c r="AB21" i="18"/>
  <c r="AC21" i="18" s="1"/>
  <c r="BD11" i="18"/>
  <c r="BE11" i="18" s="1"/>
  <c r="AH14" i="18"/>
  <c r="AI14" i="18" s="1"/>
  <c r="AT14" i="18"/>
  <c r="AU14" i="18" s="1"/>
  <c r="AV14" i="18"/>
  <c r="AW14" i="18" s="1"/>
  <c r="AZ14" i="18"/>
  <c r="BA14" i="18" s="1"/>
  <c r="AZ26" i="18"/>
  <c r="BA26" i="18" s="1"/>
  <c r="BL15" i="17"/>
  <c r="AV15" i="17"/>
  <c r="AF15" i="17"/>
  <c r="P15" i="17"/>
  <c r="BJ15" i="17"/>
  <c r="AT15" i="17"/>
  <c r="AD15" i="17"/>
  <c r="N15" i="17"/>
  <c r="BH15" i="17"/>
  <c r="AR15" i="17"/>
  <c r="AB15" i="17"/>
  <c r="BF15" i="17"/>
  <c r="AP15" i="17"/>
  <c r="Z15" i="17"/>
  <c r="BD15" i="17"/>
  <c r="AN15" i="17"/>
  <c r="X15" i="17"/>
  <c r="BB15" i="17"/>
  <c r="AL15" i="17"/>
  <c r="V15" i="17"/>
  <c r="AZ15" i="17"/>
  <c r="AJ15" i="17"/>
  <c r="T15" i="17"/>
  <c r="BN15" i="17"/>
  <c r="AX15" i="17"/>
  <c r="AH15" i="17"/>
  <c r="R15" i="17"/>
  <c r="BH20" i="18"/>
  <c r="BI20" i="18" s="1"/>
  <c r="AZ17" i="17"/>
  <c r="AJ17" i="17"/>
  <c r="T17" i="17"/>
  <c r="BN17" i="17"/>
  <c r="AX17" i="17"/>
  <c r="AH17" i="17"/>
  <c r="R17" i="17"/>
  <c r="BL17" i="17"/>
  <c r="AV17" i="17"/>
  <c r="AF17" i="17"/>
  <c r="P17" i="17"/>
  <c r="BJ17" i="17"/>
  <c r="AT17" i="17"/>
  <c r="AD17" i="17"/>
  <c r="N17" i="17"/>
  <c r="BH17" i="17"/>
  <c r="AR17" i="17"/>
  <c r="AB17" i="17"/>
  <c r="BF17" i="17"/>
  <c r="AP17" i="17"/>
  <c r="Z17" i="17"/>
  <c r="BD17" i="17"/>
  <c r="AN17" i="17"/>
  <c r="X17" i="17"/>
  <c r="BB17" i="17"/>
  <c r="AL17" i="17"/>
  <c r="V17" i="17"/>
  <c r="AV20" i="18"/>
  <c r="AW20" i="18" s="1"/>
  <c r="Z25" i="18"/>
  <c r="AA25" i="18" s="1"/>
  <c r="AH25" i="18"/>
  <c r="AI25" i="18" s="1"/>
  <c r="AB25" i="18"/>
  <c r="AC25" i="18" s="1"/>
  <c r="X19" i="18"/>
  <c r="Y19" i="18" s="1"/>
  <c r="V19" i="18"/>
  <c r="W19" i="18" s="1"/>
  <c r="N15" i="18"/>
  <c r="O15" i="18" s="1"/>
  <c r="P15" i="18"/>
  <c r="Q15" i="18" s="1"/>
  <c r="V18" i="18"/>
  <c r="W18" i="18" s="1"/>
  <c r="AT18" i="18"/>
  <c r="AU18" i="18" s="1"/>
  <c r="X18" i="18"/>
  <c r="Y18" i="18" s="1"/>
  <c r="AN11" i="18"/>
  <c r="AO11" i="18" s="1"/>
  <c r="P14" i="18"/>
  <c r="Q14" i="18" s="1"/>
  <c r="AB14" i="18"/>
  <c r="AC14" i="18" s="1"/>
  <c r="AD14" i="18"/>
  <c r="AE14" i="18" s="1"/>
  <c r="AJ26" i="18"/>
  <c r="AK26" i="18" s="1"/>
  <c r="R26" i="18"/>
  <c r="S26" i="18" s="1"/>
  <c r="BL26" i="18"/>
  <c r="BM26" i="18" s="1"/>
  <c r="AV70" i="10"/>
  <c r="AW70" i="10" s="1"/>
  <c r="AF70" i="10"/>
  <c r="AG70" i="10" s="1"/>
  <c r="P70" i="10"/>
  <c r="Q70" i="10" s="1"/>
  <c r="AL69" i="10"/>
  <c r="AM69" i="10" s="1"/>
  <c r="X69" i="10"/>
  <c r="Y69" i="10" s="1"/>
  <c r="AR68" i="10"/>
  <c r="AS68" i="10" s="1"/>
  <c r="AB68" i="10"/>
  <c r="AC68" i="10" s="1"/>
  <c r="AJ67" i="10"/>
  <c r="AK67" i="10" s="1"/>
  <c r="T67" i="10"/>
  <c r="U67" i="10" s="1"/>
  <c r="AN66" i="10"/>
  <c r="AO66" i="10" s="1"/>
  <c r="Z66" i="10"/>
  <c r="AA66" i="10" s="1"/>
  <c r="AH65" i="10"/>
  <c r="AI65" i="10" s="1"/>
  <c r="R65" i="10"/>
  <c r="S65" i="10" s="1"/>
  <c r="AL64" i="10"/>
  <c r="AM64" i="10" s="1"/>
  <c r="X64" i="10"/>
  <c r="Y64" i="10" s="1"/>
  <c r="AF63" i="10"/>
  <c r="AG63" i="10" s="1"/>
  <c r="P63" i="10"/>
  <c r="Q63" i="10" s="1"/>
  <c r="AL62" i="10"/>
  <c r="AM62" i="10" s="1"/>
  <c r="X62" i="10"/>
  <c r="Y62" i="10" s="1"/>
  <c r="AR61" i="10"/>
  <c r="AS61" i="10" s="1"/>
  <c r="AB61" i="10"/>
  <c r="AC61" i="10" s="1"/>
  <c r="T60" i="10"/>
  <c r="U60" i="10" s="1"/>
  <c r="AN59" i="10"/>
  <c r="AO59" i="10" s="1"/>
  <c r="X59" i="10"/>
  <c r="Y59" i="10" s="1"/>
  <c r="AT47" i="10"/>
  <c r="AU47" i="10" s="1"/>
  <c r="AF47" i="10"/>
  <c r="AG47" i="10" s="1"/>
  <c r="P47" i="10"/>
  <c r="Q47" i="10" s="1"/>
  <c r="AJ46" i="10"/>
  <c r="AK46" i="10" s="1"/>
  <c r="V46" i="10"/>
  <c r="W46" i="10" s="1"/>
  <c r="AR45" i="10"/>
  <c r="AS45" i="10" s="1"/>
  <c r="AB45" i="10"/>
  <c r="AC45" i="10" s="1"/>
  <c r="AV44" i="10"/>
  <c r="AW44" i="10" s="1"/>
  <c r="AH44" i="10"/>
  <c r="AI44" i="10" s="1"/>
  <c r="T44" i="10"/>
  <c r="U44" i="10" s="1"/>
  <c r="AP43" i="10"/>
  <c r="AQ43" i="10" s="1"/>
  <c r="Z43" i="10"/>
  <c r="AA43" i="10" s="1"/>
  <c r="AF42" i="10"/>
  <c r="AG42" i="10" s="1"/>
  <c r="P42" i="10"/>
  <c r="Q42" i="10" s="1"/>
  <c r="AJ41" i="10"/>
  <c r="AK41" i="10" s="1"/>
  <c r="T41" i="10"/>
  <c r="U41" i="10" s="1"/>
  <c r="AP40" i="10"/>
  <c r="AQ40" i="10" s="1"/>
  <c r="AB40" i="10"/>
  <c r="AC40" i="10" s="1"/>
  <c r="AH39" i="10"/>
  <c r="AI39" i="10" s="1"/>
  <c r="AN38" i="10"/>
  <c r="AO38" i="10" s="1"/>
  <c r="AB38" i="10"/>
  <c r="AC38" i="10" s="1"/>
  <c r="AV37" i="10"/>
  <c r="AW37" i="10" s="1"/>
  <c r="AF37" i="10"/>
  <c r="AG37" i="10" s="1"/>
  <c r="R37" i="10"/>
  <c r="S37" i="10" s="1"/>
  <c r="AN36" i="10"/>
  <c r="AO36" i="10" s="1"/>
  <c r="Z36" i="10"/>
  <c r="AA36" i="10" s="1"/>
  <c r="AT35" i="10"/>
  <c r="AU35" i="10" s="1"/>
  <c r="AF35" i="10"/>
  <c r="AG35" i="10" s="1"/>
  <c r="R35" i="10"/>
  <c r="S35" i="10" s="1"/>
  <c r="AN34" i="10"/>
  <c r="AO34" i="10" s="1"/>
  <c r="X34" i="10"/>
  <c r="Y34" i="10" s="1"/>
  <c r="AR33" i="10"/>
  <c r="AS33" i="10" s="1"/>
  <c r="AD33" i="10"/>
  <c r="AE33" i="10" s="1"/>
  <c r="R33" i="10"/>
  <c r="S33" i="10" s="1"/>
  <c r="AL32" i="10"/>
  <c r="AM32" i="10" s="1"/>
  <c r="V32" i="10"/>
  <c r="W32" i="10" s="1"/>
  <c r="AR31" i="10"/>
  <c r="AS31" i="10" s="1"/>
  <c r="AD31" i="10"/>
  <c r="AE31" i="10" s="1"/>
  <c r="P31" i="10"/>
  <c r="Q31" i="10" s="1"/>
  <c r="AJ30" i="10"/>
  <c r="AK30" i="10" s="1"/>
  <c r="V30" i="10"/>
  <c r="W30" i="10" s="1"/>
  <c r="AD29" i="10"/>
  <c r="AE29" i="10" s="1"/>
  <c r="AH28" i="10"/>
  <c r="AI28" i="10" s="1"/>
  <c r="T28" i="10"/>
  <c r="U28" i="10" s="1"/>
  <c r="AB27" i="10"/>
  <c r="AC27" i="10" s="1"/>
  <c r="AV26" i="10"/>
  <c r="AW26" i="10" s="1"/>
  <c r="AH26" i="10"/>
  <c r="AI26" i="10" s="1"/>
  <c r="R26" i="10"/>
  <c r="S26" i="10" s="1"/>
  <c r="AN25" i="10"/>
  <c r="AO25" i="10" s="1"/>
  <c r="X25" i="10"/>
  <c r="Y25" i="10" s="1"/>
  <c r="AT70" i="10"/>
  <c r="AU70" i="10" s="1"/>
  <c r="AD70" i="10"/>
  <c r="AE70" i="10" s="1"/>
  <c r="AJ69" i="10"/>
  <c r="AK69" i="10" s="1"/>
  <c r="V69" i="10"/>
  <c r="W69" i="10" s="1"/>
  <c r="AP68" i="10"/>
  <c r="AQ68" i="10" s="1"/>
  <c r="Z68" i="10"/>
  <c r="AA68" i="10" s="1"/>
  <c r="AV67" i="10"/>
  <c r="AW67" i="10" s="1"/>
  <c r="AH67" i="10"/>
  <c r="AI67" i="10" s="1"/>
  <c r="R67" i="10"/>
  <c r="S67" i="10" s="1"/>
  <c r="AL66" i="10"/>
  <c r="AM66" i="10" s="1"/>
  <c r="X66" i="10"/>
  <c r="Y66" i="10" s="1"/>
  <c r="AT65" i="10"/>
  <c r="AU65" i="10" s="1"/>
  <c r="AF65" i="10"/>
  <c r="AG65" i="10" s="1"/>
  <c r="P65" i="10"/>
  <c r="Q65" i="10" s="1"/>
  <c r="AJ64" i="10"/>
  <c r="AK64" i="10" s="1"/>
  <c r="V64" i="10"/>
  <c r="W64" i="10" s="1"/>
  <c r="AT63" i="10"/>
  <c r="AU63" i="10" s="1"/>
  <c r="AD63" i="10"/>
  <c r="AE63" i="10" s="1"/>
  <c r="AJ62" i="10"/>
  <c r="AK62" i="10" s="1"/>
  <c r="V62" i="10"/>
  <c r="W62" i="10" s="1"/>
  <c r="AP61" i="10"/>
  <c r="AQ61" i="10" s="1"/>
  <c r="Z61" i="10"/>
  <c r="AA61" i="10" s="1"/>
  <c r="AV60" i="10"/>
  <c r="AW60" i="10" s="1"/>
  <c r="AH60" i="10"/>
  <c r="AI60" i="10" s="1"/>
  <c r="R60" i="10"/>
  <c r="S60" i="10" s="1"/>
  <c r="AL59" i="10"/>
  <c r="AM59" i="10" s="1"/>
  <c r="AR47" i="10"/>
  <c r="AS47" i="10" s="1"/>
  <c r="AD47" i="10"/>
  <c r="AE47" i="10" s="1"/>
  <c r="AH46" i="10"/>
  <c r="AI46" i="10" s="1"/>
  <c r="T46" i="10"/>
  <c r="U46" i="10" s="1"/>
  <c r="AP45" i="10"/>
  <c r="AQ45" i="10" s="1"/>
  <c r="Z45" i="10"/>
  <c r="AA45" i="10" s="1"/>
  <c r="AT44" i="10"/>
  <c r="AU44" i="10" s="1"/>
  <c r="AF44" i="10"/>
  <c r="AG44" i="10" s="1"/>
  <c r="R44" i="10"/>
  <c r="S44" i="10" s="1"/>
  <c r="AN43" i="10"/>
  <c r="AO43" i="10" s="1"/>
  <c r="X43" i="10"/>
  <c r="Y43" i="10" s="1"/>
  <c r="AT42" i="10"/>
  <c r="AU42" i="10" s="1"/>
  <c r="AD42" i="10"/>
  <c r="AE42" i="10" s="1"/>
  <c r="AH41" i="10"/>
  <c r="AI41" i="10" s="1"/>
  <c r="R41" i="10"/>
  <c r="S41" i="10" s="1"/>
  <c r="AN40" i="10"/>
  <c r="AO40" i="10" s="1"/>
  <c r="Z40" i="10"/>
  <c r="AA40" i="10" s="1"/>
  <c r="AV39" i="10"/>
  <c r="AW39" i="10" s="1"/>
  <c r="AF39" i="10"/>
  <c r="AG39" i="10" s="1"/>
  <c r="R39" i="10"/>
  <c r="S39" i="10" s="1"/>
  <c r="Z38" i="10"/>
  <c r="AA38" i="10" s="1"/>
  <c r="AT37" i="10"/>
  <c r="AU37" i="10" s="1"/>
  <c r="AD37" i="10"/>
  <c r="AE37" i="10" s="1"/>
  <c r="P37" i="10"/>
  <c r="Q37" i="10" s="1"/>
  <c r="X36" i="10"/>
  <c r="Y36" i="10" s="1"/>
  <c r="AR35" i="10"/>
  <c r="AS35" i="10" s="1"/>
  <c r="AD35" i="10"/>
  <c r="AE35" i="10" s="1"/>
  <c r="P35" i="10"/>
  <c r="Q35" i="10" s="1"/>
  <c r="AL34" i="10"/>
  <c r="AM34" i="10" s="1"/>
  <c r="V34" i="10"/>
  <c r="W34" i="10" s="1"/>
  <c r="AB33" i="10"/>
  <c r="AC33" i="10" s="1"/>
  <c r="P33" i="10"/>
  <c r="Q33" i="10" s="1"/>
  <c r="AJ32" i="10"/>
  <c r="AK32" i="10" s="1"/>
  <c r="T32" i="10"/>
  <c r="U32" i="10" s="1"/>
  <c r="AP31" i="10"/>
  <c r="AQ31" i="10" s="1"/>
  <c r="AB31" i="10"/>
  <c r="AC31" i="10" s="1"/>
  <c r="AH30" i="10"/>
  <c r="AI30" i="10" s="1"/>
  <c r="T30" i="10"/>
  <c r="U30" i="10" s="1"/>
  <c r="AP29" i="10"/>
  <c r="AQ29" i="10" s="1"/>
  <c r="AB29" i="10"/>
  <c r="AC29" i="10" s="1"/>
  <c r="AV28" i="10"/>
  <c r="AW28" i="10" s="1"/>
  <c r="AF28" i="10"/>
  <c r="AG28" i="10" s="1"/>
  <c r="R28" i="10"/>
  <c r="S28" i="10" s="1"/>
  <c r="AP27" i="10"/>
  <c r="AQ27" i="10" s="1"/>
  <c r="Z27" i="10"/>
  <c r="AA27" i="10" s="1"/>
  <c r="AT26" i="10"/>
  <c r="AU26" i="10" s="1"/>
  <c r="AF26" i="10"/>
  <c r="AG26" i="10" s="1"/>
  <c r="P26" i="10"/>
  <c r="Q26" i="10" s="1"/>
  <c r="AL25" i="10"/>
  <c r="AM25" i="10" s="1"/>
  <c r="AR70" i="10"/>
  <c r="AS70" i="10" s="1"/>
  <c r="AB70" i="10"/>
  <c r="AC70" i="10" s="1"/>
  <c r="AV69" i="10"/>
  <c r="AW69" i="10" s="1"/>
  <c r="AH69" i="10"/>
  <c r="AI69" i="10" s="1"/>
  <c r="T69" i="10"/>
  <c r="U69" i="10" s="1"/>
  <c r="AN68" i="10"/>
  <c r="AO68" i="10" s="1"/>
  <c r="X68" i="10"/>
  <c r="Y68" i="10" s="1"/>
  <c r="AT67" i="10"/>
  <c r="AU67" i="10" s="1"/>
  <c r="AF67" i="10"/>
  <c r="AG67" i="10" s="1"/>
  <c r="P67" i="10"/>
  <c r="Q67" i="10" s="1"/>
  <c r="AJ66" i="10"/>
  <c r="AK66" i="10" s="1"/>
  <c r="V66" i="10"/>
  <c r="W66" i="10" s="1"/>
  <c r="AR65" i="10"/>
  <c r="AS65" i="10" s="1"/>
  <c r="AD65" i="10"/>
  <c r="AE65" i="10" s="1"/>
  <c r="T64" i="10"/>
  <c r="U64" i="10" s="1"/>
  <c r="AR63" i="10"/>
  <c r="AS63" i="10" s="1"/>
  <c r="AB63" i="10"/>
  <c r="AC63" i="10" s="1"/>
  <c r="AV62" i="10"/>
  <c r="AW62" i="10" s="1"/>
  <c r="AH62" i="10"/>
  <c r="AI62" i="10" s="1"/>
  <c r="T62" i="10"/>
  <c r="U62" i="10" s="1"/>
  <c r="AN61" i="10"/>
  <c r="AO61" i="10" s="1"/>
  <c r="X61" i="10"/>
  <c r="Y61" i="10" s="1"/>
  <c r="AT60" i="10"/>
  <c r="AU60" i="10" s="1"/>
  <c r="AF60" i="10"/>
  <c r="AG60" i="10" s="1"/>
  <c r="P60" i="10"/>
  <c r="Q60" i="10" s="1"/>
  <c r="AJ59" i="10"/>
  <c r="AK59" i="10" s="1"/>
  <c r="V59" i="10"/>
  <c r="W59" i="10" s="1"/>
  <c r="AB47" i="10"/>
  <c r="AC47" i="10" s="1"/>
  <c r="AV46" i="10"/>
  <c r="AW46" i="10" s="1"/>
  <c r="AF46" i="10"/>
  <c r="AG46" i="10" s="1"/>
  <c r="R46" i="10"/>
  <c r="S46" i="10" s="1"/>
  <c r="AN45" i="10"/>
  <c r="AO45" i="10" s="1"/>
  <c r="X45" i="10"/>
  <c r="Y45" i="10" s="1"/>
  <c r="AR44" i="10"/>
  <c r="AS44" i="10" s="1"/>
  <c r="AD44" i="10"/>
  <c r="AE44" i="10" s="1"/>
  <c r="P44" i="10"/>
  <c r="Q44" i="10" s="1"/>
  <c r="AL43" i="10"/>
  <c r="AM43" i="10" s="1"/>
  <c r="V43" i="10"/>
  <c r="W43" i="10" s="1"/>
  <c r="AR42" i="10"/>
  <c r="AS42" i="10" s="1"/>
  <c r="AB42" i="10"/>
  <c r="AC42" i="10" s="1"/>
  <c r="AV41" i="10"/>
  <c r="AW41" i="10" s="1"/>
  <c r="AF41" i="10"/>
  <c r="AG41" i="10" s="1"/>
  <c r="P41" i="10"/>
  <c r="Q41" i="10" s="1"/>
  <c r="AL40" i="10"/>
  <c r="AM40" i="10" s="1"/>
  <c r="X40" i="10"/>
  <c r="Y40" i="10" s="1"/>
  <c r="AT39" i="10"/>
  <c r="AU39" i="10" s="1"/>
  <c r="AD39" i="10"/>
  <c r="AE39" i="10" s="1"/>
  <c r="P39" i="10"/>
  <c r="Q39" i="10" s="1"/>
  <c r="AL38" i="10"/>
  <c r="AM38" i="10" s="1"/>
  <c r="X38" i="10"/>
  <c r="Y38" i="10" s="1"/>
  <c r="AR37" i="10"/>
  <c r="AS37" i="10" s="1"/>
  <c r="AB37" i="10"/>
  <c r="AC37" i="10" s="1"/>
  <c r="AL36" i="10"/>
  <c r="AM36" i="10" s="1"/>
  <c r="V36" i="10"/>
  <c r="W36" i="10" s="1"/>
  <c r="AP35" i="10"/>
  <c r="AQ35" i="10" s="1"/>
  <c r="AB35" i="10"/>
  <c r="AC35" i="10" s="1"/>
  <c r="AJ34" i="10"/>
  <c r="AK34" i="10" s="1"/>
  <c r="T34" i="10"/>
  <c r="U34" i="10" s="1"/>
  <c r="AP33" i="10"/>
  <c r="AQ33" i="10" s="1"/>
  <c r="AH32" i="10"/>
  <c r="AI32" i="10" s="1"/>
  <c r="R32" i="10"/>
  <c r="S32" i="10" s="1"/>
  <c r="AN31" i="10"/>
  <c r="AO31" i="10" s="1"/>
  <c r="AV30" i="10"/>
  <c r="AW30" i="10" s="1"/>
  <c r="AF30" i="10"/>
  <c r="AG30" i="10" s="1"/>
  <c r="R30" i="10"/>
  <c r="S30" i="10" s="1"/>
  <c r="AN29" i="10"/>
  <c r="AO29" i="10" s="1"/>
  <c r="Z29" i="10"/>
  <c r="AA29" i="10" s="1"/>
  <c r="AT28" i="10"/>
  <c r="AU28" i="10" s="1"/>
  <c r="P28" i="10"/>
  <c r="Q28" i="10" s="1"/>
  <c r="AN27" i="10"/>
  <c r="AO27" i="10" s="1"/>
  <c r="X27" i="10"/>
  <c r="Y27" i="10" s="1"/>
  <c r="AR26" i="10"/>
  <c r="AS26" i="10" s="1"/>
  <c r="AD26" i="10"/>
  <c r="AE26" i="10" s="1"/>
  <c r="AJ25" i="10"/>
  <c r="AK25" i="10" s="1"/>
  <c r="T25" i="10"/>
  <c r="U25" i="10" s="1"/>
  <c r="AP70" i="10"/>
  <c r="AQ70" i="10" s="1"/>
  <c r="Z70" i="10"/>
  <c r="AA70" i="10" s="1"/>
  <c r="AF69" i="10"/>
  <c r="AG69" i="10" s="1"/>
  <c r="R69" i="10"/>
  <c r="S69" i="10" s="1"/>
  <c r="AL68" i="10"/>
  <c r="AM68" i="10" s="1"/>
  <c r="V68" i="10"/>
  <c r="W68" i="10" s="1"/>
  <c r="AR67" i="10"/>
  <c r="AS67" i="10" s="1"/>
  <c r="AD67" i="10"/>
  <c r="AE67" i="10" s="1"/>
  <c r="AH66" i="10"/>
  <c r="AI66" i="10" s="1"/>
  <c r="T66" i="10"/>
  <c r="U66" i="10" s="1"/>
  <c r="AP65" i="10"/>
  <c r="AQ65" i="10" s="1"/>
  <c r="AB65" i="10"/>
  <c r="AC65" i="10" s="1"/>
  <c r="AV64" i="10"/>
  <c r="AW64" i="10" s="1"/>
  <c r="AH64" i="10"/>
  <c r="AI64" i="10" s="1"/>
  <c r="AP63" i="10"/>
  <c r="AQ63" i="10" s="1"/>
  <c r="Z63" i="10"/>
  <c r="AA63" i="10" s="1"/>
  <c r="AT62" i="10"/>
  <c r="AU62" i="10" s="1"/>
  <c r="AF62" i="10"/>
  <c r="AG62" i="10" s="1"/>
  <c r="R62" i="10"/>
  <c r="S62" i="10" s="1"/>
  <c r="AL61" i="10"/>
  <c r="AM61" i="10" s="1"/>
  <c r="V61" i="10"/>
  <c r="W61" i="10" s="1"/>
  <c r="AR60" i="10"/>
  <c r="AS60" i="10" s="1"/>
  <c r="AD60" i="10"/>
  <c r="AE60" i="10" s="1"/>
  <c r="AH59" i="10"/>
  <c r="AI59" i="10" s="1"/>
  <c r="T59" i="10"/>
  <c r="U59" i="10" s="1"/>
  <c r="AP47" i="10"/>
  <c r="AQ47" i="10" s="1"/>
  <c r="Z47" i="10"/>
  <c r="AA47" i="10" s="1"/>
  <c r="AT46" i="10"/>
  <c r="AU46" i="10" s="1"/>
  <c r="P46" i="10"/>
  <c r="Q46" i="10" s="1"/>
  <c r="AL45" i="10"/>
  <c r="AM45" i="10" s="1"/>
  <c r="V45" i="10"/>
  <c r="W45" i="10" s="1"/>
  <c r="AP44" i="10"/>
  <c r="AQ44" i="10" s="1"/>
  <c r="AB44" i="10"/>
  <c r="AC44" i="10" s="1"/>
  <c r="AJ43" i="10"/>
  <c r="AK43" i="10" s="1"/>
  <c r="T43" i="10"/>
  <c r="U43" i="10" s="1"/>
  <c r="AP42" i="10"/>
  <c r="AQ42" i="10" s="1"/>
  <c r="Z42" i="10"/>
  <c r="AA42" i="10" s="1"/>
  <c r="AT41" i="10"/>
  <c r="AU41" i="10" s="1"/>
  <c r="AD41" i="10"/>
  <c r="AE41" i="10" s="1"/>
  <c r="AJ40" i="10"/>
  <c r="AK40" i="10" s="1"/>
  <c r="AR39" i="10"/>
  <c r="AS39" i="10" s="1"/>
  <c r="AB39" i="10"/>
  <c r="AC39" i="10" s="1"/>
  <c r="AJ38" i="10"/>
  <c r="AK38" i="10" s="1"/>
  <c r="V38" i="10"/>
  <c r="W38" i="10" s="1"/>
  <c r="AP37" i="10"/>
  <c r="AQ37" i="10" s="1"/>
  <c r="AV36" i="10"/>
  <c r="AW36" i="10" s="1"/>
  <c r="AJ36" i="10"/>
  <c r="AK36" i="10" s="1"/>
  <c r="T36" i="10"/>
  <c r="U36" i="10" s="1"/>
  <c r="AN35" i="10"/>
  <c r="AO35" i="10" s="1"/>
  <c r="Z35" i="10"/>
  <c r="AA35" i="10" s="1"/>
  <c r="AN70" i="10"/>
  <c r="AO70" i="10" s="1"/>
  <c r="X70" i="10"/>
  <c r="Y70" i="10" s="1"/>
  <c r="AT69" i="10"/>
  <c r="AU69" i="10" s="1"/>
  <c r="P69" i="10"/>
  <c r="Q69" i="10" s="1"/>
  <c r="AJ68" i="10"/>
  <c r="AK68" i="10" s="1"/>
  <c r="T68" i="10"/>
  <c r="U68" i="10" s="1"/>
  <c r="AP67" i="10"/>
  <c r="AQ67" i="10" s="1"/>
  <c r="AB67" i="10"/>
  <c r="AC67" i="10" s="1"/>
  <c r="AV66" i="10"/>
  <c r="AW66" i="10" s="1"/>
  <c r="AF66" i="10"/>
  <c r="AG66" i="10" s="1"/>
  <c r="R66" i="10"/>
  <c r="S66" i="10" s="1"/>
  <c r="AN65" i="10"/>
  <c r="AO65" i="10" s="1"/>
  <c r="Z65" i="10"/>
  <c r="AA65" i="10" s="1"/>
  <c r="AT64" i="10"/>
  <c r="AU64" i="10" s="1"/>
  <c r="AF64" i="10"/>
  <c r="AG64" i="10" s="1"/>
  <c r="R64" i="10"/>
  <c r="S64" i="10" s="1"/>
  <c r="AN63" i="10"/>
  <c r="AO63" i="10" s="1"/>
  <c r="X63" i="10"/>
  <c r="Y63" i="10" s="1"/>
  <c r="AR62" i="10"/>
  <c r="AS62" i="10" s="1"/>
  <c r="AD62" i="10"/>
  <c r="AE62" i="10" s="1"/>
  <c r="P62" i="10"/>
  <c r="Q62" i="10" s="1"/>
  <c r="AJ61" i="10"/>
  <c r="AK61" i="10" s="1"/>
  <c r="T61" i="10"/>
  <c r="U61" i="10" s="1"/>
  <c r="AP60" i="10"/>
  <c r="AQ60" i="10" s="1"/>
  <c r="AB60" i="10"/>
  <c r="AC60" i="10" s="1"/>
  <c r="AV59" i="10"/>
  <c r="AW59" i="10" s="1"/>
  <c r="AF59" i="10"/>
  <c r="AG59" i="10" s="1"/>
  <c r="R59" i="10"/>
  <c r="S59" i="10" s="1"/>
  <c r="AN47" i="10"/>
  <c r="AO47" i="10" s="1"/>
  <c r="X47" i="10"/>
  <c r="Y47" i="10" s="1"/>
  <c r="AR46" i="10"/>
  <c r="AS46" i="10" s="1"/>
  <c r="AD46" i="10"/>
  <c r="AE46" i="10" s="1"/>
  <c r="AJ45" i="10"/>
  <c r="AK45" i="10" s="1"/>
  <c r="T45" i="10"/>
  <c r="U45" i="10" s="1"/>
  <c r="AN44" i="10"/>
  <c r="AO44" i="10" s="1"/>
  <c r="Z44" i="10"/>
  <c r="AA44" i="10" s="1"/>
  <c r="AV43" i="10"/>
  <c r="AW43" i="10" s="1"/>
  <c r="AH43" i="10"/>
  <c r="AI43" i="10" s="1"/>
  <c r="R43" i="10"/>
  <c r="S43" i="10" s="1"/>
  <c r="AN42" i="10"/>
  <c r="AO42" i="10" s="1"/>
  <c r="X42" i="10"/>
  <c r="Y42" i="10" s="1"/>
  <c r="AR41" i="10"/>
  <c r="AS41" i="10" s="1"/>
  <c r="AB41" i="10"/>
  <c r="AC41" i="10" s="1"/>
  <c r="AV40" i="10"/>
  <c r="AW40" i="10" s="1"/>
  <c r="AH40" i="10"/>
  <c r="AI40" i="10" s="1"/>
  <c r="V40" i="10"/>
  <c r="W40" i="10" s="1"/>
  <c r="AP39" i="10"/>
  <c r="AQ39" i="10" s="1"/>
  <c r="Z39" i="10"/>
  <c r="AA39" i="10" s="1"/>
  <c r="AV38" i="10"/>
  <c r="AW38" i="10" s="1"/>
  <c r="AH38" i="10"/>
  <c r="AI38" i="10" s="1"/>
  <c r="T38" i="10"/>
  <c r="U38" i="10" s="1"/>
  <c r="AN37" i="10"/>
  <c r="AO37" i="10" s="1"/>
  <c r="Z37" i="10"/>
  <c r="AA37" i="10" s="1"/>
  <c r="AH36" i="10"/>
  <c r="AI36" i="10" s="1"/>
  <c r="R36" i="10"/>
  <c r="S36" i="10" s="1"/>
  <c r="AL35" i="10"/>
  <c r="AM35" i="10" s="1"/>
  <c r="X35" i="10"/>
  <c r="Y35" i="10" s="1"/>
  <c r="AF34" i="10"/>
  <c r="AG34" i="10" s="1"/>
  <c r="P34" i="10"/>
  <c r="Q34" i="10" s="1"/>
  <c r="AL33" i="10"/>
  <c r="AM33" i="10" s="1"/>
  <c r="X33" i="10"/>
  <c r="Y33" i="10" s="1"/>
  <c r="AJ70" i="10"/>
  <c r="AK70" i="10" s="1"/>
  <c r="T70" i="10"/>
  <c r="U70" i="10" s="1"/>
  <c r="AP69" i="10"/>
  <c r="AQ69" i="10" s="1"/>
  <c r="AB69" i="10"/>
  <c r="AC69" i="10" s="1"/>
  <c r="AV68" i="10"/>
  <c r="AW68" i="10" s="1"/>
  <c r="AF68" i="10"/>
  <c r="AG68" i="10" s="1"/>
  <c r="R68" i="10"/>
  <c r="S68" i="10" s="1"/>
  <c r="X67" i="10"/>
  <c r="Y67" i="10" s="1"/>
  <c r="AR66" i="10"/>
  <c r="AS66" i="10" s="1"/>
  <c r="AB66" i="10"/>
  <c r="AC66" i="10" s="1"/>
  <c r="AL65" i="10"/>
  <c r="AM65" i="10" s="1"/>
  <c r="V65" i="10"/>
  <c r="W65" i="10" s="1"/>
  <c r="AP64" i="10"/>
  <c r="AQ64" i="10" s="1"/>
  <c r="AB64" i="10"/>
  <c r="AC64" i="10" s="1"/>
  <c r="AJ63" i="10"/>
  <c r="AK63" i="10" s="1"/>
  <c r="T63" i="10"/>
  <c r="U63" i="10" s="1"/>
  <c r="AP62" i="10"/>
  <c r="AQ62" i="10" s="1"/>
  <c r="AV61" i="10"/>
  <c r="AW61" i="10" s="1"/>
  <c r="AF61" i="10"/>
  <c r="AG61" i="10" s="1"/>
  <c r="P61" i="10"/>
  <c r="Q61" i="10" s="1"/>
  <c r="AL60" i="10"/>
  <c r="AM60" i="10" s="1"/>
  <c r="X60" i="10"/>
  <c r="Y60" i="10" s="1"/>
  <c r="AR59" i="10"/>
  <c r="AS59" i="10" s="1"/>
  <c r="AB59" i="10"/>
  <c r="AC59" i="10" s="1"/>
  <c r="AJ47" i="10"/>
  <c r="AK47" i="10" s="1"/>
  <c r="T47" i="10"/>
  <c r="U47" i="10" s="1"/>
  <c r="AN46" i="10"/>
  <c r="AO46" i="10" s="1"/>
  <c r="Z46" i="10"/>
  <c r="AA46" i="10" s="1"/>
  <c r="AV45" i="10"/>
  <c r="AW45" i="10" s="1"/>
  <c r="AF45" i="10"/>
  <c r="AG45" i="10" s="1"/>
  <c r="P45" i="10"/>
  <c r="Q45" i="10" s="1"/>
  <c r="AL44" i="10"/>
  <c r="AM44" i="10" s="1"/>
  <c r="AR43" i="10"/>
  <c r="AS43" i="10" s="1"/>
  <c r="AD43" i="10"/>
  <c r="AE43" i="10" s="1"/>
  <c r="AJ42" i="10"/>
  <c r="AK42" i="10" s="1"/>
  <c r="T42" i="10"/>
  <c r="U42" i="10" s="1"/>
  <c r="AN41" i="10"/>
  <c r="AO41" i="10" s="1"/>
  <c r="AL70" i="10"/>
  <c r="AM70" i="10" s="1"/>
  <c r="Z67" i="10"/>
  <c r="AA67" i="10" s="1"/>
  <c r="P64" i="10"/>
  <c r="Q64" i="10" s="1"/>
  <c r="AB62" i="10"/>
  <c r="AC62" i="10" s="1"/>
  <c r="AN60" i="10"/>
  <c r="AO60" i="10" s="1"/>
  <c r="P59" i="10"/>
  <c r="Q59" i="10" s="1"/>
  <c r="AB46" i="10"/>
  <c r="AC46" i="10" s="1"/>
  <c r="P43" i="10"/>
  <c r="Q43" i="10" s="1"/>
  <c r="Z41" i="10"/>
  <c r="AA41" i="10" s="1"/>
  <c r="AD40" i="10"/>
  <c r="AE40" i="10" s="1"/>
  <c r="V39" i="10"/>
  <c r="W39" i="10" s="1"/>
  <c r="R38" i="10"/>
  <c r="S38" i="10" s="1"/>
  <c r="T37" i="10"/>
  <c r="U37" i="10" s="1"/>
  <c r="AV34" i="10"/>
  <c r="AW34" i="10" s="1"/>
  <c r="R34" i="10"/>
  <c r="S34" i="10" s="1"/>
  <c r="Z33" i="10"/>
  <c r="AA33" i="10" s="1"/>
  <c r="AN32" i="10"/>
  <c r="AO32" i="10" s="1"/>
  <c r="Z31" i="10"/>
  <c r="AA31" i="10" s="1"/>
  <c r="AN30" i="10"/>
  <c r="AO30" i="10" s="1"/>
  <c r="AF29" i="10"/>
  <c r="AG29" i="10" s="1"/>
  <c r="AN28" i="10"/>
  <c r="AO28" i="10" s="1"/>
  <c r="AF27" i="10"/>
  <c r="AG27" i="10" s="1"/>
  <c r="AN26" i="10"/>
  <c r="AO26" i="10" s="1"/>
  <c r="T26" i="10"/>
  <c r="U26" i="10" s="1"/>
  <c r="AD25" i="10"/>
  <c r="AE25" i="10" s="1"/>
  <c r="AV24" i="10"/>
  <c r="AW24" i="10" s="1"/>
  <c r="AH24" i="10"/>
  <c r="AI24" i="10" s="1"/>
  <c r="V24" i="10"/>
  <c r="W24" i="10" s="1"/>
  <c r="AR23" i="10"/>
  <c r="AS23" i="10" s="1"/>
  <c r="AF23" i="10"/>
  <c r="AG23" i="10" s="1"/>
  <c r="AP22" i="10"/>
  <c r="AQ22" i="10" s="1"/>
  <c r="AD22" i="10"/>
  <c r="AE22" i="10" s="1"/>
  <c r="P22" i="10"/>
  <c r="Q22" i="10" s="1"/>
  <c r="AN21" i="10"/>
  <c r="AO21" i="10" s="1"/>
  <c r="AL20" i="10"/>
  <c r="AM20" i="10" s="1"/>
  <c r="X20" i="10"/>
  <c r="Y20" i="10" s="1"/>
  <c r="AV19" i="10"/>
  <c r="AW19" i="10" s="1"/>
  <c r="V19" i="10"/>
  <c r="W19" i="10" s="1"/>
  <c r="AT18" i="10"/>
  <c r="AU18" i="10" s="1"/>
  <c r="AF18" i="10"/>
  <c r="AG18" i="10" s="1"/>
  <c r="T18" i="10"/>
  <c r="U18" i="10" s="1"/>
  <c r="AD17" i="10"/>
  <c r="AE17" i="10" s="1"/>
  <c r="R17" i="10"/>
  <c r="S17" i="10" s="1"/>
  <c r="AN16" i="10"/>
  <c r="AO16" i="10" s="1"/>
  <c r="AB16" i="10"/>
  <c r="AC16" i="10" s="1"/>
  <c r="AL15" i="10"/>
  <c r="AM15" i="10" s="1"/>
  <c r="Z15" i="10"/>
  <c r="AA15" i="10" s="1"/>
  <c r="AV14" i="10"/>
  <c r="AW14" i="10" s="1"/>
  <c r="AJ14" i="10"/>
  <c r="AK14" i="10" s="1"/>
  <c r="AT13" i="10"/>
  <c r="AU13" i="10" s="1"/>
  <c r="AH13" i="10"/>
  <c r="AI13" i="10" s="1"/>
  <c r="T13" i="10"/>
  <c r="U13" i="10" s="1"/>
  <c r="AR12" i="10"/>
  <c r="AS12" i="10" s="1"/>
  <c r="R12" i="10"/>
  <c r="S12" i="10" s="1"/>
  <c r="AP11" i="10"/>
  <c r="AQ11" i="10" s="1"/>
  <c r="AB11" i="10"/>
  <c r="AC11" i="10" s="1"/>
  <c r="P11" i="10"/>
  <c r="Q11" i="10" s="1"/>
  <c r="AP10" i="10"/>
  <c r="AQ10" i="10" s="1"/>
  <c r="X10" i="10"/>
  <c r="Y10" i="10" s="1"/>
  <c r="AH70" i="10"/>
  <c r="AI70" i="10" s="1"/>
  <c r="AT68" i="10"/>
  <c r="AU68" i="10" s="1"/>
  <c r="V67" i="10"/>
  <c r="W67" i="10" s="1"/>
  <c r="AJ65" i="10"/>
  <c r="AK65" i="10" s="1"/>
  <c r="AV63" i="10"/>
  <c r="AW63" i="10" s="1"/>
  <c r="Z62" i="10"/>
  <c r="AA62" i="10" s="1"/>
  <c r="AJ60" i="10"/>
  <c r="AK60" i="10" s="1"/>
  <c r="AV47" i="10"/>
  <c r="AW47" i="10" s="1"/>
  <c r="X46" i="10"/>
  <c r="Y46" i="10" s="1"/>
  <c r="AJ44" i="10"/>
  <c r="AK44" i="10" s="1"/>
  <c r="AV42" i="10"/>
  <c r="AW42" i="10" s="1"/>
  <c r="X41" i="10"/>
  <c r="Y41" i="10" s="1"/>
  <c r="T40" i="10"/>
  <c r="U40" i="10" s="1"/>
  <c r="T39" i="10"/>
  <c r="U39" i="10" s="1"/>
  <c r="P38" i="10"/>
  <c r="Q38" i="10" s="1"/>
  <c r="AT36" i="10"/>
  <c r="AU36" i="10" s="1"/>
  <c r="AV35" i="10"/>
  <c r="AW35" i="10" s="1"/>
  <c r="AT34" i="10"/>
  <c r="AU34" i="10" s="1"/>
  <c r="V33" i="10"/>
  <c r="W33" i="10" s="1"/>
  <c r="AF32" i="10"/>
  <c r="AG32" i="10" s="1"/>
  <c r="AV31" i="10"/>
  <c r="AW31" i="10" s="1"/>
  <c r="X31" i="10"/>
  <c r="Y31" i="10" s="1"/>
  <c r="AL30" i="10"/>
  <c r="AM30" i="10" s="1"/>
  <c r="AV29" i="10"/>
  <c r="AW29" i="10" s="1"/>
  <c r="X29" i="10"/>
  <c r="Y29" i="10" s="1"/>
  <c r="AL28" i="10"/>
  <c r="AM28" i="10" s="1"/>
  <c r="AD27" i="10"/>
  <c r="AE27" i="10" s="1"/>
  <c r="AB25" i="10"/>
  <c r="AC25" i="10" s="1"/>
  <c r="AT24" i="10"/>
  <c r="AU24" i="10" s="1"/>
  <c r="AF24" i="10"/>
  <c r="AG24" i="10" s="1"/>
  <c r="T24" i="10"/>
  <c r="U24" i="10" s="1"/>
  <c r="AD23" i="10"/>
  <c r="AE23" i="10" s="1"/>
  <c r="R23" i="10"/>
  <c r="S23" i="10" s="1"/>
  <c r="AN22" i="10"/>
  <c r="AO22" i="10" s="1"/>
  <c r="AB22" i="10"/>
  <c r="AC22" i="10" s="1"/>
  <c r="AL21" i="10"/>
  <c r="AM21" i="10" s="1"/>
  <c r="Z21" i="10"/>
  <c r="AA21" i="10" s="1"/>
  <c r="AV20" i="10"/>
  <c r="AW20" i="10" s="1"/>
  <c r="AJ20" i="10"/>
  <c r="AK20" i="10" s="1"/>
  <c r="AT19" i="10"/>
  <c r="AU19" i="10" s="1"/>
  <c r="AH19" i="10"/>
  <c r="AI19" i="10" s="1"/>
  <c r="T19" i="10"/>
  <c r="U19" i="10" s="1"/>
  <c r="AR18" i="10"/>
  <c r="AS18" i="10" s="1"/>
  <c r="R18" i="10"/>
  <c r="S18" i="10" s="1"/>
  <c r="AB17" i="10"/>
  <c r="AC17" i="10" s="1"/>
  <c r="P17" i="10"/>
  <c r="Q17" i="10" s="1"/>
  <c r="Z16" i="10"/>
  <c r="AA16" i="10" s="1"/>
  <c r="AJ15" i="10"/>
  <c r="AK15" i="10" s="1"/>
  <c r="X15" i="10"/>
  <c r="Y15" i="10" s="1"/>
  <c r="AH14" i="10"/>
  <c r="AI14" i="10" s="1"/>
  <c r="V14" i="10"/>
  <c r="W14" i="10" s="1"/>
  <c r="AR13" i="10"/>
  <c r="AS13" i="10" s="1"/>
  <c r="AF13" i="10"/>
  <c r="AG13" i="10" s="1"/>
  <c r="AP12" i="10"/>
  <c r="AQ12" i="10" s="1"/>
  <c r="AD12" i="10"/>
  <c r="AE12" i="10" s="1"/>
  <c r="P12" i="10"/>
  <c r="Q12" i="10" s="1"/>
  <c r="AN11" i="10"/>
  <c r="AO11" i="10" s="1"/>
  <c r="AF10" i="10"/>
  <c r="AG10" i="10" s="1"/>
  <c r="V70" i="10"/>
  <c r="W70" i="10" s="1"/>
  <c r="AH68" i="10"/>
  <c r="AI68" i="10" s="1"/>
  <c r="AT66" i="10"/>
  <c r="AU66" i="10" s="1"/>
  <c r="X65" i="10"/>
  <c r="Y65" i="10" s="1"/>
  <c r="AL63" i="10"/>
  <c r="AM63" i="10" s="1"/>
  <c r="Z60" i="10"/>
  <c r="AA60" i="10" s="1"/>
  <c r="AL47" i="10"/>
  <c r="AM47" i="10" s="1"/>
  <c r="X44" i="10"/>
  <c r="Y44" i="10" s="1"/>
  <c r="AL42" i="10"/>
  <c r="AM42" i="10" s="1"/>
  <c r="V41" i="10"/>
  <c r="W41" i="10" s="1"/>
  <c r="R40" i="10"/>
  <c r="S40" i="10" s="1"/>
  <c r="AT38" i="10"/>
  <c r="AU38" i="10" s="1"/>
  <c r="AR36" i="10"/>
  <c r="AS36" i="10" s="1"/>
  <c r="AJ35" i="10"/>
  <c r="AK35" i="10" s="1"/>
  <c r="AR34" i="10"/>
  <c r="AS34" i="10" s="1"/>
  <c r="AV33" i="10"/>
  <c r="AW33" i="10" s="1"/>
  <c r="T33" i="10"/>
  <c r="U33" i="10" s="1"/>
  <c r="AD32" i="10"/>
  <c r="AE32" i="10" s="1"/>
  <c r="AT31" i="10"/>
  <c r="AU31" i="10" s="1"/>
  <c r="V31" i="10"/>
  <c r="W31" i="10" s="1"/>
  <c r="AD30" i="10"/>
  <c r="AE30" i="10" s="1"/>
  <c r="AT29" i="10"/>
  <c r="AU29" i="10" s="1"/>
  <c r="V29" i="10"/>
  <c r="W29" i="10" s="1"/>
  <c r="AJ28" i="10"/>
  <c r="AK28" i="10" s="1"/>
  <c r="AV27" i="10"/>
  <c r="AW27" i="10" s="1"/>
  <c r="V27" i="10"/>
  <c r="W27" i="10" s="1"/>
  <c r="AL26" i="10"/>
  <c r="AM26" i="10" s="1"/>
  <c r="AV25" i="10"/>
  <c r="AW25" i="10" s="1"/>
  <c r="Z25" i="10"/>
  <c r="AA25" i="10" s="1"/>
  <c r="AR24" i="10"/>
  <c r="AS24" i="10" s="1"/>
  <c r="R24" i="10"/>
  <c r="S24" i="10" s="1"/>
  <c r="AP23" i="10"/>
  <c r="AQ23" i="10" s="1"/>
  <c r="AB23" i="10"/>
  <c r="AC23" i="10" s="1"/>
  <c r="P23" i="10"/>
  <c r="Q23" i="10" s="1"/>
  <c r="Z22" i="10"/>
  <c r="AA22" i="10" s="1"/>
  <c r="AJ21" i="10"/>
  <c r="AK21" i="10" s="1"/>
  <c r="X21" i="10"/>
  <c r="Y21" i="10" s="1"/>
  <c r="AH20" i="10"/>
  <c r="AI20" i="10" s="1"/>
  <c r="V20" i="10"/>
  <c r="W20" i="10" s="1"/>
  <c r="AR19" i="10"/>
  <c r="AS19" i="10" s="1"/>
  <c r="AF19" i="10"/>
  <c r="AG19" i="10" s="1"/>
  <c r="AP18" i="10"/>
  <c r="AQ18" i="10" s="1"/>
  <c r="AE18" i="10"/>
  <c r="P18" i="10"/>
  <c r="Q18" i="10" s="1"/>
  <c r="AN17" i="10"/>
  <c r="AO17" i="10" s="1"/>
  <c r="AL16" i="10"/>
  <c r="AM16" i="10" s="1"/>
  <c r="X16" i="10"/>
  <c r="Y16" i="10" s="1"/>
  <c r="AV15" i="10"/>
  <c r="AW15" i="10" s="1"/>
  <c r="V15" i="10"/>
  <c r="W15" i="10" s="1"/>
  <c r="AT14" i="10"/>
  <c r="AU14" i="10" s="1"/>
  <c r="AF14" i="10"/>
  <c r="AG14" i="10" s="1"/>
  <c r="T14" i="10"/>
  <c r="U14" i="10" s="1"/>
  <c r="AD13" i="10"/>
  <c r="AE13" i="10" s="1"/>
  <c r="R13" i="10"/>
  <c r="S13" i="10" s="1"/>
  <c r="AN12" i="10"/>
  <c r="AO12" i="10" s="1"/>
  <c r="AB12" i="10"/>
  <c r="AC12" i="10" s="1"/>
  <c r="AL11" i="10"/>
  <c r="AM11" i="10" s="1"/>
  <c r="Z11" i="10"/>
  <c r="AA11" i="10" s="1"/>
  <c r="AN10" i="10"/>
  <c r="AO10" i="10" s="1"/>
  <c r="V10" i="10"/>
  <c r="W10" i="10" s="1"/>
  <c r="R70" i="10"/>
  <c r="S70" i="10" s="1"/>
  <c r="AD68" i="10"/>
  <c r="AE68" i="10" s="1"/>
  <c r="AP66" i="10"/>
  <c r="AQ66" i="10" s="1"/>
  <c r="T65" i="10"/>
  <c r="U65" i="10" s="1"/>
  <c r="AH63" i="10"/>
  <c r="AI63" i="10" s="1"/>
  <c r="AT61" i="10"/>
  <c r="AU61" i="10" s="1"/>
  <c r="V60" i="10"/>
  <c r="W60" i="10" s="1"/>
  <c r="AH47" i="10"/>
  <c r="AI47" i="10" s="1"/>
  <c r="AT45" i="10"/>
  <c r="AU45" i="10" s="1"/>
  <c r="V44" i="10"/>
  <c r="W44" i="10" s="1"/>
  <c r="AH42" i="10"/>
  <c r="AI42" i="10" s="1"/>
  <c r="P40" i="10"/>
  <c r="Q40" i="10" s="1"/>
  <c r="AR38" i="10"/>
  <c r="AS38" i="10" s="1"/>
  <c r="AL37" i="10"/>
  <c r="AM37" i="10" s="1"/>
  <c r="AP36" i="10"/>
  <c r="AQ36" i="10" s="1"/>
  <c r="AP34" i="10"/>
  <c r="AQ34" i="10" s="1"/>
  <c r="AT33" i="10"/>
  <c r="AU33" i="10" s="1"/>
  <c r="AB32" i="10"/>
  <c r="AC32" i="10" s="1"/>
  <c r="AL31" i="10"/>
  <c r="AM31" i="10" s="1"/>
  <c r="T31" i="10"/>
  <c r="U31" i="10" s="1"/>
  <c r="AB30" i="10"/>
  <c r="AC30" i="10" s="1"/>
  <c r="AR29" i="10"/>
  <c r="AS29" i="10" s="1"/>
  <c r="T29" i="10"/>
  <c r="U29" i="10" s="1"/>
  <c r="AD28" i="10"/>
  <c r="AE28" i="10" s="1"/>
  <c r="AT27" i="10"/>
  <c r="AU27" i="10" s="1"/>
  <c r="T27" i="10"/>
  <c r="U27" i="10" s="1"/>
  <c r="AJ26" i="10"/>
  <c r="AK26" i="10" s="1"/>
  <c r="AT25" i="10"/>
  <c r="AU25" i="10" s="1"/>
  <c r="V25" i="10"/>
  <c r="W25" i="10" s="1"/>
  <c r="AP24" i="10"/>
  <c r="AQ24" i="10" s="1"/>
  <c r="AD24" i="10"/>
  <c r="AE24" i="10" s="1"/>
  <c r="P24" i="10"/>
  <c r="Q24" i="10" s="1"/>
  <c r="AN23" i="10"/>
  <c r="AO23" i="10" s="1"/>
  <c r="AL22" i="10"/>
  <c r="AM22" i="10" s="1"/>
  <c r="X22" i="10"/>
  <c r="Y22" i="10" s="1"/>
  <c r="AV21" i="10"/>
  <c r="AW21" i="10" s="1"/>
  <c r="V21" i="10"/>
  <c r="W21" i="10" s="1"/>
  <c r="AT20" i="10"/>
  <c r="AU20" i="10" s="1"/>
  <c r="AF20" i="10"/>
  <c r="AG20" i="10" s="1"/>
  <c r="T20" i="10"/>
  <c r="U20" i="10" s="1"/>
  <c r="AD19" i="10"/>
  <c r="AE19" i="10" s="1"/>
  <c r="R19" i="10"/>
  <c r="S19" i="10" s="1"/>
  <c r="AN18" i="10"/>
  <c r="AO18" i="10" s="1"/>
  <c r="AB18" i="10"/>
  <c r="AC18" i="10" s="1"/>
  <c r="AL17" i="10"/>
  <c r="AM17" i="10" s="1"/>
  <c r="Z17" i="10"/>
  <c r="AA17" i="10" s="1"/>
  <c r="AV16" i="10"/>
  <c r="AW16" i="10" s="1"/>
  <c r="AJ16" i="10"/>
  <c r="AK16" i="10" s="1"/>
  <c r="AT15" i="10"/>
  <c r="AU15" i="10" s="1"/>
  <c r="AH15" i="10"/>
  <c r="AI15" i="10" s="1"/>
  <c r="T15" i="10"/>
  <c r="U15" i="10" s="1"/>
  <c r="AR14" i="10"/>
  <c r="AS14" i="10" s="1"/>
  <c r="R14" i="10"/>
  <c r="S14" i="10" s="1"/>
  <c r="AP13" i="10"/>
  <c r="AQ13" i="10" s="1"/>
  <c r="AB13" i="10"/>
  <c r="AC13" i="10" s="1"/>
  <c r="P13" i="10"/>
  <c r="Q13" i="10" s="1"/>
  <c r="Z12" i="10"/>
  <c r="AA12" i="10" s="1"/>
  <c r="AJ11" i="10"/>
  <c r="AK11" i="10" s="1"/>
  <c r="X11" i="10"/>
  <c r="Y11" i="10" s="1"/>
  <c r="AV10" i="10"/>
  <c r="AW10" i="10" s="1"/>
  <c r="AD10" i="10"/>
  <c r="AE10" i="10" s="1"/>
  <c r="T10" i="10"/>
  <c r="U10" i="10" s="1"/>
  <c r="AR69" i="10"/>
  <c r="AS69" i="10" s="1"/>
  <c r="AD66" i="10"/>
  <c r="AE66" i="10" s="1"/>
  <c r="AR64" i="10"/>
  <c r="AS64" i="10" s="1"/>
  <c r="V63" i="10"/>
  <c r="W63" i="10" s="1"/>
  <c r="AH61" i="10"/>
  <c r="AI61" i="10" s="1"/>
  <c r="AT59" i="10"/>
  <c r="AU59" i="10" s="1"/>
  <c r="V47" i="10"/>
  <c r="W47" i="10" s="1"/>
  <c r="AH45" i="10"/>
  <c r="AI45" i="10" s="1"/>
  <c r="AT43" i="10"/>
  <c r="AU43" i="10" s="1"/>
  <c r="V42" i="10"/>
  <c r="W42" i="10" s="1"/>
  <c r="AT40" i="10"/>
  <c r="AU40" i="10" s="1"/>
  <c r="AN39" i="10"/>
  <c r="AO39" i="10" s="1"/>
  <c r="AP38" i="10"/>
  <c r="AQ38" i="10" s="1"/>
  <c r="AJ37" i="10"/>
  <c r="AK37" i="10" s="1"/>
  <c r="AF36" i="10"/>
  <c r="AG36" i="10" s="1"/>
  <c r="AH35" i="10"/>
  <c r="AI35" i="10" s="1"/>
  <c r="AH34" i="10"/>
  <c r="AI34" i="10" s="1"/>
  <c r="AN33" i="10"/>
  <c r="AO33" i="10" s="1"/>
  <c r="AV32" i="10"/>
  <c r="AW32" i="10" s="1"/>
  <c r="Z32" i="10"/>
  <c r="AA32" i="10" s="1"/>
  <c r="AJ31" i="10"/>
  <c r="AK31" i="10" s="1"/>
  <c r="R31" i="10"/>
  <c r="S31" i="10" s="1"/>
  <c r="Z30" i="10"/>
  <c r="AA30" i="10" s="1"/>
  <c r="AL29" i="10"/>
  <c r="AM29" i="10" s="1"/>
  <c r="R29" i="10"/>
  <c r="S29" i="10" s="1"/>
  <c r="AB28" i="10"/>
  <c r="AC28" i="10" s="1"/>
  <c r="AR27" i="10"/>
  <c r="AS27" i="10" s="1"/>
  <c r="R27" i="10"/>
  <c r="S27" i="10" s="1"/>
  <c r="AB26" i="10"/>
  <c r="AC26" i="10" s="1"/>
  <c r="AR25" i="10"/>
  <c r="AS25" i="10" s="1"/>
  <c r="R25" i="10"/>
  <c r="S25" i="10" s="1"/>
  <c r="AB24" i="10"/>
  <c r="AC24" i="10" s="1"/>
  <c r="AL23" i="10"/>
  <c r="AM23" i="10" s="1"/>
  <c r="Z23" i="10"/>
  <c r="AA23" i="10" s="1"/>
  <c r="AV22" i="10"/>
  <c r="AW22" i="10" s="1"/>
  <c r="AJ22" i="10"/>
  <c r="AK22" i="10" s="1"/>
  <c r="AT21" i="10"/>
  <c r="AU21" i="10" s="1"/>
  <c r="AH21" i="10"/>
  <c r="AI21" i="10" s="1"/>
  <c r="T21" i="10"/>
  <c r="U21" i="10" s="1"/>
  <c r="AR20" i="10"/>
  <c r="AS20" i="10" s="1"/>
  <c r="R20" i="10"/>
  <c r="S20" i="10" s="1"/>
  <c r="AP19" i="10"/>
  <c r="AQ19" i="10" s="1"/>
  <c r="AB19" i="10"/>
  <c r="AC19" i="10" s="1"/>
  <c r="P19" i="10"/>
  <c r="Q19" i="10" s="1"/>
  <c r="Z18" i="10"/>
  <c r="AA18" i="10" s="1"/>
  <c r="AJ17" i="10"/>
  <c r="AK17" i="10" s="1"/>
  <c r="X17" i="10"/>
  <c r="Y17" i="10" s="1"/>
  <c r="AH16" i="10"/>
  <c r="AI16" i="10" s="1"/>
  <c r="V16" i="10"/>
  <c r="W16" i="10" s="1"/>
  <c r="AR15" i="10"/>
  <c r="AS15" i="10" s="1"/>
  <c r="AF15" i="10"/>
  <c r="AG15" i="10" s="1"/>
  <c r="AP14" i="10"/>
  <c r="AQ14" i="10" s="1"/>
  <c r="AD14" i="10"/>
  <c r="AE14" i="10" s="1"/>
  <c r="P14" i="10"/>
  <c r="Q14" i="10" s="1"/>
  <c r="AN13" i="10"/>
  <c r="AO13" i="10" s="1"/>
  <c r="AL12" i="10"/>
  <c r="AM12" i="10" s="1"/>
  <c r="X12" i="10"/>
  <c r="Y12" i="10" s="1"/>
  <c r="AV11" i="10"/>
  <c r="AW11" i="10" s="1"/>
  <c r="V11" i="10"/>
  <c r="W11" i="10" s="1"/>
  <c r="AL10" i="10"/>
  <c r="AM10" i="10" s="1"/>
  <c r="AB10" i="10"/>
  <c r="AC10" i="10" s="1"/>
  <c r="AN69" i="10"/>
  <c r="AO69" i="10" s="1"/>
  <c r="P68" i="10"/>
  <c r="Q68" i="10" s="1"/>
  <c r="AN64" i="10"/>
  <c r="AO64" i="10" s="1"/>
  <c r="R63" i="10"/>
  <c r="S63" i="10" s="1"/>
  <c r="AD61" i="10"/>
  <c r="AE61" i="10" s="1"/>
  <c r="AP59" i="10"/>
  <c r="AQ59" i="10" s="1"/>
  <c r="R47" i="10"/>
  <c r="S47" i="10" s="1"/>
  <c r="AD45" i="10"/>
  <c r="AE45" i="10" s="1"/>
  <c r="R42" i="10"/>
  <c r="S42" i="10" s="1"/>
  <c r="AR40" i="10"/>
  <c r="AS40" i="10" s="1"/>
  <c r="AL39" i="10"/>
  <c r="AM39" i="10" s="1"/>
  <c r="AF38" i="10"/>
  <c r="AG38" i="10" s="1"/>
  <c r="AH37" i="10"/>
  <c r="AI37" i="10" s="1"/>
  <c r="AD36" i="10"/>
  <c r="AE36" i="10" s="1"/>
  <c r="V35" i="10"/>
  <c r="W35" i="10" s="1"/>
  <c r="AD34" i="10"/>
  <c r="AE34" i="10" s="1"/>
  <c r="AJ33" i="10"/>
  <c r="AK33" i="10" s="1"/>
  <c r="AT32" i="10"/>
  <c r="AU32" i="10" s="1"/>
  <c r="X32" i="10"/>
  <c r="Y32" i="10" s="1"/>
  <c r="AT30" i="10"/>
  <c r="AU30" i="10" s="1"/>
  <c r="X30" i="10"/>
  <c r="Y30" i="10" s="1"/>
  <c r="AJ29" i="10"/>
  <c r="AK29" i="10" s="1"/>
  <c r="P29" i="10"/>
  <c r="Q29" i="10" s="1"/>
  <c r="Z28" i="10"/>
  <c r="AA28" i="10" s="1"/>
  <c r="AL27" i="10"/>
  <c r="AM27" i="10" s="1"/>
  <c r="P27" i="10"/>
  <c r="Q27" i="10" s="1"/>
  <c r="Z26" i="10"/>
  <c r="AA26" i="10" s="1"/>
  <c r="AP25" i="10"/>
  <c r="AQ25" i="10" s="1"/>
  <c r="P25" i="10"/>
  <c r="Q25" i="10" s="1"/>
  <c r="AN24" i="10"/>
  <c r="AO24" i="10" s="1"/>
  <c r="Z24" i="10"/>
  <c r="AA24" i="10" s="1"/>
  <c r="AJ23" i="10"/>
  <c r="AK23" i="10" s="1"/>
  <c r="X23" i="10"/>
  <c r="Y23" i="10" s="1"/>
  <c r="AH22" i="10"/>
  <c r="AI22" i="10" s="1"/>
  <c r="V22" i="10"/>
  <c r="W22" i="10" s="1"/>
  <c r="AR21" i="10"/>
  <c r="AS21" i="10" s="1"/>
  <c r="AF21" i="10"/>
  <c r="AG21" i="10" s="1"/>
  <c r="AP20" i="10"/>
  <c r="AQ20" i="10" s="1"/>
  <c r="AD20" i="10"/>
  <c r="AE20" i="10" s="1"/>
  <c r="P20" i="10"/>
  <c r="Q20" i="10" s="1"/>
  <c r="AN19" i="10"/>
  <c r="AO19" i="10" s="1"/>
  <c r="AL18" i="10"/>
  <c r="AM18" i="10" s="1"/>
  <c r="X18" i="10"/>
  <c r="Y18" i="10" s="1"/>
  <c r="AV17" i="10"/>
  <c r="AW17" i="10" s="1"/>
  <c r="V17" i="10"/>
  <c r="W17" i="10" s="1"/>
  <c r="AT16" i="10"/>
  <c r="AU16" i="10" s="1"/>
  <c r="AF16" i="10"/>
  <c r="AG16" i="10" s="1"/>
  <c r="T16" i="10"/>
  <c r="U16" i="10" s="1"/>
  <c r="AD15" i="10"/>
  <c r="AE15" i="10" s="1"/>
  <c r="R15" i="10"/>
  <c r="S15" i="10" s="1"/>
  <c r="AN14" i="10"/>
  <c r="AO14" i="10" s="1"/>
  <c r="AB14" i="10"/>
  <c r="AC14" i="10" s="1"/>
  <c r="AL13" i="10"/>
  <c r="AM13" i="10" s="1"/>
  <c r="Z13" i="10"/>
  <c r="AA13" i="10" s="1"/>
  <c r="AV12" i="10"/>
  <c r="AW12" i="10" s="1"/>
  <c r="AJ12" i="10"/>
  <c r="AK12" i="10" s="1"/>
  <c r="AT11" i="10"/>
  <c r="AU11" i="10" s="1"/>
  <c r="AH11" i="10"/>
  <c r="AI11" i="10" s="1"/>
  <c r="T11" i="10"/>
  <c r="U11" i="10" s="1"/>
  <c r="AT10" i="10"/>
  <c r="AU10" i="10" s="1"/>
  <c r="AJ10" i="10"/>
  <c r="AK10" i="10" s="1"/>
  <c r="R10" i="10"/>
  <c r="S10" i="10" s="1"/>
  <c r="AD69" i="10"/>
  <c r="AE69" i="10" s="1"/>
  <c r="AN67" i="10"/>
  <c r="AO67" i="10" s="1"/>
  <c r="P66" i="10"/>
  <c r="Q66" i="10" s="1"/>
  <c r="AD64" i="10"/>
  <c r="AE64" i="10" s="1"/>
  <c r="R61" i="10"/>
  <c r="S61" i="10" s="1"/>
  <c r="AD59" i="10"/>
  <c r="AE59" i="10" s="1"/>
  <c r="AP46" i="10"/>
  <c r="AQ46" i="10" s="1"/>
  <c r="R45" i="10"/>
  <c r="S45" i="10" s="1"/>
  <c r="AF43" i="10"/>
  <c r="AG43" i="10" s="1"/>
  <c r="AP41" i="10"/>
  <c r="AQ41" i="10" s="1"/>
  <c r="AF40" i="10"/>
  <c r="AG40" i="10" s="1"/>
  <c r="AJ39" i="10"/>
  <c r="AK39" i="10" s="1"/>
  <c r="X37" i="10"/>
  <c r="Y37" i="10" s="1"/>
  <c r="AB36" i="10"/>
  <c r="AC36" i="10" s="1"/>
  <c r="T35" i="10"/>
  <c r="U35" i="10" s="1"/>
  <c r="AB34" i="10"/>
  <c r="AC34" i="10" s="1"/>
  <c r="AH33" i="10"/>
  <c r="AI33" i="10" s="1"/>
  <c r="AR32" i="10"/>
  <c r="AS32" i="10" s="1"/>
  <c r="P32" i="10"/>
  <c r="Q32" i="10" s="1"/>
  <c r="AH31" i="10"/>
  <c r="AI31" i="10" s="1"/>
  <c r="AR30" i="10"/>
  <c r="AS30" i="10" s="1"/>
  <c r="AR28" i="10"/>
  <c r="AS28" i="10" s="1"/>
  <c r="X28" i="10"/>
  <c r="Y28" i="10" s="1"/>
  <c r="AJ27" i="10"/>
  <c r="AK27" i="10" s="1"/>
  <c r="X26" i="10"/>
  <c r="Y26" i="10" s="1"/>
  <c r="AH25" i="10"/>
  <c r="AI25" i="10" s="1"/>
  <c r="AL24" i="10"/>
  <c r="AM24" i="10" s="1"/>
  <c r="X24" i="10"/>
  <c r="Y24" i="10" s="1"/>
  <c r="AV23" i="10"/>
  <c r="AW23" i="10" s="1"/>
  <c r="V23" i="10"/>
  <c r="W23" i="10" s="1"/>
  <c r="AT22" i="10"/>
  <c r="AU22" i="10" s="1"/>
  <c r="AF22" i="10"/>
  <c r="AG22" i="10" s="1"/>
  <c r="T22" i="10"/>
  <c r="U22" i="10" s="1"/>
  <c r="AD21" i="10"/>
  <c r="AE21" i="10" s="1"/>
  <c r="R21" i="10"/>
  <c r="S21" i="10" s="1"/>
  <c r="AN20" i="10"/>
  <c r="AO20" i="10" s="1"/>
  <c r="AB20" i="10"/>
  <c r="AC20" i="10" s="1"/>
  <c r="AL19" i="10"/>
  <c r="AM19" i="10" s="1"/>
  <c r="Z19" i="10"/>
  <c r="AA19" i="10" s="1"/>
  <c r="AV18" i="10"/>
  <c r="AW18" i="10" s="1"/>
  <c r="AJ18" i="10"/>
  <c r="AK18" i="10" s="1"/>
  <c r="AT17" i="10"/>
  <c r="AU17" i="10" s="1"/>
  <c r="AH17" i="10"/>
  <c r="AI17" i="10" s="1"/>
  <c r="T17" i="10"/>
  <c r="U17" i="10" s="1"/>
  <c r="AR16" i="10"/>
  <c r="AS16" i="10" s="1"/>
  <c r="R16" i="10"/>
  <c r="S16" i="10" s="1"/>
  <c r="AP15" i="10"/>
  <c r="AQ15" i="10" s="1"/>
  <c r="AB15" i="10"/>
  <c r="AC15" i="10" s="1"/>
  <c r="P15" i="10"/>
  <c r="Q15" i="10" s="1"/>
  <c r="Z14" i="10"/>
  <c r="AA14" i="10" s="1"/>
  <c r="AJ13" i="10"/>
  <c r="AK13" i="10" s="1"/>
  <c r="X13" i="10"/>
  <c r="Y13" i="10" s="1"/>
  <c r="AH12" i="10"/>
  <c r="AI12" i="10" s="1"/>
  <c r="V12" i="10"/>
  <c r="W12" i="10" s="1"/>
  <c r="AR11" i="10"/>
  <c r="AS11" i="10" s="1"/>
  <c r="AF11" i="10"/>
  <c r="AG11" i="10" s="1"/>
  <c r="AR10" i="10"/>
  <c r="AS10" i="10" s="1"/>
  <c r="Z10" i="10"/>
  <c r="AA10" i="10" s="1"/>
  <c r="Z69" i="10"/>
  <c r="AA69" i="10" s="1"/>
  <c r="AH29" i="10"/>
  <c r="AI29" i="10" s="1"/>
  <c r="AJ24" i="10"/>
  <c r="AK24" i="10" s="1"/>
  <c r="AP21" i="10"/>
  <c r="AQ21" i="10" s="1"/>
  <c r="P16" i="10"/>
  <c r="Q16" i="10" s="1"/>
  <c r="V13" i="10"/>
  <c r="W13" i="10" s="1"/>
  <c r="AH10" i="10"/>
  <c r="AI10" i="10" s="1"/>
  <c r="AL67" i="10"/>
  <c r="AM67" i="10" s="1"/>
  <c r="AB43" i="10"/>
  <c r="AC43" i="10" s="1"/>
  <c r="Z34" i="10"/>
  <c r="AA34" i="10" s="1"/>
  <c r="AP28" i="10"/>
  <c r="AQ28" i="10" s="1"/>
  <c r="AB21" i="10"/>
  <c r="AC21" i="10" s="1"/>
  <c r="AH18" i="10"/>
  <c r="AI18" i="10" s="1"/>
  <c r="AN15" i="10"/>
  <c r="AO15" i="10" s="1"/>
  <c r="AT12" i="10"/>
  <c r="AU12" i="10" s="1"/>
  <c r="AV65" i="10"/>
  <c r="AW65" i="10" s="1"/>
  <c r="AL41" i="10"/>
  <c r="AM41" i="10" s="1"/>
  <c r="AF33" i="10"/>
  <c r="AG33" i="10" s="1"/>
  <c r="V28" i="10"/>
  <c r="W28" i="10" s="1"/>
  <c r="AT23" i="10"/>
  <c r="AU23" i="10" s="1"/>
  <c r="P21" i="10"/>
  <c r="Q21" i="10" s="1"/>
  <c r="V18" i="10"/>
  <c r="W18" i="10" s="1"/>
  <c r="AF12" i="10"/>
  <c r="AG12" i="10" s="1"/>
  <c r="P10" i="10"/>
  <c r="Q10" i="10" s="1"/>
  <c r="Z64" i="10"/>
  <c r="AA64" i="10" s="1"/>
  <c r="AP32" i="10"/>
  <c r="AQ32" i="10" s="1"/>
  <c r="AH27" i="10"/>
  <c r="AI27" i="10" s="1"/>
  <c r="AH23" i="10"/>
  <c r="AI23" i="10" s="1"/>
  <c r="AR17" i="10"/>
  <c r="AS17" i="10" s="1"/>
  <c r="T12" i="10"/>
  <c r="U12" i="10" s="1"/>
  <c r="AN62" i="10"/>
  <c r="AO62" i="10" s="1"/>
  <c r="X39" i="10"/>
  <c r="Y39" i="10" s="1"/>
  <c r="AP26" i="10"/>
  <c r="AQ26" i="10" s="1"/>
  <c r="T23" i="10"/>
  <c r="U23" i="10" s="1"/>
  <c r="Z20" i="10"/>
  <c r="AA20" i="10" s="1"/>
  <c r="AF17" i="10"/>
  <c r="AG17" i="10" s="1"/>
  <c r="AL14" i="10"/>
  <c r="AM14" i="10" s="1"/>
  <c r="AD38" i="10"/>
  <c r="AE38" i="10" s="1"/>
  <c r="AF31" i="10"/>
  <c r="AG31" i="10" s="1"/>
  <c r="V26" i="10"/>
  <c r="W26" i="10" s="1"/>
  <c r="AR22" i="10"/>
  <c r="AS22" i="10" s="1"/>
  <c r="X14" i="10"/>
  <c r="Y14" i="10" s="1"/>
  <c r="AD11" i="10"/>
  <c r="AE11" i="10" s="1"/>
  <c r="Z59" i="10"/>
  <c r="AA59" i="10" s="1"/>
  <c r="V37" i="10"/>
  <c r="W37" i="10" s="1"/>
  <c r="AP30" i="10"/>
  <c r="AQ30" i="10" s="1"/>
  <c r="AF25" i="10"/>
  <c r="AG25" i="10" s="1"/>
  <c r="AJ19" i="10"/>
  <c r="AK19" i="10" s="1"/>
  <c r="AP16" i="10"/>
  <c r="AQ16" i="10" s="1"/>
  <c r="AV13" i="10"/>
  <c r="AW13" i="10" s="1"/>
  <c r="R11" i="10"/>
  <c r="S11" i="10" s="1"/>
  <c r="AL46" i="10"/>
  <c r="AM46" i="10" s="1"/>
  <c r="P36" i="10"/>
  <c r="Q36" i="10" s="1"/>
  <c r="P30" i="10"/>
  <c r="Q30" i="10" s="1"/>
  <c r="R22" i="10"/>
  <c r="S22" i="10" s="1"/>
  <c r="X19" i="10"/>
  <c r="Y19" i="10" s="1"/>
  <c r="AD16" i="10"/>
  <c r="AE16" i="10" s="1"/>
  <c r="R6" i="10"/>
  <c r="AP6" i="10"/>
  <c r="P6" i="10"/>
  <c r="AN6" i="10"/>
  <c r="T5" i="10"/>
  <c r="AR5" i="10"/>
  <c r="J28" i="17" l="1"/>
  <c r="K28" i="17"/>
  <c r="J26" i="17"/>
  <c r="K26" i="17"/>
  <c r="K25" i="17"/>
  <c r="J25" i="17"/>
  <c r="J20" i="17"/>
  <c r="J27" i="17"/>
  <c r="K20" i="17"/>
  <c r="K27" i="17"/>
  <c r="J24" i="17"/>
  <c r="K24" i="17"/>
  <c r="J11" i="17"/>
  <c r="J22" i="17"/>
  <c r="K11" i="17"/>
  <c r="K18" i="17"/>
  <c r="K22" i="17"/>
  <c r="J18" i="17"/>
  <c r="J19" i="17"/>
  <c r="K19" i="17"/>
  <c r="J23" i="17"/>
  <c r="K23" i="17"/>
  <c r="J17" i="17"/>
  <c r="J15" i="17"/>
  <c r="K16" i="17"/>
  <c r="K12" i="17"/>
  <c r="K17" i="17"/>
  <c r="K10" i="17"/>
  <c r="K21" i="17"/>
  <c r="K13" i="17"/>
  <c r="J21" i="17"/>
  <c r="J14" i="17"/>
  <c r="J12" i="17"/>
  <c r="K15" i="17"/>
  <c r="J10" i="17"/>
  <c r="K14" i="17"/>
  <c r="J16" i="17"/>
  <c r="J13" i="17"/>
  <c r="N68" i="10"/>
  <c r="O68" i="10" s="1"/>
  <c r="N61" i="10"/>
  <c r="O61" i="10" s="1"/>
  <c r="N40" i="10"/>
  <c r="O40" i="10" s="1"/>
  <c r="N29" i="10"/>
  <c r="O29" i="10" s="1"/>
  <c r="N70" i="10"/>
  <c r="O70" i="10" s="1"/>
  <c r="N63" i="10"/>
  <c r="O63" i="10" s="1"/>
  <c r="N47" i="10"/>
  <c r="O47" i="10" s="1"/>
  <c r="N42" i="10"/>
  <c r="O42" i="10" s="1"/>
  <c r="N31" i="10"/>
  <c r="O31" i="10" s="1"/>
  <c r="N65" i="10"/>
  <c r="O65" i="10" s="1"/>
  <c r="N37" i="10"/>
  <c r="O37" i="10" s="1"/>
  <c r="N35" i="10"/>
  <c r="O35" i="10" s="1"/>
  <c r="N33" i="10"/>
  <c r="O33" i="10" s="1"/>
  <c r="N67" i="10"/>
  <c r="O67" i="10" s="1"/>
  <c r="N60" i="10"/>
  <c r="O60" i="10" s="1"/>
  <c r="N44" i="10"/>
  <c r="O44" i="10" s="1"/>
  <c r="N41" i="10"/>
  <c r="O41" i="10" s="1"/>
  <c r="N39" i="10"/>
  <c r="O39" i="10" s="1"/>
  <c r="N66" i="10"/>
  <c r="O66" i="10" s="1"/>
  <c r="N64" i="10"/>
  <c r="O64" i="10" s="1"/>
  <c r="N59" i="10"/>
  <c r="O59" i="10" s="1"/>
  <c r="N43" i="10"/>
  <c r="O43" i="10" s="1"/>
  <c r="N69" i="10"/>
  <c r="O69" i="10" s="1"/>
  <c r="N36" i="10"/>
  <c r="O36" i="10" s="1"/>
  <c r="N32" i="10"/>
  <c r="O32" i="10" s="1"/>
  <c r="N30" i="10"/>
  <c r="O30" i="10" s="1"/>
  <c r="N21" i="10"/>
  <c r="O21" i="10" s="1"/>
  <c r="N10" i="10"/>
  <c r="N34" i="10"/>
  <c r="O34" i="10" s="1"/>
  <c r="N28" i="10"/>
  <c r="O28" i="10" s="1"/>
  <c r="N26" i="10"/>
  <c r="O26" i="10" s="1"/>
  <c r="N16" i="10"/>
  <c r="O16" i="10" s="1"/>
  <c r="N11" i="10"/>
  <c r="O11" i="10" s="1"/>
  <c r="N62" i="10"/>
  <c r="O62" i="10" s="1"/>
  <c r="N46" i="10"/>
  <c r="O46" i="10" s="1"/>
  <c r="N38" i="10"/>
  <c r="O38" i="10" s="1"/>
  <c r="N22" i="10"/>
  <c r="O22" i="10" s="1"/>
  <c r="N17" i="10"/>
  <c r="O17" i="10" s="1"/>
  <c r="N23" i="10"/>
  <c r="O23" i="10" s="1"/>
  <c r="N12" i="10"/>
  <c r="O12" i="10" s="1"/>
  <c r="N18" i="10"/>
  <c r="O18" i="10" s="1"/>
  <c r="N13" i="10"/>
  <c r="O13" i="10" s="1"/>
  <c r="N24" i="10"/>
  <c r="O24" i="10" s="1"/>
  <c r="N19" i="10"/>
  <c r="O19" i="10" s="1"/>
  <c r="N27" i="10"/>
  <c r="O27" i="10" s="1"/>
  <c r="N25" i="10"/>
  <c r="O25" i="10" s="1"/>
  <c r="N14" i="10"/>
  <c r="O14" i="10" s="1"/>
  <c r="N45" i="10"/>
  <c r="O45" i="10" s="1"/>
  <c r="N15" i="10"/>
  <c r="O15" i="10" s="1"/>
  <c r="N20" i="10"/>
  <c r="O20" i="10" s="1"/>
  <c r="N5" i="10"/>
  <c r="K8" i="17" l="1"/>
  <c r="J65" i="17"/>
  <c r="J8" i="17"/>
  <c r="B10" i="10" a="1"/>
  <c r="B10" i="10" s="1"/>
  <c r="F10" i="3" l="1"/>
  <c r="F9" i="3"/>
  <c r="F8" i="3"/>
  <c r="F7" i="3"/>
  <c r="F6" i="3"/>
  <c r="F5" i="3"/>
  <c r="F4" i="3"/>
  <c r="F3" i="3"/>
  <c r="F2" i="3"/>
  <c r="M2" i="3" l="1" a="1"/>
  <c r="M2" i="3" s="1"/>
  <c r="AG62" i="13" l="1"/>
  <c r="U62" i="13" l="1"/>
  <c r="AH62" i="13"/>
  <c r="O62" i="13"/>
  <c r="T62" i="13"/>
  <c r="Q62" i="13"/>
  <c r="AI62" i="13"/>
  <c r="AE62" i="13"/>
  <c r="AD62" i="13"/>
  <c r="AJ62" i="13"/>
  <c r="AF62" i="13"/>
  <c r="R62" i="13"/>
  <c r="AB62" i="13"/>
  <c r="AL62" i="13"/>
  <c r="X62" i="13"/>
  <c r="AC62" i="13"/>
  <c r="P62" i="13"/>
  <c r="S62" i="13"/>
  <c r="N62" i="13"/>
  <c r="V62" i="13"/>
  <c r="M3" i="10"/>
  <c r="Q3" i="10"/>
  <c r="O3" i="10"/>
  <c r="D15" i="9"/>
  <c r="AM62" i="13" l="1"/>
  <c r="Y62" i="13"/>
  <c r="O10" i="10"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<sst xmlns="http://schemas.openxmlformats.org/spreadsheetml/2006/main" count="6099" uniqueCount="835">
  <si>
    <t>Sl No</t>
  </si>
  <si>
    <t>Category</t>
  </si>
  <si>
    <t>Meeting</t>
  </si>
  <si>
    <t>Year</t>
  </si>
  <si>
    <t>SBU</t>
  </si>
  <si>
    <t>CAN</t>
  </si>
  <si>
    <t>MEX</t>
  </si>
  <si>
    <t>CAM</t>
  </si>
  <si>
    <t>CHL</t>
  </si>
  <si>
    <t>ARG</t>
  </si>
  <si>
    <t>CHN</t>
  </si>
  <si>
    <t>JAP</t>
  </si>
  <si>
    <t>UKN</t>
  </si>
  <si>
    <t>SAF</t>
  </si>
  <si>
    <t>US</t>
  </si>
  <si>
    <t>Sams</t>
  </si>
  <si>
    <t>CAN_MS</t>
  </si>
  <si>
    <t>MEX_MS</t>
  </si>
  <si>
    <t>CAM_MS</t>
  </si>
  <si>
    <t>CHL_MS</t>
  </si>
  <si>
    <t>ARG_MS</t>
  </si>
  <si>
    <t>CHN_MS</t>
  </si>
  <si>
    <t>JAP_MS</t>
  </si>
  <si>
    <t>UKN_MS</t>
  </si>
  <si>
    <t>SAF_MS</t>
  </si>
  <si>
    <t>US_MS</t>
  </si>
  <si>
    <t>Sams_MS</t>
  </si>
  <si>
    <t>Overall Remarks</t>
  </si>
  <si>
    <t>Updated by</t>
  </si>
  <si>
    <t>Update Time</t>
  </si>
  <si>
    <t>Most curent</t>
  </si>
  <si>
    <t>Dry Beans</t>
  </si>
  <si>
    <t>FY21</t>
  </si>
  <si>
    <t>Food</t>
  </si>
  <si>
    <t>Richeek</t>
  </si>
  <si>
    <t>Dry Pasta</t>
  </si>
  <si>
    <t>Vegetable Oil</t>
  </si>
  <si>
    <t>Mayonnaise</t>
  </si>
  <si>
    <t>Frozen Potato</t>
  </si>
  <si>
    <t>FY22</t>
  </si>
  <si>
    <t>Olive Oil</t>
  </si>
  <si>
    <t>Canned Tuna</t>
  </si>
  <si>
    <t>Detergent</t>
  </si>
  <si>
    <t>Consumables</t>
  </si>
  <si>
    <t>Water</t>
  </si>
  <si>
    <t>Rice</t>
  </si>
  <si>
    <t>Bakery Muffins</t>
  </si>
  <si>
    <t>Matt</t>
  </si>
  <si>
    <t>Baking Nuts</t>
  </si>
  <si>
    <t>Butter Cookies</t>
  </si>
  <si>
    <t>Canned Beans</t>
  </si>
  <si>
    <t>Canned Vegetables</t>
  </si>
  <si>
    <t>Cashews</t>
  </si>
  <si>
    <t>Coconut Oil</t>
  </si>
  <si>
    <t>Eggs - Feb-2021</t>
  </si>
  <si>
    <t>Frozen Pizza</t>
  </si>
  <si>
    <t>Frozen Pizza Deli</t>
  </si>
  <si>
    <t>Dry Pasta (2021)</t>
  </si>
  <si>
    <t>Dry Beans (2021)</t>
  </si>
  <si>
    <t>Frozen Potatoes for Deli</t>
  </si>
  <si>
    <t>Fruit Snacks</t>
  </si>
  <si>
    <t>Ice Cream</t>
  </si>
  <si>
    <t>Jasmine Rice</t>
  </si>
  <si>
    <t>Mandarin Oranges</t>
  </si>
  <si>
    <t>Olive Oil (2021)</t>
  </si>
  <si>
    <t>Olives</t>
  </si>
  <si>
    <t>Panettone &amp; Fruit Cake</t>
  </si>
  <si>
    <t>Pickles</t>
  </si>
  <si>
    <t>Pineapple</t>
  </si>
  <si>
    <t>Sardines</t>
  </si>
  <si>
    <t>Snack Nuts-Almonds</t>
  </si>
  <si>
    <t>Snack Nuts-Cashews</t>
  </si>
  <si>
    <t>Snack Nuts-Peanuts</t>
  </si>
  <si>
    <t>Snack Nuts-Pistachios</t>
  </si>
  <si>
    <t>Soup/Noodle</t>
  </si>
  <si>
    <t>Tea</t>
  </si>
  <si>
    <t>Canned Tuna (2021)</t>
  </si>
  <si>
    <t>Cutlery &amp; Cups</t>
  </si>
  <si>
    <t>Jamie</t>
  </si>
  <si>
    <t>Food &amp; Trash bags (GEP)</t>
  </si>
  <si>
    <t>Wet pet food</t>
  </si>
  <si>
    <t>Frozen Potatoes</t>
  </si>
  <si>
    <t>L/G White Rice</t>
  </si>
  <si>
    <t>Frozen Vegetables</t>
  </si>
  <si>
    <t>Frozen Fruit</t>
  </si>
  <si>
    <t>Body Wash &amp; Shampoo</t>
  </si>
  <si>
    <t>Sponges &amp; Cleaning</t>
  </si>
  <si>
    <t>Cat Litter</t>
  </si>
  <si>
    <t>Diapers</t>
  </si>
  <si>
    <t>Dish/Laundry Soap</t>
  </si>
  <si>
    <t>Wipes</t>
  </si>
  <si>
    <t>Dish &amp; Laundry (liquids)</t>
  </si>
  <si>
    <t>Dish &amp; Laundry (pods)</t>
  </si>
  <si>
    <t>Paper products</t>
  </si>
  <si>
    <t>Exploring Opportunity</t>
  </si>
  <si>
    <t xml:space="preserve"> </t>
  </si>
  <si>
    <t>NOTE 1</t>
  </si>
  <si>
    <t>Richeek Maitra</t>
  </si>
  <si>
    <t>Dry pet food</t>
  </si>
  <si>
    <t>Proposed</t>
  </si>
  <si>
    <t>Not participating</t>
  </si>
  <si>
    <t>Analysis complete</t>
  </si>
  <si>
    <t>RFPX (RFP1, RFP2, etc.) complete</t>
  </si>
  <si>
    <t>Market objectives aligned</t>
  </si>
  <si>
    <t>RFPX underway</t>
  </si>
  <si>
    <t>Data collection complete</t>
  </si>
  <si>
    <t>Try again</t>
  </si>
  <si>
    <t>Tested</t>
  </si>
  <si>
    <t>Try Again</t>
  </si>
  <si>
    <t>Nuts (All)</t>
  </si>
  <si>
    <t>Puppy Pads</t>
  </si>
  <si>
    <t>Dish &amp; Laundry (liquids/powder/pods)</t>
  </si>
  <si>
    <t>Liquid Handsoap &amp; Bodywash</t>
  </si>
  <si>
    <t>JOINT BUYING PROJECT TRACKER - OPEN WITH DESKTOP EXCEL APP</t>
  </si>
  <si>
    <t>MAIN MENU</t>
  </si>
  <si>
    <t>OPTIONS</t>
  </si>
  <si>
    <t>TYPE</t>
  </si>
  <si>
    <t>DESCRIPTION</t>
  </si>
  <si>
    <t>Setup New Category</t>
  </si>
  <si>
    <t>Edit</t>
  </si>
  <si>
    <t>View available categories and setup new</t>
  </si>
  <si>
    <t>View Update project Information</t>
  </si>
  <si>
    <t>View and Edit</t>
  </si>
  <si>
    <t>Update information of existing projects</t>
  </si>
  <si>
    <t>Bi-Weekly Report</t>
  </si>
  <si>
    <t>View only</t>
  </si>
  <si>
    <t>Shows projects by market</t>
  </si>
  <si>
    <t>My Tasks</t>
  </si>
  <si>
    <t>Shows projects filtered by Sourcing manager</t>
  </si>
  <si>
    <t>Project History</t>
  </si>
  <si>
    <t>Shows history of all updates for the project</t>
  </si>
  <si>
    <t>Calendar view</t>
  </si>
  <si>
    <t>See IJB calendar</t>
  </si>
  <si>
    <t>Tracker</t>
  </si>
  <si>
    <t>See all categories and markets with spend and savings</t>
  </si>
  <si>
    <t>Pipeline</t>
  </si>
  <si>
    <t>Shows spend in the various stages of the pipeline</t>
  </si>
  <si>
    <t>Forecast</t>
  </si>
  <si>
    <t>Shows forecast by month for projects based on end date</t>
  </si>
  <si>
    <t>Multi-year calendar</t>
  </si>
  <si>
    <t>Shows a 2 year view with all projects</t>
  </si>
  <si>
    <t>Resourcing</t>
  </si>
  <si>
    <t>UNDER CONSTRUCTION</t>
  </si>
  <si>
    <t>VERSION HISTORY</t>
  </si>
  <si>
    <t xml:space="preserve">Version </t>
  </si>
  <si>
    <t>Launch date</t>
  </si>
  <si>
    <t>Remarks</t>
  </si>
  <si>
    <t>Version 9.5</t>
  </si>
  <si>
    <t>Added History tab, navigation from Bi-Weekly,My Tasks and History to Update</t>
  </si>
  <si>
    <t>Version 9.4</t>
  </si>
  <si>
    <t>Added new fields and rationalized project stage names</t>
  </si>
  <si>
    <t>Version 9.3</t>
  </si>
  <si>
    <t xml:space="preserve">Added Bi-Weekly report and additional fields </t>
  </si>
  <si>
    <t>Version 9.1</t>
  </si>
  <si>
    <t>See Status below</t>
  </si>
  <si>
    <t>Version 9.0</t>
  </si>
  <si>
    <t>Removed market remarks features, updated Setup form</t>
  </si>
  <si>
    <t>Version 8.4</t>
  </si>
  <si>
    <t>Changed Calendar and Tracker views</t>
  </si>
  <si>
    <t>Version 7.1</t>
  </si>
  <si>
    <t>Added Intl US breakup in calendar</t>
  </si>
  <si>
    <t>Version 7.0</t>
  </si>
  <si>
    <t>Added dynamic drop downs in Update</t>
  </si>
  <si>
    <t>Version 6.0</t>
  </si>
  <si>
    <t>Version 5.1</t>
  </si>
  <si>
    <t>V9 Dev Objectives</t>
  </si>
  <si>
    <t>Status</t>
  </si>
  <si>
    <t>Deprecate unused features</t>
  </si>
  <si>
    <t>Market data and update forms</t>
  </si>
  <si>
    <t>Bug rectification - Setup tab for new FY23 projects</t>
  </si>
  <si>
    <t xml:space="preserve">RECTIFIED (Setup page modified – Please test) </t>
  </si>
  <si>
    <t>[New fields] Project COGS vs Total Category Spend Field</t>
  </si>
  <si>
    <t>NOT TO BE TAKEN UP AT THIS TIME</t>
  </si>
  <si>
    <t>[New Field] Additional date for start date</t>
  </si>
  <si>
    <t>Added start date by market - NOT USED IN FORECAST YET</t>
  </si>
  <si>
    <t>[Report]Carli's tracking of spend</t>
  </si>
  <si>
    <t>New Tab Forecast Added - Please test</t>
  </si>
  <si>
    <t>[Report] Resource tracking</t>
  </si>
  <si>
    <t>UNDER DESIGN AND CONSTRUCTION</t>
  </si>
  <si>
    <t>[Report] Projects spanning years on calendar</t>
  </si>
  <si>
    <t>New Tab "Full Calendar" added</t>
  </si>
  <si>
    <t>[New Fields] Sam's WM breakdown for Mexico</t>
  </si>
  <si>
    <t>Added Sams MEX, CHN and INDIA fields</t>
  </si>
  <si>
    <t>[New Fields] Next Phase and Next phase End Date</t>
  </si>
  <si>
    <t>Added</t>
  </si>
  <si>
    <t>[Repurpose fields] Repurposed Actual Start field to Current Phase End</t>
  </si>
  <si>
    <t>Changes made</t>
  </si>
  <si>
    <t>[New tab] My Tasks to view all projects by sourcing manager</t>
  </si>
  <si>
    <t>Added "MyTasks" Tab with option to move to edit field</t>
  </si>
  <si>
    <t>[New tab] History view for project with navigation from MyTasks and to Update</t>
  </si>
  <si>
    <t>Added "MyTasks" Tab with option to move to history and edit field</t>
  </si>
  <si>
    <t>CREATE NEW PROJECT</t>
  </si>
  <si>
    <t>Ready to create</t>
  </si>
  <si>
    <t>Back to Menu</t>
  </si>
  <si>
    <t>Execution Year</t>
  </si>
  <si>
    <t>Project Lead</t>
  </si>
  <si>
    <t>Setup By</t>
  </si>
  <si>
    <t>Setup on</t>
  </si>
  <si>
    <t>Matching Available Categories</t>
  </si>
  <si>
    <t># of projects</t>
  </si>
  <si>
    <t>INTERNATIONAL JOINT BUYING TRACKER UPDATES</t>
  </si>
  <si>
    <t>Editor</t>
  </si>
  <si>
    <t>Select Year -&gt;</t>
  </si>
  <si>
    <t>Select SBU -&gt;</t>
  </si>
  <si>
    <t>Select Category</t>
  </si>
  <si>
    <t>Entered Time</t>
  </si>
  <si>
    <t>PROJECT HEADLINE INFORMATION</t>
  </si>
  <si>
    <t>SPEND - $ Million</t>
  </si>
  <si>
    <t>US Lead</t>
  </si>
  <si>
    <t>Primary Market Merchant</t>
  </si>
  <si>
    <t>Spend -CAM</t>
  </si>
  <si>
    <t>UK</t>
  </si>
  <si>
    <t>WMUS</t>
  </si>
  <si>
    <t>SAMS</t>
  </si>
  <si>
    <t>PROJECTS DATES AND STATUS</t>
  </si>
  <si>
    <t>SAVINGS - $ Million</t>
  </si>
  <si>
    <t>Planned Start</t>
  </si>
  <si>
    <t>Planned Award</t>
  </si>
  <si>
    <t>Current Phase End</t>
  </si>
  <si>
    <t>Revised Award</t>
  </si>
  <si>
    <t>Current Phase</t>
  </si>
  <si>
    <t>COST AVOIDANCE - $Million</t>
  </si>
  <si>
    <t>Update (Status comments, bottlenecks, reason for revision)</t>
  </si>
  <si>
    <t>ADDL PROJECT INFO</t>
  </si>
  <si>
    <t>MARKET IN STORE DATE</t>
  </si>
  <si>
    <t>Project Type</t>
  </si>
  <si>
    <t>Primary Dept Description</t>
  </si>
  <si>
    <t>US PB sourcing lead</t>
  </si>
  <si>
    <t>SCO Lead</t>
  </si>
  <si>
    <t>Next Phase</t>
  </si>
  <si>
    <t>Next Phase End</t>
  </si>
  <si>
    <t>Spend - Sams Mexico</t>
  </si>
  <si>
    <t>WORKING SECTION - Do not change</t>
  </si>
  <si>
    <t>Spend - Sams China</t>
  </si>
  <si>
    <t>LAST RECORD</t>
  </si>
  <si>
    <t>Savings - Sams Mexico</t>
  </si>
  <si>
    <t>Primary Merchant</t>
  </si>
  <si>
    <t>Spend - CAN</t>
  </si>
  <si>
    <t>Spend - MEX</t>
  </si>
  <si>
    <t>Spend - CHL</t>
  </si>
  <si>
    <t>Spend - ARG</t>
  </si>
  <si>
    <t>Spend - CHN</t>
  </si>
  <si>
    <t>Spend - JAP</t>
  </si>
  <si>
    <t>Spend - UK</t>
  </si>
  <si>
    <t>Spend - SAF</t>
  </si>
  <si>
    <t>Spend - US</t>
  </si>
  <si>
    <t>Spend - Sams</t>
  </si>
  <si>
    <t>Spend - Sams MEX</t>
  </si>
  <si>
    <t>Spend - Sams CHN</t>
  </si>
  <si>
    <t>Savings - Sams China</t>
  </si>
  <si>
    <t>Cost Avoidance - Sams Mexico</t>
  </si>
  <si>
    <t>Revised End</t>
  </si>
  <si>
    <t>Milestone</t>
  </si>
  <si>
    <t>Savings - CAN</t>
  </si>
  <si>
    <t>Savings - MEX</t>
  </si>
  <si>
    <t>Savings -CAM</t>
  </si>
  <si>
    <t>Savings - CHL</t>
  </si>
  <si>
    <t>Savings - ARG</t>
  </si>
  <si>
    <t>Savings - CHN</t>
  </si>
  <si>
    <t>Savings - JAP</t>
  </si>
  <si>
    <t>Savings - UK</t>
  </si>
  <si>
    <t>Savings - SAF</t>
  </si>
  <si>
    <t>Savings - WMUS</t>
  </si>
  <si>
    <t>Savings - SAMS</t>
  </si>
  <si>
    <t>Savings - Sams MEX</t>
  </si>
  <si>
    <t>Savings - Sams CHN</t>
  </si>
  <si>
    <t>Cost Avoidance - Sams China</t>
  </si>
  <si>
    <t>Spend - IND</t>
  </si>
  <si>
    <t>Cost Avoidance - CAN</t>
  </si>
  <si>
    <t>Cost Avoidance - MEX</t>
  </si>
  <si>
    <t>Cost Avoidance -CAM</t>
  </si>
  <si>
    <t>Cost Avoidance - CHL</t>
  </si>
  <si>
    <t>Cost Avoidance - ARG</t>
  </si>
  <si>
    <t>Cost Avoidance - CHN</t>
  </si>
  <si>
    <t>Cost Avoidance - JAP</t>
  </si>
  <si>
    <t>Cost Avoidance - UK</t>
  </si>
  <si>
    <t>Cost Avoidance - SAF</t>
  </si>
  <si>
    <t>Cost Avoidance - WMUS</t>
  </si>
  <si>
    <t>Cost Avoidance - SAMS</t>
  </si>
  <si>
    <t>Cost Avoidance - Sams MEX</t>
  </si>
  <si>
    <t>Cost Avoidance - Sams CHN</t>
  </si>
  <si>
    <t>Savings - IND</t>
  </si>
  <si>
    <t>Cost Avoidance - IND</t>
  </si>
  <si>
    <t>PB sourcing lead</t>
  </si>
  <si>
    <t>Start Dates</t>
  </si>
  <si>
    <t>Start Date - CAN</t>
  </si>
  <si>
    <t>Start Date - MEX</t>
  </si>
  <si>
    <t>Start Date - CAM</t>
  </si>
  <si>
    <t>Start Date - CHL</t>
  </si>
  <si>
    <t>Start Date - ARG</t>
  </si>
  <si>
    <t>UPDATED RECORD</t>
  </si>
  <si>
    <t>Start Date - CHN</t>
  </si>
  <si>
    <t>Sams MEX</t>
  </si>
  <si>
    <t>Sams CHN</t>
  </si>
  <si>
    <t>Start Date - JAP</t>
  </si>
  <si>
    <t>Spend</t>
  </si>
  <si>
    <t>Start Date - UKN</t>
  </si>
  <si>
    <t>Stage</t>
  </si>
  <si>
    <t>Start Date - SAF</t>
  </si>
  <si>
    <t>Savings</t>
  </si>
  <si>
    <t>Start Date - US</t>
  </si>
  <si>
    <t>Start Date - Sams</t>
  </si>
  <si>
    <t>CA</t>
  </si>
  <si>
    <t>Start Date - Sams Mexico</t>
  </si>
  <si>
    <t>Date</t>
  </si>
  <si>
    <t>Start Date - Sams China</t>
  </si>
  <si>
    <t>Array 1 - Project info</t>
  </si>
  <si>
    <t>Start Date - IND</t>
  </si>
  <si>
    <t>Array 2</t>
  </si>
  <si>
    <t>Array 3 - For ProjData Table</t>
  </si>
  <si>
    <t>Array 4 - UnUSed</t>
  </si>
  <si>
    <t>No of rows in Data</t>
  </si>
  <si>
    <t># of rows in ProjData</t>
  </si>
  <si>
    <t>CHANGE HISTORY</t>
  </si>
  <si>
    <t>Actual Start</t>
  </si>
  <si>
    <t>Hub lead</t>
  </si>
  <si>
    <t>Entered By</t>
  </si>
  <si>
    <t>INTERNATIONAL JOINT BUY PROJECTS BY MARKET</t>
  </si>
  <si>
    <t>Select Year</t>
  </si>
  <si>
    <t>Select Market</t>
  </si>
  <si>
    <t>Participating Spend</t>
  </si>
  <si>
    <t>Select cell with project name and click to view</t>
  </si>
  <si>
    <t>FY23</t>
  </si>
  <si>
    <t>WM US</t>
  </si>
  <si>
    <t>Select SBU</t>
  </si>
  <si>
    <t>Category Check Variables</t>
  </si>
  <si>
    <t>Category Check</t>
  </si>
  <si>
    <t>$ Millions</t>
  </si>
  <si>
    <t>Dept No</t>
  </si>
  <si>
    <t>Department</t>
  </si>
  <si>
    <t>Phase</t>
  </si>
  <si>
    <t>Project Name</t>
  </si>
  <si>
    <t>Expected Award Date</t>
  </si>
  <si>
    <t>Volume</t>
  </si>
  <si>
    <t>Project Table Row</t>
  </si>
  <si>
    <t>Data Table Row</t>
  </si>
  <si>
    <t>Sams Mexico</t>
  </si>
  <si>
    <t>Sams China</t>
  </si>
  <si>
    <t>IND</t>
  </si>
  <si>
    <t>INTERNATIONAL JOINT BUY PROJECT SPEND AND IMPACT TRACKER</t>
  </si>
  <si>
    <t>TOTAL INTL PIPEPLINE</t>
  </si>
  <si>
    <t>TOTAL INTL COMPLETED</t>
  </si>
  <si>
    <t>($ million)</t>
  </si>
  <si>
    <t>Cost Avoidance</t>
  </si>
  <si>
    <r>
      <t xml:space="preserve">Spend </t>
    </r>
    <r>
      <rPr>
        <i/>
        <sz val="11"/>
        <color theme="1"/>
        <rFont val="Calibri"/>
        <family val="2"/>
        <scheme val="minor"/>
      </rPr>
      <t>($Million)</t>
    </r>
  </si>
  <si>
    <r>
      <t xml:space="preserve">Savings </t>
    </r>
    <r>
      <rPr>
        <i/>
        <sz val="11"/>
        <color theme="1"/>
        <rFont val="Calibri"/>
        <family val="2"/>
        <scheme val="minor"/>
      </rPr>
      <t>($Million)</t>
    </r>
  </si>
  <si>
    <r>
      <t>Cost Avoidance</t>
    </r>
    <r>
      <rPr>
        <i/>
        <sz val="11"/>
        <color theme="1"/>
        <rFont val="Calibri"/>
        <family val="2"/>
        <scheme val="minor"/>
      </rPr>
      <t>($Million)</t>
    </r>
  </si>
  <si>
    <t>INTERNATIONAL</t>
  </si>
  <si>
    <t>US (WM AND SAMS)</t>
  </si>
  <si>
    <t>Total spend</t>
  </si>
  <si>
    <t>Total Savings</t>
  </si>
  <si>
    <t>Total Cost Avoidance</t>
  </si>
  <si>
    <t>LEGEND</t>
  </si>
  <si>
    <t/>
  </si>
  <si>
    <t>Pre-work</t>
  </si>
  <si>
    <t>Bid to Award</t>
  </si>
  <si>
    <t>Revised timeline</t>
  </si>
  <si>
    <t>Select Year --&gt;</t>
  </si>
  <si>
    <t>Sort by</t>
  </si>
  <si>
    <t>KEY DATES SUMMARY</t>
  </si>
  <si>
    <t>Sl #</t>
  </si>
  <si>
    <t>INTL Spend</t>
  </si>
  <si>
    <t>US Spend</t>
  </si>
  <si>
    <t>Rev Start</t>
  </si>
  <si>
    <t>Rev Award</t>
  </si>
  <si>
    <t>Prework Start</t>
  </si>
  <si>
    <t>Prework End</t>
  </si>
  <si>
    <t>Figures in $ Million</t>
  </si>
  <si>
    <t>Bonus</t>
  </si>
  <si>
    <t>Current Time</t>
  </si>
  <si>
    <t>Total Program Spend</t>
  </si>
  <si>
    <t>=SORT(FILTER(INDEX(Table1[#Data],SEQUENCE(ROWS(Table1[#Data])),{5,9,2,26,10,53,55,11,59}),(Table1[Most curent]=TRUE)*(Table1[SBU]=$F$5)*(Table1[Execution Year]=$E$5)*(Table1[Display Status]&lt;&gt;"Cancelled"),"N"),C8,-D8)</t>
  </si>
  <si>
    <t>=SORT(FILTER(INDEX(Table1[#Data],SEQUENCE(ROWS(Table1[#Data])),{5,4,2,26,10,76,78,11,82}),(Table1[Most curent]=TRUE)*(Table1[SBU]=$F$5)*(Table1[Display Status]&lt;&gt;"Cancelled")*(Table1[Status]&lt;&gt;"Not Updated"),"N"),C8,-D8)</t>
  </si>
  <si>
    <t>Calendar Start  -&gt;</t>
  </si>
  <si>
    <t>Include</t>
  </si>
  <si>
    <t>=SORT(FILTER(INDEX(Table1[#Data],SEQUENCE(ROWS(Table1[#Data])),{5,4,2,26,10,76,78,11,82}),(Table1[Most curent]=TRUE)*(Table1[SBU]=$F$5)*(Table1[Display Status]&lt;&gt;"Cancelled")*(Table1[Display Status]&lt;&gt;"Completed")*(Table1[Status]&lt;&gt;"Not Updated"),"N"),C8,-D8)</t>
  </si>
  <si>
    <t>ALL</t>
  </si>
  <si>
    <t>EDIT ONLY CELLS IN YELLOW</t>
  </si>
  <si>
    <t>Selected Columns</t>
  </si>
  <si>
    <t>Today's date</t>
  </si>
  <si>
    <t>Select Season</t>
  </si>
  <si>
    <t>Selected ColumnNames</t>
  </si>
  <si>
    <t>Current date</t>
  </si>
  <si>
    <t>Project</t>
  </si>
  <si>
    <t>Selected Category</t>
  </si>
  <si>
    <t>Owner</t>
  </si>
  <si>
    <t># of tasks</t>
  </si>
  <si>
    <t>Project Owner</t>
  </si>
  <si>
    <t>Select cell with category name and click "Update" to edit</t>
  </si>
  <si>
    <t>SETUP FIELDS -Select upto 10 columns</t>
  </si>
  <si>
    <t>MY PROJECTS</t>
  </si>
  <si>
    <t>Columns</t>
  </si>
  <si>
    <t>Data Columns</t>
  </si>
  <si>
    <t>Data Column Sequence</t>
  </si>
  <si>
    <t>Filtered SBUs</t>
  </si>
  <si>
    <t>Filtered Projects</t>
  </si>
  <si>
    <t>Zack Kham</t>
  </si>
  <si>
    <t>Edible Oil</t>
  </si>
  <si>
    <t>To view Catgory History</t>
  </si>
  <si>
    <t>Spend - ALL</t>
  </si>
  <si>
    <t>Spend - INTL</t>
  </si>
  <si>
    <t>Spend - WMUS-Sams</t>
  </si>
  <si>
    <t>FORECAST</t>
  </si>
  <si>
    <t>Market Group</t>
  </si>
  <si>
    <t>No of Months Offset</t>
  </si>
  <si>
    <t>Total Project Spend</t>
  </si>
  <si>
    <t>INTL Proj  Spend</t>
  </si>
  <si>
    <t>US Proj Spend</t>
  </si>
  <si>
    <t>Savings Start</t>
  </si>
  <si>
    <t>Months in next year</t>
  </si>
  <si>
    <t>Today</t>
  </si>
  <si>
    <t>Spend (US $M)</t>
  </si>
  <si>
    <t>Exploratory</t>
  </si>
  <si>
    <t>Bid Prep</t>
  </si>
  <si>
    <t>Post Bid</t>
  </si>
  <si>
    <t>Award</t>
  </si>
  <si>
    <t>Completed</t>
  </si>
  <si>
    <t>Cancelled</t>
  </si>
  <si>
    <t>TOTAL ACTIVE (US$M)</t>
  </si>
  <si>
    <t>SAMS US PROJECT DETAILS</t>
  </si>
  <si>
    <t>Country</t>
  </si>
  <si>
    <t>Type</t>
  </si>
  <si>
    <t>GS PM</t>
  </si>
  <si>
    <t>PB Sourcing Lead</t>
  </si>
  <si>
    <t>Next Phase End Date</t>
  </si>
  <si>
    <t>Comments</t>
  </si>
  <si>
    <t>In Store Date</t>
  </si>
  <si>
    <t>Business</t>
  </si>
  <si>
    <t>Markets involved</t>
  </si>
  <si>
    <t>Dept</t>
  </si>
  <si>
    <t>GS Project Lead</t>
  </si>
  <si>
    <t>Sub-Phase</t>
  </si>
  <si>
    <t>Project Status</t>
  </si>
  <si>
    <t>Target timing for next milestone</t>
  </si>
  <si>
    <t>Results</t>
  </si>
  <si>
    <t>In Store/ Club date</t>
  </si>
  <si>
    <t>Identifier</t>
  </si>
  <si>
    <t>Spend Start Date</t>
  </si>
  <si>
    <t>Updated By</t>
  </si>
  <si>
    <t>Update time</t>
  </si>
  <si>
    <t>Primary Dept No</t>
  </si>
  <si>
    <t>Latest Award Date</t>
  </si>
  <si>
    <t>Display Phase</t>
  </si>
  <si>
    <t>6_Completed</t>
  </si>
  <si>
    <t>Closed</t>
  </si>
  <si>
    <t>Jason</t>
  </si>
  <si>
    <t>Global Bid</t>
  </si>
  <si>
    <t>HOUSEHOLD CHEMICALS</t>
  </si>
  <si>
    <t>Yao</t>
  </si>
  <si>
    <t>10_Cancelled</t>
  </si>
  <si>
    <t>HOUSEHOLD PAPER</t>
  </si>
  <si>
    <t>Dawn</t>
  </si>
  <si>
    <t>Body Wash/Soap &amp; Shampoo</t>
  </si>
  <si>
    <t>PERSONAL CARE</t>
  </si>
  <si>
    <t>Yoshi</t>
  </si>
  <si>
    <t>PETS AND SUPPLIES</t>
  </si>
  <si>
    <t>Paper Products II</t>
  </si>
  <si>
    <t>DTT - Plastic</t>
  </si>
  <si>
    <t>1_Exploratory</t>
  </si>
  <si>
    <t>On Track (Green)</t>
  </si>
  <si>
    <t>Luis</t>
  </si>
  <si>
    <t>Dog treats and rawhides</t>
  </si>
  <si>
    <t>Chris</t>
  </si>
  <si>
    <t>Pending PB/Merchant approval</t>
  </si>
  <si>
    <t>BABY CONSUMABLES HARDLINES</t>
  </si>
  <si>
    <t>Cotton Products</t>
  </si>
  <si>
    <t>Post Award</t>
  </si>
  <si>
    <t>BEAUTY</t>
  </si>
  <si>
    <t>DTT - Paper</t>
  </si>
  <si>
    <t>Roy</t>
  </si>
  <si>
    <t>Complete</t>
  </si>
  <si>
    <t>Larry</t>
  </si>
  <si>
    <t>Shave Gel/Foam</t>
  </si>
  <si>
    <t>RFP1 SCO Analysis</t>
  </si>
  <si>
    <t>Kendra</t>
  </si>
  <si>
    <t>DI Bid</t>
  </si>
  <si>
    <t>RFP1 Supplier Negotiation</t>
  </si>
  <si>
    <t>Diapers II</t>
  </si>
  <si>
    <t>Mouthwash</t>
  </si>
  <si>
    <t>Baby Wipes</t>
  </si>
  <si>
    <t>Batteries</t>
  </si>
  <si>
    <t>RFP1</t>
  </si>
  <si>
    <t>IMPULSE MERCHANDISE</t>
  </si>
  <si>
    <t>Absorbent pads</t>
  </si>
  <si>
    <t>2_Bid Prep</t>
  </si>
  <si>
    <t>Copy Paper</t>
  </si>
  <si>
    <t>Hardlines</t>
  </si>
  <si>
    <t>STATIONERY</t>
  </si>
  <si>
    <t>Dairy Creamers and Half n Half</t>
  </si>
  <si>
    <t>Delayed (Yellow)</t>
  </si>
  <si>
    <t>Aime Snowden</t>
  </si>
  <si>
    <t>Ragan H./Rose P.</t>
  </si>
  <si>
    <t>Domestic Bid</t>
  </si>
  <si>
    <t>DAIRY</t>
  </si>
  <si>
    <t>David L. / Luis D.</t>
  </si>
  <si>
    <t>Bacon</t>
  </si>
  <si>
    <t>Jose Cano</t>
  </si>
  <si>
    <t>Coffee</t>
  </si>
  <si>
    <t xml:space="preserve">Open </t>
  </si>
  <si>
    <t>GROCERY</t>
  </si>
  <si>
    <t>David Lomeier</t>
  </si>
  <si>
    <t>Frozen Potatoes / Deli</t>
  </si>
  <si>
    <t>Jony Farfan</t>
  </si>
  <si>
    <t>FROZEN</t>
  </si>
  <si>
    <t>Jake Deans</t>
  </si>
  <si>
    <t>Sarah D / Kristie S.</t>
  </si>
  <si>
    <t>David L. / Yao F.</t>
  </si>
  <si>
    <t>Commercial Bread &amp; Buns</t>
  </si>
  <si>
    <t>Chris McSpadden</t>
  </si>
  <si>
    <t>Nick Wear</t>
  </si>
  <si>
    <t>Domestic Negotiation</t>
  </si>
  <si>
    <t>COM BREAD</t>
  </si>
  <si>
    <t>Yao Fu</t>
  </si>
  <si>
    <t>Bakery Cookies/Freshest Guarantee</t>
  </si>
  <si>
    <t>Ofelia Cypert</t>
  </si>
  <si>
    <t>Cookies</t>
  </si>
  <si>
    <t>Christine Dillard</t>
  </si>
  <si>
    <t>Crackers / Saltines</t>
  </si>
  <si>
    <t>Salty Snacks (Chips &amp; Pretzels)</t>
  </si>
  <si>
    <t>Table Ready Salads</t>
  </si>
  <si>
    <t>Canned Fruit</t>
  </si>
  <si>
    <t>Andrew Hoyt</t>
  </si>
  <si>
    <t>DI/Domestic Bid</t>
  </si>
  <si>
    <t>TBD</t>
  </si>
  <si>
    <t>Tommy Reed</t>
  </si>
  <si>
    <t>DSD Milk</t>
  </si>
  <si>
    <t>Jessica Baldini</t>
  </si>
  <si>
    <t>Cooking Spray</t>
  </si>
  <si>
    <t>Janet Hannay</t>
  </si>
  <si>
    <t>Commodity &amp; Specialty Eggs (WM)</t>
  </si>
  <si>
    <t>Cheese / Shelf Stable / Deli</t>
  </si>
  <si>
    <t>Luis Calderon Diaz</t>
  </si>
  <si>
    <t>Fresh/Frozen Seafood</t>
  </si>
  <si>
    <t>Tracy Chen</t>
  </si>
  <si>
    <t>Eggs</t>
  </si>
  <si>
    <t>David L</t>
  </si>
  <si>
    <t>Butter</t>
  </si>
  <si>
    <t>David Lohmeier</t>
  </si>
  <si>
    <t>Buttercream</t>
  </si>
  <si>
    <t>Frozen Dough (pucks)</t>
  </si>
  <si>
    <t>Pies (4” 8” &amp; 10” &amp; holiday)</t>
  </si>
  <si>
    <t>Pre-decorated Cakes</t>
  </si>
  <si>
    <t>Salmon</t>
  </si>
  <si>
    <t>Seafood</t>
  </si>
  <si>
    <t xml:space="preserve">Shrimp </t>
  </si>
  <si>
    <t>Tilapia</t>
  </si>
  <si>
    <t>Frozen Grouper &amp; Snapper</t>
  </si>
  <si>
    <t>SEAFOOD</t>
  </si>
  <si>
    <t>n/a</t>
  </si>
  <si>
    <t>Frozen Mahi Mahi</t>
  </si>
  <si>
    <t>Frozen Swordfish</t>
  </si>
  <si>
    <t>Frozen Wild Salmon</t>
  </si>
  <si>
    <t>Frozen Swai</t>
  </si>
  <si>
    <t>Frozen Gulf Shrimp</t>
  </si>
  <si>
    <t>Frozen Shrimp Bag Q2, 2022</t>
  </si>
  <si>
    <t>Frozen Atlantic Salmon</t>
  </si>
  <si>
    <t>Frozen Bay Scallops</t>
  </si>
  <si>
    <t>Frozen Haddock</t>
  </si>
  <si>
    <t>Frozen Cod</t>
  </si>
  <si>
    <t>Frozen Shrimp Ring</t>
  </si>
  <si>
    <t>Frozen Flounder</t>
  </si>
  <si>
    <t>Spices</t>
  </si>
  <si>
    <t>Beau Reynolds</t>
  </si>
  <si>
    <t>Canned Seafood</t>
  </si>
  <si>
    <t>Applesauce - Pouch</t>
  </si>
  <si>
    <t>Canned - Pumpkin</t>
  </si>
  <si>
    <t>Frozen Pancakes/Waffles</t>
  </si>
  <si>
    <t>Greg Jenkins</t>
  </si>
  <si>
    <t>Frozen Fruit 2021</t>
  </si>
  <si>
    <t>Canned Soups</t>
  </si>
  <si>
    <t>Sam Alicea</t>
  </si>
  <si>
    <t>Coconut Water</t>
  </si>
  <si>
    <t>John Donovan</t>
  </si>
  <si>
    <t>Luis Diaz</t>
  </si>
  <si>
    <t>Graham Crackers</t>
  </si>
  <si>
    <t>Kyle Lanham</t>
  </si>
  <si>
    <t>Corn Chips</t>
  </si>
  <si>
    <t>Alex Phan</t>
  </si>
  <si>
    <t>Alfredo Pasta Sauce</t>
  </si>
  <si>
    <t>Instant Noodles</t>
  </si>
  <si>
    <t>Multi-Pack Juice</t>
  </si>
  <si>
    <t>Amanda Sparks</t>
  </si>
  <si>
    <t>Green Olives</t>
  </si>
  <si>
    <t>Mary Walker</t>
  </si>
  <si>
    <t>RMA - Cocoa - BKF</t>
  </si>
  <si>
    <t>ARES</t>
  </si>
  <si>
    <t>RMA - Cocoa - GV Choc Milk</t>
  </si>
  <si>
    <t>RMA - Cocoa - PB</t>
  </si>
  <si>
    <t>RMA - Cocoa - Placed Based</t>
  </si>
  <si>
    <t>RMA - SBO/Egg</t>
  </si>
  <si>
    <t>RMA - Buttercream</t>
  </si>
  <si>
    <t>BAKERY</t>
  </si>
  <si>
    <t>RMA - Cut Fruit &amp; Vav</t>
  </si>
  <si>
    <t>MEAT</t>
  </si>
  <si>
    <t>RMA - Garlic</t>
  </si>
  <si>
    <t>RMA - Cashews</t>
  </si>
  <si>
    <t>Cookies &amp; Crackers</t>
  </si>
  <si>
    <t>SNACKS AND BEVERAGES</t>
  </si>
  <si>
    <t>Holiday Gift Tea</t>
  </si>
  <si>
    <t>Spend - CAM</t>
  </si>
  <si>
    <t>Spend - UKN</t>
  </si>
  <si>
    <t>Savings - CAM</t>
  </si>
  <si>
    <t>Savings - UKN</t>
  </si>
  <si>
    <t>Savings - US</t>
  </si>
  <si>
    <t>Savings - Sams</t>
  </si>
  <si>
    <t>Cost Avoidance - CAN2</t>
  </si>
  <si>
    <t>Cost Avoidance - MEX3</t>
  </si>
  <si>
    <t>Cost Avoidance - CAM4</t>
  </si>
  <si>
    <t>Cost Avoidance - CHL5</t>
  </si>
  <si>
    <t>Cost Avoidance - ARG6</t>
  </si>
  <si>
    <t>Cost Avoidance - CHN7</t>
  </si>
  <si>
    <t>Cost Avoidance - JAP8</t>
  </si>
  <si>
    <t>Cost Avoidance - UKN9</t>
  </si>
  <si>
    <t>Cost Avoidance - SAF10</t>
  </si>
  <si>
    <t>Cost Avoidance - US11</t>
  </si>
  <si>
    <t>Cost Avoidance - Sams12</t>
  </si>
  <si>
    <t>Savings - All</t>
  </si>
  <si>
    <t>Savings - INTL</t>
  </si>
  <si>
    <t>Savings - WMUs-Sams</t>
  </si>
  <si>
    <t>Cost Avoidance INTL</t>
  </si>
  <si>
    <t>Cost Avoidance US</t>
  </si>
  <si>
    <t>Status Value</t>
  </si>
  <si>
    <t>Final SCO Analysis</t>
  </si>
  <si>
    <t>Quality approved, pending SCO analysis
Pending DC breakout for the three new items for SCO analysis</t>
  </si>
  <si>
    <t>Updated record to populate ProjTable</t>
  </si>
  <si>
    <t>0_Proposed</t>
  </si>
  <si>
    <t>Planning</t>
  </si>
  <si>
    <t>Exploratory IJB added and estimated spend data from SPInE</t>
  </si>
  <si>
    <t>1/0/1900</t>
  </si>
  <si>
    <t>Project moved to Beau, working with team to evaluate if/when to relook at this project based on current priorities</t>
  </si>
  <si>
    <t>Test</t>
  </si>
  <si>
    <t xml:space="preserve">Walmart - Awards sent to suppliers for their signature. Collect signed awards from suppliers by 5/27/22.
International - Markets determining landed cost and connecting with commercial/merchant teams to make final decisions.
Sam's Club - Based on the rising costs and unable to remain competitive in the marketplace, we (Sam’s Club) have made the decision to move away from the Member’s Mark Canned Veg program (temporarily) for this bid cycle. </t>
  </si>
  <si>
    <t xml:space="preserve">Walmart - Awards sent to suppliers for their signature. Collect signed awards from suppliers by 6/30/22.
International - Markets determining landed cost and connecting with commercial/merchant teams to make final decisions.
Sam's Club - Based on the rising costs and unable to remain competitive in the marketplace, we (Sam’s Club) have made the decision to move away from the Member’s Mark Canned Veg program (temporarily) for this bid cycle. </t>
  </si>
  <si>
    <t>On-Track</t>
  </si>
  <si>
    <t>Removed Sam's US as they are no longer participating</t>
  </si>
  <si>
    <t>3_RFPX underway</t>
  </si>
  <si>
    <t>5_Award</t>
  </si>
  <si>
    <t>Cancelled to set up project correctly.</t>
  </si>
  <si>
    <t>$215M</t>
  </si>
  <si>
    <t>$11M</t>
  </si>
  <si>
    <t>Creatd created - add spend</t>
  </si>
  <si>
    <t>Creatd created - added spend fro April's file, Start and End dates need to be revised; US includes GNFR $10M</t>
  </si>
  <si>
    <t xml:space="preserve">4_Post Bid </t>
  </si>
  <si>
    <t>6_Award finalized</t>
  </si>
  <si>
    <t>Updated for FY21 as record</t>
  </si>
  <si>
    <t>Using as test project for Save code added at end of Update</t>
  </si>
  <si>
    <t>Using as test project for Save code added at end of Update - second test</t>
  </si>
  <si>
    <t>Exploratory IJB added and spend data from SPInE</t>
  </si>
  <si>
    <t>Exploratory IJB and SPInE data for spend</t>
  </si>
  <si>
    <t>Combined into one</t>
  </si>
  <si>
    <t>Updated milestone and results.</t>
  </si>
  <si>
    <t>Exploratory IJB added and spend from SPInE</t>
  </si>
  <si>
    <t>Updated planned start date to 5/1/2020 as per comment from Carli that this project has been on and paused since May 2020</t>
  </si>
  <si>
    <t>Canceled to create two different IJBs (pods and liquids)</t>
  </si>
  <si>
    <t>Input estimated spend data from SPInE</t>
  </si>
  <si>
    <t>1_Market objectives aligned</t>
  </si>
  <si>
    <t>2_Data collection complete</t>
  </si>
  <si>
    <t>Updated milestone, planned award date and spend for participating markets</t>
  </si>
  <si>
    <t>Updated US spend</t>
  </si>
  <si>
    <t>Actual Bid launch on 2/1, get detailed timelines from appendix of document shared by Jamie</t>
  </si>
  <si>
    <t>Updated COGS by market.</t>
  </si>
  <si>
    <t>Combined Cups &amp; Cutlery as IJB and input estimated spend from SPInE data</t>
  </si>
  <si>
    <t>Legal drafting legal document to email to supplier as final award letter</t>
  </si>
  <si>
    <t>Legal drafting legal document to email to supplier as final award letter
This is a test</t>
  </si>
  <si>
    <t xml:space="preserve">Legal drafting legal document to email to supplier as final award letter
</t>
  </si>
  <si>
    <t>Updated from GEP presentation on Feb 23</t>
  </si>
  <si>
    <t xml:space="preserve">Delayed </t>
  </si>
  <si>
    <t>Updated Revised end is for completin fo RFP round 2 - after that request samples and approve before award</t>
  </si>
  <si>
    <t>Expected savings $2.09M on status quo and $4.19 if switches are considered 5 or 10%</t>
  </si>
  <si>
    <t xml:space="preserve">Interactive bids in progress and awards will be domne by end of April </t>
  </si>
  <si>
    <t>Interactive bids in progress and awards will be domne by end of April . Updated to include US data.</t>
  </si>
  <si>
    <t>Award proposals ready - needs to be completed and closed, savings need to be updated</t>
  </si>
  <si>
    <t>Ultraorganics getting ready to ship and do DI transitions</t>
  </si>
  <si>
    <t>No suppliers found for DI</t>
  </si>
  <si>
    <t>Matt Foster</t>
  </si>
  <si>
    <t>RFP3</t>
  </si>
  <si>
    <t>SCO is conducting RFP 2 final analysis.
Upcoming: Final decisions by each BU and awards.</t>
  </si>
  <si>
    <t>Updated COGS by market</t>
  </si>
  <si>
    <t>Updated COGS for US</t>
  </si>
  <si>
    <t>Updated milestone</t>
  </si>
  <si>
    <t>Bid prep will start in August</t>
  </si>
  <si>
    <t>4_RFPX (RFP1, RFP2, etc.) complete</t>
  </si>
  <si>
    <t>Moved to FY22 calendar</t>
  </si>
  <si>
    <t>Updated planned award date and spend for participating markets</t>
  </si>
  <si>
    <t>Preparing for final negotiations.</t>
  </si>
  <si>
    <t>Updated US volume.</t>
  </si>
  <si>
    <t>Updated volume, savings and cost avoidance.</t>
  </si>
  <si>
    <t>Entered revised time as 5/31 since the project is still in open status beyond planned award - changed status to delayed</t>
  </si>
  <si>
    <t>Paper Products</t>
  </si>
  <si>
    <t>Updated ProjData</t>
  </si>
  <si>
    <t>Award letters sent, and costs updated</t>
  </si>
  <si>
    <t>Updated US volume</t>
  </si>
  <si>
    <t xml:space="preserve">Waiting on NDA from Cargill for formulation agreement
Next: Awaiting on Kelly to authorize Cargill </t>
  </si>
  <si>
    <t>Cashew Processing 101 with Jonathan Nimrod</t>
  </si>
  <si>
    <t>Pallavi testing 3 samples from OFI
Sensory thru June</t>
  </si>
  <si>
    <t>Completed RFI working session with OFI, RFI to be sent out May 23rd. 
Next: Send RFI 5/23</t>
  </si>
  <si>
    <t>Focus on 80% of Cocoa usage, top 26 out of 117 suppliers that use Cocoa
Next: June 15th Supplier Webinar for sustainable cocoa</t>
  </si>
  <si>
    <t>Target a placed cocoa sourcing project by working with OFI and use internal scans
Next: June 15th Supplier Webinar for sustainable cocoa</t>
  </si>
  <si>
    <t>Presented category assessment and RMA opportunity capture
Next: Eduardo to connect with BU and present go/no go</t>
  </si>
  <si>
    <t>Waiting on category assessment and RMA opportunity capture with Beau</t>
  </si>
  <si>
    <t>Samples failed, Reily resending samples
Next: Reily correcting formulation, resend for sensory</t>
  </si>
  <si>
    <t>Exploratory IJB</t>
  </si>
  <si>
    <t>Combined wet cat &amp; dog food as 1 IJB and input SPInE estimated spend data</t>
  </si>
  <si>
    <t>Latam markets removed from wet pet IJB and will proceed as strategic negotiation across US and Canada only.  Latam as tag-on</t>
  </si>
  <si>
    <t>5_Analysis complete</t>
  </si>
  <si>
    <t>Delayed</t>
  </si>
  <si>
    <t>Updated from Matt's email on 2/8. Project closed</t>
  </si>
  <si>
    <t>Baseline costs have changed as incumbents hav raised costs. Bid analysis needs to be redone against new costs.</t>
  </si>
  <si>
    <t>2 rounds completed, spend entered from Roy's presentation, savings to be finalized, China and Arg spend and savings needs to be checked</t>
  </si>
  <si>
    <t>Expected award by early to mid April as per Roy's presentation</t>
  </si>
  <si>
    <t>Awards still not complete. Revising timeframe to end of May</t>
  </si>
  <si>
    <t>Kristie Stamitis</t>
  </si>
  <si>
    <t>Exploratory project from 2021-2022 - change in merchant resulted in change in strategy. Pending supplier conversation (Sacla) and evaluating potential for future business</t>
  </si>
  <si>
    <t>Working on sample revisions with Bomesa (supplier out of MX) to confirm ability to meet spec. 5th round of samples received 6/17, pending feedback</t>
  </si>
  <si>
    <t>Sample revisions with Jovy Candy (supplier out of MX). Pending 3rd round of samples - latest update is supplier facing challenges securing raw materials. Working to fix  –  pending if they will be able to continue in the process</t>
  </si>
  <si>
    <t>Working with Galletera Maribel (supplier out of MX) on sample revisions. Pending 4th round samples - PD &amp; GS team working with supplier for in-person sample review in July</t>
  </si>
  <si>
    <t>Vetting suppliers</t>
  </si>
  <si>
    <t>Planning phase</t>
  </si>
  <si>
    <t>Cost Increase: $19,859, 0.82%</t>
  </si>
  <si>
    <t>Results: Cost Increase: $1,120,175, 47.16%%</t>
  </si>
  <si>
    <t>Cost Increase: $22,801. 7.66%</t>
  </si>
  <si>
    <t>Cost Increase: $6.60M , 12.44%, Cost Avoidance: $1.56M, 2.93%</t>
  </si>
  <si>
    <t>Cost Increase: $6,790,827, 55.19%, Cost Avoidance: $1,117,773, 5.53%</t>
  </si>
  <si>
    <t>Cost Increase: $765,672, 8.03%, Cost Avoidance: $199,317</t>
  </si>
  <si>
    <t>Cost Increase: $2,886,903, 1.63% / Cost Avoidance: $5,735,252, 3.10%</t>
  </si>
  <si>
    <t>Cost Increase: $759,864, 18.89%, Cost Avoidance: $73,228, 1.82%</t>
  </si>
  <si>
    <t>Cost Increase: $677K, 36.62%, Cost Avoidance: $213K, 11.5%</t>
  </si>
  <si>
    <t>Cost Increase: $507K, 20.35%, Cost Avoidance: $291K, 11.70%</t>
  </si>
  <si>
    <t>Cost Increase: $539K, 6.17%, Cost Avoidance: $925K, 10.55%</t>
  </si>
  <si>
    <t>Cost Increase: $2,645,094, 5.96%, Cost Avoidance: $3,386,753, 7.63%</t>
  </si>
  <si>
    <t>Cost Increase: $1.24M, 24.54%, Cost Avoidance: $284K, 5.61%</t>
  </si>
  <si>
    <t>RFP 1 set to close June 22. SCO analysis to begin next week after bid validation completed.</t>
  </si>
  <si>
    <t>Countries</t>
  </si>
  <si>
    <t>Country Name</t>
  </si>
  <si>
    <t>Country Abbr</t>
  </si>
  <si>
    <t>Proj Data Column indices</t>
  </si>
  <si>
    <t>Column Array</t>
  </si>
  <si>
    <t>Categories</t>
  </si>
  <si>
    <t>Years</t>
  </si>
  <si>
    <t>Editors</t>
  </si>
  <si>
    <t>Sourcing leads</t>
  </si>
  <si>
    <t>LOOKUP DATA</t>
  </si>
  <si>
    <t>Display names</t>
  </si>
  <si>
    <t>Value</t>
  </si>
  <si>
    <t>UPDATE FORM</t>
  </si>
  <si>
    <t>RESOURCE FORM</t>
  </si>
  <si>
    <t>All Available Categories</t>
  </si>
  <si>
    <t>CAN-Canada</t>
  </si>
  <si>
    <t>Canada</t>
  </si>
  <si>
    <t>SORT(FILTER(INDEX(Table2[#Data],SEQUENCE(ROWS(Table2[#Data])),{17,18,22,2}),(Table2[SBU]=$F$6)*(Table2[Execution Year]=$F$4)*(Table2[Status]&lt;&gt;"Cancelled")*(Table2[CAN]=1),"N"),3,-1)</t>
  </si>
  <si>
    <t>Admin</t>
  </si>
  <si>
    <t>Jan</t>
  </si>
  <si>
    <t>Potential next phases</t>
  </si>
  <si>
    <t>MEX-Mexico</t>
  </si>
  <si>
    <t>Mexico</t>
  </si>
  <si>
    <t>SORT(FILTER(INDEX(Table2[#Data],SEQUENCE(ROWS(Table2[#Data])),{17,18,22,2}),(Table2[SBU]=$F$6)*(Table2[Execution Year]=$F$4)*(Table2[Status]&lt;&gt;"Cancelled")*(Table2[MEX]=1),"N"),3,-1)</t>
  </si>
  <si>
    <t>Feb</t>
  </si>
  <si>
    <t>CAM-Central America</t>
  </si>
  <si>
    <t>Central America</t>
  </si>
  <si>
    <t>SORT(FILTER(INDEX(Table2[#Data],SEQUENCE(ROWS(Table2[#Data])),{17,18,22,2}),(Table2[SBU]=$F$6)*(Table2[Execution Year]=$F$4)*(Table2[Status]&lt;&gt;"Cancelled")*(Table2[CAM]=1),"N"),3,-1)</t>
  </si>
  <si>
    <t>Carli</t>
  </si>
  <si>
    <t>Mar</t>
  </si>
  <si>
    <t>Delayed – at Risk (Red)</t>
  </si>
  <si>
    <t>FY20</t>
  </si>
  <si>
    <t>CHL-Chile</t>
  </si>
  <si>
    <t>Chile</t>
  </si>
  <si>
    <t>SORT(FILTER(INDEX(Table2[#Data],SEQUENCE(ROWS(Table2[#Data])),{17,18,22,2}),(Table2[SBU]=$F$6)*(Table2[Execution Year]=$F$4)*(Table2[Status]&lt;&gt;"Cancelled")*(Table2[CHL]=1),"N"),3,-1)</t>
  </si>
  <si>
    <t>FY24</t>
  </si>
  <si>
    <t>USER</t>
  </si>
  <si>
    <t>Apr</t>
  </si>
  <si>
    <t>ARG-Argentina</t>
  </si>
  <si>
    <t>Argentina</t>
  </si>
  <si>
    <t>SORT(FILTER(INDEX(Table2[#Data],SEQUENCE(ROWS(Table2[#Data])),{17,18,22,2}),(Table2[SBU]=$F$6)*(Table2[Execution Year]=$F$4)*(Table2[Status]&lt;&gt;"Cancelled")*(Table2[ARG]=1),"N"),3,-1)</t>
  </si>
  <si>
    <t>Jony</t>
  </si>
  <si>
    <t>May</t>
  </si>
  <si>
    <t>CHN-China</t>
  </si>
  <si>
    <t>China</t>
  </si>
  <si>
    <t>Costing Model Tool</t>
  </si>
  <si>
    <t>Jun</t>
  </si>
  <si>
    <t>JAP-Japan</t>
  </si>
  <si>
    <t>Japan</t>
  </si>
  <si>
    <t>SORT(FILTER(INDEX(Table2[#Data],SEQUENCE(ROWS(Table2[#Data])),{17,18,22,2}),(Table2[SBU]=$F$6)*(Table2[Execution Year]=$F$4)*(Table2[Status]&lt;&gt;"Cancelled")*(Table2[JAP]=1),"N"),3,-1)</t>
  </si>
  <si>
    <t>Janet</t>
  </si>
  <si>
    <t>Jul</t>
  </si>
  <si>
    <t>RFP2</t>
  </si>
  <si>
    <t>UKN-United Kingdom</t>
  </si>
  <si>
    <t>United Kingdom</t>
  </si>
  <si>
    <t>SORT(FILTER(INDEX(Table2[#Data],SEQUENCE(ROWS(Table2[#Data])),{17,18,22,2}),(Table2[SBU]=$F$6)*(Table2[Execution Year]=$F$4)*(Table2[Status]&lt;&gt;"Cancelled")*(Table2[UKN]=1),"N"),3,-1)</t>
  </si>
  <si>
    <t>DI Support</t>
  </si>
  <si>
    <t>Aug</t>
  </si>
  <si>
    <t>RFP2 SCO Analysis</t>
  </si>
  <si>
    <t>SAF-South Africa</t>
  </si>
  <si>
    <t>South Africa</t>
  </si>
  <si>
    <t>SORT(FILTER(INDEX(Table2[#Data],SEQUENCE(ROWS(Table2[#Data])),{17,18,22,2}),(Table2[SBU]=$F$6)*(Table2[Execution Year]=$F$4)*(Table2[Status]&lt;&gt;"Cancelled")*(Table2[SAF]=1),"N"),3,-1)</t>
  </si>
  <si>
    <t>Sep</t>
  </si>
  <si>
    <t>RFP2 Supplier Negotiation</t>
  </si>
  <si>
    <t>US-WM US</t>
  </si>
  <si>
    <t>SORT(FILTER(INDEX(Table2[#Data],SEQUENCE(ROWS(Table2[#Data])),{17,18,22,2}),(Table2[SBU]=$F$6)*(Table2[Execution Year]=$F$4)*(Table2[Status]&lt;&gt;"Cancelled")*(Table2[US]=1),"N"),3,-1)</t>
  </si>
  <si>
    <t>Oct</t>
  </si>
  <si>
    <t>Sams - Sams US</t>
  </si>
  <si>
    <t>Sams US</t>
  </si>
  <si>
    <t>SORT(FILTER(INDEX(Table2[#Data],SEQUENCE(ROWS(Table2[#Data])),{17,18,22,2}),(Table2[SBU]=$F$6)*(Table2[Execution Year]=$F$4)*(Table2[Status]&lt;&gt;"Cancelled")*(Table2[Sams]=1),"N"),3,-1)</t>
  </si>
  <si>
    <t>Nov</t>
  </si>
  <si>
    <t>SORT(FILTER(INDEX(Table2[#Data],SEQUENCE(ROWS(Table2[#Data])),{17,18,22,2}),(Table2[SBU]=$F$6)*(Table2[Execution Year]=$F$4)*(Table2[Status]&lt;&gt;"Cancelled")*(Table2[Sams Mexico]=1),"N"),3,-1)</t>
  </si>
  <si>
    <t>Dec</t>
  </si>
  <si>
    <t>SORT(FILTER(INDEX(Table2[#Data],SEQUENCE(ROWS(Table2[#Data])),{17,18,22,2}),(Table2[SBU]=$F$6)*(Table2[Execution Year]=$F$4)*(Table2[Status]&lt;&gt;"Cancelled")*(Table2[Sams China]=1),"N"),3,-1)</t>
  </si>
  <si>
    <t>IND-India</t>
  </si>
  <si>
    <t>India</t>
  </si>
  <si>
    <t>SORT(FILTER(INDEX(Table2[#Data],SEQUENCE(ROWS(Table2[#Data])),{17,18,22,2}),(Table2[SBU]=$F$6)*(Table2[Execution Year]=$F$4)*(Table2[Status]&lt;&gt;"Cancelled")*(Table2[IND]=1),"N"),3,-1)</t>
  </si>
  <si>
    <t>DEPT #</t>
  </si>
  <si>
    <t>Dept Name</t>
  </si>
  <si>
    <t>CANDY AND TOBACCO</t>
  </si>
  <si>
    <t>SERVICE DELI</t>
  </si>
  <si>
    <t>PRODUCE</t>
  </si>
  <si>
    <t>LIQUOR</t>
  </si>
  <si>
    <t>Not Updated</t>
  </si>
  <si>
    <t>WALL DELI</t>
  </si>
  <si>
    <t>SPORTS AND OUTDOORS</t>
  </si>
  <si>
    <t>AUTOMOTIVE</t>
  </si>
  <si>
    <t>Delayed - at risk</t>
  </si>
  <si>
    <t>HARDWARE AND TOOLS</t>
  </si>
  <si>
    <t>PAINT &amp; ACCESSORIES</t>
  </si>
  <si>
    <t>Award finalized</t>
  </si>
  <si>
    <t>PATIO AND GARDEN</t>
  </si>
  <si>
    <t>HORTICULTURE</t>
  </si>
  <si>
    <t>-1_Exploring Opportunity</t>
  </si>
  <si>
    <t>MULTIPLE</t>
  </si>
  <si>
    <t>OTC</t>
  </si>
  <si>
    <t>SCO Analysis</t>
  </si>
  <si>
    <t>Supplier Negotiation</t>
  </si>
  <si>
    <t>Pending PB/Merch Approval</t>
  </si>
  <si>
    <t>WALMART US PROJECT DETAILS</t>
  </si>
  <si>
    <t>Sourcing Lead</t>
  </si>
  <si>
    <t>Spend 
(Open Projects)</t>
  </si>
  <si>
    <t># of open projects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</si>
</sst>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3">
    <numFmt numFmtId="44" formatCode="_(&quot;$&quot;* #,##0.00_);_(&quot;$&quot;* \(#,##0.00\);_(&quot;$&quot;* &quot;-&quot;??_);_(@_)"/>
    <numFmt numFmtId="43" formatCode="_(* #,##0.00_);_(* \(#,##0.00\);_(* &quot;-&quot;??_);_(@_)"/>
    <numFmt numFmtId="164" formatCode="[$-409]mmm\-yy;@"/>
    <numFmt numFmtId="165" formatCode="&quot;$&quot;#,##0.0,,;;;"/>
    <numFmt numFmtId="166" formatCode="[$-409]m/d/yy\ h:mm\ AM/PM;@"/>
    <numFmt numFmtId="167" formatCode="[$-409]mmm\-yy;"/>
    <numFmt numFmtId="168" formatCode="m/d/yy;@"/>
    <numFmt numFmtId="169" formatCode="[$-409]mmm;@"/>
    <numFmt numFmtId="170" formatCode="0.0,,;;&quot;-&quot;;"/>
    <numFmt numFmtId="171" formatCode="[$-409]d\-mmm\-yyyy;@"/>
    <numFmt numFmtId="172" formatCode="0.0,,;;&quot;-&quot;"/>
    <numFmt numFmtId="173" formatCode="[$-409]d\-mmm\-yy;@"/>
    <numFmt numFmtId="174" formatCode="_(* #,##0_);_(* \(#,##0\);_(* &quot;-&quot;??_);_(@_)"/>
    <numFmt numFmtId="175" formatCode="0,,;;&quot;-&quot;"/>
    <numFmt numFmtId="176" formatCode="&quot;$&quot;#,##0.0,,"/>
    <numFmt numFmtId="177" formatCode="mm/dd/yy;;&quot;&quot;"/>
    <numFmt numFmtId="178" formatCode="&quot;$&quot;#,##0.0,,&quot;M&quot;;;;"/>
    <numFmt numFmtId="179" formatCode="[$-409]dd\-mmm\-yy;@"/>
    <numFmt numFmtId="180" formatCode="_(&quot;$&quot;* #,##0_);_(&quot;$&quot;* \(#,##0\);_(&quot;$&quot;* &quot;-&quot;??_);_(@_)"/>
    <numFmt numFmtId="181" formatCode="[$-409]dd\-mmm\-yy;;;"/>
    <numFmt numFmtId="182" formatCode="[$-409]mmm\-yy;;;"/>
    <numFmt numFmtId="183" formatCode="[$-409]d\-mmm\-yy;;"/>
    <numFmt numFmtId="184" formatCode="[$-409]dd\-mmm\-yy;;"/>
  </numFmts>
  <fonts count="38">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sz val="16"/>
      <color theme="0"/>
      <name val="Calibri"/>
      <family val="2"/>
      <scheme val="minor"/>
    </font>
    <font>
      <b/>
      <i/>
      <sz val="11"/>
      <color theme="1"/>
      <name val="Calibri"/>
      <family val="2"/>
      <scheme val="minor"/>
    </font>
    <font>
      <b/>
      <sz val="11"/>
      <color theme="0" tint="-0.249977111117893"/>
      <name val="Calibri"/>
      <family val="2"/>
      <scheme val="minor"/>
    </font>
    <font>
      <sz val="11"/>
      <color rgb="FFFF0000"/>
      <name val="Calibri"/>
      <family val="2"/>
      <scheme val="minor"/>
    </font>
    <font>
      <u/>
      <sz val="11"/>
      <color theme="10"/>
      <name val="Calibri"/>
      <family val="2"/>
      <scheme val="minor"/>
    </font>
    <font>
      <i/>
      <sz val="11"/>
      <color theme="1"/>
      <name val="Calibri"/>
      <family val="2"/>
      <scheme val="minor"/>
    </font>
    <font>
      <i/>
      <sz val="11"/>
      <color rgb="FFFF0000"/>
      <name val="Calibri"/>
      <family val="2"/>
      <scheme val="minor"/>
    </font>
    <font>
      <i/>
      <sz val="11"/>
      <color theme="0"/>
      <name val="Calibri"/>
      <family val="2"/>
      <scheme val="minor"/>
    </font>
    <font>
      <i/>
      <sz val="9"/>
      <color theme="1"/>
      <name val="Calibri"/>
      <family val="2"/>
      <scheme val="minor"/>
    </font>
    <font>
      <b/>
      <sz val="18"/>
      <color theme="0"/>
      <name val="Calibri"/>
      <family val="2"/>
      <scheme val="minor"/>
    </font>
    <font>
      <sz val="11"/>
      <name val="Calibri"/>
      <family val="2"/>
      <scheme val="minor"/>
    </font>
    <font>
      <sz val="11"/>
      <color theme="9" tint="0.79998168889431442"/>
      <name val="Calibri"/>
      <family val="2"/>
      <scheme val="minor"/>
    </font>
    <font>
      <sz val="8"/>
      <name val="Calibri"/>
      <family val="2"/>
      <scheme val="minor"/>
    </font>
    <font>
      <b/>
      <sz val="11"/>
      <color rgb="FFFFFF00"/>
      <name val="Calibri"/>
      <family val="2"/>
      <scheme val="minor"/>
    </font>
    <font>
      <sz val="11"/>
      <color theme="4" tint="0.79998168889431442"/>
      <name val="Calibri"/>
      <family val="2"/>
      <scheme val="minor"/>
    </font>
    <font>
      <b/>
      <sz val="11"/>
      <name val="Calibri"/>
      <family val="2"/>
      <scheme val="minor"/>
    </font>
    <font>
      <i/>
      <sz val="8"/>
      <color theme="1"/>
      <name val="Calibri"/>
      <family val="2"/>
      <scheme val="minor"/>
    </font>
    <font>
      <sz val="11"/>
      <color rgb="FF000000"/>
      <name val="Calibri"/>
      <family val="2"/>
    </font>
    <font>
      <b/>
      <sz val="11"/>
      <color rgb="FF000000"/>
      <name val="Calibri"/>
      <family val="2"/>
    </font>
    <font>
      <b/>
      <sz val="16"/>
      <color theme="1"/>
      <name val="Calibri"/>
      <family val="2"/>
      <scheme val="minor"/>
    </font>
    <font>
      <i/>
      <sz val="16"/>
      <color theme="1"/>
      <name val="Calibri"/>
      <family val="2"/>
      <scheme val="minor"/>
    </font>
    <font>
      <sz val="16"/>
      <color theme="1"/>
      <name val="Calibri"/>
      <family val="2"/>
      <scheme val="minor"/>
    </font>
    <font>
      <b/>
      <sz val="11"/>
      <color rgb="FF00B050"/>
      <name val="Calibri"/>
      <family val="2"/>
      <scheme val="minor"/>
    </font>
    <font>
      <i/>
      <sz val="11"/>
      <color theme="0" tint="-0.34998626667073579"/>
      <name val="Calibri"/>
      <family val="2"/>
      <scheme val="minor"/>
    </font>
    <font>
      <b/>
      <sz val="11"/>
      <color rgb="FF002060"/>
      <name val="Calibri"/>
      <family val="2"/>
      <scheme val="minor"/>
    </font>
    <font>
      <sz val="11"/>
      <color theme="0" tint="-4.9989318521683403E-2"/>
      <name val="Calibri"/>
      <family val="2"/>
      <scheme val="minor"/>
    </font>
    <font>
      <b/>
      <sz val="11"/>
      <color rgb="FFFF0000"/>
      <name val="Calibri"/>
      <family val="2"/>
      <scheme val="minor"/>
    </font>
    <font>
      <b/>
      <sz val="14"/>
      <color theme="0"/>
      <name val="Calibri"/>
      <family val="2"/>
      <scheme val="minor"/>
    </font>
    <font>
      <b/>
      <sz val="20"/>
      <color theme="0"/>
      <name val="Calibri"/>
      <family val="2"/>
      <scheme val="minor"/>
    </font>
    <font>
      <sz val="8"/>
      <color theme="1"/>
      <name val="Calibri"/>
      <family val="2"/>
      <scheme val="minor"/>
    </font>
    <font>
      <b/>
      <sz val="11"/>
      <color rgb="FFFAFAFA"/>
      <name val="Calibri"/>
      <family val="2"/>
      <scheme val="minor"/>
    </font>
    <font>
      <sz val="11"/>
      <color rgb="FFFAFAFA"/>
      <name val="Calibri"/>
      <family val="2"/>
      <scheme val="minor"/>
    </font>
    <font>
      <b/>
      <sz val="11"/>
      <color rgb="FFFFFFFF"/>
      <name val="Calibri"/>
      <family val="2"/>
      <scheme val="minor"/>
    </font>
  </fonts>
  <fills count="23">
    <fill>
      <patternFill patternType="none"/>
    </fill>
    <fill>
      <patternFill patternType="gray125"/>
    </fill>
    <fill>
      <patternFill patternType="solid">
        <fgColor theme="4"/>
        <bgColor theme="4"/>
      </patternFill>
    </fill>
    <fill>
      <patternFill patternType="solid">
        <fgColor rgb="FF002060"/>
        <bgColor indexed="64"/>
      </patternFill>
    </fill>
    <fill>
      <patternFill patternType="solid">
        <fgColor theme="0" tint="-0.14999847407452621"/>
        <bgColor indexed="64"/>
      </patternFill>
    </fill>
    <fill>
      <patternFill patternType="solid">
        <fgColor theme="0" tint="-0.249977111117893"/>
        <bgColor theme="4"/>
      </patternFill>
    </fill>
    <fill>
      <patternFill patternType="solid">
        <fgColor theme="9" tint="0.79998168889431442"/>
        <bgColor indexed="64"/>
      </patternFill>
    </fill>
    <fill>
      <patternFill patternType="solid">
        <fgColor theme="0"/>
        <bgColor indexed="64"/>
      </patternFill>
    </fill>
    <fill>
      <patternFill patternType="solid">
        <fgColor theme="7" tint="0.79998168889431442"/>
        <bgColor indexed="64"/>
      </patternFill>
    </fill>
    <fill>
      <patternFill patternType="solid">
        <fgColor theme="1"/>
        <bgColor indexed="64"/>
      </patternFill>
    </fill>
    <fill>
      <patternFill patternType="solid">
        <fgColor rgb="FF0070CE"/>
        <bgColor indexed="64"/>
      </patternFill>
    </fill>
    <fill>
      <patternFill patternType="solid">
        <fgColor theme="4" tint="0.79998168889431442"/>
        <bgColor indexed="64"/>
      </patternFill>
    </fill>
    <fill>
      <patternFill patternType="solid">
        <fgColor rgb="FF0070C0"/>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4"/>
        <bgColor indexed="64"/>
      </patternFill>
    </fill>
    <fill>
      <patternFill patternType="solid">
        <fgColor theme="8" tint="-0.249977111117893"/>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rgb="FFFF0000"/>
        <bgColor indexed="64"/>
      </patternFill>
    </fill>
    <fill>
      <patternFill patternType="solid">
        <fgColor theme="2"/>
        <bgColor indexed="64"/>
      </patternFill>
    </fill>
    <fill>
      <patternFill patternType="solid">
        <fgColor theme="4" tint="0.59999389629810485"/>
        <bgColor indexed="64"/>
      </patternFill>
    </fill>
    <fill>
      <patternFill patternType="solid">
        <fgColor rgb="FFE2EFDA"/>
        <bgColor indexed="64"/>
      </patternFill>
    </fill>
  </fills>
  <borders count="44">
    <border>
      <left/>
      <right/>
      <top/>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
      <left/>
      <right/>
      <top style="thin">
        <color theme="4" tint="0.39997558519241921"/>
      </top>
      <bottom/>
      <diagonal/>
    </border>
    <border>
      <left style="thin">
        <color theme="4" tint="0.39997558519241921"/>
      </left>
      <right/>
      <top style="thin">
        <color theme="4" tint="0.39997558519241921"/>
      </top>
      <bottom/>
      <diagonal/>
    </border>
    <border>
      <left style="dotted">
        <color theme="4" tint="0.39994506668294322"/>
      </left>
      <right style="dotted">
        <color theme="4" tint="0.39994506668294322"/>
      </right>
      <top/>
      <bottom style="dotted">
        <color theme="4" tint="0.39994506668294322"/>
      </bottom>
      <diagonal/>
    </border>
    <border>
      <left style="dotted">
        <color theme="4" tint="0.39988402966399123"/>
      </left>
      <right style="dotted">
        <color theme="4" tint="0.39988402966399123"/>
      </right>
      <top/>
      <bottom style="dotted">
        <color theme="4" tint="0.39988402966399123"/>
      </bottom>
      <diagonal/>
    </border>
    <border>
      <left style="dotted">
        <color theme="4" tint="0.39994506668294322"/>
      </left>
      <right style="dotted">
        <color theme="4" tint="0.39994506668294322"/>
      </right>
      <top style="dotted">
        <color theme="4" tint="0.39991454817346722"/>
      </top>
      <bottom style="dotted">
        <color theme="4" tint="0.3999450666829432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style="thick">
        <color theme="9" tint="0.79998168889431442"/>
      </top>
      <bottom style="thick">
        <color theme="9" tint="0.79998168889431442"/>
      </bottom>
      <diagonal/>
    </border>
    <border>
      <left style="thick">
        <color theme="9" tint="0.79998168889431442"/>
      </left>
      <right style="thick">
        <color theme="9" tint="0.79998168889431442"/>
      </right>
      <top style="thick">
        <color theme="9" tint="0.79998168889431442"/>
      </top>
      <bottom style="thick">
        <color theme="9" tint="0.7999816888943144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ck">
        <color theme="0"/>
      </left>
      <right style="thick">
        <color theme="0"/>
      </right>
      <top style="thick">
        <color theme="0"/>
      </top>
      <bottom style="thick">
        <color theme="0"/>
      </bottom>
      <diagonal/>
    </border>
    <border>
      <left/>
      <right style="thick">
        <color theme="0"/>
      </right>
      <top/>
      <bottom/>
      <diagonal/>
    </border>
    <border>
      <left/>
      <right style="thick">
        <color theme="0"/>
      </right>
      <top style="thick">
        <color theme="0"/>
      </top>
      <bottom style="thick">
        <color theme="0"/>
      </bottom>
      <diagonal/>
    </border>
    <border>
      <left style="dotted">
        <color theme="4" tint="0.39988402966399123"/>
      </left>
      <right/>
      <top/>
      <bottom style="dotted">
        <color theme="4" tint="0.39988402966399123"/>
      </bottom>
      <diagonal/>
    </border>
    <border>
      <left/>
      <right/>
      <top/>
      <bottom style="dotted">
        <color theme="4" tint="0.39988402966399123"/>
      </bottom>
      <diagonal/>
    </border>
    <border>
      <left/>
      <right style="dotted">
        <color theme="4" tint="0.39988402966399123"/>
      </right>
      <top/>
      <bottom style="dotted">
        <color theme="4" tint="0.39988402966399123"/>
      </bottom>
      <diagonal/>
    </border>
    <border>
      <left/>
      <right style="thin">
        <color indexed="64"/>
      </right>
      <top/>
      <bottom style="thick">
        <color theme="9" tint="0.79998168889431442"/>
      </bottom>
      <diagonal/>
    </border>
    <border>
      <left style="thick">
        <color theme="9" tint="0.79998168889431442"/>
      </left>
      <right/>
      <top style="thick">
        <color theme="9" tint="0.79998168889431442"/>
      </top>
      <bottom style="thick">
        <color theme="9" tint="0.79998168889431442"/>
      </bottom>
      <diagonal/>
    </border>
    <border>
      <left/>
      <right style="dashed">
        <color theme="1"/>
      </right>
      <top style="thick">
        <color theme="9" tint="0.79998168889431442"/>
      </top>
      <bottom style="thick">
        <color theme="9" tint="0.79998168889431442"/>
      </bottom>
      <diagonal/>
    </border>
    <border>
      <left/>
      <right/>
      <top/>
      <bottom style="thick">
        <color theme="0"/>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theme="0"/>
      </left>
      <right style="thin">
        <color theme="0"/>
      </right>
      <top style="thin">
        <color theme="0"/>
      </top>
      <bottom style="thin">
        <color theme="0"/>
      </bottom>
      <diagonal/>
    </border>
    <border>
      <left style="medium">
        <color theme="0"/>
      </left>
      <right/>
      <top style="medium">
        <color theme="0"/>
      </top>
      <bottom style="medium">
        <color theme="0"/>
      </bottom>
      <diagonal/>
    </border>
    <border>
      <left style="medium">
        <color theme="0"/>
      </left>
      <right/>
      <top style="medium">
        <color theme="0"/>
      </top>
      <bottom style="thin">
        <color theme="0"/>
      </bottom>
      <diagonal/>
    </border>
    <border>
      <left style="thin">
        <color rgb="FF000000"/>
      </left>
      <right style="thin">
        <color rgb="FF000000"/>
      </right>
      <top style="thin">
        <color rgb="FF000000"/>
      </top>
      <bottom style="thin">
        <color rgb="FF000000"/>
      </bottom>
      <diagonal/>
    </border>
  </borders>
  <cellStyleXfs count="4">
    <xf numFmtId="0" fontId="0" fillId="0" borderId="0"/>
    <xf numFmtId="44" fontId="1" fillId="0" borderId="0" applyFont="0" applyFill="0" applyBorder="0" applyAlignment="0" applyProtection="0"/>
    <xf numFmtId="0" fontId="9" fillId="0" borderId="0" applyNumberFormat="0" applyFill="0" applyBorder="0" applyAlignment="0" applyProtection="0"/>
    <xf numFmtId="43" fontId="1" fillId="0" borderId="0" applyFont="0" applyFill="0" applyBorder="0" applyAlignment="0" applyProtection="0"/>
  </cellStyleXfs>
  <cellXfs count="290">
    <xf numFmtId="0" fontId="0" fillId="0" borderId="0" xfId="0"/>
    <xf numFmtId="0" fontId="3" fillId="0" borderId="0" xfId="0" applyFont="1"/>
    <xf numFmtId="0" fontId="2" fillId="2" borderId="5" xfId="0" applyFont="1" applyFill="1" applyBorder="1" applyAlignment="1">
      <alignment horizontal="center" vertical="center" wrapText="1"/>
    </xf>
    <xf numFmtId="0" fontId="2" fillId="2" borderId="4" xfId="0" applyFont="1" applyFill="1" applyBorder="1" applyAlignment="1">
      <alignment horizontal="center" vertical="center" wrapText="1"/>
    </xf>
    <xf numFmtId="0" fontId="0" fillId="0" borderId="6" xfId="0" applyBorder="1" applyAlignment="1">
      <alignment horizontal="center" vertical="center"/>
    </xf>
    <xf numFmtId="164" fontId="0" fillId="0" borderId="7" xfId="0" applyNumberFormat="1" applyBorder="1" applyAlignment="1">
      <alignment horizontal="center" vertical="center"/>
    </xf>
    <xf numFmtId="164" fontId="0" fillId="0" borderId="7" xfId="0" applyNumberFormat="1" applyBorder="1" applyAlignment="1">
      <alignment horizontal="center" vertical="center" wrapText="1"/>
    </xf>
    <xf numFmtId="0" fontId="6" fillId="0" borderId="0" xfId="0" applyFont="1"/>
    <xf numFmtId="165" fontId="0" fillId="0" borderId="8" xfId="1" applyNumberFormat="1" applyFont="1" applyBorder="1" applyAlignment="1">
      <alignment vertical="center"/>
    </xf>
    <xf numFmtId="166" fontId="0" fillId="0" borderId="0" xfId="0" applyNumberFormat="1"/>
    <xf numFmtId="167" fontId="0" fillId="0" borderId="0" xfId="0" applyNumberFormat="1" applyAlignment="1">
      <alignment vertical="center"/>
    </xf>
    <xf numFmtId="0" fontId="0" fillId="0" borderId="0" xfId="0" applyAlignment="1">
      <alignment horizontal="center"/>
    </xf>
    <xf numFmtId="166" fontId="0" fillId="0" borderId="0" xfId="0" applyNumberFormat="1" applyAlignment="1">
      <alignment vertical="center"/>
    </xf>
    <xf numFmtId="166" fontId="0" fillId="4" borderId="0" xfId="0" applyNumberFormat="1" applyFill="1" applyAlignment="1">
      <alignment vertical="center"/>
    </xf>
    <xf numFmtId="0" fontId="7" fillId="5" borderId="0" xfId="0" applyFont="1" applyFill="1" applyAlignment="1">
      <alignment vertical="center" wrapText="1"/>
    </xf>
    <xf numFmtId="14" fontId="0" fillId="0" borderId="0" xfId="0" applyNumberFormat="1"/>
    <xf numFmtId="22" fontId="0" fillId="0" borderId="0" xfId="0" applyNumberFormat="1"/>
    <xf numFmtId="168" fontId="0" fillId="0" borderId="0" xfId="0" applyNumberFormat="1"/>
    <xf numFmtId="0" fontId="0" fillId="0" borderId="0" xfId="0" applyAlignment="1">
      <alignment vertical="center"/>
    </xf>
    <xf numFmtId="0" fontId="4" fillId="0" borderId="0" xfId="0" applyFont="1"/>
    <xf numFmtId="0" fontId="0" fillId="0" borderId="9" xfId="0" applyBorder="1"/>
    <xf numFmtId="0" fontId="0" fillId="0" borderId="10" xfId="0" applyBorder="1"/>
    <xf numFmtId="0" fontId="0" fillId="0" borderId="11" xfId="0" applyBorder="1"/>
    <xf numFmtId="0" fontId="0" fillId="0" borderId="13" xfId="0" applyBorder="1"/>
    <xf numFmtId="0" fontId="0" fillId="0" borderId="12" xfId="0" applyBorder="1"/>
    <xf numFmtId="0" fontId="0" fillId="0" borderId="14" xfId="0" applyBorder="1"/>
    <xf numFmtId="0" fontId="0" fillId="0" borderId="15" xfId="0" applyBorder="1"/>
    <xf numFmtId="0" fontId="0" fillId="0" borderId="16" xfId="0" applyBorder="1"/>
    <xf numFmtId="0" fontId="0" fillId="0" borderId="17" xfId="0" applyBorder="1"/>
    <xf numFmtId="22" fontId="0" fillId="0" borderId="17" xfId="0" applyNumberFormat="1" applyBorder="1"/>
    <xf numFmtId="0" fontId="10" fillId="0" borderId="0" xfId="0" applyFont="1"/>
    <xf numFmtId="0" fontId="2" fillId="0" borderId="0" xfId="0" applyFont="1"/>
    <xf numFmtId="0" fontId="3" fillId="0" borderId="10" xfId="0" applyFont="1" applyBorder="1"/>
    <xf numFmtId="0" fontId="3" fillId="0" borderId="0" xfId="0" applyFont="1" applyAlignment="1">
      <alignment vertical="center" wrapText="1"/>
    </xf>
    <xf numFmtId="0" fontId="0" fillId="6" borderId="18" xfId="0" applyFill="1" applyBorder="1"/>
    <xf numFmtId="0" fontId="0" fillId="0" borderId="19" xfId="0" applyBorder="1" applyAlignment="1">
      <alignment vertical="center"/>
    </xf>
    <xf numFmtId="165" fontId="0" fillId="0" borderId="19" xfId="0" applyNumberFormat="1" applyBorder="1" applyAlignment="1">
      <alignment vertical="center"/>
    </xf>
    <xf numFmtId="0" fontId="8" fillId="6" borderId="18" xfId="0" applyFont="1" applyFill="1" applyBorder="1"/>
    <xf numFmtId="0" fontId="0" fillId="10" borderId="20" xfId="0" applyFill="1" applyBorder="1"/>
    <xf numFmtId="0" fontId="0" fillId="10" borderId="21" xfId="0" applyFill="1" applyBorder="1"/>
    <xf numFmtId="0" fontId="0" fillId="10" borderId="21" xfId="0" applyFill="1" applyBorder="1" applyAlignment="1">
      <alignment vertical="center"/>
    </xf>
    <xf numFmtId="0" fontId="3" fillId="10" borderId="21" xfId="0" applyFont="1" applyFill="1" applyBorder="1" applyAlignment="1">
      <alignment vertical="center"/>
    </xf>
    <xf numFmtId="0" fontId="0" fillId="10" borderId="22" xfId="0" applyFill="1" applyBorder="1"/>
    <xf numFmtId="0" fontId="0" fillId="10" borderId="23" xfId="0" applyFill="1" applyBorder="1"/>
    <xf numFmtId="170" fontId="3" fillId="0" borderId="17" xfId="0" applyNumberFormat="1" applyFont="1" applyBorder="1" applyAlignment="1">
      <alignment vertical="center"/>
    </xf>
    <xf numFmtId="0" fontId="0" fillId="10" borderId="24" xfId="0" applyFill="1" applyBorder="1"/>
    <xf numFmtId="0" fontId="0" fillId="10" borderId="25" xfId="0" applyFill="1" applyBorder="1"/>
    <xf numFmtId="0" fontId="0" fillId="10" borderId="26" xfId="0" applyFill="1" applyBorder="1"/>
    <xf numFmtId="0" fontId="0" fillId="10" borderId="26" xfId="0" applyFill="1" applyBorder="1" applyAlignment="1">
      <alignment vertical="center"/>
    </xf>
    <xf numFmtId="0" fontId="3" fillId="10" borderId="26" xfId="0" applyFont="1" applyFill="1" applyBorder="1" applyAlignment="1">
      <alignment vertical="center"/>
    </xf>
    <xf numFmtId="0" fontId="0" fillId="10" borderId="27" xfId="0" applyFill="1" applyBorder="1"/>
    <xf numFmtId="0" fontId="3" fillId="0" borderId="15" xfId="0" applyFont="1" applyBorder="1"/>
    <xf numFmtId="0" fontId="2" fillId="3" borderId="0" xfId="0" applyFont="1" applyFill="1" applyAlignment="1">
      <alignment horizontal="center" vertical="center" wrapText="1"/>
    </xf>
    <xf numFmtId="0" fontId="9" fillId="0" borderId="0" xfId="2" applyBorder="1"/>
    <xf numFmtId="0" fontId="3" fillId="11" borderId="0" xfId="0" applyFont="1" applyFill="1"/>
    <xf numFmtId="0" fontId="0" fillId="11" borderId="0" xfId="0" applyFill="1"/>
    <xf numFmtId="0" fontId="3" fillId="4" borderId="0" xfId="0" applyFont="1" applyFill="1"/>
    <xf numFmtId="0" fontId="0" fillId="0" borderId="6" xfId="0" applyBorder="1" applyAlignment="1">
      <alignment horizontal="center" vertical="center" wrapText="1"/>
    </xf>
    <xf numFmtId="0" fontId="0" fillId="0" borderId="0" xfId="0" applyAlignment="1">
      <alignment vertical="center" wrapText="1"/>
    </xf>
    <xf numFmtId="165" fontId="0" fillId="0" borderId="0" xfId="0" applyNumberFormat="1"/>
    <xf numFmtId="171" fontId="0" fillId="0" borderId="0" xfId="0" applyNumberFormat="1"/>
    <xf numFmtId="0" fontId="0" fillId="0" borderId="0" xfId="0" quotePrefix="1"/>
    <xf numFmtId="0" fontId="0" fillId="0" borderId="12" xfId="0" applyBorder="1" applyAlignment="1">
      <alignment vertical="center" wrapText="1"/>
    </xf>
    <xf numFmtId="0" fontId="0" fillId="0" borderId="13" xfId="0" applyBorder="1" applyAlignment="1">
      <alignment vertical="center" wrapText="1"/>
    </xf>
    <xf numFmtId="170" fontId="0" fillId="0" borderId="19" xfId="0" applyNumberFormat="1" applyBorder="1" applyAlignment="1">
      <alignment vertical="center"/>
    </xf>
    <xf numFmtId="170" fontId="3" fillId="0" borderId="19" xfId="0" applyNumberFormat="1" applyFont="1" applyBorder="1" applyAlignment="1">
      <alignment vertical="center"/>
    </xf>
    <xf numFmtId="172" fontId="3" fillId="0" borderId="17" xfId="0" applyNumberFormat="1" applyFont="1" applyBorder="1" applyAlignment="1">
      <alignment vertical="center"/>
    </xf>
    <xf numFmtId="0" fontId="0" fillId="0" borderId="29" xfId="0" applyBorder="1"/>
    <xf numFmtId="0" fontId="13" fillId="8" borderId="30" xfId="0" applyFont="1" applyFill="1" applyBorder="1" applyAlignment="1">
      <alignment horizontal="center"/>
    </xf>
    <xf numFmtId="0" fontId="0" fillId="8" borderId="28" xfId="0" applyFill="1" applyBorder="1" applyAlignment="1">
      <alignment horizontal="center"/>
    </xf>
    <xf numFmtId="0" fontId="0" fillId="8" borderId="0" xfId="0" applyFill="1"/>
    <xf numFmtId="0" fontId="0" fillId="6" borderId="0" xfId="0" applyFill="1"/>
    <xf numFmtId="0" fontId="0" fillId="6" borderId="13" xfId="0" applyFill="1" applyBorder="1"/>
    <xf numFmtId="0" fontId="0" fillId="12" borderId="0" xfId="0" applyFill="1"/>
    <xf numFmtId="170" fontId="15" fillId="12" borderId="0" xfId="0" applyNumberFormat="1" applyFont="1" applyFill="1"/>
    <xf numFmtId="0" fontId="2" fillId="12" borderId="0" xfId="0" applyFont="1" applyFill="1" applyAlignment="1">
      <alignment vertical="center"/>
    </xf>
    <xf numFmtId="170" fontId="2" fillId="12" borderId="0" xfId="0" applyNumberFormat="1" applyFont="1" applyFill="1" applyAlignment="1">
      <alignment vertical="center"/>
    </xf>
    <xf numFmtId="0" fontId="0" fillId="0" borderId="24" xfId="0" applyBorder="1"/>
    <xf numFmtId="169" fontId="0" fillId="0" borderId="0" xfId="0" applyNumberFormat="1"/>
    <xf numFmtId="0" fontId="0" fillId="4" borderId="6" xfId="0" applyFill="1" applyBorder="1" applyAlignment="1">
      <alignment horizontal="center" vertical="center"/>
    </xf>
    <xf numFmtId="0" fontId="2" fillId="2" borderId="0" xfId="0" applyFont="1" applyFill="1" applyAlignment="1">
      <alignment horizontal="center" vertical="center"/>
    </xf>
    <xf numFmtId="173" fontId="0" fillId="0" borderId="7" xfId="0" applyNumberFormat="1" applyBorder="1" applyAlignment="1">
      <alignment horizontal="center" vertical="center"/>
    </xf>
    <xf numFmtId="0" fontId="3" fillId="0" borderId="0" xfId="0" applyFont="1" applyAlignment="1">
      <alignment horizontal="center"/>
    </xf>
    <xf numFmtId="0" fontId="0" fillId="3" borderId="0" xfId="0" applyFill="1"/>
    <xf numFmtId="14" fontId="10" fillId="0" borderId="0" xfId="0" applyNumberFormat="1" applyFont="1"/>
    <xf numFmtId="173" fontId="0" fillId="0" borderId="0" xfId="0" applyNumberFormat="1" applyAlignment="1">
      <alignment horizontal="center" vertical="center"/>
    </xf>
    <xf numFmtId="164" fontId="0" fillId="0" borderId="0" xfId="0" applyNumberFormat="1" applyAlignment="1">
      <alignment horizontal="center" vertical="center" wrapText="1"/>
    </xf>
    <xf numFmtId="164" fontId="0" fillId="0" borderId="0" xfId="0" applyNumberFormat="1" applyAlignment="1">
      <alignment horizontal="center" vertical="center"/>
    </xf>
    <xf numFmtId="165" fontId="0" fillId="0" borderId="0" xfId="1" applyNumberFormat="1" applyFont="1" applyBorder="1" applyAlignment="1">
      <alignment vertical="center"/>
    </xf>
    <xf numFmtId="0" fontId="10" fillId="4" borderId="0" xfId="0" applyFont="1" applyFill="1" applyAlignment="1">
      <alignment vertical="center"/>
    </xf>
    <xf numFmtId="0" fontId="3" fillId="0" borderId="0" xfId="0" quotePrefix="1" applyFont="1" applyAlignment="1">
      <alignment horizontal="left"/>
    </xf>
    <xf numFmtId="0" fontId="0" fillId="13" borderId="0" xfId="0" applyFill="1"/>
    <xf numFmtId="0" fontId="3" fillId="13" borderId="0" xfId="0" applyFont="1" applyFill="1" applyAlignment="1">
      <alignment horizontal="center"/>
    </xf>
    <xf numFmtId="167" fontId="0" fillId="13" borderId="0" xfId="0" applyNumberFormat="1" applyFill="1" applyAlignment="1">
      <alignment vertical="center"/>
    </xf>
    <xf numFmtId="165" fontId="0" fillId="13" borderId="0" xfId="0" applyNumberFormat="1" applyFill="1"/>
    <xf numFmtId="174" fontId="0" fillId="0" borderId="0" xfId="3" applyNumberFormat="1" applyFont="1" applyBorder="1" applyAlignment="1">
      <alignment vertical="center"/>
    </xf>
    <xf numFmtId="0" fontId="0" fillId="0" borderId="0" xfId="0" applyAlignment="1">
      <alignment horizontal="left"/>
    </xf>
    <xf numFmtId="0" fontId="3" fillId="13" borderId="0" xfId="0" applyFont="1" applyFill="1"/>
    <xf numFmtId="0" fontId="8" fillId="0" borderId="0" xfId="0" applyFont="1" applyAlignment="1">
      <alignment vertical="center"/>
    </xf>
    <xf numFmtId="167" fontId="8" fillId="0" borderId="0" xfId="0" applyNumberFormat="1" applyFont="1" applyAlignment="1">
      <alignment vertical="center"/>
    </xf>
    <xf numFmtId="165" fontId="8" fillId="0" borderId="0" xfId="0" applyNumberFormat="1" applyFont="1"/>
    <xf numFmtId="166" fontId="8" fillId="0" borderId="0" xfId="0" applyNumberFormat="1" applyFont="1" applyAlignment="1">
      <alignment vertical="center"/>
    </xf>
    <xf numFmtId="166" fontId="8" fillId="0" borderId="0" xfId="0" applyNumberFormat="1" applyFont="1"/>
    <xf numFmtId="165" fontId="8" fillId="0" borderId="0" xfId="0" applyNumberFormat="1" applyFont="1" applyAlignment="1">
      <alignment vertical="center"/>
    </xf>
    <xf numFmtId="0" fontId="2" fillId="2" borderId="0" xfId="0" applyFont="1" applyFill="1" applyAlignment="1">
      <alignment vertical="center" wrapText="1"/>
    </xf>
    <xf numFmtId="173" fontId="0" fillId="0" borderId="0" xfId="0" applyNumberFormat="1" applyAlignment="1">
      <alignment horizontal="left" vertical="center"/>
    </xf>
    <xf numFmtId="0" fontId="0" fillId="0" borderId="0" xfId="0" applyAlignment="1">
      <alignment horizontal="left" vertical="center"/>
    </xf>
    <xf numFmtId="0" fontId="3" fillId="0" borderId="24" xfId="0" applyFont="1" applyBorder="1" applyAlignment="1">
      <alignment vertical="center"/>
    </xf>
    <xf numFmtId="0" fontId="0" fillId="0" borderId="34" xfId="0" applyBorder="1"/>
    <xf numFmtId="0" fontId="3" fillId="9" borderId="24" xfId="0" applyFont="1" applyFill="1" applyBorder="1" applyAlignment="1">
      <alignment vertical="center"/>
    </xf>
    <xf numFmtId="0" fontId="0" fillId="9" borderId="24" xfId="0" applyFill="1" applyBorder="1"/>
    <xf numFmtId="0" fontId="0" fillId="6" borderId="36" xfId="0" applyFill="1" applyBorder="1"/>
    <xf numFmtId="0" fontId="19" fillId="14" borderId="0" xfId="0" applyFont="1" applyFill="1"/>
    <xf numFmtId="0" fontId="3" fillId="9" borderId="0" xfId="0" applyFont="1" applyFill="1"/>
    <xf numFmtId="14" fontId="3" fillId="0" borderId="0" xfId="0" quotePrefix="1" applyNumberFormat="1" applyFont="1" applyAlignment="1">
      <alignment horizontal="center"/>
    </xf>
    <xf numFmtId="14" fontId="3" fillId="0" borderId="0" xfId="0" applyNumberFormat="1" applyFont="1" applyAlignment="1">
      <alignment horizontal="center"/>
    </xf>
    <xf numFmtId="0" fontId="13" fillId="0" borderId="0" xfId="0" applyFont="1"/>
    <xf numFmtId="0" fontId="18" fillId="9" borderId="0" xfId="0" applyFont="1" applyFill="1"/>
    <xf numFmtId="0" fontId="0" fillId="9" borderId="0" xfId="0" applyFill="1"/>
    <xf numFmtId="0" fontId="3" fillId="0" borderId="12" xfId="0" applyFont="1" applyBorder="1" applyAlignment="1">
      <alignment vertical="center" wrapText="1"/>
    </xf>
    <xf numFmtId="0" fontId="3" fillId="0" borderId="0" xfId="0" applyFont="1" applyAlignment="1">
      <alignment horizontal="center" vertical="center" wrapText="1"/>
    </xf>
    <xf numFmtId="169" fontId="3" fillId="0" borderId="0" xfId="0" applyNumberFormat="1" applyFont="1" applyAlignment="1">
      <alignment horizontal="center" vertical="center"/>
    </xf>
    <xf numFmtId="169" fontId="3" fillId="0" borderId="0" xfId="0" applyNumberFormat="1" applyFont="1" applyAlignment="1">
      <alignment vertical="center"/>
    </xf>
    <xf numFmtId="0" fontId="0" fillId="6" borderId="12" xfId="0" applyFill="1" applyBorder="1" applyAlignment="1">
      <alignment horizontal="center"/>
    </xf>
    <xf numFmtId="0" fontId="10" fillId="6" borderId="0" xfId="0" applyFont="1" applyFill="1"/>
    <xf numFmtId="0" fontId="16" fillId="6" borderId="0" xfId="0" applyFont="1" applyFill="1"/>
    <xf numFmtId="0" fontId="0" fillId="9" borderId="12" xfId="0" applyFill="1" applyBorder="1"/>
    <xf numFmtId="0" fontId="0" fillId="7" borderId="0" xfId="0" applyFill="1"/>
    <xf numFmtId="0" fontId="0" fillId="7" borderId="0" xfId="0" applyFill="1" applyAlignment="1">
      <alignment horizontal="center"/>
    </xf>
    <xf numFmtId="0" fontId="3" fillId="0" borderId="0" xfId="0" applyFont="1" applyAlignment="1">
      <alignment vertical="center"/>
    </xf>
    <xf numFmtId="0" fontId="2" fillId="10" borderId="0" xfId="0" applyFont="1" applyFill="1" applyAlignment="1">
      <alignment vertical="center"/>
    </xf>
    <xf numFmtId="0" fontId="0" fillId="10" borderId="0" xfId="0" applyFill="1" applyAlignment="1">
      <alignment vertical="center"/>
    </xf>
    <xf numFmtId="0" fontId="3" fillId="10" borderId="0" xfId="0" applyFont="1" applyFill="1" applyAlignment="1">
      <alignment vertical="center"/>
    </xf>
    <xf numFmtId="0" fontId="2" fillId="10" borderId="0" xfId="0" applyFont="1" applyFill="1" applyAlignment="1">
      <alignment horizontal="right" vertical="center"/>
    </xf>
    <xf numFmtId="0" fontId="3" fillId="0" borderId="37" xfId="0" applyFont="1" applyBorder="1"/>
    <xf numFmtId="0" fontId="11" fillId="0" borderId="0" xfId="0" applyFont="1"/>
    <xf numFmtId="0" fontId="12" fillId="0" borderId="0" xfId="0" applyFont="1"/>
    <xf numFmtId="0" fontId="9" fillId="0" borderId="10" xfId="2" applyBorder="1"/>
    <xf numFmtId="0" fontId="0" fillId="0" borderId="10" xfId="0" quotePrefix="1" applyBorder="1"/>
    <xf numFmtId="0" fontId="4" fillId="0" borderId="13" xfId="0" applyFont="1" applyBorder="1"/>
    <xf numFmtId="0" fontId="2" fillId="15" borderId="0" xfId="0" applyFont="1" applyFill="1"/>
    <xf numFmtId="0" fontId="20" fillId="0" borderId="0" xfId="0" applyFont="1"/>
    <xf numFmtId="0" fontId="2" fillId="16" borderId="0" xfId="0" applyFont="1" applyFill="1"/>
    <xf numFmtId="0" fontId="4" fillId="17" borderId="0" xfId="0" applyFont="1" applyFill="1"/>
    <xf numFmtId="170" fontId="3" fillId="0" borderId="35" xfId="0" applyNumberFormat="1" applyFont="1" applyBorder="1" applyAlignment="1">
      <alignment vertical="center"/>
    </xf>
    <xf numFmtId="0" fontId="10" fillId="0" borderId="10" xfId="0" applyFont="1" applyBorder="1"/>
    <xf numFmtId="0" fontId="3" fillId="0" borderId="10" xfId="0" applyFont="1" applyBorder="1" applyAlignment="1">
      <alignment horizontal="right"/>
    </xf>
    <xf numFmtId="0" fontId="2" fillId="2" borderId="1" xfId="0" applyFont="1" applyFill="1" applyBorder="1" applyAlignment="1">
      <alignment vertical="center" wrapText="1"/>
    </xf>
    <xf numFmtId="0" fontId="2" fillId="2" borderId="2" xfId="0" applyFont="1" applyFill="1" applyBorder="1" applyAlignment="1">
      <alignment vertical="center" wrapText="1"/>
    </xf>
    <xf numFmtId="0" fontId="2" fillId="2" borderId="3" xfId="0" applyFont="1" applyFill="1" applyBorder="1" applyAlignment="1">
      <alignment vertical="center" wrapText="1"/>
    </xf>
    <xf numFmtId="0" fontId="21" fillId="0" borderId="0" xfId="0" applyFont="1"/>
    <xf numFmtId="0" fontId="4" fillId="3" borderId="9" xfId="0" applyFont="1" applyFill="1" applyBorder="1" applyAlignment="1">
      <alignment vertical="center"/>
    </xf>
    <xf numFmtId="0" fontId="4" fillId="3" borderId="10" xfId="0" applyFont="1" applyFill="1" applyBorder="1" applyAlignment="1">
      <alignment vertical="center"/>
    </xf>
    <xf numFmtId="0" fontId="14" fillId="3" borderId="10" xfId="0" applyFont="1" applyFill="1" applyBorder="1" applyAlignment="1">
      <alignment vertical="center"/>
    </xf>
    <xf numFmtId="0" fontId="4" fillId="3" borderId="11" xfId="0" applyFont="1" applyFill="1" applyBorder="1" applyAlignment="1">
      <alignment vertical="center"/>
    </xf>
    <xf numFmtId="0" fontId="3" fillId="0" borderId="0" xfId="0" applyFont="1" applyAlignment="1">
      <alignment horizontal="right"/>
    </xf>
    <xf numFmtId="172" fontId="3" fillId="0" borderId="0" xfId="0" applyNumberFormat="1" applyFont="1"/>
    <xf numFmtId="0" fontId="4" fillId="0" borderId="0" xfId="0" applyFont="1" applyAlignment="1">
      <alignment horizontal="center" vertical="center" wrapText="1"/>
    </xf>
    <xf numFmtId="170" fontId="15" fillId="6" borderId="0" xfId="0" applyNumberFormat="1" applyFont="1" applyFill="1"/>
    <xf numFmtId="175" fontId="2" fillId="12" borderId="0" xfId="0" applyNumberFormat="1" applyFont="1" applyFill="1" applyAlignment="1">
      <alignment vertical="center"/>
    </xf>
    <xf numFmtId="170" fontId="0" fillId="0" borderId="0" xfId="0" applyNumberFormat="1"/>
    <xf numFmtId="0" fontId="23" fillId="0" borderId="0" xfId="0" applyFont="1"/>
    <xf numFmtId="0" fontId="22" fillId="0" borderId="0" xfId="0" applyFont="1"/>
    <xf numFmtId="0" fontId="3" fillId="0" borderId="0" xfId="0" quotePrefix="1" applyFont="1" applyAlignment="1">
      <alignment horizontal="right"/>
    </xf>
    <xf numFmtId="165" fontId="0" fillId="0" borderId="17" xfId="1" applyNumberFormat="1" applyFont="1" applyBorder="1"/>
    <xf numFmtId="0" fontId="3" fillId="18" borderId="17" xfId="0" applyFont="1" applyFill="1" applyBorder="1"/>
    <xf numFmtId="0" fontId="24" fillId="0" borderId="0" xfId="0" applyFont="1"/>
    <xf numFmtId="0" fontId="25" fillId="8" borderId="0" xfId="0" applyFont="1" applyFill="1"/>
    <xf numFmtId="0" fontId="26" fillId="8" borderId="0" xfId="0" applyFont="1" applyFill="1"/>
    <xf numFmtId="14" fontId="26" fillId="8" borderId="0" xfId="0" applyNumberFormat="1" applyFont="1" applyFill="1"/>
    <xf numFmtId="0" fontId="24" fillId="8" borderId="0" xfId="0" applyFont="1" applyFill="1"/>
    <xf numFmtId="165" fontId="24" fillId="8" borderId="0" xfId="0" applyNumberFormat="1" applyFont="1" applyFill="1"/>
    <xf numFmtId="0" fontId="2" fillId="2" borderId="0" xfId="0" applyFont="1" applyFill="1" applyAlignment="1">
      <alignment horizontal="center" vertical="center" wrapText="1"/>
    </xf>
    <xf numFmtId="0" fontId="5" fillId="3" borderId="0" xfId="0" applyFont="1" applyFill="1" applyAlignment="1">
      <alignment horizontal="center" vertical="center"/>
    </xf>
    <xf numFmtId="0" fontId="4" fillId="19" borderId="0" xfId="0" applyFont="1" applyFill="1"/>
    <xf numFmtId="0" fontId="0" fillId="0" borderId="38" xfId="0" applyBorder="1"/>
    <xf numFmtId="0" fontId="3" fillId="0" borderId="13" xfId="0" applyFont="1" applyBorder="1" applyAlignment="1">
      <alignment vertical="center"/>
    </xf>
    <xf numFmtId="165" fontId="3" fillId="0" borderId="0" xfId="0" applyNumberFormat="1" applyFont="1"/>
    <xf numFmtId="0" fontId="0" fillId="0" borderId="26" xfId="0" applyBorder="1"/>
    <xf numFmtId="0" fontId="3" fillId="0" borderId="26" xfId="0" applyFont="1" applyBorder="1"/>
    <xf numFmtId="167" fontId="0" fillId="0" borderId="0" xfId="0" applyNumberFormat="1"/>
    <xf numFmtId="0" fontId="0" fillId="0" borderId="0" xfId="3" applyNumberFormat="1" applyFont="1"/>
    <xf numFmtId="14" fontId="0" fillId="0" borderId="0" xfId="1" applyNumberFormat="1" applyFont="1" applyBorder="1" applyAlignment="1">
      <alignment vertical="center"/>
    </xf>
    <xf numFmtId="176" fontId="8" fillId="0" borderId="0" xfId="1" applyNumberFormat="1" applyFont="1" applyAlignment="1">
      <alignment vertical="center"/>
    </xf>
    <xf numFmtId="177" fontId="0" fillId="0" borderId="0" xfId="1" applyNumberFormat="1" applyFont="1" applyBorder="1" applyAlignment="1">
      <alignment vertical="center"/>
    </xf>
    <xf numFmtId="177" fontId="0" fillId="0" borderId="0" xfId="0" applyNumberFormat="1"/>
    <xf numFmtId="177" fontId="8" fillId="0" borderId="0" xfId="0" applyNumberFormat="1" applyFont="1"/>
    <xf numFmtId="167" fontId="8" fillId="6" borderId="0" xfId="0" applyNumberFormat="1" applyFont="1" applyFill="1" applyAlignment="1">
      <alignment vertical="center"/>
    </xf>
    <xf numFmtId="0" fontId="9" fillId="0" borderId="0" xfId="2"/>
    <xf numFmtId="0" fontId="27" fillId="0" borderId="0" xfId="0" applyFont="1"/>
    <xf numFmtId="0" fontId="8" fillId="0" borderId="0" xfId="0" applyFont="1"/>
    <xf numFmtId="0" fontId="2" fillId="2" borderId="1" xfId="0" applyFont="1" applyFill="1" applyBorder="1"/>
    <xf numFmtId="0" fontId="2" fillId="2" borderId="2" xfId="0" applyFont="1" applyFill="1" applyBorder="1"/>
    <xf numFmtId="0" fontId="2" fillId="2" borderId="3" xfId="0" applyFont="1" applyFill="1" applyBorder="1"/>
    <xf numFmtId="0" fontId="3" fillId="2" borderId="2" xfId="0" applyFont="1" applyFill="1" applyBorder="1"/>
    <xf numFmtId="0" fontId="3" fillId="2" borderId="2" xfId="0" applyFont="1" applyFill="1" applyBorder="1" applyAlignment="1">
      <alignment vertical="center" wrapText="1"/>
    </xf>
    <xf numFmtId="0" fontId="13" fillId="8" borderId="0" xfId="0" applyFont="1" applyFill="1" applyProtection="1">
      <protection locked="0"/>
    </xf>
    <xf numFmtId="0" fontId="8" fillId="14" borderId="0" xfId="0" applyFont="1" applyFill="1"/>
    <xf numFmtId="0" fontId="4" fillId="0" borderId="0" xfId="0" quotePrefix="1" applyFont="1"/>
    <xf numFmtId="0" fontId="13" fillId="8" borderId="30" xfId="0" applyFont="1" applyFill="1" applyBorder="1" applyAlignment="1" applyProtection="1">
      <alignment horizontal="center"/>
      <protection locked="0"/>
    </xf>
    <xf numFmtId="0" fontId="0" fillId="8" borderId="28" xfId="0" applyFill="1" applyBorder="1" applyAlignment="1" applyProtection="1">
      <alignment horizontal="center"/>
      <protection locked="0"/>
    </xf>
    <xf numFmtId="174" fontId="0" fillId="0" borderId="0" xfId="3" applyNumberFormat="1" applyFont="1"/>
    <xf numFmtId="0" fontId="0" fillId="20" borderId="0" xfId="0" applyFill="1"/>
    <xf numFmtId="0" fontId="0" fillId="8" borderId="40" xfId="0" applyFill="1" applyBorder="1"/>
    <xf numFmtId="22" fontId="0" fillId="20" borderId="0" xfId="0" applyNumberFormat="1" applyFill="1"/>
    <xf numFmtId="0" fontId="6" fillId="0" borderId="0" xfId="0" applyFont="1" applyAlignment="1">
      <alignment horizontal="right"/>
    </xf>
    <xf numFmtId="173" fontId="10" fillId="6" borderId="41" xfId="0" applyNumberFormat="1" applyFont="1" applyFill="1" applyBorder="1"/>
    <xf numFmtId="0" fontId="10" fillId="6" borderId="42" xfId="0" applyFont="1" applyFill="1" applyBorder="1"/>
    <xf numFmtId="0" fontId="3" fillId="0" borderId="0" xfId="0" quotePrefix="1" applyFont="1"/>
    <xf numFmtId="0" fontId="6" fillId="0" borderId="0" xfId="0" applyFont="1" applyAlignment="1">
      <alignment horizontal="center" vertical="center" wrapText="1"/>
    </xf>
    <xf numFmtId="0" fontId="32" fillId="3" borderId="0" xfId="0" applyFont="1" applyFill="1" applyAlignment="1">
      <alignment vertical="center"/>
    </xf>
    <xf numFmtId="0" fontId="2" fillId="3" borderId="0" xfId="0" applyFont="1" applyFill="1" applyAlignment="1">
      <alignment vertical="center"/>
    </xf>
    <xf numFmtId="0" fontId="3" fillId="7" borderId="0" xfId="0" applyFont="1" applyFill="1" applyAlignment="1">
      <alignment vertical="center" wrapText="1"/>
    </xf>
    <xf numFmtId="0" fontId="0" fillId="0" borderId="0" xfId="0" applyAlignment="1">
      <alignment horizontal="left" vertical="center" wrapText="1"/>
    </xf>
    <xf numFmtId="173" fontId="0" fillId="0" borderId="0" xfId="0" applyNumberFormat="1" applyAlignment="1">
      <alignment vertical="center" wrapText="1"/>
    </xf>
    <xf numFmtId="0" fontId="0" fillId="0" borderId="0" xfId="0" quotePrefix="1" applyAlignment="1">
      <alignment horizontal="left" vertical="center" wrapText="1"/>
    </xf>
    <xf numFmtId="179" fontId="0" fillId="0" borderId="0" xfId="0" applyNumberFormat="1" applyAlignment="1">
      <alignment vertical="top" wrapText="1"/>
    </xf>
    <xf numFmtId="179" fontId="0" fillId="0" borderId="0" xfId="0" applyNumberFormat="1" applyAlignment="1">
      <alignment vertical="center" wrapText="1"/>
    </xf>
    <xf numFmtId="0" fontId="3" fillId="21" borderId="0" xfId="0" applyFont="1" applyFill="1" applyAlignment="1">
      <alignment vertical="center" wrapText="1"/>
    </xf>
    <xf numFmtId="0" fontId="6" fillId="0" borderId="0" xfId="0" applyFont="1" applyAlignment="1">
      <alignment wrapText="1"/>
    </xf>
    <xf numFmtId="180" fontId="0" fillId="0" borderId="0" xfId="1" applyNumberFormat="1" applyFont="1" applyAlignment="1">
      <alignment vertical="center" wrapText="1"/>
    </xf>
    <xf numFmtId="0" fontId="6" fillId="0" borderId="0" xfId="0" applyFont="1" applyAlignment="1">
      <alignment vertical="center" wrapText="1"/>
    </xf>
    <xf numFmtId="181" fontId="0" fillId="0" borderId="0" xfId="0" applyNumberFormat="1" applyAlignment="1">
      <alignment vertical="center" wrapText="1"/>
    </xf>
    <xf numFmtId="0" fontId="4" fillId="3" borderId="9" xfId="0" applyFont="1" applyFill="1" applyBorder="1"/>
    <xf numFmtId="0" fontId="4" fillId="3" borderId="10" xfId="0" applyFont="1" applyFill="1" applyBorder="1"/>
    <xf numFmtId="0" fontId="14" fillId="3" borderId="10" xfId="0" applyFont="1" applyFill="1" applyBorder="1"/>
    <xf numFmtId="0" fontId="4" fillId="3" borderId="11" xfId="0" applyFont="1" applyFill="1" applyBorder="1"/>
    <xf numFmtId="0" fontId="3" fillId="0" borderId="0" xfId="0" applyFont="1" applyAlignment="1">
      <alignment horizontal="center" wrapText="1"/>
    </xf>
    <xf numFmtId="0" fontId="9" fillId="0" borderId="0" xfId="2" applyBorder="1" applyProtection="1"/>
    <xf numFmtId="178" fontId="3" fillId="6" borderId="0" xfId="0" applyNumberFormat="1" applyFont="1" applyFill="1" applyAlignment="1">
      <alignment horizontal="center"/>
    </xf>
    <xf numFmtId="14" fontId="3" fillId="6" borderId="0" xfId="0" applyNumberFormat="1" applyFont="1" applyFill="1" applyAlignment="1">
      <alignment horizontal="center"/>
    </xf>
    <xf numFmtId="0" fontId="8" fillId="7" borderId="0" xfId="0" applyFont="1" applyFill="1"/>
    <xf numFmtId="0" fontId="28" fillId="0" borderId="0" xfId="0" applyFont="1"/>
    <xf numFmtId="0" fontId="29" fillId="0" borderId="0" xfId="0" applyFont="1" applyAlignment="1">
      <alignment vertical="center" wrapText="1"/>
    </xf>
    <xf numFmtId="0" fontId="0" fillId="6" borderId="12" xfId="0" applyFill="1" applyBorder="1"/>
    <xf numFmtId="0" fontId="30" fillId="0" borderId="0" xfId="0" applyFont="1"/>
    <xf numFmtId="0" fontId="0" fillId="0" borderId="19" xfId="0" applyBorder="1" applyAlignment="1">
      <alignment vertical="center" wrapText="1"/>
    </xf>
    <xf numFmtId="14" fontId="0" fillId="0" borderId="19" xfId="0" applyNumberFormat="1" applyBorder="1" applyAlignment="1">
      <alignment vertical="center"/>
    </xf>
    <xf numFmtId="0" fontId="30" fillId="7" borderId="0" xfId="0" applyFont="1" applyFill="1"/>
    <xf numFmtId="0" fontId="0" fillId="0" borderId="19" xfId="0" quotePrefix="1" applyBorder="1" applyAlignment="1">
      <alignment vertical="center"/>
    </xf>
    <xf numFmtId="0" fontId="0" fillId="12" borderId="14" xfId="0" applyFill="1" applyBorder="1"/>
    <xf numFmtId="0" fontId="0" fillId="12" borderId="15" xfId="0" applyFill="1" applyBorder="1"/>
    <xf numFmtId="170" fontId="15" fillId="12" borderId="15" xfId="0" applyNumberFormat="1" applyFont="1" applyFill="1" applyBorder="1"/>
    <xf numFmtId="170" fontId="2" fillId="12" borderId="15" xfId="0" applyNumberFormat="1" applyFont="1" applyFill="1" applyBorder="1" applyAlignment="1">
      <alignment vertical="center"/>
    </xf>
    <xf numFmtId="170" fontId="15" fillId="12" borderId="16" xfId="0" applyNumberFormat="1" applyFont="1" applyFill="1" applyBorder="1"/>
    <xf numFmtId="0" fontId="2" fillId="12" borderId="12" xfId="0" applyFont="1" applyFill="1" applyBorder="1" applyAlignment="1">
      <alignment vertical="center"/>
    </xf>
    <xf numFmtId="172" fontId="3" fillId="0" borderId="39" xfId="0" applyNumberFormat="1" applyFont="1" applyBorder="1" applyAlignment="1">
      <alignment vertical="center"/>
    </xf>
    <xf numFmtId="0" fontId="0" fillId="8" borderId="40" xfId="0" applyFill="1" applyBorder="1" applyProtection="1">
      <protection locked="0"/>
    </xf>
    <xf numFmtId="0" fontId="0" fillId="8" borderId="0" xfId="0" applyFill="1" applyProtection="1">
      <protection locked="0"/>
    </xf>
    <xf numFmtId="0" fontId="3" fillId="7" borderId="0" xfId="0" applyFont="1" applyFill="1" applyAlignment="1">
      <alignment horizontal="center" vertical="center" wrapText="1"/>
    </xf>
    <xf numFmtId="181" fontId="0" fillId="0" borderId="0" xfId="0" applyNumberFormat="1" applyAlignment="1">
      <alignment horizontal="center" vertical="center" wrapText="1"/>
    </xf>
    <xf numFmtId="173" fontId="0" fillId="0" borderId="0" xfId="0" applyNumberFormat="1" applyAlignment="1">
      <alignment horizontal="center" vertical="center" wrapText="1"/>
    </xf>
    <xf numFmtId="179" fontId="0" fillId="0" borderId="0" xfId="0" applyNumberFormat="1" applyAlignment="1">
      <alignment horizontal="center" vertical="center" wrapText="1"/>
    </xf>
    <xf numFmtId="0" fontId="34" fillId="0" borderId="0" xfId="0" applyFont="1" applyAlignment="1">
      <alignment wrapText="1"/>
    </xf>
    <xf numFmtId="0" fontId="35" fillId="0" borderId="0" xfId="0" applyFont="1" applyAlignment="1">
      <alignment vertical="center" wrapText="1"/>
    </xf>
    <xf numFmtId="0" fontId="36" fillId="7" borderId="0" xfId="0" applyFont="1" applyFill="1"/>
    <xf numFmtId="0" fontId="36" fillId="0" borderId="0" xfId="0" applyFont="1"/>
    <xf numFmtId="180" fontId="0" fillId="0" borderId="0" xfId="1" applyNumberFormat="1" applyFont="1"/>
    <xf numFmtId="0" fontId="3" fillId="18" borderId="0" xfId="0" applyFont="1" applyFill="1"/>
    <xf numFmtId="0" fontId="37" fillId="3" borderId="0" xfId="0" applyFont="1" applyFill="1"/>
    <xf numFmtId="19" fontId="0" fillId="0" borderId="0" xfId="0" applyNumberFormat="1"/>
    <xf numFmtId="182" fontId="0" fillId="0" borderId="8" xfId="1" applyNumberFormat="1" applyFont="1" applyBorder="1" applyAlignment="1">
      <alignment vertical="center"/>
    </xf>
    <xf numFmtId="182" fontId="0" fillId="0" borderId="8" xfId="1" applyNumberFormat="1" applyFont="1" applyBorder="1" applyAlignment="1" applyProtection="1">
      <alignment vertical="center"/>
    </xf>
    <xf numFmtId="0" fontId="0" fillId="3" borderId="9" xfId="0" applyFill="1" applyBorder="1"/>
    <xf numFmtId="0" fontId="0" fillId="3" borderId="10" xfId="0" applyFill="1" applyBorder="1"/>
    <xf numFmtId="0" fontId="0" fillId="3" borderId="11" xfId="0" applyFill="1" applyBorder="1"/>
    <xf numFmtId="0" fontId="5" fillId="3" borderId="10" xfId="0" applyFont="1" applyFill="1" applyBorder="1"/>
    <xf numFmtId="0" fontId="3" fillId="0" borderId="10" xfId="0" quotePrefix="1" applyFont="1" applyBorder="1"/>
    <xf numFmtId="184" fontId="0" fillId="0" borderId="0" xfId="0" applyNumberFormat="1"/>
    <xf numFmtId="0" fontId="0" fillId="0" borderId="0" xfId="0" applyAlignment="1">
      <alignment horizontal="right"/>
    </xf>
    <xf numFmtId="0" fontId="3" fillId="11" borderId="0" xfId="0" applyFont="1" applyFill="1" applyAlignment="1">
      <alignment horizontal="center" vertical="center" wrapText="1"/>
    </xf>
    <xf numFmtId="0" fontId="0" fillId="0" borderId="17" xfId="0" applyBorder="1" applyAlignment="1">
      <alignment horizontal="center" vertical="center" wrapText="1"/>
    </xf>
    <xf numFmtId="0" fontId="0" fillId="0" borderId="17" xfId="0" applyBorder="1" applyAlignment="1">
      <alignment vertical="center" wrapText="1"/>
    </xf>
    <xf numFmtId="183" fontId="0" fillId="0" borderId="17" xfId="0" applyNumberFormat="1" applyBorder="1" applyAlignment="1">
      <alignment vertical="center" wrapText="1"/>
    </xf>
    <xf numFmtId="173" fontId="0" fillId="0" borderId="17" xfId="0" applyNumberFormat="1" applyBorder="1" applyAlignment="1">
      <alignment vertical="center" wrapText="1"/>
    </xf>
    <xf numFmtId="184" fontId="0" fillId="0" borderId="17" xfId="0" applyNumberFormat="1" applyBorder="1" applyAlignment="1">
      <alignment vertical="center" wrapText="1"/>
    </xf>
    <xf numFmtId="0" fontId="3" fillId="22" borderId="0" xfId="0" applyFont="1" applyFill="1"/>
    <xf numFmtId="0" fontId="0" fillId="0" borderId="43" xfId="0" applyBorder="1"/>
    <xf numFmtId="183" fontId="0" fillId="0" borderId="43" xfId="0" applyNumberFormat="1" applyBorder="1"/>
    <xf numFmtId="173" fontId="0" fillId="0" borderId="43" xfId="0" applyNumberFormat="1" applyBorder="1"/>
    <xf numFmtId="184" fontId="0" fillId="0" borderId="43" xfId="0" applyNumberFormat="1" applyBorder="1"/>
    <xf numFmtId="0" fontId="33" fillId="3" borderId="0" xfId="0" applyFont="1" applyFill="1" applyAlignment="1">
      <alignment horizontal="center"/>
    </xf>
    <xf numFmtId="173" fontId="0" fillId="0" borderId="31" xfId="0" applyNumberFormat="1" applyBorder="1" applyAlignment="1">
      <alignment horizontal="left" vertical="center" wrapText="1"/>
    </xf>
    <xf numFmtId="173" fontId="0" fillId="0" borderId="32" xfId="0" applyNumberFormat="1" applyBorder="1" applyAlignment="1">
      <alignment horizontal="left" vertical="center" wrapText="1"/>
    </xf>
    <xf numFmtId="173" fontId="0" fillId="0" borderId="33" xfId="0" applyNumberFormat="1" applyBorder="1" applyAlignment="1">
      <alignment horizontal="left" vertical="center" wrapText="1"/>
    </xf>
    <xf numFmtId="0" fontId="2" fillId="2" borderId="0" xfId="0" applyFont="1" applyFill="1" applyAlignment="1">
      <alignment horizontal="center" vertical="center" wrapText="1"/>
    </xf>
    <xf numFmtId="0" fontId="5" fillId="3" borderId="0" xfId="0" applyFont="1" applyFill="1" applyAlignment="1">
      <alignment horizontal="center" vertical="center"/>
    </xf>
    <xf numFmtId="0" fontId="3" fillId="0" borderId="0" xfId="0" applyFont="1" applyAlignment="1">
      <alignment horizontal="center"/>
    </xf>
    <xf numFmtId="0" fontId="3" fillId="0" borderId="0" xfId="0" applyFont="1" applyAlignment="1">
      <alignment horizontal="center" vertical="center"/>
    </xf>
    <xf numFmtId="0" fontId="31" fillId="8" borderId="0" xfId="0" applyFont="1" applyFill="1" applyAlignment="1">
      <alignment horizontal="left" vertical="center" wrapText="1"/>
    </xf>
  </cellXfs>
  <cellStyles count="4">
    <cellStyle name="Comma" xfId="3" builtinId="3"/>
    <cellStyle name="Currency" xfId="1" builtinId="4"/>
    <cellStyle name="Hyperlink" xfId="2" builtinId="8"/>
    <cellStyle name="Normal" xfId="0" builtinId="0"/>
  </cellStyles>
  <dxfs count="374">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alignment horizontal="general" vertical="bottom" textRotation="0" wrapText="0" indent="0" justifyLastLine="0" shrinkToFit="0" readingOrder="0"/>
    </dxf>
    <dxf>
      <font>
        <b/>
        <i val="0"/>
        <strike val="0"/>
        <condense val="0"/>
        <extend val="0"/>
        <outline val="0"/>
        <shadow val="0"/>
        <u val="none"/>
        <vertAlign val="baseline"/>
        <sz val="11"/>
        <color rgb="FF000000"/>
        <name val="Calibri"/>
        <family val="2"/>
        <scheme val="none"/>
      </font>
      <fill>
        <patternFill patternType="none">
          <fgColor indexed="64"/>
          <bgColor indexed="65"/>
        </patternFill>
      </fill>
      <alignment horizontal="general"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74" formatCode="_(* #,##0_);_(* \(#,##0\);_(* &quot;-&quot;??_);_(@_)"/>
    </dxf>
    <dxf>
      <numFmt numFmtId="0" formatCode="General"/>
    </dxf>
    <dxf>
      <numFmt numFmtId="177" formatCode="mm/dd/yy;;&quot;&quot;"/>
    </dxf>
    <dxf>
      <numFmt numFmtId="177" formatCode="mm/dd/yy;;&quot;&quot;"/>
    </dxf>
    <dxf>
      <numFmt numFmtId="177" formatCode="mm/dd/yy;;&quot;&quot;"/>
    </dxf>
    <dxf>
      <numFmt numFmtId="177" formatCode="mm/dd/yy;;&quot;&quot;"/>
    </dxf>
    <dxf>
      <numFmt numFmtId="177" formatCode="mm/dd/yy;;&quot;&quot;"/>
    </dxf>
    <dxf>
      <numFmt numFmtId="177" formatCode="mm/dd/yy;;&quot;&quot;"/>
    </dxf>
    <dxf>
      <numFmt numFmtId="177" formatCode="mm/dd/yy;;&quot;&quot;"/>
    </dxf>
    <dxf>
      <numFmt numFmtId="177" formatCode="mm/dd/yy;;&quot;&quot;"/>
    </dxf>
    <dxf>
      <numFmt numFmtId="177" formatCode="mm/dd/yy;;&quot;&quot;"/>
    </dxf>
    <dxf>
      <numFmt numFmtId="177" formatCode="mm/dd/yy;;&quot;&quot;"/>
    </dxf>
    <dxf>
      <numFmt numFmtId="177" formatCode="mm/dd/yy;;&quot;&quot;"/>
    </dxf>
    <dxf>
      <numFmt numFmtId="177" formatCode="mm/dd/yy;;&quot;&quot;"/>
    </dxf>
    <dxf>
      <numFmt numFmtId="177" formatCode="mm/dd/yy;;&quot;&quot;"/>
    </dxf>
    <dxf>
      <numFmt numFmtId="177" formatCode="mm/dd/yy;;&quot;&quot;"/>
    </dxf>
    <dxf>
      <numFmt numFmtId="168" formatCode="m/d/yy;@"/>
    </dxf>
    <dxf>
      <numFmt numFmtId="168" formatCode="m/d/yy;@"/>
    </dxf>
    <dxf>
      <numFmt numFmtId="27" formatCode="m/d/yyyy\ h:mm"/>
    </dxf>
    <dxf>
      <numFmt numFmtId="19" formatCode="m/d/yyyy"/>
    </dxf>
    <dxf>
      <numFmt numFmtId="19" formatCode="m/d/yyyy"/>
    </dxf>
    <dxf>
      <numFmt numFmtId="19" formatCode="m/d/yyyy"/>
    </dxf>
    <dxf>
      <numFmt numFmtId="19" formatCode="m/d/yyyy"/>
    </dxf>
    <dxf>
      <border outline="0">
        <bottom style="thin">
          <color theme="4" tint="0.39997558519241921"/>
        </bottom>
      </border>
    </dxf>
    <dxf>
      <border outline="0">
        <top style="thin">
          <color theme="4" tint="0.39997558519241921"/>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general" vertical="center"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27" formatCode="m/d/yyyy\ h:mm"/>
    </dxf>
    <dxf>
      <numFmt numFmtId="177" formatCode="mm/dd/yy;;&quot;&quot;"/>
    </dxf>
    <dxf>
      <numFmt numFmtId="177" formatCode="mm/dd/yy;;&quot;&quot;"/>
    </dxf>
    <dxf>
      <numFmt numFmtId="177" formatCode="mm/dd/yy;;&quot;&quot;"/>
    </dxf>
    <dxf>
      <numFmt numFmtId="177" formatCode="mm/dd/yy;;&quot;&quot;"/>
    </dxf>
    <dxf>
      <font>
        <b/>
        <i val="0"/>
        <strike val="0"/>
        <condense val="0"/>
        <extend val="0"/>
        <outline val="0"/>
        <shadow val="0"/>
        <u val="none"/>
        <vertAlign val="baseline"/>
        <sz val="11"/>
        <color theme="1"/>
        <name val="Calibri"/>
        <family val="2"/>
        <scheme val="minor"/>
      </font>
    </dxf>
    <dxf>
      <fill>
        <patternFill>
          <bgColor theme="4" tint="0.79998168889431442"/>
        </patternFill>
      </fill>
    </dxf>
    <dxf>
      <fill>
        <patternFill>
          <bgColor rgb="FFFF0000"/>
        </patternFill>
      </fill>
    </dxf>
    <dxf>
      <font>
        <color theme="7" tint="0.79998168889431442"/>
      </font>
      <fill>
        <patternFill patternType="darkUp">
          <fgColor theme="7" tint="0.79995117038483843"/>
          <bgColor theme="7" tint="0.39994506668294322"/>
        </patternFill>
      </fill>
    </dxf>
    <dxf>
      <font>
        <color theme="4" tint="0.39994506668294322"/>
      </font>
      <fill>
        <patternFill patternType="darkUp">
          <fgColor theme="4"/>
          <bgColor theme="4" tint="0.39985351115451523"/>
        </patternFill>
      </fill>
    </dxf>
    <dxf>
      <font>
        <color theme="8" tint="-0.24994659260841701"/>
      </font>
      <fill>
        <patternFill patternType="lightUp">
          <bgColor theme="8" tint="-0.24994659260841701"/>
        </patternFill>
      </fill>
    </dxf>
    <dxf>
      <fill>
        <patternFill>
          <bgColor rgb="FFFF0000"/>
        </patternFill>
      </fill>
    </dxf>
    <dxf>
      <font>
        <color theme="7" tint="0.79998168889431442"/>
      </font>
      <fill>
        <patternFill patternType="darkUp">
          <fgColor theme="7" tint="0.79995117038483843"/>
          <bgColor theme="7" tint="0.39994506668294322"/>
        </patternFill>
      </fill>
    </dxf>
    <dxf>
      <font>
        <color theme="4" tint="0.39994506668294322"/>
      </font>
      <fill>
        <patternFill patternType="darkUp">
          <fgColor theme="4"/>
          <bgColor theme="4" tint="0.39985351115451523"/>
        </patternFill>
      </fill>
    </dxf>
    <dxf>
      <font>
        <color theme="8" tint="-0.24994659260841701"/>
      </font>
      <fill>
        <patternFill patternType="lightUp">
          <bgColor theme="8" tint="-0.24994659260841701"/>
        </patternFill>
      </fill>
    </dxf>
    <dxf>
      <fill>
        <patternFill>
          <bgColor rgb="FFFF0000"/>
        </patternFill>
      </fill>
    </dxf>
    <dxf>
      <font>
        <color theme="7" tint="0.79998168889431442"/>
      </font>
      <fill>
        <patternFill patternType="darkUp">
          <fgColor theme="7" tint="0.79995117038483843"/>
          <bgColor theme="7" tint="0.39994506668294322"/>
        </patternFill>
      </fill>
    </dxf>
    <dxf>
      <font>
        <color theme="4" tint="0.39994506668294322"/>
      </font>
      <fill>
        <patternFill patternType="darkUp">
          <fgColor theme="4"/>
          <bgColor theme="4" tint="0.39985351115451523"/>
        </patternFill>
      </fill>
    </dxf>
    <dxf>
      <font>
        <color theme="8" tint="-0.24994659260841701"/>
      </font>
      <fill>
        <patternFill patternType="lightUp">
          <bgColor theme="8" tint="-0.24994659260841701"/>
        </patternFill>
      </fill>
    </dxf>
    <dxf>
      <fill>
        <patternFill>
          <bgColor rgb="FFFF0000"/>
        </patternFill>
      </fill>
    </dxf>
    <dxf>
      <font>
        <color theme="7" tint="0.79998168889431442"/>
      </font>
      <fill>
        <patternFill patternType="darkUp">
          <fgColor theme="7" tint="0.79995117038483843"/>
          <bgColor theme="7" tint="0.39994506668294322"/>
        </patternFill>
      </fill>
    </dxf>
    <dxf>
      <font>
        <color theme="4" tint="0.39994506668294322"/>
      </font>
      <fill>
        <patternFill patternType="darkUp">
          <fgColor theme="4"/>
          <bgColor theme="4" tint="0.39985351115451523"/>
        </patternFill>
      </fill>
    </dxf>
    <dxf>
      <font>
        <color theme="8" tint="-0.24994659260841701"/>
      </font>
      <fill>
        <patternFill patternType="lightUp">
          <bgColor theme="8" tint="-0.24994659260841701"/>
        </patternFill>
      </fill>
    </dxf>
    <dxf>
      <fill>
        <patternFill>
          <bgColor rgb="FFFF0000"/>
        </patternFill>
      </fill>
    </dxf>
    <dxf>
      <font>
        <color theme="7" tint="0.79998168889431442"/>
      </font>
      <fill>
        <patternFill patternType="darkUp">
          <fgColor theme="7" tint="0.79995117038483843"/>
          <bgColor theme="7" tint="0.39994506668294322"/>
        </patternFill>
      </fill>
    </dxf>
    <dxf>
      <font>
        <color theme="4" tint="0.39994506668294322"/>
      </font>
      <fill>
        <patternFill patternType="darkUp">
          <fgColor theme="4"/>
          <bgColor theme="4" tint="0.39985351115451523"/>
        </patternFill>
      </fill>
    </dxf>
    <dxf>
      <font>
        <color theme="8" tint="-0.24994659260841701"/>
      </font>
      <fill>
        <patternFill patternType="lightUp">
          <bgColor theme="8" tint="-0.24994659260841701"/>
        </patternFill>
      </fill>
    </dxf>
    <dxf>
      <fill>
        <patternFill>
          <bgColor rgb="FFFF0000"/>
        </patternFill>
      </fill>
    </dxf>
    <dxf>
      <font>
        <color theme="7" tint="0.79998168889431442"/>
      </font>
      <fill>
        <patternFill patternType="darkUp">
          <fgColor theme="7" tint="0.79995117038483843"/>
          <bgColor theme="7" tint="0.39994506668294322"/>
        </patternFill>
      </fill>
    </dxf>
    <dxf>
      <font>
        <color theme="4" tint="0.39994506668294322"/>
      </font>
      <fill>
        <patternFill patternType="darkUp">
          <fgColor theme="4"/>
          <bgColor theme="4" tint="0.39985351115451523"/>
        </patternFill>
      </fill>
    </dxf>
    <dxf>
      <font>
        <color theme="8" tint="-0.24994659260841701"/>
      </font>
      <fill>
        <patternFill patternType="lightUp">
          <bgColor theme="8" tint="-0.24994659260841701"/>
        </patternFill>
      </fill>
    </dxf>
    <dxf>
      <fill>
        <patternFill>
          <bgColor rgb="FFFF0000"/>
        </patternFill>
      </fill>
    </dxf>
    <dxf>
      <font>
        <color theme="7" tint="0.79998168889431442"/>
      </font>
      <fill>
        <patternFill patternType="darkUp">
          <fgColor theme="7" tint="0.79995117038483843"/>
          <bgColor theme="7" tint="0.39994506668294322"/>
        </patternFill>
      </fill>
    </dxf>
    <dxf>
      <font>
        <color theme="4" tint="0.39994506668294322"/>
      </font>
      <fill>
        <patternFill patternType="darkUp">
          <fgColor theme="4"/>
          <bgColor theme="4" tint="0.39985351115451523"/>
        </patternFill>
      </fill>
    </dxf>
    <dxf>
      <font>
        <color theme="8" tint="-0.24994659260841701"/>
      </font>
      <fill>
        <patternFill patternType="lightUp">
          <bgColor theme="8" tint="-0.24994659260841701"/>
        </patternFill>
      </fill>
    </dxf>
    <dxf>
      <fill>
        <patternFill>
          <bgColor rgb="FFFF0000"/>
        </patternFill>
      </fill>
    </dxf>
    <dxf>
      <font>
        <color theme="7" tint="0.79998168889431442"/>
      </font>
      <fill>
        <patternFill patternType="darkUp">
          <fgColor theme="7" tint="0.79995117038483843"/>
          <bgColor theme="7" tint="0.39994506668294322"/>
        </patternFill>
      </fill>
    </dxf>
    <dxf>
      <font>
        <color theme="4" tint="0.39994506668294322"/>
      </font>
      <fill>
        <patternFill patternType="darkUp">
          <fgColor theme="4"/>
          <bgColor theme="4" tint="0.39985351115451523"/>
        </patternFill>
      </fill>
    </dxf>
    <dxf>
      <font>
        <color theme="8" tint="-0.24994659260841701"/>
      </font>
      <fill>
        <patternFill patternType="lightUp">
          <bgColor theme="8" tint="-0.24994659260841701"/>
        </patternFill>
      </fill>
    </dxf>
    <dxf>
      <fill>
        <patternFill>
          <bgColor rgb="FFFF0000"/>
        </patternFill>
      </fill>
    </dxf>
    <dxf>
      <font>
        <color theme="7" tint="0.79998168889431442"/>
      </font>
      <fill>
        <patternFill patternType="darkUp">
          <fgColor theme="7" tint="0.79995117038483843"/>
          <bgColor theme="7" tint="0.39994506668294322"/>
        </patternFill>
      </fill>
    </dxf>
    <dxf>
      <font>
        <color theme="4" tint="0.39994506668294322"/>
      </font>
      <fill>
        <patternFill patternType="darkUp">
          <fgColor theme="4"/>
          <bgColor theme="4" tint="0.39985351115451523"/>
        </patternFill>
      </fill>
    </dxf>
    <dxf>
      <font>
        <color theme="8" tint="-0.24994659260841701"/>
      </font>
      <fill>
        <patternFill patternType="lightUp">
          <bgColor theme="8" tint="-0.24994659260841701"/>
        </patternFill>
      </fill>
    </dxf>
    <dxf>
      <fill>
        <patternFill>
          <bgColor rgb="FFFF0000"/>
        </patternFill>
      </fill>
    </dxf>
    <dxf>
      <font>
        <color theme="7" tint="0.79998168889431442"/>
      </font>
      <fill>
        <patternFill patternType="darkUp">
          <fgColor theme="7" tint="0.79995117038483843"/>
          <bgColor theme="7" tint="0.39994506668294322"/>
        </patternFill>
      </fill>
    </dxf>
    <dxf>
      <font>
        <color theme="4" tint="0.39994506668294322"/>
      </font>
      <fill>
        <patternFill patternType="darkUp">
          <fgColor theme="4"/>
          <bgColor theme="4" tint="0.39985351115451523"/>
        </patternFill>
      </fill>
    </dxf>
    <dxf>
      <font>
        <color theme="8" tint="-0.24994659260841701"/>
      </font>
      <fill>
        <patternFill patternType="lightUp">
          <bgColor theme="8" tint="-0.24994659260841701"/>
        </patternFill>
      </fill>
    </dxf>
    <dxf>
      <fill>
        <patternFill>
          <bgColor rgb="FFFF0000"/>
        </patternFill>
      </fill>
    </dxf>
    <dxf>
      <font>
        <color theme="7" tint="0.79998168889431442"/>
      </font>
      <fill>
        <patternFill patternType="darkUp">
          <fgColor theme="7" tint="0.79995117038483843"/>
          <bgColor theme="7" tint="0.39994506668294322"/>
        </patternFill>
      </fill>
    </dxf>
    <dxf>
      <font>
        <color theme="4" tint="0.39994506668294322"/>
      </font>
      <fill>
        <patternFill patternType="darkUp">
          <fgColor theme="4"/>
          <bgColor theme="4" tint="0.39985351115451523"/>
        </patternFill>
      </fill>
    </dxf>
    <dxf>
      <font>
        <color theme="8" tint="-0.24994659260841701"/>
      </font>
      <fill>
        <patternFill patternType="lightUp">
          <bgColor theme="8" tint="-0.24994659260841701"/>
        </patternFill>
      </fill>
    </dxf>
    <dxf>
      <fill>
        <patternFill>
          <bgColor rgb="FFFF0000"/>
        </patternFill>
      </fill>
    </dxf>
    <dxf>
      <font>
        <color theme="7" tint="0.79998168889431442"/>
      </font>
      <fill>
        <patternFill patternType="darkUp">
          <fgColor theme="7" tint="0.79995117038483843"/>
          <bgColor theme="7" tint="0.39994506668294322"/>
        </patternFill>
      </fill>
    </dxf>
    <dxf>
      <font>
        <color theme="4" tint="0.39994506668294322"/>
      </font>
      <fill>
        <patternFill patternType="darkUp">
          <fgColor theme="4"/>
          <bgColor theme="4" tint="0.39985351115451523"/>
        </patternFill>
      </fill>
    </dxf>
    <dxf>
      <font>
        <color theme="8" tint="-0.24994659260841701"/>
      </font>
      <fill>
        <patternFill patternType="lightUp">
          <bgColor theme="8" tint="-0.24994659260841701"/>
        </patternFill>
      </fill>
    </dxf>
    <dxf>
      <fill>
        <patternFill>
          <bgColor rgb="FFFF0000"/>
        </patternFill>
      </fill>
    </dxf>
    <dxf>
      <font>
        <color theme="7" tint="0.79998168889431442"/>
      </font>
      <fill>
        <patternFill patternType="darkUp">
          <fgColor theme="7" tint="0.79995117038483843"/>
          <bgColor theme="7" tint="0.39994506668294322"/>
        </patternFill>
      </fill>
    </dxf>
    <dxf>
      <font>
        <color theme="4" tint="0.39994506668294322"/>
      </font>
      <fill>
        <patternFill patternType="darkUp">
          <fgColor theme="4"/>
          <bgColor theme="4" tint="0.39985351115451523"/>
        </patternFill>
      </fill>
    </dxf>
    <dxf>
      <font>
        <color theme="8" tint="-0.24994659260841701"/>
      </font>
      <fill>
        <patternFill patternType="lightUp">
          <bgColor theme="8" tint="-0.24994659260841701"/>
        </patternFill>
      </fill>
    </dxf>
    <dxf>
      <fill>
        <patternFill>
          <bgColor rgb="FFFF0000"/>
        </patternFill>
      </fill>
    </dxf>
    <dxf>
      <font>
        <color theme="7" tint="0.79998168889431442"/>
      </font>
      <fill>
        <patternFill patternType="darkUp">
          <fgColor theme="7" tint="0.79995117038483843"/>
          <bgColor theme="7" tint="0.39994506668294322"/>
        </patternFill>
      </fill>
    </dxf>
    <dxf>
      <font>
        <color theme="4" tint="0.39994506668294322"/>
      </font>
      <fill>
        <patternFill patternType="darkUp">
          <fgColor theme="4"/>
          <bgColor theme="4" tint="0.39985351115451523"/>
        </patternFill>
      </fill>
    </dxf>
    <dxf>
      <font>
        <color theme="8" tint="-0.24994659260841701"/>
      </font>
      <fill>
        <patternFill patternType="lightUp">
          <bgColor theme="8" tint="-0.24994659260841701"/>
        </patternFill>
      </fill>
    </dxf>
    <dxf>
      <font>
        <color theme="0"/>
      </font>
    </dxf>
    <dxf>
      <font>
        <color theme="0"/>
      </font>
    </dxf>
    <dxf>
      <fill>
        <patternFill>
          <bgColor rgb="FFFF0000"/>
        </patternFill>
      </fill>
    </dxf>
    <dxf>
      <font>
        <color theme="7" tint="0.79998168889431442"/>
      </font>
      <fill>
        <patternFill patternType="darkUp">
          <fgColor theme="7" tint="0.79995117038483843"/>
          <bgColor theme="7" tint="0.39994506668294322"/>
        </patternFill>
      </fill>
    </dxf>
    <dxf>
      <font>
        <color theme="4" tint="0.39994506668294322"/>
      </font>
      <fill>
        <patternFill patternType="darkUp">
          <fgColor theme="4"/>
          <bgColor theme="4" tint="0.39985351115451523"/>
        </patternFill>
      </fill>
    </dxf>
    <dxf>
      <font>
        <color theme="8" tint="-0.24994659260841701"/>
      </font>
      <fill>
        <patternFill patternType="lightUp">
          <bgColor theme="8" tint="-0.24994659260841701"/>
        </patternFill>
      </fill>
    </dxf>
    <dxf>
      <font>
        <color theme="0"/>
      </font>
      <fill>
        <patternFill>
          <bgColor theme="0"/>
        </patternFill>
      </fill>
    </dxf>
    <dxf>
      <border>
        <bottom style="thin">
          <color auto="1"/>
        </bottom>
        <vertical/>
        <horizontal/>
      </border>
    </dxf>
    <dxf>
      <font>
        <color theme="0"/>
      </font>
      <fill>
        <patternFill>
          <bgColor theme="0"/>
        </patternFill>
      </fill>
    </dxf>
    <dxf>
      <font>
        <color theme="0"/>
      </font>
      <fill>
        <patternFill>
          <bgColor theme="0"/>
        </patternFill>
      </fill>
    </dxf>
    <dxf>
      <border>
        <bottom style="thin">
          <color auto="1"/>
        </bottom>
        <vertical/>
        <horizontal/>
      </border>
    </dxf>
    <dxf>
      <font>
        <color theme="0"/>
      </font>
      <fill>
        <patternFill>
          <bgColor theme="0"/>
        </patternFill>
      </fill>
    </dxf>
    <dxf>
      <border>
        <bottom style="thin">
          <color auto="1"/>
        </bottom>
        <vertical/>
        <horizontal/>
      </border>
    </dxf>
    <dxf>
      <fill>
        <patternFill>
          <bgColor theme="4" tint="0.79998168889431442"/>
        </patternFill>
      </fill>
    </dxf>
    <dxf>
      <font>
        <color theme="0"/>
      </font>
      <fill>
        <patternFill>
          <bgColor theme="0"/>
        </patternFill>
      </fill>
    </dxf>
    <dxf>
      <border>
        <bottom style="thin">
          <color auto="1"/>
        </bottom>
        <vertical/>
        <horizontal/>
      </border>
    </dxf>
    <dxf>
      <fill>
        <patternFill>
          <bgColor theme="4" tint="0.79998168889431442"/>
        </patternFill>
      </fill>
    </dxf>
    <dxf>
      <fill>
        <patternFill>
          <bgColor theme="4" tint="0.79998168889431442"/>
        </patternFill>
      </fill>
    </dxf>
    <dxf>
      <fill>
        <patternFill>
          <bgColor theme="4" tint="0.79998168889431442"/>
        </patternFill>
      </fill>
    </dxf>
    <dxf>
      <font>
        <color theme="0"/>
      </font>
      <fill>
        <patternFill>
          <bgColor theme="0"/>
        </patternFill>
      </fill>
    </dxf>
    <dxf>
      <fill>
        <patternFill>
          <bgColor theme="4" tint="0.79998168889431442"/>
        </patternFill>
      </fill>
    </dxf>
    <dxf>
      <border>
        <bottom style="thin">
          <color auto="1"/>
        </bottom>
        <vertical/>
        <horizontal/>
      </border>
    </dxf>
    <dxf>
      <font>
        <color theme="0"/>
      </font>
      <fill>
        <patternFill>
          <bgColor theme="0"/>
        </patternFill>
      </fill>
    </dxf>
    <dxf>
      <border>
        <bottom style="thin">
          <color auto="1"/>
        </bottom>
        <vertical/>
        <horizontal/>
      </border>
    </dxf>
    <dxf>
      <font>
        <color theme="0"/>
      </font>
      <fill>
        <patternFill>
          <bgColor theme="0"/>
        </patternFill>
      </fill>
    </dxf>
    <dxf>
      <font>
        <color theme="0"/>
      </font>
      <fill>
        <patternFill>
          <bgColor theme="0"/>
        </patternFill>
      </fill>
    </dxf>
    <dxf>
      <border>
        <bottom style="thin">
          <color auto="1"/>
        </bottom>
        <vertical/>
        <horizontal/>
      </border>
    </dxf>
    <dxf>
      <font>
        <color theme="0"/>
      </font>
      <fill>
        <patternFill>
          <bgColor theme="0"/>
        </patternFill>
      </fill>
    </dxf>
    <dxf>
      <border>
        <bottom style="thin">
          <color auto="1"/>
        </bottom>
        <vertical/>
        <horizontal/>
      </border>
    </dxf>
    <dxf>
      <fill>
        <patternFill>
          <bgColor theme="4" tint="0.79998168889431442"/>
        </patternFill>
      </fill>
    </dxf>
    <dxf>
      <font>
        <color theme="0"/>
      </font>
      <fill>
        <patternFill>
          <bgColor theme="0"/>
        </patternFill>
      </fill>
    </dxf>
    <dxf>
      <border>
        <bottom style="thin">
          <color auto="1"/>
        </bottom>
        <vertical/>
        <horizontal/>
      </border>
    </dxf>
    <dxf>
      <fill>
        <patternFill>
          <bgColor theme="4" tint="0.79998168889431442"/>
        </patternFill>
      </fill>
    </dxf>
    <dxf>
      <fill>
        <patternFill>
          <bgColor theme="4" tint="0.79998168889431442"/>
        </patternFill>
      </fill>
    </dxf>
    <dxf>
      <fill>
        <patternFill>
          <bgColor theme="4" tint="0.79998168889431442"/>
        </patternFill>
      </fill>
    </dxf>
    <dxf>
      <font>
        <color theme="0"/>
      </font>
      <fill>
        <patternFill>
          <bgColor theme="0"/>
        </patternFill>
      </fill>
    </dxf>
    <dxf>
      <fill>
        <patternFill>
          <bgColor theme="4" tint="0.79998168889431442"/>
        </patternFill>
      </fill>
    </dxf>
    <dxf>
      <border>
        <bottom style="thin">
          <color auto="1"/>
        </bottom>
        <vertical/>
        <horizontal/>
      </border>
    </dxf>
    <dxf>
      <fill>
        <patternFill>
          <bgColor rgb="FFFF0000"/>
        </patternFill>
      </fill>
    </dxf>
    <dxf>
      <font>
        <color theme="7" tint="0.79998168889431442"/>
      </font>
      <fill>
        <patternFill patternType="darkUp">
          <fgColor theme="7" tint="0.79995117038483843"/>
          <bgColor theme="7" tint="0.39994506668294322"/>
        </patternFill>
      </fill>
    </dxf>
    <dxf>
      <font>
        <color theme="4" tint="0.39994506668294322"/>
      </font>
      <fill>
        <patternFill patternType="darkUp">
          <fgColor theme="4"/>
          <bgColor theme="4" tint="0.39985351115451523"/>
        </patternFill>
      </fill>
    </dxf>
    <dxf>
      <font>
        <color theme="8" tint="-0.24994659260841701"/>
      </font>
      <fill>
        <patternFill patternType="lightUp">
          <bgColor theme="8" tint="-0.24994659260841701"/>
        </patternFill>
      </fill>
    </dxf>
    <dxf>
      <fill>
        <patternFill>
          <bgColor rgb="FFFF0000"/>
        </patternFill>
      </fill>
    </dxf>
    <dxf>
      <font>
        <color theme="7" tint="0.79998168889431442"/>
      </font>
      <fill>
        <patternFill patternType="darkUp">
          <fgColor theme="7" tint="0.79995117038483843"/>
          <bgColor theme="7" tint="0.39994506668294322"/>
        </patternFill>
      </fill>
    </dxf>
    <dxf>
      <font>
        <color theme="4" tint="0.39994506668294322"/>
      </font>
      <fill>
        <patternFill patternType="darkUp">
          <fgColor theme="4"/>
          <bgColor theme="4" tint="0.39985351115451523"/>
        </patternFill>
      </fill>
    </dxf>
    <dxf>
      <font>
        <color theme="8" tint="-0.24994659260841701"/>
      </font>
      <fill>
        <patternFill patternType="lightUp">
          <bgColor theme="8" tint="-0.24994659260841701"/>
        </patternFill>
      </fill>
    </dxf>
    <dxf>
      <fill>
        <patternFill>
          <bgColor rgb="FFFF0000"/>
        </patternFill>
      </fill>
    </dxf>
    <dxf>
      <font>
        <color theme="7" tint="0.79998168889431442"/>
      </font>
      <fill>
        <patternFill patternType="darkUp">
          <fgColor theme="7" tint="0.79995117038483843"/>
          <bgColor theme="7" tint="0.39994506668294322"/>
        </patternFill>
      </fill>
    </dxf>
    <dxf>
      <font>
        <color theme="4" tint="0.39994506668294322"/>
      </font>
      <fill>
        <patternFill patternType="darkUp">
          <fgColor theme="4"/>
          <bgColor theme="4" tint="0.39985351115451523"/>
        </patternFill>
      </fill>
    </dxf>
    <dxf>
      <font>
        <color theme="8" tint="-0.24994659260841701"/>
      </font>
      <fill>
        <patternFill patternType="lightUp">
          <bgColor theme="8" tint="-0.24994659260841701"/>
        </patternFill>
      </fill>
    </dxf>
    <dxf>
      <fill>
        <patternFill>
          <bgColor rgb="FFFF0000"/>
        </patternFill>
      </fill>
    </dxf>
    <dxf>
      <font>
        <color theme="7" tint="0.79998168889431442"/>
      </font>
      <fill>
        <patternFill patternType="darkUp">
          <fgColor theme="7" tint="0.79995117038483843"/>
          <bgColor theme="7" tint="0.39994506668294322"/>
        </patternFill>
      </fill>
    </dxf>
    <dxf>
      <font>
        <color theme="4" tint="0.39994506668294322"/>
      </font>
      <fill>
        <patternFill patternType="darkUp">
          <fgColor theme="4"/>
          <bgColor theme="4" tint="0.39985351115451523"/>
        </patternFill>
      </fill>
    </dxf>
    <dxf>
      <font>
        <color theme="8" tint="-0.24994659260841701"/>
      </font>
      <fill>
        <patternFill patternType="lightUp">
          <bgColor theme="8" tint="-0.24994659260841701"/>
        </patternFill>
      </fill>
    </dxf>
    <dxf>
      <fill>
        <patternFill>
          <bgColor rgb="FFFF0000"/>
        </patternFill>
      </fill>
    </dxf>
    <dxf>
      <font>
        <color theme="7" tint="0.79998168889431442"/>
      </font>
      <fill>
        <patternFill patternType="darkUp">
          <fgColor theme="7" tint="0.79995117038483843"/>
          <bgColor theme="7" tint="0.39994506668294322"/>
        </patternFill>
      </fill>
    </dxf>
    <dxf>
      <font>
        <color theme="4" tint="0.39994506668294322"/>
      </font>
      <fill>
        <patternFill patternType="darkUp">
          <fgColor theme="4"/>
          <bgColor theme="4" tint="0.39985351115451523"/>
        </patternFill>
      </fill>
    </dxf>
    <dxf>
      <font>
        <color theme="8" tint="-0.24994659260841701"/>
      </font>
      <fill>
        <patternFill patternType="lightUp">
          <bgColor theme="8" tint="-0.24994659260841701"/>
        </patternFill>
      </fill>
    </dxf>
    <dxf>
      <fill>
        <patternFill>
          <bgColor rgb="FFFF0000"/>
        </patternFill>
      </fill>
    </dxf>
    <dxf>
      <font>
        <color theme="7" tint="0.79998168889431442"/>
      </font>
      <fill>
        <patternFill patternType="darkUp">
          <fgColor theme="7" tint="0.79995117038483843"/>
          <bgColor theme="7" tint="0.39994506668294322"/>
        </patternFill>
      </fill>
    </dxf>
    <dxf>
      <font>
        <color theme="4" tint="0.39994506668294322"/>
      </font>
      <fill>
        <patternFill patternType="darkUp">
          <fgColor theme="4"/>
          <bgColor theme="4" tint="0.39985351115451523"/>
        </patternFill>
      </fill>
    </dxf>
    <dxf>
      <font>
        <color theme="8" tint="-0.24994659260841701"/>
      </font>
      <fill>
        <patternFill patternType="lightUp">
          <bgColor theme="8" tint="-0.24994659260841701"/>
        </patternFill>
      </fill>
    </dxf>
    <dxf>
      <fill>
        <patternFill>
          <bgColor rgb="FFFF0000"/>
        </patternFill>
      </fill>
    </dxf>
    <dxf>
      <font>
        <color theme="7" tint="0.79998168889431442"/>
      </font>
      <fill>
        <patternFill patternType="darkUp">
          <fgColor theme="7" tint="0.79995117038483843"/>
          <bgColor theme="7" tint="0.39994506668294322"/>
        </patternFill>
      </fill>
    </dxf>
    <dxf>
      <font>
        <color theme="4" tint="0.39994506668294322"/>
      </font>
      <fill>
        <patternFill patternType="darkUp">
          <fgColor theme="4"/>
          <bgColor theme="4" tint="0.39985351115451523"/>
        </patternFill>
      </fill>
    </dxf>
    <dxf>
      <font>
        <color theme="8" tint="-0.24994659260841701"/>
      </font>
      <fill>
        <patternFill patternType="lightUp">
          <bgColor theme="8" tint="-0.24994659260841701"/>
        </patternFill>
      </fill>
    </dxf>
    <dxf>
      <fill>
        <patternFill>
          <bgColor rgb="FFFF0000"/>
        </patternFill>
      </fill>
    </dxf>
    <dxf>
      <font>
        <color theme="7" tint="0.79998168889431442"/>
      </font>
      <fill>
        <patternFill patternType="darkUp">
          <fgColor theme="7" tint="0.79995117038483843"/>
          <bgColor theme="7" tint="0.39994506668294322"/>
        </patternFill>
      </fill>
    </dxf>
    <dxf>
      <font>
        <color theme="4" tint="0.39994506668294322"/>
      </font>
      <fill>
        <patternFill patternType="darkUp">
          <fgColor theme="4"/>
          <bgColor theme="4" tint="0.39985351115451523"/>
        </patternFill>
      </fill>
    </dxf>
    <dxf>
      <font>
        <color theme="8" tint="-0.24994659260841701"/>
      </font>
      <fill>
        <patternFill patternType="lightUp">
          <bgColor theme="8" tint="-0.24994659260841701"/>
        </patternFill>
      </fill>
    </dxf>
    <dxf>
      <fill>
        <patternFill>
          <bgColor rgb="FFFF0000"/>
        </patternFill>
      </fill>
    </dxf>
    <dxf>
      <font>
        <color theme="7" tint="0.79998168889431442"/>
      </font>
      <fill>
        <patternFill patternType="darkUp">
          <fgColor theme="7" tint="0.79995117038483843"/>
          <bgColor theme="7" tint="0.39994506668294322"/>
        </patternFill>
      </fill>
    </dxf>
    <dxf>
      <font>
        <color theme="4" tint="0.39994506668294322"/>
      </font>
      <fill>
        <patternFill patternType="darkUp">
          <fgColor theme="4"/>
          <bgColor theme="4" tint="0.39985351115451523"/>
        </patternFill>
      </fill>
    </dxf>
    <dxf>
      <font>
        <color theme="8" tint="-0.24994659260841701"/>
      </font>
      <fill>
        <patternFill patternType="lightUp">
          <bgColor theme="8" tint="-0.24994659260841701"/>
        </patternFill>
      </fill>
    </dxf>
    <dxf>
      <fill>
        <patternFill>
          <bgColor rgb="FFFF0000"/>
        </patternFill>
      </fill>
    </dxf>
    <dxf>
      <font>
        <color theme="7" tint="0.79998168889431442"/>
      </font>
      <fill>
        <patternFill patternType="darkUp">
          <fgColor theme="7" tint="0.79995117038483843"/>
          <bgColor theme="7" tint="0.39994506668294322"/>
        </patternFill>
      </fill>
    </dxf>
    <dxf>
      <font>
        <color theme="4" tint="0.39994506668294322"/>
      </font>
      <fill>
        <patternFill patternType="darkUp">
          <fgColor theme="4"/>
          <bgColor theme="4" tint="0.39985351115451523"/>
        </patternFill>
      </fill>
    </dxf>
    <dxf>
      <font>
        <color theme="8" tint="-0.24994659260841701"/>
      </font>
      <fill>
        <patternFill patternType="lightUp">
          <bgColor theme="8" tint="-0.24994659260841701"/>
        </patternFill>
      </fill>
    </dxf>
    <dxf>
      <fill>
        <patternFill>
          <bgColor rgb="FFFF0000"/>
        </patternFill>
      </fill>
    </dxf>
    <dxf>
      <font>
        <color theme="7" tint="0.79998168889431442"/>
      </font>
      <fill>
        <patternFill patternType="darkUp">
          <fgColor theme="7" tint="0.79995117038483843"/>
          <bgColor theme="7" tint="0.39994506668294322"/>
        </patternFill>
      </fill>
    </dxf>
    <dxf>
      <font>
        <color theme="4" tint="0.39994506668294322"/>
      </font>
      <fill>
        <patternFill patternType="darkUp">
          <fgColor theme="4"/>
          <bgColor theme="4" tint="0.39985351115451523"/>
        </patternFill>
      </fill>
    </dxf>
    <dxf>
      <font>
        <color theme="8" tint="-0.24994659260841701"/>
      </font>
      <fill>
        <patternFill patternType="lightUp">
          <bgColor theme="8" tint="-0.24994659260841701"/>
        </patternFill>
      </fill>
    </dxf>
    <dxf>
      <fill>
        <patternFill>
          <bgColor rgb="FFFF0000"/>
        </patternFill>
      </fill>
    </dxf>
    <dxf>
      <font>
        <color theme="7" tint="0.79998168889431442"/>
      </font>
      <fill>
        <patternFill patternType="darkUp">
          <fgColor theme="7" tint="0.79995117038483843"/>
          <bgColor theme="7" tint="0.39994506668294322"/>
        </patternFill>
      </fill>
    </dxf>
    <dxf>
      <font>
        <color theme="4" tint="0.39994506668294322"/>
      </font>
      <fill>
        <patternFill patternType="darkUp">
          <fgColor theme="4"/>
          <bgColor theme="4" tint="0.39985351115451523"/>
        </patternFill>
      </fill>
    </dxf>
    <dxf>
      <font>
        <color theme="8" tint="-0.24994659260841701"/>
      </font>
      <fill>
        <patternFill patternType="lightUp">
          <bgColor theme="8" tint="-0.24994659260841701"/>
        </patternFill>
      </fill>
    </dxf>
    <dxf>
      <fill>
        <patternFill>
          <bgColor rgb="FFFF0000"/>
        </patternFill>
      </fill>
    </dxf>
    <dxf>
      <font>
        <color theme="7" tint="0.79998168889431442"/>
      </font>
      <fill>
        <patternFill patternType="darkUp">
          <fgColor theme="7" tint="0.79995117038483843"/>
          <bgColor theme="7" tint="0.39994506668294322"/>
        </patternFill>
      </fill>
    </dxf>
    <dxf>
      <font>
        <color theme="4" tint="0.39994506668294322"/>
      </font>
      <fill>
        <patternFill patternType="darkUp">
          <fgColor theme="4"/>
          <bgColor theme="4" tint="0.39985351115451523"/>
        </patternFill>
      </fill>
    </dxf>
    <dxf>
      <font>
        <color theme="8" tint="-0.24994659260841701"/>
      </font>
      <fill>
        <patternFill patternType="lightUp">
          <bgColor theme="8" tint="-0.24994659260841701"/>
        </patternFill>
      </fill>
    </dxf>
    <dxf>
      <fill>
        <patternFill>
          <bgColor rgb="FFFF0000"/>
        </patternFill>
      </fill>
    </dxf>
    <dxf>
      <font>
        <color theme="7" tint="0.79998168889431442"/>
      </font>
      <fill>
        <patternFill patternType="darkUp">
          <fgColor theme="7" tint="0.79995117038483843"/>
          <bgColor theme="7" tint="0.39994506668294322"/>
        </patternFill>
      </fill>
    </dxf>
    <dxf>
      <font>
        <color theme="4" tint="0.39994506668294322"/>
      </font>
      <fill>
        <patternFill patternType="darkUp">
          <fgColor theme="4"/>
          <bgColor theme="4" tint="0.39985351115451523"/>
        </patternFill>
      </fill>
    </dxf>
    <dxf>
      <font>
        <color theme="8" tint="-0.24994659260841701"/>
      </font>
      <fill>
        <patternFill patternType="lightUp">
          <bgColor theme="8" tint="-0.24994659260841701"/>
        </patternFill>
      </fill>
    </dxf>
    <dxf>
      <fill>
        <patternFill>
          <bgColor rgb="FFFF0000"/>
        </patternFill>
      </fill>
    </dxf>
    <dxf>
      <font>
        <color theme="7" tint="0.79998168889431442"/>
      </font>
      <fill>
        <patternFill patternType="darkUp">
          <fgColor theme="7" tint="0.79995117038483843"/>
          <bgColor theme="7" tint="0.39994506668294322"/>
        </patternFill>
      </fill>
    </dxf>
    <dxf>
      <font>
        <color theme="4" tint="0.39994506668294322"/>
      </font>
      <fill>
        <patternFill patternType="darkUp">
          <fgColor theme="4"/>
          <bgColor theme="4" tint="0.39985351115451523"/>
        </patternFill>
      </fill>
    </dxf>
    <dxf>
      <font>
        <color theme="8" tint="-0.24994659260841701"/>
      </font>
      <fill>
        <patternFill patternType="lightUp">
          <bgColor theme="8" tint="-0.24994659260841701"/>
        </patternFill>
      </fill>
    </dxf>
    <dxf>
      <fill>
        <patternFill>
          <bgColor rgb="FFFF0000"/>
        </patternFill>
      </fill>
    </dxf>
    <dxf>
      <font>
        <color theme="7" tint="0.79998168889431442"/>
      </font>
      <fill>
        <patternFill patternType="darkUp">
          <fgColor theme="7" tint="0.79995117038483843"/>
          <bgColor theme="7" tint="0.39994506668294322"/>
        </patternFill>
      </fill>
    </dxf>
    <dxf>
      <font>
        <color theme="4" tint="0.39994506668294322"/>
      </font>
      <fill>
        <patternFill patternType="darkUp">
          <fgColor theme="4"/>
          <bgColor theme="4" tint="0.39985351115451523"/>
        </patternFill>
      </fill>
    </dxf>
    <dxf>
      <font>
        <color theme="8" tint="-0.24994659260841701"/>
      </font>
      <fill>
        <patternFill patternType="lightUp">
          <bgColor theme="8" tint="-0.24994659260841701"/>
        </patternFill>
      </fill>
    </dxf>
    <dxf>
      <fill>
        <patternFill>
          <bgColor rgb="FFFF0000"/>
        </patternFill>
      </fill>
    </dxf>
    <dxf>
      <font>
        <color theme="7" tint="0.79998168889431442"/>
      </font>
      <fill>
        <patternFill patternType="darkUp">
          <fgColor theme="7" tint="0.79995117038483843"/>
          <bgColor theme="7" tint="0.39994506668294322"/>
        </patternFill>
      </fill>
    </dxf>
    <dxf>
      <font>
        <color theme="4" tint="0.39994506668294322"/>
      </font>
      <fill>
        <patternFill patternType="darkUp">
          <fgColor theme="4"/>
          <bgColor theme="4" tint="0.39985351115451523"/>
        </patternFill>
      </fill>
    </dxf>
    <dxf>
      <font>
        <color theme="8" tint="-0.24994659260841701"/>
      </font>
      <fill>
        <patternFill patternType="lightUp">
          <bgColor theme="8" tint="-0.24994659260841701"/>
        </patternFill>
      </fill>
    </dxf>
    <dxf>
      <fill>
        <patternFill>
          <bgColor rgb="FFFF0000"/>
        </patternFill>
      </fill>
    </dxf>
    <dxf>
      <font>
        <color theme="7" tint="0.79998168889431442"/>
      </font>
      <fill>
        <patternFill patternType="darkUp">
          <fgColor theme="7" tint="0.79995117038483843"/>
          <bgColor theme="7" tint="0.39994506668294322"/>
        </patternFill>
      </fill>
    </dxf>
    <dxf>
      <font>
        <color theme="4" tint="0.39994506668294322"/>
      </font>
      <fill>
        <patternFill patternType="darkUp">
          <fgColor theme="4"/>
          <bgColor theme="4" tint="0.39985351115451523"/>
        </patternFill>
      </fill>
    </dxf>
    <dxf>
      <font>
        <color theme="8" tint="-0.24994659260841701"/>
      </font>
      <fill>
        <patternFill patternType="lightUp">
          <bgColor theme="8" tint="-0.24994659260841701"/>
        </patternFill>
      </fill>
    </dxf>
    <dxf>
      <fill>
        <patternFill>
          <bgColor rgb="FFFF0000"/>
        </patternFill>
      </fill>
    </dxf>
    <dxf>
      <font>
        <color theme="7" tint="0.79998168889431442"/>
      </font>
      <fill>
        <patternFill patternType="darkUp">
          <fgColor theme="7" tint="0.79995117038483843"/>
          <bgColor theme="7" tint="0.39994506668294322"/>
        </patternFill>
      </fill>
    </dxf>
    <dxf>
      <font>
        <color theme="4" tint="0.39994506668294322"/>
      </font>
      <fill>
        <patternFill patternType="darkUp">
          <fgColor theme="4"/>
          <bgColor theme="4" tint="0.39985351115451523"/>
        </patternFill>
      </fill>
    </dxf>
    <dxf>
      <font>
        <color theme="8" tint="-0.24994659260841701"/>
      </font>
      <fill>
        <patternFill patternType="lightUp">
          <bgColor theme="8" tint="-0.24994659260841701"/>
        </patternFill>
      </fill>
    </dxf>
    <dxf>
      <fill>
        <patternFill>
          <bgColor rgb="FFFF0000"/>
        </patternFill>
      </fill>
    </dxf>
    <dxf>
      <font>
        <color theme="7" tint="0.79998168889431442"/>
      </font>
      <fill>
        <patternFill patternType="darkUp">
          <fgColor theme="7" tint="0.79995117038483843"/>
          <bgColor theme="7" tint="0.39994506668294322"/>
        </patternFill>
      </fill>
    </dxf>
    <dxf>
      <font>
        <color theme="4" tint="0.39994506668294322"/>
      </font>
      <fill>
        <patternFill patternType="darkUp">
          <fgColor theme="4"/>
          <bgColor theme="4" tint="0.39985351115451523"/>
        </patternFill>
      </fill>
    </dxf>
    <dxf>
      <font>
        <color theme="8" tint="-0.24994659260841701"/>
      </font>
      <fill>
        <patternFill patternType="lightUp">
          <bgColor theme="8" tint="-0.24994659260841701"/>
        </patternFill>
      </fill>
    </dxf>
    <dxf>
      <fill>
        <patternFill>
          <bgColor rgb="FFFF0000"/>
        </patternFill>
      </fill>
    </dxf>
    <dxf>
      <font>
        <color theme="7" tint="0.79998168889431442"/>
      </font>
      <fill>
        <patternFill patternType="darkUp">
          <fgColor theme="7" tint="0.79995117038483843"/>
          <bgColor theme="7" tint="0.39994506668294322"/>
        </patternFill>
      </fill>
    </dxf>
    <dxf>
      <font>
        <color theme="4" tint="0.39994506668294322"/>
      </font>
      <fill>
        <patternFill patternType="darkUp">
          <fgColor theme="4"/>
          <bgColor theme="4" tint="0.39985351115451523"/>
        </patternFill>
      </fill>
    </dxf>
    <dxf>
      <font>
        <color theme="8" tint="-0.24994659260841701"/>
      </font>
      <fill>
        <patternFill patternType="lightUp">
          <bgColor theme="8" tint="-0.24994659260841701"/>
        </patternFill>
      </fill>
    </dxf>
    <dxf>
      <fill>
        <patternFill>
          <bgColor rgb="FFFF0000"/>
        </patternFill>
      </fill>
    </dxf>
    <dxf>
      <font>
        <color theme="7" tint="0.79998168889431442"/>
      </font>
      <fill>
        <patternFill patternType="darkUp">
          <fgColor theme="7" tint="0.79995117038483843"/>
          <bgColor theme="7" tint="0.39994506668294322"/>
        </patternFill>
      </fill>
    </dxf>
    <dxf>
      <font>
        <color theme="4" tint="0.39994506668294322"/>
      </font>
      <fill>
        <patternFill patternType="darkUp">
          <fgColor theme="4"/>
          <bgColor theme="4" tint="0.39985351115451523"/>
        </patternFill>
      </fill>
    </dxf>
    <dxf>
      <font>
        <color theme="8" tint="-0.24994659260841701"/>
      </font>
      <fill>
        <patternFill patternType="lightUp">
          <bgColor theme="8" tint="-0.24994659260841701"/>
        </patternFill>
      </fill>
    </dxf>
    <dxf>
      <fill>
        <patternFill>
          <bgColor rgb="FFFF0000"/>
        </patternFill>
      </fill>
    </dxf>
    <dxf>
      <font>
        <color theme="7" tint="0.79998168889431442"/>
      </font>
      <fill>
        <patternFill patternType="darkUp">
          <fgColor theme="7" tint="0.79995117038483843"/>
          <bgColor theme="7" tint="0.39994506668294322"/>
        </patternFill>
      </fill>
    </dxf>
    <dxf>
      <font>
        <color theme="4" tint="0.39994506668294322"/>
      </font>
      <fill>
        <patternFill patternType="darkUp">
          <fgColor theme="4"/>
          <bgColor theme="4" tint="0.39985351115451523"/>
        </patternFill>
      </fill>
    </dxf>
    <dxf>
      <font>
        <color theme="8" tint="-0.24994659260841701"/>
      </font>
      <fill>
        <patternFill patternType="lightUp">
          <bgColor theme="8" tint="-0.24994659260841701"/>
        </patternFill>
      </fill>
    </dxf>
    <dxf>
      <fill>
        <patternFill>
          <bgColor rgb="FFFF0000"/>
        </patternFill>
      </fill>
    </dxf>
    <dxf>
      <font>
        <color theme="7" tint="0.79998168889431442"/>
      </font>
      <fill>
        <patternFill patternType="darkUp">
          <fgColor theme="7" tint="0.79995117038483843"/>
          <bgColor theme="7" tint="0.39994506668294322"/>
        </patternFill>
      </fill>
    </dxf>
    <dxf>
      <font>
        <color theme="4" tint="0.39994506668294322"/>
      </font>
      <fill>
        <patternFill patternType="darkUp">
          <fgColor theme="4"/>
          <bgColor theme="4" tint="0.39985351115451523"/>
        </patternFill>
      </fill>
    </dxf>
    <dxf>
      <font>
        <color theme="8" tint="-0.24994659260841701"/>
      </font>
      <fill>
        <patternFill patternType="lightUp">
          <bgColor theme="8" tint="-0.24994659260841701"/>
        </patternFill>
      </fill>
    </dxf>
    <dxf>
      <fill>
        <patternFill>
          <bgColor rgb="FFFF0000"/>
        </patternFill>
      </fill>
    </dxf>
    <dxf>
      <font>
        <color theme="7" tint="0.79998168889431442"/>
      </font>
      <fill>
        <patternFill patternType="darkUp">
          <fgColor theme="7" tint="0.79995117038483843"/>
          <bgColor theme="7" tint="0.39994506668294322"/>
        </patternFill>
      </fill>
    </dxf>
    <dxf>
      <font>
        <color theme="4" tint="0.39994506668294322"/>
      </font>
      <fill>
        <patternFill patternType="darkUp">
          <fgColor theme="4"/>
          <bgColor theme="4" tint="0.39985351115451523"/>
        </patternFill>
      </fill>
    </dxf>
    <dxf>
      <font>
        <color theme="8" tint="-0.24994659260841701"/>
      </font>
      <fill>
        <patternFill patternType="lightUp">
          <bgColor theme="8" tint="-0.24994659260841701"/>
        </patternFill>
      </fill>
    </dxf>
    <dxf>
      <fill>
        <patternFill>
          <bgColor rgb="FFFF0000"/>
        </patternFill>
      </fill>
    </dxf>
    <dxf>
      <font>
        <color theme="7" tint="0.79998168889431442"/>
      </font>
      <fill>
        <patternFill patternType="darkUp">
          <fgColor theme="7" tint="0.79995117038483843"/>
          <bgColor theme="7" tint="0.39994506668294322"/>
        </patternFill>
      </fill>
    </dxf>
    <dxf>
      <font>
        <color theme="4" tint="0.39994506668294322"/>
      </font>
      <fill>
        <patternFill patternType="darkUp">
          <fgColor theme="4"/>
          <bgColor theme="4" tint="0.39985351115451523"/>
        </patternFill>
      </fill>
    </dxf>
    <dxf>
      <font>
        <color theme="8" tint="-0.24994659260841701"/>
      </font>
      <fill>
        <patternFill patternType="lightUp">
          <bgColor theme="8" tint="-0.24994659260841701"/>
        </patternFill>
      </fill>
    </dxf>
    <dxf>
      <fill>
        <patternFill>
          <bgColor rgb="FFFF0000"/>
        </patternFill>
      </fill>
    </dxf>
    <dxf>
      <font>
        <color theme="7" tint="0.79998168889431442"/>
      </font>
      <fill>
        <patternFill patternType="darkUp">
          <fgColor theme="7" tint="0.79995117038483843"/>
          <bgColor theme="7" tint="0.39994506668294322"/>
        </patternFill>
      </fill>
    </dxf>
    <dxf>
      <font>
        <color theme="4" tint="0.39994506668294322"/>
      </font>
      <fill>
        <patternFill patternType="darkUp">
          <fgColor theme="4"/>
          <bgColor theme="4" tint="0.39985351115451523"/>
        </patternFill>
      </fill>
    </dxf>
    <dxf>
      <font>
        <color theme="8" tint="-0.24994659260841701"/>
      </font>
      <fill>
        <patternFill patternType="lightUp">
          <bgColor theme="8" tint="-0.24994659260841701"/>
        </patternFill>
      </fill>
    </dxf>
    <dxf>
      <fill>
        <patternFill>
          <bgColor rgb="FFFF0000"/>
        </patternFill>
      </fill>
    </dxf>
    <dxf>
      <font>
        <color theme="7" tint="0.79998168889431442"/>
      </font>
      <fill>
        <patternFill patternType="darkUp">
          <fgColor theme="7" tint="0.79995117038483843"/>
          <bgColor theme="7" tint="0.39994506668294322"/>
        </patternFill>
      </fill>
    </dxf>
    <dxf>
      <font>
        <color theme="4" tint="0.39994506668294322"/>
      </font>
      <fill>
        <patternFill patternType="darkUp">
          <fgColor theme="4"/>
          <bgColor theme="4" tint="0.39985351115451523"/>
        </patternFill>
      </fill>
    </dxf>
    <dxf>
      <font>
        <color theme="8" tint="-0.24994659260841701"/>
      </font>
      <fill>
        <patternFill patternType="lightUp">
          <bgColor theme="8" tint="-0.24994659260841701"/>
        </patternFill>
      </fill>
    </dxf>
    <dxf>
      <fill>
        <patternFill>
          <bgColor rgb="FFFF0000"/>
        </patternFill>
      </fill>
    </dxf>
    <dxf>
      <font>
        <color theme="7" tint="0.79998168889431442"/>
      </font>
      <fill>
        <patternFill patternType="darkUp">
          <fgColor theme="7" tint="0.79995117038483843"/>
          <bgColor theme="7" tint="0.39994506668294322"/>
        </patternFill>
      </fill>
    </dxf>
    <dxf>
      <font>
        <color theme="4" tint="0.39994506668294322"/>
      </font>
      <fill>
        <patternFill patternType="darkUp">
          <fgColor theme="4"/>
          <bgColor theme="4" tint="0.39985351115451523"/>
        </patternFill>
      </fill>
    </dxf>
    <dxf>
      <font>
        <color theme="8" tint="-0.24994659260841701"/>
      </font>
      <fill>
        <patternFill patternType="lightUp">
          <bgColor theme="8" tint="-0.24994659260841701"/>
        </patternFill>
      </fill>
    </dxf>
    <dxf>
      <fill>
        <patternFill>
          <bgColor rgb="FFFF0000"/>
        </patternFill>
      </fill>
    </dxf>
    <dxf>
      <font>
        <color theme="7" tint="0.79998168889431442"/>
      </font>
      <fill>
        <patternFill patternType="darkUp">
          <fgColor theme="7" tint="0.79995117038483843"/>
          <bgColor theme="7" tint="0.39994506668294322"/>
        </patternFill>
      </fill>
    </dxf>
    <dxf>
      <font>
        <color theme="4" tint="0.39994506668294322"/>
      </font>
      <fill>
        <patternFill patternType="darkUp">
          <fgColor theme="4"/>
          <bgColor theme="4" tint="0.39985351115451523"/>
        </patternFill>
      </fill>
    </dxf>
    <dxf>
      <font>
        <color theme="8" tint="-0.24994659260841701"/>
      </font>
      <fill>
        <patternFill patternType="lightUp">
          <bgColor theme="8" tint="-0.24994659260841701"/>
        </patternFill>
      </fill>
    </dxf>
    <dxf>
      <fill>
        <patternFill>
          <bgColor rgb="FFFF0000"/>
        </patternFill>
      </fill>
    </dxf>
    <dxf>
      <font>
        <color theme="7" tint="0.79998168889431442"/>
      </font>
      <fill>
        <patternFill patternType="darkUp">
          <fgColor theme="7" tint="0.79995117038483843"/>
          <bgColor theme="7" tint="0.39994506668294322"/>
        </patternFill>
      </fill>
    </dxf>
    <dxf>
      <font>
        <color theme="4" tint="0.39994506668294322"/>
      </font>
      <fill>
        <patternFill patternType="darkUp">
          <fgColor theme="4"/>
          <bgColor theme="4" tint="0.39985351115451523"/>
        </patternFill>
      </fill>
    </dxf>
    <dxf>
      <font>
        <color theme="8" tint="-0.24994659260841701"/>
      </font>
      <fill>
        <patternFill patternType="lightUp">
          <bgColor theme="8" tint="-0.24994659260841701"/>
        </patternFill>
      </fill>
    </dxf>
    <dxf>
      <fill>
        <patternFill>
          <bgColor rgb="FFFF0000"/>
        </patternFill>
      </fill>
    </dxf>
    <dxf>
      <font>
        <color theme="7" tint="0.79998168889431442"/>
      </font>
      <fill>
        <patternFill patternType="darkUp">
          <fgColor theme="7" tint="0.79995117038483843"/>
          <bgColor theme="7" tint="0.39994506668294322"/>
        </patternFill>
      </fill>
    </dxf>
    <dxf>
      <font>
        <color theme="4" tint="0.39994506668294322"/>
      </font>
      <fill>
        <patternFill patternType="darkUp">
          <fgColor theme="4"/>
          <bgColor theme="4" tint="0.39985351115451523"/>
        </patternFill>
      </fill>
    </dxf>
    <dxf>
      <font>
        <color theme="8" tint="-0.24994659260841701"/>
      </font>
      <fill>
        <patternFill patternType="lightUp">
          <bgColor theme="8" tint="-0.24994659260841701"/>
        </patternFill>
      </fill>
    </dxf>
    <dxf>
      <fill>
        <patternFill>
          <bgColor rgb="FFFF0000"/>
        </patternFill>
      </fill>
    </dxf>
    <dxf>
      <font>
        <color theme="7" tint="0.79998168889431442"/>
      </font>
      <fill>
        <patternFill patternType="darkUp">
          <fgColor theme="7" tint="0.79995117038483843"/>
          <bgColor theme="7" tint="0.39994506668294322"/>
        </patternFill>
      </fill>
    </dxf>
    <dxf>
      <font>
        <color theme="4" tint="0.39994506668294322"/>
      </font>
      <fill>
        <patternFill patternType="darkUp">
          <fgColor theme="4"/>
          <bgColor theme="4" tint="0.39985351115451523"/>
        </patternFill>
      </fill>
    </dxf>
    <dxf>
      <font>
        <color theme="8" tint="-0.24994659260841701"/>
      </font>
      <fill>
        <patternFill patternType="lightUp">
          <bgColor theme="8" tint="-0.24994659260841701"/>
        </patternFill>
      </fill>
    </dxf>
    <dxf>
      <fill>
        <patternFill>
          <bgColor rgb="FFFF0000"/>
        </patternFill>
      </fill>
    </dxf>
    <dxf>
      <font>
        <color theme="7" tint="0.79998168889431442"/>
      </font>
      <fill>
        <patternFill patternType="darkUp">
          <fgColor theme="7" tint="0.79995117038483843"/>
          <bgColor theme="7" tint="0.39994506668294322"/>
        </patternFill>
      </fill>
    </dxf>
    <dxf>
      <font>
        <color theme="4" tint="0.39994506668294322"/>
      </font>
      <fill>
        <patternFill patternType="darkUp">
          <fgColor theme="4"/>
          <bgColor theme="4" tint="0.39985351115451523"/>
        </patternFill>
      </fill>
    </dxf>
    <dxf>
      <font>
        <color theme="8" tint="-0.24994659260841701"/>
      </font>
      <fill>
        <patternFill patternType="lightUp">
          <bgColor theme="8" tint="-0.24994659260841701"/>
        </patternFill>
      </fill>
    </dxf>
    <dxf>
      <fill>
        <patternFill>
          <bgColor rgb="FFFF0000"/>
        </patternFill>
      </fill>
    </dxf>
    <dxf>
      <font>
        <color theme="7" tint="0.79998168889431442"/>
      </font>
      <fill>
        <patternFill patternType="darkUp">
          <fgColor theme="7" tint="0.79995117038483843"/>
          <bgColor theme="7" tint="0.39994506668294322"/>
        </patternFill>
      </fill>
    </dxf>
    <dxf>
      <font>
        <color theme="4" tint="0.39994506668294322"/>
      </font>
      <fill>
        <patternFill patternType="darkUp">
          <fgColor theme="4"/>
          <bgColor theme="4" tint="0.39985351115451523"/>
        </patternFill>
      </fill>
    </dxf>
    <dxf>
      <font>
        <color theme="8" tint="-0.24994659260841701"/>
      </font>
      <fill>
        <patternFill patternType="lightUp">
          <bgColor theme="8" tint="-0.24994659260841701"/>
        </patternFill>
      </fill>
    </dxf>
    <dxf>
      <fill>
        <patternFill>
          <bgColor rgb="FFFF0000"/>
        </patternFill>
      </fill>
    </dxf>
    <dxf>
      <font>
        <color theme="7" tint="0.79998168889431442"/>
      </font>
      <fill>
        <patternFill patternType="darkUp">
          <fgColor theme="7" tint="0.79995117038483843"/>
          <bgColor theme="7" tint="0.39994506668294322"/>
        </patternFill>
      </fill>
    </dxf>
    <dxf>
      <font>
        <color theme="4" tint="0.39994506668294322"/>
      </font>
      <fill>
        <patternFill patternType="darkUp">
          <fgColor theme="4"/>
          <bgColor theme="4" tint="0.39985351115451523"/>
        </patternFill>
      </fill>
    </dxf>
    <dxf>
      <font>
        <color theme="8" tint="-0.24994659260841701"/>
      </font>
      <fill>
        <patternFill patternType="lightUp">
          <bgColor theme="8" tint="-0.24994659260841701"/>
        </patternFill>
      </fill>
    </dxf>
    <dxf>
      <fill>
        <patternFill>
          <bgColor rgb="FFFF0000"/>
        </patternFill>
      </fill>
    </dxf>
    <dxf>
      <font>
        <color theme="7" tint="0.79998168889431442"/>
      </font>
      <fill>
        <patternFill patternType="darkUp">
          <fgColor theme="7" tint="0.79995117038483843"/>
          <bgColor theme="7" tint="0.39994506668294322"/>
        </patternFill>
      </fill>
    </dxf>
    <dxf>
      <font>
        <color theme="4" tint="0.39994506668294322"/>
      </font>
      <fill>
        <patternFill patternType="darkUp">
          <fgColor theme="4"/>
          <bgColor theme="4" tint="0.39985351115451523"/>
        </patternFill>
      </fill>
    </dxf>
    <dxf>
      <font>
        <color theme="8" tint="-0.24994659260841701"/>
      </font>
      <fill>
        <patternFill patternType="lightUp">
          <bgColor theme="8" tint="-0.24994659260841701"/>
        </patternFill>
      </fill>
    </dxf>
    <dxf>
      <font>
        <color theme="0"/>
      </font>
    </dxf>
    <dxf>
      <font>
        <color theme="0"/>
      </font>
    </dxf>
    <dxf>
      <fill>
        <patternFill>
          <bgColor rgb="FFFF0000"/>
        </patternFill>
      </fill>
    </dxf>
    <dxf>
      <font>
        <color theme="7" tint="0.79998168889431442"/>
      </font>
      <fill>
        <patternFill patternType="darkUp">
          <fgColor theme="7" tint="0.79995117038483843"/>
          <bgColor theme="7" tint="0.39994506668294322"/>
        </patternFill>
      </fill>
    </dxf>
    <dxf>
      <font>
        <color theme="4" tint="0.39994506668294322"/>
      </font>
      <fill>
        <patternFill patternType="darkUp">
          <fgColor theme="4"/>
          <bgColor theme="4" tint="0.39985351115451523"/>
        </patternFill>
      </fill>
    </dxf>
    <dxf>
      <font>
        <color theme="8" tint="-0.24994659260841701"/>
      </font>
      <fill>
        <patternFill patternType="lightUp">
          <bgColor theme="8" tint="-0.24994659260841701"/>
        </patternFill>
      </fill>
    </dxf>
    <dxf>
      <font>
        <color theme="0"/>
      </font>
    </dxf>
    <dxf>
      <font>
        <color theme="0"/>
      </font>
    </dxf>
    <dxf>
      <fill>
        <patternFill>
          <bgColor rgb="FFFF0000"/>
        </patternFill>
      </fill>
    </dxf>
    <dxf>
      <font>
        <color theme="7" tint="0.79998168889431442"/>
      </font>
      <fill>
        <patternFill patternType="darkUp">
          <fgColor theme="7" tint="0.79995117038483843"/>
          <bgColor theme="7" tint="0.39994506668294322"/>
        </patternFill>
      </fill>
    </dxf>
    <dxf>
      <font>
        <color theme="4" tint="0.39994506668294322"/>
      </font>
      <fill>
        <patternFill patternType="darkUp">
          <fgColor theme="4"/>
          <bgColor theme="4" tint="0.39985351115451523"/>
        </patternFill>
      </fill>
    </dxf>
    <dxf>
      <font>
        <color theme="8" tint="-0.24994659260841701"/>
      </font>
      <fill>
        <patternFill patternType="lightUp">
          <bgColor theme="8" tint="-0.24994659260841701"/>
        </patternFill>
      </fill>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theme="0"/>
      </font>
    </dxf>
    <dxf>
      <font>
        <color theme="0"/>
      </font>
    </dxf>
    <dxf>
      <font>
        <color theme="0"/>
      </font>
      <fill>
        <patternFill>
          <bgColor theme="0"/>
        </patternFill>
      </fill>
    </dxf>
    <dxf>
      <font>
        <color theme="0"/>
      </font>
    </dxf>
    <dxf>
      <font>
        <color theme="0"/>
      </font>
      <fill>
        <patternFill>
          <bgColor theme="0"/>
        </patternFill>
      </fill>
    </dxf>
    <dxf>
      <font>
        <color theme="0"/>
      </font>
      <fill>
        <patternFill>
          <bgColor theme="0"/>
        </patternFill>
      </fill>
    </dxf>
    <dxf>
      <font>
        <color theme="0"/>
      </font>
    </dxf>
    <dxf>
      <font>
        <color theme="0"/>
      </font>
    </dxf>
    <dxf>
      <font>
        <color theme="0"/>
      </font>
    </dxf>
    <dxf>
      <font>
        <color theme="0"/>
      </font>
      <fill>
        <patternFill>
          <bgColor theme="0"/>
        </patternFill>
      </fill>
    </dxf>
    <dxf>
      <font>
        <color theme="0"/>
      </font>
    </dxf>
    <dxf>
      <font>
        <color theme="0"/>
      </font>
      <fill>
        <patternFill>
          <bgColor theme="0"/>
        </patternFill>
      </fill>
    </dxf>
    <dxf>
      <font>
        <color theme="0"/>
      </font>
    </dxf>
    <dxf>
      <font>
        <color theme="0"/>
      </font>
    </dxf>
    <dxf>
      <font>
        <color theme="0"/>
      </font>
      <fill>
        <patternFill>
          <bgColor theme="0"/>
        </patternFill>
      </fill>
    </dxf>
    <dxf>
      <font>
        <color theme="0"/>
      </font>
    </dxf>
    <dxf>
      <font>
        <color theme="0"/>
      </font>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FF0000"/>
      </font>
      <fill>
        <patternFill>
          <bgColor rgb="FFFF0000"/>
        </patternFill>
      </fill>
    </dxf>
    <dxf>
      <font>
        <color theme="9" tint="0.39994506668294322"/>
      </font>
      <fill>
        <patternFill>
          <bgColor theme="9" tint="0.39994506668294322"/>
        </patternFill>
      </fill>
    </dxf>
    <dxf>
      <font>
        <color theme="0"/>
      </font>
    </dxf>
    <dxf>
      <font>
        <color theme="0"/>
      </font>
    </dxf>
    <dxf>
      <fill>
        <patternFill>
          <bgColor theme="5" tint="0.59996337778862885"/>
        </patternFill>
      </fill>
    </dxf>
    <dxf>
      <font>
        <color theme="0"/>
      </font>
      <fill>
        <patternFill>
          <bgColor theme="0"/>
        </patternFill>
      </fill>
    </dxf>
    <dxf>
      <fill>
        <patternFill>
          <bgColor theme="5" tint="0.59996337778862885"/>
        </patternFill>
      </fill>
    </dxf>
    <dxf>
      <fill>
        <patternFill>
          <bgColor theme="5" tint="0.59996337778862885"/>
        </patternFill>
      </fill>
    </dxf>
    <dxf>
      <numFmt numFmtId="0" formatCode="General"/>
    </dxf>
    <dxf>
      <numFmt numFmtId="27" formatCode="m/d/yyyy\ h:mm"/>
    </dxf>
    <dxf>
      <border outline="0">
        <bottom style="thin">
          <color theme="4" tint="0.39997558519241921"/>
        </bottom>
      </border>
    </dxf>
    <dxf>
      <border outline="0">
        <top style="thin">
          <color theme="4" tint="0.39997558519241921"/>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s>
  <tableStyles count="0" defaultTableStyle="TableStyleMedium2" defaultPivotStyle="PivotStyleLight16"/>
  <colors>
    <mruColors>
      <color rgb="FFFAFAFA"/>
      <color rgb="FFE2EFD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06/relationships/rdRichValueTypes" Target="richData/rdRichValueTypes.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06/relationships/rdRichValueStructure" Target="richData/rdrichvaluestructure.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06/relationships/rdRichValue" Target="richData/rdrichvalue.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externalLink" Target="externalLinks/externalLink1.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alcChain" Target="calcChain.xml"/><Relationship Id="rId30"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Spend (US</a:t>
            </a:r>
            <a:r>
              <a:rPr lang="en-US" baseline="0"/>
              <a:t> $Million)</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Pipeline!$C$11</c:f>
              <c:strCache>
                <c:ptCount val="1"/>
                <c:pt idx="0">
                  <c:v>Spend (US $M)</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Pipeline!$B$12:$B$18</c:f>
              <c:strCache>
                <c:ptCount val="7"/>
                <c:pt idx="0">
                  <c:v>Exploratory</c:v>
                </c:pt>
                <c:pt idx="1">
                  <c:v>Bid Prep</c:v>
                </c:pt>
                <c:pt idx="2">
                  <c:v>RFPX underway</c:v>
                </c:pt>
                <c:pt idx="3">
                  <c:v>Post Bid</c:v>
                </c:pt>
                <c:pt idx="4">
                  <c:v>Award</c:v>
                </c:pt>
                <c:pt idx="5">
                  <c:v>Completed</c:v>
                </c:pt>
                <c:pt idx="6">
                  <c:v>Cancelled</c:v>
                </c:pt>
              </c:strCache>
            </c:strRef>
          </c:cat>
          <c:val>
            <c:numRef>
              <c:f>Pipeline!$C$12:$C$18</c:f>
              <c:numCache>
                <c:formatCode>"$"#,##0.0,,;;;</c:formatCode>
                <c:ptCount val="7"/>
                <c:pt idx="0">
                  <c:v>0</c:v>
                </c:pt>
                <c:pt idx="1">
                  <c:v>6000000</c:v>
                </c:pt>
                <c:pt idx="2">
                  <c:v>0</c:v>
                </c:pt>
                <c:pt idx="3">
                  <c:v>0</c:v>
                </c:pt>
                <c:pt idx="4">
                  <c:v>28700000</c:v>
                </c:pt>
                <c:pt idx="5">
                  <c:v>0</c:v>
                </c:pt>
                <c:pt idx="6">
                  <c:v>0</c:v>
                </c:pt>
              </c:numCache>
            </c:numRef>
          </c:val>
          <c:extLst>
            <c:ext xmlns:c16="http://schemas.microsoft.com/office/drawing/2014/chart" uri="{C3380CC4-5D6E-409C-BE32-E72D297353CC}">
              <c16:uniqueId val="{00000000-9A3D-4555-B8EA-0D8D53F21F29}"/>
            </c:ext>
          </c:extLst>
        </c:ser>
        <c:dLbls>
          <c:dLblPos val="ctr"/>
          <c:showLegendKey val="0"/>
          <c:showVal val="1"/>
          <c:showCatName val="0"/>
          <c:showSerName val="0"/>
          <c:showPercent val="0"/>
          <c:showBubbleSize val="0"/>
        </c:dLbls>
        <c:gapWidth val="219"/>
        <c:overlap val="100"/>
        <c:axId val="1698881727"/>
        <c:axId val="525730016"/>
      </c:barChart>
      <c:catAx>
        <c:axId val="16988817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525730016"/>
        <c:crosses val="autoZero"/>
        <c:auto val="1"/>
        <c:lblAlgn val="ctr"/>
        <c:lblOffset val="100"/>
        <c:noMultiLvlLbl val="0"/>
      </c:catAx>
      <c:valAx>
        <c:axId val="52573001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9888172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7.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6.png"/><Relationship Id="rId2" Type="http://schemas.openxmlformats.org/officeDocument/2006/relationships/image" Target="../media/image2.png"/><Relationship Id="rId16" Type="http://schemas.microsoft.com/office/2007/relationships/hdphoto" Target="../media/hdphoto1.wdp"/><Relationship Id="rId20" Type="http://schemas.openxmlformats.org/officeDocument/2006/relationships/image" Target="../media/image19.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19" Type="http://schemas.openxmlformats.org/officeDocument/2006/relationships/image" Target="../media/image18.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_rels/drawing4.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17" Type="http://schemas.microsoft.com/office/2007/relationships/hdphoto" Target="../media/hdphoto1.wdp"/><Relationship Id="rId2" Type="http://schemas.openxmlformats.org/officeDocument/2006/relationships/image" Target="../media/image2.png"/><Relationship Id="rId16" Type="http://schemas.openxmlformats.org/officeDocument/2006/relationships/image" Target="../media/image15.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4.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20.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76200</xdr:colOff>
          <xdr:row>13</xdr:row>
          <xdr:rowOff>190500</xdr:rowOff>
        </xdr:from>
        <xdr:to>
          <xdr:col>6</xdr:col>
          <xdr:colOff>190500</xdr:colOff>
          <xdr:row>15</xdr:row>
          <xdr:rowOff>38100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2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117187</xdr:colOff>
      <xdr:row>5</xdr:row>
      <xdr:rowOff>91440</xdr:rowOff>
    </xdr:from>
    <xdr:to>
      <xdr:col>11</xdr:col>
      <xdr:colOff>338167</xdr:colOff>
      <xdr:row>5</xdr:row>
      <xdr:rowOff>323850</xdr:rowOff>
    </xdr:to>
    <xdr:pic>
      <xdr:nvPicPr>
        <xdr:cNvPr id="2" name="Picture 1" descr="Chile">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email">
          <a:extLst>
            <a:ext uri="{28A0092B-C50C-407E-A947-70E740481C1C}">
              <a14:useLocalDpi xmlns:a14="http://schemas.microsoft.com/office/drawing/2010/main"/>
            </a:ext>
          </a:extLst>
        </a:blip>
        <a:srcRect/>
        <a:stretch>
          <a:fillRect/>
        </a:stretch>
      </xdr:blipFill>
      <xdr:spPr bwMode="auto">
        <a:xfrm>
          <a:off x="8156287" y="1085850"/>
          <a:ext cx="219075" cy="2247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137130</xdr:colOff>
      <xdr:row>5</xdr:row>
      <xdr:rowOff>95250</xdr:rowOff>
    </xdr:from>
    <xdr:to>
      <xdr:col>13</xdr:col>
      <xdr:colOff>361920</xdr:colOff>
      <xdr:row>5</xdr:row>
      <xdr:rowOff>320040</xdr:rowOff>
    </xdr:to>
    <xdr:pic>
      <xdr:nvPicPr>
        <xdr:cNvPr id="3" name="Picture 2">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2" cstate="email">
          <a:extLst>
            <a:ext uri="{28A0092B-C50C-407E-A947-70E740481C1C}">
              <a14:useLocalDpi xmlns:a14="http://schemas.microsoft.com/office/drawing/2010/main"/>
            </a:ext>
          </a:extLst>
        </a:blip>
        <a:srcRect/>
        <a:stretch>
          <a:fillRect/>
        </a:stretch>
      </xdr:blipFill>
      <xdr:spPr bwMode="auto">
        <a:xfrm>
          <a:off x="10986105" y="1266825"/>
          <a:ext cx="224790" cy="2247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158918</xdr:colOff>
      <xdr:row>5</xdr:row>
      <xdr:rowOff>95250</xdr:rowOff>
    </xdr:from>
    <xdr:to>
      <xdr:col>9</xdr:col>
      <xdr:colOff>387518</xdr:colOff>
      <xdr:row>5</xdr:row>
      <xdr:rowOff>320040</xdr:rowOff>
    </xdr:to>
    <xdr:pic>
      <xdr:nvPicPr>
        <xdr:cNvPr id="4" name="Picture 3">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3" cstate="email">
          <a:extLst>
            <a:ext uri="{28A0092B-C50C-407E-A947-70E740481C1C}">
              <a14:useLocalDpi xmlns:a14="http://schemas.microsoft.com/office/drawing/2010/main"/>
            </a:ext>
          </a:extLst>
        </a:blip>
        <a:srcRect/>
        <a:stretch>
          <a:fillRect/>
        </a:stretch>
      </xdr:blipFill>
      <xdr:spPr bwMode="auto">
        <a:xfrm>
          <a:off x="8950493" y="1266825"/>
          <a:ext cx="228600" cy="2247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96736</xdr:colOff>
      <xdr:row>5</xdr:row>
      <xdr:rowOff>91440</xdr:rowOff>
    </xdr:from>
    <xdr:to>
      <xdr:col>14</xdr:col>
      <xdr:colOff>329146</xdr:colOff>
      <xdr:row>5</xdr:row>
      <xdr:rowOff>323850</xdr:rowOff>
    </xdr:to>
    <xdr:pic>
      <xdr:nvPicPr>
        <xdr:cNvPr id="5" name="Picture 4">
          <a:extLst>
            <a:ext uri="{FF2B5EF4-FFF2-40B4-BE49-F238E27FC236}">
              <a16:creationId xmlns:a16="http://schemas.microsoft.com/office/drawing/2014/main" id="{00000000-0008-0000-0300-000005000000}"/>
            </a:ext>
          </a:extLst>
        </xdr:cNvPr>
        <xdr:cNvPicPr>
          <a:picLocks noChangeAspect="1" noChangeArrowheads="1"/>
        </xdr:cNvPicPr>
      </xdr:nvPicPr>
      <xdr:blipFill>
        <a:blip xmlns:r="http://schemas.openxmlformats.org/officeDocument/2006/relationships" r:embed="rId4" cstate="email">
          <a:extLst>
            <a:ext uri="{28A0092B-C50C-407E-A947-70E740481C1C}">
              <a14:useLocalDpi xmlns:a14="http://schemas.microsoft.com/office/drawing/2010/main"/>
            </a:ext>
          </a:extLst>
        </a:blip>
        <a:srcRect/>
        <a:stretch>
          <a:fillRect/>
        </a:stretch>
      </xdr:blipFill>
      <xdr:spPr bwMode="auto">
        <a:xfrm>
          <a:off x="9475051" y="1085850"/>
          <a:ext cx="232410" cy="2247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94951</xdr:colOff>
      <xdr:row>5</xdr:row>
      <xdr:rowOff>91440</xdr:rowOff>
    </xdr:from>
    <xdr:to>
      <xdr:col>10</xdr:col>
      <xdr:colOff>348794</xdr:colOff>
      <xdr:row>5</xdr:row>
      <xdr:rowOff>323850</xdr:rowOff>
    </xdr:to>
    <xdr:grpSp>
      <xdr:nvGrpSpPr>
        <xdr:cNvPr id="6" name="Group 5">
          <a:extLst>
            <a:ext uri="{FF2B5EF4-FFF2-40B4-BE49-F238E27FC236}">
              <a16:creationId xmlns:a16="http://schemas.microsoft.com/office/drawing/2014/main" id="{00000000-0008-0000-0300-000006000000}"/>
            </a:ext>
          </a:extLst>
        </xdr:cNvPr>
        <xdr:cNvGrpSpPr/>
      </xdr:nvGrpSpPr>
      <xdr:grpSpPr>
        <a:xfrm>
          <a:off x="9134176" y="1253490"/>
          <a:ext cx="253843" cy="232410"/>
          <a:chOff x="5731736" y="6073594"/>
          <a:chExt cx="269083" cy="228600"/>
        </a:xfrm>
      </xdr:grpSpPr>
      <xdr:pic>
        <xdr:nvPicPr>
          <xdr:cNvPr id="7" name="Picture 6" descr="Round icon. Download flag icon of El Salvador">
            <a:extLst>
              <a:ext uri="{FF2B5EF4-FFF2-40B4-BE49-F238E27FC236}">
                <a16:creationId xmlns:a16="http://schemas.microsoft.com/office/drawing/2014/main" id="{00000000-0008-0000-0300-000007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5845756" y="6073594"/>
            <a:ext cx="155063" cy="99965"/>
          </a:xfrm>
          <a:prstGeom prst="rect">
            <a:avLst/>
          </a:prstGeom>
          <a:noFill/>
        </xdr:spPr>
      </xdr:pic>
      <xdr:pic>
        <xdr:nvPicPr>
          <xdr:cNvPr id="8" name="Picture 7" descr="Round icon. Download flag icon of Costa Rica">
            <a:extLst>
              <a:ext uri="{FF2B5EF4-FFF2-40B4-BE49-F238E27FC236}">
                <a16:creationId xmlns:a16="http://schemas.microsoft.com/office/drawing/2014/main" id="{00000000-0008-0000-0300-000008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5731738" y="6202226"/>
            <a:ext cx="155063" cy="99965"/>
          </a:xfrm>
          <a:prstGeom prst="rect">
            <a:avLst/>
          </a:prstGeom>
          <a:noFill/>
        </xdr:spPr>
      </xdr:pic>
      <xdr:pic>
        <xdr:nvPicPr>
          <xdr:cNvPr id="9" name="Picture 8" descr="Round icon. Download flag icon of Honduras">
            <a:extLst>
              <a:ext uri="{FF2B5EF4-FFF2-40B4-BE49-F238E27FC236}">
                <a16:creationId xmlns:a16="http://schemas.microsoft.com/office/drawing/2014/main" id="{00000000-0008-0000-0300-000009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5731736" y="6073595"/>
            <a:ext cx="155063" cy="99965"/>
          </a:xfrm>
          <a:prstGeom prst="rect">
            <a:avLst/>
          </a:prstGeom>
          <a:noFill/>
        </xdr:spPr>
      </xdr:pic>
      <xdr:pic>
        <xdr:nvPicPr>
          <xdr:cNvPr id="10" name="Picture 9" descr="Round icon. Download flag icon of Guatemala">
            <a:extLst>
              <a:ext uri="{FF2B5EF4-FFF2-40B4-BE49-F238E27FC236}">
                <a16:creationId xmlns:a16="http://schemas.microsoft.com/office/drawing/2014/main" id="{00000000-0008-0000-0300-00000A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5845753" y="6202229"/>
            <a:ext cx="155063" cy="99965"/>
          </a:xfrm>
          <a:prstGeom prst="rect">
            <a:avLst/>
          </a:prstGeom>
          <a:noFill/>
        </xdr:spPr>
      </xdr:pic>
      <xdr:pic>
        <xdr:nvPicPr>
          <xdr:cNvPr id="11" name="Picture 10" descr="Round icon. Download flag icon of Nicaragua">
            <a:extLst>
              <a:ext uri="{FF2B5EF4-FFF2-40B4-BE49-F238E27FC236}">
                <a16:creationId xmlns:a16="http://schemas.microsoft.com/office/drawing/2014/main" id="{00000000-0008-0000-0300-00000B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5788748" y="6138933"/>
            <a:ext cx="155063" cy="99965"/>
          </a:xfrm>
          <a:prstGeom prst="rect">
            <a:avLst/>
          </a:prstGeom>
          <a:noFill/>
        </xdr:spPr>
      </xdr:pic>
    </xdr:grpSp>
    <xdr:clientData/>
  </xdr:twoCellAnchor>
  <xdr:twoCellAnchor>
    <xdr:from>
      <xdr:col>15</xdr:col>
      <xdr:colOff>99444</xdr:colOff>
      <xdr:row>5</xdr:row>
      <xdr:rowOff>91440</xdr:rowOff>
    </xdr:from>
    <xdr:to>
      <xdr:col>15</xdr:col>
      <xdr:colOff>322329</xdr:colOff>
      <xdr:row>5</xdr:row>
      <xdr:rowOff>323850</xdr:rowOff>
    </xdr:to>
    <xdr:pic>
      <xdr:nvPicPr>
        <xdr:cNvPr id="12" name="Picture 11">
          <a:extLst>
            <a:ext uri="{FF2B5EF4-FFF2-40B4-BE49-F238E27FC236}">
              <a16:creationId xmlns:a16="http://schemas.microsoft.com/office/drawing/2014/main" id="{00000000-0008-0000-0300-00000C000000}"/>
            </a:ext>
          </a:extLst>
        </xdr:cNvPr>
        <xdr:cNvPicPr>
          <a:picLocks noChangeAspect="1" noChangeArrowheads="1"/>
        </xdr:cNvPicPr>
      </xdr:nvPicPr>
      <xdr:blipFill>
        <a:blip xmlns:r="http://schemas.openxmlformats.org/officeDocument/2006/relationships" r:embed="rId10" cstate="email">
          <a:extLst>
            <a:ext uri="{28A0092B-C50C-407E-A947-70E740481C1C}">
              <a14:useLocalDpi xmlns:a14="http://schemas.microsoft.com/office/drawing/2010/main"/>
            </a:ext>
          </a:extLst>
        </a:blip>
        <a:srcRect/>
        <a:stretch>
          <a:fillRect/>
        </a:stretch>
      </xdr:blipFill>
      <xdr:spPr bwMode="auto">
        <a:xfrm>
          <a:off x="9925434" y="1085850"/>
          <a:ext cx="230505" cy="2247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97155</xdr:colOff>
      <xdr:row>5</xdr:row>
      <xdr:rowOff>78105</xdr:rowOff>
    </xdr:from>
    <xdr:to>
      <xdr:col>8</xdr:col>
      <xdr:colOff>325755</xdr:colOff>
      <xdr:row>5</xdr:row>
      <xdr:rowOff>302895</xdr:rowOff>
    </xdr:to>
    <xdr:pic>
      <xdr:nvPicPr>
        <xdr:cNvPr id="13" name="Picture 12">
          <a:extLst>
            <a:ext uri="{FF2B5EF4-FFF2-40B4-BE49-F238E27FC236}">
              <a16:creationId xmlns:a16="http://schemas.microsoft.com/office/drawing/2014/main" id="{00000000-0008-0000-0300-00000D000000}"/>
            </a:ext>
          </a:extLst>
        </xdr:cNvPr>
        <xdr:cNvPicPr>
          <a:picLocks noChangeAspect="1" noChangeArrowheads="1"/>
        </xdr:cNvPicPr>
      </xdr:nvPicPr>
      <xdr:blipFill>
        <a:blip xmlns:r="http://schemas.openxmlformats.org/officeDocument/2006/relationships" r:embed="rId11" cstate="email">
          <a:extLst>
            <a:ext uri="{28A0092B-C50C-407E-A947-70E740481C1C}">
              <a14:useLocalDpi xmlns:a14="http://schemas.microsoft.com/office/drawing/2010/main"/>
            </a:ext>
          </a:extLst>
        </a:blip>
        <a:srcRect/>
        <a:stretch>
          <a:fillRect/>
        </a:stretch>
      </xdr:blipFill>
      <xdr:spPr bwMode="auto">
        <a:xfrm>
          <a:off x="6789420" y="1068705"/>
          <a:ext cx="228600" cy="2247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108465</xdr:colOff>
      <xdr:row>5</xdr:row>
      <xdr:rowOff>91440</xdr:rowOff>
    </xdr:from>
    <xdr:to>
      <xdr:col>12</xdr:col>
      <xdr:colOff>331350</xdr:colOff>
      <xdr:row>5</xdr:row>
      <xdr:rowOff>323850</xdr:rowOff>
    </xdr:to>
    <xdr:pic>
      <xdr:nvPicPr>
        <xdr:cNvPr id="14" name="Picture 13">
          <a:extLst>
            <a:ext uri="{FF2B5EF4-FFF2-40B4-BE49-F238E27FC236}">
              <a16:creationId xmlns:a16="http://schemas.microsoft.com/office/drawing/2014/main" id="{00000000-0008-0000-0300-00000E000000}"/>
            </a:ext>
          </a:extLst>
        </xdr:cNvPr>
        <xdr:cNvPicPr>
          <a:picLocks noChangeAspect="1" noChangeArrowheads="1"/>
        </xdr:cNvPicPr>
      </xdr:nvPicPr>
      <xdr:blipFill>
        <a:blip xmlns:r="http://schemas.openxmlformats.org/officeDocument/2006/relationships" r:embed="rId12" cstate="email">
          <a:extLst>
            <a:ext uri="{28A0092B-C50C-407E-A947-70E740481C1C}">
              <a14:useLocalDpi xmlns:a14="http://schemas.microsoft.com/office/drawing/2010/main"/>
            </a:ext>
          </a:extLst>
        </a:blip>
        <a:srcRect/>
        <a:stretch>
          <a:fillRect/>
        </a:stretch>
      </xdr:blipFill>
      <xdr:spPr bwMode="auto">
        <a:xfrm>
          <a:off x="8593335" y="1085850"/>
          <a:ext cx="220980" cy="2247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96441</xdr:colOff>
      <xdr:row>5</xdr:row>
      <xdr:rowOff>78105</xdr:rowOff>
    </xdr:from>
    <xdr:to>
      <xdr:col>16</xdr:col>
      <xdr:colOff>321879</xdr:colOff>
      <xdr:row>5</xdr:row>
      <xdr:rowOff>321310</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0370106" y="1068705"/>
          <a:ext cx="229248" cy="245745"/>
        </a:xfrm>
        <a:prstGeom prst="rect">
          <a:avLst/>
        </a:prstGeom>
      </xdr:spPr>
    </xdr:pic>
    <xdr:clientData/>
  </xdr:twoCellAnchor>
  <xdr:twoCellAnchor>
    <xdr:from>
      <xdr:col>11</xdr:col>
      <xdr:colOff>187198</xdr:colOff>
      <xdr:row>8</xdr:row>
      <xdr:rowOff>139065</xdr:rowOff>
    </xdr:from>
    <xdr:to>
      <xdr:col>11</xdr:col>
      <xdr:colOff>408178</xdr:colOff>
      <xdr:row>8</xdr:row>
      <xdr:rowOff>371475</xdr:rowOff>
    </xdr:to>
    <xdr:pic>
      <xdr:nvPicPr>
        <xdr:cNvPr id="16" name="Picture 15">
          <a:extLst>
            <a:ext uri="{FF2B5EF4-FFF2-40B4-BE49-F238E27FC236}">
              <a16:creationId xmlns:a16="http://schemas.microsoft.com/office/drawing/2014/main" id="{00000000-0008-0000-0300-000010000000}"/>
            </a:ext>
          </a:extLst>
        </xdr:cNvPr>
        <xdr:cNvPicPr>
          <a:picLocks noChangeAspect="1" noChangeArrowheads="1"/>
        </xdr:cNvPicPr>
      </xdr:nvPicPr>
      <xdr:blipFill>
        <a:blip xmlns:r="http://schemas.openxmlformats.org/officeDocument/2006/relationships" r:embed="rId1" cstate="email">
          <a:extLst>
            <a:ext uri="{28A0092B-C50C-407E-A947-70E740481C1C}">
              <a14:useLocalDpi xmlns:a14="http://schemas.microsoft.com/office/drawing/2010/main"/>
            </a:ext>
          </a:extLst>
        </a:blip>
        <a:srcRect/>
        <a:stretch>
          <a:fillRect/>
        </a:stretch>
      </xdr:blipFill>
      <xdr:spPr bwMode="auto">
        <a:xfrm>
          <a:off x="8226298" y="2087880"/>
          <a:ext cx="219075" cy="2343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133320</xdr:colOff>
      <xdr:row>8</xdr:row>
      <xdr:rowOff>135255</xdr:rowOff>
    </xdr:from>
    <xdr:to>
      <xdr:col>13</xdr:col>
      <xdr:colOff>365730</xdr:colOff>
      <xdr:row>8</xdr:row>
      <xdr:rowOff>369570</xdr:rowOff>
    </xdr:to>
    <xdr:pic>
      <xdr:nvPicPr>
        <xdr:cNvPr id="17" name="Picture 16">
          <a:extLst>
            <a:ext uri="{FF2B5EF4-FFF2-40B4-BE49-F238E27FC236}">
              <a16:creationId xmlns:a16="http://schemas.microsoft.com/office/drawing/2014/main" id="{00000000-0008-0000-0300-000011000000}"/>
            </a:ext>
          </a:extLst>
        </xdr:cNvPr>
        <xdr:cNvPicPr>
          <a:picLocks noChangeAspect="1" noChangeArrowheads="1"/>
        </xdr:cNvPicPr>
      </xdr:nvPicPr>
      <xdr:blipFill>
        <a:blip xmlns:r="http://schemas.openxmlformats.org/officeDocument/2006/relationships" r:embed="rId2" cstate="email">
          <a:extLst>
            <a:ext uri="{28A0092B-C50C-407E-A947-70E740481C1C}">
              <a14:useLocalDpi xmlns:a14="http://schemas.microsoft.com/office/drawing/2010/main"/>
            </a:ext>
          </a:extLst>
        </a:blip>
        <a:srcRect/>
        <a:stretch>
          <a:fillRect/>
        </a:stretch>
      </xdr:blipFill>
      <xdr:spPr bwMode="auto">
        <a:xfrm>
          <a:off x="10982295" y="2278380"/>
          <a:ext cx="232410" cy="2343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158918</xdr:colOff>
      <xdr:row>8</xdr:row>
      <xdr:rowOff>135255</xdr:rowOff>
    </xdr:from>
    <xdr:to>
      <xdr:col>9</xdr:col>
      <xdr:colOff>387518</xdr:colOff>
      <xdr:row>8</xdr:row>
      <xdr:rowOff>363855</xdr:rowOff>
    </xdr:to>
    <xdr:pic>
      <xdr:nvPicPr>
        <xdr:cNvPr id="18" name="Picture 17">
          <a:extLst>
            <a:ext uri="{FF2B5EF4-FFF2-40B4-BE49-F238E27FC236}">
              <a16:creationId xmlns:a16="http://schemas.microsoft.com/office/drawing/2014/main" id="{00000000-0008-0000-0300-000012000000}"/>
            </a:ext>
          </a:extLst>
        </xdr:cNvPr>
        <xdr:cNvPicPr>
          <a:picLocks noChangeAspect="1" noChangeArrowheads="1"/>
        </xdr:cNvPicPr>
      </xdr:nvPicPr>
      <xdr:blipFill>
        <a:blip xmlns:r="http://schemas.openxmlformats.org/officeDocument/2006/relationships" r:embed="rId3" cstate="email">
          <a:extLst>
            <a:ext uri="{28A0092B-C50C-407E-A947-70E740481C1C}">
              <a14:useLocalDpi xmlns:a14="http://schemas.microsoft.com/office/drawing/2010/main"/>
            </a:ext>
          </a:extLst>
        </a:blip>
        <a:srcRect/>
        <a:stretch>
          <a:fillRect/>
        </a:stretch>
      </xdr:blipFill>
      <xdr:spPr bwMode="auto">
        <a:xfrm>
          <a:off x="8950493" y="2278380"/>
          <a:ext cx="228600"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168178</xdr:colOff>
      <xdr:row>8</xdr:row>
      <xdr:rowOff>139065</xdr:rowOff>
    </xdr:from>
    <xdr:to>
      <xdr:col>14</xdr:col>
      <xdr:colOff>400588</xdr:colOff>
      <xdr:row>8</xdr:row>
      <xdr:rowOff>371475</xdr:rowOff>
    </xdr:to>
    <xdr:pic>
      <xdr:nvPicPr>
        <xdr:cNvPr id="19" name="Picture 18">
          <a:extLst>
            <a:ext uri="{FF2B5EF4-FFF2-40B4-BE49-F238E27FC236}">
              <a16:creationId xmlns:a16="http://schemas.microsoft.com/office/drawing/2014/main" id="{00000000-0008-0000-0300-000013000000}"/>
            </a:ext>
          </a:extLst>
        </xdr:cNvPr>
        <xdr:cNvPicPr>
          <a:picLocks noChangeAspect="1" noChangeArrowheads="1"/>
        </xdr:cNvPicPr>
      </xdr:nvPicPr>
      <xdr:blipFill>
        <a:blip xmlns:r="http://schemas.openxmlformats.org/officeDocument/2006/relationships" r:embed="rId4" cstate="email">
          <a:extLst>
            <a:ext uri="{28A0092B-C50C-407E-A947-70E740481C1C}">
              <a14:useLocalDpi xmlns:a14="http://schemas.microsoft.com/office/drawing/2010/main"/>
            </a:ext>
          </a:extLst>
        </a:blip>
        <a:srcRect/>
        <a:stretch>
          <a:fillRect/>
        </a:stretch>
      </xdr:blipFill>
      <xdr:spPr bwMode="auto">
        <a:xfrm>
          <a:off x="9554113" y="2087880"/>
          <a:ext cx="224790" cy="2343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151150</xdr:colOff>
      <xdr:row>8</xdr:row>
      <xdr:rowOff>131445</xdr:rowOff>
    </xdr:from>
    <xdr:to>
      <xdr:col>10</xdr:col>
      <xdr:colOff>416423</xdr:colOff>
      <xdr:row>8</xdr:row>
      <xdr:rowOff>363855</xdr:rowOff>
    </xdr:to>
    <xdr:grpSp>
      <xdr:nvGrpSpPr>
        <xdr:cNvPr id="20" name="Group 19">
          <a:extLst>
            <a:ext uri="{FF2B5EF4-FFF2-40B4-BE49-F238E27FC236}">
              <a16:creationId xmlns:a16="http://schemas.microsoft.com/office/drawing/2014/main" id="{00000000-0008-0000-0300-000014000000}"/>
            </a:ext>
          </a:extLst>
        </xdr:cNvPr>
        <xdr:cNvGrpSpPr/>
      </xdr:nvGrpSpPr>
      <xdr:grpSpPr>
        <a:xfrm>
          <a:off x="9190375" y="2255520"/>
          <a:ext cx="265273" cy="232410"/>
          <a:chOff x="5731736" y="6073594"/>
          <a:chExt cx="269083" cy="228600"/>
        </a:xfrm>
      </xdr:grpSpPr>
      <xdr:pic>
        <xdr:nvPicPr>
          <xdr:cNvPr id="21" name="Picture 20" descr="Round icon. Download flag icon of El Salvador">
            <a:extLst>
              <a:ext uri="{FF2B5EF4-FFF2-40B4-BE49-F238E27FC236}">
                <a16:creationId xmlns:a16="http://schemas.microsoft.com/office/drawing/2014/main" id="{00000000-0008-0000-0300-000015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5845756" y="6073594"/>
            <a:ext cx="155063" cy="99965"/>
          </a:xfrm>
          <a:prstGeom prst="rect">
            <a:avLst/>
          </a:prstGeom>
          <a:noFill/>
        </xdr:spPr>
      </xdr:pic>
      <xdr:pic>
        <xdr:nvPicPr>
          <xdr:cNvPr id="22" name="Picture 21" descr="Round icon. Download flag icon of Costa Rica">
            <a:extLst>
              <a:ext uri="{FF2B5EF4-FFF2-40B4-BE49-F238E27FC236}">
                <a16:creationId xmlns:a16="http://schemas.microsoft.com/office/drawing/2014/main" id="{00000000-0008-0000-0300-000016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5731738" y="6202226"/>
            <a:ext cx="155063" cy="99965"/>
          </a:xfrm>
          <a:prstGeom prst="rect">
            <a:avLst/>
          </a:prstGeom>
          <a:noFill/>
        </xdr:spPr>
      </xdr:pic>
      <xdr:pic>
        <xdr:nvPicPr>
          <xdr:cNvPr id="23" name="Picture 22" descr="Round icon. Download flag icon of Honduras">
            <a:extLst>
              <a:ext uri="{FF2B5EF4-FFF2-40B4-BE49-F238E27FC236}">
                <a16:creationId xmlns:a16="http://schemas.microsoft.com/office/drawing/2014/main" id="{00000000-0008-0000-0300-000017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5731736" y="6073595"/>
            <a:ext cx="155063" cy="99965"/>
          </a:xfrm>
          <a:prstGeom prst="rect">
            <a:avLst/>
          </a:prstGeom>
          <a:noFill/>
        </xdr:spPr>
      </xdr:pic>
      <xdr:pic>
        <xdr:nvPicPr>
          <xdr:cNvPr id="24" name="Picture 23" descr="Round icon. Download flag icon of Guatemala">
            <a:extLst>
              <a:ext uri="{FF2B5EF4-FFF2-40B4-BE49-F238E27FC236}">
                <a16:creationId xmlns:a16="http://schemas.microsoft.com/office/drawing/2014/main" id="{00000000-0008-0000-0300-000018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5845753" y="6202229"/>
            <a:ext cx="155063" cy="99965"/>
          </a:xfrm>
          <a:prstGeom prst="rect">
            <a:avLst/>
          </a:prstGeom>
          <a:noFill/>
        </xdr:spPr>
      </xdr:pic>
      <xdr:pic>
        <xdr:nvPicPr>
          <xdr:cNvPr id="25" name="Picture 24" descr="Round icon. Download flag icon of Nicaragua">
            <a:extLst>
              <a:ext uri="{FF2B5EF4-FFF2-40B4-BE49-F238E27FC236}">
                <a16:creationId xmlns:a16="http://schemas.microsoft.com/office/drawing/2014/main" id="{00000000-0008-0000-0300-000019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5788748" y="6138933"/>
            <a:ext cx="155063" cy="99965"/>
          </a:xfrm>
          <a:prstGeom prst="rect">
            <a:avLst/>
          </a:prstGeom>
          <a:noFill/>
        </xdr:spPr>
      </xdr:pic>
    </xdr:grpSp>
    <xdr:clientData/>
  </xdr:twoCellAnchor>
  <xdr:twoCellAnchor>
    <xdr:from>
      <xdr:col>15</xdr:col>
      <xdr:colOff>171363</xdr:colOff>
      <xdr:row>8</xdr:row>
      <xdr:rowOff>139065</xdr:rowOff>
    </xdr:from>
    <xdr:to>
      <xdr:col>15</xdr:col>
      <xdr:colOff>394248</xdr:colOff>
      <xdr:row>8</xdr:row>
      <xdr:rowOff>371475</xdr:rowOff>
    </xdr:to>
    <xdr:pic>
      <xdr:nvPicPr>
        <xdr:cNvPr id="26" name="Picture 25">
          <a:extLst>
            <a:ext uri="{FF2B5EF4-FFF2-40B4-BE49-F238E27FC236}">
              <a16:creationId xmlns:a16="http://schemas.microsoft.com/office/drawing/2014/main" id="{00000000-0008-0000-0300-00001A000000}"/>
            </a:ext>
          </a:extLst>
        </xdr:cNvPr>
        <xdr:cNvPicPr>
          <a:picLocks noChangeAspect="1" noChangeArrowheads="1"/>
        </xdr:cNvPicPr>
      </xdr:nvPicPr>
      <xdr:blipFill>
        <a:blip xmlns:r="http://schemas.openxmlformats.org/officeDocument/2006/relationships" r:embed="rId10" cstate="email">
          <a:extLst>
            <a:ext uri="{28A0092B-C50C-407E-A947-70E740481C1C}">
              <a14:useLocalDpi xmlns:a14="http://schemas.microsoft.com/office/drawing/2010/main"/>
            </a:ext>
          </a:extLst>
        </a:blip>
        <a:srcRect/>
        <a:stretch>
          <a:fillRect/>
        </a:stretch>
      </xdr:blipFill>
      <xdr:spPr bwMode="auto">
        <a:xfrm>
          <a:off x="10004973" y="2087880"/>
          <a:ext cx="222885" cy="2343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97155</xdr:colOff>
      <xdr:row>8</xdr:row>
      <xdr:rowOff>114300</xdr:rowOff>
    </xdr:from>
    <xdr:to>
      <xdr:col>8</xdr:col>
      <xdr:colOff>325755</xdr:colOff>
      <xdr:row>8</xdr:row>
      <xdr:rowOff>348615</xdr:rowOff>
    </xdr:to>
    <xdr:pic>
      <xdr:nvPicPr>
        <xdr:cNvPr id="27" name="Picture 26">
          <a:extLst>
            <a:ext uri="{FF2B5EF4-FFF2-40B4-BE49-F238E27FC236}">
              <a16:creationId xmlns:a16="http://schemas.microsoft.com/office/drawing/2014/main" id="{00000000-0008-0000-0300-00001B000000}"/>
            </a:ext>
          </a:extLst>
        </xdr:cNvPr>
        <xdr:cNvPicPr>
          <a:picLocks noChangeAspect="1" noChangeArrowheads="1"/>
        </xdr:cNvPicPr>
      </xdr:nvPicPr>
      <xdr:blipFill>
        <a:blip xmlns:r="http://schemas.openxmlformats.org/officeDocument/2006/relationships" r:embed="rId11" cstate="email">
          <a:extLst>
            <a:ext uri="{28A0092B-C50C-407E-A947-70E740481C1C}">
              <a14:useLocalDpi xmlns:a14="http://schemas.microsoft.com/office/drawing/2010/main"/>
            </a:ext>
          </a:extLst>
        </a:blip>
        <a:srcRect/>
        <a:stretch>
          <a:fillRect/>
        </a:stretch>
      </xdr:blipFill>
      <xdr:spPr bwMode="auto">
        <a:xfrm>
          <a:off x="6789420" y="2066925"/>
          <a:ext cx="228600" cy="236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178953</xdr:colOff>
      <xdr:row>8</xdr:row>
      <xdr:rowOff>139065</xdr:rowOff>
    </xdr:from>
    <xdr:to>
      <xdr:col>12</xdr:col>
      <xdr:colOff>401838</xdr:colOff>
      <xdr:row>8</xdr:row>
      <xdr:rowOff>371475</xdr:rowOff>
    </xdr:to>
    <xdr:pic>
      <xdr:nvPicPr>
        <xdr:cNvPr id="28" name="Picture 27">
          <a:extLst>
            <a:ext uri="{FF2B5EF4-FFF2-40B4-BE49-F238E27FC236}">
              <a16:creationId xmlns:a16="http://schemas.microsoft.com/office/drawing/2014/main" id="{00000000-0008-0000-0300-00001C000000}"/>
            </a:ext>
          </a:extLst>
        </xdr:cNvPr>
        <xdr:cNvPicPr>
          <a:picLocks noChangeAspect="1" noChangeArrowheads="1"/>
        </xdr:cNvPicPr>
      </xdr:nvPicPr>
      <xdr:blipFill>
        <a:blip xmlns:r="http://schemas.openxmlformats.org/officeDocument/2006/relationships" r:embed="rId12" cstate="email">
          <a:extLst>
            <a:ext uri="{28A0092B-C50C-407E-A947-70E740481C1C}">
              <a14:useLocalDpi xmlns:a14="http://schemas.microsoft.com/office/drawing/2010/main"/>
            </a:ext>
          </a:extLst>
        </a:blip>
        <a:srcRect/>
        <a:stretch>
          <a:fillRect/>
        </a:stretch>
      </xdr:blipFill>
      <xdr:spPr bwMode="auto">
        <a:xfrm>
          <a:off x="8661918" y="2087880"/>
          <a:ext cx="222885" cy="2343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163116</xdr:colOff>
      <xdr:row>8</xdr:row>
      <xdr:rowOff>125730</xdr:rowOff>
    </xdr:from>
    <xdr:to>
      <xdr:col>16</xdr:col>
      <xdr:colOff>401254</xdr:colOff>
      <xdr:row>8</xdr:row>
      <xdr:rowOff>359410</xdr:rowOff>
    </xdr:to>
    <xdr:pic>
      <xdr:nvPicPr>
        <xdr:cNvPr id="29" name="Picture 28">
          <a:extLst>
            <a:ext uri="{FF2B5EF4-FFF2-40B4-BE49-F238E27FC236}">
              <a16:creationId xmlns:a16="http://schemas.microsoft.com/office/drawing/2014/main" id="{00000000-0008-0000-0300-00001D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0442496" y="2082165"/>
          <a:ext cx="219723" cy="23241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304800</xdr:colOff>
          <xdr:row>1</xdr:row>
          <xdr:rowOff>152400</xdr:rowOff>
        </xdr:from>
        <xdr:to>
          <xdr:col>10</xdr:col>
          <xdr:colOff>190500</xdr:colOff>
          <xdr:row>3</xdr:row>
          <xdr:rowOff>38100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300-000001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38100</xdr:colOff>
          <xdr:row>1</xdr:row>
          <xdr:rowOff>152400</xdr:rowOff>
        </xdr:from>
        <xdr:to>
          <xdr:col>12</xdr:col>
          <xdr:colOff>419100</xdr:colOff>
          <xdr:row>3</xdr:row>
          <xdr:rowOff>38100</xdr:rowOff>
        </xdr:to>
        <xdr:sp macro="" textlink="">
          <xdr:nvSpPr>
            <xdr:cNvPr id="28674" name="Button 2" hidden="1">
              <a:extLst>
                <a:ext uri="{63B3BB69-23CF-44E3-9099-C40C66FF867C}">
                  <a14:compatExt spid="_x0000_s28674"/>
                </a:ext>
                <a:ext uri="{FF2B5EF4-FFF2-40B4-BE49-F238E27FC236}">
                  <a16:creationId xmlns:a16="http://schemas.microsoft.com/office/drawing/2014/main" id="{00000000-0008-0000-0300-000002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304800</xdr:colOff>
          <xdr:row>1</xdr:row>
          <xdr:rowOff>152400</xdr:rowOff>
        </xdr:from>
        <xdr:to>
          <xdr:col>15</xdr:col>
          <xdr:colOff>190500</xdr:colOff>
          <xdr:row>3</xdr:row>
          <xdr:rowOff>38100</xdr:rowOff>
        </xdr:to>
        <xdr:sp macro="" textlink="">
          <xdr:nvSpPr>
            <xdr:cNvPr id="28675" name="Button 3" hidden="1">
              <a:extLst>
                <a:ext uri="{63B3BB69-23CF-44E3-9099-C40C66FF867C}">
                  <a14:compatExt spid="_x0000_s28675"/>
                </a:ext>
                <a:ext uri="{FF2B5EF4-FFF2-40B4-BE49-F238E27FC236}">
                  <a16:creationId xmlns:a16="http://schemas.microsoft.com/office/drawing/2014/main" id="{00000000-0008-0000-0300-000003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xdr:twoCellAnchor editAs="oneCell">
    <xdr:from>
      <xdr:col>17</xdr:col>
      <xdr:colOff>47625</xdr:colOff>
      <xdr:row>5</xdr:row>
      <xdr:rowOff>57150</xdr:rowOff>
    </xdr:from>
    <xdr:to>
      <xdr:col>17</xdr:col>
      <xdr:colOff>417195</xdr:colOff>
      <xdr:row>5</xdr:row>
      <xdr:rowOff>341715</xdr:rowOff>
    </xdr:to>
    <xdr:pic>
      <xdr:nvPicPr>
        <xdr:cNvPr id="33" name="Picture 32" descr="Round icon. Download flag icon of United States of America">
          <a:extLst>
            <a:ext uri="{FF2B5EF4-FFF2-40B4-BE49-F238E27FC236}">
              <a16:creationId xmlns:a16="http://schemas.microsoft.com/office/drawing/2014/main" id="{00000000-0008-0000-0300-00002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0774680" y="1043940"/>
          <a:ext cx="367665" cy="288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18</xdr:col>
      <xdr:colOff>57150</xdr:colOff>
      <xdr:row>5</xdr:row>
      <xdr:rowOff>53341</xdr:rowOff>
    </xdr:from>
    <xdr:to>
      <xdr:col>18</xdr:col>
      <xdr:colOff>286653</xdr:colOff>
      <xdr:row>5</xdr:row>
      <xdr:rowOff>266701</xdr:rowOff>
    </xdr:to>
    <xdr:pic>
      <xdr:nvPicPr>
        <xdr:cNvPr id="35" name="Picture 34" descr="Sams Club Transparent PNG - 468x468 - Free Download on NicePNG">
          <a:extLst>
            <a:ext uri="{FF2B5EF4-FFF2-40B4-BE49-F238E27FC236}">
              <a16:creationId xmlns:a16="http://schemas.microsoft.com/office/drawing/2014/main" id="{00000000-0008-0000-0300-000023000000}"/>
            </a:ext>
          </a:extLst>
        </xdr:cNvPr>
        <xdr:cNvPicPr>
          <a:picLocks noChangeAspect="1" noChangeArrowheads="1"/>
        </xdr:cNvPicPr>
      </xdr:nvPicPr>
      <xdr:blipFill rotWithShape="1">
        <a:blip xmlns:r="http://schemas.openxmlformats.org/officeDocument/2006/relationships" r:embed="rId15" cstate="print">
          <a:extLst>
            <a:ext uri="{BEBA8EAE-BF5A-486C-A8C5-ECC9F3942E4B}">
              <a14:imgProps xmlns:a14="http://schemas.microsoft.com/office/drawing/2010/main">
                <a14:imgLayer r:embed="rId16">
                  <a14:imgEffect>
                    <a14:brightnessContrast contrast="-1000"/>
                  </a14:imgEffect>
                </a14:imgLayer>
              </a14:imgProps>
            </a:ext>
            <a:ext uri="{28A0092B-C50C-407E-A947-70E740481C1C}">
              <a14:useLocalDpi xmlns:a14="http://schemas.microsoft.com/office/drawing/2010/main" val="0"/>
            </a:ext>
          </a:extLst>
        </a:blip>
        <a:srcRect l="21366" t="7299" r="21464" b="7153"/>
        <a:stretch/>
      </xdr:blipFill>
      <xdr:spPr bwMode="auto">
        <a:xfrm>
          <a:off x="13477875" y="1224916"/>
          <a:ext cx="225693" cy="2133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53341</xdr:colOff>
      <xdr:row>8</xdr:row>
      <xdr:rowOff>57150</xdr:rowOff>
    </xdr:from>
    <xdr:to>
      <xdr:col>18</xdr:col>
      <xdr:colOff>287831</xdr:colOff>
      <xdr:row>8</xdr:row>
      <xdr:rowOff>265245</xdr:rowOff>
    </xdr:to>
    <xdr:pic>
      <xdr:nvPicPr>
        <xdr:cNvPr id="36" name="Picture 35" descr="Sams Club Transparent PNG - 468x468 - Free Download on NicePNG">
          <a:extLst>
            <a:ext uri="{FF2B5EF4-FFF2-40B4-BE49-F238E27FC236}">
              <a16:creationId xmlns:a16="http://schemas.microsoft.com/office/drawing/2014/main" id="{00000000-0008-0000-0300-000024000000}"/>
            </a:ext>
          </a:extLst>
        </xdr:cNvPr>
        <xdr:cNvPicPr>
          <a:picLocks noChangeAspect="1" noChangeArrowheads="1"/>
        </xdr:cNvPicPr>
      </xdr:nvPicPr>
      <xdr:blipFill rotWithShape="1">
        <a:blip xmlns:r="http://schemas.openxmlformats.org/officeDocument/2006/relationships" r:embed="rId15" cstate="print">
          <a:extLst>
            <a:ext uri="{BEBA8EAE-BF5A-486C-A8C5-ECC9F3942E4B}">
              <a14:imgProps xmlns:a14="http://schemas.microsoft.com/office/drawing/2010/main">
                <a14:imgLayer r:embed="rId16">
                  <a14:imgEffect>
                    <a14:brightnessContrast contrast="-1000"/>
                  </a14:imgEffect>
                </a14:imgLayer>
              </a14:imgProps>
            </a:ext>
            <a:ext uri="{28A0092B-C50C-407E-A947-70E740481C1C}">
              <a14:useLocalDpi xmlns:a14="http://schemas.microsoft.com/office/drawing/2010/main" val="0"/>
            </a:ext>
          </a:extLst>
        </a:blip>
        <a:srcRect l="21366" t="7299" r="21464" b="7153"/>
        <a:stretch/>
      </xdr:blipFill>
      <xdr:spPr bwMode="auto">
        <a:xfrm>
          <a:off x="13474066" y="2200275"/>
          <a:ext cx="230680" cy="2080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187198</xdr:colOff>
      <xdr:row>11</xdr:row>
      <xdr:rowOff>139065</xdr:rowOff>
    </xdr:from>
    <xdr:to>
      <xdr:col>11</xdr:col>
      <xdr:colOff>408178</xdr:colOff>
      <xdr:row>11</xdr:row>
      <xdr:rowOff>371475</xdr:rowOff>
    </xdr:to>
    <xdr:pic>
      <xdr:nvPicPr>
        <xdr:cNvPr id="38" name="Picture 37">
          <a:extLst>
            <a:ext uri="{FF2B5EF4-FFF2-40B4-BE49-F238E27FC236}">
              <a16:creationId xmlns:a16="http://schemas.microsoft.com/office/drawing/2014/main" id="{00000000-0008-0000-0300-000026000000}"/>
            </a:ext>
          </a:extLst>
        </xdr:cNvPr>
        <xdr:cNvPicPr>
          <a:picLocks noChangeAspect="1" noChangeArrowheads="1"/>
        </xdr:cNvPicPr>
      </xdr:nvPicPr>
      <xdr:blipFill>
        <a:blip xmlns:r="http://schemas.openxmlformats.org/officeDocument/2006/relationships" r:embed="rId1" cstate="email">
          <a:extLst>
            <a:ext uri="{28A0092B-C50C-407E-A947-70E740481C1C}">
              <a14:useLocalDpi xmlns:a14="http://schemas.microsoft.com/office/drawing/2010/main"/>
            </a:ext>
          </a:extLst>
        </a:blip>
        <a:srcRect/>
        <a:stretch>
          <a:fillRect/>
        </a:stretch>
      </xdr:blipFill>
      <xdr:spPr bwMode="auto">
        <a:xfrm>
          <a:off x="9702673" y="2087880"/>
          <a:ext cx="219075" cy="2343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133320</xdr:colOff>
      <xdr:row>11</xdr:row>
      <xdr:rowOff>135255</xdr:rowOff>
    </xdr:from>
    <xdr:to>
      <xdr:col>13</xdr:col>
      <xdr:colOff>365730</xdr:colOff>
      <xdr:row>11</xdr:row>
      <xdr:rowOff>369570</xdr:rowOff>
    </xdr:to>
    <xdr:pic>
      <xdr:nvPicPr>
        <xdr:cNvPr id="39" name="Picture 38">
          <a:extLst>
            <a:ext uri="{FF2B5EF4-FFF2-40B4-BE49-F238E27FC236}">
              <a16:creationId xmlns:a16="http://schemas.microsoft.com/office/drawing/2014/main" id="{00000000-0008-0000-0300-000027000000}"/>
            </a:ext>
          </a:extLst>
        </xdr:cNvPr>
        <xdr:cNvPicPr>
          <a:picLocks noChangeAspect="1" noChangeArrowheads="1"/>
        </xdr:cNvPicPr>
      </xdr:nvPicPr>
      <xdr:blipFill>
        <a:blip xmlns:r="http://schemas.openxmlformats.org/officeDocument/2006/relationships" r:embed="rId2" cstate="email">
          <a:extLst>
            <a:ext uri="{28A0092B-C50C-407E-A947-70E740481C1C}">
              <a14:useLocalDpi xmlns:a14="http://schemas.microsoft.com/office/drawing/2010/main"/>
            </a:ext>
          </a:extLst>
        </a:blip>
        <a:srcRect/>
        <a:stretch>
          <a:fillRect/>
        </a:stretch>
      </xdr:blipFill>
      <xdr:spPr bwMode="auto">
        <a:xfrm>
          <a:off x="10982295" y="3240405"/>
          <a:ext cx="232410" cy="2343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158918</xdr:colOff>
      <xdr:row>11</xdr:row>
      <xdr:rowOff>135255</xdr:rowOff>
    </xdr:from>
    <xdr:to>
      <xdr:col>9</xdr:col>
      <xdr:colOff>387518</xdr:colOff>
      <xdr:row>11</xdr:row>
      <xdr:rowOff>363855</xdr:rowOff>
    </xdr:to>
    <xdr:pic>
      <xdr:nvPicPr>
        <xdr:cNvPr id="40" name="Picture 39">
          <a:extLst>
            <a:ext uri="{FF2B5EF4-FFF2-40B4-BE49-F238E27FC236}">
              <a16:creationId xmlns:a16="http://schemas.microsoft.com/office/drawing/2014/main" id="{00000000-0008-0000-0300-000028000000}"/>
            </a:ext>
          </a:extLst>
        </xdr:cNvPr>
        <xdr:cNvPicPr>
          <a:picLocks noChangeAspect="1" noChangeArrowheads="1"/>
        </xdr:cNvPicPr>
      </xdr:nvPicPr>
      <xdr:blipFill>
        <a:blip xmlns:r="http://schemas.openxmlformats.org/officeDocument/2006/relationships" r:embed="rId3" cstate="email">
          <a:extLst>
            <a:ext uri="{28A0092B-C50C-407E-A947-70E740481C1C}">
              <a14:useLocalDpi xmlns:a14="http://schemas.microsoft.com/office/drawing/2010/main"/>
            </a:ext>
          </a:extLst>
        </a:blip>
        <a:srcRect/>
        <a:stretch>
          <a:fillRect/>
        </a:stretch>
      </xdr:blipFill>
      <xdr:spPr bwMode="auto">
        <a:xfrm>
          <a:off x="8950493" y="3240405"/>
          <a:ext cx="228600"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168178</xdr:colOff>
      <xdr:row>11</xdr:row>
      <xdr:rowOff>139065</xdr:rowOff>
    </xdr:from>
    <xdr:to>
      <xdr:col>14</xdr:col>
      <xdr:colOff>400588</xdr:colOff>
      <xdr:row>11</xdr:row>
      <xdr:rowOff>371475</xdr:rowOff>
    </xdr:to>
    <xdr:pic>
      <xdr:nvPicPr>
        <xdr:cNvPr id="41" name="Picture 40">
          <a:extLst>
            <a:ext uri="{FF2B5EF4-FFF2-40B4-BE49-F238E27FC236}">
              <a16:creationId xmlns:a16="http://schemas.microsoft.com/office/drawing/2014/main" id="{00000000-0008-0000-0300-000029000000}"/>
            </a:ext>
          </a:extLst>
        </xdr:cNvPr>
        <xdr:cNvPicPr>
          <a:picLocks noChangeAspect="1" noChangeArrowheads="1"/>
        </xdr:cNvPicPr>
      </xdr:nvPicPr>
      <xdr:blipFill>
        <a:blip xmlns:r="http://schemas.openxmlformats.org/officeDocument/2006/relationships" r:embed="rId4" cstate="email">
          <a:extLst>
            <a:ext uri="{28A0092B-C50C-407E-A947-70E740481C1C}">
              <a14:useLocalDpi xmlns:a14="http://schemas.microsoft.com/office/drawing/2010/main"/>
            </a:ext>
          </a:extLst>
        </a:blip>
        <a:srcRect/>
        <a:stretch>
          <a:fillRect/>
        </a:stretch>
      </xdr:blipFill>
      <xdr:spPr bwMode="auto">
        <a:xfrm>
          <a:off x="11030488" y="2087880"/>
          <a:ext cx="224790" cy="2343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151150</xdr:colOff>
      <xdr:row>11</xdr:row>
      <xdr:rowOff>135255</xdr:rowOff>
    </xdr:from>
    <xdr:to>
      <xdr:col>10</xdr:col>
      <xdr:colOff>416423</xdr:colOff>
      <xdr:row>11</xdr:row>
      <xdr:rowOff>360045</xdr:rowOff>
    </xdr:to>
    <xdr:grpSp>
      <xdr:nvGrpSpPr>
        <xdr:cNvPr id="42" name="Group 41">
          <a:extLst>
            <a:ext uri="{FF2B5EF4-FFF2-40B4-BE49-F238E27FC236}">
              <a16:creationId xmlns:a16="http://schemas.microsoft.com/office/drawing/2014/main" id="{00000000-0008-0000-0300-00002A000000}"/>
            </a:ext>
          </a:extLst>
        </xdr:cNvPr>
        <xdr:cNvGrpSpPr/>
      </xdr:nvGrpSpPr>
      <xdr:grpSpPr>
        <a:xfrm>
          <a:off x="9190375" y="3211830"/>
          <a:ext cx="265273" cy="224790"/>
          <a:chOff x="5731736" y="6073594"/>
          <a:chExt cx="269083" cy="228600"/>
        </a:xfrm>
      </xdr:grpSpPr>
      <xdr:pic>
        <xdr:nvPicPr>
          <xdr:cNvPr id="43" name="Picture 42" descr="Round icon. Download flag icon of El Salvador">
            <a:extLst>
              <a:ext uri="{FF2B5EF4-FFF2-40B4-BE49-F238E27FC236}">
                <a16:creationId xmlns:a16="http://schemas.microsoft.com/office/drawing/2014/main" id="{00000000-0008-0000-0300-00002B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5845756" y="6073594"/>
            <a:ext cx="155063" cy="99965"/>
          </a:xfrm>
          <a:prstGeom prst="rect">
            <a:avLst/>
          </a:prstGeom>
          <a:noFill/>
        </xdr:spPr>
      </xdr:pic>
      <xdr:pic>
        <xdr:nvPicPr>
          <xdr:cNvPr id="44" name="Picture 43" descr="Round icon. Download flag icon of Costa Rica">
            <a:extLst>
              <a:ext uri="{FF2B5EF4-FFF2-40B4-BE49-F238E27FC236}">
                <a16:creationId xmlns:a16="http://schemas.microsoft.com/office/drawing/2014/main" id="{00000000-0008-0000-0300-00002C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5731738" y="6202226"/>
            <a:ext cx="155063" cy="99965"/>
          </a:xfrm>
          <a:prstGeom prst="rect">
            <a:avLst/>
          </a:prstGeom>
          <a:noFill/>
        </xdr:spPr>
      </xdr:pic>
      <xdr:pic>
        <xdr:nvPicPr>
          <xdr:cNvPr id="45" name="Picture 44" descr="Round icon. Download flag icon of Honduras">
            <a:extLst>
              <a:ext uri="{FF2B5EF4-FFF2-40B4-BE49-F238E27FC236}">
                <a16:creationId xmlns:a16="http://schemas.microsoft.com/office/drawing/2014/main" id="{00000000-0008-0000-0300-00002D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5731736" y="6073595"/>
            <a:ext cx="155063" cy="99965"/>
          </a:xfrm>
          <a:prstGeom prst="rect">
            <a:avLst/>
          </a:prstGeom>
          <a:noFill/>
        </xdr:spPr>
      </xdr:pic>
      <xdr:pic>
        <xdr:nvPicPr>
          <xdr:cNvPr id="46" name="Picture 45" descr="Round icon. Download flag icon of Guatemala">
            <a:extLst>
              <a:ext uri="{FF2B5EF4-FFF2-40B4-BE49-F238E27FC236}">
                <a16:creationId xmlns:a16="http://schemas.microsoft.com/office/drawing/2014/main" id="{00000000-0008-0000-0300-00002E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5845753" y="6202229"/>
            <a:ext cx="155063" cy="99965"/>
          </a:xfrm>
          <a:prstGeom prst="rect">
            <a:avLst/>
          </a:prstGeom>
          <a:noFill/>
        </xdr:spPr>
      </xdr:pic>
      <xdr:pic>
        <xdr:nvPicPr>
          <xdr:cNvPr id="47" name="Picture 46" descr="Round icon. Download flag icon of Nicaragua">
            <a:extLst>
              <a:ext uri="{FF2B5EF4-FFF2-40B4-BE49-F238E27FC236}">
                <a16:creationId xmlns:a16="http://schemas.microsoft.com/office/drawing/2014/main" id="{00000000-0008-0000-0300-00002F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5788748" y="6138933"/>
            <a:ext cx="155063" cy="99965"/>
          </a:xfrm>
          <a:prstGeom prst="rect">
            <a:avLst/>
          </a:prstGeom>
          <a:noFill/>
        </xdr:spPr>
      </xdr:pic>
    </xdr:grpSp>
    <xdr:clientData/>
  </xdr:twoCellAnchor>
  <xdr:twoCellAnchor>
    <xdr:from>
      <xdr:col>15</xdr:col>
      <xdr:colOff>171363</xdr:colOff>
      <xdr:row>11</xdr:row>
      <xdr:rowOff>139065</xdr:rowOff>
    </xdr:from>
    <xdr:to>
      <xdr:col>15</xdr:col>
      <xdr:colOff>394248</xdr:colOff>
      <xdr:row>11</xdr:row>
      <xdr:rowOff>371475</xdr:rowOff>
    </xdr:to>
    <xdr:pic>
      <xdr:nvPicPr>
        <xdr:cNvPr id="48" name="Picture 47">
          <a:extLst>
            <a:ext uri="{FF2B5EF4-FFF2-40B4-BE49-F238E27FC236}">
              <a16:creationId xmlns:a16="http://schemas.microsoft.com/office/drawing/2014/main" id="{00000000-0008-0000-0300-000030000000}"/>
            </a:ext>
          </a:extLst>
        </xdr:cNvPr>
        <xdr:cNvPicPr>
          <a:picLocks noChangeAspect="1" noChangeArrowheads="1"/>
        </xdr:cNvPicPr>
      </xdr:nvPicPr>
      <xdr:blipFill>
        <a:blip xmlns:r="http://schemas.openxmlformats.org/officeDocument/2006/relationships" r:embed="rId10" cstate="email">
          <a:extLst>
            <a:ext uri="{28A0092B-C50C-407E-A947-70E740481C1C}">
              <a14:useLocalDpi xmlns:a14="http://schemas.microsoft.com/office/drawing/2010/main"/>
            </a:ext>
          </a:extLst>
        </a:blip>
        <a:srcRect/>
        <a:stretch>
          <a:fillRect/>
        </a:stretch>
      </xdr:blipFill>
      <xdr:spPr bwMode="auto">
        <a:xfrm>
          <a:off x="11481348" y="2087880"/>
          <a:ext cx="222885" cy="2343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97155</xdr:colOff>
      <xdr:row>11</xdr:row>
      <xdr:rowOff>114300</xdr:rowOff>
    </xdr:from>
    <xdr:to>
      <xdr:col>8</xdr:col>
      <xdr:colOff>325755</xdr:colOff>
      <xdr:row>11</xdr:row>
      <xdr:rowOff>348615</xdr:rowOff>
    </xdr:to>
    <xdr:pic>
      <xdr:nvPicPr>
        <xdr:cNvPr id="49" name="Picture 48">
          <a:extLst>
            <a:ext uri="{FF2B5EF4-FFF2-40B4-BE49-F238E27FC236}">
              <a16:creationId xmlns:a16="http://schemas.microsoft.com/office/drawing/2014/main" id="{00000000-0008-0000-0300-000031000000}"/>
            </a:ext>
          </a:extLst>
        </xdr:cNvPr>
        <xdr:cNvPicPr>
          <a:picLocks noChangeAspect="1" noChangeArrowheads="1"/>
        </xdr:cNvPicPr>
      </xdr:nvPicPr>
      <xdr:blipFill>
        <a:blip xmlns:r="http://schemas.openxmlformats.org/officeDocument/2006/relationships" r:embed="rId11" cstate="email">
          <a:extLst>
            <a:ext uri="{28A0092B-C50C-407E-A947-70E740481C1C}">
              <a14:useLocalDpi xmlns:a14="http://schemas.microsoft.com/office/drawing/2010/main"/>
            </a:ext>
          </a:extLst>
        </a:blip>
        <a:srcRect/>
        <a:stretch>
          <a:fillRect/>
        </a:stretch>
      </xdr:blipFill>
      <xdr:spPr bwMode="auto">
        <a:xfrm>
          <a:off x="8265795" y="2066925"/>
          <a:ext cx="228600" cy="236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178953</xdr:colOff>
      <xdr:row>11</xdr:row>
      <xdr:rowOff>139065</xdr:rowOff>
    </xdr:from>
    <xdr:to>
      <xdr:col>12</xdr:col>
      <xdr:colOff>401838</xdr:colOff>
      <xdr:row>11</xdr:row>
      <xdr:rowOff>371475</xdr:rowOff>
    </xdr:to>
    <xdr:pic>
      <xdr:nvPicPr>
        <xdr:cNvPr id="50" name="Picture 49">
          <a:extLst>
            <a:ext uri="{FF2B5EF4-FFF2-40B4-BE49-F238E27FC236}">
              <a16:creationId xmlns:a16="http://schemas.microsoft.com/office/drawing/2014/main" id="{00000000-0008-0000-0300-000032000000}"/>
            </a:ext>
          </a:extLst>
        </xdr:cNvPr>
        <xdr:cNvPicPr>
          <a:picLocks noChangeAspect="1" noChangeArrowheads="1"/>
        </xdr:cNvPicPr>
      </xdr:nvPicPr>
      <xdr:blipFill>
        <a:blip xmlns:r="http://schemas.openxmlformats.org/officeDocument/2006/relationships" r:embed="rId12" cstate="email">
          <a:extLst>
            <a:ext uri="{28A0092B-C50C-407E-A947-70E740481C1C}">
              <a14:useLocalDpi xmlns:a14="http://schemas.microsoft.com/office/drawing/2010/main"/>
            </a:ext>
          </a:extLst>
        </a:blip>
        <a:srcRect/>
        <a:stretch>
          <a:fillRect/>
        </a:stretch>
      </xdr:blipFill>
      <xdr:spPr bwMode="auto">
        <a:xfrm>
          <a:off x="10138293" y="2087880"/>
          <a:ext cx="222885" cy="2343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16</xdr:col>
      <xdr:colOff>163116</xdr:colOff>
      <xdr:row>11</xdr:row>
      <xdr:rowOff>125730</xdr:rowOff>
    </xdr:from>
    <xdr:ext cx="219723" cy="228600"/>
    <xdr:pic>
      <xdr:nvPicPr>
        <xdr:cNvPr id="51" name="Picture 50">
          <a:extLst>
            <a:ext uri="{FF2B5EF4-FFF2-40B4-BE49-F238E27FC236}">
              <a16:creationId xmlns:a16="http://schemas.microsoft.com/office/drawing/2014/main" id="{00000000-0008-0000-0300-000033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1918871" y="2082165"/>
          <a:ext cx="219723" cy="228600"/>
        </a:xfrm>
        <a:prstGeom prst="rect">
          <a:avLst/>
        </a:prstGeom>
      </xdr:spPr>
    </xdr:pic>
    <xdr:clientData/>
  </xdr:oneCellAnchor>
  <xdr:oneCellAnchor>
    <xdr:from>
      <xdr:col>18</xdr:col>
      <xdr:colOff>53340</xdr:colOff>
      <xdr:row>11</xdr:row>
      <xdr:rowOff>57151</xdr:rowOff>
    </xdr:from>
    <xdr:ext cx="223061" cy="214538"/>
    <xdr:pic>
      <xdr:nvPicPr>
        <xdr:cNvPr id="53" name="Picture 52" descr="Sams Club Transparent PNG - 468x468 - Free Download on NicePNG">
          <a:extLst>
            <a:ext uri="{FF2B5EF4-FFF2-40B4-BE49-F238E27FC236}">
              <a16:creationId xmlns:a16="http://schemas.microsoft.com/office/drawing/2014/main" id="{00000000-0008-0000-0300-000035000000}"/>
            </a:ext>
          </a:extLst>
        </xdr:cNvPr>
        <xdr:cNvPicPr>
          <a:picLocks noChangeAspect="1" noChangeArrowheads="1"/>
        </xdr:cNvPicPr>
      </xdr:nvPicPr>
      <xdr:blipFill rotWithShape="1">
        <a:blip xmlns:r="http://schemas.openxmlformats.org/officeDocument/2006/relationships" r:embed="rId15" cstate="print">
          <a:extLst>
            <a:ext uri="{BEBA8EAE-BF5A-486C-A8C5-ECC9F3942E4B}">
              <a14:imgProps xmlns:a14="http://schemas.microsoft.com/office/drawing/2010/main">
                <a14:imgLayer r:embed="rId16">
                  <a14:imgEffect>
                    <a14:brightnessContrast contrast="-1000"/>
                  </a14:imgEffect>
                </a14:imgLayer>
              </a14:imgProps>
            </a:ext>
            <a:ext uri="{28A0092B-C50C-407E-A947-70E740481C1C}">
              <a14:useLocalDpi xmlns:a14="http://schemas.microsoft.com/office/drawing/2010/main" val="0"/>
            </a:ext>
          </a:extLst>
        </a:blip>
        <a:srcRect l="21366" t="7299" r="21464" b="7153"/>
        <a:stretch/>
      </xdr:blipFill>
      <xdr:spPr bwMode="auto">
        <a:xfrm>
          <a:off x="13474065" y="3162301"/>
          <a:ext cx="223061" cy="2145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17</xdr:col>
      <xdr:colOff>49530</xdr:colOff>
      <xdr:row>11</xdr:row>
      <xdr:rowOff>76200</xdr:rowOff>
    </xdr:from>
    <xdr:to>
      <xdr:col>17</xdr:col>
      <xdr:colOff>417195</xdr:colOff>
      <xdr:row>11</xdr:row>
      <xdr:rowOff>364575</xdr:rowOff>
    </xdr:to>
    <xdr:pic>
      <xdr:nvPicPr>
        <xdr:cNvPr id="54" name="Picture 53" descr="Round icon. Download flag icon of United States of America">
          <a:extLst>
            <a:ext uri="{FF2B5EF4-FFF2-40B4-BE49-F238E27FC236}">
              <a16:creationId xmlns:a16="http://schemas.microsoft.com/office/drawing/2014/main" id="{00000000-0008-0000-0300-000036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2422505" y="3019425"/>
          <a:ext cx="367665" cy="28456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59055</xdr:colOff>
      <xdr:row>8</xdr:row>
      <xdr:rowOff>66675</xdr:rowOff>
    </xdr:from>
    <xdr:to>
      <xdr:col>17</xdr:col>
      <xdr:colOff>439420</xdr:colOff>
      <xdr:row>8</xdr:row>
      <xdr:rowOff>358860</xdr:rowOff>
    </xdr:to>
    <xdr:pic>
      <xdr:nvPicPr>
        <xdr:cNvPr id="55" name="Picture 54" descr="Round icon. Download flag icon of United States of America">
          <a:extLst>
            <a:ext uri="{FF2B5EF4-FFF2-40B4-BE49-F238E27FC236}">
              <a16:creationId xmlns:a16="http://schemas.microsoft.com/office/drawing/2014/main" id="{00000000-0008-0000-0300-000037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2432030" y="2057400"/>
          <a:ext cx="367665" cy="28456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59055</xdr:colOff>
      <xdr:row>8</xdr:row>
      <xdr:rowOff>66675</xdr:rowOff>
    </xdr:from>
    <xdr:to>
      <xdr:col>17</xdr:col>
      <xdr:colOff>419100</xdr:colOff>
      <xdr:row>8</xdr:row>
      <xdr:rowOff>362670</xdr:rowOff>
    </xdr:to>
    <xdr:pic>
      <xdr:nvPicPr>
        <xdr:cNvPr id="56" name="Picture 55" descr="Round icon. Download flag icon of United States of America">
          <a:extLst>
            <a:ext uri="{FF2B5EF4-FFF2-40B4-BE49-F238E27FC236}">
              <a16:creationId xmlns:a16="http://schemas.microsoft.com/office/drawing/2014/main" id="{00000000-0008-0000-0300-000038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2432030" y="2057400"/>
          <a:ext cx="363855" cy="28456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18</xdr:col>
      <xdr:colOff>182881</xdr:colOff>
      <xdr:row>5</xdr:row>
      <xdr:rowOff>131445</xdr:rowOff>
    </xdr:from>
    <xdr:to>
      <xdr:col>18</xdr:col>
      <xdr:colOff>475545</xdr:colOff>
      <xdr:row>5</xdr:row>
      <xdr:rowOff>363947</xdr:rowOff>
    </xdr:to>
    <xdr:pic>
      <xdr:nvPicPr>
        <xdr:cNvPr id="57" name="Picture 56" descr="Round icon. Download flag icon of United States of America">
          <a:extLst>
            <a:ext uri="{FF2B5EF4-FFF2-40B4-BE49-F238E27FC236}">
              <a16:creationId xmlns:a16="http://schemas.microsoft.com/office/drawing/2014/main" id="{00000000-0008-0000-0300-000039000000}"/>
            </a:ext>
          </a:extLst>
        </xdr:cNvPr>
        <xdr:cNvPicPr>
          <a:picLocks noChangeAspect="1" noChangeArrowheads="1"/>
        </xdr:cNvPicPr>
      </xdr:nvPicPr>
      <xdr:blipFill>
        <a:blip xmlns:r="http://schemas.openxmlformats.org/officeDocument/2006/relationships" r:embed="rId17" cstate="print">
          <a:extLst>
            <a:ext uri="{28A0092B-C50C-407E-A947-70E740481C1C}">
              <a14:useLocalDpi xmlns:a14="http://schemas.microsoft.com/office/drawing/2010/main" val="0"/>
            </a:ext>
          </a:extLst>
        </a:blip>
        <a:srcRect/>
        <a:stretch>
          <a:fillRect/>
        </a:stretch>
      </xdr:blipFill>
      <xdr:spPr bwMode="auto">
        <a:xfrm>
          <a:off x="13603606" y="1303020"/>
          <a:ext cx="305999" cy="2337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18</xdr:col>
      <xdr:colOff>179071</xdr:colOff>
      <xdr:row>11</xdr:row>
      <xdr:rowOff>167641</xdr:rowOff>
    </xdr:from>
    <xdr:to>
      <xdr:col>18</xdr:col>
      <xdr:colOff>474346</xdr:colOff>
      <xdr:row>12</xdr:row>
      <xdr:rowOff>1364</xdr:rowOff>
    </xdr:to>
    <xdr:pic>
      <xdr:nvPicPr>
        <xdr:cNvPr id="58" name="Picture 57" descr="Round icon. Download flag icon of United States of America">
          <a:extLst>
            <a:ext uri="{FF2B5EF4-FFF2-40B4-BE49-F238E27FC236}">
              <a16:creationId xmlns:a16="http://schemas.microsoft.com/office/drawing/2014/main" id="{00000000-0008-0000-0300-00003A000000}"/>
            </a:ext>
          </a:extLst>
        </xdr:cNvPr>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13599796" y="3272791"/>
          <a:ext cx="304800" cy="2242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18</xdr:col>
      <xdr:colOff>190501</xdr:colOff>
      <xdr:row>8</xdr:row>
      <xdr:rowOff>135255</xdr:rowOff>
    </xdr:from>
    <xdr:to>
      <xdr:col>18</xdr:col>
      <xdr:colOff>474346</xdr:colOff>
      <xdr:row>8</xdr:row>
      <xdr:rowOff>378341</xdr:rowOff>
    </xdr:to>
    <xdr:pic>
      <xdr:nvPicPr>
        <xdr:cNvPr id="59" name="Picture 58" descr="Round icon. Download flag icon of United States of America">
          <a:extLst>
            <a:ext uri="{FF2B5EF4-FFF2-40B4-BE49-F238E27FC236}">
              <a16:creationId xmlns:a16="http://schemas.microsoft.com/office/drawing/2014/main" id="{00000000-0008-0000-0300-00003B000000}"/>
            </a:ext>
          </a:extLst>
        </xdr:cNvPr>
        <xdr:cNvPicPr>
          <a:picLocks noChangeAspect="1" noChangeArrowheads="1"/>
        </xdr:cNvPicPr>
      </xdr:nvPicPr>
      <xdr:blipFill>
        <a:blip xmlns:r="http://schemas.openxmlformats.org/officeDocument/2006/relationships" r:embed="rId19" cstate="print">
          <a:extLst>
            <a:ext uri="{28A0092B-C50C-407E-A947-70E740481C1C}">
              <a14:useLocalDpi xmlns:a14="http://schemas.microsoft.com/office/drawing/2010/main" val="0"/>
            </a:ext>
          </a:extLst>
        </a:blip>
        <a:srcRect/>
        <a:stretch>
          <a:fillRect/>
        </a:stretch>
      </xdr:blipFill>
      <xdr:spPr bwMode="auto">
        <a:xfrm>
          <a:off x="13611226" y="2278380"/>
          <a:ext cx="297180" cy="24308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19</xdr:col>
      <xdr:colOff>53340</xdr:colOff>
      <xdr:row>5</xdr:row>
      <xdr:rowOff>57151</xdr:rowOff>
    </xdr:from>
    <xdr:to>
      <xdr:col>19</xdr:col>
      <xdr:colOff>282843</xdr:colOff>
      <xdr:row>5</xdr:row>
      <xdr:rowOff>266701</xdr:rowOff>
    </xdr:to>
    <xdr:pic>
      <xdr:nvPicPr>
        <xdr:cNvPr id="60" name="Picture 59" descr="Sams Club Transparent PNG - 468x468 - Free Download on NicePNG">
          <a:extLst>
            <a:ext uri="{FF2B5EF4-FFF2-40B4-BE49-F238E27FC236}">
              <a16:creationId xmlns:a16="http://schemas.microsoft.com/office/drawing/2014/main" id="{00000000-0008-0000-0300-00003C000000}"/>
            </a:ext>
          </a:extLst>
        </xdr:cNvPr>
        <xdr:cNvPicPr>
          <a:picLocks noChangeAspect="1" noChangeArrowheads="1"/>
        </xdr:cNvPicPr>
      </xdr:nvPicPr>
      <xdr:blipFill rotWithShape="1">
        <a:blip xmlns:r="http://schemas.openxmlformats.org/officeDocument/2006/relationships" r:embed="rId15" cstate="print">
          <a:extLst>
            <a:ext uri="{BEBA8EAE-BF5A-486C-A8C5-ECC9F3942E4B}">
              <a14:imgProps xmlns:a14="http://schemas.microsoft.com/office/drawing/2010/main">
                <a14:imgLayer r:embed="rId16">
                  <a14:imgEffect>
                    <a14:brightnessContrast contrast="-1000"/>
                  </a14:imgEffect>
                </a14:imgLayer>
              </a14:imgProps>
            </a:ext>
            <a:ext uri="{28A0092B-C50C-407E-A947-70E740481C1C}">
              <a14:useLocalDpi xmlns:a14="http://schemas.microsoft.com/office/drawing/2010/main" val="0"/>
            </a:ext>
          </a:extLst>
        </a:blip>
        <a:srcRect l="21366" t="7299" r="21464" b="7153"/>
        <a:stretch/>
      </xdr:blipFill>
      <xdr:spPr bwMode="auto">
        <a:xfrm>
          <a:off x="13988415" y="1228726"/>
          <a:ext cx="233313"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57151</xdr:colOff>
      <xdr:row>8</xdr:row>
      <xdr:rowOff>53340</xdr:rowOff>
    </xdr:from>
    <xdr:to>
      <xdr:col>19</xdr:col>
      <xdr:colOff>284021</xdr:colOff>
      <xdr:row>8</xdr:row>
      <xdr:rowOff>265245</xdr:rowOff>
    </xdr:to>
    <xdr:pic>
      <xdr:nvPicPr>
        <xdr:cNvPr id="61" name="Picture 60" descr="Sams Club Transparent PNG - 468x468 - Free Download on NicePNG">
          <a:extLst>
            <a:ext uri="{FF2B5EF4-FFF2-40B4-BE49-F238E27FC236}">
              <a16:creationId xmlns:a16="http://schemas.microsoft.com/office/drawing/2014/main" id="{00000000-0008-0000-0300-00003D000000}"/>
            </a:ext>
          </a:extLst>
        </xdr:cNvPr>
        <xdr:cNvPicPr>
          <a:picLocks noChangeAspect="1" noChangeArrowheads="1"/>
        </xdr:cNvPicPr>
      </xdr:nvPicPr>
      <xdr:blipFill rotWithShape="1">
        <a:blip xmlns:r="http://schemas.openxmlformats.org/officeDocument/2006/relationships" r:embed="rId15" cstate="print">
          <a:extLst>
            <a:ext uri="{BEBA8EAE-BF5A-486C-A8C5-ECC9F3942E4B}">
              <a14:imgProps xmlns:a14="http://schemas.microsoft.com/office/drawing/2010/main">
                <a14:imgLayer r:embed="rId16">
                  <a14:imgEffect>
                    <a14:brightnessContrast contrast="-1000"/>
                  </a14:imgEffect>
                </a14:imgLayer>
              </a14:imgProps>
            </a:ext>
            <a:ext uri="{28A0092B-C50C-407E-A947-70E740481C1C}">
              <a14:useLocalDpi xmlns:a14="http://schemas.microsoft.com/office/drawing/2010/main" val="0"/>
            </a:ext>
          </a:extLst>
        </a:blip>
        <a:srcRect l="21366" t="7299" r="21464" b="7153"/>
        <a:stretch/>
      </xdr:blipFill>
      <xdr:spPr bwMode="auto">
        <a:xfrm>
          <a:off x="13992226" y="2196465"/>
          <a:ext cx="230680" cy="2119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19</xdr:col>
      <xdr:colOff>57150</xdr:colOff>
      <xdr:row>11</xdr:row>
      <xdr:rowOff>53341</xdr:rowOff>
    </xdr:from>
    <xdr:ext cx="223061" cy="214538"/>
    <xdr:pic>
      <xdr:nvPicPr>
        <xdr:cNvPr id="62" name="Picture 61" descr="Sams Club Transparent PNG - 468x468 - Free Download on NicePNG">
          <a:extLst>
            <a:ext uri="{FF2B5EF4-FFF2-40B4-BE49-F238E27FC236}">
              <a16:creationId xmlns:a16="http://schemas.microsoft.com/office/drawing/2014/main" id="{00000000-0008-0000-0300-00003E000000}"/>
            </a:ext>
          </a:extLst>
        </xdr:cNvPr>
        <xdr:cNvPicPr>
          <a:picLocks noChangeAspect="1" noChangeArrowheads="1"/>
        </xdr:cNvPicPr>
      </xdr:nvPicPr>
      <xdr:blipFill rotWithShape="1">
        <a:blip xmlns:r="http://schemas.openxmlformats.org/officeDocument/2006/relationships" r:embed="rId15" cstate="print">
          <a:extLst>
            <a:ext uri="{BEBA8EAE-BF5A-486C-A8C5-ECC9F3942E4B}">
              <a14:imgProps xmlns:a14="http://schemas.microsoft.com/office/drawing/2010/main">
                <a14:imgLayer r:embed="rId16">
                  <a14:imgEffect>
                    <a14:brightnessContrast contrast="-1000"/>
                  </a14:imgEffect>
                </a14:imgLayer>
              </a14:imgProps>
            </a:ext>
            <a:ext uri="{28A0092B-C50C-407E-A947-70E740481C1C}">
              <a14:useLocalDpi xmlns:a14="http://schemas.microsoft.com/office/drawing/2010/main" val="0"/>
            </a:ext>
          </a:extLst>
        </a:blip>
        <a:srcRect l="21366" t="7299" r="21464" b="7153"/>
        <a:stretch/>
      </xdr:blipFill>
      <xdr:spPr bwMode="auto">
        <a:xfrm>
          <a:off x="13992225" y="3158491"/>
          <a:ext cx="223061" cy="2145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19</xdr:col>
      <xdr:colOff>212258</xdr:colOff>
      <xdr:row>5</xdr:row>
      <xdr:rowOff>139065</xdr:rowOff>
    </xdr:from>
    <xdr:to>
      <xdr:col>19</xdr:col>
      <xdr:colOff>440858</xdr:colOff>
      <xdr:row>5</xdr:row>
      <xdr:rowOff>363855</xdr:rowOff>
    </xdr:to>
    <xdr:pic>
      <xdr:nvPicPr>
        <xdr:cNvPr id="63" name="Picture 62">
          <a:extLst>
            <a:ext uri="{FF2B5EF4-FFF2-40B4-BE49-F238E27FC236}">
              <a16:creationId xmlns:a16="http://schemas.microsoft.com/office/drawing/2014/main" id="{00000000-0008-0000-0300-00003F000000}"/>
            </a:ext>
          </a:extLst>
        </xdr:cNvPr>
        <xdr:cNvPicPr>
          <a:picLocks noChangeAspect="1" noChangeArrowheads="1"/>
        </xdr:cNvPicPr>
      </xdr:nvPicPr>
      <xdr:blipFill>
        <a:blip xmlns:r="http://schemas.openxmlformats.org/officeDocument/2006/relationships" r:embed="rId3" cstate="email">
          <a:extLst>
            <a:ext uri="{28A0092B-C50C-407E-A947-70E740481C1C}">
              <a14:useLocalDpi xmlns:a14="http://schemas.microsoft.com/office/drawing/2010/main"/>
            </a:ext>
          </a:extLst>
        </a:blip>
        <a:srcRect/>
        <a:stretch>
          <a:fillRect/>
        </a:stretch>
      </xdr:blipFill>
      <xdr:spPr bwMode="auto">
        <a:xfrm>
          <a:off x="14147333" y="1310640"/>
          <a:ext cx="228600" cy="2247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212258</xdr:colOff>
      <xdr:row>8</xdr:row>
      <xdr:rowOff>179070</xdr:rowOff>
    </xdr:from>
    <xdr:to>
      <xdr:col>19</xdr:col>
      <xdr:colOff>440858</xdr:colOff>
      <xdr:row>9</xdr:row>
      <xdr:rowOff>11430</xdr:rowOff>
    </xdr:to>
    <xdr:pic>
      <xdr:nvPicPr>
        <xdr:cNvPr id="64" name="Picture 63">
          <a:extLst>
            <a:ext uri="{FF2B5EF4-FFF2-40B4-BE49-F238E27FC236}">
              <a16:creationId xmlns:a16="http://schemas.microsoft.com/office/drawing/2014/main" id="{00000000-0008-0000-0300-000040000000}"/>
            </a:ext>
          </a:extLst>
        </xdr:cNvPr>
        <xdr:cNvPicPr>
          <a:picLocks noChangeAspect="1" noChangeArrowheads="1"/>
        </xdr:cNvPicPr>
      </xdr:nvPicPr>
      <xdr:blipFill>
        <a:blip xmlns:r="http://schemas.openxmlformats.org/officeDocument/2006/relationships" r:embed="rId3" cstate="email">
          <a:extLst>
            <a:ext uri="{28A0092B-C50C-407E-A947-70E740481C1C}">
              <a14:useLocalDpi xmlns:a14="http://schemas.microsoft.com/office/drawing/2010/main"/>
            </a:ext>
          </a:extLst>
        </a:blip>
        <a:srcRect/>
        <a:stretch>
          <a:fillRect/>
        </a:stretch>
      </xdr:blipFill>
      <xdr:spPr bwMode="auto">
        <a:xfrm>
          <a:off x="14147333" y="2322195"/>
          <a:ext cx="228600" cy="2324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212258</xdr:colOff>
      <xdr:row>11</xdr:row>
      <xdr:rowOff>179070</xdr:rowOff>
    </xdr:from>
    <xdr:to>
      <xdr:col>19</xdr:col>
      <xdr:colOff>440858</xdr:colOff>
      <xdr:row>12</xdr:row>
      <xdr:rowOff>20955</xdr:rowOff>
    </xdr:to>
    <xdr:pic>
      <xdr:nvPicPr>
        <xdr:cNvPr id="65" name="Picture 64">
          <a:extLst>
            <a:ext uri="{FF2B5EF4-FFF2-40B4-BE49-F238E27FC236}">
              <a16:creationId xmlns:a16="http://schemas.microsoft.com/office/drawing/2014/main" id="{00000000-0008-0000-0300-000041000000}"/>
            </a:ext>
          </a:extLst>
        </xdr:cNvPr>
        <xdr:cNvPicPr>
          <a:picLocks noChangeAspect="1" noChangeArrowheads="1"/>
        </xdr:cNvPicPr>
      </xdr:nvPicPr>
      <xdr:blipFill>
        <a:blip xmlns:r="http://schemas.openxmlformats.org/officeDocument/2006/relationships" r:embed="rId3" cstate="email">
          <a:extLst>
            <a:ext uri="{28A0092B-C50C-407E-A947-70E740481C1C}">
              <a14:useLocalDpi xmlns:a14="http://schemas.microsoft.com/office/drawing/2010/main"/>
            </a:ext>
          </a:extLst>
        </a:blip>
        <a:srcRect/>
        <a:stretch>
          <a:fillRect/>
        </a:stretch>
      </xdr:blipFill>
      <xdr:spPr bwMode="auto">
        <a:xfrm>
          <a:off x="14147333" y="3284220"/>
          <a:ext cx="228600" cy="2324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66675</xdr:colOff>
      <xdr:row>5</xdr:row>
      <xdr:rowOff>53341</xdr:rowOff>
    </xdr:from>
    <xdr:to>
      <xdr:col>20</xdr:col>
      <xdr:colOff>288558</xdr:colOff>
      <xdr:row>5</xdr:row>
      <xdr:rowOff>266701</xdr:rowOff>
    </xdr:to>
    <xdr:pic>
      <xdr:nvPicPr>
        <xdr:cNvPr id="66" name="Picture 65" descr="Sams Club Transparent PNG - 468x468 - Free Download on NicePNG">
          <a:extLst>
            <a:ext uri="{FF2B5EF4-FFF2-40B4-BE49-F238E27FC236}">
              <a16:creationId xmlns:a16="http://schemas.microsoft.com/office/drawing/2014/main" id="{00000000-0008-0000-0300-000042000000}"/>
            </a:ext>
          </a:extLst>
        </xdr:cNvPr>
        <xdr:cNvPicPr>
          <a:picLocks noChangeAspect="1" noChangeArrowheads="1"/>
        </xdr:cNvPicPr>
      </xdr:nvPicPr>
      <xdr:blipFill rotWithShape="1">
        <a:blip xmlns:r="http://schemas.openxmlformats.org/officeDocument/2006/relationships" r:embed="rId15" cstate="print">
          <a:extLst>
            <a:ext uri="{BEBA8EAE-BF5A-486C-A8C5-ECC9F3942E4B}">
              <a14:imgProps xmlns:a14="http://schemas.microsoft.com/office/drawing/2010/main">
                <a14:imgLayer r:embed="rId16">
                  <a14:imgEffect>
                    <a14:brightnessContrast contrast="-1000"/>
                  </a14:imgEffect>
                </a14:imgLayer>
              </a14:imgProps>
            </a:ext>
            <a:ext uri="{28A0092B-C50C-407E-A947-70E740481C1C}">
              <a14:useLocalDpi xmlns:a14="http://schemas.microsoft.com/office/drawing/2010/main" val="0"/>
            </a:ext>
          </a:extLst>
        </a:blip>
        <a:srcRect l="21366" t="7299" r="21464" b="7153"/>
        <a:stretch/>
      </xdr:blipFill>
      <xdr:spPr bwMode="auto">
        <a:xfrm>
          <a:off x="14516100" y="1224916"/>
          <a:ext cx="225693" cy="2133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62866</xdr:colOff>
      <xdr:row>8</xdr:row>
      <xdr:rowOff>57150</xdr:rowOff>
    </xdr:from>
    <xdr:to>
      <xdr:col>20</xdr:col>
      <xdr:colOff>284021</xdr:colOff>
      <xdr:row>8</xdr:row>
      <xdr:rowOff>265245</xdr:rowOff>
    </xdr:to>
    <xdr:pic>
      <xdr:nvPicPr>
        <xdr:cNvPr id="67" name="Picture 66" descr="Sams Club Transparent PNG - 468x468 - Free Download on NicePNG">
          <a:extLst>
            <a:ext uri="{FF2B5EF4-FFF2-40B4-BE49-F238E27FC236}">
              <a16:creationId xmlns:a16="http://schemas.microsoft.com/office/drawing/2014/main" id="{00000000-0008-0000-0300-000043000000}"/>
            </a:ext>
          </a:extLst>
        </xdr:cNvPr>
        <xdr:cNvPicPr>
          <a:picLocks noChangeAspect="1" noChangeArrowheads="1"/>
        </xdr:cNvPicPr>
      </xdr:nvPicPr>
      <xdr:blipFill rotWithShape="1">
        <a:blip xmlns:r="http://schemas.openxmlformats.org/officeDocument/2006/relationships" r:embed="rId15" cstate="print">
          <a:extLst>
            <a:ext uri="{BEBA8EAE-BF5A-486C-A8C5-ECC9F3942E4B}">
              <a14:imgProps xmlns:a14="http://schemas.microsoft.com/office/drawing/2010/main">
                <a14:imgLayer r:embed="rId16">
                  <a14:imgEffect>
                    <a14:brightnessContrast contrast="-1000"/>
                  </a14:imgEffect>
                </a14:imgLayer>
              </a14:imgProps>
            </a:ext>
            <a:ext uri="{28A0092B-C50C-407E-A947-70E740481C1C}">
              <a14:useLocalDpi xmlns:a14="http://schemas.microsoft.com/office/drawing/2010/main" val="0"/>
            </a:ext>
          </a:extLst>
        </a:blip>
        <a:srcRect l="21366" t="7299" r="21464" b="7153"/>
        <a:stretch/>
      </xdr:blipFill>
      <xdr:spPr bwMode="auto">
        <a:xfrm>
          <a:off x="14512291" y="2200275"/>
          <a:ext cx="230680" cy="2080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20</xdr:col>
      <xdr:colOff>62865</xdr:colOff>
      <xdr:row>11</xdr:row>
      <xdr:rowOff>57151</xdr:rowOff>
    </xdr:from>
    <xdr:ext cx="223061" cy="214538"/>
    <xdr:pic>
      <xdr:nvPicPr>
        <xdr:cNvPr id="68" name="Picture 67" descr="Sams Club Transparent PNG - 468x468 - Free Download on NicePNG">
          <a:extLst>
            <a:ext uri="{FF2B5EF4-FFF2-40B4-BE49-F238E27FC236}">
              <a16:creationId xmlns:a16="http://schemas.microsoft.com/office/drawing/2014/main" id="{00000000-0008-0000-0300-000044000000}"/>
            </a:ext>
          </a:extLst>
        </xdr:cNvPr>
        <xdr:cNvPicPr>
          <a:picLocks noChangeAspect="1" noChangeArrowheads="1"/>
        </xdr:cNvPicPr>
      </xdr:nvPicPr>
      <xdr:blipFill rotWithShape="1">
        <a:blip xmlns:r="http://schemas.openxmlformats.org/officeDocument/2006/relationships" r:embed="rId15" cstate="print">
          <a:extLst>
            <a:ext uri="{BEBA8EAE-BF5A-486C-A8C5-ECC9F3942E4B}">
              <a14:imgProps xmlns:a14="http://schemas.microsoft.com/office/drawing/2010/main">
                <a14:imgLayer r:embed="rId16">
                  <a14:imgEffect>
                    <a14:brightnessContrast contrast="-1000"/>
                  </a14:imgEffect>
                </a14:imgLayer>
              </a14:imgProps>
            </a:ext>
            <a:ext uri="{28A0092B-C50C-407E-A947-70E740481C1C}">
              <a14:useLocalDpi xmlns:a14="http://schemas.microsoft.com/office/drawing/2010/main" val="0"/>
            </a:ext>
          </a:extLst>
        </a:blip>
        <a:srcRect l="21366" t="7299" r="21464" b="7153"/>
        <a:stretch/>
      </xdr:blipFill>
      <xdr:spPr bwMode="auto">
        <a:xfrm>
          <a:off x="14512290" y="3162301"/>
          <a:ext cx="223061" cy="2145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20</xdr:col>
      <xdr:colOff>247620</xdr:colOff>
      <xdr:row>5</xdr:row>
      <xdr:rowOff>133350</xdr:rowOff>
    </xdr:from>
    <xdr:to>
      <xdr:col>20</xdr:col>
      <xdr:colOff>480030</xdr:colOff>
      <xdr:row>5</xdr:row>
      <xdr:rowOff>352425</xdr:rowOff>
    </xdr:to>
    <xdr:pic>
      <xdr:nvPicPr>
        <xdr:cNvPr id="69" name="Picture 68">
          <a:extLst>
            <a:ext uri="{FF2B5EF4-FFF2-40B4-BE49-F238E27FC236}">
              <a16:creationId xmlns:a16="http://schemas.microsoft.com/office/drawing/2014/main" id="{00000000-0008-0000-0300-000045000000}"/>
            </a:ext>
          </a:extLst>
        </xdr:cNvPr>
        <xdr:cNvPicPr>
          <a:picLocks noChangeAspect="1" noChangeArrowheads="1"/>
        </xdr:cNvPicPr>
      </xdr:nvPicPr>
      <xdr:blipFill>
        <a:blip xmlns:r="http://schemas.openxmlformats.org/officeDocument/2006/relationships" r:embed="rId2" cstate="email">
          <a:extLst>
            <a:ext uri="{28A0092B-C50C-407E-A947-70E740481C1C}">
              <a14:useLocalDpi xmlns:a14="http://schemas.microsoft.com/office/drawing/2010/main"/>
            </a:ext>
          </a:extLst>
        </a:blip>
        <a:srcRect/>
        <a:stretch>
          <a:fillRect/>
        </a:stretch>
      </xdr:blipFill>
      <xdr:spPr bwMode="auto">
        <a:xfrm>
          <a:off x="14697045" y="1304925"/>
          <a:ext cx="23241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20</xdr:col>
      <xdr:colOff>251430</xdr:colOff>
      <xdr:row>8</xdr:row>
      <xdr:rowOff>173355</xdr:rowOff>
    </xdr:from>
    <xdr:to>
      <xdr:col>20</xdr:col>
      <xdr:colOff>476220</xdr:colOff>
      <xdr:row>9</xdr:row>
      <xdr:rowOff>1905</xdr:rowOff>
    </xdr:to>
    <xdr:pic>
      <xdr:nvPicPr>
        <xdr:cNvPr id="70" name="Picture 69">
          <a:extLst>
            <a:ext uri="{FF2B5EF4-FFF2-40B4-BE49-F238E27FC236}">
              <a16:creationId xmlns:a16="http://schemas.microsoft.com/office/drawing/2014/main" id="{00000000-0008-0000-0300-000046000000}"/>
            </a:ext>
          </a:extLst>
        </xdr:cNvPr>
        <xdr:cNvPicPr>
          <a:picLocks noChangeAspect="1" noChangeArrowheads="1"/>
        </xdr:cNvPicPr>
      </xdr:nvPicPr>
      <xdr:blipFill>
        <a:blip xmlns:r="http://schemas.openxmlformats.org/officeDocument/2006/relationships" r:embed="rId2" cstate="email">
          <a:extLst>
            <a:ext uri="{28A0092B-C50C-407E-A947-70E740481C1C}">
              <a14:useLocalDpi xmlns:a14="http://schemas.microsoft.com/office/drawing/2010/main"/>
            </a:ext>
          </a:extLst>
        </a:blip>
        <a:srcRect/>
        <a:stretch>
          <a:fillRect/>
        </a:stretch>
      </xdr:blipFill>
      <xdr:spPr bwMode="auto">
        <a:xfrm>
          <a:off x="14700855" y="2316480"/>
          <a:ext cx="224790"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20</xdr:col>
      <xdr:colOff>251430</xdr:colOff>
      <xdr:row>11</xdr:row>
      <xdr:rowOff>173355</xdr:rowOff>
    </xdr:from>
    <xdr:to>
      <xdr:col>20</xdr:col>
      <xdr:colOff>476220</xdr:colOff>
      <xdr:row>12</xdr:row>
      <xdr:rowOff>9525</xdr:rowOff>
    </xdr:to>
    <xdr:pic>
      <xdr:nvPicPr>
        <xdr:cNvPr id="71" name="Picture 70">
          <a:extLst>
            <a:ext uri="{FF2B5EF4-FFF2-40B4-BE49-F238E27FC236}">
              <a16:creationId xmlns:a16="http://schemas.microsoft.com/office/drawing/2014/main" id="{00000000-0008-0000-0300-000047000000}"/>
            </a:ext>
          </a:extLst>
        </xdr:cNvPr>
        <xdr:cNvPicPr>
          <a:picLocks noChangeAspect="1" noChangeArrowheads="1"/>
        </xdr:cNvPicPr>
      </xdr:nvPicPr>
      <xdr:blipFill>
        <a:blip xmlns:r="http://schemas.openxmlformats.org/officeDocument/2006/relationships" r:embed="rId2" cstate="email">
          <a:extLst>
            <a:ext uri="{28A0092B-C50C-407E-A947-70E740481C1C}">
              <a14:useLocalDpi xmlns:a14="http://schemas.microsoft.com/office/drawing/2010/main"/>
            </a:ext>
          </a:extLst>
        </a:blip>
        <a:srcRect/>
        <a:stretch>
          <a:fillRect/>
        </a:stretch>
      </xdr:blipFill>
      <xdr:spPr bwMode="auto">
        <a:xfrm>
          <a:off x="14700855" y="3278505"/>
          <a:ext cx="224790" cy="2266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21</xdr:col>
      <xdr:colOff>60005</xdr:colOff>
      <xdr:row>5</xdr:row>
      <xdr:rowOff>57150</xdr:rowOff>
    </xdr:from>
    <xdr:to>
      <xdr:col>21</xdr:col>
      <xdr:colOff>285055</xdr:colOff>
      <xdr:row>5</xdr:row>
      <xdr:rowOff>283210</xdr:rowOff>
    </xdr:to>
    <xdr:pic>
      <xdr:nvPicPr>
        <xdr:cNvPr id="72" name="Picture 71">
          <a:extLst>
            <a:ext uri="{FF2B5EF4-FFF2-40B4-BE49-F238E27FC236}">
              <a16:creationId xmlns:a16="http://schemas.microsoft.com/office/drawing/2014/main" id="{00000000-0008-0000-0300-000048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14966630" y="1223963"/>
          <a:ext cx="239020" cy="228600"/>
        </a:xfrm>
        <a:prstGeom prst="rect">
          <a:avLst/>
        </a:prstGeom>
      </xdr:spPr>
    </xdr:pic>
    <xdr:clientData/>
  </xdr:twoCellAnchor>
  <xdr:twoCellAnchor editAs="oneCell">
    <xdr:from>
      <xdr:col>21</xdr:col>
      <xdr:colOff>56195</xdr:colOff>
      <xdr:row>8</xdr:row>
      <xdr:rowOff>77153</xdr:rowOff>
    </xdr:from>
    <xdr:to>
      <xdr:col>21</xdr:col>
      <xdr:colOff>288230</xdr:colOff>
      <xdr:row>8</xdr:row>
      <xdr:rowOff>305753</xdr:rowOff>
    </xdr:to>
    <xdr:pic>
      <xdr:nvPicPr>
        <xdr:cNvPr id="73" name="Picture 72">
          <a:extLst>
            <a:ext uri="{FF2B5EF4-FFF2-40B4-BE49-F238E27FC236}">
              <a16:creationId xmlns:a16="http://schemas.microsoft.com/office/drawing/2014/main" id="{00000000-0008-0000-0300-000049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14962820" y="2220278"/>
          <a:ext cx="240925" cy="228600"/>
        </a:xfrm>
        <a:prstGeom prst="rect">
          <a:avLst/>
        </a:prstGeom>
      </xdr:spPr>
    </xdr:pic>
    <xdr:clientData/>
  </xdr:twoCellAnchor>
  <xdr:twoCellAnchor editAs="oneCell">
    <xdr:from>
      <xdr:col>21</xdr:col>
      <xdr:colOff>60005</xdr:colOff>
      <xdr:row>11</xdr:row>
      <xdr:rowOff>77153</xdr:rowOff>
    </xdr:from>
    <xdr:to>
      <xdr:col>21</xdr:col>
      <xdr:colOff>285055</xdr:colOff>
      <xdr:row>11</xdr:row>
      <xdr:rowOff>305753</xdr:rowOff>
    </xdr:to>
    <xdr:pic>
      <xdr:nvPicPr>
        <xdr:cNvPr id="74" name="Picture 73">
          <a:extLst>
            <a:ext uri="{FF2B5EF4-FFF2-40B4-BE49-F238E27FC236}">
              <a16:creationId xmlns:a16="http://schemas.microsoft.com/office/drawing/2014/main" id="{00000000-0008-0000-0300-00004A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14966630" y="3184684"/>
          <a:ext cx="235210" cy="228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736600</xdr:colOff>
          <xdr:row>0</xdr:row>
          <xdr:rowOff>107950</xdr:rowOff>
        </xdr:from>
        <xdr:to>
          <xdr:col>12</xdr:col>
          <xdr:colOff>584200</xdr:colOff>
          <xdr:row>0</xdr:row>
          <xdr:rowOff>355600</xdr:rowOff>
        </xdr:to>
        <xdr:sp macro="" textlink="">
          <xdr:nvSpPr>
            <xdr:cNvPr id="52225" name="Button 1" hidden="1">
              <a:extLst>
                <a:ext uri="{63B3BB69-23CF-44E3-9099-C40C66FF867C}">
                  <a14:compatExt spid="_x0000_s52225"/>
                </a:ext>
                <a:ext uri="{FF2B5EF4-FFF2-40B4-BE49-F238E27FC236}">
                  <a16:creationId xmlns:a16="http://schemas.microsoft.com/office/drawing/2014/main" id="{00000000-0008-0000-0400-000001C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Project Details</a:t>
              </a:r>
            </a:p>
          </xdr:txBody>
        </xdr:sp>
        <xdr:clientData fPrintsWithSheet="0"/>
      </xdr:twoCellAnchor>
    </mc:Choice>
    <mc:Fallback/>
  </mc:AlternateContent>
  <xdr:twoCellAnchor>
    <xdr:from>
      <xdr:col>11</xdr:col>
      <xdr:colOff>381000</xdr:colOff>
      <xdr:row>2</xdr:row>
      <xdr:rowOff>129540</xdr:rowOff>
    </xdr:from>
    <xdr:to>
      <xdr:col>11</xdr:col>
      <xdr:colOff>523875</xdr:colOff>
      <xdr:row>2</xdr:row>
      <xdr:rowOff>306705</xdr:rowOff>
    </xdr:to>
    <xdr:sp macro="" textlink="">
      <xdr:nvSpPr>
        <xdr:cNvPr id="2" name="Arrow: Up 1">
          <a:extLst>
            <a:ext uri="{FF2B5EF4-FFF2-40B4-BE49-F238E27FC236}">
              <a16:creationId xmlns:a16="http://schemas.microsoft.com/office/drawing/2014/main" id="{00000000-0008-0000-0400-000002000000}"/>
            </a:ext>
          </a:extLst>
        </xdr:cNvPr>
        <xdr:cNvSpPr/>
      </xdr:nvSpPr>
      <xdr:spPr>
        <a:xfrm>
          <a:off x="8410575" y="596265"/>
          <a:ext cx="142875" cy="177165"/>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16</xdr:col>
      <xdr:colOff>131713</xdr:colOff>
      <xdr:row>7</xdr:row>
      <xdr:rowOff>49530</xdr:rowOff>
    </xdr:from>
    <xdr:to>
      <xdr:col>16</xdr:col>
      <xdr:colOff>356503</xdr:colOff>
      <xdr:row>7</xdr:row>
      <xdr:rowOff>278130</xdr:rowOff>
    </xdr:to>
    <xdr:pic>
      <xdr:nvPicPr>
        <xdr:cNvPr id="2" name="Picture 1">
          <a:extLst>
            <a:ext uri="{FF2B5EF4-FFF2-40B4-BE49-F238E27FC236}">
              <a16:creationId xmlns:a16="http://schemas.microsoft.com/office/drawing/2014/main" id="{00000000-0008-0000-0500-000002000000}"/>
            </a:ext>
            <a:ext uri="{147F2762-F138-4A5C-976F-8EAC2B608ADB}">
              <a16:predDERef xmlns:a16="http://schemas.microsoft.com/office/drawing/2014/main" pred="{CA1CB08A-F7E6-4B59-B30E-EB7279372703}"/>
            </a:ext>
          </a:extLst>
        </xdr:cNvPr>
        <xdr:cNvPicPr>
          <a:picLocks noChangeAspect="1" noChangeArrowheads="1"/>
        </xdr:cNvPicPr>
      </xdr:nvPicPr>
      <xdr:blipFill>
        <a:blip xmlns:r="http://schemas.openxmlformats.org/officeDocument/2006/relationships" r:embed="rId1" cstate="email">
          <a:extLst>
            <a:ext uri="{28A0092B-C50C-407E-A947-70E740481C1C}">
              <a14:useLocalDpi xmlns:a14="http://schemas.microsoft.com/office/drawing/2010/main"/>
            </a:ext>
          </a:extLst>
        </a:blip>
        <a:srcRect/>
        <a:stretch>
          <a:fillRect/>
        </a:stretch>
      </xdr:blipFill>
      <xdr:spPr bwMode="auto">
        <a:xfrm>
          <a:off x="5160913" y="1314450"/>
          <a:ext cx="224790"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123318</xdr:colOff>
      <xdr:row>7</xdr:row>
      <xdr:rowOff>49530</xdr:rowOff>
    </xdr:from>
    <xdr:to>
      <xdr:col>18</xdr:col>
      <xdr:colOff>357633</xdr:colOff>
      <xdr:row>7</xdr:row>
      <xdr:rowOff>278130</xdr:rowOff>
    </xdr:to>
    <xdr:pic>
      <xdr:nvPicPr>
        <xdr:cNvPr id="3" name="Picture 2">
          <a:extLst>
            <a:ext uri="{FF2B5EF4-FFF2-40B4-BE49-F238E27FC236}">
              <a16:creationId xmlns:a16="http://schemas.microsoft.com/office/drawing/2014/main" id="{00000000-0008-0000-0500-000003000000}"/>
            </a:ext>
            <a:ext uri="{147F2762-F138-4A5C-976F-8EAC2B608ADB}">
              <a16:predDERef xmlns:a16="http://schemas.microsoft.com/office/drawing/2014/main" pred="{180D7BD3-66AC-4AE6-82E8-2474F7446EE4}"/>
            </a:ext>
          </a:extLst>
        </xdr:cNvPr>
        <xdr:cNvPicPr>
          <a:picLocks noChangeAspect="1" noChangeArrowheads="1"/>
        </xdr:cNvPicPr>
      </xdr:nvPicPr>
      <xdr:blipFill>
        <a:blip xmlns:r="http://schemas.openxmlformats.org/officeDocument/2006/relationships" r:embed="rId2" cstate="email">
          <a:extLst>
            <a:ext uri="{28A0092B-C50C-407E-A947-70E740481C1C}">
              <a14:useLocalDpi xmlns:a14="http://schemas.microsoft.com/office/drawing/2010/main"/>
            </a:ext>
          </a:extLst>
        </a:blip>
        <a:srcRect/>
        <a:stretch>
          <a:fillRect/>
        </a:stretch>
      </xdr:blipFill>
      <xdr:spPr bwMode="auto">
        <a:xfrm>
          <a:off x="5944998" y="1314450"/>
          <a:ext cx="23431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97720</xdr:colOff>
      <xdr:row>7</xdr:row>
      <xdr:rowOff>49530</xdr:rowOff>
    </xdr:from>
    <xdr:to>
      <xdr:col>14</xdr:col>
      <xdr:colOff>326320</xdr:colOff>
      <xdr:row>7</xdr:row>
      <xdr:rowOff>278130</xdr:rowOff>
    </xdr:to>
    <xdr:pic>
      <xdr:nvPicPr>
        <xdr:cNvPr id="4" name="Picture 3">
          <a:extLst>
            <a:ext uri="{FF2B5EF4-FFF2-40B4-BE49-F238E27FC236}">
              <a16:creationId xmlns:a16="http://schemas.microsoft.com/office/drawing/2014/main" id="{00000000-0008-0000-0500-000004000000}"/>
            </a:ext>
            <a:ext uri="{147F2762-F138-4A5C-976F-8EAC2B608ADB}">
              <a16:predDERef xmlns:a16="http://schemas.microsoft.com/office/drawing/2014/main" pred="{5EBFA0EE-A8FE-413E-9E1B-20882A50CAC3}"/>
            </a:ext>
          </a:extLst>
        </xdr:cNvPr>
        <xdr:cNvPicPr>
          <a:picLocks noChangeAspect="1" noChangeArrowheads="1"/>
        </xdr:cNvPicPr>
      </xdr:nvPicPr>
      <xdr:blipFill>
        <a:blip xmlns:r="http://schemas.openxmlformats.org/officeDocument/2006/relationships" r:embed="rId3" cstate="email">
          <a:extLst>
            <a:ext uri="{28A0092B-C50C-407E-A947-70E740481C1C}">
              <a14:useLocalDpi xmlns:a14="http://schemas.microsoft.com/office/drawing/2010/main"/>
            </a:ext>
          </a:extLst>
        </a:blip>
        <a:srcRect/>
        <a:stretch>
          <a:fillRect/>
        </a:stretch>
      </xdr:blipFill>
      <xdr:spPr bwMode="auto">
        <a:xfrm>
          <a:off x="4334440" y="1314450"/>
          <a:ext cx="228600"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123883</xdr:colOff>
      <xdr:row>7</xdr:row>
      <xdr:rowOff>49530</xdr:rowOff>
    </xdr:from>
    <xdr:to>
      <xdr:col>19</xdr:col>
      <xdr:colOff>352483</xdr:colOff>
      <xdr:row>7</xdr:row>
      <xdr:rowOff>278130</xdr:rowOff>
    </xdr:to>
    <xdr:pic>
      <xdr:nvPicPr>
        <xdr:cNvPr id="5" name="Picture 4">
          <a:extLst>
            <a:ext uri="{FF2B5EF4-FFF2-40B4-BE49-F238E27FC236}">
              <a16:creationId xmlns:a16="http://schemas.microsoft.com/office/drawing/2014/main" id="{00000000-0008-0000-0500-000005000000}"/>
            </a:ext>
            <a:ext uri="{147F2762-F138-4A5C-976F-8EAC2B608ADB}">
              <a16:predDERef xmlns:a16="http://schemas.microsoft.com/office/drawing/2014/main" pred="{9FC0EFFE-6A87-4EC6-A61D-B68025EDE63D}"/>
            </a:ext>
          </a:extLst>
        </xdr:cNvPr>
        <xdr:cNvPicPr>
          <a:picLocks noChangeAspect="1" noChangeArrowheads="1"/>
        </xdr:cNvPicPr>
      </xdr:nvPicPr>
      <xdr:blipFill>
        <a:blip xmlns:r="http://schemas.openxmlformats.org/officeDocument/2006/relationships" r:embed="rId4" cstate="email">
          <a:extLst>
            <a:ext uri="{28A0092B-C50C-407E-A947-70E740481C1C}">
              <a14:useLocalDpi xmlns:a14="http://schemas.microsoft.com/office/drawing/2010/main"/>
            </a:ext>
          </a:extLst>
        </a:blip>
        <a:srcRect/>
        <a:stretch>
          <a:fillRect/>
        </a:stretch>
      </xdr:blipFill>
      <xdr:spPr bwMode="auto">
        <a:xfrm>
          <a:off x="6341803" y="1314450"/>
          <a:ext cx="228600"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15</xdr:col>
      <xdr:colOff>92570</xdr:colOff>
      <xdr:row>7</xdr:row>
      <xdr:rowOff>49530</xdr:rowOff>
    </xdr:from>
    <xdr:to>
      <xdr:col>15</xdr:col>
      <xdr:colOff>365463</xdr:colOff>
      <xdr:row>8</xdr:row>
      <xdr:rowOff>1693</xdr:rowOff>
    </xdr:to>
    <xdr:grpSp>
      <xdr:nvGrpSpPr>
        <xdr:cNvPr id="6" name="Group 5">
          <a:extLst>
            <a:ext uri="{FF2B5EF4-FFF2-40B4-BE49-F238E27FC236}">
              <a16:creationId xmlns:a16="http://schemas.microsoft.com/office/drawing/2014/main" id="{00000000-0008-0000-0500-000006000000}"/>
            </a:ext>
            <a:ext uri="{147F2762-F138-4A5C-976F-8EAC2B608ADB}">
              <a16:predDERef xmlns:a16="http://schemas.microsoft.com/office/drawing/2014/main" pred="{E9CE268C-0353-4A44-B535-81D9954D3935}"/>
            </a:ext>
          </a:extLst>
        </xdr:cNvPr>
        <xdr:cNvGrpSpPr/>
      </xdr:nvGrpSpPr>
      <xdr:grpSpPr>
        <a:xfrm>
          <a:off x="6941045" y="1402080"/>
          <a:ext cx="272893" cy="276013"/>
          <a:chOff x="5731736" y="6073594"/>
          <a:chExt cx="269083" cy="228600"/>
        </a:xfrm>
      </xdr:grpSpPr>
      <xdr:pic>
        <xdr:nvPicPr>
          <xdr:cNvPr id="7" name="Picture 6" descr="Round icon. Download flag icon of El Salvador">
            <a:extLst>
              <a:ext uri="{FF2B5EF4-FFF2-40B4-BE49-F238E27FC236}">
                <a16:creationId xmlns:a16="http://schemas.microsoft.com/office/drawing/2014/main" id="{00000000-0008-0000-0500-000007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5845756" y="6073594"/>
            <a:ext cx="155063" cy="99965"/>
          </a:xfrm>
          <a:prstGeom prst="rect">
            <a:avLst/>
          </a:prstGeom>
          <a:noFill/>
        </xdr:spPr>
      </xdr:pic>
      <xdr:pic>
        <xdr:nvPicPr>
          <xdr:cNvPr id="8" name="Picture 7" descr="Round icon. Download flag icon of Costa Rica">
            <a:extLst>
              <a:ext uri="{FF2B5EF4-FFF2-40B4-BE49-F238E27FC236}">
                <a16:creationId xmlns:a16="http://schemas.microsoft.com/office/drawing/2014/main" id="{00000000-0008-0000-0500-000008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5731738" y="6202226"/>
            <a:ext cx="155063" cy="99965"/>
          </a:xfrm>
          <a:prstGeom prst="rect">
            <a:avLst/>
          </a:prstGeom>
          <a:noFill/>
        </xdr:spPr>
      </xdr:pic>
      <xdr:pic>
        <xdr:nvPicPr>
          <xdr:cNvPr id="9" name="Picture 8" descr="Round icon. Download flag icon of Honduras">
            <a:extLst>
              <a:ext uri="{FF2B5EF4-FFF2-40B4-BE49-F238E27FC236}">
                <a16:creationId xmlns:a16="http://schemas.microsoft.com/office/drawing/2014/main" id="{00000000-0008-0000-0500-000009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5731736" y="6073595"/>
            <a:ext cx="155063" cy="99965"/>
          </a:xfrm>
          <a:prstGeom prst="rect">
            <a:avLst/>
          </a:prstGeom>
          <a:noFill/>
        </xdr:spPr>
      </xdr:pic>
      <xdr:pic>
        <xdr:nvPicPr>
          <xdr:cNvPr id="10" name="Picture 9" descr="Round icon. Download flag icon of Guatemala">
            <a:extLst>
              <a:ext uri="{FF2B5EF4-FFF2-40B4-BE49-F238E27FC236}">
                <a16:creationId xmlns:a16="http://schemas.microsoft.com/office/drawing/2014/main" id="{00000000-0008-0000-0500-00000A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5845753" y="6202229"/>
            <a:ext cx="155063" cy="99965"/>
          </a:xfrm>
          <a:prstGeom prst="rect">
            <a:avLst/>
          </a:prstGeom>
          <a:noFill/>
        </xdr:spPr>
      </xdr:pic>
      <xdr:pic>
        <xdr:nvPicPr>
          <xdr:cNvPr id="11" name="Picture 10" descr="Round icon. Download flag icon of Nicaragua">
            <a:extLst>
              <a:ext uri="{FF2B5EF4-FFF2-40B4-BE49-F238E27FC236}">
                <a16:creationId xmlns:a16="http://schemas.microsoft.com/office/drawing/2014/main" id="{00000000-0008-0000-0500-00000B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5788748" y="6138933"/>
            <a:ext cx="155063" cy="99965"/>
          </a:xfrm>
          <a:prstGeom prst="rect">
            <a:avLst/>
          </a:prstGeom>
          <a:noFill/>
        </xdr:spPr>
      </xdr:pic>
    </xdr:grpSp>
    <xdr:clientData/>
  </xdr:twoCellAnchor>
  <xdr:twoCellAnchor>
    <xdr:from>
      <xdr:col>20</xdr:col>
      <xdr:colOff>118733</xdr:colOff>
      <xdr:row>7</xdr:row>
      <xdr:rowOff>49530</xdr:rowOff>
    </xdr:from>
    <xdr:to>
      <xdr:col>20</xdr:col>
      <xdr:colOff>337808</xdr:colOff>
      <xdr:row>7</xdr:row>
      <xdr:rowOff>278130</xdr:rowOff>
    </xdr:to>
    <xdr:pic>
      <xdr:nvPicPr>
        <xdr:cNvPr id="12" name="Picture 11">
          <a:extLst>
            <a:ext uri="{FF2B5EF4-FFF2-40B4-BE49-F238E27FC236}">
              <a16:creationId xmlns:a16="http://schemas.microsoft.com/office/drawing/2014/main" id="{00000000-0008-0000-0500-00000C000000}"/>
            </a:ext>
            <a:ext uri="{147F2762-F138-4A5C-976F-8EAC2B608ADB}">
              <a16:predDERef xmlns:a16="http://schemas.microsoft.com/office/drawing/2014/main" pred="{326AC40A-052F-4A7D-9653-ABA475C09DC7}"/>
            </a:ext>
          </a:extLst>
        </xdr:cNvPr>
        <xdr:cNvPicPr>
          <a:picLocks noChangeAspect="1" noChangeArrowheads="1"/>
        </xdr:cNvPicPr>
      </xdr:nvPicPr>
      <xdr:blipFill>
        <a:blip xmlns:r="http://schemas.openxmlformats.org/officeDocument/2006/relationships" r:embed="rId10" cstate="email">
          <a:extLst>
            <a:ext uri="{28A0092B-C50C-407E-A947-70E740481C1C}">
              <a14:useLocalDpi xmlns:a14="http://schemas.microsoft.com/office/drawing/2010/main"/>
            </a:ext>
          </a:extLst>
        </a:blip>
        <a:srcRect/>
        <a:stretch>
          <a:fillRect/>
        </a:stretch>
      </xdr:blipFill>
      <xdr:spPr bwMode="auto">
        <a:xfrm>
          <a:off x="6732893" y="1314450"/>
          <a:ext cx="21907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104775</xdr:colOff>
      <xdr:row>7</xdr:row>
      <xdr:rowOff>47625</xdr:rowOff>
    </xdr:from>
    <xdr:to>
      <xdr:col>13</xdr:col>
      <xdr:colOff>333375</xdr:colOff>
      <xdr:row>7</xdr:row>
      <xdr:rowOff>276225</xdr:rowOff>
    </xdr:to>
    <xdr:pic>
      <xdr:nvPicPr>
        <xdr:cNvPr id="13" name="Picture 12">
          <a:extLst>
            <a:ext uri="{FF2B5EF4-FFF2-40B4-BE49-F238E27FC236}">
              <a16:creationId xmlns:a16="http://schemas.microsoft.com/office/drawing/2014/main" id="{00000000-0008-0000-0500-00000D000000}"/>
            </a:ext>
            <a:ext uri="{147F2762-F138-4A5C-976F-8EAC2B608ADB}">
              <a16:predDERef xmlns:a16="http://schemas.microsoft.com/office/drawing/2014/main" pred="{DD7FCA42-A843-4E89-80BB-5D165395800F}"/>
            </a:ext>
          </a:extLst>
        </xdr:cNvPr>
        <xdr:cNvPicPr>
          <a:picLocks noChangeAspect="1" noChangeArrowheads="1"/>
        </xdr:cNvPicPr>
      </xdr:nvPicPr>
      <xdr:blipFill>
        <a:blip xmlns:r="http://schemas.openxmlformats.org/officeDocument/2006/relationships" r:embed="rId11" cstate="email">
          <a:extLst>
            <a:ext uri="{28A0092B-C50C-407E-A947-70E740481C1C}">
              <a14:useLocalDpi xmlns:a14="http://schemas.microsoft.com/office/drawing/2010/main"/>
            </a:ext>
          </a:extLst>
        </a:blip>
        <a:srcRect/>
        <a:stretch>
          <a:fillRect/>
        </a:stretch>
      </xdr:blipFill>
      <xdr:spPr bwMode="auto">
        <a:xfrm>
          <a:off x="3945255" y="1312545"/>
          <a:ext cx="228600"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122753</xdr:colOff>
      <xdr:row>7</xdr:row>
      <xdr:rowOff>49530</xdr:rowOff>
    </xdr:from>
    <xdr:to>
      <xdr:col>17</xdr:col>
      <xdr:colOff>357068</xdr:colOff>
      <xdr:row>7</xdr:row>
      <xdr:rowOff>278130</xdr:rowOff>
    </xdr:to>
    <xdr:pic>
      <xdr:nvPicPr>
        <xdr:cNvPr id="14" name="Picture 13">
          <a:extLst>
            <a:ext uri="{FF2B5EF4-FFF2-40B4-BE49-F238E27FC236}">
              <a16:creationId xmlns:a16="http://schemas.microsoft.com/office/drawing/2014/main" id="{00000000-0008-0000-0500-00000E000000}"/>
            </a:ext>
            <a:ext uri="{147F2762-F138-4A5C-976F-8EAC2B608ADB}">
              <a16:predDERef xmlns:a16="http://schemas.microsoft.com/office/drawing/2014/main" pred="{331D45A2-88DB-454A-861C-F502D43F424C}"/>
            </a:ext>
          </a:extLst>
        </xdr:cNvPr>
        <xdr:cNvPicPr>
          <a:picLocks noChangeAspect="1" noChangeArrowheads="1"/>
        </xdr:cNvPicPr>
      </xdr:nvPicPr>
      <xdr:blipFill>
        <a:blip xmlns:r="http://schemas.openxmlformats.org/officeDocument/2006/relationships" r:embed="rId12" cstate="email">
          <a:extLst>
            <a:ext uri="{28A0092B-C50C-407E-A947-70E740481C1C}">
              <a14:useLocalDpi xmlns:a14="http://schemas.microsoft.com/office/drawing/2010/main"/>
            </a:ext>
          </a:extLst>
        </a:blip>
        <a:srcRect/>
        <a:stretch>
          <a:fillRect/>
        </a:stretch>
      </xdr:blipFill>
      <xdr:spPr bwMode="auto">
        <a:xfrm>
          <a:off x="5548193" y="1314450"/>
          <a:ext cx="23431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21</xdr:col>
      <xdr:colOff>105966</xdr:colOff>
      <xdr:row>7</xdr:row>
      <xdr:rowOff>49530</xdr:rowOff>
    </xdr:from>
    <xdr:to>
      <xdr:col>21</xdr:col>
      <xdr:colOff>326959</xdr:colOff>
      <xdr:row>7</xdr:row>
      <xdr:rowOff>282575</xdr:rowOff>
    </xdr:to>
    <xdr:pic>
      <xdr:nvPicPr>
        <xdr:cNvPr id="15" name="Picture 14">
          <a:extLst>
            <a:ext uri="{FF2B5EF4-FFF2-40B4-BE49-F238E27FC236}">
              <a16:creationId xmlns:a16="http://schemas.microsoft.com/office/drawing/2014/main" id="{00000000-0008-0000-0500-00000F000000}"/>
            </a:ext>
            <a:ext uri="{147F2762-F138-4A5C-976F-8EAC2B608ADB}">
              <a16:predDERef xmlns:a16="http://schemas.microsoft.com/office/drawing/2014/main" pred="{0EABFA00-A3C9-436E-8DD9-7E1F5EBD01D5}"/>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7116366" y="1314450"/>
          <a:ext cx="217818" cy="232410"/>
        </a:xfrm>
        <a:prstGeom prst="rect">
          <a:avLst/>
        </a:prstGeom>
      </xdr:spPr>
    </xdr:pic>
    <xdr:clientData/>
  </xdr:twoCellAnchor>
  <xdr:twoCellAnchor>
    <xdr:from>
      <xdr:col>30</xdr:col>
      <xdr:colOff>95518</xdr:colOff>
      <xdr:row>7</xdr:row>
      <xdr:rowOff>53340</xdr:rowOff>
    </xdr:from>
    <xdr:to>
      <xdr:col>30</xdr:col>
      <xdr:colOff>329833</xdr:colOff>
      <xdr:row>7</xdr:row>
      <xdr:rowOff>281940</xdr:rowOff>
    </xdr:to>
    <xdr:pic>
      <xdr:nvPicPr>
        <xdr:cNvPr id="16" name="Picture 15">
          <a:extLst>
            <a:ext uri="{FF2B5EF4-FFF2-40B4-BE49-F238E27FC236}">
              <a16:creationId xmlns:a16="http://schemas.microsoft.com/office/drawing/2014/main" id="{00000000-0008-0000-0500-000010000000}"/>
            </a:ext>
            <a:ext uri="{147F2762-F138-4A5C-976F-8EAC2B608ADB}">
              <a16:predDERef xmlns:a16="http://schemas.microsoft.com/office/drawing/2014/main" pred="{CA1CB08A-F7E6-4B59-B30E-EB7279372703}"/>
            </a:ext>
          </a:extLst>
        </xdr:cNvPr>
        <xdr:cNvPicPr>
          <a:picLocks noChangeAspect="1" noChangeArrowheads="1"/>
        </xdr:cNvPicPr>
      </xdr:nvPicPr>
      <xdr:blipFill>
        <a:blip xmlns:r="http://schemas.openxmlformats.org/officeDocument/2006/relationships" r:embed="rId1" cstate="email">
          <a:extLst>
            <a:ext uri="{28A0092B-C50C-407E-A947-70E740481C1C}">
              <a14:useLocalDpi xmlns:a14="http://schemas.microsoft.com/office/drawing/2010/main"/>
            </a:ext>
          </a:extLst>
        </a:blip>
        <a:srcRect/>
        <a:stretch>
          <a:fillRect/>
        </a:stretch>
      </xdr:blipFill>
      <xdr:spPr bwMode="auto">
        <a:xfrm>
          <a:off x="9856738" y="1318260"/>
          <a:ext cx="23431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32</xdr:col>
      <xdr:colOff>89028</xdr:colOff>
      <xdr:row>7</xdr:row>
      <xdr:rowOff>53340</xdr:rowOff>
    </xdr:from>
    <xdr:to>
      <xdr:col>32</xdr:col>
      <xdr:colOff>330963</xdr:colOff>
      <xdr:row>7</xdr:row>
      <xdr:rowOff>281940</xdr:rowOff>
    </xdr:to>
    <xdr:pic>
      <xdr:nvPicPr>
        <xdr:cNvPr id="17" name="Picture 16">
          <a:extLst>
            <a:ext uri="{FF2B5EF4-FFF2-40B4-BE49-F238E27FC236}">
              <a16:creationId xmlns:a16="http://schemas.microsoft.com/office/drawing/2014/main" id="{00000000-0008-0000-0500-000011000000}"/>
            </a:ext>
            <a:ext uri="{147F2762-F138-4A5C-976F-8EAC2B608ADB}">
              <a16:predDERef xmlns:a16="http://schemas.microsoft.com/office/drawing/2014/main" pred="{180D7BD3-66AC-4AE6-82E8-2474F7446EE4}"/>
            </a:ext>
          </a:extLst>
        </xdr:cNvPr>
        <xdr:cNvPicPr>
          <a:picLocks noChangeAspect="1" noChangeArrowheads="1"/>
        </xdr:cNvPicPr>
      </xdr:nvPicPr>
      <xdr:blipFill>
        <a:blip xmlns:r="http://schemas.openxmlformats.org/officeDocument/2006/relationships" r:embed="rId2" cstate="email">
          <a:extLst>
            <a:ext uri="{28A0092B-C50C-407E-A947-70E740481C1C}">
              <a14:useLocalDpi xmlns:a14="http://schemas.microsoft.com/office/drawing/2010/main"/>
            </a:ext>
          </a:extLst>
        </a:blip>
        <a:srcRect/>
        <a:stretch>
          <a:fillRect/>
        </a:stretch>
      </xdr:blipFill>
      <xdr:spPr bwMode="auto">
        <a:xfrm>
          <a:off x="10642728" y="1318260"/>
          <a:ext cx="24193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28</xdr:col>
      <xdr:colOff>67240</xdr:colOff>
      <xdr:row>7</xdr:row>
      <xdr:rowOff>53340</xdr:rowOff>
    </xdr:from>
    <xdr:to>
      <xdr:col>28</xdr:col>
      <xdr:colOff>292030</xdr:colOff>
      <xdr:row>7</xdr:row>
      <xdr:rowOff>281940</xdr:rowOff>
    </xdr:to>
    <xdr:pic>
      <xdr:nvPicPr>
        <xdr:cNvPr id="18" name="Picture 17">
          <a:extLst>
            <a:ext uri="{FF2B5EF4-FFF2-40B4-BE49-F238E27FC236}">
              <a16:creationId xmlns:a16="http://schemas.microsoft.com/office/drawing/2014/main" id="{00000000-0008-0000-0500-000012000000}"/>
            </a:ext>
            <a:ext uri="{147F2762-F138-4A5C-976F-8EAC2B608ADB}">
              <a16:predDERef xmlns:a16="http://schemas.microsoft.com/office/drawing/2014/main" pred="{5EBFA0EE-A8FE-413E-9E1B-20882A50CAC3}"/>
            </a:ext>
          </a:extLst>
        </xdr:cNvPr>
        <xdr:cNvPicPr>
          <a:picLocks noChangeAspect="1" noChangeArrowheads="1"/>
        </xdr:cNvPicPr>
      </xdr:nvPicPr>
      <xdr:blipFill>
        <a:blip xmlns:r="http://schemas.openxmlformats.org/officeDocument/2006/relationships" r:embed="rId3" cstate="email">
          <a:extLst>
            <a:ext uri="{28A0092B-C50C-407E-A947-70E740481C1C}">
              <a14:useLocalDpi xmlns:a14="http://schemas.microsoft.com/office/drawing/2010/main"/>
            </a:ext>
          </a:extLst>
        </a:blip>
        <a:srcRect/>
        <a:stretch>
          <a:fillRect/>
        </a:stretch>
      </xdr:blipFill>
      <xdr:spPr bwMode="auto">
        <a:xfrm>
          <a:off x="9035980" y="1318260"/>
          <a:ext cx="224790"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33</xdr:col>
      <xdr:colOff>93403</xdr:colOff>
      <xdr:row>7</xdr:row>
      <xdr:rowOff>53340</xdr:rowOff>
    </xdr:from>
    <xdr:to>
      <xdr:col>33</xdr:col>
      <xdr:colOff>322003</xdr:colOff>
      <xdr:row>7</xdr:row>
      <xdr:rowOff>281940</xdr:rowOff>
    </xdr:to>
    <xdr:pic>
      <xdr:nvPicPr>
        <xdr:cNvPr id="19" name="Picture 18">
          <a:extLst>
            <a:ext uri="{FF2B5EF4-FFF2-40B4-BE49-F238E27FC236}">
              <a16:creationId xmlns:a16="http://schemas.microsoft.com/office/drawing/2014/main" id="{00000000-0008-0000-0500-000013000000}"/>
            </a:ext>
            <a:ext uri="{147F2762-F138-4A5C-976F-8EAC2B608ADB}">
              <a16:predDERef xmlns:a16="http://schemas.microsoft.com/office/drawing/2014/main" pred="{9FC0EFFE-6A87-4EC6-A61D-B68025EDE63D}"/>
            </a:ext>
          </a:extLst>
        </xdr:cNvPr>
        <xdr:cNvPicPr>
          <a:picLocks noChangeAspect="1" noChangeArrowheads="1"/>
        </xdr:cNvPicPr>
      </xdr:nvPicPr>
      <xdr:blipFill>
        <a:blip xmlns:r="http://schemas.openxmlformats.org/officeDocument/2006/relationships" r:embed="rId4" cstate="email">
          <a:extLst>
            <a:ext uri="{28A0092B-C50C-407E-A947-70E740481C1C}">
              <a14:useLocalDpi xmlns:a14="http://schemas.microsoft.com/office/drawing/2010/main"/>
            </a:ext>
          </a:extLst>
        </a:blip>
        <a:srcRect/>
        <a:stretch>
          <a:fillRect/>
        </a:stretch>
      </xdr:blipFill>
      <xdr:spPr bwMode="auto">
        <a:xfrm>
          <a:off x="11043343" y="1318260"/>
          <a:ext cx="228600"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29</xdr:col>
      <xdr:colOff>60185</xdr:colOff>
      <xdr:row>7</xdr:row>
      <xdr:rowOff>53340</xdr:rowOff>
    </xdr:from>
    <xdr:to>
      <xdr:col>29</xdr:col>
      <xdr:colOff>331173</xdr:colOff>
      <xdr:row>7</xdr:row>
      <xdr:rowOff>308398</xdr:rowOff>
    </xdr:to>
    <xdr:grpSp>
      <xdr:nvGrpSpPr>
        <xdr:cNvPr id="20" name="Group 19">
          <a:extLst>
            <a:ext uri="{FF2B5EF4-FFF2-40B4-BE49-F238E27FC236}">
              <a16:creationId xmlns:a16="http://schemas.microsoft.com/office/drawing/2014/main" id="{00000000-0008-0000-0500-000014000000}"/>
            </a:ext>
            <a:ext uri="{147F2762-F138-4A5C-976F-8EAC2B608ADB}">
              <a16:predDERef xmlns:a16="http://schemas.microsoft.com/office/drawing/2014/main" pred="{E9CE268C-0353-4A44-B535-81D9954D3935}"/>
            </a:ext>
          </a:extLst>
        </xdr:cNvPr>
        <xdr:cNvGrpSpPr/>
      </xdr:nvGrpSpPr>
      <xdr:grpSpPr>
        <a:xfrm>
          <a:off x="11775935" y="1405890"/>
          <a:ext cx="270988" cy="255058"/>
          <a:chOff x="5731736" y="6073594"/>
          <a:chExt cx="269083" cy="228600"/>
        </a:xfrm>
      </xdr:grpSpPr>
      <xdr:pic>
        <xdr:nvPicPr>
          <xdr:cNvPr id="21" name="Picture 20" descr="Round icon. Download flag icon of El Salvador">
            <a:extLst>
              <a:ext uri="{FF2B5EF4-FFF2-40B4-BE49-F238E27FC236}">
                <a16:creationId xmlns:a16="http://schemas.microsoft.com/office/drawing/2014/main" id="{00000000-0008-0000-0500-000015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5845756" y="6073594"/>
            <a:ext cx="155063" cy="99965"/>
          </a:xfrm>
          <a:prstGeom prst="rect">
            <a:avLst/>
          </a:prstGeom>
          <a:noFill/>
        </xdr:spPr>
      </xdr:pic>
      <xdr:pic>
        <xdr:nvPicPr>
          <xdr:cNvPr id="22" name="Picture 21" descr="Round icon. Download flag icon of Costa Rica">
            <a:extLst>
              <a:ext uri="{FF2B5EF4-FFF2-40B4-BE49-F238E27FC236}">
                <a16:creationId xmlns:a16="http://schemas.microsoft.com/office/drawing/2014/main" id="{00000000-0008-0000-0500-000016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5731738" y="6202226"/>
            <a:ext cx="155063" cy="99965"/>
          </a:xfrm>
          <a:prstGeom prst="rect">
            <a:avLst/>
          </a:prstGeom>
          <a:noFill/>
        </xdr:spPr>
      </xdr:pic>
      <xdr:pic>
        <xdr:nvPicPr>
          <xdr:cNvPr id="23" name="Picture 22" descr="Round icon. Download flag icon of Honduras">
            <a:extLst>
              <a:ext uri="{FF2B5EF4-FFF2-40B4-BE49-F238E27FC236}">
                <a16:creationId xmlns:a16="http://schemas.microsoft.com/office/drawing/2014/main" id="{00000000-0008-0000-0500-000017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5731736" y="6073595"/>
            <a:ext cx="155063" cy="99965"/>
          </a:xfrm>
          <a:prstGeom prst="rect">
            <a:avLst/>
          </a:prstGeom>
          <a:noFill/>
        </xdr:spPr>
      </xdr:pic>
      <xdr:pic>
        <xdr:nvPicPr>
          <xdr:cNvPr id="24" name="Picture 23" descr="Round icon. Download flag icon of Guatemala">
            <a:extLst>
              <a:ext uri="{FF2B5EF4-FFF2-40B4-BE49-F238E27FC236}">
                <a16:creationId xmlns:a16="http://schemas.microsoft.com/office/drawing/2014/main" id="{00000000-0008-0000-0500-000018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5845753" y="6202229"/>
            <a:ext cx="155063" cy="99965"/>
          </a:xfrm>
          <a:prstGeom prst="rect">
            <a:avLst/>
          </a:prstGeom>
          <a:noFill/>
        </xdr:spPr>
      </xdr:pic>
      <xdr:pic>
        <xdr:nvPicPr>
          <xdr:cNvPr id="25" name="Picture 24" descr="Round icon. Download flag icon of Nicaragua">
            <a:extLst>
              <a:ext uri="{FF2B5EF4-FFF2-40B4-BE49-F238E27FC236}">
                <a16:creationId xmlns:a16="http://schemas.microsoft.com/office/drawing/2014/main" id="{00000000-0008-0000-0500-000019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5788748" y="6138933"/>
            <a:ext cx="155063" cy="99965"/>
          </a:xfrm>
          <a:prstGeom prst="rect">
            <a:avLst/>
          </a:prstGeom>
          <a:noFill/>
        </xdr:spPr>
      </xdr:pic>
    </xdr:grpSp>
    <xdr:clientData/>
  </xdr:twoCellAnchor>
  <xdr:twoCellAnchor>
    <xdr:from>
      <xdr:col>34</xdr:col>
      <xdr:colOff>84443</xdr:colOff>
      <xdr:row>7</xdr:row>
      <xdr:rowOff>53340</xdr:rowOff>
    </xdr:from>
    <xdr:to>
      <xdr:col>34</xdr:col>
      <xdr:colOff>301613</xdr:colOff>
      <xdr:row>7</xdr:row>
      <xdr:rowOff>281940</xdr:rowOff>
    </xdr:to>
    <xdr:pic>
      <xdr:nvPicPr>
        <xdr:cNvPr id="26" name="Picture 25">
          <a:extLst>
            <a:ext uri="{FF2B5EF4-FFF2-40B4-BE49-F238E27FC236}">
              <a16:creationId xmlns:a16="http://schemas.microsoft.com/office/drawing/2014/main" id="{00000000-0008-0000-0500-00001A000000}"/>
            </a:ext>
            <a:ext uri="{147F2762-F138-4A5C-976F-8EAC2B608ADB}">
              <a16:predDERef xmlns:a16="http://schemas.microsoft.com/office/drawing/2014/main" pred="{326AC40A-052F-4A7D-9653-ABA475C09DC7}"/>
            </a:ext>
          </a:extLst>
        </xdr:cNvPr>
        <xdr:cNvPicPr>
          <a:picLocks noChangeAspect="1" noChangeArrowheads="1"/>
        </xdr:cNvPicPr>
      </xdr:nvPicPr>
      <xdr:blipFill>
        <a:blip xmlns:r="http://schemas.openxmlformats.org/officeDocument/2006/relationships" r:embed="rId10" cstate="email">
          <a:extLst>
            <a:ext uri="{28A0092B-C50C-407E-A947-70E740481C1C}">
              <a14:useLocalDpi xmlns:a14="http://schemas.microsoft.com/office/drawing/2010/main"/>
            </a:ext>
          </a:extLst>
        </a:blip>
        <a:srcRect/>
        <a:stretch>
          <a:fillRect/>
        </a:stretch>
      </xdr:blipFill>
      <xdr:spPr bwMode="auto">
        <a:xfrm>
          <a:off x="11430623" y="1318260"/>
          <a:ext cx="217170"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27</xdr:col>
      <xdr:colOff>66675</xdr:colOff>
      <xdr:row>7</xdr:row>
      <xdr:rowOff>47625</xdr:rowOff>
    </xdr:from>
    <xdr:to>
      <xdr:col>27</xdr:col>
      <xdr:colOff>295275</xdr:colOff>
      <xdr:row>7</xdr:row>
      <xdr:rowOff>276225</xdr:rowOff>
    </xdr:to>
    <xdr:pic>
      <xdr:nvPicPr>
        <xdr:cNvPr id="27" name="Picture 26">
          <a:extLst>
            <a:ext uri="{FF2B5EF4-FFF2-40B4-BE49-F238E27FC236}">
              <a16:creationId xmlns:a16="http://schemas.microsoft.com/office/drawing/2014/main" id="{00000000-0008-0000-0500-00001B000000}"/>
            </a:ext>
            <a:ext uri="{147F2762-F138-4A5C-976F-8EAC2B608ADB}">
              <a16:predDERef xmlns:a16="http://schemas.microsoft.com/office/drawing/2014/main" pred="{DD7FCA42-A843-4E89-80BB-5D165395800F}"/>
            </a:ext>
          </a:extLst>
        </xdr:cNvPr>
        <xdr:cNvPicPr>
          <a:picLocks noChangeAspect="1" noChangeArrowheads="1"/>
        </xdr:cNvPicPr>
      </xdr:nvPicPr>
      <xdr:blipFill>
        <a:blip xmlns:r="http://schemas.openxmlformats.org/officeDocument/2006/relationships" r:embed="rId11" cstate="email">
          <a:extLst>
            <a:ext uri="{28A0092B-C50C-407E-A947-70E740481C1C}">
              <a14:useLocalDpi xmlns:a14="http://schemas.microsoft.com/office/drawing/2010/main"/>
            </a:ext>
          </a:extLst>
        </a:blip>
        <a:srcRect/>
        <a:stretch>
          <a:fillRect/>
        </a:stretch>
      </xdr:blipFill>
      <xdr:spPr bwMode="auto">
        <a:xfrm>
          <a:off x="8639175" y="1312545"/>
          <a:ext cx="228600"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31</xdr:col>
      <xdr:colOff>88463</xdr:colOff>
      <xdr:row>7</xdr:row>
      <xdr:rowOff>53340</xdr:rowOff>
    </xdr:from>
    <xdr:to>
      <xdr:col>31</xdr:col>
      <xdr:colOff>330398</xdr:colOff>
      <xdr:row>7</xdr:row>
      <xdr:rowOff>281940</xdr:rowOff>
    </xdr:to>
    <xdr:pic>
      <xdr:nvPicPr>
        <xdr:cNvPr id="28" name="Picture 27">
          <a:extLst>
            <a:ext uri="{FF2B5EF4-FFF2-40B4-BE49-F238E27FC236}">
              <a16:creationId xmlns:a16="http://schemas.microsoft.com/office/drawing/2014/main" id="{00000000-0008-0000-0500-00001C000000}"/>
            </a:ext>
            <a:ext uri="{147F2762-F138-4A5C-976F-8EAC2B608ADB}">
              <a16:predDERef xmlns:a16="http://schemas.microsoft.com/office/drawing/2014/main" pred="{331D45A2-88DB-454A-861C-F502D43F424C}"/>
            </a:ext>
          </a:extLst>
        </xdr:cNvPr>
        <xdr:cNvPicPr>
          <a:picLocks noChangeAspect="1" noChangeArrowheads="1"/>
        </xdr:cNvPicPr>
      </xdr:nvPicPr>
      <xdr:blipFill>
        <a:blip xmlns:r="http://schemas.openxmlformats.org/officeDocument/2006/relationships" r:embed="rId12" cstate="email">
          <a:extLst>
            <a:ext uri="{28A0092B-C50C-407E-A947-70E740481C1C}">
              <a14:useLocalDpi xmlns:a14="http://schemas.microsoft.com/office/drawing/2010/main"/>
            </a:ext>
          </a:extLst>
        </a:blip>
        <a:srcRect/>
        <a:stretch>
          <a:fillRect/>
        </a:stretch>
      </xdr:blipFill>
      <xdr:spPr bwMode="auto">
        <a:xfrm>
          <a:off x="10245923" y="1318260"/>
          <a:ext cx="24193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35</xdr:col>
      <xdr:colOff>67866</xdr:colOff>
      <xdr:row>7</xdr:row>
      <xdr:rowOff>53340</xdr:rowOff>
    </xdr:from>
    <xdr:to>
      <xdr:col>35</xdr:col>
      <xdr:colOff>288859</xdr:colOff>
      <xdr:row>7</xdr:row>
      <xdr:rowOff>283845</xdr:rowOff>
    </xdr:to>
    <xdr:pic>
      <xdr:nvPicPr>
        <xdr:cNvPr id="29" name="Picture 28">
          <a:extLst>
            <a:ext uri="{FF2B5EF4-FFF2-40B4-BE49-F238E27FC236}">
              <a16:creationId xmlns:a16="http://schemas.microsoft.com/office/drawing/2014/main" id="{00000000-0008-0000-0500-00001D000000}"/>
            </a:ext>
            <a:ext uri="{147F2762-F138-4A5C-976F-8EAC2B608ADB}">
              <a16:predDERef xmlns:a16="http://schemas.microsoft.com/office/drawing/2014/main" pred="{0EABFA00-A3C9-436E-8DD9-7E1F5EBD01D5}"/>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1810286" y="1318260"/>
          <a:ext cx="221628" cy="234315"/>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495300</xdr:colOff>
          <xdr:row>1</xdr:row>
          <xdr:rowOff>114300</xdr:rowOff>
        </xdr:from>
        <xdr:to>
          <xdr:col>8</xdr:col>
          <xdr:colOff>260350</xdr:colOff>
          <xdr:row>2</xdr:row>
          <xdr:rowOff>152400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5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a:t>
              </a:r>
            </a:p>
          </xdr:txBody>
        </xdr:sp>
        <xdr:clientData fPrintsWithSheet="0"/>
      </xdr:twoCellAnchor>
    </mc:Choice>
    <mc:Fallback/>
  </mc:AlternateContent>
  <xdr:twoCellAnchor editAs="oneCell">
    <xdr:from>
      <xdr:col>22</xdr:col>
      <xdr:colOff>28574</xdr:colOff>
      <xdr:row>7</xdr:row>
      <xdr:rowOff>36195</xdr:rowOff>
    </xdr:from>
    <xdr:to>
      <xdr:col>22</xdr:col>
      <xdr:colOff>361187</xdr:colOff>
      <xdr:row>7</xdr:row>
      <xdr:rowOff>304722</xdr:rowOff>
    </xdr:to>
    <xdr:pic>
      <xdr:nvPicPr>
        <xdr:cNvPr id="31" name="Picture 30" descr="Round icon. Download flag icon of United States of America">
          <a:extLst>
            <a:ext uri="{FF2B5EF4-FFF2-40B4-BE49-F238E27FC236}">
              <a16:creationId xmlns:a16="http://schemas.microsoft.com/office/drawing/2014/main" id="{00000000-0008-0000-0500-00001F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981949" y="1293495"/>
          <a:ext cx="351663" cy="2685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23</xdr:col>
      <xdr:colOff>59055</xdr:colOff>
      <xdr:row>7</xdr:row>
      <xdr:rowOff>0</xdr:rowOff>
    </xdr:from>
    <xdr:to>
      <xdr:col>24</xdr:col>
      <xdr:colOff>2811</xdr:colOff>
      <xdr:row>7</xdr:row>
      <xdr:rowOff>306705</xdr:rowOff>
    </xdr:to>
    <xdr:pic>
      <xdr:nvPicPr>
        <xdr:cNvPr id="32" name="Picture 31" descr="Sams Club Transparent PNG - 468x468 - Free Download on NicePNG">
          <a:extLst>
            <a:ext uri="{FF2B5EF4-FFF2-40B4-BE49-F238E27FC236}">
              <a16:creationId xmlns:a16="http://schemas.microsoft.com/office/drawing/2014/main" id="{00000000-0008-0000-0500-000020000000}"/>
            </a:ext>
          </a:extLst>
        </xdr:cNvPr>
        <xdr:cNvPicPr>
          <a:picLocks noChangeAspect="1" noChangeArrowheads="1"/>
        </xdr:cNvPicPr>
      </xdr:nvPicPr>
      <xdr:blipFill rotWithShape="1">
        <a:blip xmlns:r="http://schemas.openxmlformats.org/officeDocument/2006/relationships" r:embed="rId16" cstate="print">
          <a:extLst>
            <a:ext uri="{BEBA8EAE-BF5A-486C-A8C5-ECC9F3942E4B}">
              <a14:imgProps xmlns:a14="http://schemas.microsoft.com/office/drawing/2010/main">
                <a14:imgLayer r:embed="rId17">
                  <a14:imgEffect>
                    <a14:brightnessContrast contrast="-1000"/>
                  </a14:imgEffect>
                </a14:imgLayer>
              </a14:imgProps>
            </a:ext>
            <a:ext uri="{28A0092B-C50C-407E-A947-70E740481C1C}">
              <a14:useLocalDpi xmlns:a14="http://schemas.microsoft.com/office/drawing/2010/main" val="0"/>
            </a:ext>
          </a:extLst>
        </a:blip>
        <a:srcRect l="21366" t="7299" r="21464" b="7153"/>
        <a:stretch/>
      </xdr:blipFill>
      <xdr:spPr bwMode="auto">
        <a:xfrm>
          <a:off x="8412480" y="1257300"/>
          <a:ext cx="324756" cy="3067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36</xdr:col>
      <xdr:colOff>7619</xdr:colOff>
      <xdr:row>7</xdr:row>
      <xdr:rowOff>36195</xdr:rowOff>
    </xdr:from>
    <xdr:to>
      <xdr:col>36</xdr:col>
      <xdr:colOff>361187</xdr:colOff>
      <xdr:row>7</xdr:row>
      <xdr:rowOff>304722</xdr:rowOff>
    </xdr:to>
    <xdr:pic>
      <xdr:nvPicPr>
        <xdr:cNvPr id="33" name="Picture 32" descr="Round icon. Download flag icon of United States of America">
          <a:extLst>
            <a:ext uri="{FF2B5EF4-FFF2-40B4-BE49-F238E27FC236}">
              <a16:creationId xmlns:a16="http://schemas.microsoft.com/office/drawing/2014/main" id="{00000000-0008-0000-0500-000021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3218794" y="1293495"/>
          <a:ext cx="353568" cy="2685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37</xdr:col>
      <xdr:colOff>36195</xdr:colOff>
      <xdr:row>7</xdr:row>
      <xdr:rowOff>0</xdr:rowOff>
    </xdr:from>
    <xdr:to>
      <xdr:col>37</xdr:col>
      <xdr:colOff>364761</xdr:colOff>
      <xdr:row>7</xdr:row>
      <xdr:rowOff>306705</xdr:rowOff>
    </xdr:to>
    <xdr:pic>
      <xdr:nvPicPr>
        <xdr:cNvPr id="34" name="Picture 33" descr="Sams Club Transparent PNG - 468x468 - Free Download on NicePNG">
          <a:extLst>
            <a:ext uri="{FF2B5EF4-FFF2-40B4-BE49-F238E27FC236}">
              <a16:creationId xmlns:a16="http://schemas.microsoft.com/office/drawing/2014/main" id="{00000000-0008-0000-0500-000022000000}"/>
            </a:ext>
          </a:extLst>
        </xdr:cNvPr>
        <xdr:cNvPicPr>
          <a:picLocks noChangeAspect="1" noChangeArrowheads="1"/>
        </xdr:cNvPicPr>
      </xdr:nvPicPr>
      <xdr:blipFill rotWithShape="1">
        <a:blip xmlns:r="http://schemas.openxmlformats.org/officeDocument/2006/relationships" r:embed="rId16" cstate="print">
          <a:extLst>
            <a:ext uri="{BEBA8EAE-BF5A-486C-A8C5-ECC9F3942E4B}">
              <a14:imgProps xmlns:a14="http://schemas.microsoft.com/office/drawing/2010/main">
                <a14:imgLayer r:embed="rId17">
                  <a14:imgEffect>
                    <a14:brightnessContrast contrast="-1000"/>
                  </a14:imgEffect>
                </a14:imgLayer>
              </a14:imgProps>
            </a:ext>
            <a:ext uri="{28A0092B-C50C-407E-A947-70E740481C1C}">
              <a14:useLocalDpi xmlns:a14="http://schemas.microsoft.com/office/drawing/2010/main" val="0"/>
            </a:ext>
          </a:extLst>
        </a:blip>
        <a:srcRect l="21366" t="7299" r="21464" b="7153"/>
        <a:stretch/>
      </xdr:blipFill>
      <xdr:spPr bwMode="auto">
        <a:xfrm>
          <a:off x="13647420" y="1257300"/>
          <a:ext cx="328566" cy="3067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45</xdr:col>
      <xdr:colOff>95518</xdr:colOff>
      <xdr:row>7</xdr:row>
      <xdr:rowOff>53340</xdr:rowOff>
    </xdr:from>
    <xdr:to>
      <xdr:col>45</xdr:col>
      <xdr:colOff>329833</xdr:colOff>
      <xdr:row>7</xdr:row>
      <xdr:rowOff>281940</xdr:rowOff>
    </xdr:to>
    <xdr:pic>
      <xdr:nvPicPr>
        <xdr:cNvPr id="35" name="Picture 34">
          <a:extLst>
            <a:ext uri="{FF2B5EF4-FFF2-40B4-BE49-F238E27FC236}">
              <a16:creationId xmlns:a16="http://schemas.microsoft.com/office/drawing/2014/main" id="{00000000-0008-0000-0500-000023000000}"/>
            </a:ext>
            <a:ext uri="{147F2762-F138-4A5C-976F-8EAC2B608ADB}">
              <a16:predDERef xmlns:a16="http://schemas.microsoft.com/office/drawing/2014/main" pred="{CA1CB08A-F7E6-4B59-B30E-EB7279372703}"/>
            </a:ext>
          </a:extLst>
        </xdr:cNvPr>
        <xdr:cNvPicPr>
          <a:picLocks noChangeAspect="1" noChangeArrowheads="1"/>
        </xdr:cNvPicPr>
      </xdr:nvPicPr>
      <xdr:blipFill>
        <a:blip xmlns:r="http://schemas.openxmlformats.org/officeDocument/2006/relationships" r:embed="rId1" cstate="email">
          <a:extLst>
            <a:ext uri="{28A0092B-C50C-407E-A947-70E740481C1C}">
              <a14:useLocalDpi xmlns:a14="http://schemas.microsoft.com/office/drawing/2010/main"/>
            </a:ext>
          </a:extLst>
        </a:blip>
        <a:srcRect/>
        <a:stretch>
          <a:fillRect/>
        </a:stretch>
      </xdr:blipFill>
      <xdr:spPr bwMode="auto">
        <a:xfrm>
          <a:off x="11588383" y="1314450"/>
          <a:ext cx="23431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47</xdr:col>
      <xdr:colOff>89028</xdr:colOff>
      <xdr:row>7</xdr:row>
      <xdr:rowOff>53340</xdr:rowOff>
    </xdr:from>
    <xdr:to>
      <xdr:col>47</xdr:col>
      <xdr:colOff>330963</xdr:colOff>
      <xdr:row>7</xdr:row>
      <xdr:rowOff>281940</xdr:rowOff>
    </xdr:to>
    <xdr:pic>
      <xdr:nvPicPr>
        <xdr:cNvPr id="36" name="Picture 35">
          <a:extLst>
            <a:ext uri="{FF2B5EF4-FFF2-40B4-BE49-F238E27FC236}">
              <a16:creationId xmlns:a16="http://schemas.microsoft.com/office/drawing/2014/main" id="{00000000-0008-0000-0500-000024000000}"/>
            </a:ext>
            <a:ext uri="{147F2762-F138-4A5C-976F-8EAC2B608ADB}">
              <a16:predDERef xmlns:a16="http://schemas.microsoft.com/office/drawing/2014/main" pred="{180D7BD3-66AC-4AE6-82E8-2474F7446EE4}"/>
            </a:ext>
          </a:extLst>
        </xdr:cNvPr>
        <xdr:cNvPicPr>
          <a:picLocks noChangeAspect="1" noChangeArrowheads="1"/>
        </xdr:cNvPicPr>
      </xdr:nvPicPr>
      <xdr:blipFill>
        <a:blip xmlns:r="http://schemas.openxmlformats.org/officeDocument/2006/relationships" r:embed="rId2" cstate="email">
          <a:extLst>
            <a:ext uri="{28A0092B-C50C-407E-A947-70E740481C1C}">
              <a14:useLocalDpi xmlns:a14="http://schemas.microsoft.com/office/drawing/2010/main"/>
            </a:ext>
          </a:extLst>
        </a:blip>
        <a:srcRect/>
        <a:stretch>
          <a:fillRect/>
        </a:stretch>
      </xdr:blipFill>
      <xdr:spPr bwMode="auto">
        <a:xfrm>
          <a:off x="12389613" y="1314450"/>
          <a:ext cx="23431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43</xdr:col>
      <xdr:colOff>67240</xdr:colOff>
      <xdr:row>7</xdr:row>
      <xdr:rowOff>53340</xdr:rowOff>
    </xdr:from>
    <xdr:to>
      <xdr:col>43</xdr:col>
      <xdr:colOff>292030</xdr:colOff>
      <xdr:row>7</xdr:row>
      <xdr:rowOff>281940</xdr:rowOff>
    </xdr:to>
    <xdr:pic>
      <xdr:nvPicPr>
        <xdr:cNvPr id="37" name="Picture 36">
          <a:extLst>
            <a:ext uri="{FF2B5EF4-FFF2-40B4-BE49-F238E27FC236}">
              <a16:creationId xmlns:a16="http://schemas.microsoft.com/office/drawing/2014/main" id="{00000000-0008-0000-0500-000025000000}"/>
            </a:ext>
            <a:ext uri="{147F2762-F138-4A5C-976F-8EAC2B608ADB}">
              <a16:predDERef xmlns:a16="http://schemas.microsoft.com/office/drawing/2014/main" pred="{5EBFA0EE-A8FE-413E-9E1B-20882A50CAC3}"/>
            </a:ext>
          </a:extLst>
        </xdr:cNvPr>
        <xdr:cNvPicPr>
          <a:picLocks noChangeAspect="1" noChangeArrowheads="1"/>
        </xdr:cNvPicPr>
      </xdr:nvPicPr>
      <xdr:blipFill>
        <a:blip xmlns:r="http://schemas.openxmlformats.org/officeDocument/2006/relationships" r:embed="rId3" cstate="email">
          <a:extLst>
            <a:ext uri="{28A0092B-C50C-407E-A947-70E740481C1C}">
              <a14:useLocalDpi xmlns:a14="http://schemas.microsoft.com/office/drawing/2010/main"/>
            </a:ext>
          </a:extLst>
        </a:blip>
        <a:srcRect/>
        <a:stretch>
          <a:fillRect/>
        </a:stretch>
      </xdr:blipFill>
      <xdr:spPr bwMode="auto">
        <a:xfrm>
          <a:off x="10761910" y="1314450"/>
          <a:ext cx="22288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48</xdr:col>
      <xdr:colOff>93403</xdr:colOff>
      <xdr:row>7</xdr:row>
      <xdr:rowOff>53340</xdr:rowOff>
    </xdr:from>
    <xdr:to>
      <xdr:col>48</xdr:col>
      <xdr:colOff>322003</xdr:colOff>
      <xdr:row>7</xdr:row>
      <xdr:rowOff>281940</xdr:rowOff>
    </xdr:to>
    <xdr:pic>
      <xdr:nvPicPr>
        <xdr:cNvPr id="38" name="Picture 37">
          <a:extLst>
            <a:ext uri="{FF2B5EF4-FFF2-40B4-BE49-F238E27FC236}">
              <a16:creationId xmlns:a16="http://schemas.microsoft.com/office/drawing/2014/main" id="{00000000-0008-0000-0500-000026000000}"/>
            </a:ext>
            <a:ext uri="{147F2762-F138-4A5C-976F-8EAC2B608ADB}">
              <a16:predDERef xmlns:a16="http://schemas.microsoft.com/office/drawing/2014/main" pred="{9FC0EFFE-6A87-4EC6-A61D-B68025EDE63D}"/>
            </a:ext>
          </a:extLst>
        </xdr:cNvPr>
        <xdr:cNvPicPr>
          <a:picLocks noChangeAspect="1" noChangeArrowheads="1"/>
        </xdr:cNvPicPr>
      </xdr:nvPicPr>
      <xdr:blipFill>
        <a:blip xmlns:r="http://schemas.openxmlformats.org/officeDocument/2006/relationships" r:embed="rId4" cstate="email">
          <a:extLst>
            <a:ext uri="{28A0092B-C50C-407E-A947-70E740481C1C}">
              <a14:useLocalDpi xmlns:a14="http://schemas.microsoft.com/office/drawing/2010/main"/>
            </a:ext>
          </a:extLst>
        </a:blip>
        <a:srcRect/>
        <a:stretch>
          <a:fillRect/>
        </a:stretch>
      </xdr:blipFill>
      <xdr:spPr bwMode="auto">
        <a:xfrm>
          <a:off x="12794038" y="1314450"/>
          <a:ext cx="228600"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44</xdr:col>
      <xdr:colOff>56375</xdr:colOff>
      <xdr:row>7</xdr:row>
      <xdr:rowOff>57150</xdr:rowOff>
    </xdr:from>
    <xdr:to>
      <xdr:col>44</xdr:col>
      <xdr:colOff>327363</xdr:colOff>
      <xdr:row>7</xdr:row>
      <xdr:rowOff>308398</xdr:rowOff>
    </xdr:to>
    <xdr:grpSp>
      <xdr:nvGrpSpPr>
        <xdr:cNvPr id="39" name="Group 38">
          <a:extLst>
            <a:ext uri="{FF2B5EF4-FFF2-40B4-BE49-F238E27FC236}">
              <a16:creationId xmlns:a16="http://schemas.microsoft.com/office/drawing/2014/main" id="{00000000-0008-0000-0500-000027000000}"/>
            </a:ext>
            <a:ext uri="{147F2762-F138-4A5C-976F-8EAC2B608ADB}">
              <a16:predDERef xmlns:a16="http://schemas.microsoft.com/office/drawing/2014/main" pred="{E9CE268C-0353-4A44-B535-81D9954D3935}"/>
            </a:ext>
          </a:extLst>
        </xdr:cNvPr>
        <xdr:cNvGrpSpPr/>
      </xdr:nvGrpSpPr>
      <xdr:grpSpPr>
        <a:xfrm>
          <a:off x="16687025" y="1409700"/>
          <a:ext cx="270988" cy="251248"/>
          <a:chOff x="5731736" y="6073594"/>
          <a:chExt cx="269083" cy="228600"/>
        </a:xfrm>
      </xdr:grpSpPr>
      <xdr:pic>
        <xdr:nvPicPr>
          <xdr:cNvPr id="40" name="Picture 39" descr="Round icon. Download flag icon of El Salvador">
            <a:extLst>
              <a:ext uri="{FF2B5EF4-FFF2-40B4-BE49-F238E27FC236}">
                <a16:creationId xmlns:a16="http://schemas.microsoft.com/office/drawing/2014/main" id="{00000000-0008-0000-0500-000028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5845756" y="6073594"/>
            <a:ext cx="155063" cy="99965"/>
          </a:xfrm>
          <a:prstGeom prst="rect">
            <a:avLst/>
          </a:prstGeom>
          <a:noFill/>
        </xdr:spPr>
      </xdr:pic>
      <xdr:pic>
        <xdr:nvPicPr>
          <xdr:cNvPr id="41" name="Picture 40" descr="Round icon. Download flag icon of Costa Rica">
            <a:extLst>
              <a:ext uri="{FF2B5EF4-FFF2-40B4-BE49-F238E27FC236}">
                <a16:creationId xmlns:a16="http://schemas.microsoft.com/office/drawing/2014/main" id="{00000000-0008-0000-0500-000029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5731738" y="6202226"/>
            <a:ext cx="155063" cy="99965"/>
          </a:xfrm>
          <a:prstGeom prst="rect">
            <a:avLst/>
          </a:prstGeom>
          <a:noFill/>
        </xdr:spPr>
      </xdr:pic>
      <xdr:pic>
        <xdr:nvPicPr>
          <xdr:cNvPr id="42" name="Picture 41" descr="Round icon. Download flag icon of Honduras">
            <a:extLst>
              <a:ext uri="{FF2B5EF4-FFF2-40B4-BE49-F238E27FC236}">
                <a16:creationId xmlns:a16="http://schemas.microsoft.com/office/drawing/2014/main" id="{00000000-0008-0000-0500-00002A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5731736" y="6073595"/>
            <a:ext cx="155063" cy="99965"/>
          </a:xfrm>
          <a:prstGeom prst="rect">
            <a:avLst/>
          </a:prstGeom>
          <a:noFill/>
        </xdr:spPr>
      </xdr:pic>
      <xdr:pic>
        <xdr:nvPicPr>
          <xdr:cNvPr id="43" name="Picture 42" descr="Round icon. Download flag icon of Guatemala">
            <a:extLst>
              <a:ext uri="{FF2B5EF4-FFF2-40B4-BE49-F238E27FC236}">
                <a16:creationId xmlns:a16="http://schemas.microsoft.com/office/drawing/2014/main" id="{00000000-0008-0000-0500-00002B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5845753" y="6202229"/>
            <a:ext cx="155063" cy="99965"/>
          </a:xfrm>
          <a:prstGeom prst="rect">
            <a:avLst/>
          </a:prstGeom>
          <a:noFill/>
        </xdr:spPr>
      </xdr:pic>
      <xdr:pic>
        <xdr:nvPicPr>
          <xdr:cNvPr id="44" name="Picture 43" descr="Round icon. Download flag icon of Nicaragua">
            <a:extLst>
              <a:ext uri="{FF2B5EF4-FFF2-40B4-BE49-F238E27FC236}">
                <a16:creationId xmlns:a16="http://schemas.microsoft.com/office/drawing/2014/main" id="{00000000-0008-0000-0500-00002C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5788748" y="6138933"/>
            <a:ext cx="155063" cy="99965"/>
          </a:xfrm>
          <a:prstGeom prst="rect">
            <a:avLst/>
          </a:prstGeom>
          <a:noFill/>
        </xdr:spPr>
      </xdr:pic>
    </xdr:grpSp>
    <xdr:clientData/>
  </xdr:twoCellAnchor>
  <xdr:twoCellAnchor>
    <xdr:from>
      <xdr:col>49</xdr:col>
      <xdr:colOff>84443</xdr:colOff>
      <xdr:row>7</xdr:row>
      <xdr:rowOff>53340</xdr:rowOff>
    </xdr:from>
    <xdr:to>
      <xdr:col>49</xdr:col>
      <xdr:colOff>301613</xdr:colOff>
      <xdr:row>7</xdr:row>
      <xdr:rowOff>281940</xdr:rowOff>
    </xdr:to>
    <xdr:pic>
      <xdr:nvPicPr>
        <xdr:cNvPr id="45" name="Picture 44">
          <a:extLst>
            <a:ext uri="{FF2B5EF4-FFF2-40B4-BE49-F238E27FC236}">
              <a16:creationId xmlns:a16="http://schemas.microsoft.com/office/drawing/2014/main" id="{00000000-0008-0000-0500-00002D000000}"/>
            </a:ext>
            <a:ext uri="{147F2762-F138-4A5C-976F-8EAC2B608ADB}">
              <a16:predDERef xmlns:a16="http://schemas.microsoft.com/office/drawing/2014/main" pred="{326AC40A-052F-4A7D-9653-ABA475C09DC7}"/>
            </a:ext>
          </a:extLst>
        </xdr:cNvPr>
        <xdr:cNvPicPr>
          <a:picLocks noChangeAspect="1" noChangeArrowheads="1"/>
        </xdr:cNvPicPr>
      </xdr:nvPicPr>
      <xdr:blipFill>
        <a:blip xmlns:r="http://schemas.openxmlformats.org/officeDocument/2006/relationships" r:embed="rId10" cstate="email">
          <a:extLst>
            <a:ext uri="{28A0092B-C50C-407E-A947-70E740481C1C}">
              <a14:useLocalDpi xmlns:a14="http://schemas.microsoft.com/office/drawing/2010/main"/>
            </a:ext>
          </a:extLst>
        </a:blip>
        <a:srcRect/>
        <a:stretch>
          <a:fillRect/>
        </a:stretch>
      </xdr:blipFill>
      <xdr:spPr bwMode="auto">
        <a:xfrm>
          <a:off x="13183223" y="1314450"/>
          <a:ext cx="21526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66675</xdr:colOff>
      <xdr:row>7</xdr:row>
      <xdr:rowOff>47625</xdr:rowOff>
    </xdr:from>
    <xdr:to>
      <xdr:col>42</xdr:col>
      <xdr:colOff>295275</xdr:colOff>
      <xdr:row>7</xdr:row>
      <xdr:rowOff>276225</xdr:rowOff>
    </xdr:to>
    <xdr:pic>
      <xdr:nvPicPr>
        <xdr:cNvPr id="46" name="Picture 45">
          <a:extLst>
            <a:ext uri="{FF2B5EF4-FFF2-40B4-BE49-F238E27FC236}">
              <a16:creationId xmlns:a16="http://schemas.microsoft.com/office/drawing/2014/main" id="{00000000-0008-0000-0500-00002E000000}"/>
            </a:ext>
            <a:ext uri="{147F2762-F138-4A5C-976F-8EAC2B608ADB}">
              <a16:predDERef xmlns:a16="http://schemas.microsoft.com/office/drawing/2014/main" pred="{DD7FCA42-A843-4E89-80BB-5D165395800F}"/>
            </a:ext>
          </a:extLst>
        </xdr:cNvPr>
        <xdr:cNvPicPr>
          <a:picLocks noChangeAspect="1" noChangeArrowheads="1"/>
        </xdr:cNvPicPr>
      </xdr:nvPicPr>
      <xdr:blipFill>
        <a:blip xmlns:r="http://schemas.openxmlformats.org/officeDocument/2006/relationships" r:embed="rId11" cstate="email">
          <a:extLst>
            <a:ext uri="{28A0092B-C50C-407E-A947-70E740481C1C}">
              <a14:useLocalDpi xmlns:a14="http://schemas.microsoft.com/office/drawing/2010/main"/>
            </a:ext>
          </a:extLst>
        </a:blip>
        <a:srcRect/>
        <a:stretch>
          <a:fillRect/>
        </a:stretch>
      </xdr:blipFill>
      <xdr:spPr bwMode="auto">
        <a:xfrm>
          <a:off x="10361295" y="1306830"/>
          <a:ext cx="228600"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46</xdr:col>
      <xdr:colOff>88463</xdr:colOff>
      <xdr:row>7</xdr:row>
      <xdr:rowOff>53340</xdr:rowOff>
    </xdr:from>
    <xdr:to>
      <xdr:col>46</xdr:col>
      <xdr:colOff>330398</xdr:colOff>
      <xdr:row>7</xdr:row>
      <xdr:rowOff>281940</xdr:rowOff>
    </xdr:to>
    <xdr:pic>
      <xdr:nvPicPr>
        <xdr:cNvPr id="47" name="Picture 46">
          <a:extLst>
            <a:ext uri="{FF2B5EF4-FFF2-40B4-BE49-F238E27FC236}">
              <a16:creationId xmlns:a16="http://schemas.microsoft.com/office/drawing/2014/main" id="{00000000-0008-0000-0500-00002F000000}"/>
            </a:ext>
            <a:ext uri="{147F2762-F138-4A5C-976F-8EAC2B608ADB}">
              <a16:predDERef xmlns:a16="http://schemas.microsoft.com/office/drawing/2014/main" pred="{331D45A2-88DB-454A-861C-F502D43F424C}"/>
            </a:ext>
          </a:extLst>
        </xdr:cNvPr>
        <xdr:cNvPicPr>
          <a:picLocks noChangeAspect="1" noChangeArrowheads="1"/>
        </xdr:cNvPicPr>
      </xdr:nvPicPr>
      <xdr:blipFill>
        <a:blip xmlns:r="http://schemas.openxmlformats.org/officeDocument/2006/relationships" r:embed="rId12" cstate="email">
          <a:extLst>
            <a:ext uri="{28A0092B-C50C-407E-A947-70E740481C1C}">
              <a14:useLocalDpi xmlns:a14="http://schemas.microsoft.com/office/drawing/2010/main"/>
            </a:ext>
          </a:extLst>
        </a:blip>
        <a:srcRect/>
        <a:stretch>
          <a:fillRect/>
        </a:stretch>
      </xdr:blipFill>
      <xdr:spPr bwMode="auto">
        <a:xfrm>
          <a:off x="11988998" y="1314450"/>
          <a:ext cx="23431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50</xdr:col>
      <xdr:colOff>67866</xdr:colOff>
      <xdr:row>7</xdr:row>
      <xdr:rowOff>53340</xdr:rowOff>
    </xdr:from>
    <xdr:ext cx="223533" cy="230505"/>
    <xdr:pic>
      <xdr:nvPicPr>
        <xdr:cNvPr id="48" name="Picture 47">
          <a:extLst>
            <a:ext uri="{FF2B5EF4-FFF2-40B4-BE49-F238E27FC236}">
              <a16:creationId xmlns:a16="http://schemas.microsoft.com/office/drawing/2014/main" id="{00000000-0008-0000-0500-000030000000}"/>
            </a:ext>
            <a:ext uri="{147F2762-F138-4A5C-976F-8EAC2B608ADB}">
              <a16:predDERef xmlns:a16="http://schemas.microsoft.com/office/drawing/2014/main" pred="{0EABFA00-A3C9-436E-8DD9-7E1F5EBD01D5}"/>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3562886" y="1314450"/>
          <a:ext cx="223533" cy="230505"/>
        </a:xfrm>
        <a:prstGeom prst="rect">
          <a:avLst/>
        </a:prstGeom>
      </xdr:spPr>
    </xdr:pic>
    <xdr:clientData/>
  </xdr:oneCellAnchor>
  <xdr:oneCellAnchor>
    <xdr:from>
      <xdr:col>51</xdr:col>
      <xdr:colOff>7619</xdr:colOff>
      <xdr:row>7</xdr:row>
      <xdr:rowOff>36195</xdr:rowOff>
    </xdr:from>
    <xdr:ext cx="355473" cy="268527"/>
    <xdr:pic>
      <xdr:nvPicPr>
        <xdr:cNvPr id="49" name="Picture 48" descr="Round icon. Download flag icon of United States of America">
          <a:extLst>
            <a:ext uri="{FF2B5EF4-FFF2-40B4-BE49-F238E27FC236}">
              <a16:creationId xmlns:a16="http://schemas.microsoft.com/office/drawing/2014/main" id="{00000000-0008-0000-0500-000031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3906499" y="1293495"/>
          <a:ext cx="355473" cy="2685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52</xdr:col>
      <xdr:colOff>36195</xdr:colOff>
      <xdr:row>7</xdr:row>
      <xdr:rowOff>0</xdr:rowOff>
    </xdr:from>
    <xdr:ext cx="324756" cy="306705"/>
    <xdr:pic>
      <xdr:nvPicPr>
        <xdr:cNvPr id="50" name="Picture 49" descr="Sams Club Transparent PNG - 468x468 - Free Download on NicePNG">
          <a:extLst>
            <a:ext uri="{FF2B5EF4-FFF2-40B4-BE49-F238E27FC236}">
              <a16:creationId xmlns:a16="http://schemas.microsoft.com/office/drawing/2014/main" id="{00000000-0008-0000-0500-000032000000}"/>
            </a:ext>
          </a:extLst>
        </xdr:cNvPr>
        <xdr:cNvPicPr>
          <a:picLocks noChangeAspect="1" noChangeArrowheads="1"/>
        </xdr:cNvPicPr>
      </xdr:nvPicPr>
      <xdr:blipFill rotWithShape="1">
        <a:blip xmlns:r="http://schemas.openxmlformats.org/officeDocument/2006/relationships" r:embed="rId16" cstate="print">
          <a:extLst>
            <a:ext uri="{BEBA8EAE-BF5A-486C-A8C5-ECC9F3942E4B}">
              <a14:imgProps xmlns:a14="http://schemas.microsoft.com/office/drawing/2010/main">
                <a14:imgLayer r:embed="rId17">
                  <a14:imgEffect>
                    <a14:brightnessContrast contrast="-1000"/>
                  </a14:imgEffect>
                </a14:imgLayer>
              </a14:imgProps>
            </a:ext>
            <a:ext uri="{28A0092B-C50C-407E-A947-70E740481C1C}">
              <a14:useLocalDpi xmlns:a14="http://schemas.microsoft.com/office/drawing/2010/main" val="0"/>
            </a:ext>
          </a:extLst>
        </a:blip>
        <a:srcRect l="21366" t="7299" r="21464" b="7153"/>
        <a:stretch/>
      </xdr:blipFill>
      <xdr:spPr bwMode="auto">
        <a:xfrm>
          <a:off x="14333220" y="1257300"/>
          <a:ext cx="324756" cy="30670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1181100</xdr:colOff>
          <xdr:row>1</xdr:row>
          <xdr:rowOff>76200</xdr:rowOff>
        </xdr:from>
        <xdr:to>
          <xdr:col>4</xdr:col>
          <xdr:colOff>2247900</xdr:colOff>
          <xdr:row>2</xdr:row>
          <xdr:rowOff>114300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1181100</xdr:colOff>
          <xdr:row>1</xdr:row>
          <xdr:rowOff>76200</xdr:rowOff>
        </xdr:from>
        <xdr:to>
          <xdr:col>4</xdr:col>
          <xdr:colOff>2247900</xdr:colOff>
          <xdr:row>2</xdr:row>
          <xdr:rowOff>114300</xdr:rowOff>
        </xdr:to>
        <xdr:sp macro="" textlink="">
          <xdr:nvSpPr>
            <xdr:cNvPr id="39937" name="Button 1" hidden="1">
              <a:extLst>
                <a:ext uri="{63B3BB69-23CF-44E3-9099-C40C66FF867C}">
                  <a14:compatExt spid="_x0000_s39937"/>
                </a:ext>
                <a:ext uri="{FF2B5EF4-FFF2-40B4-BE49-F238E27FC236}">
                  <a16:creationId xmlns:a16="http://schemas.microsoft.com/office/drawing/2014/main" id="{00000000-0008-0000-0700-0000019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76200</xdr:colOff>
          <xdr:row>4</xdr:row>
          <xdr:rowOff>165100</xdr:rowOff>
        </xdr:from>
        <xdr:to>
          <xdr:col>7</xdr:col>
          <xdr:colOff>1022350</xdr:colOff>
          <xdr:row>6</xdr:row>
          <xdr:rowOff>69850</xdr:rowOff>
        </xdr:to>
        <xdr:sp macro="" textlink="">
          <xdr:nvSpPr>
            <xdr:cNvPr id="86017" name="Button 1" hidden="1">
              <a:extLst>
                <a:ext uri="{63B3BB69-23CF-44E3-9099-C40C66FF867C}">
                  <a14:compatExt spid="_x0000_s86017"/>
                </a:ext>
                <a:ext uri="{FF2B5EF4-FFF2-40B4-BE49-F238E27FC236}">
                  <a16:creationId xmlns:a16="http://schemas.microsoft.com/office/drawing/2014/main" id="{00000000-0008-0000-0800-0000015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755650</xdr:colOff>
          <xdr:row>4</xdr:row>
          <xdr:rowOff>146050</xdr:rowOff>
        </xdr:from>
        <xdr:to>
          <xdr:col>6</xdr:col>
          <xdr:colOff>355600</xdr:colOff>
          <xdr:row>6</xdr:row>
          <xdr:rowOff>50800</xdr:rowOff>
        </xdr:to>
        <xdr:sp macro="" textlink="">
          <xdr:nvSpPr>
            <xdr:cNvPr id="86019" name="Button 3" hidden="1">
              <a:extLst>
                <a:ext uri="{63B3BB69-23CF-44E3-9099-C40C66FF867C}">
                  <a14:compatExt spid="_x0000_s86019"/>
                </a:ext>
                <a:ext uri="{FF2B5EF4-FFF2-40B4-BE49-F238E27FC236}">
                  <a16:creationId xmlns:a16="http://schemas.microsoft.com/office/drawing/2014/main" id="{00000000-0008-0000-0800-0000035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All</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76200</xdr:colOff>
          <xdr:row>4</xdr:row>
          <xdr:rowOff>146050</xdr:rowOff>
        </xdr:from>
        <xdr:to>
          <xdr:col>7</xdr:col>
          <xdr:colOff>1022350</xdr:colOff>
          <xdr:row>6</xdr:row>
          <xdr:rowOff>31750</xdr:rowOff>
        </xdr:to>
        <xdr:sp macro="" textlink="">
          <xdr:nvSpPr>
            <xdr:cNvPr id="76801" name="Button 1" hidden="1">
              <a:extLst>
                <a:ext uri="{63B3BB69-23CF-44E3-9099-C40C66FF867C}">
                  <a14:compatExt spid="_x0000_s76801"/>
                </a:ext>
                <a:ext uri="{FF2B5EF4-FFF2-40B4-BE49-F238E27FC236}">
                  <a16:creationId xmlns:a16="http://schemas.microsoft.com/office/drawing/2014/main" id="{00000000-0008-0000-0900-0000012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336550</xdr:colOff>
          <xdr:row>4</xdr:row>
          <xdr:rowOff>146050</xdr:rowOff>
        </xdr:from>
        <xdr:to>
          <xdr:col>5</xdr:col>
          <xdr:colOff>374650</xdr:colOff>
          <xdr:row>6</xdr:row>
          <xdr:rowOff>31750</xdr:rowOff>
        </xdr:to>
        <xdr:sp macro="" textlink="">
          <xdr:nvSpPr>
            <xdr:cNvPr id="76802" name="Button 2" hidden="1">
              <a:extLst>
                <a:ext uri="{63B3BB69-23CF-44E3-9099-C40C66FF867C}">
                  <a14:compatExt spid="_x0000_s76802"/>
                </a:ext>
                <a:ext uri="{FF2B5EF4-FFF2-40B4-BE49-F238E27FC236}">
                  <a16:creationId xmlns:a16="http://schemas.microsoft.com/office/drawing/2014/main" id="{00000000-0008-0000-0900-0000022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Assignee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755650</xdr:colOff>
          <xdr:row>4</xdr:row>
          <xdr:rowOff>146050</xdr:rowOff>
        </xdr:from>
        <xdr:to>
          <xdr:col>6</xdr:col>
          <xdr:colOff>355600</xdr:colOff>
          <xdr:row>6</xdr:row>
          <xdr:rowOff>31750</xdr:rowOff>
        </xdr:to>
        <xdr:sp macro="" textlink="">
          <xdr:nvSpPr>
            <xdr:cNvPr id="76803" name="Button 3" hidden="1">
              <a:extLst>
                <a:ext uri="{63B3BB69-23CF-44E3-9099-C40C66FF867C}">
                  <a14:compatExt spid="_x0000_s76803"/>
                </a:ext>
                <a:ext uri="{FF2B5EF4-FFF2-40B4-BE49-F238E27FC236}">
                  <a16:creationId xmlns:a16="http://schemas.microsoft.com/office/drawing/2014/main" id="{00000000-0008-0000-0900-0000032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190500</xdr:colOff>
          <xdr:row>4</xdr:row>
          <xdr:rowOff>146050</xdr:rowOff>
        </xdr:from>
        <xdr:to>
          <xdr:col>8</xdr:col>
          <xdr:colOff>1136650</xdr:colOff>
          <xdr:row>6</xdr:row>
          <xdr:rowOff>31750</xdr:rowOff>
        </xdr:to>
        <xdr:sp macro="" textlink="">
          <xdr:nvSpPr>
            <xdr:cNvPr id="76805" name="Button 5" hidden="1">
              <a:extLst>
                <a:ext uri="{63B3BB69-23CF-44E3-9099-C40C66FF867C}">
                  <a14:compatExt spid="_x0000_s76805"/>
                </a:ext>
                <a:ext uri="{FF2B5EF4-FFF2-40B4-BE49-F238E27FC236}">
                  <a16:creationId xmlns:a16="http://schemas.microsoft.com/office/drawing/2014/main" id="{00000000-0008-0000-0900-0000052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History</a:t>
              </a:r>
            </a:p>
          </xdr:txBody>
        </xdr:sp>
        <xdr:clientData fPrintsWithSheet="0"/>
      </xdr:twoCellAnchor>
    </mc:Choice>
    <mc:Fallback/>
  </mc:AlternateContent>
  <xdr:twoCellAnchor>
    <xdr:from>
      <xdr:col>3</xdr:col>
      <xdr:colOff>1200150</xdr:colOff>
      <xdr:row>7</xdr:row>
      <xdr:rowOff>760095</xdr:rowOff>
    </xdr:from>
    <xdr:to>
      <xdr:col>3</xdr:col>
      <xdr:colOff>1424940</xdr:colOff>
      <xdr:row>8</xdr:row>
      <xdr:rowOff>139065</xdr:rowOff>
    </xdr:to>
    <xdr:sp macro="" textlink="">
      <xdr:nvSpPr>
        <xdr:cNvPr id="5" name="Rectangle 4">
          <a:extLst>
            <a:ext uri="{FF2B5EF4-FFF2-40B4-BE49-F238E27FC236}">
              <a16:creationId xmlns:a16="http://schemas.microsoft.com/office/drawing/2014/main" id="{00000000-0008-0000-0900-000005000000}"/>
            </a:ext>
          </a:extLst>
        </xdr:cNvPr>
        <xdr:cNvSpPr/>
      </xdr:nvSpPr>
      <xdr:spPr>
        <a:xfrm>
          <a:off x="3381375" y="2055495"/>
          <a:ext cx="224790" cy="140970"/>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723900</xdr:colOff>
      <xdr:row>7</xdr:row>
      <xdr:rowOff>304800</xdr:rowOff>
    </xdr:from>
    <xdr:to>
      <xdr:col>6</xdr:col>
      <xdr:colOff>885825</xdr:colOff>
      <xdr:row>7</xdr:row>
      <xdr:rowOff>438150</xdr:rowOff>
    </xdr:to>
    <xdr:sp macro="" textlink="">
      <xdr:nvSpPr>
        <xdr:cNvPr id="6" name="Rectangle 5">
          <a:extLst>
            <a:ext uri="{FF2B5EF4-FFF2-40B4-BE49-F238E27FC236}">
              <a16:creationId xmlns:a16="http://schemas.microsoft.com/office/drawing/2014/main" id="{00000000-0008-0000-0900-000006000000}"/>
            </a:ext>
          </a:extLst>
        </xdr:cNvPr>
        <xdr:cNvSpPr/>
      </xdr:nvSpPr>
      <xdr:spPr>
        <a:xfrm>
          <a:off x="7581900" y="1600200"/>
          <a:ext cx="161925" cy="1333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1312545</xdr:colOff>
      <xdr:row>7</xdr:row>
      <xdr:rowOff>369569</xdr:rowOff>
    </xdr:from>
    <xdr:to>
      <xdr:col>6</xdr:col>
      <xdr:colOff>723900</xdr:colOff>
      <xdr:row>7</xdr:row>
      <xdr:rowOff>760094</xdr:rowOff>
    </xdr:to>
    <xdr:cxnSp macro="">
      <xdr:nvCxnSpPr>
        <xdr:cNvPr id="8" name="Connector: Elbow 7">
          <a:extLst>
            <a:ext uri="{FF2B5EF4-FFF2-40B4-BE49-F238E27FC236}">
              <a16:creationId xmlns:a16="http://schemas.microsoft.com/office/drawing/2014/main" id="{00000000-0008-0000-0900-000008000000}"/>
            </a:ext>
          </a:extLst>
        </xdr:cNvPr>
        <xdr:cNvCxnSpPr>
          <a:stCxn id="6" idx="1"/>
          <a:endCxn id="5" idx="0"/>
        </xdr:cNvCxnSpPr>
      </xdr:nvCxnSpPr>
      <xdr:spPr>
        <a:xfrm rot="10800000" flipV="1">
          <a:off x="3493770" y="1664969"/>
          <a:ext cx="4088130" cy="390525"/>
        </a:xfrm>
        <a:prstGeom prst="bentConnector2">
          <a:avLst/>
        </a:prstGeom>
        <a:ln w="19050">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1181100</xdr:colOff>
          <xdr:row>1</xdr:row>
          <xdr:rowOff>76200</xdr:rowOff>
        </xdr:from>
        <xdr:to>
          <xdr:col>4</xdr:col>
          <xdr:colOff>2247900</xdr:colOff>
          <xdr:row>2</xdr:row>
          <xdr:rowOff>114300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A00-000001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3</xdr:col>
      <xdr:colOff>7620</xdr:colOff>
      <xdr:row>0</xdr:row>
      <xdr:rowOff>0</xdr:rowOff>
    </xdr:from>
    <xdr:to>
      <xdr:col>19</xdr:col>
      <xdr:colOff>0</xdr:colOff>
      <xdr:row>22</xdr:row>
      <xdr:rowOff>137160</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9</xdr:col>
      <xdr:colOff>236219</xdr:colOff>
      <xdr:row>0</xdr:row>
      <xdr:rowOff>19049</xdr:rowOff>
    </xdr:from>
    <xdr:to>
      <xdr:col>10</xdr:col>
      <xdr:colOff>6697980</xdr:colOff>
      <xdr:row>29</xdr:row>
      <xdr:rowOff>51434</xdr:rowOff>
    </xdr:to>
    <xdr:sp macro="" textlink="">
      <xdr:nvSpPr>
        <xdr:cNvPr id="2" name="Rectangle 1">
          <a:extLst>
            <a:ext uri="{FF2B5EF4-FFF2-40B4-BE49-F238E27FC236}">
              <a16:creationId xmlns:a16="http://schemas.microsoft.com/office/drawing/2014/main" id="{00000000-0008-0000-0F00-000002000000}"/>
            </a:ext>
          </a:extLst>
        </xdr:cNvPr>
        <xdr:cNvSpPr/>
      </xdr:nvSpPr>
      <xdr:spPr>
        <a:xfrm>
          <a:off x="5103494" y="19049"/>
          <a:ext cx="6709411" cy="52806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u="none" strike="noStrike">
              <a:solidFill>
                <a:schemeClr val="lt1"/>
              </a:solidFill>
              <a:effectLst/>
              <a:latin typeface="+mn-lt"/>
              <a:ea typeface="+mn-ea"/>
              <a:cs typeface="+mn-cs"/>
            </a:rPr>
            <a:t>SORT(FILTER(INDEX(Table2[#Data],SEQUENCE(ROWS(Table2[#Data])),TRANSPOSE('Lookup tables'!$H$2#)),(Table2[SBU]=$F$6)*(Table2[Execution Year]=$F$4)*(Table2[Status]&lt;&gt;"Cancelled")*(Table2[CAN]=1),"N"),3,-1)</a:t>
          </a:r>
        </a:p>
        <a:p>
          <a:pPr algn="l"/>
          <a:r>
            <a:rPr lang="en-US" sz="1100" b="0" i="0" u="none" strike="noStrike">
              <a:solidFill>
                <a:schemeClr val="lt1"/>
              </a:solidFill>
              <a:effectLst/>
              <a:latin typeface="+mn-lt"/>
              <a:ea typeface="+mn-ea"/>
              <a:cs typeface="+mn-cs"/>
            </a:rPr>
            <a:t>SORT(FILTER(INDEX(Table2[#Data],SEQUENCE(ROWS(Table2[#Data])),</a:t>
          </a:r>
          <a:r>
            <a:rPr lang="en-US" sz="1100" b="0" i="0">
              <a:solidFill>
                <a:schemeClr val="lt1"/>
              </a:solidFill>
              <a:effectLst/>
              <a:latin typeface="+mn-lt"/>
              <a:ea typeface="+mn-ea"/>
              <a:cs typeface="+mn-cs"/>
            </a:rPr>
            <a:t>{17,18,22,2,16,20,21}</a:t>
          </a:r>
          <a:r>
            <a:rPr lang="en-US" sz="1100" b="0" i="0" u="none" strike="noStrike">
              <a:solidFill>
                <a:schemeClr val="lt1"/>
              </a:solidFill>
              <a:effectLst/>
              <a:latin typeface="+mn-lt"/>
              <a:ea typeface="+mn-ea"/>
              <a:cs typeface="+mn-cs"/>
            </a:rPr>
            <a:t>),(Table2[SBU]=$F$6)*(Table2[Execution Year]=$F$4)*(Table2[Status]&lt;&gt;"Cancelled")*(Table2[MEX]=1),"N"),3,-1)</a:t>
          </a:r>
          <a:r>
            <a:rPr lang="en-US"/>
            <a:t> </a:t>
          </a:r>
          <a:r>
            <a:rPr lang="en-US" sz="1100" b="0" i="0" u="none" strike="noStrike">
              <a:solidFill>
                <a:schemeClr val="lt1"/>
              </a:solidFill>
              <a:effectLst/>
              <a:latin typeface="+mn-lt"/>
              <a:ea typeface="+mn-ea"/>
              <a:cs typeface="+mn-cs"/>
            </a:rPr>
            <a:t>SORT(FILTER(INDEX(Table2[#Data],SEQUENCE(ROWS(Table2[#Data])),{17,18,22,2}),(Table2[SBU]=$F$6)*(Table2[Execution Year]=$F$4)*(Table2[Status]&lt;&gt;"Cancelled")*(Table2[CAM]=1),"N"),3,-1)</a:t>
          </a:r>
          <a:r>
            <a:rPr lang="en-US"/>
            <a:t> </a:t>
          </a:r>
          <a:r>
            <a:rPr lang="en-US" sz="1100" b="0" i="0" u="none" strike="noStrike">
              <a:solidFill>
                <a:schemeClr val="lt1"/>
              </a:solidFill>
              <a:effectLst/>
              <a:latin typeface="+mn-lt"/>
              <a:ea typeface="+mn-ea"/>
              <a:cs typeface="+mn-cs"/>
            </a:rPr>
            <a:t>SORT(FILTER(INDEX(Table2[#Data],SEQUENCE(ROWS(Table2[#Data])),{17,18,22,2}),(Table2[SBU]=$F$6)*(Table2[Execution Year]=$F$4)*(Table2[Status]&lt;&gt;"Cancelled")*(Table2[CHL]=1),"N"),3,-1)</a:t>
          </a:r>
          <a:r>
            <a:rPr lang="en-US"/>
            <a:t> </a:t>
          </a:r>
          <a:r>
            <a:rPr lang="en-US" sz="1100" b="0" i="0" u="none" strike="noStrike">
              <a:solidFill>
                <a:schemeClr val="lt1"/>
              </a:solidFill>
              <a:effectLst/>
              <a:latin typeface="+mn-lt"/>
              <a:ea typeface="+mn-ea"/>
              <a:cs typeface="+mn-cs"/>
            </a:rPr>
            <a:t>SORT(FILTER(INDEX(Table2[#Data],SEQUENCE(ROWS(Table2[#Data])),{17,18,22,2}),(Table2[SBU]=$F$6)*(Table2[Execution Year]=$F$4)*(Table2[Status]&lt;&gt;"Cancelled")*(Table2[ARG]=1),"N"),3,-1)</a:t>
          </a:r>
          <a:r>
            <a:rPr lang="en-US"/>
            <a:t> </a:t>
          </a:r>
          <a:r>
            <a:rPr lang="en-US" sz="1100" b="0" i="0" u="none" strike="noStrike">
              <a:solidFill>
                <a:schemeClr val="lt1"/>
              </a:solidFill>
              <a:effectLst/>
              <a:latin typeface="+mn-lt"/>
              <a:ea typeface="+mn-ea"/>
              <a:cs typeface="+mn-cs"/>
            </a:rPr>
            <a:t>SORT(FILTER(INDEX(Table2[#Data],SEQUENCE(ROWS(Table2[#Data])),{17,18,22,2}),(Table2[SBU]=$F$6)*(Table2[Execution Year]=$F$4)*(Table2[Status]&lt;&gt;"Cancelled")*(Table2[CAM]=1),"N"),3,-1)</a:t>
          </a:r>
          <a:r>
            <a:rPr lang="en-US"/>
            <a:t> </a:t>
          </a:r>
          <a:r>
            <a:rPr lang="en-US" sz="1100" b="0" i="0" u="none" strike="noStrike">
              <a:solidFill>
                <a:schemeClr val="lt1"/>
              </a:solidFill>
              <a:effectLst/>
              <a:latin typeface="+mn-lt"/>
              <a:ea typeface="+mn-ea"/>
              <a:cs typeface="+mn-cs"/>
            </a:rPr>
            <a:t>SORT(FILTER(INDEX(Table2[#Data],SEQUENCE(ROWS(Table2[#Data])),{17,18,22,2}),(Table2[SBU]=$F$6)*(Table2[Execution Year]=$F$4)*(Table2[Status]&lt;&gt;"Cancelled")*(Table2[JAP]=1),"N"),3,-1)</a:t>
          </a:r>
          <a:r>
            <a:rPr lang="en-US"/>
            <a:t> </a:t>
          </a:r>
          <a:r>
            <a:rPr lang="en-US" sz="1100" b="0" i="0" u="none" strike="noStrike">
              <a:solidFill>
                <a:schemeClr val="lt1"/>
              </a:solidFill>
              <a:effectLst/>
              <a:latin typeface="+mn-lt"/>
              <a:ea typeface="+mn-ea"/>
              <a:cs typeface="+mn-cs"/>
            </a:rPr>
            <a:t>SORT(FILTER(INDEX(Table2[#Data],SEQUENCE(ROWS(Table2[#Data])),{17,18,22,2}),(Table2[SBU]=$F$6)*(Table2[Execution Year]=$F$4)*(Table2[Status]&lt;&gt;"Cancelled")*(Table2[UKN]=1),"N"),3,-1)</a:t>
          </a:r>
          <a:r>
            <a:rPr lang="en-US"/>
            <a:t> </a:t>
          </a:r>
          <a:r>
            <a:rPr lang="en-US" sz="1100" b="0" i="0" u="none" strike="noStrike">
              <a:solidFill>
                <a:schemeClr val="lt1"/>
              </a:solidFill>
              <a:effectLst/>
              <a:latin typeface="+mn-lt"/>
              <a:ea typeface="+mn-ea"/>
              <a:cs typeface="+mn-cs"/>
            </a:rPr>
            <a:t>SORT(FILTER(INDEX(Table2[#Data],SEQUENCE(ROWS(Table2[#Data])),{17,18,22,2}),(Table2[SBU]=$F$6)*(Table2[Execution Year]=$F$4)*(Table2[Status]&lt;&gt;"Cancelled")*(Table2[SAF]=1),"N"),3,-1)</a:t>
          </a:r>
          <a:r>
            <a:rPr lang="en-US"/>
            <a:t> </a:t>
          </a:r>
          <a:r>
            <a:rPr lang="en-US" sz="1100" b="0" i="0" u="none" strike="noStrike">
              <a:solidFill>
                <a:schemeClr val="lt1"/>
              </a:solidFill>
              <a:effectLst/>
              <a:latin typeface="+mn-lt"/>
              <a:ea typeface="+mn-ea"/>
              <a:cs typeface="+mn-cs"/>
            </a:rPr>
            <a:t>SORT(FILTER(INDEX(Table2[#Data],SEQUENCE(ROWS(Table2[#Data])),{17,18,22,2}),(Table2[SBU]=$F$6)*(Table2[Execution Year]=$F$4)*(Table2[Status]&lt;&gt;"Cancelled")*(Table2[US]=1),"N"),3,-1)</a:t>
          </a:r>
          <a:r>
            <a:rPr lang="en-US"/>
            <a:t> </a:t>
          </a:r>
          <a:r>
            <a:rPr lang="en-US" sz="1100" b="0" i="0" u="none" strike="noStrike">
              <a:solidFill>
                <a:schemeClr val="lt1"/>
              </a:solidFill>
              <a:effectLst/>
              <a:latin typeface="+mn-lt"/>
              <a:ea typeface="+mn-ea"/>
              <a:cs typeface="+mn-cs"/>
            </a:rPr>
            <a:t>SORT(FILTER(INDEX(Table2[#Data],SEQUENCE(ROWS(Table2[#Data])),{17,18,22,2}),(Table2[SBU]=$F$6)*(Table2[Execution Year]=$F$4)*(Table2[Status]&lt;&gt;"Cancelled")*(Table2[Sams]=1),"N"),3,-1)</a:t>
          </a:r>
          <a:r>
            <a:rPr lang="en-US"/>
            <a:t> </a:t>
          </a:r>
          <a:r>
            <a:rPr lang="en-US" sz="1100" b="0" i="0" u="none" strike="noStrike">
              <a:solidFill>
                <a:schemeClr val="lt1"/>
              </a:solidFill>
              <a:effectLst/>
              <a:latin typeface="+mn-lt"/>
              <a:ea typeface="+mn-ea"/>
              <a:cs typeface="+mn-cs"/>
            </a:rPr>
            <a:t>SORT(FILTER(INDEX(Table2[#Data],SEQUENCE(ROWS(Table2[#Data])),{17,18,22,2}),(Table2[SBU]=$F$6)*(Table2[Execution Year]=$F$4)*(Table2[Status]&lt;&gt;"Cancelled")*(Table2[Sams Mexico]=1),"N"),3,-1)</a:t>
          </a:r>
          <a:r>
            <a:rPr lang="en-US"/>
            <a:t> </a:t>
          </a:r>
          <a:r>
            <a:rPr lang="en-US" sz="1100" b="0" i="0" u="none" strike="noStrike">
              <a:solidFill>
                <a:schemeClr val="lt1"/>
              </a:solidFill>
              <a:effectLst/>
              <a:latin typeface="+mn-lt"/>
              <a:ea typeface="+mn-ea"/>
              <a:cs typeface="+mn-cs"/>
            </a:rPr>
            <a:t>SORT(FILTER(INDEX(Table2[#Data],SEQUENCE(ROWS(Table2[#Data])),{17,18,22,2}),(Table2[SBU]=$F$6)*(Table2[Execution Year]=$F$4)*(Table2[Status]&lt;&gt;"Cancelled")*(Table2[Sams China]=1),"N"),3,-1)</a:t>
          </a:r>
          <a:r>
            <a:rPr lang="en-US"/>
            <a:t> </a:t>
          </a:r>
          <a:r>
            <a:rPr lang="en-US" sz="1100" b="0" i="0" u="none" strike="noStrike">
              <a:solidFill>
                <a:schemeClr val="lt1"/>
              </a:solidFill>
              <a:effectLst/>
              <a:latin typeface="+mn-lt"/>
              <a:ea typeface="+mn-ea"/>
              <a:cs typeface="+mn-cs"/>
            </a:rPr>
            <a:t>SORT(FILTER(INDEX(Table2[#Data],SEQUENCE(ROWS(Table2[#Data])),{17,18,22,2}),(Table2[SBU]=$F$6)*(Table2[Execution Year]=$F$4)*(Table2[Status]&lt;&gt;"Cancelled")*(Table2[IND]=1),"N"),3,-1)</a:t>
          </a:r>
          <a:r>
            <a:rPr lang="en-US"/>
            <a:t> </a:t>
          </a:r>
          <a:endParaRPr lang="en-US" sz="1100"/>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3155950</xdr:colOff>
          <xdr:row>7</xdr:row>
          <xdr:rowOff>38100</xdr:rowOff>
        </xdr:from>
        <xdr:to>
          <xdr:col>12</xdr:col>
          <xdr:colOff>717550</xdr:colOff>
          <xdr:row>7</xdr:row>
          <xdr:rowOff>317500</xdr:rowOff>
        </xdr:to>
        <xdr:sp macro="" textlink="">
          <xdr:nvSpPr>
            <xdr:cNvPr id="96261" name="Button 5" hidden="1">
              <a:extLst>
                <a:ext uri="{63B3BB69-23CF-44E3-9099-C40C66FF867C}">
                  <a14:compatExt spid="_x0000_s96261"/>
                </a:ext>
                <a:ext uri="{FF2B5EF4-FFF2-40B4-BE49-F238E27FC236}">
                  <a16:creationId xmlns:a16="http://schemas.microsoft.com/office/drawing/2014/main" id="{00000000-0008-0000-1000-0000057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Adjust Rows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ites/GSStrategy/Shared%20Documents/Team%20Documents/Talent%20attraction/GSS%20RecruitmentTracker_OPEN_ON_DESKTOP.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ewOld"/>
      <sheetName val="Checklist"/>
      <sheetName val="MyTasks"/>
      <sheetName val="Data"/>
      <sheetName val="Active View"/>
      <sheetName val="Lookups"/>
      <sheetName val="Update"/>
      <sheetName val="Active"/>
      <sheetName val="Setup"/>
      <sheetName val="Menu"/>
      <sheetName val="GSS RecruitmentTracker_OPEN_ON_"/>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A62C84C-1369-4D7F-8C31-55AD73B15DFB}" name="Table25" displayName="Table25" ref="A1:AE69" totalsRowShown="0" headerRowDxfId="373" headerRowBorderDxfId="371" tableBorderDxfId="372">
  <autoFilter ref="A1:AE69" xr:uid="{9B9D7FB7-2385-48CC-BBBE-40C400908281}"/>
  <tableColumns count="31">
    <tableColumn id="1" xr3:uid="{DFA0235D-5D80-401A-A138-42A87B1F0B4D}" name="Sl No"/>
    <tableColumn id="2" xr3:uid="{0D8BEF5A-6555-4557-91DB-4CF0BC09C125}" name="Category"/>
    <tableColumn id="3" xr3:uid="{FE8B5675-0D3F-4B52-B1D2-8047237BAE9A}" name="Meeting"/>
    <tableColumn id="4" xr3:uid="{E4CA199D-64F6-4595-B41D-8F8217FE75D7}" name="Year"/>
    <tableColumn id="5" xr3:uid="{8EEB2481-7189-4F1D-8F0D-2D17BDB69BD6}" name="SBU"/>
    <tableColumn id="6" xr3:uid="{EC4A20E0-A25F-4BCA-93AF-9D56C11B8FEC}" name="CAN"/>
    <tableColumn id="7" xr3:uid="{3D6C30A9-EC2D-4A8A-943C-8A3D46E070DF}" name="MEX"/>
    <tableColumn id="8" xr3:uid="{ADFD0685-599A-4DE3-BCE0-F032C3F3D0CB}" name="CAM"/>
    <tableColumn id="9" xr3:uid="{75DB924C-31A1-4A00-B77E-EF3AEBB7E667}" name="CHL"/>
    <tableColumn id="10" xr3:uid="{431E28DC-130B-434B-A501-93E5E0F6B20F}" name="ARG"/>
    <tableColumn id="11" xr3:uid="{D98A70A2-DC3D-4518-A76F-A5E93B9A23A3}" name="CHN"/>
    <tableColumn id="12" xr3:uid="{1A113064-B08D-4F20-93EA-C4A3A4C7D232}" name="JAP"/>
    <tableColumn id="13" xr3:uid="{D48D450F-6598-4648-92AD-0C90DFD7465D}" name="UKN"/>
    <tableColumn id="14" xr3:uid="{8AF52DFD-E281-4370-AF80-EEE5EE53BAEC}" name="SAF"/>
    <tableColumn id="15" xr3:uid="{47BB099E-D8D7-4A0B-99E8-CB9997EDF658}" name="US"/>
    <tableColumn id="31" xr3:uid="{9E1B50AA-E157-4881-9ABC-4405720F9FF4}" name="Sams"/>
    <tableColumn id="16" xr3:uid="{B5D07BEC-20F1-44C3-9F48-F1C3E6E7C99B}" name="CAN_MS"/>
    <tableColumn id="17" xr3:uid="{40E500B7-0F5C-4C29-A48A-652DA04DA000}" name="MEX_MS"/>
    <tableColumn id="18" xr3:uid="{275CBAAB-FD76-45EB-9214-02A01F5593D5}" name="CAM_MS"/>
    <tableColumn id="19" xr3:uid="{09D31733-49F8-41FE-A9D0-75C24BCD93DD}" name="CHL_MS"/>
    <tableColumn id="20" xr3:uid="{BF5EDF81-2376-47B9-9280-64D86D1C223F}" name="ARG_MS"/>
    <tableColumn id="21" xr3:uid="{586537AB-748D-4215-83F3-3C2E168AA552}" name="CHN_MS"/>
    <tableColumn id="22" xr3:uid="{1E5B6B82-A4E2-426C-983F-F467AA5999A4}" name="JAP_MS"/>
    <tableColumn id="23" xr3:uid="{76405B16-2617-424E-A99B-AE5C9A4EEA2D}" name="UKN_MS"/>
    <tableColumn id="24" xr3:uid="{B6C1F4BE-F865-494A-A6BD-99BA962F2FF5}" name="SAF_MS"/>
    <tableColumn id="32" xr3:uid="{E2B5F719-E417-4E9E-AD73-52FD7CB1CA05}" name="US_MS"/>
    <tableColumn id="25" xr3:uid="{30DF51D6-F80C-47B9-B13A-2352A42DBFA0}" name="Sams_MS"/>
    <tableColumn id="26" xr3:uid="{77010E91-4B60-4726-971C-426E0C104778}" name="Overall Remarks"/>
    <tableColumn id="28" xr3:uid="{21A8FA5E-C12E-4B1F-8C2F-E24CD9FD1758}" name="Updated by"/>
    <tableColumn id="29" xr3:uid="{5BC14B2A-ACF8-412E-92D0-B26B08803EED}" name="Update Time" dataDxfId="370"/>
    <tableColumn id="30" xr3:uid="{42675DA8-D4E9-4742-988B-56E2F613B68E}" name="Most curent" dataDxfId="369">
      <calculatedColumnFormula>IF(_xlfn.MAXIFS(Table25[Sl No],Table25[Category],Table25[[#This Row],[Category]],Table25[Year],Table25[[#This Row],[Year]])=Table25[[#This Row],[Sl No]],TRUE,FALSE)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242D064-3026-435D-8F91-286AFD736990}" name="Table2" displayName="Table2" ref="A1:AL112" totalsRowShown="0" headerRowDxfId="60">
  <autoFilter ref="A1:AL112" xr:uid="{D242D064-3026-435D-8F91-286AFD736990}"/>
  <sortState xmlns:xlrd2="http://schemas.microsoft.com/office/spreadsheetml/2017/richdata2" ref="A2:AL34">
    <sortCondition ref="C1:C34"/>
  </sortState>
  <tableColumns count="38">
    <tableColumn id="1" xr3:uid="{16100AE2-16CB-477C-AE6E-BE1000782C18}" name="Identifier">
      <calculatedColumnFormula>Table2[[#This Row],[Execution Year]]&amp;Table2[[#This Row],[SBU]]&amp;Table2[[#This Row],[Category]]</calculatedColumnFormula>
    </tableColumn>
    <tableColumn id="12" xr3:uid="{31ED9C79-2C72-43BE-8BBA-E245CAF43E59}" name="Category"/>
    <tableColumn id="2" xr3:uid="{48AA292B-02F7-44C4-86FD-7AA524E48FB2}" name="SBU"/>
    <tableColumn id="3" xr3:uid="{8E9033D9-7D5F-4D14-A506-2D7DCC0290C6}" name="Execution Year"/>
    <tableColumn id="4" xr3:uid="{0A27A5A7-909D-4BEC-9ABB-A59C2CF49767}" name="Planned Start" dataDxfId="59"/>
    <tableColumn id="5" xr3:uid="{38474078-0659-46C2-941C-6CB8F0F28B72}" name="Planned Award" dataDxfId="58"/>
    <tableColumn id="6" xr3:uid="{B3EBB438-17F2-4D1C-A4E9-718FCE831120}" name="Current Phase End" dataDxfId="57"/>
    <tableColumn id="7" xr3:uid="{82682414-4149-4F90-8211-7E3782B5AB96}" name="Revised Award" dataDxfId="56"/>
    <tableColumn id="8" xr3:uid="{B474CE30-6DDA-4310-8115-A5222747F040}" name="Milestone"/>
    <tableColumn id="9" xr3:uid="{AC40528C-07E5-4856-8148-7F831DCC23A0}" name="Status"/>
    <tableColumn id="10" xr3:uid="{9D779386-D710-4E72-9EC0-D8B10F45A001}" name="US Lead"/>
    <tableColumn id="11" xr3:uid="{E66A0B2D-F0A3-466F-9020-1075FB59C790}" name="Primary Market Merchant"/>
    <tableColumn id="13" xr3:uid="{EDAABA2D-B72B-49C5-A5CB-30F27C560C87}" name="Spend Start Date"/>
    <tableColumn id="14" xr3:uid="{6EED5BE6-47F8-45BA-97CF-D1375681C0E0}" name="Updated By"/>
    <tableColumn id="15" xr3:uid="{F1DD1CE0-3BD7-4F96-A1DC-D1354C3ECD84}" name="Update time" dataDxfId="55"/>
    <tableColumn id="16" xr3:uid="{537B51EA-E026-4DF6-8230-EF7569875ECE}" name="Project Type"/>
    <tableColumn id="17" xr3:uid="{EF9EAEB9-A3AF-42DE-B2D7-627CEC32469F}" name="Primary Dept Description"/>
    <tableColumn id="18" xr3:uid="{167133BC-9FA4-45F6-B8E5-D755E16984DA}" name="PB sourcing lead"/>
    <tableColumn id="20" xr3:uid="{BBAFF6FF-759F-419E-AE22-83B8292A066E}" name="SCO Lead"/>
    <tableColumn id="44" xr3:uid="{78391C58-C7B7-45A7-935D-63F96A6A6CBA}" name="Next Phase"/>
    <tableColumn id="43" xr3:uid="{B9EFE6A5-B135-4BB9-8D69-43CB91E6E8A6}" name="Next Phase End Date"/>
    <tableColumn id="38" xr3:uid="{E7E7E71A-C15F-47D5-8BE4-D039BEEF2F7A}" name="Primary Dept No" dataDxfId="54">
      <calculatedColumnFormula>_xlfn.XLOOKUP(Table2[[#This Row],[Primary Dept Description]],'Lookup tables'!$U$17:$U$117,'Lookup tables'!$T$17:$T$117,"")</calculatedColumnFormula>
    </tableColumn>
    <tableColumn id="21" xr3:uid="{339E3D37-6287-4C7E-8ACE-085949F461A3}" name="Latest Award Date" dataDxfId="53">
      <calculatedColumnFormula>IF(OR(Table2[[#This Row],[Revised Award]]=0,Table2[[#This Row],[Revised Award]]=""),IF(OR(Table2[[#This Row],[Planned Award]]=0,Table2[[#This Row],[Planned Award]]=""),"Not Updated",Table2[[#This Row],[Planned Award]]),Table2[[#This Row],[Revised Award]])</calculatedColumnFormula>
    </tableColumn>
    <tableColumn id="22" xr3:uid="{CD02A725-EF62-47BB-98C5-4D7E6DD054CD}" name="Display Phase" dataDxfId="52">
      <calculatedColumnFormula>_xlfn.XLOOKUP(Table2[[#This Row],[Milestone]],'Lookup tables'!$Y$27:$Y$60,'Lookup tables'!$Z$27:$Z$60,"Not Updated")</calculatedColumnFormula>
    </tableColumn>
    <tableColumn id="23" xr3:uid="{5B777AFF-9D99-4E78-9958-31BCEEC6C3EE}" name="CAN" dataDxfId="51">
      <calculatedColumnFormula array="1">IF(_xlfn._xlws.FILTER(Table1[Spend - CAN],(Table1[Execution Year]=Table2[[#This Row],[Execution Year]])*(Table1[SBU]=Table2[[#This Row],[SBU]])*(Table1[Category]=Table2[[#This Row],[Category]])*(Table1[Most curent]=TRUE),"NF")&gt;0,1,0)</calculatedColumnFormula>
    </tableColumn>
    <tableColumn id="24" xr3:uid="{AAE18135-2C5F-445B-91FF-E59268C59007}" name="MEX" dataDxfId="50">
      <calculatedColumnFormula array="1">IF(_xlfn._xlws.FILTER(Table1[Spend - MEX],(Table1[Execution Year]=Table2[[#This Row],[Execution Year]])*(Table1[SBU]=Table2[[#This Row],[SBU]])*(Table1[Category]=Table2[[#This Row],[Category]])*(Table1[Most curent]=TRUE),"NF")&gt;0,1,0)</calculatedColumnFormula>
    </tableColumn>
    <tableColumn id="25" xr3:uid="{02335529-1947-4AE2-99EA-7972DF318F96}" name="CAM" dataDxfId="49">
      <calculatedColumnFormula array="1">IF(_xlfn._xlws.FILTER(Table1[Spend - CAM],(Table1[Execution Year]=Table2[[#This Row],[Execution Year]])*(Table1[SBU]=Table2[[#This Row],[SBU]])*(Table1[Category]=Table2[[#This Row],[Category]])*(Table1[Most curent]=TRUE),"NF")&gt;0,1,0)</calculatedColumnFormula>
    </tableColumn>
    <tableColumn id="26" xr3:uid="{42EB2BBE-BC8B-45B6-B3C4-728067736298}" name="CHL" dataDxfId="48">
      <calculatedColumnFormula array="1">IF(_xlfn._xlws.FILTER(Table1[Spend - CHL],(Table1[Execution Year]=Table2[[#This Row],[Execution Year]])*(Table1[SBU]=Table2[[#This Row],[SBU]])*(Table1[Category]=Table2[[#This Row],[Category]])*(Table1[Most curent]=TRUE),"NF")&gt;0,1,0)</calculatedColumnFormula>
    </tableColumn>
    <tableColumn id="27" xr3:uid="{1B412462-964F-4AAB-B10C-677D26DCBFC2}" name="ARG" dataDxfId="47">
      <calculatedColumnFormula array="1">IF(_xlfn._xlws.FILTER(Table1[Spend - ARG],(Table1[Execution Year]=Table2[[#This Row],[Execution Year]])*(Table1[SBU]=Table2[[#This Row],[SBU]])*(Table1[Category]=Table2[[#This Row],[Category]])*(Table1[Most curent]=TRUE),"NF")&gt;0,1,0)</calculatedColumnFormula>
    </tableColumn>
    <tableColumn id="28" xr3:uid="{D8BF70EB-3EA3-4291-83E6-063D925CF468}" name="CHN" dataDxfId="46">
      <calculatedColumnFormula array="1">IF(_xlfn._xlws.FILTER(Table1[Spend - CHN],(Table1[Execution Year]=Table2[[#This Row],[Execution Year]])*(Table1[SBU]=Table2[[#This Row],[SBU]])*(Table1[Category]=Table2[[#This Row],[Category]])*(Table1[Most curent]=TRUE),"NF")&gt;0,1,0)</calculatedColumnFormula>
    </tableColumn>
    <tableColumn id="29" xr3:uid="{FE4D58A3-2D7D-49FD-948D-AFEC189F030F}" name="JAP" dataDxfId="45">
      <calculatedColumnFormula array="1">IF(_xlfn._xlws.FILTER(Table1[Spend - JAP],(Table1[Execution Year]=Table2[[#This Row],[Execution Year]])*(Table1[SBU]=Table2[[#This Row],[SBU]])*(Table1[Category]=Table2[[#This Row],[Category]])*(Table1[Most curent]=TRUE),"NF")&gt;0,1,0)</calculatedColumnFormula>
    </tableColumn>
    <tableColumn id="30" xr3:uid="{0381549D-EAFC-4E52-BB05-AE32134834D9}" name="UKN" dataDxfId="44">
      <calculatedColumnFormula array="1">IF(_xlfn._xlws.FILTER(Table1[Spend - UKN],(Table1[Execution Year]=Table2[[#This Row],[Execution Year]])*(Table1[SBU]=Table2[[#This Row],[SBU]])*(Table1[Category]=Table2[[#This Row],[Category]])*(Table1[Most curent]=TRUE),"NF")&gt;0,1,0)</calculatedColumnFormula>
    </tableColumn>
    <tableColumn id="31" xr3:uid="{D97E8453-4C73-4FB1-A11C-2335398BD73C}" name="SAF" dataDxfId="43">
      <calculatedColumnFormula array="1">IF(_xlfn._xlws.FILTER(Table1[Spend - SAF],(Table1[Execution Year]=Table2[[#This Row],[Execution Year]])*(Table1[SBU]=Table2[[#This Row],[SBU]])*(Table1[Category]=Table2[[#This Row],[Category]])*(Table1[Most curent]=TRUE),"NF")&gt;0,1,0)</calculatedColumnFormula>
    </tableColumn>
    <tableColumn id="32" xr3:uid="{C20FA54F-9713-4A23-95CE-12EA61C1481D}" name="US" dataDxfId="42">
      <calculatedColumnFormula array="1">IF(_xlfn._xlws.FILTER(Table1[Spend - US],(Table1[Execution Year]=Table2[[#This Row],[Execution Year]])*(Table1[SBU]=Table2[[#This Row],[SBU]])*(Table1[Category]=Table2[[#This Row],[Category]])*(Table1[Most curent]=TRUE),"NF")&gt;0,1,0)</calculatedColumnFormula>
    </tableColumn>
    <tableColumn id="33" xr3:uid="{26246A87-D938-4CA9-83C0-217BD5856A61}" name="Sams" dataDxfId="41">
      <calculatedColumnFormula array="1">IF(_xlfn._xlws.FILTER(Table1[Spend - Sams],(Table1[Execution Year]=Table2[[#This Row],[Execution Year]])*(Table1[SBU]=Table2[[#This Row],[SBU]])*(Table1[Category]=Table2[[#This Row],[Category]])*(Table1[Most curent]=TRUE),"NF")&gt;0,1,0)</calculatedColumnFormula>
    </tableColumn>
    <tableColumn id="34" xr3:uid="{3458A2E6-3B9E-47E9-8ADE-BE6BAF0288F2}" name="Sams Mexico" dataDxfId="40">
      <calculatedColumnFormula array="1">IF(_xlfn._xlws.FILTER(Table1[Spend - Sams Mexico],(Table1[Execution Year]=Table2[[#This Row],[Execution Year]])*(Table1[SBU]=Table2[[#This Row],[SBU]])*(Table1[Category]=Table2[[#This Row],[Category]])*(Table1[Most curent]=TRUE),"NF")&gt;0,1,0)</calculatedColumnFormula>
    </tableColumn>
    <tableColumn id="35" xr3:uid="{0743008D-1B13-40F0-9B7F-0AB75D925477}" name="Sams China" dataDxfId="39">
      <calculatedColumnFormula array="1">IF(_xlfn._xlws.FILTER(Table1[Spend - Sams China],(Table1[Execution Year]=Table2[[#This Row],[Execution Year]])*(Table1[SBU]=Table2[[#This Row],[SBU]])*(Table1[Category]=Table2[[#This Row],[Category]])*(Table1[Most curent]=TRUE),"NF")&gt;0,1,0)</calculatedColumnFormula>
    </tableColumn>
    <tableColumn id="36" xr3:uid="{6FD5F651-A5AF-451E-87B8-2687917D2D74}" name="IND" dataDxfId="38">
      <calculatedColumnFormula array="1">IF(_xlfn._xlws.FILTER(Table1[Spend - IND],(Table1[Execution Year]=Table2[[#This Row],[Execution Year]])*(Table1[SBU]=Table2[[#This Row],[SBU]])*(Table1[Category]=Table2[[#This Row],[Category]])*(Table1[Most curent]=TRUE),"NF")&gt;0,1,0)</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FE370F5-B99C-4CCA-8AB0-7C527D044558}" name="Table1" displayName="Table1" ref="A1:CD489" totalsRowShown="0" headerRowDxfId="37" headerRowBorderDxfId="35" tableBorderDxfId="36">
  <autoFilter ref="A1:CD489" xr:uid="{9FE370F5-B99C-4CCA-8AB0-7C527D044558}"/>
  <sortState xmlns:xlrd2="http://schemas.microsoft.com/office/spreadsheetml/2017/richdata2" ref="A2:CD460">
    <sortCondition ref="B1:B460"/>
  </sortState>
  <tableColumns count="82">
    <tableColumn id="1" xr3:uid="{5A3DEBA5-5C74-4B60-808B-64F4D23088AB}" name="Sl No"/>
    <tableColumn id="2" xr3:uid="{9652A50A-472B-4756-A039-D1B4D4ED31F9}" name="Category"/>
    <tableColumn id="3" xr3:uid="{B225EF62-008A-4D8A-8397-D6B90CC839BB}" name="SBU"/>
    <tableColumn id="4" xr3:uid="{23534406-9BD5-4EC6-A088-A7AF4B9FB4F7}" name="Execution Year"/>
    <tableColumn id="5" xr3:uid="{011700E4-11DD-4822-8EFF-3FEC2BA71842}" name="Planned Start" dataDxfId="34"/>
    <tableColumn id="6" xr3:uid="{F4882051-CC3B-4990-8CE4-85CEB88E4DDB}" name="Planned Award" dataDxfId="33"/>
    <tableColumn id="7" xr3:uid="{F66D214C-9C75-42AC-8E73-B34BD0541E07}" name="Current Phase End" dataDxfId="32"/>
    <tableColumn id="8" xr3:uid="{A6414FE6-100E-47A8-8509-55BF0F7C7B78}" name="Revised Award" dataDxfId="31"/>
    <tableColumn id="9" xr3:uid="{1E976C6E-ABF6-4E15-9905-68077F0BB525}" name="Phase"/>
    <tableColumn id="10" xr3:uid="{7EA1E16F-888A-4A96-8CBA-061B2FAE95F4}" name="Status"/>
    <tableColumn id="11" xr3:uid="{3EB87B7B-CD74-4B63-A73F-AAACA8160197}" name="US Lead"/>
    <tableColumn id="12" xr3:uid="{39D48F73-21C0-43E1-8F4A-9D5EE509C5E7}" name="Primary Market Merchant"/>
    <tableColumn id="13" xr3:uid="{BCD0A815-EE70-49C5-8AC4-56FEC98F3088}" name="Spend - CAN"/>
    <tableColumn id="14" xr3:uid="{BBA41313-4235-4F2A-9A27-934D7DC502AA}" name="Spend - MEX"/>
    <tableColumn id="15" xr3:uid="{C43DB8E1-2ED6-450F-86AC-EA769422B763}" name="Spend - CAM"/>
    <tableColumn id="16" xr3:uid="{A4588067-A7CB-4FB3-B964-4DD5FAA76EAF}" name="Spend - CHL"/>
    <tableColumn id="17" xr3:uid="{B8C5CB83-2E3F-46CC-B366-D2791E195B3B}" name="Spend - ARG"/>
    <tableColumn id="18" xr3:uid="{A3A22F3D-C02D-45AD-BFEA-B49AE3ACCB19}" name="Spend - CHN"/>
    <tableColumn id="19" xr3:uid="{70C5AF8E-A7F6-49A1-B54E-396930A08CE8}" name="Spend - JAP"/>
    <tableColumn id="20" xr3:uid="{0434A338-E2F2-41E3-A76D-CF2C6A148A09}" name="Spend - UKN"/>
    <tableColumn id="21" xr3:uid="{6A13E53A-5AD4-416F-ADFF-18D06E6920E0}" name="Spend - SAF"/>
    <tableColumn id="22" xr3:uid="{384AB40F-669A-42DA-BEA4-7D1E7F209B32}" name="Spend - US"/>
    <tableColumn id="40" xr3:uid="{481D5926-A0C5-4828-AC31-1334FA568FCC}" name="Spend - Sams"/>
    <tableColumn id="23" xr3:uid="{ABD544EE-23BC-478B-81DF-FC74683A98DC}" name="Updated by"/>
    <tableColumn id="24" xr3:uid="{2C179F6B-6338-4704-952C-C40451713CBA}" name="Update Time" dataDxfId="30"/>
    <tableColumn id="25" xr3:uid="{A2DB8C9B-6AA9-4D16-BD4C-477151FB6478}" name="Current Phase" dataDxfId="29">
      <calculatedColumnFormula>_xlfn.XLOOKUP(Table1[[#This Row],[Phase]],'Lookup tables'!$Y$27:$Y$60,'Lookup tables'!$Z$27:$Z$60,"Not Updated")</calculatedColumnFormula>
    </tableColumn>
    <tableColumn id="26" xr3:uid="{9F3E2BD4-4ED3-45A8-8D15-5A1D0DAF99FE}" name="Remarks" dataDxfId="28"/>
    <tableColumn id="27" xr3:uid="{3E921688-0F9A-423C-AB79-3D6375322738}" name="Savings - CAN"/>
    <tableColumn id="28" xr3:uid="{1B0D0324-8388-4DF5-A536-9AB28FA70328}" name="Savings - MEX"/>
    <tableColumn id="29" xr3:uid="{FD265497-5CB7-44EF-AFCC-13F23C428CE6}" name="Savings - CAM"/>
    <tableColumn id="30" xr3:uid="{201E292B-3B2B-46A9-A9A7-8649D0EBF573}" name="Savings - CHL"/>
    <tableColumn id="31" xr3:uid="{8B887E97-8E0B-4633-B8CD-02C5B437AC49}" name="Savings - ARG"/>
    <tableColumn id="32" xr3:uid="{76BC2848-7544-462B-B271-B9AA3911E0A6}" name="Savings - CHN"/>
    <tableColumn id="33" xr3:uid="{01B5D8C8-872E-4F50-A39C-B43005448BC3}" name="Savings - JAP"/>
    <tableColumn id="34" xr3:uid="{C42F4273-B882-4E97-84B2-3B32FEC5A6B4}" name="Savings - UKN"/>
    <tableColumn id="35" xr3:uid="{406F4BE7-8DD3-4D9D-953F-5FBCF127AC1A}" name="Savings - SAF"/>
    <tableColumn id="36" xr3:uid="{4B73E4D0-9003-4127-BCB8-829F7A840336}" name="Savings - US"/>
    <tableColumn id="41" xr3:uid="{B537EC33-E3FA-45CC-9883-703DC7F6B86E}" name="Savings - Sams"/>
    <tableColumn id="56" xr3:uid="{0D54401B-1DF7-4223-B83C-0142F6435BB7}" name="Cost Avoidance - CAN2"/>
    <tableColumn id="55" xr3:uid="{A6B87960-0761-4195-ADD5-B6A3AB4F184A}" name="Cost Avoidance - MEX3"/>
    <tableColumn id="54" xr3:uid="{5E82F7EA-5B1C-49BA-B1AA-82E5840891D6}" name="Cost Avoidance - CAM4"/>
    <tableColumn id="53" xr3:uid="{2E9C9813-919A-4D0A-9083-7DF09DC4C9B7}" name="Cost Avoidance - CHL5"/>
    <tableColumn id="52" xr3:uid="{DDB4CB2C-45D3-4961-9E7E-6C75EA6449B8}" name="Cost Avoidance - ARG6"/>
    <tableColumn id="51" xr3:uid="{FC163C70-05F0-40A0-808F-4A7F8603835F}" name="Cost Avoidance - CHN7"/>
    <tableColumn id="50" xr3:uid="{BF05C6EC-71EA-457C-8AA9-F4469E67A097}" name="Cost Avoidance - JAP8"/>
    <tableColumn id="49" xr3:uid="{3E1FB605-5C23-439E-ADBE-BF9865A221C7}" name="Cost Avoidance - UKN9"/>
    <tableColumn id="48" xr3:uid="{DBDEE5E0-5F11-455C-B346-4B8C8451B5C1}" name="Cost Avoidance - SAF10"/>
    <tableColumn id="47" xr3:uid="{03C3F484-AF82-4F3C-B087-2D7AEC78A6FC}" name="Cost Avoidance - US11"/>
    <tableColumn id="46" xr3:uid="{D2AADEB1-DA0C-4332-B575-97E7CF7386E7}" name="Cost Avoidance - Sams12"/>
    <tableColumn id="65" xr3:uid="{3CC6D2E6-11E6-4795-893F-69D4BB433BFA}" name="Spend - Sams Mexico"/>
    <tableColumn id="64" xr3:uid="{C4E6C2A7-23F8-4815-9356-3C23D13AFA61}" name="Spend - Sams China"/>
    <tableColumn id="63" xr3:uid="{B4BCCAB4-BB7B-4A17-ABFE-3C53DE9D9C86}" name="Savings - Sams Mexico"/>
    <tableColumn id="62" xr3:uid="{BDC7AE22-2814-45BC-BE6D-1D5B66990ACE}" name="Savings - Sams China"/>
    <tableColumn id="61" xr3:uid="{376D84AC-11BA-4D94-BA3F-99FC8AF0D14E}" name="Cost Avoidance - Sams Mexico"/>
    <tableColumn id="60" xr3:uid="{A13453BC-03FC-41BB-9616-F82486BD3C41}" name="Cost Avoidance - Sams China"/>
    <tableColumn id="84" xr3:uid="{EA7611E1-D1A5-4106-B3E4-EC509B952F48}" name="Spend - IND"/>
    <tableColumn id="83" xr3:uid="{6CC6340A-562E-4439-BA99-DF10FA34B897}" name="Savings - IND"/>
    <tableColumn id="82" xr3:uid="{CA422823-90C0-4A10-99A8-8DDA72A64D1D}" name="Cost Avoidance - IND"/>
    <tableColumn id="79" xr3:uid="{CF380503-3209-4DAC-89AD-98DDBB0ADD78}" name="Start Date - CAN" dataDxfId="27"/>
    <tableColumn id="78" xr3:uid="{A24A9657-6731-43AC-974D-B8B4889B1F7F}" name="Start Date - MEX" dataDxfId="26"/>
    <tableColumn id="77" xr3:uid="{22A5228F-373B-44DC-BEA3-5DD70EE79965}" name="Start Date - CAM" dataDxfId="25"/>
    <tableColumn id="76" xr3:uid="{00565338-922F-465B-B66C-D91840C4F7B3}" name="Start Date - CHL" dataDxfId="24"/>
    <tableColumn id="75" xr3:uid="{FFCFED87-161D-4CD1-BF5B-9CC1E454CA20}" name="Start Date - ARG" dataDxfId="23"/>
    <tableColumn id="74" xr3:uid="{0ECFA058-527B-4F88-B872-5D1E7393847F}" name="Start Date - CHN" dataDxfId="22"/>
    <tableColumn id="73" xr3:uid="{A1C8D9F5-8E0F-49B4-A679-3D4C56B7C624}" name="Start Date - JAP" dataDxfId="21"/>
    <tableColumn id="72" xr3:uid="{63BA7836-73E9-4FEE-AFD1-BE698BA94F26}" name="Start Date - UKN" dataDxfId="20"/>
    <tableColumn id="71" xr3:uid="{302A099A-B87E-4862-A388-1261AEB2546B}" name="Start Date - SAF" dataDxfId="19"/>
    <tableColumn id="70" xr3:uid="{C5F2F891-B2C8-4E87-BE74-62402FA31AEA}" name="Start Date - US" dataDxfId="18"/>
    <tableColumn id="69" xr3:uid="{1D8496E1-B426-4D0F-BADB-658F5803B418}" name="Start Date - Sams" dataDxfId="17"/>
    <tableColumn id="68" xr3:uid="{095C7538-F010-412D-9EB9-0A652CB039BC}" name="Start Date - Sams Mexico" dataDxfId="16"/>
    <tableColumn id="67" xr3:uid="{CBFE35D2-A1CA-4967-899D-75DED3B150F4}" name="Start Date - Sams China" dataDxfId="15"/>
    <tableColumn id="66" xr3:uid="{B5832453-6A20-46FA-A828-03463613DD7C}" name="Start Date - IND" dataDxfId="14"/>
    <tableColumn id="37" xr3:uid="{33A13EAF-1BF2-4F61-B612-FAA02E1B9706}" name="Most curent" dataDxfId="13">
      <calculatedColumnFormula>IF(_xlfn.MAXIFS(Table1[Sl No],Table1[Category],Table1[[#This Row],[Category]],Table1[Execution Year],Table1[[#This Row],[Execution Year]])=Table1[[#This Row],[Sl No]],TRUE,FALSE)</calculatedColumnFormula>
    </tableColumn>
    <tableColumn id="38" xr3:uid="{F51C209C-54E7-4637-A46F-730F9269A043}" name="Spend - ALL" dataDxfId="12" dataCellStyle="Comma">
      <calculatedColumnFormula>SUM(Table1[[#This Row],[Spend - CAN]:[Spend - Sams]])+SUM(Table1[[#This Row],[Spend - Sams Mexico]:[Spend - Sams China]])+Table1[[#This Row],[Spend - IND]]</calculatedColumnFormula>
    </tableColumn>
    <tableColumn id="39" xr3:uid="{3BB116D5-3C9E-4AFE-A991-8438CD879293}" name="Savings - All" dataDxfId="11">
      <calculatedColumnFormula>SUM(Table1[[#This Row],[Savings - CAN]:[Savings - Sams]])+SUM(Table1[[#This Row],[Savings - Sams Mexico]:[Savings - Sams China]])+Table1[[#This Row],[Savings - IND]]</calculatedColumnFormula>
    </tableColumn>
    <tableColumn id="42" xr3:uid="{F113BD86-4399-4E5C-B01A-38C7E86B33B5}" name="Spend - INTL" dataDxfId="10">
      <calculatedColumnFormula>SUM(Table1[[#This Row],[Spend - CAN]:[Spend - SAF]])+SUM(Table1[[#This Row],[Spend - Sams Mexico]:[Spend - Sams China]])+Table1[[#This Row],[Spend - IND]]</calculatedColumnFormula>
    </tableColumn>
    <tableColumn id="43" xr3:uid="{07CB7101-CC9E-4DAD-895E-CB769C5ED9B3}" name="Savings - INTL" dataDxfId="9">
      <calculatedColumnFormula>SUM(Table1[[#This Row],[Savings - CAN]:[Savings - SAF]])+SUM(Table1[[#This Row],[Savings - Sams Mexico]:[Savings - Sams China]])+Table1[[#This Row],[Savings - IND]]</calculatedColumnFormula>
    </tableColumn>
    <tableColumn id="44" xr3:uid="{51FC0B0C-9026-422A-8E09-76DE863AE46D}" name="Spend - WMUS-Sams" dataDxfId="8">
      <calculatedColumnFormula>SUM(Table1[[#This Row],[Spend - US]:[Spend - Sams]])</calculatedColumnFormula>
    </tableColumn>
    <tableColumn id="45" xr3:uid="{C88852C9-EB6A-4F3E-8208-5DF58BCEE2A4}" name="Savings - WMUs-Sams" dataDxfId="7">
      <calculatedColumnFormula>SUM(Table1[[#This Row],[Savings - US]:[Savings - Sams]])</calculatedColumnFormula>
    </tableColumn>
    <tableColumn id="58" xr3:uid="{2464F442-5F74-4CA1-B198-BECB84CBCF2D}" name="Cost Avoidance INTL" dataDxfId="6">
      <calculatedColumnFormula>SUM(Table1[[#This Row],[Cost Avoidance - CAN2]:[Cost Avoidance - SAF10]])+SUM(Table1[[#This Row],[Cost Avoidance - Sams Mexico]:[Cost Avoidance - Sams China]])+Table1[[#This Row],[Cost Avoidance - IND]]</calculatedColumnFormula>
    </tableColumn>
    <tableColumn id="57" xr3:uid="{14CC3D43-4BCD-4CBF-8683-BE8A99D4C4B1}" name="Cost Avoidance US" dataDxfId="5">
      <calculatedColumnFormula>SUM(Table1[[#This Row],[Cost Avoidance - US11]:[Cost Avoidance - Sams12]])</calculatedColumnFormula>
    </tableColumn>
    <tableColumn id="59" xr3:uid="{E2EB8E5A-B6A4-4C72-9C58-BFCEA90D8AFA}" name="Status Value" dataDxfId="4">
      <calculatedColumnFormula>_xlfn.XLOOKUP(Table1[[#This Row],[Status]],Status_Lookups[Status],Status_Lookups[Value],"")</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E8CF683-CE8F-4BE3-8FC4-97BE984A9B97}" name="Status_Lookups" displayName="Status_Lookups" ref="AB1:AC7" totalsRowShown="0" headerRowDxfId="3" dataDxfId="2">
  <autoFilter ref="AB1:AC7" xr:uid="{9026869C-051D-4B5C-A761-860CA25A1759}"/>
  <tableColumns count="2">
    <tableColumn id="1" xr3:uid="{3A7ACB31-14AA-4E55-BA19-6A6AD3A1EFDB}" name="Status" dataDxfId="1"/>
    <tableColumn id="2" xr3:uid="{943EB334-C4A1-4DE8-8FA0-70B90359D867}" name="Valu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6.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trlProp" Target="../ctrlProps/ctrlProp14.xml"/><Relationship Id="rId2" Type="http://schemas.openxmlformats.org/officeDocument/2006/relationships/drawing" Target="../drawings/drawing8.xml"/><Relationship Id="rId1" Type="http://schemas.openxmlformats.org/officeDocument/2006/relationships/printerSettings" Target="../printerSettings/printerSettings7.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1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D6868F-3A3E-4D83-B527-40F1A4992195}">
  <sheetPr codeName="Sheet15"/>
  <dimension ref="A1:AE69"/>
  <sheetViews>
    <sheetView workbookViewId="0">
      <selection activeCell="C10" sqref="C10"/>
    </sheetView>
  </sheetViews>
  <sheetFormatPr defaultRowHeight="14.45"/>
  <cols>
    <col min="2" max="3" width="10.42578125" customWidth="1"/>
    <col min="16" max="17" width="10.42578125" customWidth="1"/>
    <col min="18" max="18" width="10.5703125" customWidth="1"/>
    <col min="19" max="19" width="9.5703125" customWidth="1"/>
    <col min="20" max="21" width="10.42578125" customWidth="1"/>
    <col min="22" max="22" width="9.5703125" customWidth="1"/>
    <col min="23" max="23" width="10.42578125" customWidth="1"/>
    <col min="24" max="24" width="9.5703125" customWidth="1"/>
    <col min="25" max="26" width="10" customWidth="1"/>
    <col min="27" max="27" width="17" customWidth="1"/>
    <col min="28" max="28" width="10.42578125" customWidth="1"/>
    <col min="29" max="29" width="14" customWidth="1"/>
    <col min="30" max="30" width="13.42578125" customWidth="1"/>
  </cols>
  <sheetData>
    <row r="1" spans="1:31">
      <c r="A1" s="191" t="s">
        <v>0</v>
      </c>
      <c r="B1" s="192" t="s">
        <v>1</v>
      </c>
      <c r="C1" s="192" t="s">
        <v>2</v>
      </c>
      <c r="D1" s="192" t="s">
        <v>3</v>
      </c>
      <c r="E1" s="192" t="s">
        <v>4</v>
      </c>
      <c r="F1" s="192" t="s">
        <v>5</v>
      </c>
      <c r="G1" s="192" t="s">
        <v>6</v>
      </c>
      <c r="H1" s="192" t="s">
        <v>7</v>
      </c>
      <c r="I1" s="192" t="s">
        <v>8</v>
      </c>
      <c r="J1" s="192" t="s">
        <v>9</v>
      </c>
      <c r="K1" s="192" t="s">
        <v>10</v>
      </c>
      <c r="L1" s="192" t="s">
        <v>11</v>
      </c>
      <c r="M1" s="192" t="s">
        <v>12</v>
      </c>
      <c r="N1" s="192" t="s">
        <v>13</v>
      </c>
      <c r="O1" s="192" t="s">
        <v>14</v>
      </c>
      <c r="P1" s="192" t="s">
        <v>15</v>
      </c>
      <c r="Q1" s="192" t="s">
        <v>16</v>
      </c>
      <c r="R1" s="192" t="s">
        <v>17</v>
      </c>
      <c r="S1" s="192" t="s">
        <v>18</v>
      </c>
      <c r="T1" s="192" t="s">
        <v>19</v>
      </c>
      <c r="U1" s="192" t="s">
        <v>20</v>
      </c>
      <c r="V1" s="192" t="s">
        <v>21</v>
      </c>
      <c r="W1" s="192" t="s">
        <v>22</v>
      </c>
      <c r="X1" s="192" t="s">
        <v>23</v>
      </c>
      <c r="Y1" s="192" t="s">
        <v>24</v>
      </c>
      <c r="Z1" s="192" t="s">
        <v>25</v>
      </c>
      <c r="AA1" s="192" t="s">
        <v>26</v>
      </c>
      <c r="AB1" s="192" t="s">
        <v>27</v>
      </c>
      <c r="AC1" s="192" t="s">
        <v>28</v>
      </c>
      <c r="AD1" s="192" t="s">
        <v>29</v>
      </c>
      <c r="AE1" s="193" t="s">
        <v>30</v>
      </c>
    </row>
    <row r="2" spans="1:31">
      <c r="A2">
        <v>1</v>
      </c>
      <c r="B2" t="s">
        <v>31</v>
      </c>
      <c r="D2" t="s">
        <v>32</v>
      </c>
      <c r="E2" t="s">
        <v>33</v>
      </c>
      <c r="AC2" t="s">
        <v>34</v>
      </c>
      <c r="AD2" s="16">
        <v>44136.852546296293</v>
      </c>
      <c r="AE2" t="b">
        <f>IF(_xlfn.MAXIFS(Table25[Sl No],Table25[Category],Table25[[#This Row],[Category]],Table25[Year],Table25[[#This Row],[Year]])=Table25[[#This Row],[Sl No]],TRUE,FALSE)</f>
        <v>1</v>
      </c>
    </row>
    <row r="3" spans="1:31">
      <c r="A3">
        <v>1</v>
      </c>
      <c r="B3" t="s">
        <v>35</v>
      </c>
      <c r="D3" t="s">
        <v>32</v>
      </c>
      <c r="E3" t="s">
        <v>33</v>
      </c>
      <c r="AC3" s="16" t="s">
        <v>34</v>
      </c>
      <c r="AD3" s="16">
        <v>44136.852546296293</v>
      </c>
      <c r="AE3" t="b">
        <f>IF(_xlfn.MAXIFS(Table25[Sl No],Table25[Category],Table25[[#This Row],[Category]],Table25[Year],Table25[[#This Row],[Year]])=Table25[[#This Row],[Sl No]],TRUE,FALSE)</f>
        <v>1</v>
      </c>
    </row>
    <row r="4" spans="1:31">
      <c r="A4">
        <v>1</v>
      </c>
      <c r="B4" t="s">
        <v>36</v>
      </c>
      <c r="D4" t="s">
        <v>32</v>
      </c>
      <c r="E4" t="s">
        <v>33</v>
      </c>
      <c r="AC4" s="16" t="s">
        <v>34</v>
      </c>
      <c r="AD4" s="16">
        <v>44136.852546296293</v>
      </c>
      <c r="AE4" t="b">
        <f>IF(_xlfn.MAXIFS(Table25[Sl No],Table25[Category],Table25[[#This Row],[Category]],Table25[Year],Table25[[#This Row],[Year]])=Table25[[#This Row],[Sl No]],TRUE,FALSE)</f>
        <v>1</v>
      </c>
    </row>
    <row r="5" spans="1:31">
      <c r="A5">
        <v>1</v>
      </c>
      <c r="B5" t="s">
        <v>37</v>
      </c>
      <c r="D5" t="s">
        <v>32</v>
      </c>
      <c r="E5" t="s">
        <v>33</v>
      </c>
      <c r="AC5" s="16" t="s">
        <v>34</v>
      </c>
      <c r="AD5" s="16">
        <v>44136.852546296293</v>
      </c>
      <c r="AE5" t="b">
        <f>IF(_xlfn.MAXIFS(Table25[Sl No],Table25[Category],Table25[[#This Row],[Category]],Table25[Year],Table25[[#This Row],[Year]])=Table25[[#This Row],[Sl No]],TRUE,FALSE)</f>
        <v>1</v>
      </c>
    </row>
    <row r="6" spans="1:31">
      <c r="A6">
        <v>1</v>
      </c>
      <c r="B6" t="s">
        <v>38</v>
      </c>
      <c r="D6" t="s">
        <v>39</v>
      </c>
      <c r="E6" t="s">
        <v>33</v>
      </c>
      <c r="AC6" s="16" t="s">
        <v>34</v>
      </c>
      <c r="AD6" s="16">
        <v>44153.831296296295</v>
      </c>
      <c r="AE6" t="b">
        <f>IF(_xlfn.MAXIFS(Table25[Sl No],Table25[Category],Table25[[#This Row],[Category]],Table25[Year],Table25[[#This Row],[Year]])=Table25[[#This Row],[Sl No]],TRUE,FALSE)</f>
        <v>1</v>
      </c>
    </row>
    <row r="7" spans="1:31">
      <c r="A7">
        <v>1</v>
      </c>
      <c r="B7" t="s">
        <v>40</v>
      </c>
      <c r="D7" t="s">
        <v>32</v>
      </c>
      <c r="E7" t="s">
        <v>33</v>
      </c>
      <c r="AC7" s="16" t="s">
        <v>34</v>
      </c>
      <c r="AD7" s="16">
        <v>44153.835335648146</v>
      </c>
      <c r="AE7" t="b">
        <f>IF(_xlfn.MAXIFS(Table25[Sl No],Table25[Category],Table25[[#This Row],[Category]],Table25[Year],Table25[[#This Row],[Year]])=Table25[[#This Row],[Sl No]],TRUE,FALSE)</f>
        <v>1</v>
      </c>
    </row>
    <row r="8" spans="1:31">
      <c r="A8">
        <v>1</v>
      </c>
      <c r="B8" t="s">
        <v>41</v>
      </c>
      <c r="D8" t="s">
        <v>32</v>
      </c>
      <c r="E8" t="s">
        <v>33</v>
      </c>
      <c r="AC8" s="16" t="s">
        <v>34</v>
      </c>
      <c r="AD8" s="16">
        <v>44153.863240740742</v>
      </c>
      <c r="AE8" t="b">
        <f>IF(_xlfn.MAXIFS(Table25[Sl No],Table25[Category],Table25[[#This Row],[Category]],Table25[Year],Table25[[#This Row],[Year]])=Table25[[#This Row],[Sl No]],TRUE,FALSE)</f>
        <v>1</v>
      </c>
    </row>
    <row r="9" spans="1:31">
      <c r="A9">
        <v>1</v>
      </c>
      <c r="B9" t="s">
        <v>42</v>
      </c>
      <c r="D9" t="s">
        <v>32</v>
      </c>
      <c r="E9" t="s">
        <v>43</v>
      </c>
      <c r="AC9" s="16" t="s">
        <v>34</v>
      </c>
      <c r="AD9" s="16">
        <v>44153.866932870369</v>
      </c>
      <c r="AE9" t="b">
        <f>IF(_xlfn.MAXIFS(Table25[Sl No],Table25[Category],Table25[[#This Row],[Category]],Table25[Year],Table25[[#This Row],[Year]])=Table25[[#This Row],[Sl No]],TRUE,FALSE)</f>
        <v>1</v>
      </c>
    </row>
    <row r="10" spans="1:31">
      <c r="A10">
        <v>1</v>
      </c>
      <c r="B10" t="s">
        <v>44</v>
      </c>
      <c r="D10" t="s">
        <v>32</v>
      </c>
      <c r="E10" t="s">
        <v>33</v>
      </c>
      <c r="AC10" s="16" t="s">
        <v>34</v>
      </c>
      <c r="AD10" s="16">
        <v>44153.870891203704</v>
      </c>
      <c r="AE10" t="b">
        <f>IF(_xlfn.MAXIFS(Table25[Sl No],Table25[Category],Table25[[#This Row],[Category]],Table25[Year],Table25[[#This Row],[Year]])=Table25[[#This Row],[Sl No]],TRUE,FALSE)</f>
        <v>1</v>
      </c>
    </row>
    <row r="11" spans="1:31">
      <c r="A11">
        <v>1</v>
      </c>
      <c r="B11" t="s">
        <v>38</v>
      </c>
      <c r="D11" t="s">
        <v>32</v>
      </c>
      <c r="E11" t="s">
        <v>33</v>
      </c>
      <c r="AC11" s="16" t="s">
        <v>34</v>
      </c>
      <c r="AD11" s="16">
        <v>44153.872511574074</v>
      </c>
      <c r="AE11" t="b">
        <f>IF(_xlfn.MAXIFS(Table25[Sl No],Table25[Category],Table25[[#This Row],[Category]],Table25[Year],Table25[[#This Row],[Year]])=Table25[[#This Row],[Sl No]],TRUE,FALSE)</f>
        <v>1</v>
      </c>
    </row>
    <row r="12" spans="1:31">
      <c r="A12">
        <v>1</v>
      </c>
      <c r="B12" t="s">
        <v>45</v>
      </c>
      <c r="D12" t="s">
        <v>32</v>
      </c>
      <c r="E12" t="s">
        <v>33</v>
      </c>
      <c r="AC12" s="16" t="s">
        <v>34</v>
      </c>
      <c r="AD12" s="16">
        <v>44158.852546296293</v>
      </c>
      <c r="AE12" t="b">
        <f>IF(_xlfn.MAXIFS(Table25[Sl No],Table25[Category],Table25[[#This Row],[Category]],Table25[Year],Table25[[#This Row],[Year]])=Table25[[#This Row],[Sl No]],TRUE,FALSE)</f>
        <v>1</v>
      </c>
    </row>
    <row r="13" spans="1:31">
      <c r="A13">
        <v>1</v>
      </c>
      <c r="B13" t="s">
        <v>46</v>
      </c>
      <c r="D13" t="s">
        <v>39</v>
      </c>
      <c r="E13" t="s">
        <v>33</v>
      </c>
      <c r="AC13" s="16" t="s">
        <v>47</v>
      </c>
      <c r="AD13" s="16">
        <v>44204.401331018518</v>
      </c>
      <c r="AE13" t="b">
        <f>IF(_xlfn.MAXIFS(Table25[Sl No],Table25[Category],Table25[[#This Row],[Category]],Table25[Year],Table25[[#This Row],[Year]])=Table25[[#This Row],[Sl No]],TRUE,FALSE)</f>
        <v>1</v>
      </c>
    </row>
    <row r="14" spans="1:31">
      <c r="A14">
        <v>1</v>
      </c>
      <c r="B14" t="s">
        <v>48</v>
      </c>
      <c r="D14" t="s">
        <v>39</v>
      </c>
      <c r="E14" t="s">
        <v>33</v>
      </c>
      <c r="AC14" s="16" t="s">
        <v>47</v>
      </c>
      <c r="AD14" s="16">
        <v>44204.409872685188</v>
      </c>
      <c r="AE14" t="b">
        <f>IF(_xlfn.MAXIFS(Table25[Sl No],Table25[Category],Table25[[#This Row],[Category]],Table25[Year],Table25[[#This Row],[Year]])=Table25[[#This Row],[Sl No]],TRUE,FALSE)</f>
        <v>1</v>
      </c>
    </row>
    <row r="15" spans="1:31">
      <c r="A15">
        <v>1</v>
      </c>
      <c r="B15" t="s">
        <v>49</v>
      </c>
      <c r="D15" t="s">
        <v>39</v>
      </c>
      <c r="E15" t="s">
        <v>33</v>
      </c>
      <c r="AC15" s="16" t="s">
        <v>47</v>
      </c>
      <c r="AD15" s="16">
        <v>44204.510787037034</v>
      </c>
      <c r="AE15" t="b">
        <f>IF(_xlfn.MAXIFS(Table25[Sl No],Table25[Category],Table25[[#This Row],[Category]],Table25[Year],Table25[[#This Row],[Year]])=Table25[[#This Row],[Sl No]],TRUE,FALSE)</f>
        <v>1</v>
      </c>
    </row>
    <row r="16" spans="1:31">
      <c r="A16">
        <v>1</v>
      </c>
      <c r="B16" t="s">
        <v>50</v>
      </c>
      <c r="D16" t="s">
        <v>39</v>
      </c>
      <c r="E16" t="s">
        <v>33</v>
      </c>
      <c r="AC16" s="16" t="s">
        <v>47</v>
      </c>
      <c r="AD16" s="16">
        <v>44204.513877314814</v>
      </c>
      <c r="AE16" t="b">
        <f>IF(_xlfn.MAXIFS(Table25[Sl No],Table25[Category],Table25[[#This Row],[Category]],Table25[Year],Table25[[#This Row],[Year]])=Table25[[#This Row],[Sl No]],TRUE,FALSE)</f>
        <v>1</v>
      </c>
    </row>
    <row r="17" spans="1:31">
      <c r="A17">
        <v>1</v>
      </c>
      <c r="B17" t="s">
        <v>51</v>
      </c>
      <c r="D17" t="s">
        <v>39</v>
      </c>
      <c r="E17" t="s">
        <v>33</v>
      </c>
      <c r="AC17" s="16" t="s">
        <v>47</v>
      </c>
      <c r="AD17" s="16">
        <v>44204.517106481479</v>
      </c>
      <c r="AE17" t="b">
        <f>IF(_xlfn.MAXIFS(Table25[Sl No],Table25[Category],Table25[[#This Row],[Category]],Table25[Year],Table25[[#This Row],[Year]])=Table25[[#This Row],[Sl No]],TRUE,FALSE)</f>
        <v>1</v>
      </c>
    </row>
    <row r="18" spans="1:31">
      <c r="A18">
        <v>1</v>
      </c>
      <c r="B18" t="s">
        <v>52</v>
      </c>
      <c r="D18" t="s">
        <v>39</v>
      </c>
      <c r="E18" t="s">
        <v>33</v>
      </c>
      <c r="AC18" s="16" t="s">
        <v>47</v>
      </c>
      <c r="AD18" s="16">
        <v>44204.522222222222</v>
      </c>
      <c r="AE18" t="b">
        <f>IF(_xlfn.MAXIFS(Table25[Sl No],Table25[Category],Table25[[#This Row],[Category]],Table25[Year],Table25[[#This Row],[Year]])=Table25[[#This Row],[Sl No]],TRUE,FALSE)</f>
        <v>1</v>
      </c>
    </row>
    <row r="19" spans="1:31">
      <c r="A19">
        <v>1</v>
      </c>
      <c r="B19" t="s">
        <v>53</v>
      </c>
      <c r="D19" t="s">
        <v>39</v>
      </c>
      <c r="E19" t="s">
        <v>33</v>
      </c>
      <c r="AC19" s="16" t="s">
        <v>47</v>
      </c>
      <c r="AD19" s="16">
        <v>44204.523645833331</v>
      </c>
      <c r="AE19" t="b">
        <f>IF(_xlfn.MAXIFS(Table25[Sl No],Table25[Category],Table25[[#This Row],[Category]],Table25[Year],Table25[[#This Row],[Year]])=Table25[[#This Row],[Sl No]],TRUE,FALSE)</f>
        <v>1</v>
      </c>
    </row>
    <row r="20" spans="1:31">
      <c r="A20">
        <v>1</v>
      </c>
      <c r="B20" t="s">
        <v>54</v>
      </c>
      <c r="D20" t="s">
        <v>39</v>
      </c>
      <c r="E20" t="s">
        <v>33</v>
      </c>
      <c r="AC20" s="16" t="s">
        <v>47</v>
      </c>
      <c r="AD20" s="16">
        <v>44204.540405092594</v>
      </c>
      <c r="AE20" t="b">
        <f>IF(_xlfn.MAXIFS(Table25[Sl No],Table25[Category],Table25[[#This Row],[Category]],Table25[Year],Table25[[#This Row],[Year]])=Table25[[#This Row],[Sl No]],TRUE,FALSE)</f>
        <v>1</v>
      </c>
    </row>
    <row r="21" spans="1:31">
      <c r="A21">
        <v>1</v>
      </c>
      <c r="B21" t="s">
        <v>55</v>
      </c>
      <c r="D21" t="s">
        <v>39</v>
      </c>
      <c r="E21" t="s">
        <v>33</v>
      </c>
      <c r="AC21" s="16" t="s">
        <v>47</v>
      </c>
      <c r="AD21" s="16">
        <v>44204.541076388887</v>
      </c>
      <c r="AE21" t="b">
        <f>IF(_xlfn.MAXIFS(Table25[Sl No],Table25[Category],Table25[[#This Row],[Category]],Table25[Year],Table25[[#This Row],[Year]])=Table25[[#This Row],[Sl No]],TRUE,FALSE)</f>
        <v>1</v>
      </c>
    </row>
    <row r="22" spans="1:31">
      <c r="A22">
        <v>1</v>
      </c>
      <c r="B22" t="s">
        <v>56</v>
      </c>
      <c r="D22" t="s">
        <v>39</v>
      </c>
      <c r="E22" t="s">
        <v>33</v>
      </c>
      <c r="AC22" s="16" t="s">
        <v>47</v>
      </c>
      <c r="AD22" s="16">
        <v>44204.541435185187</v>
      </c>
      <c r="AE22" t="b">
        <f>IF(_xlfn.MAXIFS(Table25[Sl No],Table25[Category],Table25[[#This Row],[Category]],Table25[Year],Table25[[#This Row],[Year]])=Table25[[#This Row],[Sl No]],TRUE,FALSE)</f>
        <v>1</v>
      </c>
    </row>
    <row r="23" spans="1:31">
      <c r="A23">
        <v>1</v>
      </c>
      <c r="B23" t="s">
        <v>57</v>
      </c>
      <c r="D23" t="s">
        <v>39</v>
      </c>
      <c r="E23" t="s">
        <v>33</v>
      </c>
      <c r="AC23" s="16" t="s">
        <v>47</v>
      </c>
      <c r="AD23" s="16">
        <v>44204.569444444445</v>
      </c>
      <c r="AE23" t="b">
        <f>IF(_xlfn.MAXIFS(Table25[Sl No],Table25[Category],Table25[[#This Row],[Category]],Table25[Year],Table25[[#This Row],[Year]])=Table25[[#This Row],[Sl No]],TRUE,FALSE)</f>
        <v>1</v>
      </c>
    </row>
    <row r="24" spans="1:31">
      <c r="A24">
        <v>1</v>
      </c>
      <c r="B24" t="s">
        <v>58</v>
      </c>
      <c r="D24" t="s">
        <v>39</v>
      </c>
      <c r="E24" t="s">
        <v>33</v>
      </c>
      <c r="AC24" s="16" t="s">
        <v>47</v>
      </c>
      <c r="AD24" s="16">
        <v>44204.569733796299</v>
      </c>
      <c r="AE24" t="b">
        <f>IF(_xlfn.MAXIFS(Table25[Sl No],Table25[Category],Table25[[#This Row],[Category]],Table25[Year],Table25[[#This Row],[Year]])=Table25[[#This Row],[Sl No]],TRUE,FALSE)</f>
        <v>1</v>
      </c>
    </row>
    <row r="25" spans="1:31">
      <c r="A25">
        <v>1</v>
      </c>
      <c r="B25" t="s">
        <v>59</v>
      </c>
      <c r="D25" t="s">
        <v>39</v>
      </c>
      <c r="E25" t="s">
        <v>33</v>
      </c>
      <c r="AC25" s="16" t="s">
        <v>47</v>
      </c>
      <c r="AD25" s="16">
        <v>44204.58221064815</v>
      </c>
      <c r="AE25" t="b">
        <f>IF(_xlfn.MAXIFS(Table25[Sl No],Table25[Category],Table25[[#This Row],[Category]],Table25[Year],Table25[[#This Row],[Year]])=Table25[[#This Row],[Sl No]],TRUE,FALSE)</f>
        <v>1</v>
      </c>
    </row>
    <row r="26" spans="1:31">
      <c r="A26">
        <v>1</v>
      </c>
      <c r="B26" t="s">
        <v>60</v>
      </c>
      <c r="D26" t="s">
        <v>39</v>
      </c>
      <c r="E26" t="s">
        <v>33</v>
      </c>
      <c r="AC26" s="16" t="s">
        <v>47</v>
      </c>
      <c r="AD26" s="16">
        <v>44204.582650462966</v>
      </c>
      <c r="AE26" t="b">
        <f>IF(_xlfn.MAXIFS(Table25[Sl No],Table25[Category],Table25[[#This Row],[Category]],Table25[Year],Table25[[#This Row],[Year]])=Table25[[#This Row],[Sl No]],TRUE,FALSE)</f>
        <v>1</v>
      </c>
    </row>
    <row r="27" spans="1:31">
      <c r="A27">
        <v>1</v>
      </c>
      <c r="B27" t="s">
        <v>61</v>
      </c>
      <c r="D27" t="s">
        <v>39</v>
      </c>
      <c r="E27" t="s">
        <v>33</v>
      </c>
      <c r="AC27" s="16" t="s">
        <v>47</v>
      </c>
      <c r="AD27" s="16">
        <v>44204.582870370374</v>
      </c>
      <c r="AE27" t="b">
        <f>IF(_xlfn.MAXIFS(Table25[Sl No],Table25[Category],Table25[[#This Row],[Category]],Table25[Year],Table25[[#This Row],[Year]])=Table25[[#This Row],[Sl No]],TRUE,FALSE)</f>
        <v>1</v>
      </c>
    </row>
    <row r="28" spans="1:31">
      <c r="A28">
        <v>1</v>
      </c>
      <c r="B28" t="s">
        <v>62</v>
      </c>
      <c r="D28" t="s">
        <v>39</v>
      </c>
      <c r="E28" t="s">
        <v>33</v>
      </c>
      <c r="AC28" s="16" t="s">
        <v>47</v>
      </c>
      <c r="AD28" s="16">
        <v>44204.58321759259</v>
      </c>
      <c r="AE28" t="b">
        <f>IF(_xlfn.MAXIFS(Table25[Sl No],Table25[Category],Table25[[#This Row],[Category]],Table25[Year],Table25[[#This Row],[Year]])=Table25[[#This Row],[Sl No]],TRUE,FALSE)</f>
        <v>1</v>
      </c>
    </row>
    <row r="29" spans="1:31">
      <c r="A29">
        <v>1</v>
      </c>
      <c r="B29" t="s">
        <v>63</v>
      </c>
      <c r="D29" t="s">
        <v>39</v>
      </c>
      <c r="E29" t="s">
        <v>33</v>
      </c>
      <c r="AC29" s="16" t="s">
        <v>47</v>
      </c>
      <c r="AD29" s="16">
        <v>44204.583449074074</v>
      </c>
      <c r="AE29" t="b">
        <f>IF(_xlfn.MAXIFS(Table25[Sl No],Table25[Category],Table25[[#This Row],[Category]],Table25[Year],Table25[[#This Row],[Year]])=Table25[[#This Row],[Sl No]],TRUE,FALSE)</f>
        <v>1</v>
      </c>
    </row>
    <row r="30" spans="1:31">
      <c r="A30">
        <v>1</v>
      </c>
      <c r="B30" t="s">
        <v>64</v>
      </c>
      <c r="D30" t="s">
        <v>39</v>
      </c>
      <c r="E30" t="s">
        <v>33</v>
      </c>
      <c r="AC30" s="16" t="s">
        <v>47</v>
      </c>
      <c r="AD30" s="16">
        <v>44204.585729166669</v>
      </c>
      <c r="AE30" t="b">
        <f>IF(_xlfn.MAXIFS(Table25[Sl No],Table25[Category],Table25[[#This Row],[Category]],Table25[Year],Table25[[#This Row],[Year]])=Table25[[#This Row],[Sl No]],TRUE,FALSE)</f>
        <v>1</v>
      </c>
    </row>
    <row r="31" spans="1:31">
      <c r="A31">
        <v>1</v>
      </c>
      <c r="B31" t="s">
        <v>65</v>
      </c>
      <c r="D31" t="s">
        <v>39</v>
      </c>
      <c r="E31" t="s">
        <v>33</v>
      </c>
      <c r="AC31" s="16" t="s">
        <v>47</v>
      </c>
      <c r="AD31" s="16">
        <v>44204.591770833336</v>
      </c>
      <c r="AE31" t="b">
        <f>IF(_xlfn.MAXIFS(Table25[Sl No],Table25[Category],Table25[[#This Row],[Category]],Table25[Year],Table25[[#This Row],[Year]])=Table25[[#This Row],[Sl No]],TRUE,FALSE)</f>
        <v>1</v>
      </c>
    </row>
    <row r="32" spans="1:31">
      <c r="A32">
        <v>1</v>
      </c>
      <c r="B32" t="s">
        <v>66</v>
      </c>
      <c r="D32" t="s">
        <v>39</v>
      </c>
      <c r="E32" t="s">
        <v>33</v>
      </c>
      <c r="AC32" s="16" t="s">
        <v>47</v>
      </c>
      <c r="AD32" s="16">
        <v>44204.592060185183</v>
      </c>
      <c r="AE32" t="b">
        <f>IF(_xlfn.MAXIFS(Table25[Sl No],Table25[Category],Table25[[#This Row],[Category]],Table25[Year],Table25[[#This Row],[Year]])=Table25[[#This Row],[Sl No]],TRUE,FALSE)</f>
        <v>1</v>
      </c>
    </row>
    <row r="33" spans="1:31">
      <c r="A33">
        <v>1</v>
      </c>
      <c r="B33" t="s">
        <v>67</v>
      </c>
      <c r="D33" t="s">
        <v>39</v>
      </c>
      <c r="E33" t="s">
        <v>33</v>
      </c>
      <c r="AC33" s="16" t="s">
        <v>47</v>
      </c>
      <c r="AD33" s="16">
        <v>44204.592303240737</v>
      </c>
      <c r="AE33" t="b">
        <f>IF(_xlfn.MAXIFS(Table25[Sl No],Table25[Category],Table25[[#This Row],[Category]],Table25[Year],Table25[[#This Row],[Year]])=Table25[[#This Row],[Sl No]],TRUE,FALSE)</f>
        <v>1</v>
      </c>
    </row>
    <row r="34" spans="1:31">
      <c r="A34">
        <v>1</v>
      </c>
      <c r="B34" t="s">
        <v>68</v>
      </c>
      <c r="D34" t="s">
        <v>39</v>
      </c>
      <c r="E34" t="s">
        <v>33</v>
      </c>
      <c r="AC34" s="16" t="s">
        <v>47</v>
      </c>
      <c r="AD34" s="16">
        <v>44204.592650462961</v>
      </c>
      <c r="AE34" t="b">
        <f>IF(_xlfn.MAXIFS(Table25[Sl No],Table25[Category],Table25[[#This Row],[Category]],Table25[Year],Table25[[#This Row],[Year]])=Table25[[#This Row],[Sl No]],TRUE,FALSE)</f>
        <v>1</v>
      </c>
    </row>
    <row r="35" spans="1:31">
      <c r="A35">
        <v>1</v>
      </c>
      <c r="B35" t="s">
        <v>69</v>
      </c>
      <c r="D35" t="s">
        <v>39</v>
      </c>
      <c r="E35" t="s">
        <v>33</v>
      </c>
      <c r="AC35" s="16" t="s">
        <v>47</v>
      </c>
      <c r="AD35" s="16">
        <v>44204.592881944445</v>
      </c>
      <c r="AE35" t="b">
        <f>IF(_xlfn.MAXIFS(Table25[Sl No],Table25[Category],Table25[[#This Row],[Category]],Table25[Year],Table25[[#This Row],[Year]])=Table25[[#This Row],[Sl No]],TRUE,FALSE)</f>
        <v>1</v>
      </c>
    </row>
    <row r="36" spans="1:31">
      <c r="A36">
        <v>1</v>
      </c>
      <c r="B36" t="s">
        <v>70</v>
      </c>
      <c r="D36" t="s">
        <v>39</v>
      </c>
      <c r="E36" t="s">
        <v>33</v>
      </c>
      <c r="AC36" s="16" t="s">
        <v>47</v>
      </c>
      <c r="AD36" s="16">
        <v>44204.593182870369</v>
      </c>
      <c r="AE36" t="b">
        <f>IF(_xlfn.MAXIFS(Table25[Sl No],Table25[Category],Table25[[#This Row],[Category]],Table25[Year],Table25[[#This Row],[Year]])=Table25[[#This Row],[Sl No]],TRUE,FALSE)</f>
        <v>1</v>
      </c>
    </row>
    <row r="37" spans="1:31">
      <c r="A37">
        <v>1</v>
      </c>
      <c r="B37" t="s">
        <v>71</v>
      </c>
      <c r="D37" t="s">
        <v>39</v>
      </c>
      <c r="E37" t="s">
        <v>33</v>
      </c>
      <c r="AC37" s="16" t="s">
        <v>47</v>
      </c>
      <c r="AD37" s="16">
        <v>44204.593425925923</v>
      </c>
      <c r="AE37" t="b">
        <f>IF(_xlfn.MAXIFS(Table25[Sl No],Table25[Category],Table25[[#This Row],[Category]],Table25[Year],Table25[[#This Row],[Year]])=Table25[[#This Row],[Sl No]],TRUE,FALSE)</f>
        <v>1</v>
      </c>
    </row>
    <row r="38" spans="1:31">
      <c r="A38">
        <v>1</v>
      </c>
      <c r="B38" t="s">
        <v>72</v>
      </c>
      <c r="D38" t="s">
        <v>39</v>
      </c>
      <c r="E38" t="s">
        <v>33</v>
      </c>
      <c r="AC38" s="16" t="s">
        <v>47</v>
      </c>
      <c r="AD38" s="16">
        <v>44204.593668981484</v>
      </c>
      <c r="AE38" t="b">
        <f>IF(_xlfn.MAXIFS(Table25[Sl No],Table25[Category],Table25[[#This Row],[Category]],Table25[Year],Table25[[#This Row],[Year]])=Table25[[#This Row],[Sl No]],TRUE,FALSE)</f>
        <v>1</v>
      </c>
    </row>
    <row r="39" spans="1:31">
      <c r="A39">
        <v>1</v>
      </c>
      <c r="B39" t="s">
        <v>73</v>
      </c>
      <c r="D39" t="s">
        <v>39</v>
      </c>
      <c r="E39" t="s">
        <v>33</v>
      </c>
      <c r="AC39" s="16" t="s">
        <v>47</v>
      </c>
      <c r="AD39" s="16">
        <v>44204.593877314815</v>
      </c>
      <c r="AE39" t="b">
        <f>IF(_xlfn.MAXIFS(Table25[Sl No],Table25[Category],Table25[[#This Row],[Category]],Table25[Year],Table25[[#This Row],[Year]])=Table25[[#This Row],[Sl No]],TRUE,FALSE)</f>
        <v>1</v>
      </c>
    </row>
    <row r="40" spans="1:31">
      <c r="A40">
        <v>1</v>
      </c>
      <c r="B40" t="s">
        <v>74</v>
      </c>
      <c r="D40" t="s">
        <v>39</v>
      </c>
      <c r="E40" t="s">
        <v>33</v>
      </c>
      <c r="AC40" s="16" t="s">
        <v>47</v>
      </c>
      <c r="AD40" s="16">
        <v>44204.594131944446</v>
      </c>
      <c r="AE40" t="b">
        <f>IF(_xlfn.MAXIFS(Table25[Sl No],Table25[Category],Table25[[#This Row],[Category]],Table25[Year],Table25[[#This Row],[Year]])=Table25[[#This Row],[Sl No]],TRUE,FALSE)</f>
        <v>1</v>
      </c>
    </row>
    <row r="41" spans="1:31">
      <c r="A41">
        <v>1</v>
      </c>
      <c r="B41" t="s">
        <v>75</v>
      </c>
      <c r="D41" t="s">
        <v>39</v>
      </c>
      <c r="E41" t="s">
        <v>33</v>
      </c>
      <c r="AC41" s="16" t="s">
        <v>47</v>
      </c>
      <c r="AD41" s="16">
        <v>44204.594351851854</v>
      </c>
      <c r="AE41" t="b">
        <f>IF(_xlfn.MAXIFS(Table25[Sl No],Table25[Category],Table25[[#This Row],[Category]],Table25[Year],Table25[[#This Row],[Year]])=Table25[[#This Row],[Sl No]],TRUE,FALSE)</f>
        <v>1</v>
      </c>
    </row>
    <row r="42" spans="1:31">
      <c r="A42">
        <v>1</v>
      </c>
      <c r="B42" t="s">
        <v>76</v>
      </c>
      <c r="D42" t="s">
        <v>39</v>
      </c>
      <c r="E42" t="s">
        <v>33</v>
      </c>
      <c r="AC42" s="16" t="s">
        <v>47</v>
      </c>
      <c r="AD42" s="16">
        <v>44204.595486111109</v>
      </c>
      <c r="AE42" t="b">
        <f>IF(_xlfn.MAXIFS(Table25[Sl No],Table25[Category],Table25[[#This Row],[Category]],Table25[Year],Table25[[#This Row],[Year]])=Table25[[#This Row],[Sl No]],TRUE,FALSE)</f>
        <v>1</v>
      </c>
    </row>
    <row r="43" spans="1:31">
      <c r="A43">
        <v>1</v>
      </c>
      <c r="B43" t="s">
        <v>77</v>
      </c>
      <c r="D43" t="s">
        <v>39</v>
      </c>
      <c r="E43" t="s">
        <v>43</v>
      </c>
      <c r="AC43" s="16" t="s">
        <v>78</v>
      </c>
      <c r="AD43" s="16">
        <v>44215.459131944444</v>
      </c>
      <c r="AE43" t="b">
        <f>IF(_xlfn.MAXIFS(Table25[Sl No],Table25[Category],Table25[[#This Row],[Category]],Table25[Year],Table25[[#This Row],[Year]])=Table25[[#This Row],[Sl No]],TRUE,FALSE)</f>
        <v>1</v>
      </c>
    </row>
    <row r="44" spans="1:31">
      <c r="A44">
        <v>1</v>
      </c>
      <c r="B44" t="s">
        <v>79</v>
      </c>
      <c r="D44" t="s">
        <v>39</v>
      </c>
      <c r="E44" t="s">
        <v>43</v>
      </c>
      <c r="AC44" s="16" t="s">
        <v>78</v>
      </c>
      <c r="AD44" s="16">
        <v>44215.463692129626</v>
      </c>
      <c r="AE44" t="b">
        <f>IF(_xlfn.MAXIFS(Table25[Sl No],Table25[Category],Table25[[#This Row],[Category]],Table25[Year],Table25[[#This Row],[Year]])=Table25[[#This Row],[Sl No]],TRUE,FALSE)</f>
        <v>1</v>
      </c>
    </row>
    <row r="45" spans="1:31">
      <c r="A45">
        <v>1</v>
      </c>
      <c r="B45" t="s">
        <v>80</v>
      </c>
      <c r="D45" t="s">
        <v>39</v>
      </c>
      <c r="E45" t="s">
        <v>43</v>
      </c>
      <c r="AC45" s="16" t="s">
        <v>78</v>
      </c>
      <c r="AD45" s="16">
        <v>44218.489212962966</v>
      </c>
      <c r="AE45" t="b">
        <f>IF(_xlfn.MAXIFS(Table25[Sl No],Table25[Category],Table25[[#This Row],[Category]],Table25[Year],Table25[[#This Row],[Year]])=Table25[[#This Row],[Sl No]],TRUE,FALSE)</f>
        <v>1</v>
      </c>
    </row>
    <row r="46" spans="1:31">
      <c r="A46">
        <v>1</v>
      </c>
      <c r="B46" t="s">
        <v>81</v>
      </c>
      <c r="D46" t="s">
        <v>39</v>
      </c>
      <c r="E46" t="s">
        <v>33</v>
      </c>
      <c r="AC46" s="16" t="s">
        <v>47</v>
      </c>
      <c r="AD46" s="16">
        <v>44222.649270833332</v>
      </c>
      <c r="AE46" t="b">
        <f>IF(_xlfn.MAXIFS(Table25[Sl No],Table25[Category],Table25[[#This Row],[Category]],Table25[Year],Table25[[#This Row],[Year]])=Table25[[#This Row],[Sl No]],TRUE,FALSE)</f>
        <v>1</v>
      </c>
    </row>
    <row r="47" spans="1:31">
      <c r="A47">
        <v>1</v>
      </c>
      <c r="B47" t="s">
        <v>82</v>
      </c>
      <c r="D47" t="s">
        <v>39</v>
      </c>
      <c r="E47" t="s">
        <v>33</v>
      </c>
      <c r="AC47" s="16" t="s">
        <v>47</v>
      </c>
      <c r="AD47" s="16">
        <v>44222.656793981485</v>
      </c>
      <c r="AE47" t="b">
        <f>IF(_xlfn.MAXIFS(Table25[Sl No],Table25[Category],Table25[[#This Row],[Category]],Table25[Year],Table25[[#This Row],[Year]])=Table25[[#This Row],[Sl No]],TRUE,FALSE)</f>
        <v>1</v>
      </c>
    </row>
    <row r="48" spans="1:31">
      <c r="A48">
        <v>1</v>
      </c>
      <c r="B48" t="s">
        <v>83</v>
      </c>
      <c r="D48" t="s">
        <v>39</v>
      </c>
      <c r="E48" t="s">
        <v>33</v>
      </c>
      <c r="AC48" s="16" t="s">
        <v>47</v>
      </c>
      <c r="AD48" s="16">
        <v>44222.662569444445</v>
      </c>
      <c r="AE48" t="b">
        <f>IF(_xlfn.MAXIFS(Table25[Sl No],Table25[Category],Table25[[#This Row],[Category]],Table25[Year],Table25[[#This Row],[Year]])=Table25[[#This Row],[Sl No]],TRUE,FALSE)</f>
        <v>1</v>
      </c>
    </row>
    <row r="49" spans="1:31">
      <c r="A49">
        <v>1</v>
      </c>
      <c r="B49" t="s">
        <v>84</v>
      </c>
      <c r="D49" t="s">
        <v>39</v>
      </c>
      <c r="E49" t="s">
        <v>33</v>
      </c>
      <c r="AC49" s="16" t="s">
        <v>34</v>
      </c>
      <c r="AD49" s="16">
        <v>44223.487928240742</v>
      </c>
      <c r="AE49" t="b">
        <f>IF(_xlfn.MAXIFS(Table25[Sl No],Table25[Category],Table25[[#This Row],[Category]],Table25[Year],Table25[[#This Row],[Year]])=Table25[[#This Row],[Sl No]],TRUE,FALSE)</f>
        <v>1</v>
      </c>
    </row>
    <row r="50" spans="1:31">
      <c r="A50">
        <v>1</v>
      </c>
      <c r="B50" t="s">
        <v>85</v>
      </c>
      <c r="D50" t="s">
        <v>39</v>
      </c>
      <c r="E50" t="s">
        <v>43</v>
      </c>
      <c r="AC50" s="16" t="s">
        <v>78</v>
      </c>
      <c r="AD50" s="16">
        <v>44242.435868055552</v>
      </c>
      <c r="AE50" t="b">
        <f>IF(_xlfn.MAXIFS(Table25[Sl No],Table25[Category],Table25[[#This Row],[Category]],Table25[Year],Table25[[#This Row],[Year]])=Table25[[#This Row],[Sl No]],TRUE,FALSE)</f>
        <v>1</v>
      </c>
    </row>
    <row r="51" spans="1:31">
      <c r="A51">
        <v>1</v>
      </c>
      <c r="B51" t="s">
        <v>86</v>
      </c>
      <c r="D51" t="s">
        <v>39</v>
      </c>
      <c r="E51" t="s">
        <v>43</v>
      </c>
      <c r="AC51" s="16" t="s">
        <v>78</v>
      </c>
      <c r="AD51" s="16">
        <v>44242.436157407406</v>
      </c>
      <c r="AE51" t="b">
        <f>IF(_xlfn.MAXIFS(Table25[Sl No],Table25[Category],Table25[[#This Row],[Category]],Table25[Year],Table25[[#This Row],[Year]])=Table25[[#This Row],[Sl No]],TRUE,FALSE)</f>
        <v>1</v>
      </c>
    </row>
    <row r="52" spans="1:31">
      <c r="A52">
        <v>1</v>
      </c>
      <c r="B52" t="s">
        <v>87</v>
      </c>
      <c r="D52" t="s">
        <v>39</v>
      </c>
      <c r="E52" t="s">
        <v>43</v>
      </c>
      <c r="AC52" t="s">
        <v>78</v>
      </c>
      <c r="AD52" s="16">
        <v>44242.436388888891</v>
      </c>
      <c r="AE52" t="b">
        <f>IF(_xlfn.MAXIFS(Table25[Sl No],Table25[Category],Table25[[#This Row],[Category]],Table25[Year],Table25[[#This Row],[Year]])=Table25[[#This Row],[Sl No]],TRUE,FALSE)</f>
        <v>1</v>
      </c>
    </row>
    <row r="53" spans="1:31">
      <c r="A53">
        <v>1</v>
      </c>
      <c r="B53" t="s">
        <v>88</v>
      </c>
      <c r="D53" t="s">
        <v>39</v>
      </c>
      <c r="E53" t="s">
        <v>43</v>
      </c>
      <c r="AC53" t="s">
        <v>78</v>
      </c>
      <c r="AD53" s="16">
        <v>44242.436585648145</v>
      </c>
      <c r="AE53" t="b">
        <f>IF(_xlfn.MAXIFS(Table25[Sl No],Table25[Category],Table25[[#This Row],[Category]],Table25[Year],Table25[[#This Row],[Year]])=Table25[[#This Row],[Sl No]],TRUE,FALSE)</f>
        <v>1</v>
      </c>
    </row>
    <row r="54" spans="1:31">
      <c r="A54">
        <v>1</v>
      </c>
      <c r="B54" t="s">
        <v>89</v>
      </c>
      <c r="D54" t="s">
        <v>39</v>
      </c>
      <c r="E54" t="s">
        <v>43</v>
      </c>
      <c r="AC54" t="s">
        <v>78</v>
      </c>
      <c r="AD54" s="16">
        <v>44242.436874999999</v>
      </c>
      <c r="AE54" t="b">
        <f>IF(_xlfn.MAXIFS(Table25[Sl No],Table25[Category],Table25[[#This Row],[Category]],Table25[Year],Table25[[#This Row],[Year]])=Table25[[#This Row],[Sl No]],TRUE,FALSE)</f>
        <v>1</v>
      </c>
    </row>
    <row r="55" spans="1:31">
      <c r="A55">
        <v>1</v>
      </c>
      <c r="B55" t="s">
        <v>90</v>
      </c>
      <c r="D55" t="s">
        <v>39</v>
      </c>
      <c r="E55" t="s">
        <v>43</v>
      </c>
      <c r="AC55" t="s">
        <v>78</v>
      </c>
      <c r="AD55" s="16">
        <v>44242.437175925923</v>
      </c>
      <c r="AE55" t="b">
        <f>IF(_xlfn.MAXIFS(Table25[Sl No],Table25[Category],Table25[[#This Row],[Category]],Table25[Year],Table25[[#This Row],[Year]])=Table25[[#This Row],[Sl No]],TRUE,FALSE)</f>
        <v>1</v>
      </c>
    </row>
    <row r="56" spans="1:31">
      <c r="A56">
        <v>1</v>
      </c>
      <c r="B56" t="s">
        <v>91</v>
      </c>
      <c r="D56" t="s">
        <v>39</v>
      </c>
      <c r="E56" t="s">
        <v>43</v>
      </c>
      <c r="AC56" t="s">
        <v>78</v>
      </c>
      <c r="AD56" s="16">
        <v>44244.367349537039</v>
      </c>
      <c r="AE56" t="b">
        <f>IF(_xlfn.MAXIFS(Table25[Sl No],Table25[Category],Table25[[#This Row],[Category]],Table25[Year],Table25[[#This Row],[Year]])=Table25[[#This Row],[Sl No]],TRUE,FALSE)</f>
        <v>1</v>
      </c>
    </row>
    <row r="57" spans="1:31">
      <c r="A57">
        <v>1</v>
      </c>
      <c r="B57" t="s">
        <v>92</v>
      </c>
      <c r="D57" t="s">
        <v>39</v>
      </c>
      <c r="E57" t="s">
        <v>43</v>
      </c>
      <c r="AC57" t="s">
        <v>78</v>
      </c>
      <c r="AD57" s="16">
        <v>44244.367592592593</v>
      </c>
      <c r="AE57" t="b">
        <f>IF(_xlfn.MAXIFS(Table25[Sl No],Table25[Category],Table25[[#This Row],[Category]],Table25[Year],Table25[[#This Row],[Year]])=Table25[[#This Row],[Sl No]],TRUE,FALSE)</f>
        <v>1</v>
      </c>
    </row>
    <row r="58" spans="1:31">
      <c r="A58">
        <v>2</v>
      </c>
      <c r="B58" t="s">
        <v>93</v>
      </c>
      <c r="C58">
        <v>44250</v>
      </c>
      <c r="D58" t="s">
        <v>39</v>
      </c>
      <c r="E58" t="s">
        <v>43</v>
      </c>
      <c r="F58" t="s">
        <v>94</v>
      </c>
      <c r="G58" t="s">
        <v>94</v>
      </c>
      <c r="H58" t="s">
        <v>94</v>
      </c>
      <c r="I58" t="s">
        <v>94</v>
      </c>
      <c r="J58" t="s">
        <v>94</v>
      </c>
      <c r="K58" t="s">
        <v>94</v>
      </c>
      <c r="L58" t="s">
        <v>94</v>
      </c>
      <c r="M58" t="s">
        <v>94</v>
      </c>
      <c r="N58" t="s">
        <v>94</v>
      </c>
      <c r="O58" t="s">
        <v>95</v>
      </c>
      <c r="Q58" t="s">
        <v>96</v>
      </c>
      <c r="R58" t="s">
        <v>96</v>
      </c>
      <c r="S58" t="s">
        <v>96</v>
      </c>
      <c r="T58" t="s">
        <v>96</v>
      </c>
      <c r="U58" t="s">
        <v>96</v>
      </c>
      <c r="V58" t="s">
        <v>96</v>
      </c>
      <c r="W58" t="s">
        <v>96</v>
      </c>
      <c r="X58" t="s">
        <v>96</v>
      </c>
      <c r="Y58" t="s">
        <v>96</v>
      </c>
      <c r="AA58" t="s">
        <v>95</v>
      </c>
      <c r="AB58" t="s">
        <v>95</v>
      </c>
      <c r="AC58" t="s">
        <v>43</v>
      </c>
      <c r="AD58" s="16">
        <v>44250</v>
      </c>
      <c r="AE58" t="b">
        <f>IF(_xlfn.MAXIFS(Table25[Sl No],Table25[Category],Table25[[#This Row],[Category]],Table25[Year],Table25[[#This Row],[Year]])=Table25[[#This Row],[Sl No]],TRUE,FALSE)</f>
        <v>0</v>
      </c>
    </row>
    <row r="59" spans="1:31">
      <c r="A59">
        <v>3</v>
      </c>
      <c r="B59" t="s">
        <v>93</v>
      </c>
      <c r="C59">
        <v>44250</v>
      </c>
      <c r="D59" t="s">
        <v>39</v>
      </c>
      <c r="E59" t="s">
        <v>43</v>
      </c>
      <c r="F59" t="s">
        <v>94</v>
      </c>
      <c r="G59" t="s">
        <v>94</v>
      </c>
      <c r="H59" t="s">
        <v>94</v>
      </c>
      <c r="I59" t="s">
        <v>94</v>
      </c>
      <c r="J59" t="s">
        <v>94</v>
      </c>
      <c r="K59" t="s">
        <v>94</v>
      </c>
      <c r="L59" t="s">
        <v>94</v>
      </c>
      <c r="M59" t="s">
        <v>94</v>
      </c>
      <c r="N59" t="s">
        <v>94</v>
      </c>
      <c r="O59" t="s">
        <v>94</v>
      </c>
      <c r="Q59" t="s">
        <v>96</v>
      </c>
      <c r="R59" t="s">
        <v>96</v>
      </c>
      <c r="S59" t="s">
        <v>96</v>
      </c>
      <c r="T59" t="s">
        <v>96</v>
      </c>
      <c r="U59" t="s">
        <v>96</v>
      </c>
      <c r="V59" t="s">
        <v>96</v>
      </c>
      <c r="W59" t="s">
        <v>96</v>
      </c>
      <c r="X59" t="s">
        <v>96</v>
      </c>
      <c r="Y59" t="s">
        <v>96</v>
      </c>
      <c r="AA59" t="s">
        <v>96</v>
      </c>
      <c r="AB59" t="s">
        <v>95</v>
      </c>
      <c r="AC59" t="s">
        <v>43</v>
      </c>
      <c r="AD59" s="16">
        <v>44250</v>
      </c>
      <c r="AE59" t="b">
        <f>IF(_xlfn.MAXIFS(Table25[Sl No],Table25[Category],Table25[[#This Row],[Category]],Table25[Year],Table25[[#This Row],[Year]])=Table25[[#This Row],[Sl No]],TRUE,FALSE)</f>
        <v>0</v>
      </c>
    </row>
    <row r="60" spans="1:31">
      <c r="A60">
        <v>4</v>
      </c>
      <c r="B60" t="s">
        <v>93</v>
      </c>
      <c r="C60">
        <v>44250</v>
      </c>
      <c r="D60" t="s">
        <v>39</v>
      </c>
      <c r="E60" t="s">
        <v>43</v>
      </c>
      <c r="F60" t="s">
        <v>94</v>
      </c>
      <c r="G60" t="s">
        <v>94</v>
      </c>
      <c r="H60" t="s">
        <v>94</v>
      </c>
      <c r="I60" t="s">
        <v>94</v>
      </c>
      <c r="J60" t="s">
        <v>94</v>
      </c>
      <c r="K60" t="s">
        <v>94</v>
      </c>
      <c r="L60" t="s">
        <v>94</v>
      </c>
      <c r="M60" t="s">
        <v>94</v>
      </c>
      <c r="N60" t="s">
        <v>94</v>
      </c>
      <c r="O60" t="s">
        <v>94</v>
      </c>
      <c r="P60" t="s">
        <v>94</v>
      </c>
      <c r="Q60" t="s">
        <v>94</v>
      </c>
      <c r="R60" t="s">
        <v>94</v>
      </c>
      <c r="S60" t="s">
        <v>94</v>
      </c>
      <c r="T60" t="s">
        <v>94</v>
      </c>
      <c r="U60" t="s">
        <v>94</v>
      </c>
      <c r="V60" t="s">
        <v>94</v>
      </c>
      <c r="W60" t="s">
        <v>94</v>
      </c>
      <c r="X60" t="s">
        <v>94</v>
      </c>
      <c r="Y60" t="s">
        <v>94</v>
      </c>
      <c r="Z60" t="s">
        <v>94</v>
      </c>
      <c r="AA60" t="s">
        <v>94</v>
      </c>
      <c r="AC60" t="s">
        <v>97</v>
      </c>
      <c r="AD60">
        <v>44250</v>
      </c>
      <c r="AE60" t="b">
        <f>IF(_xlfn.MAXIFS(Table25[Sl No],Table25[Category],Table25[[#This Row],[Category]],Table25[Year],Table25[[#This Row],[Year]])=Table25[[#This Row],[Sl No]],TRUE,FALSE)</f>
        <v>1</v>
      </c>
    </row>
    <row r="61" spans="1:31">
      <c r="A61">
        <v>1</v>
      </c>
      <c r="B61" t="s">
        <v>98</v>
      </c>
      <c r="D61" t="s">
        <v>39</v>
      </c>
      <c r="E61" t="s">
        <v>43</v>
      </c>
      <c r="AC61" t="s">
        <v>97</v>
      </c>
      <c r="AD61">
        <v>44250</v>
      </c>
      <c r="AE61" t="b">
        <f>IF(_xlfn.MAXIFS(Table25[Sl No],Table25[Category],Table25[[#This Row],[Category]],Table25[Year],Table25[[#This Row],[Year]])=Table25[[#This Row],[Sl No]],TRUE,FALSE)</f>
        <v>0</v>
      </c>
    </row>
    <row r="62" spans="1:31">
      <c r="A62">
        <v>2</v>
      </c>
      <c r="B62" t="s">
        <v>98</v>
      </c>
      <c r="C62">
        <v>44250</v>
      </c>
      <c r="D62" t="s">
        <v>39</v>
      </c>
      <c r="E62" t="s">
        <v>43</v>
      </c>
      <c r="F62" t="s">
        <v>99</v>
      </c>
      <c r="G62" t="s">
        <v>99</v>
      </c>
      <c r="H62" t="s">
        <v>99</v>
      </c>
      <c r="I62" t="s">
        <v>99</v>
      </c>
      <c r="J62" t="s">
        <v>99</v>
      </c>
      <c r="K62" t="s">
        <v>99</v>
      </c>
      <c r="L62" t="s">
        <v>99</v>
      </c>
      <c r="M62" t="s">
        <v>99</v>
      </c>
      <c r="N62" t="s">
        <v>99</v>
      </c>
      <c r="O62" t="s">
        <v>99</v>
      </c>
      <c r="P62" t="s">
        <v>99</v>
      </c>
      <c r="Q62" t="s">
        <v>99</v>
      </c>
      <c r="R62" t="s">
        <v>99</v>
      </c>
      <c r="S62" t="s">
        <v>99</v>
      </c>
      <c r="T62" t="s">
        <v>99</v>
      </c>
      <c r="U62" t="s">
        <v>99</v>
      </c>
      <c r="V62" t="s">
        <v>99</v>
      </c>
      <c r="W62" t="s">
        <v>99</v>
      </c>
      <c r="X62" t="s">
        <v>99</v>
      </c>
      <c r="Y62" t="s">
        <v>99</v>
      </c>
      <c r="Z62" t="s">
        <v>99</v>
      </c>
      <c r="AA62" t="s">
        <v>99</v>
      </c>
      <c r="AC62" t="s">
        <v>97</v>
      </c>
      <c r="AD62" s="16">
        <v>44250</v>
      </c>
      <c r="AE62" t="b">
        <f>IF(_xlfn.MAXIFS(Table25[Sl No],Table25[Category],Table25[[#This Row],[Category]],Table25[Year],Table25[[#This Row],[Year]])=Table25[[#This Row],[Sl No]],TRUE,FALSE)</f>
        <v>0</v>
      </c>
    </row>
    <row r="63" spans="1:31">
      <c r="A63">
        <v>3</v>
      </c>
      <c r="B63" t="s">
        <v>98</v>
      </c>
      <c r="C63">
        <v>44250</v>
      </c>
      <c r="D63" t="s">
        <v>39</v>
      </c>
      <c r="E63" t="s">
        <v>43</v>
      </c>
      <c r="F63" t="s">
        <v>100</v>
      </c>
      <c r="G63" t="s">
        <v>101</v>
      </c>
      <c r="H63" t="s">
        <v>102</v>
      </c>
      <c r="I63" t="s">
        <v>99</v>
      </c>
      <c r="J63" t="s">
        <v>103</v>
      </c>
      <c r="K63" t="s">
        <v>104</v>
      </c>
      <c r="L63" t="s">
        <v>101</v>
      </c>
      <c r="M63" t="s">
        <v>104</v>
      </c>
      <c r="N63" t="s">
        <v>104</v>
      </c>
      <c r="O63" t="s">
        <v>101</v>
      </c>
      <c r="P63" t="s">
        <v>105</v>
      </c>
      <c r="Q63" t="s">
        <v>106</v>
      </c>
      <c r="R63" t="s">
        <v>106</v>
      </c>
      <c r="S63" t="s">
        <v>106</v>
      </c>
      <c r="T63" t="s">
        <v>106</v>
      </c>
      <c r="U63" t="s">
        <v>106</v>
      </c>
      <c r="V63" t="s">
        <v>106</v>
      </c>
      <c r="W63" t="s">
        <v>106</v>
      </c>
      <c r="X63" t="s">
        <v>106</v>
      </c>
      <c r="Y63" t="s">
        <v>106</v>
      </c>
      <c r="Z63" t="s">
        <v>106</v>
      </c>
      <c r="AA63" t="s">
        <v>106</v>
      </c>
      <c r="AC63" t="s">
        <v>97</v>
      </c>
      <c r="AD63" s="16">
        <v>44250</v>
      </c>
      <c r="AE63" t="b">
        <f>IF(_xlfn.MAXIFS(Table25[Sl No],Table25[Category],Table25[[#This Row],[Category]],Table25[Year],Table25[[#This Row],[Year]])=Table25[[#This Row],[Sl No]],TRUE,FALSE)</f>
        <v>0</v>
      </c>
    </row>
    <row r="64" spans="1:31">
      <c r="A64">
        <v>4</v>
      </c>
      <c r="B64" t="s">
        <v>98</v>
      </c>
      <c r="C64">
        <v>44250</v>
      </c>
      <c r="D64" t="s">
        <v>39</v>
      </c>
      <c r="E64" t="s">
        <v>43</v>
      </c>
      <c r="F64" t="s">
        <v>104</v>
      </c>
      <c r="G64" t="s">
        <v>104</v>
      </c>
      <c r="H64" t="s">
        <v>104</v>
      </c>
      <c r="I64" t="s">
        <v>104</v>
      </c>
      <c r="J64" t="s">
        <v>104</v>
      </c>
      <c r="K64" t="s">
        <v>104</v>
      </c>
      <c r="L64" t="s">
        <v>104</v>
      </c>
      <c r="M64" t="s">
        <v>104</v>
      </c>
      <c r="N64" t="s">
        <v>104</v>
      </c>
      <c r="O64" t="s">
        <v>104</v>
      </c>
      <c r="P64" t="s">
        <v>105</v>
      </c>
      <c r="Q64" t="s">
        <v>107</v>
      </c>
      <c r="R64" t="s">
        <v>108</v>
      </c>
      <c r="S64" t="s">
        <v>108</v>
      </c>
      <c r="T64" t="s">
        <v>108</v>
      </c>
      <c r="U64" t="s">
        <v>108</v>
      </c>
      <c r="V64" t="s">
        <v>108</v>
      </c>
      <c r="W64" t="s">
        <v>108</v>
      </c>
      <c r="X64" t="s">
        <v>108</v>
      </c>
      <c r="Y64" t="s">
        <v>108</v>
      </c>
      <c r="Z64" t="s">
        <v>108</v>
      </c>
      <c r="AA64" t="s">
        <v>107</v>
      </c>
      <c r="AC64" t="s">
        <v>97</v>
      </c>
      <c r="AD64" s="16">
        <v>44250</v>
      </c>
      <c r="AE64" t="b">
        <f>IF(_xlfn.MAXIFS(Table25[Sl No],Table25[Category],Table25[[#This Row],[Category]],Table25[Year],Table25[[#This Row],[Year]])=Table25[[#This Row],[Sl No]],TRUE,FALSE)</f>
        <v>0</v>
      </c>
    </row>
    <row r="65" spans="1:31">
      <c r="A65">
        <v>5</v>
      </c>
      <c r="B65" t="s">
        <v>98</v>
      </c>
      <c r="C65">
        <v>44250</v>
      </c>
      <c r="D65" t="s">
        <v>39</v>
      </c>
      <c r="E65" t="s">
        <v>43</v>
      </c>
      <c r="F65" t="s">
        <v>104</v>
      </c>
      <c r="G65" t="s">
        <v>104</v>
      </c>
      <c r="H65" t="s">
        <v>104</v>
      </c>
      <c r="I65" t="s">
        <v>104</v>
      </c>
      <c r="J65" t="s">
        <v>104</v>
      </c>
      <c r="K65" t="s">
        <v>104</v>
      </c>
      <c r="L65" t="s">
        <v>104</v>
      </c>
      <c r="M65" t="s">
        <v>104</v>
      </c>
      <c r="N65" t="s">
        <v>104</v>
      </c>
      <c r="O65" t="s">
        <v>104</v>
      </c>
      <c r="P65" t="s">
        <v>100</v>
      </c>
      <c r="Q65" t="s">
        <v>107</v>
      </c>
      <c r="R65" t="s">
        <v>108</v>
      </c>
      <c r="S65" t="s">
        <v>108</v>
      </c>
      <c r="T65" t="s">
        <v>108</v>
      </c>
      <c r="U65" t="s">
        <v>108</v>
      </c>
      <c r="V65" t="s">
        <v>108</v>
      </c>
      <c r="W65" t="s">
        <v>108</v>
      </c>
      <c r="X65" t="s">
        <v>108</v>
      </c>
      <c r="Y65" t="s">
        <v>108</v>
      </c>
      <c r="Z65" t="s">
        <v>108</v>
      </c>
      <c r="AA65" t="s">
        <v>107</v>
      </c>
      <c r="AC65" t="s">
        <v>97</v>
      </c>
      <c r="AD65" s="16">
        <v>44250</v>
      </c>
      <c r="AE65" t="b">
        <f>IF(_xlfn.MAXIFS(Table25[Sl No],Table25[Category],Table25[[#This Row],[Category]],Table25[Year],Table25[[#This Row],[Year]])=Table25[[#This Row],[Sl No]],TRUE,FALSE)</f>
        <v>1</v>
      </c>
    </row>
    <row r="66" spans="1:31">
      <c r="A66">
        <v>1</v>
      </c>
      <c r="B66" t="s">
        <v>109</v>
      </c>
      <c r="D66" t="s">
        <v>39</v>
      </c>
      <c r="E66" t="s">
        <v>33</v>
      </c>
      <c r="AD66" s="16"/>
      <c r="AE66" t="b">
        <f>IF(_xlfn.MAXIFS(Table25[Sl No],Table25[Category],Table25[[#This Row],[Category]],Table25[Year],Table25[[#This Row],[Year]])=Table25[[#This Row],[Sl No]],TRUE,FALSE)</f>
        <v>1</v>
      </c>
    </row>
    <row r="67" spans="1:31">
      <c r="A67">
        <v>1</v>
      </c>
      <c r="B67" t="s">
        <v>110</v>
      </c>
      <c r="D67" t="s">
        <v>39</v>
      </c>
      <c r="E67" t="s">
        <v>43</v>
      </c>
      <c r="AD67" s="16"/>
      <c r="AE67" t="b">
        <f>IF(_xlfn.MAXIFS(Table25[Sl No],Table25[Category],Table25[[#This Row],[Category]],Table25[Year],Table25[[#This Row],[Year]])=Table25[[#This Row],[Sl No]],TRUE,FALSE)</f>
        <v>1</v>
      </c>
    </row>
    <row r="68" spans="1:31">
      <c r="A68">
        <v>1</v>
      </c>
      <c r="B68" t="s">
        <v>111</v>
      </c>
      <c r="D68" t="s">
        <v>39</v>
      </c>
      <c r="E68" t="s">
        <v>43</v>
      </c>
      <c r="AD68" s="16"/>
      <c r="AE68" t="b">
        <f>IF(_xlfn.MAXIFS(Table25[Sl No],Table25[Category],Table25[[#This Row],[Category]],Table25[Year],Table25[[#This Row],[Year]])=Table25[[#This Row],[Sl No]],TRUE,FALSE)</f>
        <v>1</v>
      </c>
    </row>
    <row r="69" spans="1:31">
      <c r="A69">
        <v>1</v>
      </c>
      <c r="B69" t="s">
        <v>112</v>
      </c>
      <c r="D69" t="s">
        <v>39</v>
      </c>
      <c r="E69" t="s">
        <v>43</v>
      </c>
      <c r="AD69" s="16"/>
      <c r="AE69" t="b">
        <f>IF(_xlfn.MAXIFS(Table25[Sl No],Table25[Category],Table25[[#This Row],[Category]],Table25[Year],Table25[[#This Row],[Year]])=Table25[[#This Row],[Sl No]],TRUE,FALSE)</f>
        <v>1</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FB348-8858-483C-93C6-F4A5EE584AA5}">
  <sheetPr codeName="Sheet11"/>
  <dimension ref="C2:Q60"/>
  <sheetViews>
    <sheetView showGridLines="0" zoomScaleNormal="100" workbookViewId="0">
      <selection activeCell="D14" sqref="D14"/>
    </sheetView>
  </sheetViews>
  <sheetFormatPr defaultColWidth="8.5703125" defaultRowHeight="14.45"/>
  <cols>
    <col min="1" max="1" width="2.42578125" customWidth="1"/>
    <col min="2" max="2" width="3.42578125" customWidth="1"/>
    <col min="4" max="4" width="33.42578125" customWidth="1"/>
    <col min="5" max="5" width="2.42578125" customWidth="1"/>
    <col min="6" max="6" width="12.42578125" customWidth="1"/>
    <col min="7" max="7" width="3.42578125" customWidth="1"/>
    <col min="8" max="8" width="46.42578125" customWidth="1"/>
    <col min="9" max="12" width="2.42578125" customWidth="1"/>
    <col min="13" max="13" width="11.42578125" customWidth="1"/>
    <col min="14" max="17" width="2.42578125" customWidth="1"/>
  </cols>
  <sheetData>
    <row r="2" spans="3:17" ht="26.1">
      <c r="C2" s="281" t="s">
        <v>113</v>
      </c>
      <c r="D2" s="281"/>
      <c r="E2" s="281"/>
      <c r="F2" s="281"/>
      <c r="G2" s="281"/>
      <c r="H2" s="281"/>
      <c r="I2" s="281"/>
      <c r="J2" s="281"/>
      <c r="K2" s="281"/>
      <c r="L2" s="281"/>
      <c r="M2" s="281"/>
      <c r="N2" s="281"/>
      <c r="O2" s="281"/>
      <c r="P2" s="281"/>
      <c r="Q2" s="281"/>
    </row>
    <row r="3" spans="3:17">
      <c r="D3" s="30"/>
      <c r="H3" s="30"/>
    </row>
    <row r="4" spans="3:17" ht="15" thickBot="1"/>
    <row r="5" spans="3:17">
      <c r="C5" s="20"/>
      <c r="D5" s="21"/>
      <c r="E5" s="21"/>
      <c r="F5" s="21"/>
      <c r="G5" s="21"/>
      <c r="H5" s="21"/>
      <c r="I5" s="21"/>
      <c r="J5" s="21"/>
      <c r="K5" s="21"/>
      <c r="L5" s="21"/>
      <c r="M5" s="21"/>
      <c r="N5" s="21"/>
      <c r="O5" s="21"/>
      <c r="P5" s="21"/>
      <c r="Q5" s="22"/>
    </row>
    <row r="6" spans="3:17">
      <c r="C6" s="24"/>
      <c r="D6" s="56" t="s">
        <v>114</v>
      </c>
      <c r="Q6" s="23"/>
    </row>
    <row r="7" spans="3:17">
      <c r="C7" s="24"/>
      <c r="Q7" s="23"/>
    </row>
    <row r="8" spans="3:17">
      <c r="C8" s="24"/>
      <c r="D8" s="54" t="s">
        <v>115</v>
      </c>
      <c r="E8" s="55"/>
      <c r="F8" s="54" t="s">
        <v>116</v>
      </c>
      <c r="G8" s="55"/>
      <c r="H8" s="54" t="s">
        <v>117</v>
      </c>
      <c r="I8" s="55"/>
      <c r="J8" s="55"/>
      <c r="K8" s="55"/>
      <c r="L8" s="55"/>
      <c r="M8" s="55"/>
      <c r="N8" s="55"/>
      <c r="Q8" s="23"/>
    </row>
    <row r="9" spans="3:17">
      <c r="C9" s="24"/>
      <c r="Q9" s="23"/>
    </row>
    <row r="10" spans="3:17">
      <c r="C10" s="24"/>
      <c r="D10" s="53" t="s">
        <v>118</v>
      </c>
      <c r="F10" t="s">
        <v>119</v>
      </c>
      <c r="H10" t="s">
        <v>120</v>
      </c>
      <c r="Q10" s="23"/>
    </row>
    <row r="11" spans="3:17">
      <c r="C11" s="24"/>
      <c r="Q11" s="23"/>
    </row>
    <row r="12" spans="3:17">
      <c r="C12" s="24"/>
      <c r="D12" s="53" t="s">
        <v>121</v>
      </c>
      <c r="F12" t="s">
        <v>122</v>
      </c>
      <c r="H12" t="s">
        <v>123</v>
      </c>
      <c r="Q12" s="23"/>
    </row>
    <row r="13" spans="3:17">
      <c r="C13" s="24"/>
      <c r="Q13" s="23"/>
    </row>
    <row r="14" spans="3:17">
      <c r="C14" s="24"/>
      <c r="D14" s="188" t="s">
        <v>124</v>
      </c>
      <c r="F14" t="s">
        <v>125</v>
      </c>
      <c r="H14" t="s">
        <v>126</v>
      </c>
      <c r="Q14" s="23"/>
    </row>
    <row r="15" spans="3:17">
      <c r="C15" s="24"/>
      <c r="Q15" s="23"/>
    </row>
    <row r="16" spans="3:17">
      <c r="C16" s="24"/>
      <c r="D16" s="188" t="s">
        <v>127</v>
      </c>
      <c r="F16" t="s">
        <v>125</v>
      </c>
      <c r="H16" t="s">
        <v>128</v>
      </c>
      <c r="Q16" s="23"/>
    </row>
    <row r="17" spans="3:17">
      <c r="C17" s="24"/>
      <c r="Q17" s="23"/>
    </row>
    <row r="18" spans="3:17">
      <c r="C18" s="24"/>
      <c r="D18" s="188" t="s">
        <v>129</v>
      </c>
      <c r="F18" t="s">
        <v>125</v>
      </c>
      <c r="H18" t="s">
        <v>130</v>
      </c>
      <c r="Q18" s="23"/>
    </row>
    <row r="19" spans="3:17">
      <c r="C19" s="24"/>
      <c r="Q19" s="23"/>
    </row>
    <row r="20" spans="3:17">
      <c r="C20" s="24"/>
      <c r="D20" s="53" t="s">
        <v>131</v>
      </c>
      <c r="F20" t="s">
        <v>125</v>
      </c>
      <c r="H20" t="s">
        <v>132</v>
      </c>
      <c r="Q20" s="23"/>
    </row>
    <row r="21" spans="3:17">
      <c r="C21" s="24"/>
      <c r="Q21" s="23"/>
    </row>
    <row r="22" spans="3:17">
      <c r="C22" s="24"/>
      <c r="D22" s="53" t="s">
        <v>133</v>
      </c>
      <c r="F22" t="s">
        <v>125</v>
      </c>
      <c r="H22" t="s">
        <v>134</v>
      </c>
      <c r="Q22" s="23"/>
    </row>
    <row r="23" spans="3:17">
      <c r="C23" s="24"/>
      <c r="Q23" s="23"/>
    </row>
    <row r="24" spans="3:17">
      <c r="C24" s="24"/>
      <c r="D24" s="53" t="s">
        <v>135</v>
      </c>
      <c r="F24" t="s">
        <v>125</v>
      </c>
      <c r="H24" t="s">
        <v>136</v>
      </c>
      <c r="Q24" s="23"/>
    </row>
    <row r="25" spans="3:17">
      <c r="C25" s="24"/>
      <c r="Q25" s="23"/>
    </row>
    <row r="26" spans="3:17">
      <c r="C26" s="24"/>
      <c r="D26" s="188" t="s">
        <v>137</v>
      </c>
      <c r="F26" t="s">
        <v>125</v>
      </c>
      <c r="H26" t="s">
        <v>138</v>
      </c>
      <c r="Q26" s="23"/>
    </row>
    <row r="27" spans="3:17">
      <c r="C27" s="24"/>
      <c r="Q27" s="23"/>
    </row>
    <row r="28" spans="3:17">
      <c r="C28" s="24"/>
      <c r="D28" s="188" t="s">
        <v>139</v>
      </c>
      <c r="F28" t="s">
        <v>125</v>
      </c>
      <c r="H28" t="s">
        <v>140</v>
      </c>
      <c r="Q28" s="23"/>
    </row>
    <row r="29" spans="3:17">
      <c r="C29" s="24"/>
      <c r="Q29" s="23"/>
    </row>
    <row r="30" spans="3:17">
      <c r="C30" s="24"/>
      <c r="D30" t="s">
        <v>141</v>
      </c>
      <c r="F30" t="s">
        <v>125</v>
      </c>
      <c r="H30" t="s">
        <v>142</v>
      </c>
      <c r="Q30" s="23"/>
    </row>
    <row r="31" spans="3:17" ht="15" thickBot="1">
      <c r="C31" s="25"/>
      <c r="D31" s="26"/>
      <c r="E31" s="26"/>
      <c r="F31" s="26"/>
      <c r="G31" s="26"/>
      <c r="H31" s="26"/>
      <c r="I31" s="26"/>
      <c r="J31" s="26"/>
      <c r="K31" s="26"/>
      <c r="L31" s="26"/>
      <c r="M31" s="26"/>
      <c r="N31" s="26"/>
      <c r="O31" s="26"/>
      <c r="P31" s="26"/>
      <c r="Q31" s="27"/>
    </row>
    <row r="33" spans="3:8">
      <c r="C33" s="1" t="s">
        <v>143</v>
      </c>
    </row>
    <row r="34" spans="3:8">
      <c r="D34" s="7" t="s">
        <v>144</v>
      </c>
      <c r="F34" s="7" t="s">
        <v>145</v>
      </c>
      <c r="H34" s="7" t="s">
        <v>146</v>
      </c>
    </row>
    <row r="35" spans="3:8">
      <c r="D35" s="7"/>
      <c r="F35" s="7"/>
      <c r="H35" s="7"/>
    </row>
    <row r="36" spans="3:8">
      <c r="D36" t="s">
        <v>147</v>
      </c>
      <c r="F36" s="15">
        <v>44691</v>
      </c>
      <c r="H36" t="s">
        <v>148</v>
      </c>
    </row>
    <row r="37" spans="3:8">
      <c r="D37" t="s">
        <v>149</v>
      </c>
      <c r="F37" s="15">
        <v>44618</v>
      </c>
      <c r="H37" t="s">
        <v>150</v>
      </c>
    </row>
    <row r="38" spans="3:8">
      <c r="D38" t="s">
        <v>151</v>
      </c>
      <c r="F38" s="15">
        <v>44605</v>
      </c>
      <c r="H38" t="s">
        <v>152</v>
      </c>
    </row>
    <row r="39" spans="3:8">
      <c r="D39" t="s">
        <v>153</v>
      </c>
      <c r="F39" s="15">
        <v>44582</v>
      </c>
      <c r="H39" t="s">
        <v>154</v>
      </c>
    </row>
    <row r="40" spans="3:8">
      <c r="D40" t="s">
        <v>155</v>
      </c>
      <c r="F40" s="15">
        <v>44578</v>
      </c>
      <c r="H40" t="s">
        <v>156</v>
      </c>
    </row>
    <row r="41" spans="3:8">
      <c r="D41" t="s">
        <v>157</v>
      </c>
      <c r="F41" s="15">
        <v>44344</v>
      </c>
      <c r="H41" t="s">
        <v>158</v>
      </c>
    </row>
    <row r="42" spans="3:8">
      <c r="D42" t="s">
        <v>159</v>
      </c>
      <c r="F42" s="15">
        <v>44223</v>
      </c>
      <c r="H42" t="s">
        <v>160</v>
      </c>
    </row>
    <row r="43" spans="3:8">
      <c r="D43" t="s">
        <v>161</v>
      </c>
      <c r="F43" s="15">
        <v>44221</v>
      </c>
      <c r="H43" t="s">
        <v>162</v>
      </c>
    </row>
    <row r="44" spans="3:8">
      <c r="D44" t="s">
        <v>163</v>
      </c>
      <c r="F44" s="15">
        <v>44212</v>
      </c>
    </row>
    <row r="45" spans="3:8">
      <c r="D45" s="30" t="s">
        <v>164</v>
      </c>
      <c r="F45" s="84">
        <v>44204</v>
      </c>
    </row>
    <row r="48" spans="3:8">
      <c r="C48" s="178"/>
      <c r="D48" s="179" t="s">
        <v>165</v>
      </c>
      <c r="E48" s="178"/>
      <c r="F48" s="178"/>
      <c r="G48" s="178"/>
      <c r="H48" s="179" t="s">
        <v>166</v>
      </c>
    </row>
    <row r="49" spans="3:8">
      <c r="C49">
        <v>1</v>
      </c>
      <c r="D49" t="s">
        <v>167</v>
      </c>
      <c r="H49" t="s">
        <v>168</v>
      </c>
    </row>
    <row r="50" spans="3:8">
      <c r="C50">
        <v>2</v>
      </c>
      <c r="D50" t="s">
        <v>169</v>
      </c>
      <c r="H50" t="s">
        <v>170</v>
      </c>
    </row>
    <row r="51" spans="3:8">
      <c r="C51">
        <v>3</v>
      </c>
      <c r="D51" s="106" t="s">
        <v>171</v>
      </c>
      <c r="H51" s="190" t="s">
        <v>172</v>
      </c>
    </row>
    <row r="52" spans="3:8">
      <c r="C52">
        <v>4</v>
      </c>
      <c r="D52" s="106" t="s">
        <v>173</v>
      </c>
      <c r="H52" t="s">
        <v>174</v>
      </c>
    </row>
    <row r="53" spans="3:8">
      <c r="C53">
        <v>5</v>
      </c>
      <c r="D53" s="106" t="s">
        <v>175</v>
      </c>
      <c r="H53" s="189" t="s">
        <v>176</v>
      </c>
    </row>
    <row r="54" spans="3:8">
      <c r="C54">
        <v>6</v>
      </c>
      <c r="D54" s="106" t="s">
        <v>177</v>
      </c>
      <c r="H54" t="s">
        <v>178</v>
      </c>
    </row>
    <row r="55" spans="3:8">
      <c r="C55">
        <v>7</v>
      </c>
      <c r="D55" s="106" t="s">
        <v>179</v>
      </c>
      <c r="H55" s="189" t="s">
        <v>180</v>
      </c>
    </row>
    <row r="56" spans="3:8">
      <c r="C56">
        <v>8</v>
      </c>
      <c r="D56" t="s">
        <v>181</v>
      </c>
      <c r="H56" s="189" t="s">
        <v>182</v>
      </c>
    </row>
    <row r="57" spans="3:8">
      <c r="C57">
        <v>9</v>
      </c>
      <c r="D57" t="s">
        <v>183</v>
      </c>
      <c r="H57" s="189" t="s">
        <v>184</v>
      </c>
    </row>
    <row r="58" spans="3:8">
      <c r="C58">
        <v>10</v>
      </c>
      <c r="D58" t="s">
        <v>185</v>
      </c>
      <c r="H58" s="189" t="s">
        <v>186</v>
      </c>
    </row>
    <row r="59" spans="3:8">
      <c r="C59">
        <v>11</v>
      </c>
      <c r="D59" t="s">
        <v>187</v>
      </c>
      <c r="H59" s="189" t="s">
        <v>188</v>
      </c>
    </row>
    <row r="60" spans="3:8">
      <c r="C60">
        <v>12</v>
      </c>
      <c r="D60" t="s">
        <v>189</v>
      </c>
      <c r="H60" s="189" t="s">
        <v>190</v>
      </c>
    </row>
  </sheetData>
  <sheetProtection sheet="1" objects="1" scenarios="1"/>
  <mergeCells count="1">
    <mergeCell ref="C2:Q2"/>
  </mergeCells>
  <hyperlinks>
    <hyperlink ref="D10" location="Setup!A1" display="Setup New Category" xr:uid="{1287E091-978C-4CA6-BA96-A502E05AD7C5}"/>
    <hyperlink ref="D12" location="Update!A1" display="View Update project Information" xr:uid="{12056E00-1004-4AA2-AD63-27669F4FD0C0}"/>
    <hyperlink ref="D20" location="Calendar!A1" display="Calendar view" xr:uid="{10954551-87F5-49C4-BD5C-E7F4DE50575D}"/>
    <hyperlink ref="D22" location="Tracker!A1" display="Tracker" xr:uid="{7035739F-7865-4E83-AEA6-5C9730177C60}"/>
    <hyperlink ref="D24" location="Pipeline!A1" display="Pipeline" xr:uid="{437B9C27-94EB-400A-80ED-9C462CAC398B}"/>
    <hyperlink ref="D26" location="Forecast!A1" display="Forecast" xr:uid="{8649F23B-B555-4591-908A-DD9790952905}"/>
    <hyperlink ref="D28" location="'Expanded Calendar'!A1" display="Multi-year calendar" xr:uid="{7BF9DF05-3DD0-4A61-8CC2-42284B4E2D98}"/>
    <hyperlink ref="D14" location="'Bi-Weekly'!A1" display="Bi-Weekly Report" xr:uid="{5CB4DAB1-886A-4E76-8205-753C6F356113}"/>
    <hyperlink ref="D16" location="MyTasks!A1" display="My Tasks" xr:uid="{DC9FF65E-4261-48D3-AB7A-B2CF866C3E92}"/>
    <hyperlink ref="D18" location="HistoryView!A1" display="Project History" xr:uid="{5546E9B1-7AC7-414F-99FE-9AF67D04291B}"/>
  </hyperlink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8D5641-B127-41B0-9FB3-F91EFB065ABC}">
  <sheetPr codeName="Sheet9"/>
  <dimension ref="B1:H124"/>
  <sheetViews>
    <sheetView showGridLines="0" workbookViewId="0">
      <selection activeCell="D5" sqref="D5"/>
    </sheetView>
  </sheetViews>
  <sheetFormatPr defaultColWidth="8.5703125" defaultRowHeight="14.45"/>
  <cols>
    <col min="3" max="3" width="25.42578125" customWidth="1"/>
    <col min="4" max="4" width="15.42578125" bestFit="1" customWidth="1"/>
    <col min="6" max="6" width="32.5703125" customWidth="1"/>
  </cols>
  <sheetData>
    <row r="1" spans="2:7" ht="21">
      <c r="B1" s="263"/>
      <c r="C1" s="266" t="s">
        <v>191</v>
      </c>
      <c r="D1" s="264"/>
      <c r="E1" s="264"/>
      <c r="F1" s="264"/>
      <c r="G1" s="265"/>
    </row>
    <row r="2" spans="2:7">
      <c r="B2" s="24"/>
      <c r="C2" s="19" t="s">
        <v>192</v>
      </c>
      <c r="D2" s="19" t="b">
        <f>IF(OR(D5="",D7="",D9="",D13="",D11=""),FALSE,TRUE)</f>
        <v>0</v>
      </c>
      <c r="F2" s="53" t="s">
        <v>193</v>
      </c>
      <c r="G2" s="23"/>
    </row>
    <row r="3" spans="2:7">
      <c r="B3" s="24"/>
      <c r="G3" s="23"/>
    </row>
    <row r="4" spans="2:7">
      <c r="B4" s="24"/>
      <c r="G4" s="23"/>
    </row>
    <row r="5" spans="2:7">
      <c r="B5" s="24"/>
      <c r="C5" t="s">
        <v>194</v>
      </c>
      <c r="D5" s="28"/>
      <c r="G5" s="23"/>
    </row>
    <row r="6" spans="2:7">
      <c r="B6" s="24"/>
      <c r="G6" s="23"/>
    </row>
    <row r="7" spans="2:7">
      <c r="B7" s="24"/>
      <c r="C7" t="s">
        <v>1</v>
      </c>
      <c r="D7" s="28"/>
      <c r="F7" s="174" t="str">
        <f>IF(F23="Not Found",1,"Check available categories below")</f>
        <v>Check available categories below</v>
      </c>
      <c r="G7" s="23"/>
    </row>
    <row r="8" spans="2:7">
      <c r="B8" s="24"/>
      <c r="G8" s="23"/>
    </row>
    <row r="9" spans="2:7">
      <c r="B9" s="24"/>
      <c r="C9" t="s">
        <v>4</v>
      </c>
      <c r="D9" s="28"/>
      <c r="G9" s="23"/>
    </row>
    <row r="10" spans="2:7">
      <c r="B10" s="24"/>
      <c r="G10" s="23"/>
    </row>
    <row r="11" spans="2:7">
      <c r="B11" s="24"/>
      <c r="C11" t="s">
        <v>195</v>
      </c>
      <c r="D11" s="28"/>
      <c r="G11" s="23"/>
    </row>
    <row r="12" spans="2:7">
      <c r="B12" s="24"/>
      <c r="G12" s="23"/>
    </row>
    <row r="13" spans="2:7">
      <c r="B13" s="24"/>
      <c r="C13" t="s">
        <v>196</v>
      </c>
      <c r="D13" s="28"/>
      <c r="G13" s="23"/>
    </row>
    <row r="14" spans="2:7">
      <c r="B14" s="24"/>
      <c r="G14" s="23"/>
    </row>
    <row r="15" spans="2:7">
      <c r="B15" s="24"/>
      <c r="C15" t="s">
        <v>197</v>
      </c>
      <c r="D15" s="29">
        <f ca="1">NOW()</f>
        <v>44748.472848726851</v>
      </c>
      <c r="G15" s="23"/>
    </row>
    <row r="16" spans="2:7">
      <c r="B16" s="24"/>
      <c r="G16" s="23"/>
    </row>
    <row r="17" spans="2:8" ht="15" thickBot="1">
      <c r="B17" s="25"/>
      <c r="C17" s="26"/>
      <c r="D17" s="26"/>
      <c r="E17" s="26"/>
      <c r="F17" s="26"/>
      <c r="G17" s="27"/>
    </row>
    <row r="22" spans="2:8">
      <c r="C22" s="1" t="str">
        <f>"Categories for "&amp;IF(D9="","BLANK",D9)&amp;" in "&amp;IF(D5="","BLANK",D5)</f>
        <v>Categories for BLANK in BLANK</v>
      </c>
      <c r="F22" s="1" t="s">
        <v>198</v>
      </c>
      <c r="H22" s="1" t="s">
        <v>199</v>
      </c>
    </row>
    <row r="23" spans="2:8">
      <c r="C23" t="str" cm="1">
        <f t="array" ref="C23">IF(AND(D5&lt;&gt;"",D9&lt;&gt;""),_xlfn._xlws.FILTER(Table1[Category],(Table1[Execution Year]=D5)*(Table1[SBU]=D9)*(Table1[Most curent]=TRUE),"No matching categories"),"Select Year and SBU")</f>
        <v>Select Year and SBU</v>
      </c>
      <c r="F23" t="str" cm="1">
        <f t="array" ref="F23:F124">_xlfn._xlws.FILTER(_xlfn.ANCHORARRAY('Lookup tables'!$AX$2),ISNUMBER(SEARCH(D7,_xlfn.ANCHORARRAY('Lookup tables'!$AX$2))),"Not Found")</f>
        <v>Absorbent pads</v>
      </c>
      <c r="H23">
        <f>ROWS(Table2[])</f>
        <v>111</v>
      </c>
    </row>
    <row r="24" spans="2:8">
      <c r="F24" t="str">
        <v>Alfredo Pasta Sauce</v>
      </c>
    </row>
    <row r="25" spans="2:8">
      <c r="F25" t="str">
        <v>Applesauce - Pouch</v>
      </c>
    </row>
    <row r="26" spans="2:8">
      <c r="F26" t="str">
        <v>Baby Wipes</v>
      </c>
    </row>
    <row r="27" spans="2:8">
      <c r="F27" t="str">
        <v>Bacon</v>
      </c>
    </row>
    <row r="28" spans="2:8">
      <c r="F28" t="str">
        <v>Bakery Cookies/Freshest Guarantee</v>
      </c>
    </row>
    <row r="29" spans="2:8">
      <c r="F29" t="str">
        <v>Baking Nuts</v>
      </c>
    </row>
    <row r="30" spans="2:8">
      <c r="F30" t="str">
        <v>Batteries</v>
      </c>
    </row>
    <row r="31" spans="2:8">
      <c r="F31" t="str">
        <v>Body Wash/Soap &amp; Shampoo</v>
      </c>
    </row>
    <row r="32" spans="2:8">
      <c r="F32" t="str">
        <v>Butter</v>
      </c>
    </row>
    <row r="33" spans="6:6">
      <c r="F33" t="str">
        <v>Buttercream</v>
      </c>
    </row>
    <row r="34" spans="6:6">
      <c r="F34" t="str">
        <v>Canned - Pumpkin</v>
      </c>
    </row>
    <row r="35" spans="6:6">
      <c r="F35" t="str">
        <v>Canned Fruit</v>
      </c>
    </row>
    <row r="36" spans="6:6">
      <c r="F36" t="str">
        <v>Canned Seafood</v>
      </c>
    </row>
    <row r="37" spans="6:6">
      <c r="F37" t="str">
        <v>Canned Soups</v>
      </c>
    </row>
    <row r="38" spans="6:6">
      <c r="F38" t="str">
        <v>Canned Vegetables</v>
      </c>
    </row>
    <row r="39" spans="6:6">
      <c r="F39" t="str">
        <v>Cat Litter</v>
      </c>
    </row>
    <row r="40" spans="6:6">
      <c r="F40" t="str">
        <v>Cheese / Shelf Stable / Deli</v>
      </c>
    </row>
    <row r="41" spans="6:6">
      <c r="F41" t="str">
        <v>Coconut Water</v>
      </c>
    </row>
    <row r="42" spans="6:6">
      <c r="F42" t="str">
        <v>Coffee</v>
      </c>
    </row>
    <row r="43" spans="6:6">
      <c r="F43" t="str">
        <v>Commercial Bread &amp; Buns</v>
      </c>
    </row>
    <row r="44" spans="6:6">
      <c r="F44" t="str">
        <v>Commodity &amp; Specialty Eggs (WM)</v>
      </c>
    </row>
    <row r="45" spans="6:6">
      <c r="F45" t="str">
        <v>Cookies</v>
      </c>
    </row>
    <row r="46" spans="6:6">
      <c r="F46" t="str">
        <v>Cookies &amp; Crackers</v>
      </c>
    </row>
    <row r="47" spans="6:6">
      <c r="F47" t="str">
        <v>Cooking Spray</v>
      </c>
    </row>
    <row r="48" spans="6:6">
      <c r="F48" t="str">
        <v>Copy Paper</v>
      </c>
    </row>
    <row r="49" spans="6:6">
      <c r="F49" t="str">
        <v>Corn Chips</v>
      </c>
    </row>
    <row r="50" spans="6:6">
      <c r="F50" t="str">
        <v>Cotton Products</v>
      </c>
    </row>
    <row r="51" spans="6:6">
      <c r="F51" t="str">
        <v>Crackers / Saltines</v>
      </c>
    </row>
    <row r="52" spans="6:6">
      <c r="F52" t="str">
        <v>Dairy Creamers and Half n Half</v>
      </c>
    </row>
    <row r="53" spans="6:6">
      <c r="F53" t="str">
        <v>Detergent</v>
      </c>
    </row>
    <row r="54" spans="6:6">
      <c r="F54" t="str">
        <v>Diapers</v>
      </c>
    </row>
    <row r="55" spans="6:6">
      <c r="F55" t="str">
        <v>Diapers II</v>
      </c>
    </row>
    <row r="56" spans="6:6">
      <c r="F56" t="str">
        <v>Dish &amp; Laundry (liquids)</v>
      </c>
    </row>
    <row r="57" spans="6:6">
      <c r="F57" t="str">
        <v>Dish &amp; Laundry (liquids/powder/pods)</v>
      </c>
    </row>
    <row r="58" spans="6:6">
      <c r="F58" t="str">
        <v>Dish &amp; Laundry (pods)</v>
      </c>
    </row>
    <row r="59" spans="6:6">
      <c r="F59" t="str">
        <v>Dish/Laundry Soap</v>
      </c>
    </row>
    <row r="60" spans="6:6">
      <c r="F60" t="str">
        <v>Dog treats and rawhides</v>
      </c>
    </row>
    <row r="61" spans="6:6">
      <c r="F61" t="str">
        <v>Dry Beans</v>
      </c>
    </row>
    <row r="62" spans="6:6">
      <c r="F62" t="str">
        <v>Dry Pasta</v>
      </c>
    </row>
    <row r="63" spans="6:6">
      <c r="F63" t="str">
        <v>Dry pet food</v>
      </c>
    </row>
    <row r="64" spans="6:6">
      <c r="F64" t="str">
        <v>DSD Milk</v>
      </c>
    </row>
    <row r="65" spans="6:6">
      <c r="F65" t="str">
        <v>DTT - Paper</v>
      </c>
    </row>
    <row r="66" spans="6:6">
      <c r="F66" t="str">
        <v>DTT - Plastic</v>
      </c>
    </row>
    <row r="67" spans="6:6">
      <c r="F67" t="str">
        <v>Edible Oil</v>
      </c>
    </row>
    <row r="68" spans="6:6">
      <c r="F68" t="str">
        <v>Eggs</v>
      </c>
    </row>
    <row r="69" spans="6:6">
      <c r="F69" t="str">
        <v>Food &amp; Trash bags (GEP)</v>
      </c>
    </row>
    <row r="70" spans="6:6">
      <c r="F70" t="str">
        <v>Fresh/Frozen Seafood</v>
      </c>
    </row>
    <row r="71" spans="6:6">
      <c r="F71" t="str">
        <v>Frozen Atlantic Salmon</v>
      </c>
    </row>
    <row r="72" spans="6:6">
      <c r="F72" t="str">
        <v>Frozen Bay Scallops</v>
      </c>
    </row>
    <row r="73" spans="6:6">
      <c r="F73" t="str">
        <v>Frozen Cod</v>
      </c>
    </row>
    <row r="74" spans="6:6">
      <c r="F74" t="str">
        <v>Frozen Dough (pucks)</v>
      </c>
    </row>
    <row r="75" spans="6:6">
      <c r="F75" t="str">
        <v>Frozen Flounder</v>
      </c>
    </row>
    <row r="76" spans="6:6">
      <c r="F76" t="str">
        <v>Frozen Fruit</v>
      </c>
    </row>
    <row r="77" spans="6:6">
      <c r="F77" t="str">
        <v>Frozen Fruit 2021</v>
      </c>
    </row>
    <row r="78" spans="6:6">
      <c r="F78" t="str">
        <v>Frozen Grouper &amp; Snapper</v>
      </c>
    </row>
    <row r="79" spans="6:6">
      <c r="F79" t="str">
        <v>Frozen Gulf Shrimp</v>
      </c>
    </row>
    <row r="80" spans="6:6">
      <c r="F80" t="str">
        <v>Frozen Haddock</v>
      </c>
    </row>
    <row r="81" spans="6:6">
      <c r="F81" t="str">
        <v>Frozen Mahi Mahi</v>
      </c>
    </row>
    <row r="82" spans="6:6">
      <c r="F82" t="str">
        <v>Frozen Pancakes/Waffles</v>
      </c>
    </row>
    <row r="83" spans="6:6">
      <c r="F83" t="str">
        <v>Frozen Potatoes / Deli</v>
      </c>
    </row>
    <row r="84" spans="6:6">
      <c r="F84" t="str">
        <v>Frozen Shrimp Bag Q2, 2022</v>
      </c>
    </row>
    <row r="85" spans="6:6">
      <c r="F85" t="str">
        <v>Frozen Shrimp Ring</v>
      </c>
    </row>
    <row r="86" spans="6:6">
      <c r="F86" t="str">
        <v>Frozen Swai</v>
      </c>
    </row>
    <row r="87" spans="6:6">
      <c r="F87" t="str">
        <v>Frozen Swordfish</v>
      </c>
    </row>
    <row r="88" spans="6:6">
      <c r="F88" t="str">
        <v>Frozen Vegetables</v>
      </c>
    </row>
    <row r="89" spans="6:6">
      <c r="F89" t="str">
        <v>Frozen Wild Salmon</v>
      </c>
    </row>
    <row r="90" spans="6:6">
      <c r="F90" t="str">
        <v>Fruit Snacks</v>
      </c>
    </row>
    <row r="91" spans="6:6">
      <c r="F91" t="str">
        <v>Graham Crackers</v>
      </c>
    </row>
    <row r="92" spans="6:6">
      <c r="F92" t="str">
        <v>Green Olives</v>
      </c>
    </row>
    <row r="93" spans="6:6">
      <c r="F93" t="str">
        <v>Instant Noodles</v>
      </c>
    </row>
    <row r="94" spans="6:6">
      <c r="F94" t="str">
        <v>L/G White Rice</v>
      </c>
    </row>
    <row r="95" spans="6:6">
      <c r="F95" t="str">
        <v>Liquid Handsoap &amp; Bodywash</v>
      </c>
    </row>
    <row r="96" spans="6:6">
      <c r="F96" t="str">
        <v>Mouthwash</v>
      </c>
    </row>
    <row r="97" spans="6:6">
      <c r="F97" t="str">
        <v>Multi-Pack Juice</v>
      </c>
    </row>
    <row r="98" spans="6:6">
      <c r="F98" t="str">
        <v>Olive Oil</v>
      </c>
    </row>
    <row r="99" spans="6:6">
      <c r="F99" t="str">
        <v>Paper products</v>
      </c>
    </row>
    <row r="100" spans="6:6">
      <c r="F100" t="str">
        <v>Paper Products II</v>
      </c>
    </row>
    <row r="101" spans="6:6">
      <c r="F101" t="str">
        <v>Pickles</v>
      </c>
    </row>
    <row r="102" spans="6:6">
      <c r="F102" t="str">
        <v>Pies (4” 8” &amp; 10” &amp; holiday)</v>
      </c>
    </row>
    <row r="103" spans="6:6">
      <c r="F103" t="str">
        <v>Pre-decorated Cakes</v>
      </c>
    </row>
    <row r="104" spans="6:6">
      <c r="F104" t="str">
        <v>Puppy Pads</v>
      </c>
    </row>
    <row r="105" spans="6:6">
      <c r="F105" t="str">
        <v>RMA - Buttercream</v>
      </c>
    </row>
    <row r="106" spans="6:6">
      <c r="F106" t="str">
        <v>RMA - Cashews</v>
      </c>
    </row>
    <row r="107" spans="6:6">
      <c r="F107" t="str">
        <v>RMA - Cocoa - BKF</v>
      </c>
    </row>
    <row r="108" spans="6:6">
      <c r="F108" t="str">
        <v>RMA - Cocoa - GV Choc Milk</v>
      </c>
    </row>
    <row r="109" spans="6:6">
      <c r="F109" t="str">
        <v>RMA - Cocoa - PB</v>
      </c>
    </row>
    <row r="110" spans="6:6">
      <c r="F110" t="str">
        <v>RMA - Cocoa - Placed Based</v>
      </c>
    </row>
    <row r="111" spans="6:6">
      <c r="F111" t="str">
        <v>RMA - Cut Fruit &amp; Vav</v>
      </c>
    </row>
    <row r="112" spans="6:6">
      <c r="F112" t="str">
        <v>RMA - Garlic</v>
      </c>
    </row>
    <row r="113" spans="6:6">
      <c r="F113" t="str">
        <v>RMA - SBO/Egg</v>
      </c>
    </row>
    <row r="114" spans="6:6">
      <c r="F114" t="str">
        <v>Salmon</v>
      </c>
    </row>
    <row r="115" spans="6:6">
      <c r="F115" t="str">
        <v>Salty Snacks (Chips &amp; Pretzels)</v>
      </c>
    </row>
    <row r="116" spans="6:6">
      <c r="F116" t="str">
        <v>Shave Gel/Foam</v>
      </c>
    </row>
    <row r="117" spans="6:6">
      <c r="F117" t="str">
        <v xml:space="preserve">Shrimp </v>
      </c>
    </row>
    <row r="118" spans="6:6">
      <c r="F118" t="str">
        <v>Spices</v>
      </c>
    </row>
    <row r="119" spans="6:6">
      <c r="F119" t="str">
        <v>Sponges &amp; Cleaning</v>
      </c>
    </row>
    <row r="120" spans="6:6">
      <c r="F120" t="str">
        <v>Table Ready Salads</v>
      </c>
    </row>
    <row r="121" spans="6:6">
      <c r="F121" t="str">
        <v>Tilapia</v>
      </c>
    </row>
    <row r="122" spans="6:6">
      <c r="F122" t="str">
        <v>Wet pet food</v>
      </c>
    </row>
    <row r="123" spans="6:6">
      <c r="F123" t="str">
        <v>Wipes</v>
      </c>
    </row>
    <row r="124" spans="6:6">
      <c r="F124" t="str">
        <v>Holiday Gift Tea</v>
      </c>
    </row>
  </sheetData>
  <conditionalFormatting sqref="C5 C7 C13">
    <cfRule type="expression" dxfId="368" priority="5">
      <formula>$D$2=FALSE</formula>
    </cfRule>
  </conditionalFormatting>
  <conditionalFormatting sqref="C9">
    <cfRule type="expression" dxfId="367" priority="4">
      <formula>$D$2=FALSE</formula>
    </cfRule>
  </conditionalFormatting>
  <conditionalFormatting sqref="F7">
    <cfRule type="cellIs" dxfId="366" priority="2" operator="equal">
      <formula>1</formula>
    </cfRule>
  </conditionalFormatting>
  <conditionalFormatting sqref="C11">
    <cfRule type="expression" dxfId="365" priority="1">
      <formula>$D$2=FALSE</formula>
    </cfRule>
  </conditionalFormatting>
  <hyperlinks>
    <hyperlink ref="F2" location="MENU!A1" display="Back to Menu" xr:uid="{B52F57D8-A085-44AC-937D-63D997B6D15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8" r:id="rId4" name="Button 2">
              <controlPr defaultSize="0" print="0" autoFill="0" autoPict="0" macro="[0]!create_new">
                <anchor moveWithCells="1" sizeWithCells="1">
                  <from>
                    <xdr:col>5</xdr:col>
                    <xdr:colOff>76200</xdr:colOff>
                    <xdr:row>13</xdr:row>
                    <xdr:rowOff>190500</xdr:rowOff>
                  </from>
                  <to>
                    <xdr:col>6</xdr:col>
                    <xdr:colOff>190500</xdr:colOff>
                    <xdr:row>15</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169C1DBF-EB1D-4FB2-938E-281014629076}">
          <x14:formula1>
            <xm:f>'Lookup tables'!$I$2:$I$6</xm:f>
          </x14:formula1>
          <xm:sqref>D9</xm:sqref>
        </x14:dataValidation>
        <x14:dataValidation type="list" allowBlank="1" showInputMessage="1" showErrorMessage="1" xr:uid="{FB074981-4461-4292-98E2-67AD382D7503}">
          <x14:formula1>
            <xm:f>'Lookup tables'!$N$2:$N$6</xm:f>
          </x14:formula1>
          <xm:sqref>D5</xm:sqref>
        </x14:dataValidation>
        <x14:dataValidation type="list" allowBlank="1" showInputMessage="1" showErrorMessage="1" xr:uid="{964E118C-21B0-4D01-8CE6-B2E6AC8B4363}">
          <x14:formula1>
            <xm:f>'Lookup tables'!$O$2:$O$9</xm:f>
          </x14:formula1>
          <xm:sqref>D13</xm:sqref>
        </x14:dataValidation>
        <x14:dataValidation type="list" errorStyle="warning" allowBlank="1" showInputMessage="1" showErrorMessage="1" errorTitle="Create new lead?" error="Select Ok to create new project lead" promptTitle="Select or enter project lead" prompt="Select from list or enter name to create new" xr:uid="{F1D8A070-B4AC-46C4-9449-43A33921D019}">
          <x14:formula1>
            <xm:f>_xlfn.ANCHORARRAY('Lookup tables'!$Q$2)</xm:f>
          </x14:formula1>
          <xm:sqref>D11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1591B3-9F7A-428F-BB90-92DD40F0FE5C}">
  <sheetPr codeName="Sheet6"/>
  <dimension ref="A1:BD109"/>
  <sheetViews>
    <sheetView showGridLines="0" zoomScaleNormal="100" workbookViewId="0"/>
  </sheetViews>
  <sheetFormatPr defaultColWidth="8.5703125" defaultRowHeight="14.45" outlineLevelRow="1"/>
  <cols>
    <col min="1" max="1" width="3.42578125" customWidth="1"/>
    <col min="2" max="7" width="18.42578125" customWidth="1"/>
    <col min="8" max="8" width="6.42578125" bestFit="1" customWidth="1"/>
    <col min="9" max="22" width="7.5703125" customWidth="1"/>
    <col min="23" max="23" width="4" customWidth="1"/>
    <col min="24" max="24" width="18" customWidth="1"/>
    <col min="25" max="25" width="16.5703125" customWidth="1"/>
    <col min="26" max="26" width="15.5703125" bestFit="1" customWidth="1"/>
    <col min="27" max="39" width="6" customWidth="1"/>
    <col min="40" max="40" width="10.42578125" customWidth="1"/>
    <col min="42" max="51" width="9" bestFit="1" customWidth="1"/>
  </cols>
  <sheetData>
    <row r="1" spans="1:56" ht="32.85" customHeight="1">
      <c r="A1" s="83"/>
      <c r="B1" s="286" t="s">
        <v>200</v>
      </c>
      <c r="C1" s="286"/>
      <c r="D1" s="286"/>
      <c r="E1" s="286"/>
      <c r="F1" s="286"/>
      <c r="G1" s="286"/>
      <c r="H1" s="286"/>
      <c r="I1" s="286"/>
      <c r="J1" s="286"/>
      <c r="K1" s="286"/>
      <c r="L1" s="286"/>
      <c r="M1" s="286"/>
      <c r="N1" s="286"/>
      <c r="O1" s="286"/>
      <c r="P1" s="286"/>
      <c r="Q1" s="286"/>
      <c r="R1" s="286"/>
      <c r="S1" s="286"/>
      <c r="T1" s="173"/>
      <c r="U1" s="173"/>
      <c r="V1" s="173"/>
      <c r="W1" s="83"/>
      <c r="X1" s="83"/>
      <c r="Y1" s="83"/>
      <c r="AZ1" cm="1">
        <f t="array" ref="AZ1:AZ82">_xlfn.SEQUENCE(ROWS(_xlfn.ANCHORARRAY(BA1)))</f>
        <v>1</v>
      </c>
      <c r="BA1" t="str" cm="1">
        <f t="array" ref="BA1:BA82">TRANSPOSE(Table1[#Headers])</f>
        <v>Sl No</v>
      </c>
    </row>
    <row r="2" spans="1:56" ht="15" thickBot="1">
      <c r="A2" t="b">
        <f>IF(OR(B3="",F3="",B7="",D3="",E3=""),FALSE,TRUE)</f>
        <v>0</v>
      </c>
      <c r="B2" s="1" t="s">
        <v>201</v>
      </c>
      <c r="D2" s="82" t="s">
        <v>202</v>
      </c>
      <c r="E2" s="82" t="s">
        <v>203</v>
      </c>
      <c r="F2" s="82" t="s">
        <v>204</v>
      </c>
      <c r="X2" s="172" t="s">
        <v>205</v>
      </c>
      <c r="Y2" s="83"/>
      <c r="AZ2">
        <v>2</v>
      </c>
      <c r="BA2" t="str">
        <v>Category</v>
      </c>
    </row>
    <row r="3" spans="1:56" ht="15.6" thickTop="1" thickBot="1">
      <c r="B3" s="89"/>
      <c r="D3" s="68"/>
      <c r="E3" s="68"/>
      <c r="F3" s="68"/>
      <c r="R3" s="53" t="s">
        <v>193</v>
      </c>
      <c r="U3" s="188" t="s">
        <v>127</v>
      </c>
      <c r="X3" s="13">
        <f ca="1">NOW()</f>
        <v>44748.472848726851</v>
      </c>
      <c r="Y3" s="83"/>
      <c r="AZ3">
        <v>3</v>
      </c>
      <c r="BA3" t="str">
        <v>SBU</v>
      </c>
      <c r="BD3" t="e">
        <f ca="1">INFO("DIRECTORY")</f>
        <v>#VALUE!</v>
      </c>
    </row>
    <row r="4" spans="1:56" ht="15" thickTop="1">
      <c r="Y4" s="83"/>
      <c r="AZ4">
        <v>4</v>
      </c>
      <c r="BA4" t="str">
        <v>Execution Year</v>
      </c>
      <c r="BD4" t="e">
        <f ca="1">LEFT(RIGHT(BD3,LEN(BD3)-9),LEN(RIGHT(BD3,LEN(BD3)-9))-11)</f>
        <v>#VALUE!</v>
      </c>
    </row>
    <row r="5" spans="1:56">
      <c r="B5" s="1" t="s">
        <v>206</v>
      </c>
      <c r="I5" s="1" t="s">
        <v>207</v>
      </c>
      <c r="N5" s="7"/>
      <c r="Y5" s="83"/>
      <c r="AZ5">
        <v>5</v>
      </c>
      <c r="BA5" t="str">
        <v>Planned Start</v>
      </c>
    </row>
    <row r="6" spans="1:56" ht="32.1" customHeight="1">
      <c r="B6" s="2" t="s">
        <v>0</v>
      </c>
      <c r="C6" s="3" t="s">
        <v>1</v>
      </c>
      <c r="D6" s="3" t="s">
        <v>4</v>
      </c>
      <c r="E6" s="3" t="s">
        <v>194</v>
      </c>
      <c r="F6" s="3" t="s">
        <v>208</v>
      </c>
      <c r="G6" s="3" t="s">
        <v>209</v>
      </c>
      <c r="I6" s="14" t="s">
        <v>5</v>
      </c>
      <c r="J6" s="14" t="s">
        <v>6</v>
      </c>
      <c r="K6" s="14" t="s">
        <v>210</v>
      </c>
      <c r="L6" s="14" t="s">
        <v>8</v>
      </c>
      <c r="M6" s="14" t="s">
        <v>9</v>
      </c>
      <c r="N6" s="14" t="s">
        <v>10</v>
      </c>
      <c r="O6" s="14" t="s">
        <v>11</v>
      </c>
      <c r="P6" s="14" t="s">
        <v>211</v>
      </c>
      <c r="Q6" s="14" t="s">
        <v>13</v>
      </c>
      <c r="R6" s="14" t="s">
        <v>212</v>
      </c>
      <c r="S6" s="14" t="s">
        <v>213</v>
      </c>
      <c r="T6" s="14"/>
      <c r="U6" s="14"/>
      <c r="V6" s="14"/>
      <c r="Y6" s="83"/>
      <c r="AZ6">
        <v>6</v>
      </c>
      <c r="BA6" t="str">
        <v>Planned Award</v>
      </c>
    </row>
    <row r="7" spans="1:56" ht="30.6" customHeight="1">
      <c r="B7" s="79"/>
      <c r="C7" s="57"/>
      <c r="D7" s="4"/>
      <c r="E7" s="4"/>
      <c r="F7" s="6"/>
      <c r="G7" s="5"/>
      <c r="I7" s="8"/>
      <c r="J7" s="8"/>
      <c r="K7" s="8"/>
      <c r="L7" s="8"/>
      <c r="M7" s="8"/>
      <c r="N7" s="8"/>
      <c r="O7" s="8"/>
      <c r="P7" s="8"/>
      <c r="Q7" s="8"/>
      <c r="R7" s="8"/>
      <c r="S7" s="8"/>
      <c r="T7" s="8"/>
      <c r="U7" s="8"/>
      <c r="V7" s="8"/>
      <c r="Y7" s="83"/>
      <c r="AZ7">
        <v>7</v>
      </c>
      <c r="BA7" t="str">
        <v>Current Phase End</v>
      </c>
    </row>
    <row r="8" spans="1:56">
      <c r="B8" s="1" t="s">
        <v>214</v>
      </c>
      <c r="I8" s="1" t="s">
        <v>215</v>
      </c>
      <c r="N8" s="7"/>
      <c r="Y8" s="83"/>
      <c r="AZ8">
        <v>8</v>
      </c>
      <c r="BA8" t="str">
        <v>Revised Award</v>
      </c>
    </row>
    <row r="9" spans="1:56" ht="32.1" customHeight="1">
      <c r="B9" s="3" t="s">
        <v>216</v>
      </c>
      <c r="C9" s="3" t="s">
        <v>217</v>
      </c>
      <c r="D9" s="3" t="s">
        <v>218</v>
      </c>
      <c r="E9" s="3" t="s">
        <v>219</v>
      </c>
      <c r="F9" s="3" t="s">
        <v>220</v>
      </c>
      <c r="G9" s="3" t="s">
        <v>166</v>
      </c>
      <c r="I9" s="14" t="s">
        <v>5</v>
      </c>
      <c r="J9" s="14" t="s">
        <v>6</v>
      </c>
      <c r="K9" s="14" t="s">
        <v>210</v>
      </c>
      <c r="L9" s="14" t="s">
        <v>8</v>
      </c>
      <c r="M9" s="14" t="s">
        <v>9</v>
      </c>
      <c r="N9" s="14" t="s">
        <v>10</v>
      </c>
      <c r="O9" s="14" t="s">
        <v>11</v>
      </c>
      <c r="P9" s="14" t="s">
        <v>211</v>
      </c>
      <c r="Q9" s="14" t="s">
        <v>13</v>
      </c>
      <c r="R9" s="14" t="s">
        <v>212</v>
      </c>
      <c r="S9" s="14" t="s">
        <v>213</v>
      </c>
      <c r="T9" s="14"/>
      <c r="U9" s="14"/>
      <c r="V9" s="14"/>
      <c r="Y9" s="83"/>
      <c r="AZ9">
        <v>9</v>
      </c>
      <c r="BA9" t="str">
        <v>Phase</v>
      </c>
    </row>
    <row r="10" spans="1:56" ht="30.6" customHeight="1">
      <c r="B10" s="81"/>
      <c r="C10" s="81"/>
      <c r="D10" s="81"/>
      <c r="E10" s="81"/>
      <c r="F10" s="6"/>
      <c r="G10" s="5"/>
      <c r="I10" s="8"/>
      <c r="J10" s="8"/>
      <c r="K10" s="8"/>
      <c r="L10" s="8"/>
      <c r="M10" s="8"/>
      <c r="N10" s="8"/>
      <c r="O10" s="8"/>
      <c r="P10" s="8"/>
      <c r="Q10" s="8"/>
      <c r="R10" s="8"/>
      <c r="S10" s="8"/>
      <c r="T10" s="8"/>
      <c r="U10" s="8"/>
      <c r="V10" s="8"/>
      <c r="Y10" s="83"/>
      <c r="AZ10">
        <v>10</v>
      </c>
      <c r="BA10" t="str">
        <v>Status</v>
      </c>
    </row>
    <row r="11" spans="1:56" ht="14.1" customHeight="1">
      <c r="B11" s="85"/>
      <c r="C11" s="85"/>
      <c r="D11" s="85"/>
      <c r="E11" s="85"/>
      <c r="F11" s="86"/>
      <c r="G11" s="87"/>
      <c r="I11" s="1" t="s">
        <v>221</v>
      </c>
      <c r="J11" s="88"/>
      <c r="K11" s="88"/>
      <c r="L11" s="88"/>
      <c r="M11" s="88"/>
      <c r="N11" s="88"/>
      <c r="O11" s="88"/>
      <c r="P11" s="88"/>
      <c r="Q11" s="88"/>
      <c r="R11" s="88"/>
      <c r="S11" s="88"/>
      <c r="T11" s="88"/>
      <c r="U11" s="88"/>
      <c r="V11" s="88"/>
      <c r="Y11" s="83"/>
      <c r="AZ11">
        <v>11</v>
      </c>
      <c r="BA11" t="str">
        <v>US Lead</v>
      </c>
    </row>
    <row r="12" spans="1:56" ht="30.6" customHeight="1">
      <c r="B12" s="285" t="s">
        <v>222</v>
      </c>
      <c r="C12" s="285"/>
      <c r="D12" s="285"/>
      <c r="E12" s="285"/>
      <c r="F12" s="285"/>
      <c r="G12" s="285"/>
      <c r="I12" s="14" t="s">
        <v>5</v>
      </c>
      <c r="J12" s="14" t="s">
        <v>6</v>
      </c>
      <c r="K12" s="14" t="s">
        <v>210</v>
      </c>
      <c r="L12" s="14" t="s">
        <v>8</v>
      </c>
      <c r="M12" s="14" t="s">
        <v>9</v>
      </c>
      <c r="N12" s="14" t="s">
        <v>10</v>
      </c>
      <c r="O12" s="14" t="s">
        <v>11</v>
      </c>
      <c r="P12" s="14" t="s">
        <v>211</v>
      </c>
      <c r="Q12" s="14" t="s">
        <v>13</v>
      </c>
      <c r="R12" s="14" t="s">
        <v>212</v>
      </c>
      <c r="S12" s="14" t="s">
        <v>213</v>
      </c>
      <c r="T12" s="14"/>
      <c r="U12" s="14"/>
      <c r="V12" s="14"/>
      <c r="Y12" s="83"/>
      <c r="AZ12">
        <v>12</v>
      </c>
      <c r="BA12" t="str">
        <v>Primary Market Merchant</v>
      </c>
    </row>
    <row r="13" spans="1:56" ht="30.6" customHeight="1">
      <c r="B13" s="282"/>
      <c r="C13" s="283"/>
      <c r="D13" s="283"/>
      <c r="E13" s="283"/>
      <c r="F13" s="283"/>
      <c r="G13" s="284"/>
      <c r="I13" s="8"/>
      <c r="J13" s="8"/>
      <c r="K13" s="8"/>
      <c r="L13" s="8"/>
      <c r="M13" s="8"/>
      <c r="N13" s="8"/>
      <c r="O13" s="8"/>
      <c r="P13" s="8"/>
      <c r="Q13" s="8"/>
      <c r="R13" s="8"/>
      <c r="S13" s="8"/>
      <c r="T13" s="8"/>
      <c r="U13" s="8"/>
      <c r="V13" s="8"/>
      <c r="Y13" s="83"/>
      <c r="AZ13">
        <v>13</v>
      </c>
      <c r="BA13" t="str">
        <v>Spend - CAN</v>
      </c>
    </row>
    <row r="14" spans="1:56" outlineLevel="1">
      <c r="B14" s="1" t="s">
        <v>223</v>
      </c>
      <c r="I14" s="1" t="s">
        <v>224</v>
      </c>
      <c r="Y14" s="83"/>
      <c r="AZ14">
        <v>14</v>
      </c>
      <c r="BA14" t="str">
        <v>Spend - MEX</v>
      </c>
    </row>
    <row r="15" spans="1:56" ht="29.1" customHeight="1" outlineLevel="1">
      <c r="B15" s="3" t="s">
        <v>225</v>
      </c>
      <c r="C15" s="3" t="s">
        <v>226</v>
      </c>
      <c r="D15" s="3" t="s">
        <v>227</v>
      </c>
      <c r="E15" s="3" t="s">
        <v>228</v>
      </c>
      <c r="F15" s="3" t="s">
        <v>229</v>
      </c>
      <c r="G15" s="3" t="s">
        <v>230</v>
      </c>
      <c r="I15" s="262"/>
      <c r="J15" s="262"/>
      <c r="K15" s="262"/>
      <c r="L15" s="262"/>
      <c r="M15" s="261"/>
      <c r="N15" s="261"/>
      <c r="O15" s="261"/>
      <c r="P15" s="262"/>
      <c r="Q15" s="261"/>
      <c r="R15" s="261"/>
      <c r="S15" s="261"/>
      <c r="T15" s="261"/>
      <c r="U15" s="261"/>
      <c r="V15" s="261"/>
      <c r="Y15" s="83"/>
      <c r="AZ15">
        <v>15</v>
      </c>
      <c r="BA15" t="str">
        <v>Spend - CAM</v>
      </c>
    </row>
    <row r="16" spans="1:56" ht="29.1" customHeight="1" outlineLevel="1">
      <c r="B16" s="81"/>
      <c r="C16" s="81"/>
      <c r="D16" s="81"/>
      <c r="E16" s="81"/>
      <c r="F16" s="6"/>
      <c r="G16" s="81"/>
      <c r="I16" s="182"/>
      <c r="J16" s="182"/>
      <c r="K16" s="182"/>
      <c r="L16" s="182"/>
      <c r="M16" s="182"/>
      <c r="N16" s="182"/>
      <c r="O16" s="182"/>
      <c r="P16" s="182"/>
      <c r="Q16" s="182"/>
      <c r="R16" s="182"/>
      <c r="S16" s="182"/>
      <c r="T16" s="182"/>
      <c r="U16" s="182"/>
      <c r="V16" s="182"/>
      <c r="Y16" s="83"/>
      <c r="AZ16">
        <v>16</v>
      </c>
      <c r="BA16" t="str">
        <v>Spend - CHL</v>
      </c>
    </row>
    <row r="17" spans="1:53" outlineLevel="1">
      <c r="I17" s="182"/>
      <c r="J17" s="182"/>
      <c r="K17" s="182"/>
      <c r="L17" s="182"/>
      <c r="M17" s="182"/>
      <c r="N17" s="182"/>
      <c r="O17" s="182"/>
      <c r="P17" s="182"/>
      <c r="Q17" s="182"/>
      <c r="R17" s="182"/>
      <c r="S17" s="182"/>
      <c r="T17" s="182"/>
      <c r="U17" s="182"/>
      <c r="V17" s="182"/>
      <c r="Y17" s="83"/>
      <c r="AZ17">
        <v>17</v>
      </c>
      <c r="BA17" t="str">
        <v>Spend - ARG</v>
      </c>
    </row>
    <row r="18" spans="1:53">
      <c r="Y18" s="83"/>
      <c r="AZ18">
        <v>18</v>
      </c>
      <c r="BA18" t="str">
        <v>Spend - CHN</v>
      </c>
    </row>
    <row r="19" spans="1:53">
      <c r="A19" s="83"/>
      <c r="B19" s="83"/>
      <c r="C19" s="83"/>
      <c r="D19" s="83"/>
      <c r="E19" s="83"/>
      <c r="F19" s="83"/>
      <c r="G19" s="83"/>
      <c r="H19" s="83"/>
      <c r="I19" s="83"/>
      <c r="J19" s="83"/>
      <c r="K19" s="83"/>
      <c r="L19" s="83"/>
      <c r="M19" s="83"/>
      <c r="N19" s="83"/>
      <c r="O19" s="83"/>
      <c r="P19" s="83"/>
      <c r="Q19" s="83"/>
      <c r="R19" s="83"/>
      <c r="S19" s="83"/>
      <c r="T19" s="83"/>
      <c r="U19" s="83"/>
      <c r="V19" s="83"/>
      <c r="W19" s="83"/>
      <c r="X19" s="83"/>
      <c r="Y19" s="83"/>
      <c r="AZ19">
        <v>19</v>
      </c>
      <c r="BA19" t="str">
        <v>Spend - JAP</v>
      </c>
    </row>
    <row r="20" spans="1:53">
      <c r="A20">
        <v>1</v>
      </c>
      <c r="X20" s="61"/>
      <c r="Y20" s="61"/>
      <c r="Z20" s="61"/>
      <c r="AA20" s="61"/>
      <c r="AB20" s="61"/>
      <c r="AC20" s="61"/>
      <c r="AD20" s="61"/>
      <c r="AE20" s="61"/>
      <c r="AF20" s="61"/>
      <c r="AG20" s="61"/>
      <c r="AH20" s="61"/>
      <c r="AI20" s="61"/>
      <c r="AJ20" s="61"/>
      <c r="AK20" s="61"/>
      <c r="AL20" s="61"/>
      <c r="AM20" s="61"/>
      <c r="AN20">
        <v>50</v>
      </c>
      <c r="AO20" t="s">
        <v>231</v>
      </c>
      <c r="AZ20">
        <v>20</v>
      </c>
      <c r="BA20" t="str">
        <v>Spend - UKN</v>
      </c>
    </row>
    <row r="21" spans="1:53">
      <c r="B21" s="90" t="s">
        <v>232</v>
      </c>
      <c r="F21" s="10"/>
      <c r="G21" s="10"/>
      <c r="H21" s="10"/>
      <c r="I21" s="10"/>
      <c r="N21" s="59"/>
      <c r="O21" s="59"/>
      <c r="P21" s="59"/>
      <c r="Q21" s="59"/>
      <c r="R21" s="59"/>
      <c r="S21" s="59"/>
      <c r="T21" s="59"/>
      <c r="U21" s="59"/>
      <c r="V21" s="59"/>
      <c r="W21" s="59"/>
      <c r="AN21">
        <v>51</v>
      </c>
      <c r="AO21" t="s">
        <v>233</v>
      </c>
      <c r="AZ21">
        <v>21</v>
      </c>
      <c r="BA21" t="str">
        <v>Spend - SAF</v>
      </c>
    </row>
    <row r="22" spans="1:53">
      <c r="A22" s="91"/>
      <c r="B22" s="92" t="s">
        <v>234</v>
      </c>
      <c r="C22" s="91"/>
      <c r="D22" s="91"/>
      <c r="E22" s="91"/>
      <c r="F22" s="93"/>
      <c r="G22" s="93"/>
      <c r="H22" s="93"/>
      <c r="I22" s="93"/>
      <c r="J22" s="91"/>
      <c r="K22" s="91"/>
      <c r="L22" s="91"/>
      <c r="M22" s="91"/>
      <c r="N22" s="94"/>
      <c r="O22" s="94"/>
      <c r="P22" s="94"/>
      <c r="Q22" s="94"/>
      <c r="R22" s="94"/>
      <c r="S22" s="94"/>
      <c r="T22" s="94"/>
      <c r="U22" s="94"/>
      <c r="V22" s="94"/>
      <c r="W22" s="94"/>
      <c r="AN22">
        <v>52</v>
      </c>
      <c r="AO22" t="s">
        <v>235</v>
      </c>
      <c r="AZ22">
        <v>22</v>
      </c>
      <c r="BA22" t="str">
        <v>Spend - US</v>
      </c>
    </row>
    <row r="23" spans="1:53" ht="43.5">
      <c r="B23" s="172" t="s">
        <v>0</v>
      </c>
      <c r="C23" s="172" t="s">
        <v>1</v>
      </c>
      <c r="D23" s="172" t="s">
        <v>4</v>
      </c>
      <c r="E23" s="172" t="s">
        <v>194</v>
      </c>
      <c r="F23" s="172" t="s">
        <v>208</v>
      </c>
      <c r="G23" s="172" t="s">
        <v>236</v>
      </c>
      <c r="H23" s="10"/>
      <c r="I23" s="172" t="s">
        <v>237</v>
      </c>
      <c r="J23" s="172" t="s">
        <v>238</v>
      </c>
      <c r="K23" s="172" t="s">
        <v>210</v>
      </c>
      <c r="L23" s="172" t="s">
        <v>239</v>
      </c>
      <c r="M23" s="172" t="s">
        <v>240</v>
      </c>
      <c r="N23" s="172" t="s">
        <v>241</v>
      </c>
      <c r="O23" s="172" t="s">
        <v>242</v>
      </c>
      <c r="P23" s="172" t="s">
        <v>243</v>
      </c>
      <c r="Q23" s="172" t="s">
        <v>244</v>
      </c>
      <c r="R23" s="172" t="s">
        <v>245</v>
      </c>
      <c r="S23" s="172" t="s">
        <v>246</v>
      </c>
      <c r="T23" s="172" t="s">
        <v>247</v>
      </c>
      <c r="U23" s="172" t="s">
        <v>248</v>
      </c>
      <c r="V23" s="172"/>
      <c r="W23" s="59"/>
      <c r="X23" s="59"/>
      <c r="Z23" s="18"/>
      <c r="AN23">
        <v>53</v>
      </c>
      <c r="AO23" t="s">
        <v>249</v>
      </c>
      <c r="AZ23">
        <v>23</v>
      </c>
      <c r="BA23" t="str">
        <v>Spend - Sams</v>
      </c>
    </row>
    <row r="24" spans="1:53">
      <c r="B24" s="11" t="str" cm="1">
        <f t="array" ref="B24">_xlfn._xlws.FILTER(INDEX(Table1[#Data],_xlfn.SEQUENCE(ROWS(Table1[#Data])),{1,2,3,4,11,12}),(Table1[Most curent]=TRUE)*(Table1[Category]=$F$3)*(Table1[Execution Year]=$D$3),"Select Category and Year")</f>
        <v>Select Category and Year</v>
      </c>
      <c r="F24" s="10"/>
      <c r="G24" s="10"/>
      <c r="H24" s="95" t="str" cm="1">
        <f t="array" ref="H24">_xlfn._xlws.FILTER(INDEX(Table1[#Data],_xlfn.SEQUENCE(ROWS(Table1[#Data])),{1,13,14,15,16,17,18,19,20,21,22,23,50,51,56}),(Table1[Most curent]=TRUE)*(Table1[Category]=$F$3)*(Table1[Execution Year]=$D$3),"Select Category and Year")</f>
        <v>Select Category and Year</v>
      </c>
      <c r="I24" s="88"/>
      <c r="J24" s="88"/>
      <c r="K24" s="88"/>
      <c r="L24" s="88"/>
      <c r="M24" s="88"/>
      <c r="N24" s="88"/>
      <c r="O24" s="88"/>
      <c r="P24" s="88"/>
      <c r="Q24" s="88"/>
      <c r="R24" s="88"/>
      <c r="S24" s="88"/>
      <c r="T24" s="88"/>
      <c r="U24" s="88"/>
      <c r="V24" s="88"/>
      <c r="W24" s="59"/>
      <c r="X24" s="59"/>
      <c r="Z24" s="18"/>
      <c r="AN24">
        <v>54</v>
      </c>
      <c r="AO24" t="s">
        <v>250</v>
      </c>
      <c r="AZ24">
        <v>24</v>
      </c>
      <c r="BA24" t="str">
        <v>Updated by</v>
      </c>
    </row>
    <row r="25" spans="1:53" ht="43.5">
      <c r="B25" s="172" t="s">
        <v>216</v>
      </c>
      <c r="C25" s="172" t="s">
        <v>217</v>
      </c>
      <c r="D25" s="172" t="s">
        <v>218</v>
      </c>
      <c r="E25" s="172" t="s">
        <v>251</v>
      </c>
      <c r="F25" s="172" t="s">
        <v>252</v>
      </c>
      <c r="G25" s="172" t="s">
        <v>166</v>
      </c>
      <c r="H25" s="10"/>
      <c r="I25" s="104" t="s">
        <v>253</v>
      </c>
      <c r="J25" s="104" t="s">
        <v>254</v>
      </c>
      <c r="K25" s="104" t="s">
        <v>255</v>
      </c>
      <c r="L25" s="104" t="s">
        <v>256</v>
      </c>
      <c r="M25" s="104" t="s">
        <v>257</v>
      </c>
      <c r="N25" s="104" t="s">
        <v>258</v>
      </c>
      <c r="O25" s="104" t="s">
        <v>259</v>
      </c>
      <c r="P25" s="104" t="s">
        <v>260</v>
      </c>
      <c r="Q25" s="104" t="s">
        <v>261</v>
      </c>
      <c r="R25" s="104" t="s">
        <v>262</v>
      </c>
      <c r="S25" s="104" t="s">
        <v>263</v>
      </c>
      <c r="T25" s="104" t="s">
        <v>264</v>
      </c>
      <c r="U25" s="104" t="s">
        <v>265</v>
      </c>
      <c r="V25" s="104"/>
      <c r="W25" s="59"/>
      <c r="X25" s="59"/>
      <c r="Z25" s="18"/>
      <c r="AN25">
        <v>55</v>
      </c>
      <c r="AO25" t="s">
        <v>266</v>
      </c>
      <c r="AZ25">
        <v>25</v>
      </c>
      <c r="BA25" t="str">
        <v>Update Time</v>
      </c>
    </row>
    <row r="26" spans="1:53">
      <c r="A26" s="96" t="str" cm="1">
        <f t="array" ref="A26">_xlfn._xlws.FILTER(INDEX(Table1[#Data],_xlfn.SEQUENCE(ROWS(Table1[#Data])),{1,5,6,7,8,9,10}),(Table1[Most curent]=TRUE)*(Table1[Category]=$F$3)*(Table1[Execution Year]=$D$3),"Select Category and Year")</f>
        <v>Select Category and Year</v>
      </c>
      <c r="B26" s="85"/>
      <c r="C26" s="85"/>
      <c r="D26" s="85"/>
      <c r="E26" s="85"/>
      <c r="F26" s="86"/>
      <c r="G26" s="87"/>
      <c r="H26" s="95" t="str" cm="1">
        <f t="array" ref="H26">_xlfn._xlws.FILTER(INDEX(Table1[#Data],_xlfn.SEQUENCE(ROWS(Table1[#Data])),{1,28,29,30,31,32,33,34,35,36,37,38,52,53,57}),(Table1[Most curent]=TRUE)*(Table1[Category]=$F$3)*(Table1[Execution Year]=$D$3),"Select Category and Year")</f>
        <v>Select Category and Year</v>
      </c>
      <c r="I26" s="88"/>
      <c r="J26" s="88"/>
      <c r="K26" s="88"/>
      <c r="L26" s="88"/>
      <c r="M26" s="88"/>
      <c r="N26" s="88"/>
      <c r="O26" s="88"/>
      <c r="P26" s="88"/>
      <c r="Q26" s="88"/>
      <c r="R26" s="88"/>
      <c r="S26" s="88"/>
      <c r="T26" s="88"/>
      <c r="U26" s="88"/>
      <c r="V26" s="88"/>
      <c r="W26" s="59"/>
      <c r="X26" s="59"/>
      <c r="Z26" s="18"/>
      <c r="AN26">
        <v>56</v>
      </c>
      <c r="AO26" t="s">
        <v>267</v>
      </c>
      <c r="AZ26">
        <v>26</v>
      </c>
      <c r="BA26" t="str">
        <v>Current Phase</v>
      </c>
    </row>
    <row r="27" spans="1:53" ht="72.599999999999994">
      <c r="B27" s="285" t="s">
        <v>222</v>
      </c>
      <c r="C27" s="285"/>
      <c r="D27" s="285"/>
      <c r="E27" s="285"/>
      <c r="F27" s="285"/>
      <c r="G27" s="285"/>
      <c r="H27" s="10"/>
      <c r="I27" s="104" t="s">
        <v>268</v>
      </c>
      <c r="J27" s="104" t="s">
        <v>269</v>
      </c>
      <c r="K27" s="104" t="s">
        <v>270</v>
      </c>
      <c r="L27" s="104" t="s">
        <v>271</v>
      </c>
      <c r="M27" s="104" t="s">
        <v>272</v>
      </c>
      <c r="N27" s="104" t="s">
        <v>273</v>
      </c>
      <c r="O27" s="104" t="s">
        <v>274</v>
      </c>
      <c r="P27" s="104" t="s">
        <v>275</v>
      </c>
      <c r="Q27" s="104" t="s">
        <v>276</v>
      </c>
      <c r="R27" s="104" t="s">
        <v>277</v>
      </c>
      <c r="S27" s="104" t="s">
        <v>278</v>
      </c>
      <c r="T27" s="104" t="s">
        <v>279</v>
      </c>
      <c r="U27" s="104" t="s">
        <v>280</v>
      </c>
      <c r="V27" s="104"/>
      <c r="W27" s="59"/>
      <c r="X27" s="59"/>
      <c r="Z27" s="18"/>
      <c r="AN27">
        <v>57</v>
      </c>
      <c r="AO27" t="s">
        <v>281</v>
      </c>
      <c r="AZ27">
        <v>27</v>
      </c>
      <c r="BA27" t="str">
        <v>Remarks</v>
      </c>
    </row>
    <row r="28" spans="1:53">
      <c r="A28" t="str" cm="1">
        <f t="array" ref="A28">_xlfn._xlws.FILTER(INDEX(Table1[#Data],_xlfn.SEQUENCE(ROWS(Table1[#Data])),{1,27}),(Table1[Most curent]=TRUE)*(Table1[Category]=$F$3)*(Table1[Execution Year]=$D$3),"Select Category and Year")</f>
        <v>Select Category and Year</v>
      </c>
      <c r="G28" s="10"/>
      <c r="H28" s="95" t="str" cm="1">
        <f t="array" ref="H28">_xlfn._xlws.FILTER(INDEX(Table1[#Data],_xlfn.SEQUENCE(ROWS(Table1[#Data])),{1,39,40,41,42,43,44,45,46,47,48,49,54,55,58}),(Table1[Most curent]=TRUE)*(Table1[Category]=$F$3)*(Table1[Execution Year]=$D$3),"Select Category and Year")</f>
        <v>Select Category and Year</v>
      </c>
      <c r="I28" s="88"/>
      <c r="J28" s="88"/>
      <c r="K28" s="88"/>
      <c r="L28" s="88"/>
      <c r="M28" s="88"/>
      <c r="N28" s="88"/>
      <c r="O28" s="88"/>
      <c r="P28" s="88"/>
      <c r="Q28" s="88"/>
      <c r="R28" s="88"/>
      <c r="S28" s="88"/>
      <c r="T28" s="88"/>
      <c r="U28" s="88"/>
      <c r="V28" s="88"/>
      <c r="W28" s="59"/>
      <c r="X28" s="59"/>
      <c r="Z28" s="18"/>
      <c r="AN28">
        <v>58</v>
      </c>
      <c r="AO28" t="s">
        <v>282</v>
      </c>
      <c r="AZ28">
        <v>28</v>
      </c>
      <c r="BA28" t="str">
        <v>Savings - CAN</v>
      </c>
    </row>
    <row r="29" spans="1:53" ht="29.1">
      <c r="B29" s="172" t="s">
        <v>225</v>
      </c>
      <c r="C29" s="172" t="s">
        <v>226</v>
      </c>
      <c r="D29" s="172" t="s">
        <v>283</v>
      </c>
      <c r="E29" s="172" t="s">
        <v>228</v>
      </c>
      <c r="F29" s="172" t="s">
        <v>229</v>
      </c>
      <c r="G29" s="172" t="s">
        <v>230</v>
      </c>
      <c r="H29" s="95"/>
      <c r="I29" s="10" t="s">
        <v>284</v>
      </c>
      <c r="N29" s="59"/>
      <c r="O29" s="59"/>
      <c r="P29" s="59"/>
      <c r="Q29" s="59"/>
      <c r="R29" s="59"/>
      <c r="S29" s="59"/>
      <c r="T29" s="59"/>
      <c r="U29" s="59"/>
      <c r="V29" s="59"/>
      <c r="W29" s="59"/>
      <c r="X29" s="59"/>
      <c r="Z29" s="18"/>
      <c r="AN29">
        <v>59</v>
      </c>
      <c r="AO29" t="s">
        <v>285</v>
      </c>
      <c r="AZ29">
        <v>29</v>
      </c>
      <c r="BA29" t="str">
        <v>Savings - MEX</v>
      </c>
    </row>
    <row r="30" spans="1:53">
      <c r="A30" t="str" cm="1">
        <f t="array" ref="A30">_xlfn._xlws.FILTER(INDEX(Table2[#Data],_xlfn.SEQUENCE(ROWS(Table2[#Data])),{1,16,17,18,19,20,21}),(Table2[Identifier]=D3&amp;E3&amp;F3),"Select Category and Year")</f>
        <v>Select Category and Year</v>
      </c>
      <c r="G30" s="10"/>
      <c r="H30" s="95" t="str" cm="1">
        <f t="array" ref="H30">_xlfn._xlws.FILTER(INDEX(Table1[#Data],_xlfn.SEQUENCE(ROWS(Table1[#Data])),{1,59,60,61,62,63,64,65,66,67,68,69,70,71,72}),(Table1[Most curent]=TRUE)*(Table1[Category]=$F$3)*(Table1[Execution Year]=$D$3),"Select Category and Year")</f>
        <v>Select Category and Year</v>
      </c>
      <c r="I30" s="59"/>
      <c r="J30" s="59"/>
      <c r="K30" s="59"/>
      <c r="L30" s="59"/>
      <c r="M30" s="59"/>
      <c r="N30" s="59"/>
      <c r="O30" s="59"/>
      <c r="P30" s="59"/>
      <c r="Q30" s="59"/>
      <c r="R30" s="59"/>
      <c r="S30" s="59"/>
      <c r="T30" s="59"/>
      <c r="U30" s="59"/>
      <c r="V30" s="59"/>
      <c r="W30" s="59"/>
      <c r="X30" s="59"/>
      <c r="Z30" s="18"/>
      <c r="AN30">
        <v>60</v>
      </c>
      <c r="AO30" t="s">
        <v>286</v>
      </c>
      <c r="AZ30">
        <v>30</v>
      </c>
      <c r="BA30" t="str">
        <v>Savings - CAM</v>
      </c>
    </row>
    <row r="31" spans="1:53">
      <c r="G31" s="10"/>
      <c r="H31" s="95"/>
      <c r="I31" s="10"/>
      <c r="N31" s="59"/>
      <c r="O31" s="59"/>
      <c r="P31" s="59"/>
      <c r="Q31" s="59"/>
      <c r="R31" s="59"/>
      <c r="S31" s="59"/>
      <c r="T31" s="59"/>
      <c r="U31" s="59"/>
      <c r="V31" s="59"/>
      <c r="W31" s="59"/>
      <c r="X31" s="59"/>
      <c r="Z31" s="18"/>
      <c r="AN31">
        <v>61</v>
      </c>
      <c r="AO31" t="s">
        <v>287</v>
      </c>
      <c r="AZ31">
        <v>31</v>
      </c>
      <c r="BA31" t="str">
        <v>Savings - CHL</v>
      </c>
    </row>
    <row r="32" spans="1:53">
      <c r="G32" s="10"/>
      <c r="H32" s="95"/>
      <c r="I32" s="10"/>
      <c r="N32" s="59"/>
      <c r="O32" s="59"/>
      <c r="P32" s="59"/>
      <c r="Q32" s="59"/>
      <c r="R32" s="59"/>
      <c r="S32" s="59"/>
      <c r="T32" s="59"/>
      <c r="U32" s="59"/>
      <c r="V32" s="59"/>
      <c r="W32" s="59"/>
      <c r="X32" s="59"/>
      <c r="Z32" s="18"/>
      <c r="AN32">
        <v>62</v>
      </c>
      <c r="AO32" t="s">
        <v>288</v>
      </c>
      <c r="AZ32">
        <v>32</v>
      </c>
      <c r="BA32" t="str">
        <v>Savings - ARG</v>
      </c>
    </row>
    <row r="33" spans="1:53">
      <c r="F33" s="10"/>
      <c r="G33" s="10"/>
      <c r="H33" s="95"/>
      <c r="I33" s="10"/>
      <c r="N33" s="59"/>
      <c r="O33" s="59"/>
      <c r="P33" s="59"/>
      <c r="Q33" s="59"/>
      <c r="R33" s="59"/>
      <c r="S33" s="59"/>
      <c r="T33" s="59"/>
      <c r="U33" s="59"/>
      <c r="V33" s="59"/>
      <c r="W33" s="59"/>
      <c r="X33" s="59"/>
      <c r="Z33" s="18"/>
      <c r="AN33">
        <v>63</v>
      </c>
      <c r="AO33" t="s">
        <v>289</v>
      </c>
      <c r="AZ33">
        <v>33</v>
      </c>
      <c r="BA33" t="str">
        <v>Savings - CHN</v>
      </c>
    </row>
    <row r="34" spans="1:53">
      <c r="A34" s="91"/>
      <c r="B34" s="97" t="s">
        <v>290</v>
      </c>
      <c r="C34" s="91"/>
      <c r="D34" s="91"/>
      <c r="E34" s="91"/>
      <c r="F34" s="93"/>
      <c r="G34" s="93"/>
      <c r="H34" s="93"/>
      <c r="I34" s="93"/>
      <c r="J34" s="91"/>
      <c r="K34" s="91"/>
      <c r="L34" s="91"/>
      <c r="M34" s="91"/>
      <c r="N34" s="94"/>
      <c r="O34" s="94"/>
      <c r="P34" s="94"/>
      <c r="Q34" s="94"/>
      <c r="R34" s="94"/>
      <c r="S34" s="94"/>
      <c r="T34" s="94"/>
      <c r="U34" s="94"/>
      <c r="V34" s="94"/>
      <c r="W34" s="94"/>
      <c r="X34" s="59"/>
      <c r="Z34" s="18"/>
      <c r="AN34">
        <v>64</v>
      </c>
      <c r="AO34" t="s">
        <v>291</v>
      </c>
      <c r="AZ34">
        <v>34</v>
      </c>
      <c r="BA34" t="str">
        <v>Savings - JAP</v>
      </c>
    </row>
    <row r="35" spans="1:53" ht="29.1">
      <c r="B35" s="172" t="s">
        <v>0</v>
      </c>
      <c r="C35" s="172" t="s">
        <v>1</v>
      </c>
      <c r="D35" s="172" t="s">
        <v>4</v>
      </c>
      <c r="E35" s="172" t="s">
        <v>194</v>
      </c>
      <c r="F35" s="172" t="s">
        <v>216</v>
      </c>
      <c r="G35" s="172" t="s">
        <v>217</v>
      </c>
      <c r="H35" s="10"/>
      <c r="I35" s="172" t="s">
        <v>5</v>
      </c>
      <c r="J35" s="172" t="s">
        <v>6</v>
      </c>
      <c r="K35" s="172" t="s">
        <v>7</v>
      </c>
      <c r="L35" s="172" t="s">
        <v>8</v>
      </c>
      <c r="M35" s="172" t="s">
        <v>9</v>
      </c>
      <c r="N35" s="172" t="s">
        <v>10</v>
      </c>
      <c r="O35" s="172" t="s">
        <v>11</v>
      </c>
      <c r="P35" s="172" t="s">
        <v>211</v>
      </c>
      <c r="Q35" s="172" t="s">
        <v>13</v>
      </c>
      <c r="R35" s="172" t="s">
        <v>14</v>
      </c>
      <c r="S35" s="172" t="s">
        <v>15</v>
      </c>
      <c r="T35" s="172" t="s">
        <v>292</v>
      </c>
      <c r="U35" s="172" t="s">
        <v>293</v>
      </c>
      <c r="V35" s="172"/>
      <c r="W35" s="59"/>
      <c r="X35" s="59"/>
      <c r="Z35" s="18"/>
      <c r="AN35">
        <v>65</v>
      </c>
      <c r="AO35" t="s">
        <v>294</v>
      </c>
      <c r="AZ35">
        <v>35</v>
      </c>
      <c r="BA35" t="str">
        <v>Savings - UKN</v>
      </c>
    </row>
    <row r="36" spans="1:53">
      <c r="B36" s="85">
        <f>B7</f>
        <v>0</v>
      </c>
      <c r="C36" s="85">
        <f>C7</f>
        <v>0</v>
      </c>
      <c r="D36" s="85">
        <f>D7</f>
        <v>0</v>
      </c>
      <c r="E36" s="85">
        <f>E7</f>
        <v>0</v>
      </c>
      <c r="F36" s="86">
        <f>B10</f>
        <v>0</v>
      </c>
      <c r="G36" s="86">
        <f>C10</f>
        <v>0</v>
      </c>
      <c r="H36" s="10" t="s">
        <v>295</v>
      </c>
      <c r="I36" s="88">
        <f t="shared" ref="I36:V36" si="0">I7</f>
        <v>0</v>
      </c>
      <c r="J36" s="88">
        <f t="shared" si="0"/>
        <v>0</v>
      </c>
      <c r="K36" s="88">
        <f t="shared" si="0"/>
        <v>0</v>
      </c>
      <c r="L36" s="88">
        <f t="shared" si="0"/>
        <v>0</v>
      </c>
      <c r="M36" s="88">
        <f t="shared" si="0"/>
        <v>0</v>
      </c>
      <c r="N36" s="88">
        <f t="shared" si="0"/>
        <v>0</v>
      </c>
      <c r="O36" s="88">
        <f t="shared" si="0"/>
        <v>0</v>
      </c>
      <c r="P36" s="88">
        <f t="shared" si="0"/>
        <v>0</v>
      </c>
      <c r="Q36" s="88">
        <f t="shared" si="0"/>
        <v>0</v>
      </c>
      <c r="R36" s="88">
        <f t="shared" si="0"/>
        <v>0</v>
      </c>
      <c r="S36" s="88">
        <f t="shared" si="0"/>
        <v>0</v>
      </c>
      <c r="T36" s="88">
        <f t="shared" si="0"/>
        <v>0</v>
      </c>
      <c r="U36" s="88">
        <f t="shared" si="0"/>
        <v>0</v>
      </c>
      <c r="V36" s="88">
        <f t="shared" si="0"/>
        <v>0</v>
      </c>
      <c r="W36" s="59"/>
      <c r="X36" s="59"/>
      <c r="Z36" s="12"/>
      <c r="AN36">
        <v>66</v>
      </c>
      <c r="AO36" t="s">
        <v>296</v>
      </c>
      <c r="AZ36">
        <v>36</v>
      </c>
      <c r="BA36" t="str">
        <v>Savings - SAF</v>
      </c>
    </row>
    <row r="37" spans="1:53">
      <c r="B37" s="172" t="s">
        <v>218</v>
      </c>
      <c r="C37" s="172" t="s">
        <v>251</v>
      </c>
      <c r="D37" s="172" t="s">
        <v>297</v>
      </c>
      <c r="E37" s="172" t="s">
        <v>166</v>
      </c>
      <c r="F37" s="172" t="s">
        <v>208</v>
      </c>
      <c r="G37" s="172" t="s">
        <v>236</v>
      </c>
      <c r="H37" s="10"/>
      <c r="I37" s="172" t="s">
        <v>5</v>
      </c>
      <c r="J37" s="172" t="s">
        <v>6</v>
      </c>
      <c r="K37" s="172" t="s">
        <v>7</v>
      </c>
      <c r="L37" s="172" t="s">
        <v>8</v>
      </c>
      <c r="M37" s="172" t="s">
        <v>9</v>
      </c>
      <c r="N37" s="172" t="s">
        <v>10</v>
      </c>
      <c r="O37" s="172" t="s">
        <v>11</v>
      </c>
      <c r="P37" s="172" t="s">
        <v>211</v>
      </c>
      <c r="Q37" s="172" t="s">
        <v>13</v>
      </c>
      <c r="R37" s="172" t="s">
        <v>212</v>
      </c>
      <c r="S37" s="172" t="s">
        <v>213</v>
      </c>
      <c r="T37" s="172" t="s">
        <v>213</v>
      </c>
      <c r="U37" s="172" t="s">
        <v>213</v>
      </c>
      <c r="V37" s="172"/>
      <c r="W37" s="59"/>
      <c r="X37" s="59"/>
      <c r="Z37" s="12"/>
      <c r="AN37">
        <v>67</v>
      </c>
      <c r="AO37" t="s">
        <v>298</v>
      </c>
      <c r="AZ37">
        <v>37</v>
      </c>
      <c r="BA37" t="str">
        <v>Savings - US</v>
      </c>
    </row>
    <row r="38" spans="1:53">
      <c r="A38" s="11"/>
      <c r="B38" s="85">
        <f>D10</f>
        <v>0</v>
      </c>
      <c r="C38" s="85">
        <f>E10</f>
        <v>0</v>
      </c>
      <c r="D38" s="85">
        <f>F10</f>
        <v>0</v>
      </c>
      <c r="E38" s="85">
        <f>G10</f>
        <v>0</v>
      </c>
      <c r="F38" s="86">
        <f>F7</f>
        <v>0</v>
      </c>
      <c r="G38" s="86">
        <f>G7</f>
        <v>0</v>
      </c>
      <c r="H38" s="10" t="s">
        <v>299</v>
      </c>
      <c r="I38" s="88">
        <f t="shared" ref="I38:V38" si="1">I10</f>
        <v>0</v>
      </c>
      <c r="J38" s="88">
        <f t="shared" si="1"/>
        <v>0</v>
      </c>
      <c r="K38" s="88">
        <f t="shared" si="1"/>
        <v>0</v>
      </c>
      <c r="L38" s="88">
        <f t="shared" si="1"/>
        <v>0</v>
      </c>
      <c r="M38" s="88">
        <f t="shared" si="1"/>
        <v>0</v>
      </c>
      <c r="N38" s="88">
        <f t="shared" si="1"/>
        <v>0</v>
      </c>
      <c r="O38" s="88">
        <f t="shared" si="1"/>
        <v>0</v>
      </c>
      <c r="P38" s="88">
        <f t="shared" si="1"/>
        <v>0</v>
      </c>
      <c r="Q38" s="88">
        <f t="shared" si="1"/>
        <v>0</v>
      </c>
      <c r="R38" s="88">
        <f t="shared" si="1"/>
        <v>0</v>
      </c>
      <c r="S38" s="88">
        <f t="shared" si="1"/>
        <v>0</v>
      </c>
      <c r="T38" s="88">
        <f t="shared" si="1"/>
        <v>0</v>
      </c>
      <c r="U38" s="88">
        <f t="shared" si="1"/>
        <v>0</v>
      </c>
      <c r="V38" s="88">
        <f t="shared" si="1"/>
        <v>0</v>
      </c>
      <c r="W38" s="59"/>
      <c r="X38" s="59"/>
      <c r="Z38" s="12"/>
      <c r="AN38">
        <v>68</v>
      </c>
      <c r="AO38" t="s">
        <v>300</v>
      </c>
      <c r="AZ38">
        <v>38</v>
      </c>
      <c r="BA38" t="str">
        <v>Savings - Sams</v>
      </c>
    </row>
    <row r="39" spans="1:53" ht="14.65" customHeight="1">
      <c r="B39" t="s">
        <v>222</v>
      </c>
      <c r="H39" s="10"/>
      <c r="I39" s="172" t="s">
        <v>5</v>
      </c>
      <c r="J39" s="172" t="s">
        <v>6</v>
      </c>
      <c r="K39" s="172" t="s">
        <v>7</v>
      </c>
      <c r="L39" s="172" t="s">
        <v>8</v>
      </c>
      <c r="M39" s="172" t="s">
        <v>9</v>
      </c>
      <c r="N39" s="172" t="s">
        <v>10</v>
      </c>
      <c r="O39" s="172" t="s">
        <v>11</v>
      </c>
      <c r="P39" s="172" t="s">
        <v>211</v>
      </c>
      <c r="Q39" s="172" t="s">
        <v>13</v>
      </c>
      <c r="R39" s="172" t="s">
        <v>212</v>
      </c>
      <c r="S39" s="172" t="s">
        <v>213</v>
      </c>
      <c r="T39" s="172" t="s">
        <v>213</v>
      </c>
      <c r="U39" s="172" t="s">
        <v>213</v>
      </c>
      <c r="V39" s="172"/>
      <c r="W39" s="59"/>
      <c r="X39" s="59"/>
      <c r="Z39" s="12"/>
      <c r="AN39">
        <v>69</v>
      </c>
      <c r="AO39" t="s">
        <v>301</v>
      </c>
      <c r="AZ39">
        <v>39</v>
      </c>
      <c r="BA39" t="str">
        <v>Cost Avoidance - CAN2</v>
      </c>
    </row>
    <row r="40" spans="1:53">
      <c r="B40">
        <f>B13</f>
        <v>0</v>
      </c>
      <c r="H40" s="10" t="s">
        <v>302</v>
      </c>
      <c r="I40" s="88">
        <f t="shared" ref="I40:V40" si="2">I13</f>
        <v>0</v>
      </c>
      <c r="J40" s="88">
        <f t="shared" si="2"/>
        <v>0</v>
      </c>
      <c r="K40" s="88">
        <f t="shared" si="2"/>
        <v>0</v>
      </c>
      <c r="L40" s="88">
        <f t="shared" si="2"/>
        <v>0</v>
      </c>
      <c r="M40" s="88">
        <f t="shared" si="2"/>
        <v>0</v>
      </c>
      <c r="N40" s="88">
        <f t="shared" si="2"/>
        <v>0</v>
      </c>
      <c r="O40" s="88">
        <f t="shared" si="2"/>
        <v>0</v>
      </c>
      <c r="P40" s="88">
        <f t="shared" si="2"/>
        <v>0</v>
      </c>
      <c r="Q40" s="88">
        <f t="shared" si="2"/>
        <v>0</v>
      </c>
      <c r="R40" s="88">
        <f t="shared" si="2"/>
        <v>0</v>
      </c>
      <c r="S40" s="88">
        <f t="shared" si="2"/>
        <v>0</v>
      </c>
      <c r="T40" s="88">
        <f t="shared" si="2"/>
        <v>0</v>
      </c>
      <c r="U40" s="88">
        <f t="shared" si="2"/>
        <v>0</v>
      </c>
      <c r="V40" s="88">
        <f t="shared" si="2"/>
        <v>0</v>
      </c>
      <c r="W40" s="59"/>
      <c r="X40" s="59"/>
      <c r="Z40" s="12"/>
      <c r="AN40">
        <v>70</v>
      </c>
      <c r="AO40" t="s">
        <v>303</v>
      </c>
      <c r="AZ40">
        <v>40</v>
      </c>
      <c r="BA40" t="str">
        <v>Cost Avoidance - MEX3</v>
      </c>
    </row>
    <row r="41" spans="1:53" ht="29.1">
      <c r="B41" s="172" t="s">
        <v>225</v>
      </c>
      <c r="C41" s="172" t="s">
        <v>226</v>
      </c>
      <c r="D41" s="172" t="s">
        <v>283</v>
      </c>
      <c r="E41" s="172" t="s">
        <v>228</v>
      </c>
      <c r="F41" s="172" t="s">
        <v>229</v>
      </c>
      <c r="G41" s="172" t="s">
        <v>230</v>
      </c>
      <c r="H41" s="10" t="s">
        <v>304</v>
      </c>
      <c r="I41" s="184">
        <f>I15</f>
        <v>0</v>
      </c>
      <c r="J41" s="184">
        <f t="shared" ref="J41:V41" si="3">J15</f>
        <v>0</v>
      </c>
      <c r="K41" s="184">
        <f t="shared" si="3"/>
        <v>0</v>
      </c>
      <c r="L41" s="184">
        <f t="shared" si="3"/>
        <v>0</v>
      </c>
      <c r="M41" s="184">
        <f t="shared" si="3"/>
        <v>0</v>
      </c>
      <c r="N41" s="184">
        <f t="shared" si="3"/>
        <v>0</v>
      </c>
      <c r="O41" s="184">
        <f t="shared" si="3"/>
        <v>0</v>
      </c>
      <c r="P41" s="184">
        <f t="shared" si="3"/>
        <v>0</v>
      </c>
      <c r="Q41" s="184">
        <f t="shared" si="3"/>
        <v>0</v>
      </c>
      <c r="R41" s="184">
        <f t="shared" si="3"/>
        <v>0</v>
      </c>
      <c r="S41" s="184">
        <f t="shared" si="3"/>
        <v>0</v>
      </c>
      <c r="T41" s="184">
        <f t="shared" si="3"/>
        <v>0</v>
      </c>
      <c r="U41" s="184">
        <f t="shared" si="3"/>
        <v>0</v>
      </c>
      <c r="V41" s="184">
        <f t="shared" si="3"/>
        <v>0</v>
      </c>
      <c r="W41" s="59"/>
      <c r="X41" s="59"/>
      <c r="Z41" s="12"/>
      <c r="AZ41">
        <v>41</v>
      </c>
      <c r="BA41" t="str">
        <v>Cost Avoidance - CAM4</v>
      </c>
    </row>
    <row r="42" spans="1:53">
      <c r="B42">
        <f>B16</f>
        <v>0</v>
      </c>
      <c r="C42">
        <f t="shared" ref="C42:G42" si="4">C16</f>
        <v>0</v>
      </c>
      <c r="D42">
        <f t="shared" si="4"/>
        <v>0</v>
      </c>
      <c r="E42">
        <f t="shared" si="4"/>
        <v>0</v>
      </c>
      <c r="F42">
        <f t="shared" si="4"/>
        <v>0</v>
      </c>
      <c r="G42" s="85">
        <f t="shared" si="4"/>
        <v>0</v>
      </c>
      <c r="H42" s="10"/>
      <c r="I42" s="88"/>
      <c r="J42" s="88"/>
      <c r="K42" s="88"/>
      <c r="L42" s="88"/>
      <c r="M42" s="88"/>
      <c r="N42" s="88"/>
      <c r="O42" s="88"/>
      <c r="P42" s="88"/>
      <c r="Q42" s="88"/>
      <c r="R42" s="88"/>
      <c r="S42" s="88"/>
      <c r="T42" s="88"/>
      <c r="U42" s="88"/>
      <c r="V42" s="88"/>
      <c r="W42" s="59"/>
      <c r="X42" s="59"/>
      <c r="Z42" s="12"/>
      <c r="AZ42">
        <v>42</v>
      </c>
      <c r="BA42" t="str">
        <v>Cost Avoidance - CHL5</v>
      </c>
    </row>
    <row r="43" spans="1:53">
      <c r="H43" s="10"/>
      <c r="I43" s="88"/>
      <c r="J43" s="88"/>
      <c r="K43" s="88"/>
      <c r="L43" s="88"/>
      <c r="M43" s="88"/>
      <c r="N43" s="88"/>
      <c r="O43" s="88"/>
      <c r="P43" s="88"/>
      <c r="Q43" s="88"/>
      <c r="R43" s="88"/>
      <c r="S43" s="88"/>
      <c r="T43" s="88"/>
      <c r="U43" s="88"/>
      <c r="V43" s="88"/>
      <c r="W43" s="59"/>
      <c r="X43" s="59"/>
      <c r="Z43" s="12"/>
      <c r="AZ43">
        <v>43</v>
      </c>
      <c r="BA43" t="str">
        <v>Cost Avoidance - ARG6</v>
      </c>
    </row>
    <row r="44" spans="1:53">
      <c r="B44" s="105"/>
      <c r="C44" s="85"/>
      <c r="D44" s="85"/>
      <c r="E44" s="85"/>
      <c r="F44" s="86"/>
      <c r="G44" s="87"/>
      <c r="H44" s="10"/>
      <c r="I44" s="88"/>
      <c r="J44" s="88"/>
      <c r="K44" s="88"/>
      <c r="L44" s="88"/>
      <c r="M44" s="88"/>
      <c r="N44" s="88"/>
      <c r="O44" s="88"/>
      <c r="P44" s="88"/>
      <c r="Q44" s="88"/>
      <c r="R44" s="88"/>
      <c r="S44" s="88"/>
      <c r="T44" s="88"/>
      <c r="U44" s="88"/>
      <c r="V44" s="88"/>
      <c r="W44" s="59"/>
      <c r="X44" s="59"/>
      <c r="Z44" s="12"/>
      <c r="AZ44">
        <v>44</v>
      </c>
      <c r="BA44" t="str">
        <v>Cost Avoidance - CHN7</v>
      </c>
    </row>
    <row r="45" spans="1:53">
      <c r="A45" s="91"/>
      <c r="B45" s="91"/>
      <c r="C45" s="91"/>
      <c r="D45" s="91"/>
      <c r="E45" s="91"/>
      <c r="F45" s="93"/>
      <c r="G45" s="93"/>
      <c r="H45" s="93"/>
      <c r="I45" s="93"/>
      <c r="J45" s="91"/>
      <c r="K45" s="91"/>
      <c r="L45" s="91"/>
      <c r="M45" s="91"/>
      <c r="N45" s="94"/>
      <c r="O45" s="94"/>
      <c r="P45" s="94"/>
      <c r="Q45" s="94"/>
      <c r="R45" s="94"/>
      <c r="S45" s="94"/>
      <c r="T45" s="94"/>
      <c r="U45" s="94"/>
      <c r="V45" s="94"/>
      <c r="W45" s="94"/>
      <c r="X45" s="59"/>
      <c r="Z45" s="12"/>
      <c r="AN45">
        <v>71</v>
      </c>
      <c r="AO45" t="s">
        <v>305</v>
      </c>
      <c r="AZ45">
        <v>45</v>
      </c>
      <c r="BA45" t="str">
        <v>Cost Avoidance - JAP8</v>
      </c>
    </row>
    <row r="46" spans="1:53">
      <c r="B46" s="1" t="s">
        <v>306</v>
      </c>
      <c r="C46" s="180" t="str">
        <f>E36&amp;D36&amp;C36</f>
        <v>000</v>
      </c>
      <c r="D46" s="181" t="e">
        <f>MATCH(C46,Table2[Identifier],0)+1</f>
        <v>#N/A</v>
      </c>
      <c r="F46" s="10"/>
      <c r="G46" s="10"/>
      <c r="H46" s="10"/>
      <c r="I46" s="10"/>
      <c r="N46" s="59"/>
      <c r="O46" s="59"/>
      <c r="P46" s="59"/>
      <c r="Q46" s="59"/>
      <c r="R46" s="59"/>
      <c r="S46" s="59"/>
      <c r="T46" s="59"/>
      <c r="U46" s="59"/>
      <c r="V46" s="59"/>
      <c r="W46" s="59"/>
      <c r="Y46" s="12"/>
      <c r="AN46">
        <v>72</v>
      </c>
      <c r="AO46" t="s">
        <v>307</v>
      </c>
      <c r="AZ46">
        <v>46</v>
      </c>
      <c r="BA46" t="str">
        <v>Cost Avoidance - UKN9</v>
      </c>
    </row>
    <row r="47" spans="1:53">
      <c r="A47" s="91"/>
      <c r="B47" s="98">
        <f>B36</f>
        <v>0</v>
      </c>
      <c r="C47" s="99">
        <f t="shared" ref="C47:G47" si="5">C36</f>
        <v>0</v>
      </c>
      <c r="D47" s="99">
        <f t="shared" si="5"/>
        <v>0</v>
      </c>
      <c r="E47" s="99">
        <f t="shared" si="5"/>
        <v>0</v>
      </c>
      <c r="F47" s="99">
        <f t="shared" si="5"/>
        <v>0</v>
      </c>
      <c r="G47" s="99">
        <f t="shared" si="5"/>
        <v>0</v>
      </c>
      <c r="H47" s="99">
        <f>B38</f>
        <v>0</v>
      </c>
      <c r="I47" s="99">
        <f t="shared" ref="I47:M47" si="6">C38</f>
        <v>0</v>
      </c>
      <c r="J47" s="99">
        <f t="shared" si="6"/>
        <v>0</v>
      </c>
      <c r="K47" s="99">
        <f t="shared" si="6"/>
        <v>0</v>
      </c>
      <c r="L47" s="99">
        <f t="shared" si="6"/>
        <v>0</v>
      </c>
      <c r="M47" s="99">
        <f t="shared" si="6"/>
        <v>0</v>
      </c>
      <c r="N47" s="183">
        <f>I36</f>
        <v>0</v>
      </c>
      <c r="O47" s="183">
        <f t="shared" ref="O47:X47" si="7">J36</f>
        <v>0</v>
      </c>
      <c r="P47" s="183">
        <f t="shared" si="7"/>
        <v>0</v>
      </c>
      <c r="Q47" s="183">
        <f t="shared" si="7"/>
        <v>0</v>
      </c>
      <c r="R47" s="183">
        <f t="shared" si="7"/>
        <v>0</v>
      </c>
      <c r="S47" s="183">
        <f t="shared" si="7"/>
        <v>0</v>
      </c>
      <c r="T47" s="183">
        <f t="shared" si="7"/>
        <v>0</v>
      </c>
      <c r="U47" s="183">
        <f t="shared" si="7"/>
        <v>0</v>
      </c>
      <c r="V47" s="183">
        <f t="shared" si="7"/>
        <v>0</v>
      </c>
      <c r="W47" s="183">
        <f t="shared" si="7"/>
        <v>0</v>
      </c>
      <c r="X47" s="183">
        <f t="shared" si="7"/>
        <v>0</v>
      </c>
      <c r="Y47" s="101">
        <f>B3</f>
        <v>0</v>
      </c>
      <c r="Z47" s="102">
        <f ca="1">X3</f>
        <v>44748.472848726851</v>
      </c>
      <c r="AA47" s="91"/>
      <c r="AZ47">
        <v>47</v>
      </c>
      <c r="BA47" t="str">
        <v>Cost Avoidance - SAF10</v>
      </c>
    </row>
    <row r="48" spans="1:53">
      <c r="B48" s="1" t="s">
        <v>308</v>
      </c>
      <c r="F48" s="10"/>
      <c r="G48" s="10"/>
      <c r="H48" s="10"/>
      <c r="I48" s="10"/>
      <c r="Y48" s="12"/>
      <c r="AZ48">
        <v>48</v>
      </c>
      <c r="BA48" t="str">
        <v>Cost Avoidance - US11</v>
      </c>
    </row>
    <row r="49" spans="1:53">
      <c r="A49" s="91"/>
      <c r="B49" s="99">
        <f>B40</f>
        <v>0</v>
      </c>
      <c r="C49" s="103">
        <f>I38</f>
        <v>0</v>
      </c>
      <c r="D49" s="103">
        <f t="shared" ref="D49:M49" si="8">J38</f>
        <v>0</v>
      </c>
      <c r="E49" s="103">
        <f t="shared" si="8"/>
        <v>0</v>
      </c>
      <c r="F49" s="103">
        <f t="shared" si="8"/>
        <v>0</v>
      </c>
      <c r="G49" s="103">
        <f t="shared" si="8"/>
        <v>0</v>
      </c>
      <c r="H49" s="103">
        <f t="shared" si="8"/>
        <v>0</v>
      </c>
      <c r="I49" s="103">
        <f t="shared" si="8"/>
        <v>0</v>
      </c>
      <c r="J49" s="103">
        <f t="shared" si="8"/>
        <v>0</v>
      </c>
      <c r="K49" s="103">
        <f t="shared" si="8"/>
        <v>0</v>
      </c>
      <c r="L49" s="103">
        <f t="shared" si="8"/>
        <v>0</v>
      </c>
      <c r="M49" s="103">
        <f t="shared" si="8"/>
        <v>0</v>
      </c>
      <c r="N49">
        <f>I40</f>
        <v>0</v>
      </c>
      <c r="O49">
        <f t="shared" ref="O49:V49" si="9">J40</f>
        <v>0</v>
      </c>
      <c r="P49">
        <f t="shared" si="9"/>
        <v>0</v>
      </c>
      <c r="Q49">
        <f t="shared" si="9"/>
        <v>0</v>
      </c>
      <c r="R49">
        <f t="shared" si="9"/>
        <v>0</v>
      </c>
      <c r="S49">
        <f t="shared" si="9"/>
        <v>0</v>
      </c>
      <c r="T49">
        <f t="shared" si="9"/>
        <v>0</v>
      </c>
      <c r="U49">
        <f t="shared" si="9"/>
        <v>0</v>
      </c>
      <c r="V49">
        <f t="shared" si="9"/>
        <v>0</v>
      </c>
      <c r="W49">
        <f t="shared" ref="W49" si="10">R40</f>
        <v>0</v>
      </c>
      <c r="X49">
        <f>S40</f>
        <v>0</v>
      </c>
      <c r="Y49">
        <f>T36</f>
        <v>0</v>
      </c>
      <c r="Z49" s="103">
        <f>U36</f>
        <v>0</v>
      </c>
      <c r="AA49" s="100">
        <f>T38</f>
        <v>0</v>
      </c>
      <c r="AB49" s="100">
        <f>U38</f>
        <v>0</v>
      </c>
      <c r="AC49" s="100">
        <f>T40</f>
        <v>0</v>
      </c>
      <c r="AD49" s="100">
        <f>U40</f>
        <v>0</v>
      </c>
      <c r="AE49" s="100">
        <f>V36</f>
        <v>0</v>
      </c>
      <c r="AF49" s="100">
        <f>V38</f>
        <v>0</v>
      </c>
      <c r="AG49" s="100">
        <f>V40</f>
        <v>0</v>
      </c>
      <c r="AH49" s="186">
        <f>I41</f>
        <v>0</v>
      </c>
      <c r="AI49" s="186">
        <f t="shared" ref="AI49:AT49" si="11">J41</f>
        <v>0</v>
      </c>
      <c r="AJ49" s="186">
        <f t="shared" si="11"/>
        <v>0</v>
      </c>
      <c r="AK49" s="186">
        <f t="shared" si="11"/>
        <v>0</v>
      </c>
      <c r="AL49" s="186">
        <f t="shared" si="11"/>
        <v>0</v>
      </c>
      <c r="AM49" s="186">
        <f t="shared" si="11"/>
        <v>0</v>
      </c>
      <c r="AN49" s="186">
        <f t="shared" si="11"/>
        <v>0</v>
      </c>
      <c r="AO49" s="186">
        <f t="shared" si="11"/>
        <v>0</v>
      </c>
      <c r="AP49" s="186">
        <f t="shared" si="11"/>
        <v>0</v>
      </c>
      <c r="AQ49" s="186">
        <f t="shared" si="11"/>
        <v>0</v>
      </c>
      <c r="AR49" s="186">
        <f t="shared" si="11"/>
        <v>0</v>
      </c>
      <c r="AS49" s="186">
        <f t="shared" si="11"/>
        <v>0</v>
      </c>
      <c r="AT49" s="186">
        <f t="shared" si="11"/>
        <v>0</v>
      </c>
      <c r="AU49" s="186">
        <f>V41</f>
        <v>0</v>
      </c>
      <c r="AV49" s="91"/>
      <c r="AZ49">
        <v>49</v>
      </c>
      <c r="BA49" t="str">
        <v>Cost Avoidance - Sams12</v>
      </c>
    </row>
    <row r="50" spans="1:53">
      <c r="B50" s="1" t="s">
        <v>309</v>
      </c>
      <c r="D50" t="e">
        <f>MATCH(C46,Table2[Identifier],0)</f>
        <v>#N/A</v>
      </c>
      <c r="F50" s="10"/>
      <c r="G50" s="10"/>
      <c r="H50" s="10"/>
      <c r="I50" s="10"/>
      <c r="AZ50">
        <v>50</v>
      </c>
      <c r="BA50" t="str">
        <v>Spend - Sams Mexico</v>
      </c>
    </row>
    <row r="51" spans="1:53">
      <c r="A51" s="91"/>
      <c r="B51" s="187" t="str">
        <f>E36&amp;D36&amp;C36</f>
        <v>000</v>
      </c>
      <c r="C51" s="103">
        <f>C47</f>
        <v>0</v>
      </c>
      <c r="D51" s="103">
        <f t="shared" ref="D51:M51" si="12">D47</f>
        <v>0</v>
      </c>
      <c r="E51" s="99">
        <f t="shared" si="12"/>
        <v>0</v>
      </c>
      <c r="F51" s="99">
        <f t="shared" si="12"/>
        <v>0</v>
      </c>
      <c r="G51" s="99">
        <f t="shared" si="12"/>
        <v>0</v>
      </c>
      <c r="H51" s="99">
        <f t="shared" si="12"/>
        <v>0</v>
      </c>
      <c r="I51" s="99">
        <f t="shared" si="12"/>
        <v>0</v>
      </c>
      <c r="J51" s="99">
        <f t="shared" si="12"/>
        <v>0</v>
      </c>
      <c r="K51" s="99">
        <f t="shared" si="12"/>
        <v>0</v>
      </c>
      <c r="L51" s="99">
        <f t="shared" si="12"/>
        <v>0</v>
      </c>
      <c r="M51" s="99">
        <f t="shared" si="12"/>
        <v>0</v>
      </c>
      <c r="N51">
        <f>MAX(G36+60,C38+60,MAX(I41:V41))</f>
        <v>60</v>
      </c>
      <c r="O51">
        <f>Y47</f>
        <v>0</v>
      </c>
      <c r="P51">
        <f ca="1">Z47</f>
        <v>44748.472848726851</v>
      </c>
      <c r="Q51">
        <f>B42</f>
        <v>0</v>
      </c>
      <c r="R51">
        <f>C42</f>
        <v>0</v>
      </c>
      <c r="S51" t="str">
        <f>IF(D16=0,"",D16)</f>
        <v/>
      </c>
      <c r="T51">
        <f>E42</f>
        <v>0</v>
      </c>
      <c r="U51">
        <f>F42</f>
        <v>0</v>
      </c>
      <c r="V51" s="85">
        <f>G42</f>
        <v>0</v>
      </c>
      <c r="AZ51">
        <v>51</v>
      </c>
      <c r="BA51" t="str">
        <v>Spend - Sams China</v>
      </c>
    </row>
    <row r="52" spans="1:53">
      <c r="B52" s="1" t="s">
        <v>310</v>
      </c>
      <c r="F52" s="10"/>
      <c r="G52" s="10"/>
      <c r="H52" s="10"/>
      <c r="I52" s="10"/>
      <c r="AZ52">
        <v>52</v>
      </c>
      <c r="BA52" t="str">
        <v>Savings - Sams Mexico</v>
      </c>
    </row>
    <row r="53" spans="1:53">
      <c r="AZ53">
        <v>53</v>
      </c>
      <c r="BA53" t="str">
        <v>Savings - Sams China</v>
      </c>
    </row>
    <row r="54" spans="1:53">
      <c r="B54" s="1" t="s">
        <v>311</v>
      </c>
      <c r="C54">
        <f>ROWS(Table1[#Data])</f>
        <v>488</v>
      </c>
      <c r="D54" s="1" t="s">
        <v>312</v>
      </c>
      <c r="E54">
        <f>ROWS(Table2[])</f>
        <v>111</v>
      </c>
      <c r="AZ54">
        <v>54</v>
      </c>
      <c r="BA54" t="str">
        <v>Cost Avoidance - Sams Mexico</v>
      </c>
    </row>
    <row r="55" spans="1:53">
      <c r="AZ55">
        <v>55</v>
      </c>
      <c r="BA55" t="str">
        <v>Cost Avoidance - Sams China</v>
      </c>
    </row>
    <row r="56" spans="1:53">
      <c r="B56" s="1" t="s">
        <v>313</v>
      </c>
      <c r="X56" s="9"/>
      <c r="AZ56">
        <v>56</v>
      </c>
      <c r="BA56" t="str">
        <v>Spend - IND</v>
      </c>
    </row>
    <row r="57" spans="1:53" ht="43.5">
      <c r="B57" s="172" t="s">
        <v>0</v>
      </c>
      <c r="C57" s="172" t="s">
        <v>1</v>
      </c>
      <c r="D57" s="172" t="s">
        <v>4</v>
      </c>
      <c r="E57" s="172" t="s">
        <v>194</v>
      </c>
      <c r="F57" s="172" t="s">
        <v>216</v>
      </c>
      <c r="G57" s="172" t="s">
        <v>217</v>
      </c>
      <c r="H57" s="172" t="s">
        <v>314</v>
      </c>
      <c r="I57" s="172" t="s">
        <v>251</v>
      </c>
      <c r="J57" s="172" t="s">
        <v>297</v>
      </c>
      <c r="K57" s="172" t="s">
        <v>166</v>
      </c>
      <c r="L57" s="172" t="s">
        <v>208</v>
      </c>
      <c r="M57" s="172" t="s">
        <v>315</v>
      </c>
      <c r="N57" s="172" t="s">
        <v>237</v>
      </c>
      <c r="O57" s="172" t="s">
        <v>238</v>
      </c>
      <c r="P57" s="172" t="s">
        <v>210</v>
      </c>
      <c r="Q57" s="172" t="s">
        <v>239</v>
      </c>
      <c r="R57" s="172" t="s">
        <v>240</v>
      </c>
      <c r="S57" s="172" t="s">
        <v>241</v>
      </c>
      <c r="T57" s="172" t="s">
        <v>242</v>
      </c>
      <c r="U57" s="172" t="s">
        <v>243</v>
      </c>
      <c r="V57" s="172" t="s">
        <v>244</v>
      </c>
      <c r="W57" s="172" t="s">
        <v>245</v>
      </c>
      <c r="X57" s="172" t="s">
        <v>246</v>
      </c>
      <c r="Y57" s="80" t="s">
        <v>316</v>
      </c>
      <c r="Z57" s="80" t="s">
        <v>205</v>
      </c>
      <c r="AZ57">
        <v>57</v>
      </c>
      <c r="BA57" t="str">
        <v>Savings - IND</v>
      </c>
    </row>
    <row r="58" spans="1:53">
      <c r="B58" s="11" t="str" cm="1">
        <f t="array" ref="B58">IFERROR(IF(F3="", "Enter category above",_xlfn._xlws.SORT(_xlfn._xlws.FILTER(Table1[[#All],[Sl No]:[Update Time]],(Table1[[#All],[Category]]=$F$3)*(Table1[[#All],[Execution Year]]=$D$3)),1,-1)),"Category not found")</f>
        <v>Enter category above</v>
      </c>
      <c r="F58" s="10"/>
      <c r="G58" s="10"/>
      <c r="H58" s="10"/>
      <c r="I58" s="10"/>
      <c r="J58" s="11"/>
      <c r="N58" s="88"/>
      <c r="O58" s="88"/>
      <c r="P58" s="88"/>
      <c r="Q58" s="88"/>
      <c r="R58" s="88"/>
      <c r="S58" s="88"/>
      <c r="T58" s="88"/>
      <c r="U58" s="88"/>
      <c r="V58" s="88"/>
      <c r="W58" s="59"/>
      <c r="X58" s="59"/>
      <c r="Y58" s="12"/>
      <c r="Z58" s="12"/>
      <c r="AZ58">
        <v>58</v>
      </c>
      <c r="BA58" t="str">
        <v>Cost Avoidance - IND</v>
      </c>
    </row>
    <row r="59" spans="1:53">
      <c r="B59" s="11"/>
      <c r="F59" s="10"/>
      <c r="G59" s="10"/>
      <c r="H59" s="10"/>
      <c r="I59" s="10"/>
      <c r="N59" s="88"/>
      <c r="O59" s="88"/>
      <c r="P59" s="88"/>
      <c r="Q59" s="88"/>
      <c r="R59" s="88"/>
      <c r="S59" s="88"/>
      <c r="T59" s="88"/>
      <c r="U59" s="88"/>
      <c r="V59" s="88"/>
      <c r="W59" s="59"/>
      <c r="X59" s="59"/>
      <c r="AZ59">
        <v>59</v>
      </c>
      <c r="BA59" t="str">
        <v>Start Date - CAN</v>
      </c>
    </row>
    <row r="60" spans="1:53">
      <c r="B60" s="11"/>
      <c r="F60" s="10"/>
      <c r="G60" s="10"/>
      <c r="H60" s="10"/>
      <c r="I60" s="10"/>
      <c r="N60" s="88"/>
      <c r="O60" s="88"/>
      <c r="P60" s="88"/>
      <c r="Q60" s="88"/>
      <c r="R60" s="88"/>
      <c r="S60" s="88"/>
      <c r="T60" s="88"/>
      <c r="U60" s="88"/>
      <c r="V60" s="88"/>
      <c r="W60" s="59"/>
      <c r="X60" s="59"/>
      <c r="AZ60">
        <v>60</v>
      </c>
      <c r="BA60" t="str">
        <v>Start Date - MEX</v>
      </c>
    </row>
    <row r="61" spans="1:53">
      <c r="B61" s="11"/>
      <c r="F61" s="10"/>
      <c r="G61" s="10"/>
      <c r="H61" s="10"/>
      <c r="I61" s="10"/>
      <c r="N61" s="88"/>
      <c r="O61" s="88"/>
      <c r="P61" s="88"/>
      <c r="Q61" s="88"/>
      <c r="R61" s="88"/>
      <c r="S61" s="88"/>
      <c r="T61" s="88"/>
      <c r="U61" s="88"/>
      <c r="V61" s="88"/>
      <c r="W61" s="59"/>
      <c r="X61" s="59"/>
      <c r="AZ61">
        <v>61</v>
      </c>
      <c r="BA61" t="str">
        <v>Start Date - CAM</v>
      </c>
    </row>
    <row r="62" spans="1:53">
      <c r="B62" s="11"/>
      <c r="F62" s="10"/>
      <c r="G62" s="10"/>
      <c r="H62" s="10"/>
      <c r="I62" s="10"/>
      <c r="N62" s="88"/>
      <c r="O62" s="88"/>
      <c r="P62" s="88"/>
      <c r="Q62" s="88"/>
      <c r="R62" s="88"/>
      <c r="S62" s="88"/>
      <c r="T62" s="88"/>
      <c r="U62" s="88"/>
      <c r="V62" s="88"/>
      <c r="W62" s="59"/>
      <c r="X62" s="59"/>
      <c r="AZ62">
        <v>62</v>
      </c>
      <c r="BA62" t="str">
        <v>Start Date - CHL</v>
      </c>
    </row>
    <row r="63" spans="1:53">
      <c r="B63" s="11"/>
      <c r="F63" s="10"/>
      <c r="G63" s="10"/>
      <c r="H63" s="10"/>
      <c r="I63" s="10"/>
      <c r="N63" s="88"/>
      <c r="O63" s="88"/>
      <c r="P63" s="88"/>
      <c r="Q63" s="88"/>
      <c r="R63" s="88"/>
      <c r="S63" s="88"/>
      <c r="T63" s="88"/>
      <c r="U63" s="88"/>
      <c r="V63" s="88"/>
      <c r="W63" s="59"/>
      <c r="X63" s="59"/>
      <c r="AZ63">
        <v>63</v>
      </c>
      <c r="BA63" t="str">
        <v>Start Date - ARG</v>
      </c>
    </row>
    <row r="64" spans="1:53">
      <c r="B64" s="11"/>
      <c r="F64" s="10"/>
      <c r="G64" s="10"/>
      <c r="H64" s="10"/>
      <c r="I64" s="10"/>
      <c r="N64" s="88"/>
      <c r="O64" s="88"/>
      <c r="P64" s="88"/>
      <c r="Q64" s="88"/>
      <c r="R64" s="88"/>
      <c r="S64" s="88"/>
      <c r="T64" s="88"/>
      <c r="U64" s="88"/>
      <c r="V64" s="88"/>
      <c r="W64" s="59"/>
      <c r="X64" s="59"/>
      <c r="AZ64">
        <v>64</v>
      </c>
      <c r="BA64" t="str">
        <v>Start Date - CHN</v>
      </c>
    </row>
    <row r="65" spans="2:53">
      <c r="B65" s="11"/>
      <c r="F65" s="10"/>
      <c r="G65" s="10"/>
      <c r="H65" s="10"/>
      <c r="I65" s="10"/>
      <c r="N65" s="88"/>
      <c r="O65" s="88"/>
      <c r="P65" s="88"/>
      <c r="Q65" s="88"/>
      <c r="R65" s="88"/>
      <c r="S65" s="88"/>
      <c r="T65" s="88"/>
      <c r="U65" s="88"/>
      <c r="V65" s="88"/>
      <c r="W65" s="59"/>
      <c r="X65" s="59"/>
      <c r="AZ65">
        <v>65</v>
      </c>
      <c r="BA65" t="str">
        <v>Start Date - JAP</v>
      </c>
    </row>
    <row r="66" spans="2:53">
      <c r="B66" s="11"/>
      <c r="F66" s="10"/>
      <c r="G66" s="10"/>
      <c r="H66" s="10"/>
      <c r="I66" s="10"/>
      <c r="N66" s="88"/>
      <c r="O66" s="88"/>
      <c r="P66" s="88"/>
      <c r="Q66" s="88"/>
      <c r="R66" s="88"/>
      <c r="S66" s="88"/>
      <c r="T66" s="88"/>
      <c r="U66" s="88"/>
      <c r="V66" s="88"/>
      <c r="W66" s="59"/>
      <c r="X66" s="59"/>
      <c r="AZ66">
        <v>66</v>
      </c>
      <c r="BA66" t="str">
        <v>Start Date - UKN</v>
      </c>
    </row>
    <row r="67" spans="2:53">
      <c r="B67" s="11"/>
      <c r="F67" s="10"/>
      <c r="G67" s="10"/>
      <c r="H67" s="10"/>
      <c r="I67" s="10"/>
      <c r="N67" s="88"/>
      <c r="O67" s="88"/>
      <c r="P67" s="88"/>
      <c r="Q67" s="88"/>
      <c r="R67" s="88"/>
      <c r="S67" s="88"/>
      <c r="T67" s="88"/>
      <c r="U67" s="88"/>
      <c r="V67" s="88"/>
      <c r="W67" s="59"/>
      <c r="X67" s="59"/>
      <c r="AZ67">
        <v>67</v>
      </c>
      <c r="BA67" t="str">
        <v>Start Date - SAF</v>
      </c>
    </row>
    <row r="68" spans="2:53">
      <c r="B68" s="11"/>
      <c r="F68" s="10"/>
      <c r="G68" s="10"/>
      <c r="H68" s="10"/>
      <c r="I68" s="10"/>
      <c r="N68" s="88"/>
      <c r="O68" s="88"/>
      <c r="P68" s="88"/>
      <c r="Q68" s="88"/>
      <c r="R68" s="88"/>
      <c r="S68" s="88"/>
      <c r="T68" s="88"/>
      <c r="U68" s="88"/>
      <c r="V68" s="88"/>
      <c r="W68" s="59"/>
      <c r="X68" s="59"/>
      <c r="AZ68">
        <v>68</v>
      </c>
      <c r="BA68" t="str">
        <v>Start Date - US</v>
      </c>
    </row>
    <row r="69" spans="2:53">
      <c r="B69" s="11"/>
      <c r="F69" s="10"/>
      <c r="G69" s="10"/>
      <c r="H69" s="10"/>
      <c r="I69" s="10"/>
      <c r="N69" s="88"/>
      <c r="O69" s="88"/>
      <c r="P69" s="88"/>
      <c r="Q69" s="88"/>
      <c r="R69" s="88"/>
      <c r="S69" s="88"/>
      <c r="T69" s="88"/>
      <c r="U69" s="88"/>
      <c r="V69" s="88"/>
      <c r="W69" s="59"/>
      <c r="X69" s="59"/>
      <c r="AZ69">
        <v>69</v>
      </c>
      <c r="BA69" t="str">
        <v>Start Date - Sams</v>
      </c>
    </row>
    <row r="70" spans="2:53">
      <c r="B70" s="11"/>
      <c r="F70" s="10"/>
      <c r="G70" s="10"/>
      <c r="H70" s="10"/>
      <c r="I70" s="10"/>
      <c r="N70" s="88"/>
      <c r="O70" s="88"/>
      <c r="P70" s="88"/>
      <c r="Q70" s="88"/>
      <c r="R70" s="88"/>
      <c r="S70" s="88"/>
      <c r="T70" s="88"/>
      <c r="U70" s="88"/>
      <c r="V70" s="88"/>
      <c r="W70" s="59"/>
      <c r="X70" s="59"/>
      <c r="AZ70">
        <v>70</v>
      </c>
      <c r="BA70" t="str">
        <v>Start Date - Sams Mexico</v>
      </c>
    </row>
    <row r="71" spans="2:53">
      <c r="B71" s="11"/>
      <c r="F71" s="10"/>
      <c r="G71" s="10"/>
      <c r="H71" s="10"/>
      <c r="I71" s="10"/>
      <c r="N71" s="88"/>
      <c r="O71" s="88"/>
      <c r="P71" s="88"/>
      <c r="Q71" s="88"/>
      <c r="R71" s="88"/>
      <c r="S71" s="88"/>
      <c r="T71" s="88"/>
      <c r="U71" s="88"/>
      <c r="V71" s="88"/>
      <c r="W71" s="59"/>
      <c r="X71" s="59"/>
      <c r="AZ71">
        <v>71</v>
      </c>
      <c r="BA71" t="str">
        <v>Start Date - Sams China</v>
      </c>
    </row>
    <row r="72" spans="2:53">
      <c r="B72" s="11"/>
      <c r="F72" s="10"/>
      <c r="G72" s="10"/>
      <c r="H72" s="10"/>
      <c r="I72" s="10"/>
      <c r="N72" s="88"/>
      <c r="O72" s="88"/>
      <c r="P72" s="88"/>
      <c r="Q72" s="88"/>
      <c r="R72" s="88"/>
      <c r="S72" s="88"/>
      <c r="T72" s="88"/>
      <c r="U72" s="88"/>
      <c r="V72" s="88"/>
      <c r="W72" s="59"/>
      <c r="X72" s="59"/>
      <c r="AZ72">
        <v>72</v>
      </c>
      <c r="BA72" t="str">
        <v>Start Date - IND</v>
      </c>
    </row>
    <row r="73" spans="2:53">
      <c r="B73" s="11"/>
      <c r="F73" s="10"/>
      <c r="G73" s="10"/>
      <c r="H73" s="10"/>
      <c r="I73" s="10"/>
      <c r="N73" s="88"/>
      <c r="O73" s="88"/>
      <c r="P73" s="88"/>
      <c r="Q73" s="88"/>
      <c r="R73" s="88"/>
      <c r="S73" s="88"/>
      <c r="T73" s="88"/>
      <c r="U73" s="88"/>
      <c r="V73" s="88"/>
      <c r="W73" s="59"/>
      <c r="X73" s="59"/>
      <c r="AZ73">
        <v>73</v>
      </c>
      <c r="BA73" t="str">
        <v>Most curent</v>
      </c>
    </row>
    <row r="74" spans="2:53">
      <c r="B74" s="11"/>
      <c r="F74" s="10"/>
      <c r="G74" s="10"/>
      <c r="H74" s="10"/>
      <c r="I74" s="10"/>
      <c r="N74" s="88"/>
      <c r="O74" s="88"/>
      <c r="P74" s="88"/>
      <c r="Q74" s="88"/>
      <c r="R74" s="88"/>
      <c r="S74" s="88"/>
      <c r="T74" s="88"/>
      <c r="U74" s="88"/>
      <c r="V74" s="88"/>
      <c r="W74" s="59"/>
      <c r="X74" s="59"/>
      <c r="AZ74">
        <v>74</v>
      </c>
      <c r="BA74" t="str">
        <v>Spend - ALL</v>
      </c>
    </row>
    <row r="75" spans="2:53">
      <c r="B75" s="11"/>
      <c r="F75" s="10"/>
      <c r="G75" s="10"/>
      <c r="H75" s="10"/>
      <c r="I75" s="10"/>
      <c r="N75" s="88"/>
      <c r="O75" s="88"/>
      <c r="P75" s="88"/>
      <c r="Q75" s="88"/>
      <c r="R75" s="88"/>
      <c r="S75" s="88"/>
      <c r="T75" s="88"/>
      <c r="U75" s="88"/>
      <c r="V75" s="88"/>
      <c r="W75" s="59"/>
      <c r="X75" s="59"/>
      <c r="AZ75">
        <v>75</v>
      </c>
      <c r="BA75" t="str">
        <v>Savings - All</v>
      </c>
    </row>
    <row r="76" spans="2:53">
      <c r="B76" s="11"/>
      <c r="F76" s="10"/>
      <c r="G76" s="10"/>
      <c r="H76" s="10"/>
      <c r="I76" s="10"/>
      <c r="N76" s="88"/>
      <c r="O76" s="88"/>
      <c r="P76" s="88"/>
      <c r="Q76" s="88"/>
      <c r="R76" s="88"/>
      <c r="S76" s="88"/>
      <c r="T76" s="88"/>
      <c r="U76" s="88"/>
      <c r="V76" s="88"/>
      <c r="W76" s="59"/>
      <c r="X76" s="59"/>
      <c r="AZ76">
        <v>76</v>
      </c>
      <c r="BA76" t="str">
        <v>Spend - INTL</v>
      </c>
    </row>
    <row r="77" spans="2:53">
      <c r="B77" s="11"/>
      <c r="F77" s="10"/>
      <c r="G77" s="10"/>
      <c r="H77" s="10"/>
      <c r="I77" s="10"/>
      <c r="N77" s="88"/>
      <c r="O77" s="88"/>
      <c r="P77" s="88"/>
      <c r="Q77" s="88"/>
      <c r="R77" s="88"/>
      <c r="S77" s="88"/>
      <c r="T77" s="88"/>
      <c r="U77" s="88"/>
      <c r="V77" s="88"/>
      <c r="W77" s="59"/>
      <c r="X77" s="59"/>
      <c r="AZ77">
        <v>77</v>
      </c>
      <c r="BA77" t="str">
        <v>Savings - INTL</v>
      </c>
    </row>
    <row r="78" spans="2:53">
      <c r="B78" s="11"/>
      <c r="F78" s="10"/>
      <c r="G78" s="10"/>
      <c r="H78" s="10"/>
      <c r="I78" s="10"/>
      <c r="N78" s="88"/>
      <c r="O78" s="88"/>
      <c r="P78" s="88"/>
      <c r="Q78" s="88"/>
      <c r="R78" s="88"/>
      <c r="S78" s="88"/>
      <c r="T78" s="88"/>
      <c r="U78" s="88"/>
      <c r="V78" s="88"/>
      <c r="W78" s="59"/>
      <c r="X78" s="59"/>
      <c r="AZ78">
        <v>78</v>
      </c>
      <c r="BA78" t="str">
        <v>Spend - WMUS-Sams</v>
      </c>
    </row>
    <row r="79" spans="2:53">
      <c r="B79" s="11"/>
      <c r="F79" s="10"/>
      <c r="G79" s="10"/>
      <c r="H79" s="10"/>
      <c r="I79" s="10"/>
      <c r="N79" s="88"/>
      <c r="O79" s="88"/>
      <c r="P79" s="88"/>
      <c r="Q79" s="88"/>
      <c r="R79" s="88"/>
      <c r="S79" s="88"/>
      <c r="T79" s="88"/>
      <c r="U79" s="88"/>
      <c r="V79" s="88"/>
      <c r="W79" s="59"/>
      <c r="X79" s="59"/>
      <c r="AZ79">
        <v>79</v>
      </c>
      <c r="BA79" t="str">
        <v>Savings - WMUs-Sams</v>
      </c>
    </row>
    <row r="80" spans="2:53">
      <c r="B80" s="11"/>
      <c r="F80" s="10"/>
      <c r="G80" s="10"/>
      <c r="H80" s="10"/>
      <c r="I80" s="10"/>
      <c r="N80" s="88"/>
      <c r="O80" s="88"/>
      <c r="P80" s="88"/>
      <c r="Q80" s="88"/>
      <c r="R80" s="88"/>
      <c r="S80" s="88"/>
      <c r="T80" s="88"/>
      <c r="U80" s="88"/>
      <c r="V80" s="88"/>
      <c r="W80" s="59"/>
      <c r="X80" s="59"/>
      <c r="AZ80">
        <v>80</v>
      </c>
      <c r="BA80" t="str">
        <v>Cost Avoidance INTL</v>
      </c>
    </row>
    <row r="81" spans="2:53">
      <c r="B81" s="11"/>
      <c r="F81" s="10"/>
      <c r="G81" s="10"/>
      <c r="H81" s="10"/>
      <c r="I81" s="10"/>
      <c r="N81" s="88"/>
      <c r="O81" s="88"/>
      <c r="P81" s="88"/>
      <c r="Q81" s="88"/>
      <c r="R81" s="88"/>
      <c r="S81" s="88"/>
      <c r="T81" s="88"/>
      <c r="U81" s="88"/>
      <c r="V81" s="88"/>
      <c r="W81" s="59"/>
      <c r="X81" s="59"/>
      <c r="AZ81">
        <v>81</v>
      </c>
      <c r="BA81" t="str">
        <v>Cost Avoidance US</v>
      </c>
    </row>
    <row r="82" spans="2:53">
      <c r="B82" s="11"/>
      <c r="F82" s="10"/>
      <c r="G82" s="10"/>
      <c r="H82" s="10"/>
      <c r="I82" s="10"/>
      <c r="N82" s="88"/>
      <c r="O82" s="88"/>
      <c r="P82" s="88"/>
      <c r="Q82" s="88"/>
      <c r="R82" s="88"/>
      <c r="S82" s="88"/>
      <c r="T82" s="88"/>
      <c r="U82" s="88"/>
      <c r="V82" s="88"/>
      <c r="W82" s="59"/>
      <c r="X82" s="59"/>
      <c r="AZ82">
        <v>82</v>
      </c>
      <c r="BA82" t="str">
        <v>Status Value</v>
      </c>
    </row>
    <row r="83" spans="2:53">
      <c r="B83" s="11"/>
      <c r="F83" s="10"/>
      <c r="G83" s="10"/>
      <c r="H83" s="10"/>
      <c r="I83" s="10"/>
      <c r="N83" s="88"/>
      <c r="O83" s="88"/>
      <c r="P83" s="88"/>
      <c r="Q83" s="88"/>
      <c r="R83" s="88"/>
      <c r="S83" s="88"/>
      <c r="T83" s="88"/>
      <c r="U83" s="88"/>
      <c r="V83" s="88"/>
      <c r="W83" s="59"/>
      <c r="X83" s="59"/>
    </row>
    <row r="84" spans="2:53">
      <c r="B84" s="11"/>
      <c r="F84" s="10"/>
      <c r="G84" s="10"/>
      <c r="H84" s="10"/>
      <c r="I84" s="10"/>
      <c r="N84" s="88"/>
      <c r="O84" s="88"/>
      <c r="P84" s="88"/>
      <c r="Q84" s="88"/>
      <c r="R84" s="88"/>
      <c r="S84" s="88"/>
      <c r="T84" s="88"/>
      <c r="U84" s="88"/>
      <c r="V84" s="88"/>
      <c r="W84" s="59"/>
      <c r="X84" s="59"/>
    </row>
    <row r="85" spans="2:53">
      <c r="B85" s="11"/>
      <c r="F85" s="10"/>
      <c r="G85" s="10"/>
      <c r="H85" s="10"/>
      <c r="I85" s="10"/>
      <c r="N85" s="88"/>
      <c r="O85" s="88"/>
      <c r="P85" s="88"/>
      <c r="Q85" s="88"/>
      <c r="R85" s="88"/>
      <c r="S85" s="88"/>
      <c r="T85" s="88"/>
      <c r="U85" s="88"/>
      <c r="V85" s="88"/>
      <c r="W85" s="59"/>
      <c r="X85" s="59"/>
    </row>
    <row r="86" spans="2:53">
      <c r="B86" s="11"/>
      <c r="F86" s="10"/>
      <c r="G86" s="10"/>
      <c r="H86" s="10"/>
      <c r="I86" s="10"/>
      <c r="N86" s="88"/>
      <c r="O86" s="88"/>
      <c r="P86" s="88"/>
      <c r="Q86" s="88"/>
      <c r="R86" s="88"/>
      <c r="S86" s="88"/>
      <c r="T86" s="88"/>
      <c r="U86" s="88"/>
      <c r="V86" s="88"/>
      <c r="W86" s="59"/>
      <c r="X86" s="59"/>
    </row>
    <row r="87" spans="2:53">
      <c r="B87" s="11"/>
      <c r="F87" s="10"/>
      <c r="G87" s="10"/>
      <c r="H87" s="10"/>
      <c r="I87" s="10"/>
      <c r="N87" s="88"/>
      <c r="O87" s="88"/>
      <c r="P87" s="88"/>
      <c r="Q87" s="88"/>
      <c r="R87" s="88"/>
      <c r="S87" s="88"/>
      <c r="T87" s="88"/>
      <c r="U87" s="88"/>
      <c r="V87" s="88"/>
      <c r="W87" s="59"/>
      <c r="X87" s="59"/>
    </row>
    <row r="88" spans="2:53">
      <c r="B88" s="11"/>
      <c r="F88" s="10"/>
      <c r="G88" s="10"/>
      <c r="H88" s="10"/>
      <c r="I88" s="10"/>
      <c r="N88" s="88"/>
      <c r="O88" s="88"/>
      <c r="P88" s="88"/>
      <c r="Q88" s="88"/>
      <c r="R88" s="88"/>
      <c r="S88" s="88"/>
      <c r="T88" s="88"/>
      <c r="U88" s="88"/>
      <c r="V88" s="88"/>
      <c r="W88" s="59"/>
      <c r="X88" s="59"/>
    </row>
    <row r="89" spans="2:53">
      <c r="B89" s="11"/>
      <c r="F89" s="10"/>
      <c r="G89" s="10"/>
      <c r="H89" s="10"/>
      <c r="I89" s="10"/>
      <c r="N89" s="88"/>
      <c r="O89" s="88"/>
      <c r="P89" s="88"/>
      <c r="Q89" s="88"/>
      <c r="R89" s="88"/>
      <c r="S89" s="88"/>
      <c r="T89" s="88"/>
      <c r="U89" s="88"/>
      <c r="V89" s="88"/>
      <c r="W89" s="59"/>
      <c r="X89" s="59"/>
    </row>
    <row r="90" spans="2:53">
      <c r="B90" s="11"/>
      <c r="F90" s="10"/>
      <c r="G90" s="10"/>
      <c r="H90" s="10"/>
      <c r="I90" s="10"/>
      <c r="N90" s="88"/>
      <c r="O90" s="88"/>
      <c r="P90" s="88"/>
      <c r="Q90" s="88"/>
      <c r="R90" s="88"/>
      <c r="S90" s="88"/>
      <c r="T90" s="88"/>
      <c r="U90" s="88"/>
      <c r="V90" s="88"/>
      <c r="W90" s="59"/>
      <c r="X90" s="59"/>
    </row>
    <row r="91" spans="2:53">
      <c r="B91" s="11"/>
      <c r="F91" s="10"/>
      <c r="G91" s="10"/>
      <c r="H91" s="10"/>
      <c r="I91" s="10"/>
      <c r="N91" s="88"/>
      <c r="O91" s="88"/>
      <c r="P91" s="88"/>
      <c r="Q91" s="88"/>
      <c r="R91" s="88"/>
      <c r="S91" s="88"/>
      <c r="T91" s="88"/>
      <c r="U91" s="88"/>
      <c r="V91" s="88"/>
      <c r="W91" s="59"/>
      <c r="X91" s="59"/>
    </row>
    <row r="92" spans="2:53">
      <c r="B92" s="11"/>
      <c r="F92" s="10"/>
      <c r="G92" s="10"/>
      <c r="H92" s="10"/>
      <c r="I92" s="10"/>
      <c r="N92" s="88"/>
      <c r="O92" s="88"/>
      <c r="P92" s="88"/>
      <c r="Q92" s="88"/>
      <c r="R92" s="88"/>
      <c r="S92" s="88"/>
      <c r="T92" s="88"/>
      <c r="U92" s="88"/>
      <c r="V92" s="88"/>
      <c r="W92" s="59"/>
      <c r="X92" s="59"/>
    </row>
    <row r="93" spans="2:53">
      <c r="B93" s="11"/>
      <c r="F93" s="10"/>
      <c r="G93" s="10"/>
      <c r="H93" s="10"/>
      <c r="I93" s="10"/>
      <c r="N93" s="88"/>
      <c r="O93" s="88"/>
      <c r="P93" s="88"/>
      <c r="Q93" s="88"/>
      <c r="R93" s="88"/>
      <c r="S93" s="88"/>
      <c r="T93" s="88"/>
      <c r="U93" s="88"/>
      <c r="V93" s="88"/>
      <c r="W93" s="59"/>
      <c r="X93" s="59"/>
    </row>
    <row r="94" spans="2:53">
      <c r="B94" s="11"/>
      <c r="F94" s="10"/>
      <c r="G94" s="10"/>
      <c r="H94" s="10"/>
      <c r="I94" s="10"/>
      <c r="N94" s="88"/>
      <c r="O94" s="88"/>
      <c r="P94" s="88"/>
      <c r="Q94" s="88"/>
      <c r="R94" s="88"/>
      <c r="S94" s="88"/>
      <c r="T94" s="88"/>
      <c r="U94" s="88"/>
      <c r="V94" s="88"/>
      <c r="W94" s="59"/>
      <c r="X94" s="59"/>
    </row>
    <row r="95" spans="2:53">
      <c r="B95" s="11"/>
      <c r="F95" s="10"/>
      <c r="G95" s="10"/>
      <c r="H95" s="10"/>
      <c r="I95" s="10"/>
      <c r="N95" s="88"/>
      <c r="O95" s="88"/>
      <c r="P95" s="88"/>
      <c r="Q95" s="88"/>
      <c r="R95" s="88"/>
      <c r="S95" s="88"/>
      <c r="T95" s="88"/>
      <c r="U95" s="88"/>
      <c r="V95" s="88"/>
      <c r="W95" s="59"/>
      <c r="X95" s="59"/>
    </row>
    <row r="96" spans="2:53">
      <c r="B96" s="11"/>
      <c r="F96" s="10"/>
      <c r="G96" s="10"/>
      <c r="H96" s="10"/>
      <c r="I96" s="10"/>
      <c r="N96" s="88"/>
      <c r="O96" s="88"/>
      <c r="P96" s="88"/>
      <c r="Q96" s="88"/>
      <c r="R96" s="88"/>
      <c r="S96" s="88"/>
      <c r="T96" s="88"/>
      <c r="U96" s="88"/>
      <c r="V96" s="88"/>
      <c r="W96" s="59"/>
      <c r="X96" s="59"/>
    </row>
    <row r="97" spans="2:24">
      <c r="B97" s="11"/>
      <c r="F97" s="10"/>
      <c r="G97" s="10"/>
      <c r="H97" s="10"/>
      <c r="I97" s="10"/>
      <c r="N97" s="88"/>
      <c r="O97" s="88"/>
      <c r="P97" s="88"/>
      <c r="Q97" s="88"/>
      <c r="R97" s="88"/>
      <c r="S97" s="88"/>
      <c r="T97" s="88"/>
      <c r="U97" s="88"/>
      <c r="V97" s="88"/>
      <c r="W97" s="59"/>
      <c r="X97" s="59"/>
    </row>
    <row r="98" spans="2:24">
      <c r="B98" s="11"/>
      <c r="F98" s="10"/>
      <c r="G98" s="10"/>
      <c r="H98" s="10"/>
      <c r="I98" s="10"/>
      <c r="N98" s="88"/>
      <c r="O98" s="88"/>
      <c r="P98" s="88"/>
      <c r="Q98" s="88"/>
      <c r="R98" s="88"/>
      <c r="S98" s="88"/>
      <c r="T98" s="88"/>
      <c r="U98" s="88"/>
      <c r="V98" s="88"/>
      <c r="W98" s="59"/>
      <c r="X98" s="59"/>
    </row>
    <row r="99" spans="2:24">
      <c r="B99" s="11"/>
      <c r="F99" s="10"/>
      <c r="G99" s="10"/>
      <c r="H99" s="10"/>
      <c r="I99" s="10"/>
      <c r="N99" s="88"/>
      <c r="O99" s="88"/>
      <c r="P99" s="88"/>
      <c r="Q99" s="88"/>
      <c r="R99" s="88"/>
      <c r="S99" s="88"/>
      <c r="T99" s="88"/>
      <c r="U99" s="88"/>
      <c r="V99" s="88"/>
      <c r="W99" s="59"/>
      <c r="X99" s="59"/>
    </row>
    <row r="100" spans="2:24">
      <c r="B100" s="11"/>
      <c r="F100" s="10"/>
      <c r="G100" s="10"/>
      <c r="H100" s="10"/>
      <c r="I100" s="10"/>
      <c r="N100" s="88"/>
      <c r="O100" s="88"/>
      <c r="P100" s="88"/>
      <c r="Q100" s="88"/>
      <c r="R100" s="88"/>
      <c r="S100" s="88"/>
      <c r="T100" s="88"/>
      <c r="U100" s="88"/>
      <c r="V100" s="88"/>
      <c r="W100" s="59"/>
      <c r="X100" s="59"/>
    </row>
    <row r="101" spans="2:24">
      <c r="B101" s="11"/>
      <c r="F101" s="10"/>
      <c r="G101" s="10"/>
      <c r="H101" s="10"/>
      <c r="I101" s="10"/>
      <c r="N101" s="88"/>
      <c r="O101" s="88"/>
      <c r="P101" s="88"/>
      <c r="Q101" s="88"/>
      <c r="R101" s="88"/>
      <c r="S101" s="88"/>
      <c r="T101" s="88"/>
      <c r="U101" s="88"/>
      <c r="V101" s="88"/>
      <c r="W101" s="59"/>
      <c r="X101" s="59"/>
    </row>
    <row r="102" spans="2:24">
      <c r="B102" s="11"/>
      <c r="F102" s="10"/>
      <c r="G102" s="10"/>
      <c r="H102" s="10"/>
      <c r="I102" s="10"/>
      <c r="N102" s="88"/>
      <c r="O102" s="88"/>
      <c r="P102" s="88"/>
      <c r="Q102" s="88"/>
      <c r="R102" s="88"/>
      <c r="S102" s="88"/>
      <c r="T102" s="88"/>
      <c r="U102" s="88"/>
      <c r="V102" s="88"/>
      <c r="W102" s="59"/>
      <c r="X102" s="59"/>
    </row>
    <row r="103" spans="2:24">
      <c r="B103" s="11"/>
      <c r="F103" s="10"/>
      <c r="G103" s="10"/>
      <c r="H103" s="10"/>
      <c r="I103" s="10"/>
      <c r="N103" s="88"/>
      <c r="O103" s="88"/>
      <c r="P103" s="88"/>
      <c r="Q103" s="88"/>
      <c r="R103" s="88"/>
      <c r="S103" s="88"/>
      <c r="T103" s="88"/>
      <c r="U103" s="88"/>
      <c r="V103" s="88"/>
      <c r="W103" s="59"/>
      <c r="X103" s="59"/>
    </row>
    <row r="104" spans="2:24">
      <c r="B104" s="11"/>
      <c r="F104" s="10"/>
      <c r="G104" s="10"/>
      <c r="H104" s="10"/>
      <c r="I104" s="10"/>
      <c r="N104" s="88"/>
      <c r="O104" s="88"/>
      <c r="P104" s="88"/>
      <c r="Q104" s="88"/>
      <c r="R104" s="88"/>
      <c r="S104" s="88"/>
      <c r="T104" s="88"/>
      <c r="U104" s="88"/>
      <c r="V104" s="88"/>
      <c r="W104" s="59"/>
      <c r="X104" s="59"/>
    </row>
    <row r="105" spans="2:24">
      <c r="B105" s="11"/>
      <c r="F105" s="10"/>
      <c r="G105" s="10"/>
      <c r="H105" s="10"/>
      <c r="I105" s="10"/>
      <c r="N105" s="88"/>
      <c r="O105" s="88"/>
      <c r="P105" s="88"/>
      <c r="Q105" s="88"/>
      <c r="R105" s="88"/>
      <c r="S105" s="88"/>
      <c r="T105" s="88"/>
      <c r="U105" s="88"/>
      <c r="V105" s="88"/>
      <c r="W105" s="59"/>
      <c r="X105" s="59"/>
    </row>
    <row r="106" spans="2:24">
      <c r="B106" s="11"/>
      <c r="F106" s="10"/>
      <c r="G106" s="10"/>
      <c r="H106" s="10"/>
      <c r="I106" s="10"/>
      <c r="N106" s="88"/>
      <c r="O106" s="88"/>
      <c r="P106" s="88"/>
      <c r="Q106" s="88"/>
      <c r="R106" s="88"/>
      <c r="S106" s="88"/>
      <c r="T106" s="88"/>
      <c r="U106" s="88"/>
      <c r="V106" s="88"/>
      <c r="W106" s="59"/>
      <c r="X106" s="59"/>
    </row>
    <row r="107" spans="2:24">
      <c r="B107" s="11"/>
      <c r="F107" s="10"/>
      <c r="G107" s="10"/>
      <c r="H107" s="10"/>
      <c r="I107" s="10"/>
      <c r="N107" s="88"/>
      <c r="O107" s="88"/>
      <c r="P107" s="88"/>
      <c r="Q107" s="88"/>
      <c r="R107" s="88"/>
      <c r="S107" s="88"/>
      <c r="T107" s="88"/>
      <c r="U107" s="88"/>
      <c r="V107" s="88"/>
      <c r="W107" s="59"/>
      <c r="X107" s="59"/>
    </row>
    <row r="108" spans="2:24">
      <c r="B108" s="11"/>
      <c r="F108" s="10"/>
      <c r="G108" s="10"/>
      <c r="H108" s="10"/>
      <c r="I108" s="10"/>
      <c r="N108" s="88"/>
      <c r="O108" s="88"/>
      <c r="P108" s="88"/>
      <c r="Q108" s="88"/>
      <c r="R108" s="88"/>
      <c r="S108" s="88"/>
      <c r="T108" s="88"/>
      <c r="U108" s="88"/>
      <c r="V108" s="88"/>
      <c r="W108" s="59"/>
      <c r="X108" s="59"/>
    </row>
    <row r="109" spans="2:24">
      <c r="B109" s="11"/>
      <c r="F109" s="10"/>
      <c r="G109" s="10"/>
      <c r="H109" s="10"/>
      <c r="I109" s="10"/>
      <c r="N109" s="88"/>
      <c r="O109" s="88"/>
      <c r="P109" s="88"/>
      <c r="Q109" s="88"/>
      <c r="R109" s="88"/>
      <c r="S109" s="88"/>
      <c r="T109" s="88"/>
      <c r="U109" s="88"/>
      <c r="V109" s="88"/>
      <c r="W109" s="59"/>
      <c r="X109" s="59"/>
    </row>
  </sheetData>
  <sheetProtection sheet="1" objects="1" scenarios="1"/>
  <protectedRanges>
    <protectedRange sqref="B13:V13 I15:V17" name="Range11"/>
    <protectedRange sqref="W7" name="Range10"/>
    <protectedRange sqref="H7:H13" name="Range9"/>
    <protectedRange sqref="C7:G7" name="Range1"/>
    <protectedRange sqref="B10:G10 B16:G16" name="Range2"/>
    <protectedRange sqref="B13" name="Range3"/>
    <protectedRange sqref="I7:V7" name="Range4"/>
    <protectedRange sqref="I10:V10" name="Range5"/>
    <protectedRange sqref="I13:V13 I15:V17" name="Range6"/>
    <protectedRange sqref="D3:F3" name="Range7"/>
    <protectedRange sqref="A20" name="Range8"/>
    <protectedRange sqref="B3" name="Range12"/>
  </protectedRanges>
  <mergeCells count="4">
    <mergeCell ref="B13:G13"/>
    <mergeCell ref="B27:G27"/>
    <mergeCell ref="B1:S1"/>
    <mergeCell ref="B12:G12"/>
  </mergeCells>
  <conditionalFormatting sqref="F24:H24 H23 F34:I34 H26:I26 H25 F28:G28 B58:Y58 Z23:Z34 F21:I22 F45:I46 H59:I65 F48:I48 Y46:Y48 Z45 F30:G33 H47:X47 B49:M52">
    <cfRule type="cellIs" dxfId="364" priority="69" operator="equal">
      <formula>0</formula>
    </cfRule>
  </conditionalFormatting>
  <conditionalFormatting sqref="B10:G11">
    <cfRule type="cellIs" dxfId="363" priority="64" operator="equal">
      <formula>0</formula>
    </cfRule>
  </conditionalFormatting>
  <conditionalFormatting sqref="A2">
    <cfRule type="cellIs" dxfId="362" priority="62" operator="equal">
      <formula>TRUE</formula>
    </cfRule>
    <cfRule type="cellIs" dxfId="361" priority="63" operator="equal">
      <formula>FALSE</formula>
    </cfRule>
  </conditionalFormatting>
  <conditionalFormatting sqref="G7">
    <cfRule type="cellIs" dxfId="360" priority="58" operator="equal">
      <formula>0</formula>
    </cfRule>
  </conditionalFormatting>
  <conditionalFormatting sqref="F7">
    <cfRule type="cellIs" dxfId="359" priority="57" operator="equal">
      <formula>0</formula>
    </cfRule>
  </conditionalFormatting>
  <conditionalFormatting sqref="B26:E26">
    <cfRule type="cellIs" dxfId="358" priority="54" operator="equal">
      <formula>0</formula>
    </cfRule>
  </conditionalFormatting>
  <conditionalFormatting sqref="F26:G26">
    <cfRule type="cellIs" dxfId="357" priority="53" operator="equal">
      <formula>0</formula>
    </cfRule>
  </conditionalFormatting>
  <conditionalFormatting sqref="I25">
    <cfRule type="cellIs" dxfId="356" priority="52" operator="equal">
      <formula>0</formula>
    </cfRule>
  </conditionalFormatting>
  <conditionalFormatting sqref="H28:I33 H27">
    <cfRule type="cellIs" dxfId="355" priority="51" operator="equal">
      <formula>0</formula>
    </cfRule>
  </conditionalFormatting>
  <conditionalFormatting sqref="I27">
    <cfRule type="cellIs" dxfId="354" priority="50" operator="equal">
      <formula>0</formula>
    </cfRule>
  </conditionalFormatting>
  <conditionalFormatting sqref="B13">
    <cfRule type="cellIs" dxfId="353" priority="49" operator="equal">
      <formula>0</formula>
    </cfRule>
  </conditionalFormatting>
  <conditionalFormatting sqref="Z35:Z44 H35:H38">
    <cfRule type="cellIs" dxfId="352" priority="48" operator="equal">
      <formula>0</formula>
    </cfRule>
  </conditionalFormatting>
  <conditionalFormatting sqref="I37">
    <cfRule type="cellIs" dxfId="351" priority="45" operator="equal">
      <formula>0</formula>
    </cfRule>
  </conditionalFormatting>
  <conditionalFormatting sqref="H39:H44">
    <cfRule type="cellIs" dxfId="350" priority="44" operator="equal">
      <formula>0</formula>
    </cfRule>
  </conditionalFormatting>
  <conditionalFormatting sqref="I39">
    <cfRule type="cellIs" dxfId="349" priority="43" operator="equal">
      <formula>0</formula>
    </cfRule>
  </conditionalFormatting>
  <conditionalFormatting sqref="B38:G38">
    <cfRule type="cellIs" dxfId="348" priority="39" operator="equal">
      <formula>0</formula>
    </cfRule>
  </conditionalFormatting>
  <conditionalFormatting sqref="B40:G40 B42:G44 B41:E41">
    <cfRule type="cellIs" dxfId="347" priority="38" operator="equal">
      <formula>0</formula>
    </cfRule>
  </conditionalFormatting>
  <conditionalFormatting sqref="B36:G36">
    <cfRule type="cellIs" dxfId="346" priority="40" operator="equal">
      <formula>0</formula>
    </cfRule>
  </conditionalFormatting>
  <conditionalFormatting sqref="F59:G65">
    <cfRule type="cellIs" dxfId="345" priority="37" operator="equal">
      <formula>0</formula>
    </cfRule>
  </conditionalFormatting>
  <conditionalFormatting sqref="B47:G47">
    <cfRule type="cellIs" dxfId="344" priority="36" operator="equal">
      <formula>0</formula>
    </cfRule>
  </conditionalFormatting>
  <conditionalFormatting sqref="A59:M65 Y59:AL109 A54:AL58 AQ53:XFD53 AN45:AP45 Z50:AL52 Z49:AH49 Z53:AM53 A20:AM24 A29:E29 H29:AM29 A26:AM28 A25:C25 E25:AM25 A30:AM40 A41:E41 H41:AM41 A42:AM45 A46:AL48 A49:M53">
    <cfRule type="expression" dxfId="343" priority="34">
      <formula>$A$20=1</formula>
    </cfRule>
  </conditionalFormatting>
  <conditionalFormatting sqref="I28">
    <cfRule type="cellIs" dxfId="342" priority="33" operator="equal">
      <formula>0</formula>
    </cfRule>
  </conditionalFormatting>
  <conditionalFormatting sqref="N59:X65">
    <cfRule type="cellIs" dxfId="341" priority="32" operator="equal">
      <formula>0</formula>
    </cfRule>
  </conditionalFormatting>
  <conditionalFormatting sqref="N59:X65">
    <cfRule type="expression" dxfId="340" priority="31">
      <formula>$A$20=1</formula>
    </cfRule>
  </conditionalFormatting>
  <conditionalFormatting sqref="H66:I109">
    <cfRule type="cellIs" dxfId="339" priority="30" operator="equal">
      <formula>0</formula>
    </cfRule>
  </conditionalFormatting>
  <conditionalFormatting sqref="F66:G109">
    <cfRule type="cellIs" dxfId="338" priority="29" operator="equal">
      <formula>0</formula>
    </cfRule>
  </conditionalFormatting>
  <conditionalFormatting sqref="A66:M109">
    <cfRule type="expression" dxfId="337" priority="28">
      <formula>$A$20=1</formula>
    </cfRule>
  </conditionalFormatting>
  <conditionalFormatting sqref="N66:X109">
    <cfRule type="cellIs" dxfId="336" priority="27" operator="equal">
      <formula>0</formula>
    </cfRule>
  </conditionalFormatting>
  <conditionalFormatting sqref="N66:X109">
    <cfRule type="expression" dxfId="335" priority="26">
      <formula>$A$20=1</formula>
    </cfRule>
  </conditionalFormatting>
  <conditionalFormatting sqref="F50:I50">
    <cfRule type="cellIs" dxfId="334" priority="24" operator="equal">
      <formula>0</formula>
    </cfRule>
  </conditionalFormatting>
  <conditionalFormatting sqref="F52:I52">
    <cfRule type="cellIs" dxfId="333" priority="23" operator="equal">
      <formula>0</formula>
    </cfRule>
  </conditionalFormatting>
  <conditionalFormatting sqref="Z49">
    <cfRule type="cellIs" dxfId="332" priority="21" operator="equal">
      <formula>0</formula>
    </cfRule>
  </conditionalFormatting>
  <conditionalFormatting sqref="AI49:AU49">
    <cfRule type="expression" dxfId="331" priority="20">
      <formula>$A$20=1</formula>
    </cfRule>
  </conditionalFormatting>
  <conditionalFormatting sqref="AV49">
    <cfRule type="expression" dxfId="330" priority="19">
      <formula>$A$20=1</formula>
    </cfRule>
  </conditionalFormatting>
  <conditionalFormatting sqref="B16:E16">
    <cfRule type="cellIs" dxfId="329" priority="15" operator="equal">
      <formula>0</formula>
    </cfRule>
  </conditionalFormatting>
  <conditionalFormatting sqref="N49:Y50 N52:Y53 N51:U51 W51:Y51">
    <cfRule type="expression" dxfId="328" priority="13">
      <formula>$A$20=1</formula>
    </cfRule>
  </conditionalFormatting>
  <conditionalFormatting sqref="F16">
    <cfRule type="cellIs" dxfId="327" priority="12" operator="equal">
      <formula>0</formula>
    </cfRule>
  </conditionalFormatting>
  <conditionalFormatting sqref="G16">
    <cfRule type="cellIs" dxfId="326" priority="11" operator="equal">
      <formula>0</formula>
    </cfRule>
  </conditionalFormatting>
  <conditionalFormatting sqref="D25">
    <cfRule type="expression" dxfId="325" priority="10">
      <formula>$A$20=1</formula>
    </cfRule>
  </conditionalFormatting>
  <conditionalFormatting sqref="F29:G29">
    <cfRule type="expression" dxfId="324" priority="9">
      <formula>$A$20=1</formula>
    </cfRule>
  </conditionalFormatting>
  <conditionalFormatting sqref="F41:G41">
    <cfRule type="expression" dxfId="323" priority="8">
      <formula>$A$20=1</formula>
    </cfRule>
  </conditionalFormatting>
  <conditionalFormatting sqref="G42">
    <cfRule type="cellIs" dxfId="322" priority="7" operator="equal">
      <formula>0</formula>
    </cfRule>
  </conditionalFormatting>
  <conditionalFormatting sqref="G51">
    <cfRule type="cellIs" dxfId="321" priority="6" operator="equal">
      <formula>0</formula>
    </cfRule>
  </conditionalFormatting>
  <conditionalFormatting sqref="F51">
    <cfRule type="cellIs" dxfId="320" priority="5" operator="equal">
      <formula>0</formula>
    </cfRule>
  </conditionalFormatting>
  <conditionalFormatting sqref="E51">
    <cfRule type="cellIs" dxfId="319" priority="4" operator="equal">
      <formula>0</formula>
    </cfRule>
  </conditionalFormatting>
  <conditionalFormatting sqref="V51">
    <cfRule type="cellIs" dxfId="318" priority="3" operator="equal">
      <formula>0</formula>
    </cfRule>
  </conditionalFormatting>
  <conditionalFormatting sqref="V51">
    <cfRule type="expression" dxfId="317" priority="2">
      <formula>$A$20=1</formula>
    </cfRule>
  </conditionalFormatting>
  <conditionalFormatting sqref="V51">
    <cfRule type="cellIs" dxfId="316" priority="1" operator="equal">
      <formula>0</formula>
    </cfRule>
  </conditionalFormatting>
  <dataValidations xWindow="119" yWindow="565" count="3">
    <dataValidation type="date" allowBlank="1" showInputMessage="1" showErrorMessage="1" errorTitle="Wronf date range" error="Enter date greater than 1st Jan 2019" promptTitle="Project Date" prompt="Dates must be greater than 1st Jan 2019" sqref="C10:E10 G16" xr:uid="{C45CD926-DBCE-498D-BE3B-5BA9B7023C40}">
      <formula1>43466</formula1>
      <formula2>44926</formula2>
    </dataValidation>
    <dataValidation type="date" allowBlank="1" showInputMessage="1" showErrorMessage="1" errorTitle="Wrong date range" error="Enter date greater than 1st Jan 2019" promptTitle="Project Date" prompt="Dates must be greater than 1st Jan 2019" sqref="B10" xr:uid="{C218B369-668E-40A3-81CA-6ADAF441FD41}">
      <formula1>43466</formula1>
      <formula2>44926</formula2>
    </dataValidation>
    <dataValidation type="list" allowBlank="1" showInputMessage="1" showErrorMessage="1" sqref="B3" xr:uid="{DCC2CEB7-C276-4869-99D1-693C0F1F9E16}">
      <formula1>"Jamie,Jason,Yoshi,Larry,Carli,Richeek,Matt,Chris"</formula1>
    </dataValidation>
  </dataValidations>
  <hyperlinks>
    <hyperlink ref="R3" location="MENU!A1" display="Back to Menu" xr:uid="{ECF40AE1-69EF-425E-9F67-C9B0CB49BFA0}"/>
    <hyperlink ref="U3" location="MyTasks!A1" display="My Tasks" xr:uid="{17F3B46D-B12B-4DE9-8446-4878D3F11E4A}"/>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populate_new">
                <anchor moveWithCells="1" sizeWithCells="1">
                  <from>
                    <xdr:col>8</xdr:col>
                    <xdr:colOff>304800</xdr:colOff>
                    <xdr:row>1</xdr:row>
                    <xdr:rowOff>152400</xdr:rowOff>
                  </from>
                  <to>
                    <xdr:col>10</xdr:col>
                    <xdr:colOff>190500</xdr:colOff>
                    <xdr:row>3</xdr:row>
                    <xdr:rowOff>38100</xdr:rowOff>
                  </to>
                </anchor>
              </controlPr>
            </control>
          </mc:Choice>
        </mc:AlternateContent>
        <mc:AlternateContent xmlns:mc="http://schemas.openxmlformats.org/markup-compatibility/2006">
          <mc:Choice Requires="x14">
            <control shapeId="28674" r:id="rId5" name="Button 2">
              <controlPr defaultSize="0" print="0" autoFill="0" autoPict="0" macro="[0]!clearform_viewupdateproject_new">
                <anchor moveWithCells="1" sizeWithCells="1">
                  <from>
                    <xdr:col>11</xdr:col>
                    <xdr:colOff>38100</xdr:colOff>
                    <xdr:row>1</xdr:row>
                    <xdr:rowOff>152400</xdr:rowOff>
                  </from>
                  <to>
                    <xdr:col>12</xdr:col>
                    <xdr:colOff>419100</xdr:colOff>
                    <xdr:row>3</xdr:row>
                    <xdr:rowOff>38100</xdr:rowOff>
                  </to>
                </anchor>
              </controlPr>
            </control>
          </mc:Choice>
        </mc:AlternateContent>
        <mc:AlternateContent xmlns:mc="http://schemas.openxmlformats.org/markup-compatibility/2006">
          <mc:Choice Requires="x14">
            <control shapeId="28675" r:id="rId6" name="Button 3">
              <controlPr defaultSize="0" print="0" autoFill="0" autoPict="0" macro="[0]!update_data_new">
                <anchor moveWithCells="1" sizeWithCells="1">
                  <from>
                    <xdr:col>13</xdr:col>
                    <xdr:colOff>304800</xdr:colOff>
                    <xdr:row>1</xdr:row>
                    <xdr:rowOff>152400</xdr:rowOff>
                  </from>
                  <to>
                    <xdr:col>15</xdr:col>
                    <xdr:colOff>190500</xdr:colOff>
                    <xdr:row>3</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119" yWindow="565" count="11">
        <x14:dataValidation type="list" allowBlank="1" showInputMessage="1" showErrorMessage="1" xr:uid="{D0600787-49E9-4DDF-AD13-F6B226919E41}">
          <x14:formula1>
            <xm:f>'Lookup tables'!$I$2:$I$7</xm:f>
          </x14:formula1>
          <xm:sqref>D7</xm:sqref>
        </x14:dataValidation>
        <x14:dataValidation type="list" allowBlank="1" showInputMessage="1" showErrorMessage="1" xr:uid="{E89D8EE8-92B4-41EB-81BD-13A0F572B9EE}">
          <x14:formula1>
            <xm:f>'Lookup tables'!$I$2:$I$5</xm:f>
          </x14:formula1>
          <xm:sqref>E3</xm:sqref>
        </x14:dataValidation>
        <x14:dataValidation type="list" allowBlank="1" showInputMessage="1" showErrorMessage="1" xr:uid="{010F4C06-F779-49AE-B8D7-7A776B1DA0D6}">
          <x14:formula1>
            <xm:f>'Lookup tables'!$N$2:$N$5</xm:f>
          </x14:formula1>
          <xm:sqref>D3</xm:sqref>
        </x14:dataValidation>
        <x14:dataValidation type="list" allowBlank="1" showInputMessage="1" showErrorMessage="1" xr:uid="{50B2D95A-64DE-4992-8CC8-E92ADF9D3A73}">
          <x14:formula1>
            <xm:f>'Lookup tables'!$N$2:$N$6</xm:f>
          </x14:formula1>
          <xm:sqref>E7</xm:sqref>
        </x14:dataValidation>
        <x14:dataValidation type="list" allowBlank="1" showInputMessage="1" showErrorMessage="1" xr:uid="{B8A122A6-4E5C-4163-AB61-3163BB5B2E1E}">
          <x14:formula1>
            <xm:f>'Lookup tables'!$W$2:$W$8</xm:f>
          </x14:formula1>
          <xm:sqref>G10</xm:sqref>
        </x14:dataValidation>
        <x14:dataValidation type="list" allowBlank="1" showInputMessage="1" showErrorMessage="1" xr:uid="{4D95A1A4-A1C3-47D2-BEAE-C7F5A8DADEE7}">
          <x14:formula1>
            <xm:f>'Lookup tables'!$Y$2:$Y$17</xm:f>
          </x14:formula1>
          <xm:sqref>F10 F16</xm:sqref>
        </x14:dataValidation>
        <x14:dataValidation type="list" allowBlank="1" showInputMessage="1" showErrorMessage="1" xr:uid="{43B8EF73-9421-4579-81D5-F40898F1FBE9}">
          <x14:formula1>
            <xm:f>'Lookup tables'!$M$2:$M$26</xm:f>
          </x14:formula1>
          <xm:sqref>C7</xm:sqref>
        </x14:dataValidation>
        <x14:dataValidation type="list" allowBlank="1" showInputMessage="1" showErrorMessage="1" xr:uid="{3F85FD0F-18BB-473B-9B1D-3F9D4DBA5F44}">
          <x14:formula1>
            <xm:f>'Lookup tables'!$Q$2:$Q$18</xm:f>
          </x14:formula1>
          <xm:sqref>F7</xm:sqref>
        </x14:dataValidation>
        <x14:dataValidation type="list" allowBlank="1" showInputMessage="1" showErrorMessage="1" xr:uid="{A8636ED5-0099-4F2C-9F55-42B13F4EB578}">
          <x14:formula1>
            <xm:f>'Lookup tables'!$R$2:$R$12</xm:f>
          </x14:formula1>
          <xm:sqref>B16</xm:sqref>
        </x14:dataValidation>
        <x14:dataValidation type="list" allowBlank="1" showInputMessage="1" showErrorMessage="1" xr:uid="{7EB13046-6F6E-45F2-BF1F-37487887D8BA}">
          <x14:formula1>
            <xm:f>'Lookup tables'!$U$17:$U$45</xm:f>
          </x14:formula1>
          <xm:sqref>C16</xm:sqref>
        </x14:dataValidation>
        <x14:dataValidation type="list" allowBlank="1" showInputMessage="1" showErrorMessage="1" xr:uid="{250D7445-FC48-4736-99B8-3B1E6D11BEB0}">
          <x14:formula1>
            <xm:f>_xlfn.ANCHORARRAY('Lookup tables'!$AP3)</xm:f>
          </x14:formula1>
          <xm:sqref>F3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96BF32-E84C-4665-A2DD-672DFE3830C4}">
  <sheetPr codeName="Sheet5"/>
  <dimension ref="D1:AC217"/>
  <sheetViews>
    <sheetView showGridLines="0" workbookViewId="0">
      <selection activeCell="J11" sqref="J11"/>
    </sheetView>
  </sheetViews>
  <sheetFormatPr defaultColWidth="8.7109375" defaultRowHeight="14.45"/>
  <cols>
    <col min="1" max="4" width="2.42578125" customWidth="1"/>
    <col min="5" max="5" width="6.5703125" customWidth="1"/>
    <col min="6" max="6" width="17.5703125" customWidth="1"/>
    <col min="7" max="7" width="17.42578125" customWidth="1"/>
    <col min="8" max="8" width="29.5703125" customWidth="1"/>
    <col min="9" max="10" width="10.42578125" customWidth="1"/>
    <col min="11" max="11" width="15.28515625" customWidth="1"/>
    <col min="12" max="12" width="9.7109375" customWidth="1"/>
    <col min="13" max="13" width="9.5703125" customWidth="1"/>
    <col min="14" max="14" width="2.28515625" customWidth="1"/>
    <col min="15" max="15" width="4.42578125" customWidth="1"/>
    <col min="16" max="21" width="10.42578125" customWidth="1"/>
  </cols>
  <sheetData>
    <row r="1" spans="4:29" ht="31.35" customHeight="1">
      <c r="D1" s="223"/>
      <c r="E1" s="224"/>
      <c r="F1" s="224"/>
      <c r="G1" s="225" t="s">
        <v>317</v>
      </c>
      <c r="H1" s="224"/>
      <c r="I1" s="224"/>
      <c r="J1" s="224"/>
      <c r="K1" s="224"/>
      <c r="L1" s="224"/>
      <c r="M1" s="224"/>
      <c r="N1" s="224"/>
      <c r="O1" s="226"/>
      <c r="Q1" s="255" cm="1">
        <f t="array" ref="Q1:W1">TRANSPOSE(_xlfn.ANCHORARRAY('Lookup tables'!$H$2))</f>
        <v>22</v>
      </c>
      <c r="R1" s="255">
        <v>17</v>
      </c>
      <c r="S1" s="255">
        <v>24</v>
      </c>
      <c r="T1" s="255">
        <v>2</v>
      </c>
      <c r="U1" s="255">
        <v>16</v>
      </c>
      <c r="V1" s="255">
        <v>19</v>
      </c>
      <c r="W1" s="255">
        <v>23</v>
      </c>
    </row>
    <row r="2" spans="4:29" ht="5.85" customHeight="1">
      <c r="D2" s="24"/>
      <c r="O2" s="23"/>
      <c r="Q2" s="19"/>
      <c r="R2" s="19"/>
      <c r="S2" s="19"/>
      <c r="T2" s="19"/>
      <c r="U2" s="19"/>
      <c r="V2" s="19"/>
      <c r="W2" s="19"/>
    </row>
    <row r="3" spans="4:29" ht="42.95">
      <c r="D3" s="24"/>
      <c r="F3" s="1" t="s">
        <v>318</v>
      </c>
      <c r="G3" s="228" t="s">
        <v>193</v>
      </c>
      <c r="H3" s="1" t="s">
        <v>319</v>
      </c>
      <c r="K3" s="227" t="s">
        <v>320</v>
      </c>
      <c r="M3" s="253" t="s">
        <v>321</v>
      </c>
      <c r="O3" s="23"/>
    </row>
    <row r="4" spans="4:29">
      <c r="D4" s="24"/>
      <c r="F4" s="196" t="s">
        <v>322</v>
      </c>
      <c r="H4" s="196" t="s">
        <v>323</v>
      </c>
      <c r="I4" s="256" t="str">
        <f>_xlfn.XLOOKUP(H4,'Lookup tables'!$E$2:$E$15,'Lookup tables'!$F$2:$F$15,"")</f>
        <v>US</v>
      </c>
      <c r="K4" s="229">
        <f ca="1">L42</f>
        <v>936100000.00080013</v>
      </c>
      <c r="O4" s="23"/>
    </row>
    <row r="5" spans="4:29">
      <c r="D5" s="24"/>
      <c r="F5" s="1" t="s">
        <v>324</v>
      </c>
      <c r="H5" s="1" t="s">
        <v>304</v>
      </c>
      <c r="O5" s="23"/>
      <c r="AA5" s="1" t="s">
        <v>325</v>
      </c>
    </row>
    <row r="6" spans="4:29">
      <c r="D6" s="24"/>
      <c r="F6" s="196" t="s">
        <v>33</v>
      </c>
      <c r="H6" s="230">
        <f ca="1">TODAY()</f>
        <v>44748</v>
      </c>
      <c r="I6" s="255">
        <f>MATCH("Spend - "&amp;_xlfn.XLOOKUP($H$4,'Lookup tables'!E:E,'Lookup tables'!F:F,"Not Found"),Table1[#Headers],0)</f>
        <v>22</v>
      </c>
      <c r="J6" s="255">
        <f>MATCH("Savings - "&amp;_xlfn.XLOOKUP($H$4,'Lookup tables'!E:E,'Lookup tables'!F:F,"Not Found"),Table1[#Headers],0)</f>
        <v>37</v>
      </c>
      <c r="K6" s="255">
        <f>MATCH(_xlfn.XLOOKUP($H$4,'Lookup tables'!E:E,'Lookup tables'!F:F,"Not Found"),Table2[#Headers],0)</f>
        <v>34</v>
      </c>
      <c r="L6" s="231"/>
      <c r="O6" s="23"/>
      <c r="AA6" s="1" t="s">
        <v>1</v>
      </c>
      <c r="AB6" s="1" t="s">
        <v>4</v>
      </c>
      <c r="AC6" s="1" t="s">
        <v>326</v>
      </c>
    </row>
    <row r="7" spans="4:29">
      <c r="D7" s="24"/>
      <c r="E7" s="61"/>
      <c r="L7" s="232" t="s">
        <v>327</v>
      </c>
      <c r="O7" s="23"/>
      <c r="AA7" t="s">
        <v>51</v>
      </c>
      <c r="AB7" t="str">
        <f>_xlfn.XLOOKUP(AA7,Table1[Category],Table1[SBU],FALSE)</f>
        <v>Food</v>
      </c>
      <c r="AC7" t="b">
        <f>IF(AB7=FALSE,FALSE,TRUE)</f>
        <v>1</v>
      </c>
    </row>
    <row r="8" spans="4:29" ht="29.1">
      <c r="D8" s="62"/>
      <c r="E8" s="233" t="s">
        <v>328</v>
      </c>
      <c r="F8" s="233" t="s">
        <v>329</v>
      </c>
      <c r="G8" s="233" t="s">
        <v>330</v>
      </c>
      <c r="H8" s="233" t="s">
        <v>331</v>
      </c>
      <c r="I8" s="233" t="s">
        <v>225</v>
      </c>
      <c r="J8" s="233" t="s">
        <v>228</v>
      </c>
      <c r="K8" s="233" t="s">
        <v>332</v>
      </c>
      <c r="L8" s="233" t="s">
        <v>333</v>
      </c>
      <c r="M8" s="233" t="s">
        <v>299</v>
      </c>
      <c r="O8" s="23"/>
      <c r="P8" s="254" t="s">
        <v>334</v>
      </c>
      <c r="Q8" s="254" t="s">
        <v>335</v>
      </c>
    </row>
    <row r="9" spans="4:29" ht="5.0999999999999996" customHeight="1" thickBot="1">
      <c r="D9" s="234"/>
      <c r="E9" s="71"/>
      <c r="F9" s="71"/>
      <c r="G9" s="71"/>
      <c r="H9" s="71"/>
      <c r="I9" s="71"/>
      <c r="J9" s="71"/>
      <c r="K9" s="71"/>
      <c r="L9" s="71"/>
      <c r="M9" s="71"/>
      <c r="N9" s="71"/>
      <c r="O9" s="72"/>
      <c r="P9" s="235"/>
      <c r="Q9" s="235"/>
    </row>
    <row r="10" spans="4:29" ht="30.6" customHeight="1" thickTop="1" thickBot="1">
      <c r="D10" s="234"/>
      <c r="E10" s="35" cm="1">
        <f t="array" aca="1" ref="E10:K30" ca="1">IFERROR(_xlfn._xlws.SORT(_xlfn._xlws.FILTER(INDEX(Table2[#Data],_xlfn.SEQUENCE(ROWS(Table2[#Data])),TRANSPOSE(_xlfn.ANCHORARRAY('Lookup tables'!$H$2))),(Table2[SBU]='Bi-Weekly'!$F$6)*(Table2[Execution Year]='Bi-Weekly'!$F$4)*(Table2[Status]&lt;&gt;"Cancelled")*(INDIRECT("Table2["&amp;I4&amp;"]")=1),"N"),3,-1),"No results")</f>
        <v>91</v>
      </c>
      <c r="F10" s="35" t="str">
        <f ca="1"/>
        <v>FROZEN</v>
      </c>
      <c r="G10" s="236" t="str">
        <f ca="1"/>
        <v>RFPX underway</v>
      </c>
      <c r="H10" s="35" t="str">
        <f ca="1"/>
        <v>Frozen Potatoes / Deli</v>
      </c>
      <c r="I10" s="35" t="str">
        <f ca="1"/>
        <v>Global Bid</v>
      </c>
      <c r="J10" s="35" t="str">
        <f ca="1"/>
        <v>Jake Deans</v>
      </c>
      <c r="K10" s="237">
        <f ca="1"/>
        <v>44772</v>
      </c>
      <c r="L10" s="64" cm="1">
        <f t="array" aca="1" ref="L10" ca="1">IFERROR(INDEX(Table1[#Data],$Q10,I$6),"")</f>
        <v>1000000</v>
      </c>
      <c r="M10" s="64" cm="1">
        <f t="array" aca="1" ref="M10" ca="1">IFERROR(INDEX(Table1[#Data],$Q10,J$6),"")</f>
        <v>0</v>
      </c>
      <c r="N10" s="71"/>
      <c r="O10" s="72"/>
      <c r="P10" s="238">
        <f ca="1">MATCH($F$4&amp;$F$6&amp;H10,Table2[Identifier],0)</f>
        <v>37</v>
      </c>
      <c r="Q10" s="238" cm="1">
        <f t="array" aca="1" ref="Q10" ca="1">MATCH(H10&amp;$F$4&amp;TRUE,Table1[Category]&amp;Table1[Execution Year]&amp;Table1[Most curent],0)</f>
        <v>485</v>
      </c>
    </row>
    <row r="11" spans="4:29" ht="30.6" customHeight="1" thickTop="1" thickBot="1">
      <c r="D11" s="234"/>
      <c r="E11" s="35">
        <f ca="1"/>
        <v>81</v>
      </c>
      <c r="F11" s="35" t="str">
        <f ca="1"/>
        <v>COM BREAD</v>
      </c>
      <c r="G11" s="236" t="str">
        <f ca="1"/>
        <v>Pipeline</v>
      </c>
      <c r="H11" s="35" t="str">
        <f ca="1"/>
        <v>Commercial Bread &amp; Buns</v>
      </c>
      <c r="I11" s="35" t="str">
        <f ca="1"/>
        <v>Domestic Negotiation</v>
      </c>
      <c r="J11" s="35" t="str">
        <f ca="1"/>
        <v>Yao Fu</v>
      </c>
      <c r="K11" s="237">
        <f ca="1"/>
        <v>44834</v>
      </c>
      <c r="L11" s="64" cm="1">
        <f t="array" aca="1" ref="L11" ca="1">IFERROR(INDEX(Table1[#Data],$Q11,I$6),"")</f>
        <v>500000000</v>
      </c>
      <c r="M11" s="64" cm="1">
        <f t="array" aca="1" ref="M11" ca="1">IFERROR(INDEX(Table1[#Data],$Q11,J$6),"")</f>
        <v>0</v>
      </c>
      <c r="N11" s="71"/>
      <c r="O11" s="72"/>
      <c r="P11" s="238">
        <f ca="1">MATCH($F$4&amp;$F$6&amp;H11,Table2[Identifier],0)</f>
        <v>39</v>
      </c>
      <c r="Q11" s="238" cm="1">
        <f t="array" aca="1" ref="Q11" ca="1">MATCH(H11&amp;$F$4&amp;TRUE,Table1[Category]&amp;Table1[Execution Year]&amp;Table1[Most curent],0)</f>
        <v>466</v>
      </c>
    </row>
    <row r="12" spans="4:29" ht="30.6" customHeight="1" thickTop="1" thickBot="1">
      <c r="D12" s="234"/>
      <c r="E12" s="35">
        <f ca="1"/>
        <v>92</v>
      </c>
      <c r="F12" s="35" t="str">
        <f ca="1"/>
        <v>GROCERY</v>
      </c>
      <c r="G12" s="236" t="str">
        <f ca="1"/>
        <v>Pipeline</v>
      </c>
      <c r="H12" s="35" t="str">
        <f ca="1"/>
        <v>Canned Fruit</v>
      </c>
      <c r="I12" s="35" t="str">
        <f ca="1"/>
        <v>DI/Domestic Bid</v>
      </c>
      <c r="J12" s="35" t="str">
        <f ca="1"/>
        <v>TBD</v>
      </c>
      <c r="K12" s="237">
        <f ca="1"/>
        <v>44895</v>
      </c>
      <c r="L12" s="64" cm="1">
        <f t="array" aca="1" ref="L12" ca="1">IFERROR(INDEX(Table1[#Data],$Q12,I$6),"")</f>
        <v>150000000</v>
      </c>
      <c r="M12" s="64" cm="1">
        <f t="array" aca="1" ref="M12" ca="1">IFERROR(INDEX(Table1[#Data],$Q12,J$6),"")</f>
        <v>0</v>
      </c>
      <c r="N12" s="71"/>
      <c r="O12" s="72"/>
      <c r="P12" s="238">
        <f ca="1">MATCH($F$4&amp;$F$6&amp;H12,Table2[Identifier],0)</f>
        <v>46</v>
      </c>
      <c r="Q12" s="238" cm="1">
        <f t="array" aca="1" ref="Q12" ca="1">MATCH(H12&amp;$F$4&amp;TRUE,Table1[Category]&amp;Table1[Execution Year]&amp;Table1[Most curent],0)</f>
        <v>39</v>
      </c>
    </row>
    <row r="13" spans="4:29" ht="30.6" customHeight="1" thickTop="1" thickBot="1">
      <c r="D13" s="234"/>
      <c r="E13" s="35">
        <f ca="1"/>
        <v>92</v>
      </c>
      <c r="F13" s="35" t="str">
        <f ca="1"/>
        <v>GROCERY</v>
      </c>
      <c r="G13" s="236" t="str">
        <f ca="1"/>
        <v>Pipeline</v>
      </c>
      <c r="H13" s="35" t="str">
        <f ca="1"/>
        <v>Olive Oil</v>
      </c>
      <c r="I13" s="35" t="str">
        <f ca="1"/>
        <v>DI/Domestic Bid</v>
      </c>
      <c r="J13" s="35" t="str">
        <f ca="1"/>
        <v>TBD</v>
      </c>
      <c r="K13" s="237">
        <f ca="1"/>
        <v>44925</v>
      </c>
      <c r="L13" s="64" cm="1">
        <f t="array" aca="1" ref="L13" ca="1">IFERROR(INDEX(Table1[#Data],$Q13,I$6),"")</f>
        <v>109000000</v>
      </c>
      <c r="M13" s="64" cm="1">
        <f t="array" aca="1" ref="M13" ca="1">IFERROR(INDEX(Table1[#Data],$Q13,J$6),"")</f>
        <v>0</v>
      </c>
      <c r="N13" s="71"/>
      <c r="O13" s="72"/>
      <c r="P13" s="238">
        <f ca="1">MATCH($F$4&amp;$F$6&amp;H13,Table2[Identifier],0)</f>
        <v>49</v>
      </c>
      <c r="Q13" s="238" cm="1">
        <f t="array" aca="1" ref="Q13" ca="1">MATCH(H13&amp;$F$4&amp;TRUE,Table1[Category]&amp;Table1[Execution Year]&amp;Table1[Most curent],0)</f>
        <v>343</v>
      </c>
    </row>
    <row r="14" spans="4:29" ht="30.6" customHeight="1" thickTop="1" thickBot="1">
      <c r="D14" s="234"/>
      <c r="E14" s="35">
        <f ca="1"/>
        <v>92</v>
      </c>
      <c r="F14" s="35" t="str">
        <f ca="1"/>
        <v>GROCERY</v>
      </c>
      <c r="G14" s="236" t="str">
        <f ca="1"/>
        <v>Pipeline</v>
      </c>
      <c r="H14" s="35" t="str">
        <f ca="1"/>
        <v>Baking Nuts</v>
      </c>
      <c r="I14" s="35" t="str">
        <f ca="1"/>
        <v>Domestic Bid</v>
      </c>
      <c r="J14" s="35">
        <f ca="1"/>
        <v>0</v>
      </c>
      <c r="K14" s="237">
        <f ca="1"/>
        <v>44773</v>
      </c>
      <c r="L14" s="64" cm="1">
        <f t="array" aca="1" ref="L14" ca="1">IFERROR(INDEX(Table1[#Data],$Q14,I$6),"")</f>
        <v>121000000</v>
      </c>
      <c r="M14" s="64" cm="1">
        <f t="array" aca="1" ref="M14" ca="1">IFERROR(INDEX(Table1[#Data],$Q14,J$6),"")</f>
        <v>0</v>
      </c>
      <c r="N14" s="71"/>
      <c r="O14" s="72"/>
      <c r="P14" s="238">
        <f ca="1">MATCH($F$4&amp;$F$6&amp;H14,Table2[Identifier],0)</f>
        <v>51</v>
      </c>
      <c r="Q14" s="238" cm="1">
        <f t="array" aca="1" ref="Q14" ca="1">MATCH(H14&amp;$F$4&amp;TRUE,Table1[Category]&amp;Table1[Execution Year]&amp;Table1[Most curent],0)</f>
        <v>21</v>
      </c>
    </row>
    <row r="15" spans="4:29" ht="30.6" customHeight="1" thickTop="1" thickBot="1">
      <c r="D15" s="234"/>
      <c r="E15" s="35">
        <f ca="1"/>
        <v>92</v>
      </c>
      <c r="F15" s="35" t="str">
        <f ca="1"/>
        <v>GROCERY</v>
      </c>
      <c r="G15" s="236" t="str">
        <f ca="1"/>
        <v>Pending PB/Merch Approval</v>
      </c>
      <c r="H15" s="35" t="str">
        <f ca="1"/>
        <v>RMA - SBO/Egg</v>
      </c>
      <c r="I15" s="35" t="str">
        <f ca="1"/>
        <v>ARES</v>
      </c>
      <c r="J15" s="35">
        <f ca="1"/>
        <v>0</v>
      </c>
      <c r="K15" s="237" t="str">
        <f ca="1"/>
        <v>Not Updated</v>
      </c>
      <c r="L15" s="64" cm="1">
        <f t="array" aca="1" ref="L15" ca="1">IFERROR(INDEX(Table1[#Data],$Q15,I$6),"")</f>
        <v>1E-4</v>
      </c>
      <c r="M15" s="64" cm="1">
        <f t="array" aca="1" ref="M15" ca="1">IFERROR(INDEX(Table1[#Data],$Q15,J$6),"")</f>
        <v>0</v>
      </c>
      <c r="N15" s="71"/>
      <c r="O15" s="72"/>
      <c r="P15" s="238">
        <f ca="1">MATCH($F$4&amp;$F$6&amp;H15,Table2[Identifier],0)</f>
        <v>105</v>
      </c>
      <c r="Q15" s="238" cm="1">
        <f t="array" aca="1" ref="Q15" ca="1">MATCH(H15&amp;$F$4&amp;TRUE,Table1[Category]&amp;Table1[Execution Year]&amp;Table1[Most curent],0)</f>
        <v>411</v>
      </c>
    </row>
    <row r="16" spans="4:29" ht="30.6" customHeight="1" thickTop="1" thickBot="1">
      <c r="D16" s="234"/>
      <c r="E16" s="35">
        <f ca="1"/>
        <v>92</v>
      </c>
      <c r="F16" s="35" t="str">
        <f ca="1"/>
        <v>GROCERY</v>
      </c>
      <c r="G16" s="236" t="str">
        <f ca="1"/>
        <v>Exploratory</v>
      </c>
      <c r="H16" s="35" t="str">
        <f ca="1"/>
        <v>Graham Crackers</v>
      </c>
      <c r="I16" s="35" t="str">
        <f ca="1"/>
        <v>DI Bid</v>
      </c>
      <c r="J16" s="35" t="str">
        <f ca="1"/>
        <v>Luis Diaz</v>
      </c>
      <c r="K16" s="237" t="str">
        <f ca="1"/>
        <v>Not Updated</v>
      </c>
      <c r="L16" s="64" cm="1">
        <f t="array" aca="1" ref="L16" ca="1">IFERROR(INDEX(Table1[#Data],$Q16,I$6),"")</f>
        <v>4100000</v>
      </c>
      <c r="M16" s="64" cm="1">
        <f t="array" aca="1" ref="M16" ca="1">IFERROR(INDEX(Table1[#Data],$Q16,J$6),"")</f>
        <v>0</v>
      </c>
      <c r="N16" s="71"/>
      <c r="O16" s="72"/>
      <c r="P16" s="238">
        <f ca="1">MATCH($F$4&amp;$F$6&amp;H16,Table2[Identifier],0)</f>
        <v>94</v>
      </c>
      <c r="Q16" s="238" cm="1">
        <f t="array" aca="1" ref="Q16" ca="1">MATCH(H16&amp;$F$4&amp;TRUE,Table1[Category]&amp;Table1[Execution Year]&amp;Table1[Most curent],0)</f>
        <v>464</v>
      </c>
    </row>
    <row r="17" spans="4:17" ht="30.6" customHeight="1" thickTop="1" thickBot="1">
      <c r="D17" s="234"/>
      <c r="E17" s="35">
        <f ca="1"/>
        <v>92</v>
      </c>
      <c r="F17" s="35" t="str">
        <f ca="1"/>
        <v>GROCERY</v>
      </c>
      <c r="G17" s="236" t="str">
        <f ca="1"/>
        <v>Exploratory</v>
      </c>
      <c r="H17" s="35" t="str">
        <f ca="1"/>
        <v>Corn Chips</v>
      </c>
      <c r="I17" s="35" t="str">
        <f ca="1"/>
        <v>DI Bid</v>
      </c>
      <c r="J17" s="35" t="str">
        <f ca="1"/>
        <v>Luis Diaz</v>
      </c>
      <c r="K17" s="237" t="str">
        <f ca="1"/>
        <v>Not Updated</v>
      </c>
      <c r="L17" s="64" cm="1">
        <f t="array" aca="1" ref="L17" ca="1">IFERROR(INDEX(Table1[#Data],$Q17,I$6),"")</f>
        <v>5000000</v>
      </c>
      <c r="M17" s="64" cm="1">
        <f t="array" aca="1" ref="M17" ca="1">IFERROR(INDEX(Table1[#Data],$Q17,J$6),"")</f>
        <v>0</v>
      </c>
      <c r="N17" s="71"/>
      <c r="O17" s="72"/>
      <c r="P17" s="238">
        <f ca="1">MATCH($F$4&amp;$F$6&amp;H17,Table2[Identifier],0)</f>
        <v>95</v>
      </c>
      <c r="Q17" s="238" cm="1">
        <f t="array" aca="1" ref="Q17" ca="1">MATCH(H17&amp;$F$4&amp;TRUE,Table1[Category]&amp;Table1[Execution Year]&amp;Table1[Most curent],0)</f>
        <v>462</v>
      </c>
    </row>
    <row r="18" spans="4:17" ht="30.6" customHeight="1" thickTop="1" thickBot="1">
      <c r="D18" s="234"/>
      <c r="E18" s="35" t="str">
        <f ca="1"/>
        <v/>
      </c>
      <c r="F18" s="35">
        <f ca="1"/>
        <v>0</v>
      </c>
      <c r="G18" s="236" t="str">
        <f ca="1"/>
        <v>Exploratory</v>
      </c>
      <c r="H18" s="35" t="str">
        <f ca="1"/>
        <v>RMA - Cocoa - PB</v>
      </c>
      <c r="I18" s="35" t="str">
        <f ca="1"/>
        <v>ARES</v>
      </c>
      <c r="J18" s="35">
        <f ca="1"/>
        <v>0</v>
      </c>
      <c r="K18" s="237" t="str">
        <f ca="1"/>
        <v>Not Updated</v>
      </c>
      <c r="L18" s="64" cm="1">
        <f t="array" aca="1" ref="L18" ca="1">IFERROR(INDEX(Table1[#Data],$Q18,I$6),"")</f>
        <v>1E-4</v>
      </c>
      <c r="M18" s="64" cm="1">
        <f t="array" aca="1" ref="M18" ca="1">IFERROR(INDEX(Table1[#Data],$Q18,J$6),"")</f>
        <v>0</v>
      </c>
      <c r="N18" s="71"/>
      <c r="O18" s="72"/>
      <c r="P18" s="238">
        <f ca="1">MATCH($F$4&amp;$F$6&amp;H18,Table2[Identifier],0)</f>
        <v>103</v>
      </c>
      <c r="Q18" s="238" cm="1">
        <f t="array" aca="1" ref="Q18" ca="1">MATCH(H18&amp;$F$4&amp;TRUE,Table1[Category]&amp;Table1[Execution Year]&amp;Table1[Most curent],0)</f>
        <v>402</v>
      </c>
    </row>
    <row r="19" spans="4:17" ht="30.6" customHeight="1" thickTop="1" thickBot="1">
      <c r="D19" s="234"/>
      <c r="E19" s="35" t="str">
        <f ca="1"/>
        <v/>
      </c>
      <c r="F19" s="35">
        <f ca="1"/>
        <v>0</v>
      </c>
      <c r="G19" s="236" t="str">
        <f ca="1"/>
        <v>Exploratory</v>
      </c>
      <c r="H19" s="35" t="str">
        <f ca="1"/>
        <v>RMA - Cocoa - Placed Based</v>
      </c>
      <c r="I19" s="35" t="str">
        <f ca="1"/>
        <v>ARES</v>
      </c>
      <c r="J19" s="35">
        <f ca="1"/>
        <v>0</v>
      </c>
      <c r="K19" s="237" t="str">
        <f ca="1"/>
        <v>Not Updated</v>
      </c>
      <c r="L19" s="64" cm="1">
        <f t="array" aca="1" ref="L19" ca="1">IFERROR(INDEX(Table1[#Data],$Q19,I$6),"")</f>
        <v>1E-4</v>
      </c>
      <c r="M19" s="64" cm="1">
        <f t="array" aca="1" ref="M19" ca="1">IFERROR(INDEX(Table1[#Data],$Q19,J$6),"")</f>
        <v>0</v>
      </c>
      <c r="N19" s="71"/>
      <c r="O19" s="72"/>
      <c r="P19" s="238">
        <f ca="1">MATCH($F$4&amp;$F$6&amp;H19,Table2[Identifier],0)</f>
        <v>104</v>
      </c>
      <c r="Q19" s="238" cm="1">
        <f t="array" aca="1" ref="Q19" ca="1">MATCH(H19&amp;$F$4&amp;TRUE,Table1[Category]&amp;Table1[Execution Year]&amp;Table1[Most curent],0)</f>
        <v>405</v>
      </c>
    </row>
    <row r="20" spans="4:17" ht="30.6" customHeight="1" thickTop="1" thickBot="1">
      <c r="D20" s="234"/>
      <c r="E20" s="35">
        <f ca="1"/>
        <v>98</v>
      </c>
      <c r="F20" s="239" t="str">
        <f ca="1"/>
        <v>BAKERY</v>
      </c>
      <c r="G20" s="236" t="str">
        <f ca="1"/>
        <v>Exploratory</v>
      </c>
      <c r="H20" s="35" t="str">
        <f ca="1"/>
        <v>RMA - Buttercream</v>
      </c>
      <c r="I20" s="35" t="str">
        <f ca="1"/>
        <v>ARES</v>
      </c>
      <c r="J20" s="35">
        <f ca="1"/>
        <v>0</v>
      </c>
      <c r="K20" s="237" t="str">
        <f ca="1"/>
        <v>Not Updated</v>
      </c>
      <c r="L20" s="64" cm="1">
        <f t="array" aca="1" ref="L20" ca="1">IFERROR(INDEX(Table1[#Data],$Q20,I$6),"")</f>
        <v>1E-4</v>
      </c>
      <c r="M20" s="64" cm="1">
        <f t="array" aca="1" ref="M20" ca="1">IFERROR(INDEX(Table1[#Data],$Q20,J$6),"")</f>
        <v>0</v>
      </c>
      <c r="N20" s="71"/>
      <c r="O20" s="72"/>
      <c r="P20" s="238">
        <f ca="1">MATCH($F$4&amp;$F$6&amp;H20,Table2[Identifier],0)</f>
        <v>106</v>
      </c>
      <c r="Q20" s="238" cm="1">
        <f t="array" aca="1" ref="Q20" ca="1">MATCH(H20&amp;$F$4&amp;TRUE,Table1[Category]&amp;Table1[Execution Year]&amp;Table1[Most curent],0)</f>
        <v>394</v>
      </c>
    </row>
    <row r="21" spans="4:17" ht="30.6" customHeight="1" thickTop="1" thickBot="1">
      <c r="D21" s="234"/>
      <c r="E21" s="35">
        <f ca="1"/>
        <v>93</v>
      </c>
      <c r="F21" s="35" t="str">
        <f ca="1"/>
        <v>MEAT</v>
      </c>
      <c r="G21" s="236" t="str">
        <f ca="1"/>
        <v>Exploratory</v>
      </c>
      <c r="H21" s="35" t="str">
        <f ca="1"/>
        <v>RMA - Cut Fruit &amp; Vav</v>
      </c>
      <c r="I21" s="35" t="str">
        <f ca="1"/>
        <v>ARES</v>
      </c>
      <c r="J21" s="35">
        <f ca="1"/>
        <v>0</v>
      </c>
      <c r="K21" s="237" t="str">
        <f ca="1"/>
        <v>Not Updated</v>
      </c>
      <c r="L21" s="64" cm="1">
        <f t="array" aca="1" ref="L21" ca="1">IFERROR(INDEX(Table1[#Data],$Q21,I$6),"")</f>
        <v>1E-4</v>
      </c>
      <c r="M21" s="64" cm="1">
        <f t="array" aca="1" ref="M21" ca="1">IFERROR(INDEX(Table1[#Data],$Q21,J$6),"")</f>
        <v>0</v>
      </c>
      <c r="N21" s="71"/>
      <c r="O21" s="72"/>
      <c r="P21" s="238">
        <f ca="1">MATCH($F$4&amp;$F$6&amp;H21,Table2[Identifier],0)</f>
        <v>107</v>
      </c>
      <c r="Q21" s="238" cm="1">
        <f t="array" aca="1" ref="Q21" ca="1">MATCH(H21&amp;$F$4&amp;TRUE,Table1[Category]&amp;Table1[Execution Year]&amp;Table1[Most curent],0)</f>
        <v>407</v>
      </c>
    </row>
    <row r="22" spans="4:17" ht="30.6" customHeight="1" thickTop="1" thickBot="1">
      <c r="D22" s="234"/>
      <c r="E22" s="35" t="str">
        <f ca="1"/>
        <v/>
      </c>
      <c r="F22" s="35">
        <f ca="1"/>
        <v>0</v>
      </c>
      <c r="G22" s="236" t="str">
        <f ca="1"/>
        <v>Exploratory</v>
      </c>
      <c r="H22" s="35" t="str">
        <f ca="1"/>
        <v>RMA - Garlic</v>
      </c>
      <c r="I22" s="35" t="str">
        <f ca="1"/>
        <v>ARES</v>
      </c>
      <c r="J22" s="35">
        <f ca="1"/>
        <v>0</v>
      </c>
      <c r="K22" s="237" t="str">
        <f ca="1"/>
        <v>Not Updated</v>
      </c>
      <c r="L22" s="64" cm="1">
        <f t="array" aca="1" ref="L22" ca="1">IFERROR(INDEX(Table1[#Data],$Q22,I$6),"")</f>
        <v>1E-4</v>
      </c>
      <c r="M22" s="64" cm="1">
        <f t="array" aca="1" ref="M22" ca="1">IFERROR(INDEX(Table1[#Data],$Q22,J$6),"")</f>
        <v>0</v>
      </c>
      <c r="N22" s="71"/>
      <c r="O22" s="72"/>
      <c r="P22" s="238">
        <f ca="1">MATCH($F$4&amp;$F$6&amp;H22,Table2[Identifier],0)</f>
        <v>108</v>
      </c>
      <c r="Q22" s="238" cm="1">
        <f t="array" aca="1" ref="Q22" ca="1">MATCH(H22&amp;$F$4&amp;TRUE,Table1[Category]&amp;Table1[Execution Year]&amp;Table1[Most curent],0)</f>
        <v>409</v>
      </c>
    </row>
    <row r="23" spans="4:17" ht="30.6" customHeight="1" thickTop="1" thickBot="1">
      <c r="D23" s="234"/>
      <c r="E23" s="35" t="str">
        <f ca="1"/>
        <v/>
      </c>
      <c r="F23" s="35">
        <f ca="1"/>
        <v>0</v>
      </c>
      <c r="G23" s="236" t="str">
        <f ca="1"/>
        <v>Exploratory</v>
      </c>
      <c r="H23" s="35" t="str">
        <f ca="1"/>
        <v>RMA - Cashews</v>
      </c>
      <c r="I23" s="35" t="str">
        <f ca="1"/>
        <v>ARES</v>
      </c>
      <c r="J23" s="35">
        <f ca="1"/>
        <v>0</v>
      </c>
      <c r="K23" s="237" t="str">
        <f ca="1"/>
        <v>Not Updated</v>
      </c>
      <c r="L23" s="64" cm="1">
        <f t="array" aca="1" ref="L23" ca="1">IFERROR(INDEX(Table1[#Data],$Q23,I$6),"")</f>
        <v>1E-4</v>
      </c>
      <c r="M23" s="64" cm="1">
        <f t="array" aca="1" ref="M23" ca="1">IFERROR(INDEX(Table1[#Data],$Q23,J$6),"")</f>
        <v>0</v>
      </c>
      <c r="N23" s="71"/>
      <c r="O23" s="72"/>
      <c r="P23" s="238">
        <f ca="1">MATCH($F$4&amp;$F$6&amp;H23,Table2[Identifier],0)</f>
        <v>109</v>
      </c>
      <c r="Q23" s="238" cm="1">
        <f t="array" aca="1" ref="Q23" ca="1">MATCH(H23&amp;$F$4&amp;TRUE,Table1[Category]&amp;Table1[Execution Year]&amp;Table1[Most curent],0)</f>
        <v>396</v>
      </c>
    </row>
    <row r="24" spans="4:17" ht="30.6" customHeight="1" thickTop="1" thickBot="1">
      <c r="D24" s="234"/>
      <c r="E24" s="35" t="str">
        <f ca="1"/>
        <v/>
      </c>
      <c r="F24" s="35">
        <f ca="1"/>
        <v>0</v>
      </c>
      <c r="G24" s="236" t="str">
        <f ca="1"/>
        <v>Complete</v>
      </c>
      <c r="H24" s="35" t="str">
        <f ca="1"/>
        <v>Frozen Fruit 2021</v>
      </c>
      <c r="I24" s="35">
        <f ca="1"/>
        <v>0</v>
      </c>
      <c r="J24" s="35">
        <f ca="1"/>
        <v>0</v>
      </c>
      <c r="K24" s="237" t="str">
        <f ca="1"/>
        <v>Not Updated</v>
      </c>
      <c r="L24" s="64" cm="1">
        <f t="array" aca="1" ref="L24" ca="1">IFERROR(INDEX(Table1[#Data],$Q24,I$6),"")</f>
        <v>17000000</v>
      </c>
      <c r="M24" s="64" cm="1">
        <f t="array" aca="1" ref="M24" ca="1">IFERROR(INDEX(Table1[#Data],$Q24,J$6),"")</f>
        <v>0</v>
      </c>
      <c r="N24" s="71"/>
      <c r="O24" s="72"/>
      <c r="P24" s="238">
        <f ca="1">MATCH($F$4&amp;$F$6&amp;H24,Table2[Identifier],0)</f>
        <v>90</v>
      </c>
      <c r="Q24" s="238" cm="1">
        <f t="array" aca="1" ref="Q24" ca="1">MATCH(H24&amp;$F$4&amp;TRUE,Table1[Category]&amp;Table1[Execution Year]&amp;Table1[Most curent],0)</f>
        <v>285</v>
      </c>
    </row>
    <row r="25" spans="4:17" ht="30.6" customHeight="1" thickTop="1" thickBot="1">
      <c r="D25" s="234"/>
      <c r="E25" s="35" t="str">
        <f ca="1"/>
        <v/>
      </c>
      <c r="F25" s="35">
        <f ca="1"/>
        <v>0</v>
      </c>
      <c r="G25" s="236" t="str">
        <f ca="1"/>
        <v>Complete</v>
      </c>
      <c r="H25" s="35" t="str">
        <f ca="1"/>
        <v>Green Olives</v>
      </c>
      <c r="I25" s="35">
        <f ca="1"/>
        <v>0</v>
      </c>
      <c r="J25" s="35">
        <f ca="1"/>
        <v>0</v>
      </c>
      <c r="K25" s="237">
        <f ca="1"/>
        <v>44591</v>
      </c>
      <c r="L25" s="64" cm="1">
        <f t="array" aca="1" ref="L25" ca="1">IFERROR(INDEX(Table1[#Data],$Q25,I$6),"")</f>
        <v>16000000</v>
      </c>
      <c r="M25" s="64" cm="1">
        <f t="array" aca="1" ref="M25" ca="1">IFERROR(INDEX(Table1[#Data],$Q25,J$6),"")</f>
        <v>0</v>
      </c>
      <c r="N25" s="71"/>
      <c r="O25" s="72"/>
      <c r="P25" s="238">
        <f ca="1">MATCH($F$4&amp;$F$6&amp;H25,Table2[Identifier],0)</f>
        <v>99</v>
      </c>
      <c r="Q25" s="238" cm="1">
        <f t="array" aca="1" ref="Q25" ca="1">MATCH(H25&amp;$F$4&amp;TRUE,Table1[Category]&amp;Table1[Execution Year]&amp;Table1[Most curent],0)</f>
        <v>308</v>
      </c>
    </row>
    <row r="26" spans="4:17" ht="30.6" customHeight="1" thickTop="1" thickBot="1">
      <c r="D26" s="234"/>
      <c r="E26" s="35" t="str">
        <f ca="1"/>
        <v/>
      </c>
      <c r="F26" s="35">
        <f ca="1"/>
        <v>0</v>
      </c>
      <c r="G26" s="236" t="str">
        <f ca="1"/>
        <v>Complete</v>
      </c>
      <c r="H26" s="35" t="str">
        <f ca="1"/>
        <v>Pickles</v>
      </c>
      <c r="I26" s="35">
        <f ca="1"/>
        <v>0</v>
      </c>
      <c r="J26" s="35">
        <f ca="1"/>
        <v>0</v>
      </c>
      <c r="K26" s="237" t="str">
        <f ca="1"/>
        <v>Not Updated</v>
      </c>
      <c r="L26" s="64" cm="1">
        <f t="array" aca="1" ref="L26" ca="1">IFERROR(INDEX(Table1[#Data],$Q26,I$6),"")</f>
        <v>13000000</v>
      </c>
      <c r="M26" s="64" cm="1">
        <f t="array" aca="1" ref="M26" ca="1">IFERROR(INDEX(Table1[#Data],$Q26,J$6),"")</f>
        <v>0</v>
      </c>
      <c r="N26" s="71"/>
      <c r="O26" s="72"/>
      <c r="P26" s="238">
        <f ca="1">MATCH($F$4&amp;$F$6&amp;H26,Table2[Identifier],0)</f>
        <v>100</v>
      </c>
      <c r="Q26" s="238" cm="1">
        <f t="array" aca="1" ref="Q26" ca="1">MATCH(H26&amp;$F$4&amp;TRUE,Table1[Category]&amp;Table1[Execution Year]&amp;Table1[Most curent],0)</f>
        <v>382</v>
      </c>
    </row>
    <row r="27" spans="4:17" ht="30.6" customHeight="1" thickTop="1" thickBot="1">
      <c r="D27" s="234"/>
      <c r="E27" s="35">
        <f ca="1"/>
        <v>90</v>
      </c>
      <c r="F27" s="35" t="str">
        <f ca="1"/>
        <v>DAIRY</v>
      </c>
      <c r="G27" s="236" t="str">
        <f ca="1"/>
        <v>Bid Prep</v>
      </c>
      <c r="H27" s="35" t="str">
        <f ca="1"/>
        <v>RMA - Cocoa - GV Choc Milk</v>
      </c>
      <c r="I27" s="35" t="str">
        <f ca="1"/>
        <v>ARES</v>
      </c>
      <c r="J27" s="35">
        <f ca="1"/>
        <v>0</v>
      </c>
      <c r="K27" s="237" t="str">
        <f ca="1"/>
        <v>Not Updated</v>
      </c>
      <c r="L27" s="64" cm="1">
        <f t="array" aca="1" ref="L27" ca="1">IFERROR(INDEX(Table1[#Data],$Q27,I$6),"")</f>
        <v>1E-4</v>
      </c>
      <c r="M27" s="64" cm="1">
        <f t="array" aca="1" ref="M27" ca="1">IFERROR(INDEX(Table1[#Data],$Q27,J$6),"")</f>
        <v>0</v>
      </c>
      <c r="N27" s="71"/>
      <c r="O27" s="72"/>
      <c r="P27" s="238">
        <f ca="1">MATCH($F$4&amp;$F$6&amp;H27,Table2[Identifier],0)</f>
        <v>102</v>
      </c>
      <c r="Q27" s="238" cm="1">
        <f t="array" aca="1" ref="Q27" ca="1">MATCH(H27&amp;$F$4&amp;TRUE,Table1[Category]&amp;Table1[Execution Year]&amp;Table1[Most curent],0)</f>
        <v>400</v>
      </c>
    </row>
    <row r="28" spans="4:17" ht="30.6" customHeight="1" thickTop="1" thickBot="1">
      <c r="D28" s="234"/>
      <c r="E28" s="35">
        <f ca="1"/>
        <v>95</v>
      </c>
      <c r="F28" s="35" t="str">
        <f ca="1"/>
        <v>SNACKS AND BEVERAGES</v>
      </c>
      <c r="G28" s="236" t="str">
        <f ca="1"/>
        <v>Bid Prep</v>
      </c>
      <c r="H28" s="35" t="str">
        <f ca="1"/>
        <v>Cookies &amp; Crackers</v>
      </c>
      <c r="I28" s="35" t="str">
        <f ca="1"/>
        <v>Global Bid</v>
      </c>
      <c r="J28" s="35" t="str">
        <f ca="1"/>
        <v>Jake Deans</v>
      </c>
      <c r="K28" s="237">
        <f ca="1"/>
        <v>44804</v>
      </c>
      <c r="L28" s="64"/>
      <c r="M28" s="64"/>
      <c r="N28" s="71"/>
      <c r="O28" s="72"/>
      <c r="P28" s="238">
        <f ca="1">MATCH($F$4&amp;$F$6&amp;H28,Table2[Identifier],0)</f>
        <v>110</v>
      </c>
      <c r="Q28" s="238" cm="1">
        <f t="array" aca="1" ref="Q28" ca="1">MATCH(H28&amp;$F$4&amp;TRUE,Table1[Category]&amp;Table1[Execution Year]&amp;Table1[Most curent],0)</f>
        <v>83</v>
      </c>
    </row>
    <row r="29" spans="4:17" ht="30.6" customHeight="1" thickTop="1" thickBot="1">
      <c r="D29" s="234"/>
      <c r="E29" s="35">
        <f ca="1"/>
        <v>90</v>
      </c>
      <c r="F29" s="35" t="str">
        <f ca="1"/>
        <v>DAIRY</v>
      </c>
      <c r="G29" s="236" t="str">
        <f ca="1"/>
        <v>Award</v>
      </c>
      <c r="H29" s="35" t="str">
        <f ca="1"/>
        <v>Dairy Creamers and Half n Half</v>
      </c>
      <c r="I29" s="35" t="str">
        <f ca="1"/>
        <v>Domestic Bid</v>
      </c>
      <c r="J29" s="35" t="str">
        <f ca="1"/>
        <v>David L. / Luis D.</v>
      </c>
      <c r="K29" s="237">
        <f ca="1"/>
        <v>44736</v>
      </c>
      <c r="L29" s="64"/>
      <c r="M29" s="64"/>
      <c r="N29" s="71"/>
      <c r="O29" s="72"/>
      <c r="P29" s="238">
        <f ca="1">MATCH($F$4&amp;$F$6&amp;H29,Table2[Identifier],0)</f>
        <v>34</v>
      </c>
      <c r="Q29" s="238" cm="1">
        <f t="array" aca="1" ref="Q29" ca="1">MATCH(H29&amp;$F$4&amp;TRUE,Table1[Category]&amp;Table1[Execution Year]&amp;Table1[Most curent],0)</f>
        <v>103</v>
      </c>
    </row>
    <row r="30" spans="4:17" ht="30.6" customHeight="1" thickTop="1" thickBot="1">
      <c r="D30" s="234"/>
      <c r="E30" s="35">
        <f ca="1"/>
        <v>92</v>
      </c>
      <c r="F30" s="35" t="str">
        <f ca="1"/>
        <v>GROCERY</v>
      </c>
      <c r="G30" s="236" t="str">
        <f ca="1"/>
        <v>Award</v>
      </c>
      <c r="H30" s="35" t="str">
        <f ca="1"/>
        <v>Canned Vegetables</v>
      </c>
      <c r="I30" s="35" t="str">
        <f ca="1"/>
        <v>Global Bid</v>
      </c>
      <c r="J30" s="35" t="str">
        <f ca="1"/>
        <v>Yao Fu</v>
      </c>
      <c r="K30" s="237">
        <f ca="1"/>
        <v>44676</v>
      </c>
      <c r="L30" s="64"/>
      <c r="M30" s="64"/>
      <c r="N30" s="71"/>
      <c r="O30" s="72"/>
      <c r="P30" s="238">
        <f ca="1">MATCH($F$4&amp;$F$6&amp;H30,Table2[Identifier],0)</f>
        <v>47</v>
      </c>
      <c r="Q30" s="238" cm="1">
        <f t="array" aca="1" ref="Q30" ca="1">MATCH(H30&amp;$F$4&amp;TRUE,Table1[Category]&amp;Table1[Execution Year]&amp;Table1[Most curent],0)</f>
        <v>471</v>
      </c>
    </row>
    <row r="31" spans="4:17" ht="30.6" customHeight="1" thickTop="1" thickBot="1">
      <c r="D31" s="234"/>
      <c r="E31" s="35"/>
      <c r="F31" s="35"/>
      <c r="G31" s="236"/>
      <c r="H31" s="35"/>
      <c r="I31" s="35"/>
      <c r="J31" s="35"/>
      <c r="K31" s="237"/>
      <c r="L31" s="64"/>
      <c r="M31" s="64"/>
      <c r="N31" s="71"/>
      <c r="O31" s="72"/>
      <c r="P31" s="238" t="e">
        <f>MATCH($F$4&amp;$F$6&amp;H31,Table2[Identifier],0)</f>
        <v>#N/A</v>
      </c>
      <c r="Q31" s="238" t="e" cm="1">
        <f t="array" ref="Q31">MATCH(H31&amp;$F$4&amp;TRUE,Table1[Category]&amp;Table1[Execution Year]&amp;Table1[Most curent],0)</f>
        <v>#N/A</v>
      </c>
    </row>
    <row r="32" spans="4:17" ht="30.6" customHeight="1" thickTop="1" thickBot="1">
      <c r="D32" s="234"/>
      <c r="E32" s="35"/>
      <c r="F32" s="35"/>
      <c r="G32" s="236"/>
      <c r="H32" s="35"/>
      <c r="I32" s="35"/>
      <c r="J32" s="35"/>
      <c r="K32" s="237"/>
      <c r="L32" s="64"/>
      <c r="M32" s="64"/>
      <c r="N32" s="71"/>
      <c r="O32" s="72"/>
      <c r="P32" s="238" t="e">
        <f>MATCH($F$4&amp;$F$6&amp;H32,Table2[Identifier],0)</f>
        <v>#N/A</v>
      </c>
      <c r="Q32" s="238" t="e" cm="1">
        <f t="array" ref="Q32">MATCH(H32&amp;$F$4&amp;TRUE,Table1[Category]&amp;Table1[Execution Year]&amp;Table1[Most curent],0)</f>
        <v>#N/A</v>
      </c>
    </row>
    <row r="33" spans="4:17" ht="30.6" customHeight="1" thickTop="1" thickBot="1">
      <c r="D33" s="234"/>
      <c r="E33" s="35"/>
      <c r="F33" s="35"/>
      <c r="G33" s="236"/>
      <c r="H33" s="35"/>
      <c r="I33" s="35"/>
      <c r="J33" s="35"/>
      <c r="K33" s="237"/>
      <c r="L33" s="64"/>
      <c r="M33" s="64"/>
      <c r="N33" s="71"/>
      <c r="O33" s="72"/>
      <c r="P33" s="238" t="e">
        <f>MATCH($F$4&amp;$F$6&amp;H33,Table2[Identifier],0)</f>
        <v>#N/A</v>
      </c>
      <c r="Q33" s="238" t="e" cm="1">
        <f t="array" ref="Q33">MATCH(H33&amp;$F$4&amp;TRUE,Table1[Category]&amp;Table1[Execution Year]&amp;Table1[Most curent],0)</f>
        <v>#N/A</v>
      </c>
    </row>
    <row r="34" spans="4:17" ht="30.6" customHeight="1" thickTop="1" thickBot="1">
      <c r="D34" s="234"/>
      <c r="E34" s="35"/>
      <c r="F34" s="35"/>
      <c r="G34" s="236"/>
      <c r="H34" s="35"/>
      <c r="I34" s="35"/>
      <c r="J34" s="35"/>
      <c r="K34" s="237"/>
      <c r="L34" s="64"/>
      <c r="M34" s="64"/>
      <c r="N34" s="71"/>
      <c r="O34" s="72"/>
      <c r="P34" s="238" t="e">
        <f>MATCH($F$4&amp;$F$6&amp;H34,Table2[Identifier],0)</f>
        <v>#N/A</v>
      </c>
      <c r="Q34" s="238" t="e" cm="1">
        <f t="array" ref="Q34">MATCH(H34&amp;$F$4&amp;TRUE,Table1[Category]&amp;Table1[Execution Year]&amp;Table1[Most curent],0)</f>
        <v>#N/A</v>
      </c>
    </row>
    <row r="35" spans="4:17" ht="30.6" customHeight="1" thickTop="1" thickBot="1">
      <c r="D35" s="234"/>
      <c r="E35" s="35"/>
      <c r="F35" s="35"/>
      <c r="G35" s="236"/>
      <c r="H35" s="35"/>
      <c r="I35" s="35"/>
      <c r="J35" s="35"/>
      <c r="K35" s="237"/>
      <c r="L35" s="64"/>
      <c r="M35" s="64"/>
      <c r="N35" s="71"/>
      <c r="O35" s="72"/>
      <c r="P35" s="238" t="e">
        <f>MATCH($F$4&amp;$F$6&amp;H35,Table2[Identifier],0)</f>
        <v>#N/A</v>
      </c>
      <c r="Q35" s="238" t="e" cm="1">
        <f t="array" ref="Q35">MATCH(H35&amp;$F$4&amp;TRUE,Table1[Category]&amp;Table1[Execution Year]&amp;Table1[Most curent],0)</f>
        <v>#N/A</v>
      </c>
    </row>
    <row r="36" spans="4:17" ht="30.6" customHeight="1" thickTop="1" thickBot="1">
      <c r="D36" s="234"/>
      <c r="E36" s="35"/>
      <c r="F36" s="35"/>
      <c r="G36" s="236"/>
      <c r="H36" s="35"/>
      <c r="I36" s="35"/>
      <c r="J36" s="35"/>
      <c r="K36" s="237"/>
      <c r="L36" s="64"/>
      <c r="M36" s="64"/>
      <c r="N36" s="71"/>
      <c r="O36" s="72"/>
      <c r="P36" s="238" t="e">
        <f>MATCH($F$4&amp;$F$6&amp;H36,Table2[Identifier],0)</f>
        <v>#N/A</v>
      </c>
      <c r="Q36" s="238" t="e" cm="1">
        <f t="array" ref="Q36">MATCH(H36&amp;$F$4&amp;TRUE,Table1[Category]&amp;Table1[Execution Year]&amp;Table1[Most curent],0)</f>
        <v>#N/A</v>
      </c>
    </row>
    <row r="37" spans="4:17" ht="30.6" customHeight="1" thickTop="1" thickBot="1">
      <c r="D37" s="234"/>
      <c r="E37" s="35"/>
      <c r="F37" s="35"/>
      <c r="G37" s="236"/>
      <c r="H37" s="35"/>
      <c r="I37" s="35"/>
      <c r="J37" s="35"/>
      <c r="K37" s="237"/>
      <c r="L37" s="64"/>
      <c r="M37" s="64"/>
      <c r="N37" s="71"/>
      <c r="O37" s="72"/>
      <c r="P37" s="238" t="e">
        <f>MATCH($F$4&amp;$F$6&amp;H37,Table2[Identifier],0)</f>
        <v>#N/A</v>
      </c>
      <c r="Q37" s="238" t="e" cm="1">
        <f t="array" ref="Q37">MATCH(H37&amp;$F$4&amp;TRUE,Table1[Category]&amp;Table1[Execution Year]&amp;Table1[Most curent],0)</f>
        <v>#N/A</v>
      </c>
    </row>
    <row r="38" spans="4:17" ht="30.6" customHeight="1" thickTop="1" thickBot="1">
      <c r="D38" s="234"/>
      <c r="E38" s="35"/>
      <c r="F38" s="35"/>
      <c r="G38" s="236"/>
      <c r="H38" s="35"/>
      <c r="I38" s="35"/>
      <c r="J38" s="35"/>
      <c r="K38" s="237"/>
      <c r="L38" s="64" t="str" cm="1">
        <f t="array" ref="L38">IFERROR(INDEX(Table1[#Data],$Q38,I$6),"")</f>
        <v/>
      </c>
      <c r="M38" s="64" t="str" cm="1">
        <f t="array" ref="M38">IFERROR(INDEX(Table1[#Data],$Q38,J$6),"")</f>
        <v/>
      </c>
      <c r="N38" s="71"/>
      <c r="O38" s="72"/>
      <c r="P38" s="238" t="e">
        <f>MATCH($F$4&amp;$F$6&amp;H38,Table2[Identifier],0)</f>
        <v>#N/A</v>
      </c>
      <c r="Q38" s="238" t="e" cm="1">
        <f t="array" ref="Q38">MATCH(H38&amp;$F$4&amp;TRUE,Table1[Category]&amp;Table1[Execution Year]&amp;Table1[Most curent],0)</f>
        <v>#N/A</v>
      </c>
    </row>
    <row r="39" spans="4:17" ht="30.6" customHeight="1" thickTop="1" thickBot="1">
      <c r="D39" s="234"/>
      <c r="E39" s="35"/>
      <c r="F39" s="35"/>
      <c r="G39" s="236"/>
      <c r="H39" s="35"/>
      <c r="I39" s="35"/>
      <c r="J39" s="35"/>
      <c r="K39" s="237"/>
      <c r="L39" s="64" t="str" cm="1">
        <f t="array" ref="L39">IFERROR(INDEX(Table1[#Data],$Q39,I$6),"")</f>
        <v/>
      </c>
      <c r="M39" s="64" t="str" cm="1">
        <f t="array" ref="M39">IFERROR(INDEX(Table1[#Data],$Q39,J$6),"")</f>
        <v/>
      </c>
      <c r="N39" s="71"/>
      <c r="O39" s="72"/>
      <c r="P39" s="238" t="e">
        <f>MATCH($F$4&amp;$F$6&amp;H39,Table2[Identifier],0)</f>
        <v>#N/A</v>
      </c>
      <c r="Q39" s="238" t="e" cm="1">
        <f t="array" ref="Q39">MATCH(H39&amp;$F$4&amp;TRUE,Table1[Category]&amp;Table1[Execution Year]&amp;Table1[Most curent],0)</f>
        <v>#N/A</v>
      </c>
    </row>
    <row r="40" spans="4:17" ht="5.0999999999999996" customHeight="1" thickTop="1">
      <c r="D40" s="234"/>
      <c r="E40" s="71"/>
      <c r="F40" s="71"/>
      <c r="G40" s="71"/>
      <c r="H40" s="71"/>
      <c r="I40" s="71"/>
      <c r="J40" s="71"/>
      <c r="K40" s="71"/>
      <c r="L40" s="71"/>
      <c r="M40" s="71"/>
      <c r="N40" s="71"/>
      <c r="O40" s="72"/>
    </row>
    <row r="41" spans="4:17" ht="9" customHeight="1" thickBot="1">
      <c r="D41" s="240"/>
      <c r="E41" s="241"/>
      <c r="F41" s="241"/>
      <c r="G41" s="241"/>
      <c r="H41" s="241"/>
      <c r="I41" s="242"/>
      <c r="J41" s="242"/>
      <c r="K41" s="242"/>
      <c r="L41" s="242"/>
      <c r="M41" s="243"/>
      <c r="N41" s="242"/>
      <c r="O41" s="244"/>
    </row>
    <row r="42" spans="4:17">
      <c r="D42" s="245"/>
      <c r="E42" s="75"/>
      <c r="F42" s="75"/>
      <c r="G42" s="75"/>
      <c r="H42" s="75"/>
      <c r="I42" s="75"/>
      <c r="J42" s="75"/>
      <c r="K42" s="75"/>
      <c r="L42" s="246">
        <f t="shared" ref="L42:M42" ca="1" si="0">SUM(L10:L40)</f>
        <v>936100000.00080013</v>
      </c>
      <c r="M42" s="246">
        <f t="shared" ca="1" si="0"/>
        <v>0</v>
      </c>
      <c r="N42" s="76"/>
      <c r="O42" s="76"/>
    </row>
    <row r="43" spans="4:17" ht="10.35" customHeight="1" thickBot="1">
      <c r="D43" s="240"/>
      <c r="E43" s="241"/>
      <c r="F43" s="241"/>
      <c r="G43" s="241"/>
      <c r="H43" s="241"/>
      <c r="I43" s="241"/>
      <c r="J43" s="241"/>
      <c r="K43" s="241"/>
      <c r="L43" s="241"/>
      <c r="M43" s="76"/>
      <c r="N43" s="73"/>
      <c r="O43" s="73"/>
    </row>
    <row r="179" ht="12" customHeight="1"/>
    <row r="210" spans="18:18">
      <c r="R210" t="s">
        <v>11</v>
      </c>
    </row>
    <row r="211" spans="18:18">
      <c r="R211" t="s">
        <v>12</v>
      </c>
    </row>
    <row r="212" spans="18:18">
      <c r="R212" t="s">
        <v>13</v>
      </c>
    </row>
    <row r="213" spans="18:18">
      <c r="R213" t="s">
        <v>14</v>
      </c>
    </row>
    <row r="214" spans="18:18">
      <c r="R214" t="s">
        <v>15</v>
      </c>
    </row>
    <row r="215" spans="18:18">
      <c r="R215" t="s">
        <v>336</v>
      </c>
    </row>
    <row r="216" spans="18:18">
      <c r="R216" t="s">
        <v>337</v>
      </c>
    </row>
    <row r="217" spans="18:18">
      <c r="R217" t="s">
        <v>338</v>
      </c>
    </row>
  </sheetData>
  <hyperlinks>
    <hyperlink ref="G3" location="MENU!A1" display="Back to Menu" xr:uid="{C31ADE05-F930-4EF5-A59E-EBBE1A3C27D7}"/>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2225" r:id="rId4" name="Button 1">
              <controlPr defaultSize="0" print="0" autoFill="0" autoPict="0" macro="[0]!From_BiWeekly_Goto_Update">
                <anchor moveWithCells="1" sizeWithCells="1">
                  <from>
                    <xdr:col>10</xdr:col>
                    <xdr:colOff>736600</xdr:colOff>
                    <xdr:row>0</xdr:row>
                    <xdr:rowOff>107950</xdr:rowOff>
                  </from>
                  <to>
                    <xdr:col>12</xdr:col>
                    <xdr:colOff>584200</xdr:colOff>
                    <xdr:row>0</xdr:row>
                    <xdr:rowOff>355600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FBD9673C-7107-42F3-BE7A-63C72C2F170C}">
          <x14:formula1>
            <xm:f>'Lookup tables'!$E$2:$E$15</xm:f>
          </x14:formula1>
          <xm:sqref>H4</xm:sqref>
        </x14:dataValidation>
        <x14:dataValidation type="list" allowBlank="1" showInputMessage="1" showErrorMessage="1" xr:uid="{5CFB5FFE-9820-4861-A3A1-75781387A189}">
          <x14:formula1>
            <xm:f>'Lookup tables'!$I$2:$I$7</xm:f>
          </x14:formula1>
          <xm:sqref>F6</xm:sqref>
        </x14:dataValidation>
        <x14:dataValidation type="list" allowBlank="1" showInputMessage="1" showErrorMessage="1" xr:uid="{F5A7654B-5559-4F9E-8F45-0D3D36FF10BD}">
          <x14:formula1>
            <xm:f>'Lookup tables'!$N$2:$N$4</xm:f>
          </x14:formula1>
          <xm:sqref>F4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0B643-4B9A-4949-9300-7EDDFCD375DA}">
  <sheetPr codeName="Sheet12"/>
  <dimension ref="A1:BD69"/>
  <sheetViews>
    <sheetView showGridLines="0" workbookViewId="0"/>
  </sheetViews>
  <sheetFormatPr defaultColWidth="8.5703125" defaultRowHeight="14.45"/>
  <cols>
    <col min="1" max="1" width="5.42578125" customWidth="1"/>
    <col min="2" max="4" width="1.42578125" customWidth="1"/>
    <col min="5" max="5" width="26.42578125" customWidth="1"/>
    <col min="6" max="11" width="8.7109375" customWidth="1"/>
    <col min="12" max="13" width="1.5703125" customWidth="1"/>
    <col min="14" max="24" width="5.5703125" customWidth="1"/>
    <col min="26" max="27" width="1.5703125" customWidth="1"/>
    <col min="28" max="38" width="5.5703125" customWidth="1"/>
    <col min="40" max="42" width="1.28515625" customWidth="1"/>
    <col min="43" max="53" width="5.5703125" customWidth="1"/>
    <col min="54" max="54" width="12" customWidth="1"/>
    <col min="55" max="56" width="1.5703125" customWidth="1"/>
  </cols>
  <sheetData>
    <row r="1" spans="1:56" ht="19.350000000000001" customHeight="1" thickBot="1">
      <c r="C1" s="151"/>
      <c r="D1" s="152"/>
      <c r="E1" s="152"/>
      <c r="F1" s="152"/>
      <c r="G1" s="153" t="s">
        <v>339</v>
      </c>
      <c r="H1" s="153"/>
      <c r="I1" s="153"/>
      <c r="J1" s="153"/>
      <c r="K1" s="153"/>
      <c r="L1" s="153"/>
      <c r="M1" s="153"/>
      <c r="N1" s="152"/>
      <c r="O1" s="152"/>
      <c r="P1" s="152"/>
      <c r="Q1" s="152"/>
      <c r="R1" s="152"/>
      <c r="S1" s="152"/>
      <c r="T1" s="152"/>
      <c r="U1" s="152"/>
      <c r="V1" s="152"/>
      <c r="W1" s="152"/>
      <c r="X1" s="152"/>
      <c r="Y1" s="152"/>
      <c r="Z1" s="152"/>
      <c r="AA1" s="152"/>
      <c r="AB1" s="152"/>
      <c r="AC1" s="152"/>
      <c r="AD1" s="152"/>
      <c r="AE1" s="152"/>
      <c r="AF1" s="152"/>
      <c r="AG1" s="152"/>
      <c r="AH1" s="152"/>
      <c r="AI1" s="152"/>
      <c r="AJ1" s="152"/>
      <c r="AK1" s="152"/>
      <c r="AL1" s="152"/>
      <c r="AM1" s="152"/>
      <c r="AN1" s="152"/>
      <c r="AO1" s="152"/>
      <c r="AP1" s="152"/>
      <c r="AQ1" s="152"/>
      <c r="AR1" s="152"/>
      <c r="AS1" s="152"/>
      <c r="AT1" s="152"/>
      <c r="AU1" s="152"/>
      <c r="AV1" s="152"/>
      <c r="AW1" s="152"/>
      <c r="AX1" s="152"/>
      <c r="AY1" s="152"/>
      <c r="AZ1" s="152"/>
      <c r="BA1" s="152"/>
      <c r="BB1" s="152"/>
      <c r="BC1" s="152"/>
      <c r="BD1" s="154"/>
    </row>
    <row r="2" spans="1:56">
      <c r="C2" s="20"/>
      <c r="D2" s="21"/>
      <c r="E2" s="21"/>
      <c r="F2" s="53" t="s">
        <v>193</v>
      </c>
      <c r="G2" s="21"/>
      <c r="H2" s="21"/>
      <c r="I2" s="21"/>
      <c r="J2" s="21"/>
      <c r="K2" s="21"/>
      <c r="L2" s="21"/>
      <c r="M2" s="21"/>
      <c r="N2" s="21"/>
      <c r="O2" s="21"/>
      <c r="P2" s="21"/>
      <c r="Q2" s="21"/>
      <c r="R2" s="21"/>
      <c r="S2" s="146" t="s">
        <v>340</v>
      </c>
      <c r="T2" s="145"/>
      <c r="U2" s="21"/>
      <c r="V2" s="21"/>
      <c r="W2" s="21"/>
      <c r="X2" s="146" t="s">
        <v>341</v>
      </c>
      <c r="Y2" s="145" t="s">
        <v>342</v>
      </c>
      <c r="Z2" s="21"/>
      <c r="AA2" s="21"/>
      <c r="AB2" s="21"/>
      <c r="AC2" s="21"/>
      <c r="AD2" s="21"/>
      <c r="AE2" s="21"/>
      <c r="AF2" s="21"/>
      <c r="AG2" s="21"/>
      <c r="AH2" s="21"/>
      <c r="AI2" s="21"/>
      <c r="AJ2" s="21"/>
      <c r="AK2" s="21"/>
      <c r="AL2" s="21"/>
      <c r="AM2" s="21"/>
      <c r="AN2" s="21"/>
      <c r="BD2" s="23"/>
    </row>
    <row r="3" spans="1:56">
      <c r="C3" s="24"/>
      <c r="E3" s="1" t="s">
        <v>318</v>
      </c>
      <c r="S3" s="163" t="s">
        <v>295</v>
      </c>
      <c r="T3" s="156" cm="1">
        <f t="array" ref="T3">SUM(_xlfn._xlws.FILTER(Table1[Spend - INTL],(Table1[Execution Year]=$E$4)*(Table1[SBU]=$E$6)*(Table1[Most curent]=TRUE)*(Table1[Current Phase]&lt;&gt;"Cancelled")))</f>
        <v>8800000</v>
      </c>
      <c r="X3" s="155" t="s">
        <v>295</v>
      </c>
      <c r="Y3" s="156" t="e" cm="1" vm="1">
        <f t="array" ref="Y3">SUM(_xlfn._xlws.FILTER(Table1[Spend - INTL],(Table1[Execution Year]=$E$4)*(Table1[SBU]=$E$6)*(Table1[Current Phase]="Completed")*(Table1[Most curent]=TRUE)))</f>
        <v>#VALUE!</v>
      </c>
      <c r="BD3" s="23"/>
    </row>
    <row r="4" spans="1:56">
      <c r="C4" s="24"/>
      <c r="E4" s="196" t="s">
        <v>322</v>
      </c>
      <c r="X4" s="155" t="s">
        <v>299</v>
      </c>
      <c r="Y4" s="156">
        <f>AM65</f>
        <v>0</v>
      </c>
      <c r="BD4" s="23"/>
    </row>
    <row r="5" spans="1:56">
      <c r="C5" s="24"/>
      <c r="E5" s="1" t="s">
        <v>324</v>
      </c>
      <c r="F5" s="19"/>
      <c r="G5" s="19"/>
      <c r="H5" s="19"/>
      <c r="I5" s="19"/>
      <c r="J5" s="19"/>
      <c r="K5" s="19"/>
      <c r="L5" s="19"/>
      <c r="M5" s="19"/>
      <c r="N5" s="19"/>
      <c r="O5" s="19"/>
      <c r="P5" s="19"/>
      <c r="Q5" s="19"/>
      <c r="R5" s="19"/>
      <c r="S5" s="19"/>
      <c r="T5" s="19"/>
      <c r="U5" s="19"/>
      <c r="V5" s="19"/>
      <c r="W5" s="19"/>
      <c r="X5" s="155" t="s">
        <v>343</v>
      </c>
      <c r="Y5" s="156">
        <f>BB65</f>
        <v>0</v>
      </c>
      <c r="AB5" s="19"/>
      <c r="AC5" s="19"/>
      <c r="AD5" s="19"/>
      <c r="AE5" s="19"/>
      <c r="AF5" s="19"/>
      <c r="AG5" s="19"/>
      <c r="AH5" s="19"/>
      <c r="AI5" s="19"/>
      <c r="AJ5" s="19"/>
      <c r="AK5" s="19"/>
      <c r="AL5" s="19"/>
      <c r="BD5" s="23"/>
    </row>
    <row r="6" spans="1:56">
      <c r="C6" s="24"/>
      <c r="E6" s="248" t="s">
        <v>43</v>
      </c>
      <c r="N6" s="1" t="s">
        <v>344</v>
      </c>
      <c r="AB6" s="1" t="s">
        <v>345</v>
      </c>
      <c r="AQ6" s="1" t="s">
        <v>346</v>
      </c>
      <c r="BD6" s="23"/>
    </row>
    <row r="7" spans="1:56" ht="16.899999999999999" customHeight="1">
      <c r="C7" s="24"/>
      <c r="F7" s="287" t="s">
        <v>347</v>
      </c>
      <c r="G7" s="287"/>
      <c r="H7" s="287"/>
      <c r="I7" s="288" t="s">
        <v>348</v>
      </c>
      <c r="J7" s="288"/>
      <c r="K7" s="288"/>
      <c r="BD7" s="23"/>
    </row>
    <row r="8" spans="1:56" s="58" customFormat="1" ht="25.5" customHeight="1">
      <c r="C8" s="62"/>
      <c r="E8" s="33" t="s">
        <v>1</v>
      </c>
      <c r="F8" s="120" t="s">
        <v>295</v>
      </c>
      <c r="G8" s="120" t="s">
        <v>299</v>
      </c>
      <c r="H8" s="120" t="s">
        <v>343</v>
      </c>
      <c r="I8" s="120" t="s">
        <v>295</v>
      </c>
      <c r="J8" s="120" t="s">
        <v>299</v>
      </c>
      <c r="K8" s="120" t="s">
        <v>343</v>
      </c>
      <c r="L8" s="33"/>
      <c r="M8" s="33"/>
      <c r="N8" s="157" t="s">
        <v>5</v>
      </c>
      <c r="O8" s="157" t="s">
        <v>6</v>
      </c>
      <c r="P8" s="157" t="s">
        <v>7</v>
      </c>
      <c r="Q8" s="157" t="s">
        <v>8</v>
      </c>
      <c r="R8" s="157" t="s">
        <v>9</v>
      </c>
      <c r="S8" s="157" t="s">
        <v>10</v>
      </c>
      <c r="T8" s="157" t="s">
        <v>11</v>
      </c>
      <c r="U8" s="157" t="s">
        <v>12</v>
      </c>
      <c r="V8" s="157" t="s">
        <v>13</v>
      </c>
      <c r="W8" s="157" t="s">
        <v>212</v>
      </c>
      <c r="X8" s="157" t="s">
        <v>213</v>
      </c>
      <c r="Y8" s="120" t="s">
        <v>349</v>
      </c>
      <c r="AB8" s="157" t="s">
        <v>5</v>
      </c>
      <c r="AC8" s="157" t="s">
        <v>6</v>
      </c>
      <c r="AD8" s="157" t="s">
        <v>7</v>
      </c>
      <c r="AE8" s="157" t="s">
        <v>8</v>
      </c>
      <c r="AF8" s="157" t="s">
        <v>9</v>
      </c>
      <c r="AG8" s="157" t="s">
        <v>10</v>
      </c>
      <c r="AH8" s="157" t="s">
        <v>11</v>
      </c>
      <c r="AI8" s="157" t="s">
        <v>12</v>
      </c>
      <c r="AJ8" s="157" t="s">
        <v>13</v>
      </c>
      <c r="AK8" s="157" t="s">
        <v>212</v>
      </c>
      <c r="AL8" s="157" t="s">
        <v>213</v>
      </c>
      <c r="AM8" s="120" t="s">
        <v>350</v>
      </c>
      <c r="AQ8" s="157" t="s">
        <v>5</v>
      </c>
      <c r="AR8" s="157" t="s">
        <v>6</v>
      </c>
      <c r="AS8" s="157" t="s">
        <v>7</v>
      </c>
      <c r="AT8" s="157" t="s">
        <v>8</v>
      </c>
      <c r="AU8" s="157" t="s">
        <v>9</v>
      </c>
      <c r="AV8" s="157" t="s">
        <v>10</v>
      </c>
      <c r="AW8" s="157" t="s">
        <v>11</v>
      </c>
      <c r="AX8" s="157" t="s">
        <v>12</v>
      </c>
      <c r="AY8" s="157" t="s">
        <v>13</v>
      </c>
      <c r="AZ8" s="157" t="s">
        <v>212</v>
      </c>
      <c r="BA8" s="157" t="s">
        <v>213</v>
      </c>
      <c r="BB8" s="120" t="s">
        <v>351</v>
      </c>
      <c r="BD8" s="63"/>
    </row>
    <row r="9" spans="1:56" ht="15.6" customHeight="1" thickBot="1">
      <c r="C9" s="24"/>
      <c r="D9" s="71"/>
      <c r="E9" s="124" t="str">
        <f>IF(D10="N","No data available","")</f>
        <v/>
      </c>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23"/>
    </row>
    <row r="10" spans="1:56" ht="27" customHeight="1" thickTop="1" thickBot="1">
      <c r="A10" cm="1">
        <f t="array" ref="A10:A59">_xlfn.SEQUENCE(50)</f>
        <v>1</v>
      </c>
      <c r="C10" s="24"/>
      <c r="D10" s="125" t="str" cm="1">
        <f t="array" ref="D10:K18">_xlfn._xlws.SORT(_xlfn._xlws.FILTER(INDEX(Table1[#Data],_xlfn.SEQUENCE(ROWS(Table1[#Data])),{9,2,76,77,80,78,79,81}),(Table1[Most curent]=TRUE)*(Table1[SBU]=$E$6)*(Table1[Execution Year]=$E$4)*(Table1[Current Phase]&lt;&gt;"Cancelled"),"N"),1,-1)</f>
        <v>RFP1 SCO Analysis</v>
      </c>
      <c r="E10" s="35" t="str">
        <v>Shave Gel/Foam</v>
      </c>
      <c r="F10" s="64">
        <v>0</v>
      </c>
      <c r="G10" s="64">
        <v>0</v>
      </c>
      <c r="H10" s="64">
        <v>0</v>
      </c>
      <c r="I10" s="64">
        <v>14000000</v>
      </c>
      <c r="J10" s="64">
        <v>0</v>
      </c>
      <c r="K10" s="64">
        <v>0</v>
      </c>
      <c r="L10" s="125" t="str" cm="1">
        <f t="array" ref="L10:X18">_xlfn._xlws.SORT(_xlfn._xlws.FILTER(INDEX(Table1[#Data],_xlfn.SEQUENCE(ROWS(Table1[#Data])),{2,9,13,14,15,16,17,18,19,20,21,22,23}),(Table1[Most curent]=TRUE)*(Table1[SBU]=$E$6)*(Table1[Execution Year]=$E$4)*(Table1[Current Phase]&lt;&gt;"Cancelled"),"No Data"),2,-1)</f>
        <v>Shave Gel/Foam</v>
      </c>
      <c r="M10" s="125" t="str">
        <v>RFP1 SCO Analysis</v>
      </c>
      <c r="N10" s="64">
        <v>0</v>
      </c>
      <c r="O10" s="64">
        <v>0</v>
      </c>
      <c r="P10" s="64">
        <v>0</v>
      </c>
      <c r="Q10" s="64">
        <v>0</v>
      </c>
      <c r="R10" s="64">
        <v>0</v>
      </c>
      <c r="S10" s="64">
        <v>0</v>
      </c>
      <c r="T10" s="64">
        <v>0</v>
      </c>
      <c r="U10" s="64">
        <v>0</v>
      </c>
      <c r="V10" s="64">
        <v>0</v>
      </c>
      <c r="W10" s="64">
        <v>0</v>
      </c>
      <c r="X10" s="64">
        <v>14000000</v>
      </c>
      <c r="Y10" s="65">
        <f>IF(E10="","",SUM(N10:X10))</f>
        <v>14000000</v>
      </c>
      <c r="Z10" s="125" t="str" cm="1">
        <f t="array" ref="Z10:AL19">_xlfn._xlws.SORT(_xlfn._xlws.FILTER(INDEX(Table1[#Data],_xlfn.SEQUENCE(ROWS(Table1[#Data])),{2,9,28,29,30,31,32,33,34,35,36,37,38}),(Table1[Most curent]=TRUE)*(Table1[SBU]=$E$6)*(Table1[Execution Year]=$E$4),"No Data"),2,-1)</f>
        <v>Shave Gel/Foam</v>
      </c>
      <c r="AA10" s="125" t="str">
        <v>RFP1 SCO Analysis</v>
      </c>
      <c r="AB10" s="64">
        <v>0</v>
      </c>
      <c r="AC10" s="64">
        <v>0</v>
      </c>
      <c r="AD10" s="64">
        <v>0</v>
      </c>
      <c r="AE10" s="64">
        <v>0</v>
      </c>
      <c r="AF10" s="64">
        <v>0</v>
      </c>
      <c r="AG10" s="64">
        <v>0</v>
      </c>
      <c r="AH10" s="64">
        <v>0</v>
      </c>
      <c r="AI10" s="64">
        <v>0</v>
      </c>
      <c r="AJ10" s="64">
        <v>0</v>
      </c>
      <c r="AK10" s="64">
        <v>0</v>
      </c>
      <c r="AL10" s="64">
        <v>0</v>
      </c>
      <c r="AM10" s="144">
        <f>IF(E10="","",SUM(AB10:AL10))</f>
        <v>0</v>
      </c>
      <c r="AN10" s="71"/>
      <c r="AO10" s="125" t="str" cm="1">
        <f t="array" ref="AO10:BA19">_xlfn._xlws.SORT(_xlfn._xlws.FILTER(INDEX(Table1[#Data],_xlfn.SEQUENCE(ROWS(Table1[#Data])),{2,9,39,40,41,42,43,44,45,46,47,48,49}),(Table1[Most curent]=TRUE)*(Table1[SBU]=$E$6)*(Table1[Execution Year]=$E$4),"No Data"),2,-1)</f>
        <v>Shave Gel/Foam</v>
      </c>
      <c r="AP10" s="125" t="str">
        <v>RFP1 SCO Analysis</v>
      </c>
      <c r="AQ10" s="64">
        <v>0</v>
      </c>
      <c r="AR10" s="64">
        <v>0</v>
      </c>
      <c r="AS10" s="64">
        <v>0</v>
      </c>
      <c r="AT10" s="64">
        <v>0</v>
      </c>
      <c r="AU10" s="64">
        <v>0</v>
      </c>
      <c r="AV10" s="64">
        <v>0</v>
      </c>
      <c r="AW10" s="64">
        <v>0</v>
      </c>
      <c r="AX10" s="64">
        <v>0</v>
      </c>
      <c r="AY10" s="64">
        <v>0</v>
      </c>
      <c r="AZ10" s="64">
        <v>0</v>
      </c>
      <c r="BA10" s="64">
        <v>0</v>
      </c>
      <c r="BB10" s="144">
        <f t="shared" ref="BB10:BB41" si="0">IF(E10="","",SUM(AQ10:BA10))</f>
        <v>0</v>
      </c>
      <c r="BC10" s="71"/>
      <c r="BD10" s="23"/>
    </row>
    <row r="11" spans="1:56" ht="27" customHeight="1" thickTop="1" thickBot="1">
      <c r="A11">
        <v>2</v>
      </c>
      <c r="C11" s="24"/>
      <c r="D11" s="125" t="str">
        <v>RFP1</v>
      </c>
      <c r="E11" s="35" t="str">
        <v>Batteries</v>
      </c>
      <c r="F11" s="64">
        <v>4900000</v>
      </c>
      <c r="G11" s="64">
        <v>0</v>
      </c>
      <c r="H11" s="64">
        <v>0</v>
      </c>
      <c r="I11" s="64">
        <v>8000000</v>
      </c>
      <c r="J11" s="64">
        <v>0</v>
      </c>
      <c r="K11" s="64">
        <v>0</v>
      </c>
      <c r="L11" s="125" t="str">
        <v>Batteries</v>
      </c>
      <c r="M11" s="125" t="str">
        <v>RFP1</v>
      </c>
      <c r="N11" s="64">
        <v>4900000</v>
      </c>
      <c r="O11" s="64">
        <v>0</v>
      </c>
      <c r="P11" s="64">
        <v>0</v>
      </c>
      <c r="Q11" s="64">
        <v>0</v>
      </c>
      <c r="R11" s="64">
        <v>0</v>
      </c>
      <c r="S11" s="64">
        <v>0</v>
      </c>
      <c r="T11" s="64">
        <v>0</v>
      </c>
      <c r="U11" s="64">
        <v>0</v>
      </c>
      <c r="V11" s="64">
        <v>0</v>
      </c>
      <c r="W11" s="64">
        <v>8000000</v>
      </c>
      <c r="X11" s="64">
        <v>0</v>
      </c>
      <c r="Y11" s="65">
        <f t="shared" ref="Y11:Y59" si="1">IF(E11="","",SUM(N11:X11))</f>
        <v>12900000</v>
      </c>
      <c r="Z11" s="125" t="str">
        <v>Batteries</v>
      </c>
      <c r="AA11" s="125" t="str">
        <v>RFP1</v>
      </c>
      <c r="AB11" s="64">
        <v>0</v>
      </c>
      <c r="AC11" s="64">
        <v>0</v>
      </c>
      <c r="AD11" s="64">
        <v>0</v>
      </c>
      <c r="AE11" s="64">
        <v>0</v>
      </c>
      <c r="AF11" s="64">
        <v>0</v>
      </c>
      <c r="AG11" s="64">
        <v>0</v>
      </c>
      <c r="AH11" s="64">
        <v>0</v>
      </c>
      <c r="AI11" s="64">
        <v>0</v>
      </c>
      <c r="AJ11" s="64">
        <v>0</v>
      </c>
      <c r="AK11" s="64">
        <v>0</v>
      </c>
      <c r="AL11" s="64">
        <v>0</v>
      </c>
      <c r="AM11" s="144">
        <f t="shared" ref="AM11:AM59" si="2">IF(E11="","",SUM(AB11:AL11))</f>
        <v>0</v>
      </c>
      <c r="AN11" s="71"/>
      <c r="AO11" s="125" t="str">
        <v>Batteries</v>
      </c>
      <c r="AP11" s="125" t="str">
        <v>RFP1</v>
      </c>
      <c r="AQ11" s="64">
        <v>0</v>
      </c>
      <c r="AR11" s="64">
        <v>0</v>
      </c>
      <c r="AS11" s="64">
        <v>0</v>
      </c>
      <c r="AT11" s="64">
        <v>0</v>
      </c>
      <c r="AU11" s="64">
        <v>0</v>
      </c>
      <c r="AV11" s="64">
        <v>0</v>
      </c>
      <c r="AW11" s="64">
        <v>0</v>
      </c>
      <c r="AX11" s="64">
        <v>0</v>
      </c>
      <c r="AY11" s="64">
        <v>0</v>
      </c>
      <c r="AZ11" s="64">
        <v>0</v>
      </c>
      <c r="BA11" s="64">
        <v>0</v>
      </c>
      <c r="BB11" s="144">
        <f t="shared" si="0"/>
        <v>0</v>
      </c>
      <c r="BC11" s="71"/>
      <c r="BD11" s="23"/>
    </row>
    <row r="12" spans="1:56" ht="27" customHeight="1" thickTop="1" thickBot="1">
      <c r="A12">
        <v>3</v>
      </c>
      <c r="C12" s="24"/>
      <c r="D12" s="125" t="str">
        <v>Pending PB/Merchant approval</v>
      </c>
      <c r="E12" s="35" t="str">
        <v>Wet pet food</v>
      </c>
      <c r="F12" s="64">
        <v>0</v>
      </c>
      <c r="G12" s="64">
        <v>0</v>
      </c>
      <c r="H12" s="64">
        <v>0</v>
      </c>
      <c r="I12" s="64">
        <v>254012919</v>
      </c>
      <c r="J12" s="64">
        <v>0</v>
      </c>
      <c r="K12" s="64">
        <v>0</v>
      </c>
      <c r="L12" s="125" t="str">
        <v>Wet pet food</v>
      </c>
      <c r="M12" s="125" t="str">
        <v>Pending PB/Merchant approval</v>
      </c>
      <c r="N12" s="64">
        <v>0</v>
      </c>
      <c r="O12" s="64">
        <v>0</v>
      </c>
      <c r="P12" s="64">
        <v>0</v>
      </c>
      <c r="Q12" s="64">
        <v>0</v>
      </c>
      <c r="R12" s="64">
        <v>0</v>
      </c>
      <c r="S12" s="64">
        <v>0</v>
      </c>
      <c r="T12" s="64">
        <v>0</v>
      </c>
      <c r="U12" s="64">
        <v>0</v>
      </c>
      <c r="V12" s="64">
        <v>0</v>
      </c>
      <c r="W12" s="64">
        <v>254012919</v>
      </c>
      <c r="X12" s="64">
        <v>0</v>
      </c>
      <c r="Y12" s="65">
        <f t="shared" si="1"/>
        <v>254012919</v>
      </c>
      <c r="Z12" s="125" t="str">
        <v>Wet pet food</v>
      </c>
      <c r="AA12" s="125" t="str">
        <v>Pending PB/Merchant approval</v>
      </c>
      <c r="AB12" s="64">
        <v>0</v>
      </c>
      <c r="AC12" s="64">
        <v>0</v>
      </c>
      <c r="AD12" s="64">
        <v>0</v>
      </c>
      <c r="AE12" s="64">
        <v>0</v>
      </c>
      <c r="AF12" s="64">
        <v>0</v>
      </c>
      <c r="AG12" s="64">
        <v>0</v>
      </c>
      <c r="AH12" s="64">
        <v>0</v>
      </c>
      <c r="AI12" s="64">
        <v>0</v>
      </c>
      <c r="AJ12" s="64">
        <v>0</v>
      </c>
      <c r="AK12" s="64">
        <v>0</v>
      </c>
      <c r="AL12" s="64">
        <v>0</v>
      </c>
      <c r="AM12" s="144">
        <f t="shared" si="2"/>
        <v>0</v>
      </c>
      <c r="AN12" s="71"/>
      <c r="AO12" s="125" t="str">
        <v>Wet pet food</v>
      </c>
      <c r="AP12" s="125" t="str">
        <v>Pending PB/Merchant approval</v>
      </c>
      <c r="AQ12" s="64">
        <v>0</v>
      </c>
      <c r="AR12" s="64">
        <v>0</v>
      </c>
      <c r="AS12" s="64">
        <v>0</v>
      </c>
      <c r="AT12" s="64">
        <v>0</v>
      </c>
      <c r="AU12" s="64">
        <v>0</v>
      </c>
      <c r="AV12" s="64">
        <v>0</v>
      </c>
      <c r="AW12" s="64">
        <v>0</v>
      </c>
      <c r="AX12" s="64">
        <v>0</v>
      </c>
      <c r="AY12" s="64">
        <v>0</v>
      </c>
      <c r="AZ12" s="64">
        <v>0</v>
      </c>
      <c r="BA12" s="64">
        <v>0</v>
      </c>
      <c r="BB12" s="144">
        <f t="shared" si="0"/>
        <v>0</v>
      </c>
      <c r="BC12" s="71"/>
      <c r="BD12" s="23"/>
    </row>
    <row r="13" spans="1:56" ht="27" customHeight="1" thickTop="1" thickBot="1">
      <c r="A13">
        <v>4</v>
      </c>
      <c r="C13" s="24"/>
      <c r="D13" s="125" t="str">
        <v>2_Bid Prep</v>
      </c>
      <c r="E13" s="35" t="str">
        <v>Absorbent pads</v>
      </c>
      <c r="F13" s="64">
        <v>3900000</v>
      </c>
      <c r="G13" s="64">
        <v>0</v>
      </c>
      <c r="H13" s="64">
        <v>0</v>
      </c>
      <c r="I13" s="64">
        <v>79400000</v>
      </c>
      <c r="J13" s="64">
        <v>0</v>
      </c>
      <c r="K13" s="64">
        <v>0</v>
      </c>
      <c r="L13" s="125" t="str">
        <v>Absorbent pads</v>
      </c>
      <c r="M13" s="125" t="str">
        <v>2_Bid Prep</v>
      </c>
      <c r="N13" s="64">
        <v>3900000</v>
      </c>
      <c r="O13" s="64">
        <v>0</v>
      </c>
      <c r="P13" s="64">
        <v>0</v>
      </c>
      <c r="Q13" s="64">
        <v>0</v>
      </c>
      <c r="R13" s="64">
        <v>0</v>
      </c>
      <c r="S13" s="64">
        <v>0</v>
      </c>
      <c r="T13" s="64">
        <v>0</v>
      </c>
      <c r="U13" s="64">
        <v>0</v>
      </c>
      <c r="V13" s="64">
        <v>0</v>
      </c>
      <c r="W13" s="64">
        <v>79400000</v>
      </c>
      <c r="X13" s="64">
        <v>0</v>
      </c>
      <c r="Y13" s="65">
        <f t="shared" si="1"/>
        <v>83300000</v>
      </c>
      <c r="Z13" s="125" t="str">
        <v>Mouthwash</v>
      </c>
      <c r="AA13" s="125" t="str">
        <v>Cancelled</v>
      </c>
      <c r="AB13" s="64">
        <v>0</v>
      </c>
      <c r="AC13" s="64">
        <v>0</v>
      </c>
      <c r="AD13" s="64">
        <v>0</v>
      </c>
      <c r="AE13" s="64">
        <v>0</v>
      </c>
      <c r="AF13" s="64">
        <v>0</v>
      </c>
      <c r="AG13" s="64">
        <v>0</v>
      </c>
      <c r="AH13" s="64">
        <v>0</v>
      </c>
      <c r="AI13" s="64">
        <v>0</v>
      </c>
      <c r="AJ13" s="64">
        <v>0</v>
      </c>
      <c r="AK13" s="64">
        <v>0</v>
      </c>
      <c r="AL13" s="64">
        <v>0</v>
      </c>
      <c r="AM13" s="144">
        <f t="shared" si="2"/>
        <v>0</v>
      </c>
      <c r="AN13" s="71"/>
      <c r="AO13" s="125" t="str">
        <v>Mouthwash</v>
      </c>
      <c r="AP13" s="125" t="str">
        <v>Cancelled</v>
      </c>
      <c r="AQ13" s="64">
        <v>0</v>
      </c>
      <c r="AR13" s="64">
        <v>0</v>
      </c>
      <c r="AS13" s="64">
        <v>0</v>
      </c>
      <c r="AT13" s="64">
        <v>0</v>
      </c>
      <c r="AU13" s="64">
        <v>0</v>
      </c>
      <c r="AV13" s="64">
        <v>0</v>
      </c>
      <c r="AW13" s="64">
        <v>0</v>
      </c>
      <c r="AX13" s="64">
        <v>0</v>
      </c>
      <c r="AY13" s="64">
        <v>0</v>
      </c>
      <c r="AZ13" s="64">
        <v>0</v>
      </c>
      <c r="BA13" s="64">
        <v>0</v>
      </c>
      <c r="BB13" s="144">
        <f t="shared" si="0"/>
        <v>0</v>
      </c>
      <c r="BC13" s="71"/>
      <c r="BD13" s="23"/>
    </row>
    <row r="14" spans="1:56" ht="27" customHeight="1" thickTop="1" thickBot="1">
      <c r="A14">
        <v>5</v>
      </c>
      <c r="C14" s="24"/>
      <c r="D14" s="125" t="str">
        <v>1_Exploratory</v>
      </c>
      <c r="E14" s="35" t="str">
        <v>Baby Wipes</v>
      </c>
      <c r="F14" s="64">
        <v>0</v>
      </c>
      <c r="G14" s="64">
        <v>0</v>
      </c>
      <c r="H14" s="64">
        <v>0</v>
      </c>
      <c r="I14" s="64">
        <v>184000000</v>
      </c>
      <c r="J14" s="64">
        <v>0</v>
      </c>
      <c r="K14" s="64">
        <v>0</v>
      </c>
      <c r="L14" s="125" t="str">
        <v>Baby Wipes</v>
      </c>
      <c r="M14" s="125" t="str">
        <v>1_Exploratory</v>
      </c>
      <c r="N14" s="64">
        <v>0</v>
      </c>
      <c r="O14" s="64">
        <v>0</v>
      </c>
      <c r="P14" s="64">
        <v>0</v>
      </c>
      <c r="Q14" s="64">
        <v>0</v>
      </c>
      <c r="R14" s="64">
        <v>0</v>
      </c>
      <c r="S14" s="64">
        <v>0</v>
      </c>
      <c r="T14" s="64">
        <v>0</v>
      </c>
      <c r="U14" s="64">
        <v>0</v>
      </c>
      <c r="V14" s="64">
        <v>0</v>
      </c>
      <c r="W14" s="64">
        <v>0</v>
      </c>
      <c r="X14" s="64">
        <v>184000000</v>
      </c>
      <c r="Y14" s="65">
        <f t="shared" si="1"/>
        <v>184000000</v>
      </c>
      <c r="Z14" s="125" t="str">
        <v>Absorbent pads</v>
      </c>
      <c r="AA14" s="125" t="str">
        <v>2_Bid Prep</v>
      </c>
      <c r="AB14" s="64">
        <v>0</v>
      </c>
      <c r="AC14" s="64">
        <v>0</v>
      </c>
      <c r="AD14" s="64">
        <v>0</v>
      </c>
      <c r="AE14" s="64">
        <v>0</v>
      </c>
      <c r="AF14" s="64">
        <v>0</v>
      </c>
      <c r="AG14" s="64">
        <v>0</v>
      </c>
      <c r="AH14" s="64">
        <v>0</v>
      </c>
      <c r="AI14" s="64">
        <v>0</v>
      </c>
      <c r="AJ14" s="64">
        <v>0</v>
      </c>
      <c r="AK14" s="64">
        <v>0</v>
      </c>
      <c r="AL14" s="64">
        <v>0</v>
      </c>
      <c r="AM14" s="144">
        <f t="shared" si="2"/>
        <v>0</v>
      </c>
      <c r="AN14" s="71"/>
      <c r="AO14" s="125" t="str">
        <v>Absorbent pads</v>
      </c>
      <c r="AP14" s="125" t="str">
        <v>2_Bid Prep</v>
      </c>
      <c r="AQ14" s="64">
        <v>0</v>
      </c>
      <c r="AR14" s="64">
        <v>0</v>
      </c>
      <c r="AS14" s="64">
        <v>0</v>
      </c>
      <c r="AT14" s="64">
        <v>0</v>
      </c>
      <c r="AU14" s="64">
        <v>0</v>
      </c>
      <c r="AV14" s="64">
        <v>0</v>
      </c>
      <c r="AW14" s="64">
        <v>0</v>
      </c>
      <c r="AX14" s="64">
        <v>0</v>
      </c>
      <c r="AY14" s="64">
        <v>0</v>
      </c>
      <c r="AZ14" s="64">
        <v>0</v>
      </c>
      <c r="BA14" s="64">
        <v>0</v>
      </c>
      <c r="BB14" s="144">
        <f t="shared" si="0"/>
        <v>0</v>
      </c>
      <c r="BC14" s="71"/>
      <c r="BD14" s="23"/>
    </row>
    <row r="15" spans="1:56" ht="27" customHeight="1" thickTop="1" thickBot="1">
      <c r="A15">
        <v>6</v>
      </c>
      <c r="C15" s="24"/>
      <c r="D15" s="125" t="str">
        <v>1_Exploratory</v>
      </c>
      <c r="E15" s="35" t="str">
        <v>Diapers II</v>
      </c>
      <c r="F15" s="64">
        <v>0</v>
      </c>
      <c r="G15" s="64">
        <v>0</v>
      </c>
      <c r="H15" s="64">
        <v>0</v>
      </c>
      <c r="I15" s="64">
        <v>184000000</v>
      </c>
      <c r="J15" s="64">
        <v>0</v>
      </c>
      <c r="K15" s="64">
        <v>0</v>
      </c>
      <c r="L15" s="125" t="str">
        <v>Diapers II</v>
      </c>
      <c r="M15" s="125" t="str">
        <v>1_Exploratory</v>
      </c>
      <c r="N15" s="64">
        <v>0</v>
      </c>
      <c r="O15" s="64">
        <v>0</v>
      </c>
      <c r="P15" s="64">
        <v>0</v>
      </c>
      <c r="Q15" s="64">
        <v>0</v>
      </c>
      <c r="R15" s="64">
        <v>0</v>
      </c>
      <c r="S15" s="64">
        <v>0</v>
      </c>
      <c r="T15" s="64">
        <v>0</v>
      </c>
      <c r="U15" s="64">
        <v>0</v>
      </c>
      <c r="V15" s="64">
        <v>0</v>
      </c>
      <c r="W15" s="64">
        <v>0</v>
      </c>
      <c r="X15" s="64">
        <v>184000000</v>
      </c>
      <c r="Y15" s="65">
        <f t="shared" si="1"/>
        <v>184000000</v>
      </c>
      <c r="Z15" s="125" t="str">
        <v>Baby Wipes</v>
      </c>
      <c r="AA15" s="125" t="str">
        <v>1_Exploratory</v>
      </c>
      <c r="AB15" s="64">
        <v>0</v>
      </c>
      <c r="AC15" s="64">
        <v>0</v>
      </c>
      <c r="AD15" s="64">
        <v>0</v>
      </c>
      <c r="AE15" s="64">
        <v>0</v>
      </c>
      <c r="AF15" s="64">
        <v>0</v>
      </c>
      <c r="AG15" s="64">
        <v>0</v>
      </c>
      <c r="AH15" s="64">
        <v>0</v>
      </c>
      <c r="AI15" s="64">
        <v>0</v>
      </c>
      <c r="AJ15" s="64">
        <v>0</v>
      </c>
      <c r="AK15" s="64">
        <v>0</v>
      </c>
      <c r="AL15" s="64">
        <v>0</v>
      </c>
      <c r="AM15" s="144">
        <f t="shared" si="2"/>
        <v>0</v>
      </c>
      <c r="AN15" s="71"/>
      <c r="AO15" s="125" t="str">
        <v>Baby Wipes</v>
      </c>
      <c r="AP15" s="125" t="str">
        <v>1_Exploratory</v>
      </c>
      <c r="AQ15" s="64">
        <v>0</v>
      </c>
      <c r="AR15" s="64">
        <v>0</v>
      </c>
      <c r="AS15" s="64">
        <v>0</v>
      </c>
      <c r="AT15" s="64">
        <v>0</v>
      </c>
      <c r="AU15" s="64">
        <v>0</v>
      </c>
      <c r="AV15" s="64">
        <v>0</v>
      </c>
      <c r="AW15" s="64">
        <v>0</v>
      </c>
      <c r="AX15" s="64">
        <v>0</v>
      </c>
      <c r="AY15" s="64">
        <v>0</v>
      </c>
      <c r="AZ15" s="64">
        <v>0</v>
      </c>
      <c r="BA15" s="64">
        <v>0</v>
      </c>
      <c r="BB15" s="144">
        <f t="shared" si="0"/>
        <v>0</v>
      </c>
      <c r="BC15" s="71"/>
      <c r="BD15" s="23"/>
    </row>
    <row r="16" spans="1:56" ht="27" customHeight="1" thickTop="1" thickBot="1">
      <c r="A16">
        <v>7</v>
      </c>
      <c r="C16" s="24"/>
      <c r="D16" s="125" t="str">
        <v>1_Exploratory</v>
      </c>
      <c r="E16" s="35" t="str">
        <v>Dog treats and rawhides</v>
      </c>
      <c r="F16" s="64">
        <v>0</v>
      </c>
      <c r="G16" s="64">
        <v>0</v>
      </c>
      <c r="H16" s="64">
        <v>0</v>
      </c>
      <c r="I16" s="64">
        <v>216000000</v>
      </c>
      <c r="J16" s="64">
        <v>0</v>
      </c>
      <c r="K16" s="64">
        <v>0</v>
      </c>
      <c r="L16" s="125" t="str">
        <v>Dog treats and rawhides</v>
      </c>
      <c r="M16" s="125" t="str">
        <v>1_Exploratory</v>
      </c>
      <c r="N16" s="64">
        <v>0</v>
      </c>
      <c r="O16" s="64">
        <v>0</v>
      </c>
      <c r="P16" s="64">
        <v>0</v>
      </c>
      <c r="Q16" s="64">
        <v>0</v>
      </c>
      <c r="R16" s="64">
        <v>0</v>
      </c>
      <c r="S16" s="64">
        <v>0</v>
      </c>
      <c r="T16" s="64">
        <v>0</v>
      </c>
      <c r="U16" s="64">
        <v>0</v>
      </c>
      <c r="V16" s="64">
        <v>0</v>
      </c>
      <c r="W16" s="64">
        <v>0</v>
      </c>
      <c r="X16" s="64">
        <v>216000000</v>
      </c>
      <c r="Y16" s="65">
        <f t="shared" si="1"/>
        <v>216000000</v>
      </c>
      <c r="Z16" s="125" t="str">
        <v>Diapers II</v>
      </c>
      <c r="AA16" s="125" t="str">
        <v>1_Exploratory</v>
      </c>
      <c r="AB16" s="64">
        <v>0</v>
      </c>
      <c r="AC16" s="64">
        <v>0</v>
      </c>
      <c r="AD16" s="64">
        <v>0</v>
      </c>
      <c r="AE16" s="64">
        <v>0</v>
      </c>
      <c r="AF16" s="64">
        <v>0</v>
      </c>
      <c r="AG16" s="64">
        <v>0</v>
      </c>
      <c r="AH16" s="64">
        <v>0</v>
      </c>
      <c r="AI16" s="64">
        <v>0</v>
      </c>
      <c r="AJ16" s="64">
        <v>0</v>
      </c>
      <c r="AK16" s="64">
        <v>0</v>
      </c>
      <c r="AL16" s="64">
        <v>0</v>
      </c>
      <c r="AM16" s="144">
        <f t="shared" si="2"/>
        <v>0</v>
      </c>
      <c r="AN16" s="71"/>
      <c r="AO16" s="125" t="str">
        <v>Diapers II</v>
      </c>
      <c r="AP16" s="125" t="str">
        <v>1_Exploratory</v>
      </c>
      <c r="AQ16" s="64">
        <v>0</v>
      </c>
      <c r="AR16" s="64">
        <v>0</v>
      </c>
      <c r="AS16" s="64">
        <v>0</v>
      </c>
      <c r="AT16" s="64">
        <v>0</v>
      </c>
      <c r="AU16" s="64">
        <v>0</v>
      </c>
      <c r="AV16" s="64">
        <v>0</v>
      </c>
      <c r="AW16" s="64">
        <v>0</v>
      </c>
      <c r="AX16" s="64">
        <v>0</v>
      </c>
      <c r="AY16" s="64">
        <v>0</v>
      </c>
      <c r="AZ16" s="64">
        <v>0</v>
      </c>
      <c r="BA16" s="64">
        <v>0</v>
      </c>
      <c r="BB16" s="144">
        <f t="shared" si="0"/>
        <v>0</v>
      </c>
      <c r="BC16" s="71"/>
      <c r="BD16" s="23"/>
    </row>
    <row r="17" spans="1:56" ht="27" customHeight="1" thickTop="1" thickBot="1">
      <c r="A17">
        <v>8</v>
      </c>
      <c r="C17" s="24"/>
      <c r="D17" s="125" t="str">
        <v>1_Exploratory</v>
      </c>
      <c r="E17" s="35" t="str">
        <v>DTT - Plastic</v>
      </c>
      <c r="F17" s="64">
        <v>0</v>
      </c>
      <c r="G17" s="64">
        <v>0</v>
      </c>
      <c r="H17" s="64">
        <v>0</v>
      </c>
      <c r="I17" s="64">
        <v>343000000</v>
      </c>
      <c r="J17" s="64">
        <v>0</v>
      </c>
      <c r="K17" s="64">
        <v>0</v>
      </c>
      <c r="L17" s="125" t="str">
        <v>DTT - Plastic</v>
      </c>
      <c r="M17" s="125" t="str">
        <v>1_Exploratory</v>
      </c>
      <c r="N17" s="64">
        <v>0</v>
      </c>
      <c r="O17" s="64">
        <v>0</v>
      </c>
      <c r="P17" s="64">
        <v>0</v>
      </c>
      <c r="Q17" s="64">
        <v>0</v>
      </c>
      <c r="R17" s="64">
        <v>0</v>
      </c>
      <c r="S17" s="64">
        <v>0</v>
      </c>
      <c r="T17" s="64">
        <v>0</v>
      </c>
      <c r="U17" s="64">
        <v>0</v>
      </c>
      <c r="V17" s="64">
        <v>0</v>
      </c>
      <c r="W17" s="64">
        <v>0</v>
      </c>
      <c r="X17" s="64">
        <v>343000000</v>
      </c>
      <c r="Y17" s="65">
        <f t="shared" si="1"/>
        <v>343000000</v>
      </c>
      <c r="Z17" s="125" t="str">
        <v>Dog treats and rawhides</v>
      </c>
      <c r="AA17" s="125" t="str">
        <v>1_Exploratory</v>
      </c>
      <c r="AB17" s="64">
        <v>0</v>
      </c>
      <c r="AC17" s="64">
        <v>0</v>
      </c>
      <c r="AD17" s="64">
        <v>0</v>
      </c>
      <c r="AE17" s="64">
        <v>0</v>
      </c>
      <c r="AF17" s="64">
        <v>0</v>
      </c>
      <c r="AG17" s="64">
        <v>0</v>
      </c>
      <c r="AH17" s="64">
        <v>0</v>
      </c>
      <c r="AI17" s="64">
        <v>0</v>
      </c>
      <c r="AJ17" s="64">
        <v>0</v>
      </c>
      <c r="AK17" s="64">
        <v>0</v>
      </c>
      <c r="AL17" s="64">
        <v>0</v>
      </c>
      <c r="AM17" s="144">
        <f t="shared" si="2"/>
        <v>0</v>
      </c>
      <c r="AN17" s="71"/>
      <c r="AO17" s="125" t="str">
        <v>Dog treats and rawhides</v>
      </c>
      <c r="AP17" s="125" t="str">
        <v>1_Exploratory</v>
      </c>
      <c r="AQ17" s="64">
        <v>0</v>
      </c>
      <c r="AR17" s="64">
        <v>0</v>
      </c>
      <c r="AS17" s="64">
        <v>0</v>
      </c>
      <c r="AT17" s="64">
        <v>0</v>
      </c>
      <c r="AU17" s="64">
        <v>0</v>
      </c>
      <c r="AV17" s="64">
        <v>0</v>
      </c>
      <c r="AW17" s="64">
        <v>0</v>
      </c>
      <c r="AX17" s="64">
        <v>0</v>
      </c>
      <c r="AY17" s="64">
        <v>0</v>
      </c>
      <c r="AZ17" s="64">
        <v>0</v>
      </c>
      <c r="BA17" s="64">
        <v>0</v>
      </c>
      <c r="BB17" s="144">
        <f t="shared" si="0"/>
        <v>0</v>
      </c>
      <c r="BC17" s="71"/>
      <c r="BD17" s="23"/>
    </row>
    <row r="18" spans="1:56" ht="27" customHeight="1" thickTop="1" thickBot="1">
      <c r="A18">
        <v>9</v>
      </c>
      <c r="C18" s="24"/>
      <c r="D18" s="125" t="str">
        <v>1_Exploratory</v>
      </c>
      <c r="E18" s="35" t="str">
        <v>Paper Products II</v>
      </c>
      <c r="F18" s="64">
        <v>0</v>
      </c>
      <c r="G18" s="64">
        <v>0</v>
      </c>
      <c r="H18" s="64">
        <v>0</v>
      </c>
      <c r="I18" s="64">
        <v>863000000</v>
      </c>
      <c r="J18" s="64">
        <v>0</v>
      </c>
      <c r="K18" s="64">
        <v>0</v>
      </c>
      <c r="L18" s="125" t="str">
        <v>Paper Products II</v>
      </c>
      <c r="M18" s="125" t="str">
        <v>1_Exploratory</v>
      </c>
      <c r="N18" s="64">
        <v>0</v>
      </c>
      <c r="O18" s="64">
        <v>0</v>
      </c>
      <c r="P18" s="64">
        <v>0</v>
      </c>
      <c r="Q18" s="64">
        <v>0</v>
      </c>
      <c r="R18" s="64">
        <v>0</v>
      </c>
      <c r="S18" s="64">
        <v>0</v>
      </c>
      <c r="T18" s="64">
        <v>0</v>
      </c>
      <c r="U18" s="64">
        <v>0</v>
      </c>
      <c r="V18" s="64">
        <v>0</v>
      </c>
      <c r="W18" s="64">
        <v>0</v>
      </c>
      <c r="X18" s="64">
        <v>863000000</v>
      </c>
      <c r="Y18" s="65">
        <f t="shared" si="1"/>
        <v>863000000</v>
      </c>
      <c r="Z18" s="125" t="str">
        <v>DTT - Plastic</v>
      </c>
      <c r="AA18" s="125" t="str">
        <v>1_Exploratory</v>
      </c>
      <c r="AB18" s="64">
        <v>0</v>
      </c>
      <c r="AC18" s="64">
        <v>0</v>
      </c>
      <c r="AD18" s="64">
        <v>0</v>
      </c>
      <c r="AE18" s="64">
        <v>0</v>
      </c>
      <c r="AF18" s="64">
        <v>0</v>
      </c>
      <c r="AG18" s="64">
        <v>0</v>
      </c>
      <c r="AH18" s="64">
        <v>0</v>
      </c>
      <c r="AI18" s="64">
        <v>0</v>
      </c>
      <c r="AJ18" s="64">
        <v>0</v>
      </c>
      <c r="AK18" s="64">
        <v>0</v>
      </c>
      <c r="AL18" s="64">
        <v>0</v>
      </c>
      <c r="AM18" s="144">
        <f t="shared" si="2"/>
        <v>0</v>
      </c>
      <c r="AN18" s="71"/>
      <c r="AO18" s="125" t="str">
        <v>DTT - Plastic</v>
      </c>
      <c r="AP18" s="125" t="str">
        <v>1_Exploratory</v>
      </c>
      <c r="AQ18" s="64">
        <v>0</v>
      </c>
      <c r="AR18" s="64">
        <v>0</v>
      </c>
      <c r="AS18" s="64">
        <v>0</v>
      </c>
      <c r="AT18" s="64">
        <v>0</v>
      </c>
      <c r="AU18" s="64">
        <v>0</v>
      </c>
      <c r="AV18" s="64">
        <v>0</v>
      </c>
      <c r="AW18" s="64">
        <v>0</v>
      </c>
      <c r="AX18" s="64">
        <v>0</v>
      </c>
      <c r="AY18" s="64">
        <v>0</v>
      </c>
      <c r="AZ18" s="64">
        <v>0</v>
      </c>
      <c r="BA18" s="64">
        <v>0</v>
      </c>
      <c r="BB18" s="144">
        <f t="shared" si="0"/>
        <v>0</v>
      </c>
      <c r="BC18" s="71"/>
      <c r="BD18" s="23"/>
    </row>
    <row r="19" spans="1:56" ht="27" customHeight="1" thickTop="1" thickBot="1">
      <c r="A19">
        <v>10</v>
      </c>
      <c r="C19" s="24"/>
      <c r="D19" s="125"/>
      <c r="E19" s="35"/>
      <c r="F19" s="64"/>
      <c r="G19" s="64"/>
      <c r="H19" s="64"/>
      <c r="I19" s="64"/>
      <c r="J19" s="64"/>
      <c r="K19" s="64"/>
      <c r="L19" s="125"/>
      <c r="M19" s="125"/>
      <c r="N19" s="64"/>
      <c r="O19" s="64"/>
      <c r="P19" s="64"/>
      <c r="Q19" s="64"/>
      <c r="R19" s="64"/>
      <c r="S19" s="64"/>
      <c r="T19" s="64"/>
      <c r="U19" s="64"/>
      <c r="V19" s="64"/>
      <c r="W19" s="64"/>
      <c r="X19" s="64"/>
      <c r="Y19" s="65" t="str">
        <f t="shared" si="1"/>
        <v/>
      </c>
      <c r="Z19" s="125" t="str">
        <v>Paper Products II</v>
      </c>
      <c r="AA19" s="125" t="str">
        <v>1_Exploratory</v>
      </c>
      <c r="AB19" s="64">
        <v>0</v>
      </c>
      <c r="AC19" s="64">
        <v>0</v>
      </c>
      <c r="AD19" s="64">
        <v>0</v>
      </c>
      <c r="AE19" s="64">
        <v>0</v>
      </c>
      <c r="AF19" s="64">
        <v>0</v>
      </c>
      <c r="AG19" s="64">
        <v>0</v>
      </c>
      <c r="AH19" s="64">
        <v>0</v>
      </c>
      <c r="AI19" s="64">
        <v>0</v>
      </c>
      <c r="AJ19" s="64">
        <v>0</v>
      </c>
      <c r="AK19" s="64">
        <v>0</v>
      </c>
      <c r="AL19" s="64">
        <v>0</v>
      </c>
      <c r="AM19" s="144" t="str">
        <f t="shared" si="2"/>
        <v/>
      </c>
      <c r="AN19" s="71"/>
      <c r="AO19" s="125" t="str">
        <v>Paper Products II</v>
      </c>
      <c r="AP19" s="125" t="str">
        <v>1_Exploratory</v>
      </c>
      <c r="AQ19" s="64">
        <v>0</v>
      </c>
      <c r="AR19" s="64">
        <v>0</v>
      </c>
      <c r="AS19" s="64">
        <v>0</v>
      </c>
      <c r="AT19" s="64">
        <v>0</v>
      </c>
      <c r="AU19" s="64">
        <v>0</v>
      </c>
      <c r="AV19" s="64">
        <v>0</v>
      </c>
      <c r="AW19" s="64">
        <v>0</v>
      </c>
      <c r="AX19" s="64">
        <v>0</v>
      </c>
      <c r="AY19" s="64">
        <v>0</v>
      </c>
      <c r="AZ19" s="64">
        <v>0</v>
      </c>
      <c r="BA19" s="64">
        <v>0</v>
      </c>
      <c r="BB19" s="144" t="str">
        <f t="shared" si="0"/>
        <v/>
      </c>
      <c r="BC19" s="71"/>
      <c r="BD19" s="23"/>
    </row>
    <row r="20" spans="1:56" ht="27" customHeight="1" thickTop="1" thickBot="1">
      <c r="A20">
        <v>11</v>
      </c>
      <c r="C20" s="24"/>
      <c r="D20" s="125"/>
      <c r="E20" s="35"/>
      <c r="F20" s="64"/>
      <c r="G20" s="64"/>
      <c r="H20" s="64"/>
      <c r="I20" s="64"/>
      <c r="J20" s="64"/>
      <c r="K20" s="64"/>
      <c r="L20" s="125"/>
      <c r="M20" s="125"/>
      <c r="N20" s="64"/>
      <c r="O20" s="64"/>
      <c r="P20" s="64"/>
      <c r="Q20" s="64"/>
      <c r="R20" s="64"/>
      <c r="S20" s="64"/>
      <c r="T20" s="64"/>
      <c r="U20" s="64"/>
      <c r="V20" s="64"/>
      <c r="W20" s="64"/>
      <c r="X20" s="64"/>
      <c r="Y20" s="65" t="str">
        <f t="shared" si="1"/>
        <v/>
      </c>
      <c r="Z20" s="125"/>
      <c r="AA20" s="125"/>
      <c r="AB20" s="64"/>
      <c r="AC20" s="64"/>
      <c r="AD20" s="64"/>
      <c r="AE20" s="64"/>
      <c r="AF20" s="64"/>
      <c r="AG20" s="64"/>
      <c r="AH20" s="64"/>
      <c r="AI20" s="64"/>
      <c r="AJ20" s="64"/>
      <c r="AK20" s="64"/>
      <c r="AL20" s="64"/>
      <c r="AM20" s="144" t="str">
        <f t="shared" si="2"/>
        <v/>
      </c>
      <c r="AN20" s="71"/>
      <c r="AO20" s="125"/>
      <c r="AP20" s="125"/>
      <c r="AQ20" s="64"/>
      <c r="AR20" s="64"/>
      <c r="AS20" s="64"/>
      <c r="AT20" s="64"/>
      <c r="AU20" s="64"/>
      <c r="AV20" s="64"/>
      <c r="AW20" s="64"/>
      <c r="AX20" s="64"/>
      <c r="AY20" s="64"/>
      <c r="AZ20" s="64"/>
      <c r="BA20" s="64"/>
      <c r="BB20" s="144" t="str">
        <f t="shared" si="0"/>
        <v/>
      </c>
      <c r="BC20" s="71"/>
      <c r="BD20" s="23"/>
    </row>
    <row r="21" spans="1:56" ht="27" customHeight="1" thickTop="1" thickBot="1">
      <c r="A21">
        <v>12</v>
      </c>
      <c r="C21" s="24"/>
      <c r="D21" s="125"/>
      <c r="E21" s="35"/>
      <c r="F21" s="64"/>
      <c r="G21" s="64"/>
      <c r="H21" s="64"/>
      <c r="I21" s="64"/>
      <c r="J21" s="64"/>
      <c r="K21" s="64"/>
      <c r="L21" s="125"/>
      <c r="M21" s="125"/>
      <c r="N21" s="64"/>
      <c r="O21" s="64"/>
      <c r="P21" s="64"/>
      <c r="Q21" s="64"/>
      <c r="R21" s="64"/>
      <c r="S21" s="64"/>
      <c r="T21" s="64"/>
      <c r="U21" s="64"/>
      <c r="V21" s="64"/>
      <c r="W21" s="64"/>
      <c r="X21" s="64"/>
      <c r="Y21" s="65" t="str">
        <f t="shared" si="1"/>
        <v/>
      </c>
      <c r="Z21" s="125"/>
      <c r="AA21" s="125"/>
      <c r="AB21" s="64"/>
      <c r="AC21" s="64"/>
      <c r="AD21" s="64"/>
      <c r="AE21" s="64"/>
      <c r="AF21" s="64"/>
      <c r="AG21" s="64"/>
      <c r="AH21" s="64"/>
      <c r="AI21" s="64"/>
      <c r="AJ21" s="64"/>
      <c r="AK21" s="64"/>
      <c r="AL21" s="64"/>
      <c r="AM21" s="144" t="str">
        <f t="shared" si="2"/>
        <v/>
      </c>
      <c r="AN21" s="71"/>
      <c r="AO21" s="125"/>
      <c r="AP21" s="125"/>
      <c r="AQ21" s="64"/>
      <c r="AR21" s="64"/>
      <c r="AS21" s="64"/>
      <c r="AT21" s="64"/>
      <c r="AU21" s="64"/>
      <c r="AV21" s="64"/>
      <c r="AW21" s="64"/>
      <c r="AX21" s="64"/>
      <c r="AY21" s="64"/>
      <c r="AZ21" s="64"/>
      <c r="BA21" s="64"/>
      <c r="BB21" s="144" t="str">
        <f t="shared" si="0"/>
        <v/>
      </c>
      <c r="BC21" s="71"/>
      <c r="BD21" s="23"/>
    </row>
    <row r="22" spans="1:56" ht="27" customHeight="1" thickTop="1" thickBot="1">
      <c r="A22">
        <v>13</v>
      </c>
      <c r="C22" s="24"/>
      <c r="D22" s="125"/>
      <c r="E22" s="35"/>
      <c r="F22" s="64"/>
      <c r="G22" s="64"/>
      <c r="H22" s="64"/>
      <c r="I22" s="64"/>
      <c r="J22" s="64"/>
      <c r="K22" s="64"/>
      <c r="L22" s="125"/>
      <c r="M22" s="125"/>
      <c r="N22" s="64"/>
      <c r="O22" s="64"/>
      <c r="P22" s="64"/>
      <c r="Q22" s="64"/>
      <c r="R22" s="64"/>
      <c r="S22" s="64"/>
      <c r="T22" s="64"/>
      <c r="U22" s="64"/>
      <c r="V22" s="64"/>
      <c r="W22" s="64"/>
      <c r="X22" s="64"/>
      <c r="Y22" s="65" t="str">
        <f t="shared" si="1"/>
        <v/>
      </c>
      <c r="Z22" s="125"/>
      <c r="AA22" s="125"/>
      <c r="AB22" s="64"/>
      <c r="AC22" s="64"/>
      <c r="AD22" s="64"/>
      <c r="AE22" s="64"/>
      <c r="AF22" s="64"/>
      <c r="AG22" s="64"/>
      <c r="AH22" s="64"/>
      <c r="AI22" s="64"/>
      <c r="AJ22" s="64"/>
      <c r="AK22" s="64"/>
      <c r="AL22" s="64"/>
      <c r="AM22" s="144" t="str">
        <f t="shared" si="2"/>
        <v/>
      </c>
      <c r="AN22" s="71"/>
      <c r="AO22" s="125"/>
      <c r="AP22" s="125"/>
      <c r="AQ22" s="64"/>
      <c r="AR22" s="64"/>
      <c r="AS22" s="64"/>
      <c r="AT22" s="64"/>
      <c r="AU22" s="64"/>
      <c r="AV22" s="64"/>
      <c r="AW22" s="64"/>
      <c r="AX22" s="64"/>
      <c r="AY22" s="64"/>
      <c r="AZ22" s="64"/>
      <c r="BA22" s="64"/>
      <c r="BB22" s="144" t="str">
        <f t="shared" si="0"/>
        <v/>
      </c>
      <c r="BC22" s="71"/>
      <c r="BD22" s="23"/>
    </row>
    <row r="23" spans="1:56" ht="27" customHeight="1" thickTop="1" thickBot="1">
      <c r="A23">
        <v>14</v>
      </c>
      <c r="C23" s="24"/>
      <c r="D23" s="125"/>
      <c r="E23" s="35"/>
      <c r="F23" s="64"/>
      <c r="G23" s="64"/>
      <c r="H23" s="64"/>
      <c r="I23" s="64"/>
      <c r="J23" s="64"/>
      <c r="K23" s="64"/>
      <c r="L23" s="125"/>
      <c r="M23" s="125"/>
      <c r="N23" s="64"/>
      <c r="O23" s="64"/>
      <c r="P23" s="64"/>
      <c r="Q23" s="64"/>
      <c r="R23" s="64"/>
      <c r="S23" s="64"/>
      <c r="T23" s="64"/>
      <c r="U23" s="64"/>
      <c r="V23" s="64"/>
      <c r="W23" s="64"/>
      <c r="X23" s="64"/>
      <c r="Y23" s="65" t="str">
        <f t="shared" si="1"/>
        <v/>
      </c>
      <c r="Z23" s="125"/>
      <c r="AA23" s="125"/>
      <c r="AB23" s="64"/>
      <c r="AC23" s="64"/>
      <c r="AD23" s="64"/>
      <c r="AE23" s="64"/>
      <c r="AF23" s="64"/>
      <c r="AG23" s="64"/>
      <c r="AH23" s="64"/>
      <c r="AI23" s="64"/>
      <c r="AJ23" s="64"/>
      <c r="AK23" s="64"/>
      <c r="AL23" s="64"/>
      <c r="AM23" s="144" t="str">
        <f t="shared" si="2"/>
        <v/>
      </c>
      <c r="AN23" s="71"/>
      <c r="AO23" s="125"/>
      <c r="AP23" s="125"/>
      <c r="AQ23" s="64"/>
      <c r="AR23" s="64"/>
      <c r="AS23" s="64"/>
      <c r="AT23" s="64"/>
      <c r="AU23" s="64"/>
      <c r="AV23" s="64"/>
      <c r="AW23" s="64"/>
      <c r="AX23" s="64"/>
      <c r="AY23" s="64"/>
      <c r="AZ23" s="64"/>
      <c r="BA23" s="64"/>
      <c r="BB23" s="144" t="str">
        <f t="shared" si="0"/>
        <v/>
      </c>
      <c r="BC23" s="71"/>
      <c r="BD23" s="23"/>
    </row>
    <row r="24" spans="1:56" ht="27" customHeight="1" thickTop="1" thickBot="1">
      <c r="A24">
        <v>15</v>
      </c>
      <c r="C24" s="24"/>
      <c r="D24" s="125"/>
      <c r="E24" s="35"/>
      <c r="F24" s="64"/>
      <c r="G24" s="64"/>
      <c r="H24" s="64"/>
      <c r="I24" s="64"/>
      <c r="J24" s="64"/>
      <c r="K24" s="64"/>
      <c r="L24" s="125"/>
      <c r="M24" s="125"/>
      <c r="N24" s="64"/>
      <c r="O24" s="64"/>
      <c r="P24" s="64"/>
      <c r="Q24" s="64"/>
      <c r="R24" s="64"/>
      <c r="S24" s="64"/>
      <c r="T24" s="64"/>
      <c r="U24" s="64"/>
      <c r="V24" s="64"/>
      <c r="W24" s="64"/>
      <c r="X24" s="64"/>
      <c r="Y24" s="65" t="str">
        <f t="shared" si="1"/>
        <v/>
      </c>
      <c r="Z24" s="125"/>
      <c r="AA24" s="125"/>
      <c r="AB24" s="64"/>
      <c r="AC24" s="64"/>
      <c r="AD24" s="64"/>
      <c r="AE24" s="64"/>
      <c r="AF24" s="64"/>
      <c r="AG24" s="64"/>
      <c r="AH24" s="64"/>
      <c r="AI24" s="64"/>
      <c r="AJ24" s="64"/>
      <c r="AK24" s="64"/>
      <c r="AL24" s="64"/>
      <c r="AM24" s="144" t="str">
        <f t="shared" si="2"/>
        <v/>
      </c>
      <c r="AN24" s="71"/>
      <c r="AO24" s="125"/>
      <c r="AP24" s="125"/>
      <c r="AQ24" s="64"/>
      <c r="AR24" s="64"/>
      <c r="AS24" s="64"/>
      <c r="AT24" s="64"/>
      <c r="AU24" s="64"/>
      <c r="AV24" s="64"/>
      <c r="AW24" s="64"/>
      <c r="AX24" s="64"/>
      <c r="AY24" s="64"/>
      <c r="AZ24" s="64"/>
      <c r="BA24" s="64"/>
      <c r="BB24" s="144" t="str">
        <f t="shared" si="0"/>
        <v/>
      </c>
      <c r="BC24" s="71"/>
      <c r="BD24" s="23"/>
    </row>
    <row r="25" spans="1:56" ht="27" customHeight="1" thickTop="1" thickBot="1">
      <c r="A25">
        <v>16</v>
      </c>
      <c r="C25" s="24"/>
      <c r="D25" s="125"/>
      <c r="E25" s="35"/>
      <c r="F25" s="64"/>
      <c r="G25" s="64"/>
      <c r="H25" s="64"/>
      <c r="I25" s="64"/>
      <c r="J25" s="64"/>
      <c r="K25" s="64"/>
      <c r="L25" s="125"/>
      <c r="M25" s="125"/>
      <c r="N25" s="64"/>
      <c r="O25" s="64"/>
      <c r="P25" s="64"/>
      <c r="Q25" s="64"/>
      <c r="R25" s="64"/>
      <c r="S25" s="64"/>
      <c r="T25" s="64"/>
      <c r="U25" s="64"/>
      <c r="V25" s="64"/>
      <c r="W25" s="64"/>
      <c r="X25" s="64"/>
      <c r="Y25" s="65" t="str">
        <f t="shared" si="1"/>
        <v/>
      </c>
      <c r="Z25" s="125"/>
      <c r="AA25" s="125"/>
      <c r="AB25" s="64"/>
      <c r="AC25" s="64"/>
      <c r="AD25" s="64"/>
      <c r="AE25" s="64"/>
      <c r="AF25" s="64"/>
      <c r="AG25" s="64"/>
      <c r="AH25" s="64"/>
      <c r="AI25" s="64"/>
      <c r="AJ25" s="64"/>
      <c r="AK25" s="64"/>
      <c r="AL25" s="64"/>
      <c r="AM25" s="144" t="str">
        <f t="shared" si="2"/>
        <v/>
      </c>
      <c r="AN25" s="71"/>
      <c r="AO25" s="125"/>
      <c r="AP25" s="125"/>
      <c r="AQ25" s="64"/>
      <c r="AR25" s="64"/>
      <c r="AS25" s="64"/>
      <c r="AT25" s="64"/>
      <c r="AU25" s="64"/>
      <c r="AV25" s="64"/>
      <c r="AW25" s="64"/>
      <c r="AX25" s="64"/>
      <c r="AY25" s="64"/>
      <c r="AZ25" s="64"/>
      <c r="BA25" s="64"/>
      <c r="BB25" s="144" t="str">
        <f t="shared" si="0"/>
        <v/>
      </c>
      <c r="BC25" s="71"/>
      <c r="BD25" s="23"/>
    </row>
    <row r="26" spans="1:56" ht="27" customHeight="1" thickTop="1" thickBot="1">
      <c r="A26">
        <v>17</v>
      </c>
      <c r="C26" s="24"/>
      <c r="D26" s="125"/>
      <c r="E26" s="35"/>
      <c r="F26" s="64"/>
      <c r="G26" s="64"/>
      <c r="H26" s="64"/>
      <c r="I26" s="64"/>
      <c r="J26" s="64"/>
      <c r="K26" s="64"/>
      <c r="L26" s="125"/>
      <c r="M26" s="125"/>
      <c r="N26" s="64"/>
      <c r="O26" s="64"/>
      <c r="P26" s="64"/>
      <c r="Q26" s="64"/>
      <c r="R26" s="64"/>
      <c r="S26" s="64"/>
      <c r="T26" s="64"/>
      <c r="U26" s="64"/>
      <c r="V26" s="64"/>
      <c r="W26" s="64"/>
      <c r="X26" s="64"/>
      <c r="Y26" s="65" t="str">
        <f t="shared" si="1"/>
        <v/>
      </c>
      <c r="Z26" s="125"/>
      <c r="AA26" s="125"/>
      <c r="AB26" s="64"/>
      <c r="AC26" s="64"/>
      <c r="AD26" s="64"/>
      <c r="AE26" s="64"/>
      <c r="AF26" s="64"/>
      <c r="AG26" s="64"/>
      <c r="AH26" s="64"/>
      <c r="AI26" s="64"/>
      <c r="AJ26" s="64"/>
      <c r="AK26" s="64"/>
      <c r="AL26" s="64"/>
      <c r="AM26" s="144" t="str">
        <f t="shared" si="2"/>
        <v/>
      </c>
      <c r="AN26" s="71"/>
      <c r="AO26" s="125"/>
      <c r="AP26" s="125"/>
      <c r="AQ26" s="64"/>
      <c r="AR26" s="64"/>
      <c r="AS26" s="64"/>
      <c r="AT26" s="64"/>
      <c r="AU26" s="64"/>
      <c r="AV26" s="64"/>
      <c r="AW26" s="64"/>
      <c r="AX26" s="64"/>
      <c r="AY26" s="64"/>
      <c r="AZ26" s="64"/>
      <c r="BA26" s="64"/>
      <c r="BB26" s="144" t="str">
        <f t="shared" si="0"/>
        <v/>
      </c>
      <c r="BC26" s="71"/>
      <c r="BD26" s="23"/>
    </row>
    <row r="27" spans="1:56" ht="27" customHeight="1" thickTop="1" thickBot="1">
      <c r="A27">
        <v>18</v>
      </c>
      <c r="C27" s="24"/>
      <c r="D27" s="125"/>
      <c r="E27" s="35"/>
      <c r="F27" s="64"/>
      <c r="G27" s="64"/>
      <c r="H27" s="64"/>
      <c r="I27" s="64"/>
      <c r="J27" s="64"/>
      <c r="K27" s="64"/>
      <c r="L27" s="125"/>
      <c r="M27" s="125"/>
      <c r="N27" s="64"/>
      <c r="O27" s="64"/>
      <c r="P27" s="64"/>
      <c r="Q27" s="64"/>
      <c r="R27" s="64"/>
      <c r="S27" s="64"/>
      <c r="T27" s="64"/>
      <c r="U27" s="64"/>
      <c r="V27" s="64"/>
      <c r="W27" s="64"/>
      <c r="X27" s="64"/>
      <c r="Y27" s="65" t="str">
        <f t="shared" si="1"/>
        <v/>
      </c>
      <c r="Z27" s="125"/>
      <c r="AA27" s="125"/>
      <c r="AB27" s="64"/>
      <c r="AC27" s="64"/>
      <c r="AD27" s="64"/>
      <c r="AE27" s="64"/>
      <c r="AF27" s="64"/>
      <c r="AG27" s="64"/>
      <c r="AH27" s="64"/>
      <c r="AI27" s="64"/>
      <c r="AJ27" s="64"/>
      <c r="AK27" s="64"/>
      <c r="AL27" s="64"/>
      <c r="AM27" s="144" t="str">
        <f t="shared" si="2"/>
        <v/>
      </c>
      <c r="AN27" s="71"/>
      <c r="AO27" s="125"/>
      <c r="AP27" s="125"/>
      <c r="AQ27" s="64"/>
      <c r="AR27" s="64"/>
      <c r="AS27" s="64"/>
      <c r="AT27" s="64"/>
      <c r="AU27" s="64"/>
      <c r="AV27" s="64"/>
      <c r="AW27" s="64"/>
      <c r="AX27" s="64"/>
      <c r="AY27" s="64"/>
      <c r="AZ27" s="64"/>
      <c r="BA27" s="64"/>
      <c r="BB27" s="144" t="str">
        <f t="shared" si="0"/>
        <v/>
      </c>
      <c r="BC27" s="71"/>
      <c r="BD27" s="23"/>
    </row>
    <row r="28" spans="1:56" ht="27" customHeight="1" thickTop="1" thickBot="1">
      <c r="A28">
        <v>19</v>
      </c>
      <c r="C28" s="24"/>
      <c r="D28" s="125"/>
      <c r="E28" s="35"/>
      <c r="F28" s="64"/>
      <c r="G28" s="64"/>
      <c r="H28" s="64"/>
      <c r="I28" s="64"/>
      <c r="J28" s="64"/>
      <c r="K28" s="64"/>
      <c r="L28" s="125"/>
      <c r="M28" s="125"/>
      <c r="N28" s="64"/>
      <c r="O28" s="64"/>
      <c r="P28" s="64"/>
      <c r="Q28" s="64"/>
      <c r="R28" s="64"/>
      <c r="S28" s="64"/>
      <c r="T28" s="64"/>
      <c r="U28" s="64"/>
      <c r="V28" s="64"/>
      <c r="W28" s="64"/>
      <c r="X28" s="64"/>
      <c r="Y28" s="65" t="str">
        <f t="shared" si="1"/>
        <v/>
      </c>
      <c r="Z28" s="125"/>
      <c r="AA28" s="125"/>
      <c r="AB28" s="64"/>
      <c r="AC28" s="64"/>
      <c r="AD28" s="64"/>
      <c r="AE28" s="64"/>
      <c r="AF28" s="64"/>
      <c r="AG28" s="64"/>
      <c r="AH28" s="64"/>
      <c r="AI28" s="64"/>
      <c r="AJ28" s="64"/>
      <c r="AK28" s="64"/>
      <c r="AL28" s="64"/>
      <c r="AM28" s="144" t="str">
        <f t="shared" si="2"/>
        <v/>
      </c>
      <c r="AN28" s="71"/>
      <c r="AO28" s="125"/>
      <c r="AP28" s="125"/>
      <c r="AQ28" s="64"/>
      <c r="AR28" s="64"/>
      <c r="AS28" s="64"/>
      <c r="AT28" s="64"/>
      <c r="AU28" s="64"/>
      <c r="AV28" s="64"/>
      <c r="AW28" s="64"/>
      <c r="AX28" s="64"/>
      <c r="AY28" s="64"/>
      <c r="AZ28" s="64"/>
      <c r="BA28" s="64"/>
      <c r="BB28" s="144" t="str">
        <f t="shared" si="0"/>
        <v/>
      </c>
      <c r="BC28" s="71"/>
      <c r="BD28" s="23"/>
    </row>
    <row r="29" spans="1:56" ht="27" customHeight="1" thickTop="1" thickBot="1">
      <c r="A29">
        <v>20</v>
      </c>
      <c r="C29" s="24"/>
      <c r="D29" s="125"/>
      <c r="E29" s="35"/>
      <c r="F29" s="64"/>
      <c r="G29" s="64"/>
      <c r="H29" s="64"/>
      <c r="I29" s="64"/>
      <c r="J29" s="64"/>
      <c r="K29" s="64"/>
      <c r="L29" s="125"/>
      <c r="M29" s="125"/>
      <c r="N29" s="64"/>
      <c r="O29" s="64"/>
      <c r="P29" s="64"/>
      <c r="Q29" s="64"/>
      <c r="R29" s="64"/>
      <c r="S29" s="64"/>
      <c r="T29" s="64"/>
      <c r="U29" s="64"/>
      <c r="V29" s="64"/>
      <c r="W29" s="64"/>
      <c r="X29" s="64"/>
      <c r="Y29" s="65" t="str">
        <f t="shared" si="1"/>
        <v/>
      </c>
      <c r="Z29" s="125"/>
      <c r="AA29" s="125"/>
      <c r="AB29" s="64"/>
      <c r="AC29" s="64"/>
      <c r="AD29" s="64"/>
      <c r="AE29" s="64"/>
      <c r="AF29" s="64"/>
      <c r="AG29" s="64"/>
      <c r="AH29" s="64"/>
      <c r="AI29" s="64"/>
      <c r="AJ29" s="64"/>
      <c r="AK29" s="64"/>
      <c r="AL29" s="64"/>
      <c r="AM29" s="144" t="str">
        <f t="shared" si="2"/>
        <v/>
      </c>
      <c r="AN29" s="71"/>
      <c r="AO29" s="125"/>
      <c r="AP29" s="125"/>
      <c r="AQ29" s="64"/>
      <c r="AR29" s="64"/>
      <c r="AS29" s="64"/>
      <c r="AT29" s="64"/>
      <c r="AU29" s="64"/>
      <c r="AV29" s="64"/>
      <c r="AW29" s="64"/>
      <c r="AX29" s="64"/>
      <c r="AY29" s="64"/>
      <c r="AZ29" s="64"/>
      <c r="BA29" s="64"/>
      <c r="BB29" s="144" t="str">
        <f t="shared" si="0"/>
        <v/>
      </c>
      <c r="BC29" s="71"/>
      <c r="BD29" s="23"/>
    </row>
    <row r="30" spans="1:56" ht="27" customHeight="1" thickTop="1" thickBot="1">
      <c r="A30">
        <v>21</v>
      </c>
      <c r="C30" s="24"/>
      <c r="D30" s="125"/>
      <c r="E30" s="35"/>
      <c r="F30" s="64"/>
      <c r="G30" s="64"/>
      <c r="H30" s="64"/>
      <c r="I30" s="64"/>
      <c r="J30" s="64"/>
      <c r="K30" s="64"/>
      <c r="L30" s="125"/>
      <c r="M30" s="125"/>
      <c r="N30" s="64"/>
      <c r="O30" s="64"/>
      <c r="P30" s="64"/>
      <c r="Q30" s="64"/>
      <c r="R30" s="64"/>
      <c r="S30" s="64"/>
      <c r="T30" s="64"/>
      <c r="U30" s="64"/>
      <c r="V30" s="64"/>
      <c r="W30" s="64"/>
      <c r="X30" s="64"/>
      <c r="Y30" s="65" t="str">
        <f t="shared" si="1"/>
        <v/>
      </c>
      <c r="Z30" s="125"/>
      <c r="AA30" s="125"/>
      <c r="AB30" s="64"/>
      <c r="AC30" s="64"/>
      <c r="AD30" s="64"/>
      <c r="AE30" s="64"/>
      <c r="AF30" s="64"/>
      <c r="AG30" s="64"/>
      <c r="AH30" s="64"/>
      <c r="AI30" s="64"/>
      <c r="AJ30" s="64"/>
      <c r="AK30" s="64"/>
      <c r="AL30" s="64"/>
      <c r="AM30" s="144" t="str">
        <f t="shared" si="2"/>
        <v/>
      </c>
      <c r="AN30" s="71"/>
      <c r="AO30" s="125"/>
      <c r="AP30" s="125"/>
      <c r="AQ30" s="64"/>
      <c r="AR30" s="64"/>
      <c r="AS30" s="64"/>
      <c r="AT30" s="64"/>
      <c r="AU30" s="64"/>
      <c r="AV30" s="64"/>
      <c r="AW30" s="64"/>
      <c r="AX30" s="64"/>
      <c r="AY30" s="64"/>
      <c r="AZ30" s="64"/>
      <c r="BA30" s="64"/>
      <c r="BB30" s="144" t="str">
        <f t="shared" si="0"/>
        <v/>
      </c>
      <c r="BC30" s="71"/>
      <c r="BD30" s="23"/>
    </row>
    <row r="31" spans="1:56" ht="27" customHeight="1" thickTop="1" thickBot="1">
      <c r="A31">
        <v>22</v>
      </c>
      <c r="C31" s="24"/>
      <c r="D31" s="125"/>
      <c r="E31" s="35"/>
      <c r="F31" s="64"/>
      <c r="G31" s="64"/>
      <c r="H31" s="64"/>
      <c r="I31" s="64"/>
      <c r="J31" s="64"/>
      <c r="K31" s="64"/>
      <c r="L31" s="125"/>
      <c r="M31" s="125"/>
      <c r="N31" s="64"/>
      <c r="O31" s="64"/>
      <c r="P31" s="64"/>
      <c r="Q31" s="64"/>
      <c r="R31" s="64"/>
      <c r="S31" s="64"/>
      <c r="T31" s="64"/>
      <c r="U31" s="64"/>
      <c r="V31" s="64"/>
      <c r="W31" s="64"/>
      <c r="X31" s="64"/>
      <c r="Y31" s="65" t="str">
        <f t="shared" si="1"/>
        <v/>
      </c>
      <c r="Z31" s="125"/>
      <c r="AA31" s="125"/>
      <c r="AB31" s="64"/>
      <c r="AC31" s="64"/>
      <c r="AD31" s="64"/>
      <c r="AE31" s="64"/>
      <c r="AF31" s="64"/>
      <c r="AG31" s="64"/>
      <c r="AH31" s="64"/>
      <c r="AI31" s="64"/>
      <c r="AJ31" s="64"/>
      <c r="AK31" s="64"/>
      <c r="AL31" s="64"/>
      <c r="AM31" s="144" t="str">
        <f t="shared" si="2"/>
        <v/>
      </c>
      <c r="AN31" s="71"/>
      <c r="AO31" s="125"/>
      <c r="AP31" s="125"/>
      <c r="AQ31" s="64"/>
      <c r="AR31" s="64"/>
      <c r="AS31" s="64"/>
      <c r="AT31" s="64"/>
      <c r="AU31" s="64"/>
      <c r="AV31" s="64"/>
      <c r="AW31" s="64"/>
      <c r="AX31" s="64"/>
      <c r="AY31" s="64"/>
      <c r="AZ31" s="64"/>
      <c r="BA31" s="64"/>
      <c r="BB31" s="144" t="str">
        <f t="shared" si="0"/>
        <v/>
      </c>
      <c r="BC31" s="71"/>
      <c r="BD31" s="23"/>
    </row>
    <row r="32" spans="1:56" ht="27" customHeight="1" thickTop="1" thickBot="1">
      <c r="A32">
        <v>23</v>
      </c>
      <c r="C32" s="24"/>
      <c r="D32" s="125"/>
      <c r="E32" s="35"/>
      <c r="F32" s="64"/>
      <c r="G32" s="64"/>
      <c r="H32" s="64"/>
      <c r="I32" s="64"/>
      <c r="J32" s="64"/>
      <c r="K32" s="64"/>
      <c r="L32" s="125"/>
      <c r="M32" s="125"/>
      <c r="N32" s="64"/>
      <c r="O32" s="64"/>
      <c r="P32" s="64"/>
      <c r="Q32" s="64"/>
      <c r="R32" s="64"/>
      <c r="S32" s="64"/>
      <c r="T32" s="64"/>
      <c r="U32" s="64"/>
      <c r="V32" s="64"/>
      <c r="W32" s="64"/>
      <c r="X32" s="64"/>
      <c r="Y32" s="65" t="str">
        <f t="shared" si="1"/>
        <v/>
      </c>
      <c r="Z32" s="125"/>
      <c r="AA32" s="125"/>
      <c r="AB32" s="64"/>
      <c r="AC32" s="64"/>
      <c r="AD32" s="64"/>
      <c r="AE32" s="64"/>
      <c r="AF32" s="64"/>
      <c r="AG32" s="64"/>
      <c r="AH32" s="64"/>
      <c r="AI32" s="64"/>
      <c r="AJ32" s="64"/>
      <c r="AK32" s="64"/>
      <c r="AL32" s="64"/>
      <c r="AM32" s="144" t="str">
        <f t="shared" si="2"/>
        <v/>
      </c>
      <c r="AN32" s="71"/>
      <c r="AO32" s="125"/>
      <c r="AP32" s="125"/>
      <c r="AQ32" s="64"/>
      <c r="AR32" s="64"/>
      <c r="AS32" s="64"/>
      <c r="AT32" s="64"/>
      <c r="AU32" s="64"/>
      <c r="AV32" s="64"/>
      <c r="AW32" s="64"/>
      <c r="AX32" s="64"/>
      <c r="AY32" s="64"/>
      <c r="AZ32" s="64"/>
      <c r="BA32" s="64"/>
      <c r="BB32" s="144" t="str">
        <f t="shared" si="0"/>
        <v/>
      </c>
      <c r="BC32" s="71"/>
      <c r="BD32" s="23"/>
    </row>
    <row r="33" spans="1:56" ht="27" customHeight="1" thickTop="1" thickBot="1">
      <c r="A33">
        <v>24</v>
      </c>
      <c r="C33" s="24"/>
      <c r="D33" s="125"/>
      <c r="E33" s="35"/>
      <c r="F33" s="64"/>
      <c r="G33" s="64"/>
      <c r="H33" s="64"/>
      <c r="I33" s="64"/>
      <c r="J33" s="64"/>
      <c r="K33" s="64"/>
      <c r="L33" s="125"/>
      <c r="M33" s="125"/>
      <c r="N33" s="64"/>
      <c r="O33" s="64"/>
      <c r="P33" s="64"/>
      <c r="Q33" s="64"/>
      <c r="R33" s="64"/>
      <c r="S33" s="64"/>
      <c r="T33" s="64"/>
      <c r="U33" s="64"/>
      <c r="V33" s="64"/>
      <c r="W33" s="64"/>
      <c r="X33" s="64"/>
      <c r="Y33" s="65" t="str">
        <f t="shared" si="1"/>
        <v/>
      </c>
      <c r="Z33" s="125"/>
      <c r="AA33" s="125"/>
      <c r="AB33" s="64"/>
      <c r="AC33" s="64"/>
      <c r="AD33" s="64"/>
      <c r="AE33" s="64"/>
      <c r="AF33" s="64"/>
      <c r="AG33" s="64"/>
      <c r="AH33" s="64"/>
      <c r="AI33" s="64"/>
      <c r="AJ33" s="64"/>
      <c r="AK33" s="64"/>
      <c r="AL33" s="64"/>
      <c r="AM33" s="144" t="str">
        <f t="shared" si="2"/>
        <v/>
      </c>
      <c r="AN33" s="71"/>
      <c r="AO33" s="125"/>
      <c r="AP33" s="125"/>
      <c r="AQ33" s="64"/>
      <c r="AR33" s="64"/>
      <c r="AS33" s="64"/>
      <c r="AT33" s="64"/>
      <c r="AU33" s="64"/>
      <c r="AV33" s="64"/>
      <c r="AW33" s="64"/>
      <c r="AX33" s="64"/>
      <c r="AY33" s="64"/>
      <c r="AZ33" s="64"/>
      <c r="BA33" s="64"/>
      <c r="BB33" s="144" t="str">
        <f t="shared" si="0"/>
        <v/>
      </c>
      <c r="BC33" s="71"/>
      <c r="BD33" s="23"/>
    </row>
    <row r="34" spans="1:56" ht="27" customHeight="1" thickTop="1" thickBot="1">
      <c r="A34">
        <v>25</v>
      </c>
      <c r="C34" s="24"/>
      <c r="D34" s="125"/>
      <c r="E34" s="35"/>
      <c r="F34" s="64"/>
      <c r="G34" s="64"/>
      <c r="H34" s="64"/>
      <c r="I34" s="64"/>
      <c r="J34" s="64"/>
      <c r="K34" s="64"/>
      <c r="L34" s="125"/>
      <c r="M34" s="125"/>
      <c r="N34" s="64"/>
      <c r="O34" s="64"/>
      <c r="P34" s="64"/>
      <c r="Q34" s="64"/>
      <c r="R34" s="64"/>
      <c r="S34" s="64"/>
      <c r="T34" s="64"/>
      <c r="U34" s="64"/>
      <c r="V34" s="64"/>
      <c r="W34" s="64"/>
      <c r="X34" s="64"/>
      <c r="Y34" s="65" t="str">
        <f t="shared" si="1"/>
        <v/>
      </c>
      <c r="Z34" s="125"/>
      <c r="AA34" s="125"/>
      <c r="AB34" s="64"/>
      <c r="AC34" s="64"/>
      <c r="AD34" s="64"/>
      <c r="AE34" s="64"/>
      <c r="AF34" s="64"/>
      <c r="AG34" s="64"/>
      <c r="AH34" s="64"/>
      <c r="AI34" s="64"/>
      <c r="AJ34" s="64"/>
      <c r="AK34" s="64"/>
      <c r="AL34" s="64"/>
      <c r="AM34" s="144" t="str">
        <f t="shared" si="2"/>
        <v/>
      </c>
      <c r="AN34" s="71"/>
      <c r="AO34" s="125"/>
      <c r="AP34" s="125"/>
      <c r="AQ34" s="64"/>
      <c r="AR34" s="64"/>
      <c r="AS34" s="64"/>
      <c r="AT34" s="64"/>
      <c r="AU34" s="64"/>
      <c r="AV34" s="64"/>
      <c r="AW34" s="64"/>
      <c r="AX34" s="64"/>
      <c r="AY34" s="64"/>
      <c r="AZ34" s="64"/>
      <c r="BA34" s="64"/>
      <c r="BB34" s="144" t="str">
        <f t="shared" si="0"/>
        <v/>
      </c>
      <c r="BC34" s="71"/>
      <c r="BD34" s="23"/>
    </row>
    <row r="35" spans="1:56" ht="27" customHeight="1" thickTop="1" thickBot="1">
      <c r="A35">
        <v>26</v>
      </c>
      <c r="C35" s="24"/>
      <c r="D35" s="125"/>
      <c r="E35" s="35"/>
      <c r="F35" s="64"/>
      <c r="G35" s="64"/>
      <c r="H35" s="64"/>
      <c r="I35" s="64"/>
      <c r="J35" s="64"/>
      <c r="K35" s="64"/>
      <c r="L35" s="125"/>
      <c r="M35" s="125"/>
      <c r="N35" s="64"/>
      <c r="O35" s="64"/>
      <c r="P35" s="64"/>
      <c r="Q35" s="64"/>
      <c r="R35" s="64"/>
      <c r="S35" s="64"/>
      <c r="T35" s="64"/>
      <c r="U35" s="64"/>
      <c r="V35" s="64"/>
      <c r="W35" s="64"/>
      <c r="X35" s="64"/>
      <c r="Y35" s="65" t="str">
        <f t="shared" si="1"/>
        <v/>
      </c>
      <c r="Z35" s="125"/>
      <c r="AA35" s="125"/>
      <c r="AB35" s="64"/>
      <c r="AC35" s="64"/>
      <c r="AD35" s="64"/>
      <c r="AE35" s="64"/>
      <c r="AF35" s="64"/>
      <c r="AG35" s="64"/>
      <c r="AH35" s="64"/>
      <c r="AI35" s="64"/>
      <c r="AJ35" s="64"/>
      <c r="AK35" s="64"/>
      <c r="AL35" s="64"/>
      <c r="AM35" s="144" t="str">
        <f t="shared" si="2"/>
        <v/>
      </c>
      <c r="AN35" s="71"/>
      <c r="AO35" s="125"/>
      <c r="AP35" s="125"/>
      <c r="AQ35" s="64"/>
      <c r="AR35" s="64"/>
      <c r="AS35" s="64"/>
      <c r="AT35" s="64"/>
      <c r="AU35" s="64"/>
      <c r="AV35" s="64"/>
      <c r="AW35" s="64"/>
      <c r="AX35" s="64"/>
      <c r="AY35" s="64"/>
      <c r="AZ35" s="64"/>
      <c r="BA35" s="64"/>
      <c r="BB35" s="144" t="str">
        <f t="shared" si="0"/>
        <v/>
      </c>
      <c r="BC35" s="71"/>
      <c r="BD35" s="23"/>
    </row>
    <row r="36" spans="1:56" ht="27" customHeight="1" thickTop="1" thickBot="1">
      <c r="A36">
        <v>27</v>
      </c>
      <c r="C36" s="24"/>
      <c r="D36" s="125"/>
      <c r="E36" s="35"/>
      <c r="F36" s="64"/>
      <c r="G36" s="64"/>
      <c r="H36" s="64"/>
      <c r="I36" s="64"/>
      <c r="J36" s="64"/>
      <c r="K36" s="64"/>
      <c r="L36" s="125"/>
      <c r="M36" s="125"/>
      <c r="N36" s="64"/>
      <c r="O36" s="64"/>
      <c r="P36" s="64"/>
      <c r="Q36" s="64"/>
      <c r="R36" s="64"/>
      <c r="S36" s="64"/>
      <c r="T36" s="64"/>
      <c r="U36" s="64"/>
      <c r="V36" s="64"/>
      <c r="W36" s="64"/>
      <c r="X36" s="64"/>
      <c r="Y36" s="65" t="str">
        <f t="shared" si="1"/>
        <v/>
      </c>
      <c r="Z36" s="125"/>
      <c r="AA36" s="125"/>
      <c r="AB36" s="64"/>
      <c r="AC36" s="64"/>
      <c r="AD36" s="64"/>
      <c r="AE36" s="64"/>
      <c r="AF36" s="64"/>
      <c r="AG36" s="64"/>
      <c r="AH36" s="64"/>
      <c r="AI36" s="64"/>
      <c r="AJ36" s="64"/>
      <c r="AK36" s="64"/>
      <c r="AL36" s="64"/>
      <c r="AM36" s="144" t="str">
        <f t="shared" si="2"/>
        <v/>
      </c>
      <c r="AN36" s="71"/>
      <c r="AO36" s="125"/>
      <c r="AP36" s="125"/>
      <c r="AQ36" s="64"/>
      <c r="AR36" s="64"/>
      <c r="AS36" s="64"/>
      <c r="AT36" s="64"/>
      <c r="AU36" s="64"/>
      <c r="AV36" s="64"/>
      <c r="AW36" s="64"/>
      <c r="AX36" s="64"/>
      <c r="AY36" s="64"/>
      <c r="AZ36" s="64"/>
      <c r="BA36" s="64"/>
      <c r="BB36" s="144" t="str">
        <f t="shared" si="0"/>
        <v/>
      </c>
      <c r="BC36" s="71"/>
      <c r="BD36" s="23"/>
    </row>
    <row r="37" spans="1:56" ht="27" customHeight="1" thickTop="1" thickBot="1">
      <c r="A37">
        <v>28</v>
      </c>
      <c r="C37" s="24"/>
      <c r="D37" s="125"/>
      <c r="E37" s="35"/>
      <c r="F37" s="64"/>
      <c r="G37" s="64"/>
      <c r="H37" s="64"/>
      <c r="I37" s="64"/>
      <c r="J37" s="64"/>
      <c r="K37" s="64"/>
      <c r="L37" s="125"/>
      <c r="M37" s="125"/>
      <c r="N37" s="64"/>
      <c r="O37" s="64"/>
      <c r="P37" s="64"/>
      <c r="Q37" s="64"/>
      <c r="R37" s="64"/>
      <c r="S37" s="64"/>
      <c r="T37" s="64"/>
      <c r="U37" s="64"/>
      <c r="V37" s="64"/>
      <c r="W37" s="64"/>
      <c r="X37" s="64"/>
      <c r="Y37" s="65" t="str">
        <f t="shared" si="1"/>
        <v/>
      </c>
      <c r="Z37" s="125"/>
      <c r="AA37" s="125"/>
      <c r="AB37" s="64"/>
      <c r="AC37" s="64"/>
      <c r="AD37" s="64"/>
      <c r="AE37" s="64"/>
      <c r="AF37" s="64"/>
      <c r="AG37" s="64"/>
      <c r="AH37" s="64"/>
      <c r="AI37" s="64"/>
      <c r="AJ37" s="64"/>
      <c r="AK37" s="64"/>
      <c r="AL37" s="64"/>
      <c r="AM37" s="144" t="str">
        <f t="shared" si="2"/>
        <v/>
      </c>
      <c r="AN37" s="71"/>
      <c r="AO37" s="125"/>
      <c r="AP37" s="125"/>
      <c r="AQ37" s="64"/>
      <c r="AR37" s="64"/>
      <c r="AS37" s="64"/>
      <c r="AT37" s="64"/>
      <c r="AU37" s="64"/>
      <c r="AV37" s="64"/>
      <c r="AW37" s="64"/>
      <c r="AX37" s="64"/>
      <c r="AY37" s="64"/>
      <c r="AZ37" s="64"/>
      <c r="BA37" s="64"/>
      <c r="BB37" s="144" t="str">
        <f t="shared" si="0"/>
        <v/>
      </c>
      <c r="BC37" s="71"/>
      <c r="BD37" s="23"/>
    </row>
    <row r="38" spans="1:56" ht="27" customHeight="1" thickTop="1" thickBot="1">
      <c r="A38">
        <v>29</v>
      </c>
      <c r="C38" s="24"/>
      <c r="D38" s="125"/>
      <c r="E38" s="35"/>
      <c r="F38" s="64"/>
      <c r="G38" s="64"/>
      <c r="H38" s="64"/>
      <c r="I38" s="64"/>
      <c r="J38" s="64"/>
      <c r="K38" s="64"/>
      <c r="L38" s="125"/>
      <c r="M38" s="125"/>
      <c r="N38" s="64"/>
      <c r="O38" s="64"/>
      <c r="P38" s="64"/>
      <c r="Q38" s="64"/>
      <c r="R38" s="64"/>
      <c r="S38" s="64"/>
      <c r="T38" s="64"/>
      <c r="U38" s="64"/>
      <c r="V38" s="64"/>
      <c r="W38" s="64"/>
      <c r="X38" s="64"/>
      <c r="Y38" s="65" t="str">
        <f t="shared" si="1"/>
        <v/>
      </c>
      <c r="Z38" s="125"/>
      <c r="AA38" s="125"/>
      <c r="AB38" s="64"/>
      <c r="AC38" s="64"/>
      <c r="AD38" s="64"/>
      <c r="AE38" s="64"/>
      <c r="AF38" s="64"/>
      <c r="AG38" s="64"/>
      <c r="AH38" s="64"/>
      <c r="AI38" s="64"/>
      <c r="AJ38" s="64"/>
      <c r="AK38" s="64"/>
      <c r="AL38" s="64"/>
      <c r="AM38" s="144" t="str">
        <f t="shared" si="2"/>
        <v/>
      </c>
      <c r="AN38" s="71"/>
      <c r="AO38" s="125"/>
      <c r="AP38" s="125"/>
      <c r="AQ38" s="64"/>
      <c r="AR38" s="64"/>
      <c r="AS38" s="64"/>
      <c r="AT38" s="64"/>
      <c r="AU38" s="64"/>
      <c r="AV38" s="64"/>
      <c r="AW38" s="64"/>
      <c r="AX38" s="64"/>
      <c r="AY38" s="64"/>
      <c r="AZ38" s="64"/>
      <c r="BA38" s="64"/>
      <c r="BB38" s="144" t="str">
        <f t="shared" si="0"/>
        <v/>
      </c>
      <c r="BC38" s="71"/>
      <c r="BD38" s="23"/>
    </row>
    <row r="39" spans="1:56" ht="27" customHeight="1" thickTop="1" thickBot="1">
      <c r="A39">
        <v>30</v>
      </c>
      <c r="C39" s="24"/>
      <c r="D39" s="125"/>
      <c r="E39" s="35"/>
      <c r="F39" s="64"/>
      <c r="G39" s="64"/>
      <c r="H39" s="64"/>
      <c r="I39" s="64"/>
      <c r="J39" s="64"/>
      <c r="K39" s="64"/>
      <c r="L39" s="125"/>
      <c r="M39" s="125"/>
      <c r="N39" s="64"/>
      <c r="O39" s="64"/>
      <c r="P39" s="64"/>
      <c r="Q39" s="64"/>
      <c r="R39" s="64"/>
      <c r="S39" s="64"/>
      <c r="T39" s="64"/>
      <c r="U39" s="64"/>
      <c r="V39" s="64"/>
      <c r="W39" s="64"/>
      <c r="X39" s="64"/>
      <c r="Y39" s="65" t="str">
        <f t="shared" si="1"/>
        <v/>
      </c>
      <c r="Z39" s="125"/>
      <c r="AA39" s="125"/>
      <c r="AB39" s="64"/>
      <c r="AC39" s="64"/>
      <c r="AD39" s="64"/>
      <c r="AE39" s="64"/>
      <c r="AF39" s="64"/>
      <c r="AG39" s="64"/>
      <c r="AH39" s="64"/>
      <c r="AI39" s="64"/>
      <c r="AJ39" s="64"/>
      <c r="AK39" s="64"/>
      <c r="AL39" s="64"/>
      <c r="AM39" s="144" t="str">
        <f t="shared" si="2"/>
        <v/>
      </c>
      <c r="AN39" s="71"/>
      <c r="AO39" s="125"/>
      <c r="AP39" s="125"/>
      <c r="AQ39" s="64"/>
      <c r="AR39" s="64"/>
      <c r="AS39" s="64"/>
      <c r="AT39" s="64"/>
      <c r="AU39" s="64"/>
      <c r="AV39" s="64"/>
      <c r="AW39" s="64"/>
      <c r="AX39" s="64"/>
      <c r="AY39" s="64"/>
      <c r="AZ39" s="64"/>
      <c r="BA39" s="64"/>
      <c r="BB39" s="144" t="str">
        <f t="shared" si="0"/>
        <v/>
      </c>
      <c r="BC39" s="71"/>
      <c r="BD39" s="23"/>
    </row>
    <row r="40" spans="1:56" ht="27" customHeight="1" thickTop="1" thickBot="1">
      <c r="A40">
        <v>31</v>
      </c>
      <c r="C40" s="24"/>
      <c r="D40" s="125"/>
      <c r="E40" s="35"/>
      <c r="F40" s="64"/>
      <c r="G40" s="64"/>
      <c r="H40" s="64"/>
      <c r="I40" s="64"/>
      <c r="J40" s="64"/>
      <c r="K40" s="64"/>
      <c r="L40" s="125"/>
      <c r="M40" s="125"/>
      <c r="N40" s="64"/>
      <c r="O40" s="64"/>
      <c r="P40" s="64"/>
      <c r="Q40" s="64"/>
      <c r="R40" s="64"/>
      <c r="S40" s="64"/>
      <c r="T40" s="64"/>
      <c r="U40" s="64"/>
      <c r="V40" s="64"/>
      <c r="W40" s="64"/>
      <c r="X40" s="64"/>
      <c r="Y40" s="65" t="str">
        <f t="shared" si="1"/>
        <v/>
      </c>
      <c r="Z40" s="125"/>
      <c r="AA40" s="125"/>
      <c r="AB40" s="64"/>
      <c r="AC40" s="64"/>
      <c r="AD40" s="64"/>
      <c r="AE40" s="64"/>
      <c r="AF40" s="64"/>
      <c r="AG40" s="64"/>
      <c r="AH40" s="64"/>
      <c r="AI40" s="64"/>
      <c r="AJ40" s="64"/>
      <c r="AK40" s="64"/>
      <c r="AL40" s="64"/>
      <c r="AM40" s="144" t="str">
        <f t="shared" si="2"/>
        <v/>
      </c>
      <c r="AN40" s="71"/>
      <c r="AO40" s="125"/>
      <c r="AP40" s="125"/>
      <c r="AQ40" s="64"/>
      <c r="AR40" s="64"/>
      <c r="AS40" s="64"/>
      <c r="AT40" s="64"/>
      <c r="AU40" s="64"/>
      <c r="AV40" s="64"/>
      <c r="AW40" s="64"/>
      <c r="AX40" s="64"/>
      <c r="AY40" s="64"/>
      <c r="AZ40" s="64"/>
      <c r="BA40" s="64"/>
      <c r="BB40" s="144" t="str">
        <f t="shared" si="0"/>
        <v/>
      </c>
      <c r="BC40" s="71"/>
      <c r="BD40" s="23"/>
    </row>
    <row r="41" spans="1:56" ht="27" customHeight="1" thickTop="1" thickBot="1">
      <c r="A41">
        <v>32</v>
      </c>
      <c r="C41" s="24"/>
      <c r="D41" s="125"/>
      <c r="E41" s="35"/>
      <c r="F41" s="64"/>
      <c r="G41" s="64"/>
      <c r="H41" s="64"/>
      <c r="I41" s="64"/>
      <c r="J41" s="64"/>
      <c r="K41" s="64"/>
      <c r="L41" s="125"/>
      <c r="M41" s="125"/>
      <c r="N41" s="64"/>
      <c r="O41" s="64"/>
      <c r="P41" s="64"/>
      <c r="Q41" s="64"/>
      <c r="R41" s="64"/>
      <c r="S41" s="64"/>
      <c r="T41" s="64"/>
      <c r="U41" s="64"/>
      <c r="V41" s="64"/>
      <c r="W41" s="64"/>
      <c r="X41" s="64"/>
      <c r="Y41" s="65" t="str">
        <f t="shared" si="1"/>
        <v/>
      </c>
      <c r="Z41" s="125"/>
      <c r="AA41" s="125"/>
      <c r="AB41" s="64"/>
      <c r="AC41" s="64"/>
      <c r="AD41" s="64"/>
      <c r="AE41" s="64"/>
      <c r="AF41" s="64"/>
      <c r="AG41" s="64"/>
      <c r="AH41" s="64"/>
      <c r="AI41" s="64"/>
      <c r="AJ41" s="64"/>
      <c r="AK41" s="64"/>
      <c r="AL41" s="64"/>
      <c r="AM41" s="144" t="str">
        <f t="shared" si="2"/>
        <v/>
      </c>
      <c r="AN41" s="71"/>
      <c r="AO41" s="125"/>
      <c r="AP41" s="125"/>
      <c r="AQ41" s="64"/>
      <c r="AR41" s="64"/>
      <c r="AS41" s="64"/>
      <c r="AT41" s="64"/>
      <c r="AU41" s="64"/>
      <c r="AV41" s="64"/>
      <c r="AW41" s="64"/>
      <c r="AX41" s="64"/>
      <c r="AY41" s="64"/>
      <c r="AZ41" s="64"/>
      <c r="BA41" s="64"/>
      <c r="BB41" s="144" t="str">
        <f t="shared" si="0"/>
        <v/>
      </c>
      <c r="BC41" s="71"/>
      <c r="BD41" s="23"/>
    </row>
    <row r="42" spans="1:56" ht="27" customHeight="1" thickTop="1" thickBot="1">
      <c r="A42">
        <v>33</v>
      </c>
      <c r="C42" s="24"/>
      <c r="D42" s="125"/>
      <c r="E42" s="35"/>
      <c r="F42" s="64"/>
      <c r="G42" s="64"/>
      <c r="H42" s="64"/>
      <c r="I42" s="64"/>
      <c r="J42" s="64"/>
      <c r="K42" s="64"/>
      <c r="L42" s="125"/>
      <c r="M42" s="125"/>
      <c r="N42" s="64"/>
      <c r="O42" s="64"/>
      <c r="P42" s="64"/>
      <c r="Q42" s="64"/>
      <c r="R42" s="64"/>
      <c r="S42" s="64"/>
      <c r="T42" s="64"/>
      <c r="U42" s="64"/>
      <c r="V42" s="64"/>
      <c r="W42" s="64"/>
      <c r="X42" s="64"/>
      <c r="Y42" s="65" t="str">
        <f t="shared" si="1"/>
        <v/>
      </c>
      <c r="Z42" s="125"/>
      <c r="AA42" s="125"/>
      <c r="AB42" s="64"/>
      <c r="AC42" s="64"/>
      <c r="AD42" s="64"/>
      <c r="AE42" s="64"/>
      <c r="AF42" s="64"/>
      <c r="AG42" s="64"/>
      <c r="AH42" s="64"/>
      <c r="AI42" s="64"/>
      <c r="AJ42" s="64"/>
      <c r="AK42" s="64"/>
      <c r="AL42" s="64"/>
      <c r="AM42" s="144" t="str">
        <f t="shared" si="2"/>
        <v/>
      </c>
      <c r="AN42" s="71"/>
      <c r="AO42" s="125"/>
      <c r="AP42" s="125"/>
      <c r="AQ42" s="64"/>
      <c r="AR42" s="64"/>
      <c r="AS42" s="64"/>
      <c r="AT42" s="64"/>
      <c r="AU42" s="64"/>
      <c r="AV42" s="64"/>
      <c r="AW42" s="64"/>
      <c r="AX42" s="64"/>
      <c r="AY42" s="64"/>
      <c r="AZ42" s="64"/>
      <c r="BA42" s="64"/>
      <c r="BB42" s="144" t="str">
        <f t="shared" ref="BB42:BB59" si="3">IF(E42="","",SUM(AQ42:BA42))</f>
        <v/>
      </c>
      <c r="BC42" s="71"/>
      <c r="BD42" s="23"/>
    </row>
    <row r="43" spans="1:56" ht="27" customHeight="1" thickTop="1" thickBot="1">
      <c r="A43">
        <v>34</v>
      </c>
      <c r="C43" s="24"/>
      <c r="D43" s="125"/>
      <c r="E43" s="35"/>
      <c r="F43" s="64"/>
      <c r="G43" s="64"/>
      <c r="H43" s="64"/>
      <c r="I43" s="64"/>
      <c r="J43" s="64"/>
      <c r="K43" s="64"/>
      <c r="L43" s="125"/>
      <c r="M43" s="125"/>
      <c r="N43" s="64"/>
      <c r="O43" s="64"/>
      <c r="P43" s="64"/>
      <c r="Q43" s="64"/>
      <c r="R43" s="64"/>
      <c r="S43" s="64"/>
      <c r="T43" s="64"/>
      <c r="U43" s="64"/>
      <c r="V43" s="64"/>
      <c r="W43" s="64"/>
      <c r="X43" s="64"/>
      <c r="Y43" s="65" t="str">
        <f t="shared" si="1"/>
        <v/>
      </c>
      <c r="Z43" s="125"/>
      <c r="AA43" s="125"/>
      <c r="AB43" s="64"/>
      <c r="AC43" s="64"/>
      <c r="AD43" s="64"/>
      <c r="AE43" s="64"/>
      <c r="AF43" s="64"/>
      <c r="AG43" s="64"/>
      <c r="AH43" s="64"/>
      <c r="AI43" s="64"/>
      <c r="AJ43" s="64"/>
      <c r="AK43" s="64"/>
      <c r="AL43" s="64"/>
      <c r="AM43" s="144" t="str">
        <f t="shared" si="2"/>
        <v/>
      </c>
      <c r="AN43" s="71"/>
      <c r="AO43" s="125"/>
      <c r="AP43" s="125"/>
      <c r="AQ43" s="64"/>
      <c r="AR43" s="64"/>
      <c r="AS43" s="64"/>
      <c r="AT43" s="64"/>
      <c r="AU43" s="64"/>
      <c r="AV43" s="64"/>
      <c r="AW43" s="64"/>
      <c r="AX43" s="64"/>
      <c r="AY43" s="64"/>
      <c r="AZ43" s="64"/>
      <c r="BA43" s="64"/>
      <c r="BB43" s="144" t="str">
        <f t="shared" si="3"/>
        <v/>
      </c>
      <c r="BC43" s="71"/>
      <c r="BD43" s="23"/>
    </row>
    <row r="44" spans="1:56" ht="27" customHeight="1" thickTop="1" thickBot="1">
      <c r="A44">
        <v>35</v>
      </c>
      <c r="C44" s="24"/>
      <c r="D44" s="125"/>
      <c r="E44" s="35"/>
      <c r="F44" s="64"/>
      <c r="G44" s="64"/>
      <c r="H44" s="64"/>
      <c r="I44" s="64"/>
      <c r="J44" s="64"/>
      <c r="K44" s="64"/>
      <c r="L44" s="125"/>
      <c r="M44" s="125"/>
      <c r="N44" s="64"/>
      <c r="O44" s="64"/>
      <c r="P44" s="64"/>
      <c r="Q44" s="64"/>
      <c r="R44" s="64"/>
      <c r="S44" s="64"/>
      <c r="T44" s="64"/>
      <c r="U44" s="64"/>
      <c r="V44" s="64"/>
      <c r="W44" s="64"/>
      <c r="X44" s="64"/>
      <c r="Y44" s="65" t="str">
        <f t="shared" si="1"/>
        <v/>
      </c>
      <c r="Z44" s="125"/>
      <c r="AA44" s="125"/>
      <c r="AB44" s="64"/>
      <c r="AC44" s="64"/>
      <c r="AD44" s="64"/>
      <c r="AE44" s="64"/>
      <c r="AF44" s="64"/>
      <c r="AG44" s="64"/>
      <c r="AH44" s="64"/>
      <c r="AI44" s="64"/>
      <c r="AJ44" s="64"/>
      <c r="AK44" s="64"/>
      <c r="AL44" s="64"/>
      <c r="AM44" s="144" t="str">
        <f t="shared" si="2"/>
        <v/>
      </c>
      <c r="AN44" s="71"/>
      <c r="AO44" s="125"/>
      <c r="AP44" s="125"/>
      <c r="AQ44" s="64"/>
      <c r="AR44" s="64"/>
      <c r="AS44" s="64"/>
      <c r="AT44" s="64"/>
      <c r="AU44" s="64"/>
      <c r="AV44" s="64"/>
      <c r="AW44" s="64"/>
      <c r="AX44" s="64"/>
      <c r="AY44" s="64"/>
      <c r="AZ44" s="64"/>
      <c r="BA44" s="64"/>
      <c r="BB44" s="144" t="str">
        <f t="shared" si="3"/>
        <v/>
      </c>
      <c r="BC44" s="71"/>
      <c r="BD44" s="23"/>
    </row>
    <row r="45" spans="1:56" ht="27" customHeight="1" thickTop="1" thickBot="1">
      <c r="A45">
        <v>36</v>
      </c>
      <c r="C45" s="24"/>
      <c r="D45" s="125"/>
      <c r="E45" s="35"/>
      <c r="F45" s="64"/>
      <c r="G45" s="64"/>
      <c r="H45" s="64"/>
      <c r="I45" s="64"/>
      <c r="J45" s="64"/>
      <c r="K45" s="64"/>
      <c r="L45" s="125"/>
      <c r="M45" s="125"/>
      <c r="N45" s="64"/>
      <c r="O45" s="64"/>
      <c r="P45" s="64"/>
      <c r="Q45" s="64"/>
      <c r="R45" s="64"/>
      <c r="S45" s="64"/>
      <c r="T45" s="64"/>
      <c r="U45" s="64"/>
      <c r="V45" s="64"/>
      <c r="W45" s="64"/>
      <c r="X45" s="64"/>
      <c r="Y45" s="65" t="str">
        <f t="shared" si="1"/>
        <v/>
      </c>
      <c r="Z45" s="125"/>
      <c r="AA45" s="125"/>
      <c r="AB45" s="64"/>
      <c r="AC45" s="64"/>
      <c r="AD45" s="64"/>
      <c r="AE45" s="64"/>
      <c r="AF45" s="64"/>
      <c r="AG45" s="64"/>
      <c r="AH45" s="64"/>
      <c r="AI45" s="64"/>
      <c r="AJ45" s="64"/>
      <c r="AK45" s="64"/>
      <c r="AL45" s="64"/>
      <c r="AM45" s="144" t="str">
        <f t="shared" si="2"/>
        <v/>
      </c>
      <c r="AN45" s="71"/>
      <c r="AO45" s="125"/>
      <c r="AP45" s="125"/>
      <c r="AQ45" s="64"/>
      <c r="AR45" s="64"/>
      <c r="AS45" s="64"/>
      <c r="AT45" s="64"/>
      <c r="AU45" s="64"/>
      <c r="AV45" s="64"/>
      <c r="AW45" s="64"/>
      <c r="AX45" s="64"/>
      <c r="AY45" s="64"/>
      <c r="AZ45" s="64"/>
      <c r="BA45" s="64"/>
      <c r="BB45" s="144" t="str">
        <f t="shared" si="3"/>
        <v/>
      </c>
      <c r="BC45" s="71"/>
      <c r="BD45" s="23"/>
    </row>
    <row r="46" spans="1:56" ht="27" customHeight="1" thickTop="1" thickBot="1">
      <c r="A46">
        <v>37</v>
      </c>
      <c r="C46" s="24"/>
      <c r="D46" s="125"/>
      <c r="E46" s="35"/>
      <c r="F46" s="64"/>
      <c r="G46" s="64"/>
      <c r="H46" s="64"/>
      <c r="I46" s="64"/>
      <c r="J46" s="64"/>
      <c r="K46" s="64"/>
      <c r="L46" s="125"/>
      <c r="M46" s="125"/>
      <c r="N46" s="64"/>
      <c r="O46" s="64"/>
      <c r="P46" s="64"/>
      <c r="Q46" s="64"/>
      <c r="R46" s="64"/>
      <c r="S46" s="64"/>
      <c r="T46" s="64"/>
      <c r="U46" s="64"/>
      <c r="V46" s="64"/>
      <c r="W46" s="64"/>
      <c r="X46" s="64"/>
      <c r="Y46" s="65" t="str">
        <f t="shared" si="1"/>
        <v/>
      </c>
      <c r="Z46" s="125"/>
      <c r="AA46" s="125"/>
      <c r="AB46" s="64"/>
      <c r="AC46" s="64"/>
      <c r="AD46" s="64"/>
      <c r="AE46" s="64"/>
      <c r="AF46" s="64"/>
      <c r="AG46" s="64"/>
      <c r="AH46" s="64"/>
      <c r="AI46" s="64"/>
      <c r="AJ46" s="64"/>
      <c r="AK46" s="64"/>
      <c r="AL46" s="64"/>
      <c r="AM46" s="144" t="str">
        <f t="shared" si="2"/>
        <v/>
      </c>
      <c r="AN46" s="71"/>
      <c r="AO46" s="125"/>
      <c r="AP46" s="125"/>
      <c r="AQ46" s="64"/>
      <c r="AR46" s="64"/>
      <c r="AS46" s="64"/>
      <c r="AT46" s="64"/>
      <c r="AU46" s="64"/>
      <c r="AV46" s="64"/>
      <c r="AW46" s="64"/>
      <c r="AX46" s="64"/>
      <c r="AY46" s="64"/>
      <c r="AZ46" s="64"/>
      <c r="BA46" s="64"/>
      <c r="BB46" s="144" t="str">
        <f t="shared" si="3"/>
        <v/>
      </c>
      <c r="BC46" s="71"/>
      <c r="BD46" s="23"/>
    </row>
    <row r="47" spans="1:56" ht="27" customHeight="1" thickTop="1" thickBot="1">
      <c r="A47">
        <v>38</v>
      </c>
      <c r="C47" s="24"/>
      <c r="D47" s="125"/>
      <c r="E47" s="35"/>
      <c r="F47" s="64"/>
      <c r="G47" s="64"/>
      <c r="H47" s="64"/>
      <c r="I47" s="64"/>
      <c r="J47" s="64"/>
      <c r="K47" s="64"/>
      <c r="L47" s="125"/>
      <c r="M47" s="125"/>
      <c r="N47" s="64"/>
      <c r="O47" s="64"/>
      <c r="P47" s="64"/>
      <c r="Q47" s="64"/>
      <c r="R47" s="64"/>
      <c r="S47" s="64"/>
      <c r="T47" s="64"/>
      <c r="U47" s="64"/>
      <c r="V47" s="64"/>
      <c r="W47" s="64"/>
      <c r="X47" s="64"/>
      <c r="Y47" s="65" t="str">
        <f t="shared" si="1"/>
        <v/>
      </c>
      <c r="Z47" s="125"/>
      <c r="AA47" s="125"/>
      <c r="AB47" s="64"/>
      <c r="AC47" s="64"/>
      <c r="AD47" s="64"/>
      <c r="AE47" s="64"/>
      <c r="AF47" s="64"/>
      <c r="AG47" s="64"/>
      <c r="AH47" s="64"/>
      <c r="AI47" s="64"/>
      <c r="AJ47" s="64"/>
      <c r="AK47" s="64"/>
      <c r="AL47" s="64"/>
      <c r="AM47" s="144" t="str">
        <f t="shared" si="2"/>
        <v/>
      </c>
      <c r="AN47" s="71"/>
      <c r="AO47" s="125"/>
      <c r="AP47" s="125"/>
      <c r="AQ47" s="64"/>
      <c r="AR47" s="64"/>
      <c r="AS47" s="64"/>
      <c r="AT47" s="64"/>
      <c r="AU47" s="64"/>
      <c r="AV47" s="64"/>
      <c r="AW47" s="64"/>
      <c r="AX47" s="64"/>
      <c r="AY47" s="64"/>
      <c r="AZ47" s="64"/>
      <c r="BA47" s="64"/>
      <c r="BB47" s="144" t="str">
        <f t="shared" si="3"/>
        <v/>
      </c>
      <c r="BC47" s="71"/>
      <c r="BD47" s="23"/>
    </row>
    <row r="48" spans="1:56" ht="27" customHeight="1" thickTop="1" thickBot="1">
      <c r="A48">
        <v>39</v>
      </c>
      <c r="C48" s="24"/>
      <c r="D48" s="125"/>
      <c r="E48" s="35"/>
      <c r="F48" s="64"/>
      <c r="G48" s="64"/>
      <c r="H48" s="64"/>
      <c r="I48" s="64"/>
      <c r="J48" s="64"/>
      <c r="K48" s="64"/>
      <c r="L48" s="125"/>
      <c r="M48" s="125"/>
      <c r="N48" s="64"/>
      <c r="O48" s="64"/>
      <c r="P48" s="64"/>
      <c r="Q48" s="64"/>
      <c r="R48" s="64"/>
      <c r="S48" s="64"/>
      <c r="T48" s="64"/>
      <c r="U48" s="64"/>
      <c r="V48" s="64"/>
      <c r="W48" s="64"/>
      <c r="X48" s="64"/>
      <c r="Y48" s="65" t="str">
        <f t="shared" si="1"/>
        <v/>
      </c>
      <c r="Z48" s="125"/>
      <c r="AA48" s="125"/>
      <c r="AB48" s="64"/>
      <c r="AC48" s="64"/>
      <c r="AD48" s="64"/>
      <c r="AE48" s="64"/>
      <c r="AF48" s="64"/>
      <c r="AG48" s="64"/>
      <c r="AH48" s="64"/>
      <c r="AI48" s="64"/>
      <c r="AJ48" s="64"/>
      <c r="AK48" s="64"/>
      <c r="AL48" s="64"/>
      <c r="AM48" s="144" t="str">
        <f t="shared" si="2"/>
        <v/>
      </c>
      <c r="AN48" s="71"/>
      <c r="AO48" s="125"/>
      <c r="AP48" s="125"/>
      <c r="AQ48" s="64"/>
      <c r="AR48" s="64"/>
      <c r="AS48" s="64"/>
      <c r="AT48" s="64"/>
      <c r="AU48" s="64"/>
      <c r="AV48" s="64"/>
      <c r="AW48" s="64"/>
      <c r="AX48" s="64"/>
      <c r="AY48" s="64"/>
      <c r="AZ48" s="64"/>
      <c r="BA48" s="64"/>
      <c r="BB48" s="144" t="str">
        <f t="shared" si="3"/>
        <v/>
      </c>
      <c r="BC48" s="71"/>
      <c r="BD48" s="23"/>
    </row>
    <row r="49" spans="1:56" ht="27" customHeight="1" thickTop="1" thickBot="1">
      <c r="A49">
        <v>40</v>
      </c>
      <c r="C49" s="24"/>
      <c r="D49" s="125"/>
      <c r="E49" s="35"/>
      <c r="F49" s="64"/>
      <c r="G49" s="64"/>
      <c r="H49" s="64"/>
      <c r="I49" s="64"/>
      <c r="J49" s="64"/>
      <c r="K49" s="64"/>
      <c r="L49" s="125"/>
      <c r="M49" s="125"/>
      <c r="N49" s="64"/>
      <c r="O49" s="64"/>
      <c r="P49" s="64"/>
      <c r="Q49" s="64"/>
      <c r="R49" s="64"/>
      <c r="S49" s="64"/>
      <c r="T49" s="64"/>
      <c r="U49" s="64"/>
      <c r="V49" s="64"/>
      <c r="W49" s="64"/>
      <c r="X49" s="64"/>
      <c r="Y49" s="65" t="str">
        <f t="shared" si="1"/>
        <v/>
      </c>
      <c r="Z49" s="125"/>
      <c r="AA49" s="125"/>
      <c r="AB49" s="64"/>
      <c r="AC49" s="64"/>
      <c r="AD49" s="64"/>
      <c r="AE49" s="64"/>
      <c r="AF49" s="64"/>
      <c r="AG49" s="64"/>
      <c r="AH49" s="64"/>
      <c r="AI49" s="64"/>
      <c r="AJ49" s="64"/>
      <c r="AK49" s="64"/>
      <c r="AL49" s="64"/>
      <c r="AM49" s="144" t="str">
        <f t="shared" si="2"/>
        <v/>
      </c>
      <c r="AN49" s="71"/>
      <c r="AO49" s="125"/>
      <c r="AP49" s="125"/>
      <c r="AQ49" s="64"/>
      <c r="AR49" s="64"/>
      <c r="AS49" s="64"/>
      <c r="AT49" s="64"/>
      <c r="AU49" s="64"/>
      <c r="AV49" s="64"/>
      <c r="AW49" s="64"/>
      <c r="AX49" s="64"/>
      <c r="AY49" s="64"/>
      <c r="AZ49" s="64"/>
      <c r="BA49" s="64"/>
      <c r="BB49" s="144" t="str">
        <f t="shared" si="3"/>
        <v/>
      </c>
      <c r="BC49" s="71"/>
      <c r="BD49" s="23"/>
    </row>
    <row r="50" spans="1:56" ht="27" customHeight="1" thickTop="1" thickBot="1">
      <c r="A50">
        <v>41</v>
      </c>
      <c r="C50" s="24"/>
      <c r="D50" s="125"/>
      <c r="E50" s="35"/>
      <c r="F50" s="64"/>
      <c r="G50" s="64"/>
      <c r="H50" s="64"/>
      <c r="I50" s="64"/>
      <c r="J50" s="64"/>
      <c r="K50" s="64"/>
      <c r="L50" s="125"/>
      <c r="M50" s="125"/>
      <c r="N50" s="64"/>
      <c r="O50" s="64"/>
      <c r="P50" s="64"/>
      <c r="Q50" s="64"/>
      <c r="R50" s="64"/>
      <c r="S50" s="64"/>
      <c r="T50" s="64"/>
      <c r="U50" s="64"/>
      <c r="V50" s="64"/>
      <c r="W50" s="64"/>
      <c r="X50" s="64"/>
      <c r="Y50" s="65" t="str">
        <f t="shared" si="1"/>
        <v/>
      </c>
      <c r="Z50" s="125"/>
      <c r="AA50" s="125"/>
      <c r="AB50" s="64"/>
      <c r="AC50" s="64"/>
      <c r="AD50" s="64"/>
      <c r="AE50" s="64"/>
      <c r="AF50" s="64"/>
      <c r="AG50" s="64"/>
      <c r="AH50" s="64"/>
      <c r="AI50" s="64"/>
      <c r="AJ50" s="64"/>
      <c r="AK50" s="64"/>
      <c r="AL50" s="64"/>
      <c r="AM50" s="144" t="str">
        <f t="shared" si="2"/>
        <v/>
      </c>
      <c r="AN50" s="71"/>
      <c r="AO50" s="125"/>
      <c r="AP50" s="125"/>
      <c r="AQ50" s="64"/>
      <c r="AR50" s="64"/>
      <c r="AS50" s="64"/>
      <c r="AT50" s="64"/>
      <c r="AU50" s="64"/>
      <c r="AV50" s="64"/>
      <c r="AW50" s="64"/>
      <c r="AX50" s="64"/>
      <c r="AY50" s="64"/>
      <c r="AZ50" s="64"/>
      <c r="BA50" s="64"/>
      <c r="BB50" s="144" t="str">
        <f t="shared" si="3"/>
        <v/>
      </c>
      <c r="BC50" s="71"/>
      <c r="BD50" s="23"/>
    </row>
    <row r="51" spans="1:56" ht="27" customHeight="1" thickTop="1" thickBot="1">
      <c r="A51">
        <v>42</v>
      </c>
      <c r="C51" s="24"/>
      <c r="D51" s="125"/>
      <c r="E51" s="35"/>
      <c r="F51" s="64"/>
      <c r="G51" s="64"/>
      <c r="H51" s="64"/>
      <c r="I51" s="64"/>
      <c r="J51" s="64"/>
      <c r="K51" s="64"/>
      <c r="L51" s="125"/>
      <c r="M51" s="125"/>
      <c r="N51" s="64"/>
      <c r="O51" s="64"/>
      <c r="P51" s="64"/>
      <c r="Q51" s="64"/>
      <c r="R51" s="64"/>
      <c r="S51" s="64"/>
      <c r="T51" s="64"/>
      <c r="U51" s="64"/>
      <c r="V51" s="64"/>
      <c r="W51" s="64"/>
      <c r="X51" s="64"/>
      <c r="Y51" s="65" t="str">
        <f t="shared" si="1"/>
        <v/>
      </c>
      <c r="Z51" s="125"/>
      <c r="AA51" s="125"/>
      <c r="AB51" s="64"/>
      <c r="AC51" s="64"/>
      <c r="AD51" s="64"/>
      <c r="AE51" s="64"/>
      <c r="AF51" s="64"/>
      <c r="AG51" s="64"/>
      <c r="AH51" s="64"/>
      <c r="AI51" s="64"/>
      <c r="AJ51" s="64"/>
      <c r="AK51" s="64"/>
      <c r="AL51" s="64"/>
      <c r="AM51" s="144" t="str">
        <f t="shared" si="2"/>
        <v/>
      </c>
      <c r="AN51" s="71"/>
      <c r="AO51" s="125"/>
      <c r="AP51" s="125"/>
      <c r="AQ51" s="64"/>
      <c r="AR51" s="64"/>
      <c r="AS51" s="64"/>
      <c r="AT51" s="64"/>
      <c r="AU51" s="64"/>
      <c r="AV51" s="64"/>
      <c r="AW51" s="64"/>
      <c r="AX51" s="64"/>
      <c r="AY51" s="64"/>
      <c r="AZ51" s="64"/>
      <c r="BA51" s="64"/>
      <c r="BB51" s="144" t="str">
        <f t="shared" si="3"/>
        <v/>
      </c>
      <c r="BC51" s="71"/>
      <c r="BD51" s="23"/>
    </row>
    <row r="52" spans="1:56" ht="27" customHeight="1" thickTop="1" thickBot="1">
      <c r="A52">
        <v>43</v>
      </c>
      <c r="C52" s="24"/>
      <c r="D52" s="125"/>
      <c r="E52" s="35"/>
      <c r="F52" s="64"/>
      <c r="G52" s="64"/>
      <c r="H52" s="64"/>
      <c r="I52" s="64"/>
      <c r="J52" s="64"/>
      <c r="K52" s="64"/>
      <c r="L52" s="125"/>
      <c r="M52" s="125"/>
      <c r="N52" s="64"/>
      <c r="O52" s="64"/>
      <c r="P52" s="64"/>
      <c r="Q52" s="64"/>
      <c r="R52" s="64"/>
      <c r="S52" s="64"/>
      <c r="T52" s="64"/>
      <c r="U52" s="64"/>
      <c r="V52" s="64"/>
      <c r="W52" s="64"/>
      <c r="X52" s="64"/>
      <c r="Y52" s="65" t="str">
        <f t="shared" si="1"/>
        <v/>
      </c>
      <c r="Z52" s="125"/>
      <c r="AA52" s="125"/>
      <c r="AB52" s="64"/>
      <c r="AC52" s="64"/>
      <c r="AD52" s="64"/>
      <c r="AE52" s="64"/>
      <c r="AF52" s="64"/>
      <c r="AG52" s="64"/>
      <c r="AH52" s="64"/>
      <c r="AI52" s="64"/>
      <c r="AJ52" s="64"/>
      <c r="AK52" s="64"/>
      <c r="AL52" s="64"/>
      <c r="AM52" s="144" t="str">
        <f t="shared" si="2"/>
        <v/>
      </c>
      <c r="AN52" s="71"/>
      <c r="AO52" s="125"/>
      <c r="AP52" s="125"/>
      <c r="AQ52" s="64"/>
      <c r="AR52" s="64"/>
      <c r="AS52" s="64"/>
      <c r="AT52" s="64"/>
      <c r="AU52" s="64"/>
      <c r="AV52" s="64"/>
      <c r="AW52" s="64"/>
      <c r="AX52" s="64"/>
      <c r="AY52" s="64"/>
      <c r="AZ52" s="64"/>
      <c r="BA52" s="64"/>
      <c r="BB52" s="144" t="str">
        <f t="shared" si="3"/>
        <v/>
      </c>
      <c r="BC52" s="71"/>
      <c r="BD52" s="23"/>
    </row>
    <row r="53" spans="1:56" ht="27" customHeight="1" thickTop="1" thickBot="1">
      <c r="A53">
        <v>44</v>
      </c>
      <c r="C53" s="24"/>
      <c r="D53" s="125"/>
      <c r="E53" s="35"/>
      <c r="F53" s="64"/>
      <c r="G53" s="64"/>
      <c r="H53" s="64"/>
      <c r="I53" s="64"/>
      <c r="J53" s="64"/>
      <c r="K53" s="64"/>
      <c r="L53" s="125"/>
      <c r="M53" s="125"/>
      <c r="N53" s="64"/>
      <c r="O53" s="64"/>
      <c r="P53" s="64"/>
      <c r="Q53" s="64"/>
      <c r="R53" s="64"/>
      <c r="S53" s="64"/>
      <c r="T53" s="64"/>
      <c r="U53" s="64"/>
      <c r="V53" s="64"/>
      <c r="W53" s="64"/>
      <c r="X53" s="64"/>
      <c r="Y53" s="65" t="str">
        <f t="shared" si="1"/>
        <v/>
      </c>
      <c r="Z53" s="125"/>
      <c r="AA53" s="125"/>
      <c r="AB53" s="64"/>
      <c r="AC53" s="64"/>
      <c r="AD53" s="64"/>
      <c r="AE53" s="64"/>
      <c r="AF53" s="64"/>
      <c r="AG53" s="64"/>
      <c r="AH53" s="64"/>
      <c r="AI53" s="64"/>
      <c r="AJ53" s="64"/>
      <c r="AK53" s="64"/>
      <c r="AL53" s="64"/>
      <c r="AM53" s="144" t="str">
        <f t="shared" si="2"/>
        <v/>
      </c>
      <c r="AN53" s="71"/>
      <c r="AO53" s="125"/>
      <c r="AP53" s="125"/>
      <c r="AQ53" s="64"/>
      <c r="AR53" s="64"/>
      <c r="AS53" s="64"/>
      <c r="AT53" s="64"/>
      <c r="AU53" s="64"/>
      <c r="AV53" s="64"/>
      <c r="AW53" s="64"/>
      <c r="AX53" s="64"/>
      <c r="AY53" s="64"/>
      <c r="AZ53" s="64"/>
      <c r="BA53" s="64"/>
      <c r="BB53" s="144" t="str">
        <f t="shared" si="3"/>
        <v/>
      </c>
      <c r="BC53" s="71"/>
      <c r="BD53" s="23"/>
    </row>
    <row r="54" spans="1:56" ht="27" customHeight="1" thickTop="1" thickBot="1">
      <c r="A54">
        <v>45</v>
      </c>
      <c r="C54" s="24"/>
      <c r="D54" s="125"/>
      <c r="E54" s="35"/>
      <c r="F54" s="64"/>
      <c r="G54" s="64"/>
      <c r="H54" s="64"/>
      <c r="I54" s="64"/>
      <c r="J54" s="64"/>
      <c r="K54" s="64"/>
      <c r="L54" s="125"/>
      <c r="M54" s="125"/>
      <c r="N54" s="64"/>
      <c r="O54" s="64"/>
      <c r="P54" s="64"/>
      <c r="Q54" s="64"/>
      <c r="R54" s="64"/>
      <c r="S54" s="64"/>
      <c r="T54" s="64"/>
      <c r="U54" s="64"/>
      <c r="V54" s="64"/>
      <c r="W54" s="64"/>
      <c r="X54" s="64"/>
      <c r="Y54" s="65" t="str">
        <f t="shared" si="1"/>
        <v/>
      </c>
      <c r="Z54" s="125"/>
      <c r="AA54" s="125"/>
      <c r="AB54" s="64"/>
      <c r="AC54" s="64"/>
      <c r="AD54" s="64"/>
      <c r="AE54" s="64"/>
      <c r="AF54" s="64"/>
      <c r="AG54" s="64"/>
      <c r="AH54" s="64"/>
      <c r="AI54" s="64"/>
      <c r="AJ54" s="64"/>
      <c r="AK54" s="64"/>
      <c r="AL54" s="64"/>
      <c r="AM54" s="144" t="str">
        <f t="shared" si="2"/>
        <v/>
      </c>
      <c r="AN54" s="71"/>
      <c r="AO54" s="125"/>
      <c r="AP54" s="125"/>
      <c r="AQ54" s="64"/>
      <c r="AR54" s="64"/>
      <c r="AS54" s="64"/>
      <c r="AT54" s="64"/>
      <c r="AU54" s="64"/>
      <c r="AV54" s="64"/>
      <c r="AW54" s="64"/>
      <c r="AX54" s="64"/>
      <c r="AY54" s="64"/>
      <c r="AZ54" s="64"/>
      <c r="BA54" s="64"/>
      <c r="BB54" s="144" t="str">
        <f t="shared" si="3"/>
        <v/>
      </c>
      <c r="BC54" s="71"/>
      <c r="BD54" s="23"/>
    </row>
    <row r="55" spans="1:56" ht="27" customHeight="1" thickTop="1" thickBot="1">
      <c r="A55">
        <v>46</v>
      </c>
      <c r="C55" s="24"/>
      <c r="D55" s="125"/>
      <c r="E55" s="35"/>
      <c r="F55" s="64"/>
      <c r="G55" s="64"/>
      <c r="H55" s="64"/>
      <c r="I55" s="64"/>
      <c r="J55" s="64"/>
      <c r="K55" s="64"/>
      <c r="L55" s="125"/>
      <c r="M55" s="125"/>
      <c r="N55" s="64"/>
      <c r="O55" s="64"/>
      <c r="P55" s="64"/>
      <c r="Q55" s="64"/>
      <c r="R55" s="64"/>
      <c r="S55" s="64"/>
      <c r="T55" s="64"/>
      <c r="U55" s="64"/>
      <c r="V55" s="64"/>
      <c r="W55" s="64"/>
      <c r="X55" s="64"/>
      <c r="Y55" s="65" t="str">
        <f t="shared" si="1"/>
        <v/>
      </c>
      <c r="Z55" s="125"/>
      <c r="AA55" s="125"/>
      <c r="AB55" s="64"/>
      <c r="AC55" s="64"/>
      <c r="AD55" s="64"/>
      <c r="AE55" s="64"/>
      <c r="AF55" s="64"/>
      <c r="AG55" s="64"/>
      <c r="AH55" s="64"/>
      <c r="AI55" s="64"/>
      <c r="AJ55" s="64"/>
      <c r="AK55" s="64"/>
      <c r="AL55" s="64"/>
      <c r="AM55" s="144" t="str">
        <f t="shared" si="2"/>
        <v/>
      </c>
      <c r="AN55" s="71"/>
      <c r="AO55" s="125"/>
      <c r="AP55" s="125"/>
      <c r="AQ55" s="64"/>
      <c r="AR55" s="64"/>
      <c r="AS55" s="64"/>
      <c r="AT55" s="64"/>
      <c r="AU55" s="64"/>
      <c r="AV55" s="64"/>
      <c r="AW55" s="64"/>
      <c r="AX55" s="64"/>
      <c r="AY55" s="64"/>
      <c r="AZ55" s="64"/>
      <c r="BA55" s="64"/>
      <c r="BB55" s="144" t="str">
        <f t="shared" si="3"/>
        <v/>
      </c>
      <c r="BC55" s="71"/>
      <c r="BD55" s="23"/>
    </row>
    <row r="56" spans="1:56" ht="27" customHeight="1" thickTop="1" thickBot="1">
      <c r="A56">
        <v>47</v>
      </c>
      <c r="C56" s="24"/>
      <c r="D56" s="125"/>
      <c r="E56" s="35"/>
      <c r="F56" s="64"/>
      <c r="G56" s="64"/>
      <c r="H56" s="64"/>
      <c r="I56" s="64"/>
      <c r="J56" s="64"/>
      <c r="K56" s="64"/>
      <c r="L56" s="125"/>
      <c r="M56" s="125"/>
      <c r="N56" s="64"/>
      <c r="O56" s="64"/>
      <c r="P56" s="64"/>
      <c r="Q56" s="64"/>
      <c r="R56" s="64"/>
      <c r="S56" s="64"/>
      <c r="T56" s="64"/>
      <c r="U56" s="64"/>
      <c r="V56" s="64"/>
      <c r="W56" s="64"/>
      <c r="X56" s="64"/>
      <c r="Y56" s="65" t="str">
        <f t="shared" si="1"/>
        <v/>
      </c>
      <c r="Z56" s="125"/>
      <c r="AA56" s="125"/>
      <c r="AB56" s="64"/>
      <c r="AC56" s="64"/>
      <c r="AD56" s="64"/>
      <c r="AE56" s="64"/>
      <c r="AF56" s="64"/>
      <c r="AG56" s="64"/>
      <c r="AH56" s="64"/>
      <c r="AI56" s="64"/>
      <c r="AJ56" s="64"/>
      <c r="AK56" s="64"/>
      <c r="AL56" s="64"/>
      <c r="AM56" s="144" t="str">
        <f t="shared" si="2"/>
        <v/>
      </c>
      <c r="AN56" s="71"/>
      <c r="AO56" s="125"/>
      <c r="AP56" s="125"/>
      <c r="AQ56" s="64"/>
      <c r="AR56" s="64"/>
      <c r="AS56" s="64"/>
      <c r="AT56" s="64"/>
      <c r="AU56" s="64"/>
      <c r="AV56" s="64"/>
      <c r="AW56" s="64"/>
      <c r="AX56" s="64"/>
      <c r="AY56" s="64"/>
      <c r="AZ56" s="64"/>
      <c r="BA56" s="64"/>
      <c r="BB56" s="144" t="str">
        <f t="shared" si="3"/>
        <v/>
      </c>
      <c r="BC56" s="71"/>
      <c r="BD56" s="23"/>
    </row>
    <row r="57" spans="1:56" ht="27" customHeight="1" thickTop="1" thickBot="1">
      <c r="A57">
        <v>48</v>
      </c>
      <c r="C57" s="24"/>
      <c r="D57" s="125"/>
      <c r="E57" s="35"/>
      <c r="F57" s="64"/>
      <c r="G57" s="64"/>
      <c r="H57" s="64"/>
      <c r="I57" s="64"/>
      <c r="J57" s="64"/>
      <c r="K57" s="64"/>
      <c r="L57" s="125"/>
      <c r="M57" s="125"/>
      <c r="N57" s="64"/>
      <c r="O57" s="64"/>
      <c r="P57" s="64"/>
      <c r="Q57" s="64"/>
      <c r="R57" s="64"/>
      <c r="S57" s="64"/>
      <c r="T57" s="64"/>
      <c r="U57" s="64"/>
      <c r="V57" s="64"/>
      <c r="W57" s="64"/>
      <c r="X57" s="64"/>
      <c r="Y57" s="65" t="str">
        <f t="shared" si="1"/>
        <v/>
      </c>
      <c r="Z57" s="125"/>
      <c r="AA57" s="125"/>
      <c r="AB57" s="64"/>
      <c r="AC57" s="64"/>
      <c r="AD57" s="64"/>
      <c r="AE57" s="64"/>
      <c r="AF57" s="64"/>
      <c r="AG57" s="64"/>
      <c r="AH57" s="64"/>
      <c r="AI57" s="64"/>
      <c r="AJ57" s="64"/>
      <c r="AK57" s="64"/>
      <c r="AL57" s="64"/>
      <c r="AM57" s="144" t="str">
        <f t="shared" si="2"/>
        <v/>
      </c>
      <c r="AN57" s="71"/>
      <c r="AO57" s="125"/>
      <c r="AP57" s="125"/>
      <c r="AQ57" s="64"/>
      <c r="AR57" s="64"/>
      <c r="AS57" s="64"/>
      <c r="AT57" s="64"/>
      <c r="AU57" s="64"/>
      <c r="AV57" s="64"/>
      <c r="AW57" s="64"/>
      <c r="AX57" s="64"/>
      <c r="AY57" s="64"/>
      <c r="AZ57" s="64"/>
      <c r="BA57" s="64"/>
      <c r="BB57" s="144" t="str">
        <f t="shared" si="3"/>
        <v/>
      </c>
      <c r="BC57" s="71"/>
      <c r="BD57" s="23"/>
    </row>
    <row r="58" spans="1:56" ht="27" customHeight="1" thickTop="1" thickBot="1">
      <c r="A58">
        <v>49</v>
      </c>
      <c r="C58" s="24"/>
      <c r="D58" s="125"/>
      <c r="E58" s="35"/>
      <c r="F58" s="64"/>
      <c r="G58" s="64"/>
      <c r="H58" s="64"/>
      <c r="I58" s="64"/>
      <c r="J58" s="64"/>
      <c r="K58" s="64"/>
      <c r="L58" s="125"/>
      <c r="M58" s="125"/>
      <c r="N58" s="64"/>
      <c r="O58" s="64"/>
      <c r="P58" s="64"/>
      <c r="Q58" s="64"/>
      <c r="R58" s="64"/>
      <c r="S58" s="64"/>
      <c r="T58" s="64"/>
      <c r="U58" s="64"/>
      <c r="V58" s="64"/>
      <c r="W58" s="64"/>
      <c r="X58" s="64"/>
      <c r="Y58" s="65" t="str">
        <f t="shared" si="1"/>
        <v/>
      </c>
      <c r="Z58" s="125"/>
      <c r="AA58" s="125"/>
      <c r="AB58" s="64"/>
      <c r="AC58" s="64"/>
      <c r="AD58" s="64"/>
      <c r="AE58" s="64"/>
      <c r="AF58" s="64"/>
      <c r="AG58" s="64"/>
      <c r="AH58" s="64"/>
      <c r="AI58" s="64"/>
      <c r="AJ58" s="64"/>
      <c r="AK58" s="64"/>
      <c r="AL58" s="64"/>
      <c r="AM58" s="144" t="str">
        <f t="shared" si="2"/>
        <v/>
      </c>
      <c r="AN58" s="71"/>
      <c r="AO58" s="125"/>
      <c r="AP58" s="125"/>
      <c r="AQ58" s="64"/>
      <c r="AR58" s="64"/>
      <c r="AS58" s="64"/>
      <c r="AT58" s="64"/>
      <c r="AU58" s="64"/>
      <c r="AV58" s="64"/>
      <c r="AW58" s="64"/>
      <c r="AX58" s="64"/>
      <c r="AY58" s="64"/>
      <c r="AZ58" s="64"/>
      <c r="BA58" s="64"/>
      <c r="BB58" s="144" t="str">
        <f t="shared" si="3"/>
        <v/>
      </c>
      <c r="BC58" s="71"/>
      <c r="BD58" s="23"/>
    </row>
    <row r="59" spans="1:56" ht="15.6" thickTop="1" thickBot="1">
      <c r="A59">
        <v>50</v>
      </c>
      <c r="C59" s="24"/>
      <c r="D59" s="125"/>
      <c r="E59" s="35"/>
      <c r="F59" s="64"/>
      <c r="G59" s="64"/>
      <c r="H59" s="64"/>
      <c r="I59" s="64"/>
      <c r="J59" s="64"/>
      <c r="K59" s="64"/>
      <c r="L59" s="125"/>
      <c r="M59" s="125"/>
      <c r="N59" s="64"/>
      <c r="O59" s="64"/>
      <c r="P59" s="64"/>
      <c r="Q59" s="64"/>
      <c r="R59" s="64"/>
      <c r="S59" s="64"/>
      <c r="T59" s="64"/>
      <c r="U59" s="64"/>
      <c r="V59" s="64"/>
      <c r="W59" s="64"/>
      <c r="X59" s="64"/>
      <c r="Y59" s="65" t="str">
        <f t="shared" si="1"/>
        <v/>
      </c>
      <c r="Z59" s="125"/>
      <c r="AA59" s="125"/>
      <c r="AB59" s="64"/>
      <c r="AC59" s="64"/>
      <c r="AD59" s="64"/>
      <c r="AE59" s="64"/>
      <c r="AF59" s="64"/>
      <c r="AG59" s="64"/>
      <c r="AH59" s="64"/>
      <c r="AI59" s="64"/>
      <c r="AJ59" s="64"/>
      <c r="AK59" s="64"/>
      <c r="AL59" s="64"/>
      <c r="AM59" s="144" t="str">
        <f t="shared" si="2"/>
        <v/>
      </c>
      <c r="AN59" s="71"/>
      <c r="AO59" s="125"/>
      <c r="AP59" s="125"/>
      <c r="AQ59" s="64"/>
      <c r="AR59" s="64"/>
      <c r="AS59" s="64"/>
      <c r="AT59" s="64"/>
      <c r="AU59" s="64"/>
      <c r="AV59" s="64"/>
      <c r="AW59" s="64"/>
      <c r="AX59" s="64"/>
      <c r="AY59" s="64"/>
      <c r="AZ59" s="64"/>
      <c r="BA59" s="64"/>
      <c r="BB59" s="144" t="str">
        <f t="shared" si="3"/>
        <v/>
      </c>
      <c r="BC59" s="71"/>
      <c r="BD59" s="23"/>
    </row>
    <row r="60" spans="1:56" ht="15" thickTop="1">
      <c r="C60" s="24"/>
      <c r="D60" s="71"/>
      <c r="E60" s="71"/>
      <c r="F60" s="71"/>
      <c r="G60" s="71"/>
      <c r="H60" s="71"/>
      <c r="I60" s="71"/>
      <c r="J60" s="71"/>
      <c r="K60" s="71"/>
      <c r="L60" s="71"/>
      <c r="M60" s="71"/>
      <c r="N60" s="158"/>
      <c r="O60" s="158"/>
      <c r="P60" s="158"/>
      <c r="Q60" s="158"/>
      <c r="R60" s="158"/>
      <c r="S60" s="158"/>
      <c r="T60" s="158"/>
      <c r="U60" s="158"/>
      <c r="V60" s="158"/>
      <c r="W60" s="158"/>
      <c r="X60" s="158"/>
      <c r="Y60" s="71"/>
      <c r="Z60" s="71"/>
      <c r="AA60" s="71"/>
      <c r="AB60" s="71"/>
      <c r="AC60" s="71"/>
      <c r="AD60" s="71"/>
      <c r="AE60" s="71"/>
      <c r="AF60" s="71"/>
      <c r="AG60" s="71"/>
      <c r="AH60" s="71"/>
      <c r="AI60" s="71"/>
      <c r="AJ60" s="71"/>
      <c r="AK60" s="71"/>
      <c r="AL60" s="71"/>
      <c r="AM60" s="71"/>
      <c r="AN60" s="71"/>
      <c r="AO60" s="71"/>
      <c r="AP60" s="71"/>
      <c r="AQ60" s="71"/>
      <c r="AR60" s="71"/>
      <c r="AS60" s="71"/>
      <c r="AT60" s="71"/>
      <c r="AU60" s="71"/>
      <c r="AV60" s="71"/>
      <c r="AW60" s="71"/>
      <c r="AX60" s="71"/>
      <c r="AY60" s="71"/>
      <c r="AZ60" s="71"/>
      <c r="BA60" s="71"/>
      <c r="BB60" s="71"/>
      <c r="BC60" s="71"/>
      <c r="BD60" s="23"/>
    </row>
    <row r="61" spans="1:56">
      <c r="C61" s="24"/>
      <c r="D61" s="73"/>
      <c r="E61" s="73"/>
      <c r="F61" s="73"/>
      <c r="G61" s="73"/>
      <c r="H61" s="73"/>
      <c r="I61" s="73"/>
      <c r="J61" s="73"/>
      <c r="K61" s="73"/>
      <c r="L61" s="73"/>
      <c r="M61" s="73"/>
      <c r="N61" s="74"/>
      <c r="O61" s="74"/>
      <c r="P61" s="74"/>
      <c r="Q61" s="74"/>
      <c r="R61" s="74"/>
      <c r="S61" s="74"/>
      <c r="T61" s="74"/>
      <c r="U61" s="74"/>
      <c r="V61" s="74"/>
      <c r="W61" s="74"/>
      <c r="X61" s="74"/>
      <c r="Y61" s="73"/>
      <c r="Z61" s="73"/>
      <c r="AA61" s="73"/>
      <c r="AB61" s="73"/>
      <c r="AC61" s="73"/>
      <c r="AD61" s="73"/>
      <c r="AE61" s="73"/>
      <c r="AF61" s="73"/>
      <c r="AG61" s="73"/>
      <c r="AH61" s="73"/>
      <c r="AI61" s="73"/>
      <c r="AJ61" s="73"/>
      <c r="AK61" s="73"/>
      <c r="AL61" s="73"/>
      <c r="AM61" s="73"/>
      <c r="AN61" s="73"/>
      <c r="AO61" s="73"/>
      <c r="AP61" s="73"/>
      <c r="AQ61" s="73"/>
      <c r="AR61" s="73"/>
      <c r="AS61" s="73"/>
      <c r="AT61" s="73"/>
      <c r="AU61" s="73"/>
      <c r="AV61" s="73"/>
      <c r="AW61" s="73"/>
      <c r="AX61" s="73"/>
      <c r="AY61" s="73"/>
      <c r="AZ61" s="73"/>
      <c r="BA61" s="73"/>
      <c r="BB61" s="73"/>
      <c r="BC61" s="73"/>
      <c r="BD61" s="23"/>
    </row>
    <row r="62" spans="1:56">
      <c r="C62" s="24"/>
      <c r="D62" s="75"/>
      <c r="E62" s="75"/>
      <c r="F62" s="75"/>
      <c r="G62" s="75"/>
      <c r="H62" s="75"/>
      <c r="I62" s="75"/>
      <c r="J62" s="75"/>
      <c r="K62" s="75"/>
      <c r="L62" s="75"/>
      <c r="M62" s="75"/>
      <c r="N62" s="76">
        <f>SUM(N10:N60)</f>
        <v>8800000</v>
      </c>
      <c r="O62" s="76">
        <f t="shared" ref="O62:Y62" si="4">SUM(O10:O60)</f>
        <v>0</v>
      </c>
      <c r="P62" s="76">
        <f t="shared" si="4"/>
        <v>0</v>
      </c>
      <c r="Q62" s="76">
        <f t="shared" si="4"/>
        <v>0</v>
      </c>
      <c r="R62" s="76">
        <f t="shared" si="4"/>
        <v>0</v>
      </c>
      <c r="S62" s="76">
        <f t="shared" si="4"/>
        <v>0</v>
      </c>
      <c r="T62" s="76">
        <f t="shared" si="4"/>
        <v>0</v>
      </c>
      <c r="U62" s="76">
        <f t="shared" si="4"/>
        <v>0</v>
      </c>
      <c r="V62" s="76">
        <f t="shared" si="4"/>
        <v>0</v>
      </c>
      <c r="W62" s="159">
        <f t="shared" si="4"/>
        <v>341412919</v>
      </c>
      <c r="X62" s="159">
        <f t="shared" si="4"/>
        <v>1804000000</v>
      </c>
      <c r="Y62" s="66">
        <f t="shared" si="4"/>
        <v>2154212919</v>
      </c>
      <c r="Z62" s="75"/>
      <c r="AA62" s="75"/>
      <c r="AB62" s="76">
        <f t="shared" ref="AB62:AM62" si="5">SUM(AB10:AB60)</f>
        <v>0</v>
      </c>
      <c r="AC62" s="76">
        <f t="shared" si="5"/>
        <v>0</v>
      </c>
      <c r="AD62" s="76">
        <f t="shared" si="5"/>
        <v>0</v>
      </c>
      <c r="AE62" s="76">
        <f t="shared" si="5"/>
        <v>0</v>
      </c>
      <c r="AF62" s="76">
        <f t="shared" si="5"/>
        <v>0</v>
      </c>
      <c r="AG62" s="76">
        <f t="shared" si="5"/>
        <v>0</v>
      </c>
      <c r="AH62" s="76">
        <f t="shared" si="5"/>
        <v>0</v>
      </c>
      <c r="AI62" s="76">
        <f t="shared" si="5"/>
        <v>0</v>
      </c>
      <c r="AJ62" s="76">
        <f t="shared" si="5"/>
        <v>0</v>
      </c>
      <c r="AK62" s="76"/>
      <c r="AL62" s="76">
        <f t="shared" si="5"/>
        <v>0</v>
      </c>
      <c r="AM62" s="66">
        <f t="shared" si="5"/>
        <v>0</v>
      </c>
      <c r="AN62" s="75"/>
      <c r="AO62" s="75"/>
      <c r="AP62" s="75"/>
      <c r="AQ62" s="76">
        <f t="shared" ref="AQ62:AY62" si="6">SUM(AQ10:AQ60)</f>
        <v>0</v>
      </c>
      <c r="AR62" s="76">
        <f t="shared" si="6"/>
        <v>0</v>
      </c>
      <c r="AS62" s="76">
        <f t="shared" si="6"/>
        <v>0</v>
      </c>
      <c r="AT62" s="76">
        <f t="shared" si="6"/>
        <v>0</v>
      </c>
      <c r="AU62" s="76">
        <f t="shared" si="6"/>
        <v>0</v>
      </c>
      <c r="AV62" s="76">
        <f t="shared" si="6"/>
        <v>0</v>
      </c>
      <c r="AW62" s="76">
        <f t="shared" si="6"/>
        <v>0</v>
      </c>
      <c r="AX62" s="76">
        <f t="shared" si="6"/>
        <v>0</v>
      </c>
      <c r="AY62" s="76">
        <f t="shared" si="6"/>
        <v>0</v>
      </c>
      <c r="AZ62" s="76"/>
      <c r="BA62" s="76">
        <f t="shared" ref="BA62:BB62" si="7">SUM(BA10:BA60)</f>
        <v>0</v>
      </c>
      <c r="BB62" s="66">
        <f t="shared" si="7"/>
        <v>0</v>
      </c>
      <c r="BC62" s="75"/>
      <c r="BD62" s="23"/>
    </row>
    <row r="63" spans="1:56" ht="6" customHeight="1">
      <c r="C63" s="24"/>
      <c r="D63" s="73"/>
      <c r="E63" s="73"/>
      <c r="F63" s="73"/>
      <c r="G63" s="73"/>
      <c r="H63" s="73"/>
      <c r="I63" s="73"/>
      <c r="J63" s="73"/>
      <c r="K63" s="73"/>
      <c r="L63" s="73"/>
      <c r="M63" s="73"/>
      <c r="N63" s="73"/>
      <c r="O63" s="73"/>
      <c r="P63" s="73"/>
      <c r="Q63" s="73"/>
      <c r="R63" s="73"/>
      <c r="S63" s="73"/>
      <c r="T63" s="73"/>
      <c r="U63" s="73"/>
      <c r="V63" s="73"/>
      <c r="W63" s="73"/>
      <c r="X63" s="73"/>
      <c r="Y63" s="73"/>
      <c r="Z63" s="73"/>
      <c r="AA63" s="73"/>
      <c r="AB63" s="73"/>
      <c r="AC63" s="73"/>
      <c r="AD63" s="73"/>
      <c r="AE63" s="73"/>
      <c r="AF63" s="73"/>
      <c r="AG63" s="73"/>
      <c r="AH63" s="73"/>
      <c r="AI63" s="73"/>
      <c r="AJ63" s="73"/>
      <c r="AK63" s="73"/>
      <c r="AL63" s="73"/>
      <c r="AM63" s="73"/>
      <c r="AN63" s="73"/>
      <c r="AO63" s="73"/>
      <c r="AP63" s="73"/>
      <c r="AQ63" s="73"/>
      <c r="AR63" s="73"/>
      <c r="AS63" s="73"/>
      <c r="AT63" s="73"/>
      <c r="AU63" s="73"/>
      <c r="AV63" s="73"/>
      <c r="AW63" s="73"/>
      <c r="AX63" s="73"/>
      <c r="AY63" s="73"/>
      <c r="AZ63" s="73"/>
      <c r="BA63" s="73"/>
      <c r="BB63" s="73"/>
      <c r="BC63" s="73"/>
      <c r="BD63" s="23"/>
    </row>
    <row r="64" spans="1:56">
      <c r="C64" s="24"/>
      <c r="BD64" s="23"/>
    </row>
    <row r="65" spans="3:56">
      <c r="C65" s="24"/>
      <c r="Y65" s="160">
        <f>SUM(N10:V59)</f>
        <v>8800000</v>
      </c>
      <c r="AM65" s="160">
        <f>SUM(AB10:AJ59)</f>
        <v>0</v>
      </c>
      <c r="BB65" s="160">
        <f>SUM(AQ10:AY59)</f>
        <v>0</v>
      </c>
      <c r="BD65" s="23"/>
    </row>
    <row r="66" spans="3:56">
      <c r="C66" s="24"/>
      <c r="BD66" s="23"/>
    </row>
    <row r="67" spans="3:56">
      <c r="C67" s="24"/>
      <c r="BD67" s="23"/>
    </row>
    <row r="68" spans="3:56">
      <c r="C68" s="24"/>
      <c r="BD68" s="23"/>
    </row>
    <row r="69" spans="3:56" ht="15" thickBot="1">
      <c r="C69" s="25"/>
      <c r="D69" s="26"/>
      <c r="E69" s="26"/>
      <c r="F69" s="26"/>
      <c r="G69" s="26"/>
      <c r="H69" s="26"/>
      <c r="I69" s="26"/>
      <c r="J69" s="26"/>
      <c r="K69" s="26"/>
      <c r="L69" s="26"/>
      <c r="M69" s="26"/>
      <c r="N69" s="26"/>
      <c r="O69" s="26"/>
      <c r="P69" s="26"/>
      <c r="Q69" s="26"/>
      <c r="R69" s="26"/>
      <c r="S69" s="26"/>
      <c r="T69" s="26"/>
      <c r="U69" s="26"/>
      <c r="V69" s="26"/>
      <c r="W69" s="26"/>
      <c r="X69" s="26"/>
      <c r="Y69" s="26"/>
      <c r="Z69" s="26"/>
      <c r="AA69" s="26"/>
      <c r="AB69" s="26"/>
      <c r="AC69" s="26"/>
      <c r="AD69" s="26"/>
      <c r="AE69" s="26"/>
      <c r="AF69" s="26"/>
      <c r="AG69" s="26"/>
      <c r="AH69" s="26"/>
      <c r="AI69" s="26"/>
      <c r="AJ69" s="26"/>
      <c r="AK69" s="26"/>
      <c r="AL69" s="26"/>
      <c r="AM69" s="26"/>
      <c r="AN69" s="26"/>
      <c r="AO69" s="26"/>
      <c r="AP69" s="26"/>
      <c r="AQ69" s="26"/>
      <c r="AR69" s="26"/>
      <c r="AS69" s="26"/>
      <c r="AT69" s="26"/>
      <c r="AU69" s="26"/>
      <c r="AV69" s="26"/>
      <c r="AW69" s="26"/>
      <c r="AX69" s="26"/>
      <c r="AY69" s="26"/>
      <c r="AZ69" s="26"/>
      <c r="BA69" s="26"/>
      <c r="BB69" s="26"/>
      <c r="BC69" s="26"/>
      <c r="BD69" s="27"/>
    </row>
  </sheetData>
  <mergeCells count="2">
    <mergeCell ref="F7:H7"/>
    <mergeCell ref="I7:K7"/>
  </mergeCells>
  <hyperlinks>
    <hyperlink ref="F2" location="MENU!A1" display="Back to Menu" xr:uid="{E1A82960-F866-470F-964E-A64391A4FA29}"/>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calculate_sheet">
                <anchor moveWithCells="1" sizeWithCells="1">
                  <from>
                    <xdr:col>6</xdr:col>
                    <xdr:colOff>495300</xdr:colOff>
                    <xdr:row>1</xdr:row>
                    <xdr:rowOff>114300</xdr:rowOff>
                  </from>
                  <to>
                    <xdr:col>8</xdr:col>
                    <xdr:colOff>260350</xdr:colOff>
                    <xdr:row>2</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B96B0FBA-FFA7-4852-B78A-FF06DF4F5EFA}">
          <x14:formula1>
            <xm:f>'Lookup tables'!$N$2:$N$5</xm:f>
          </x14:formula1>
          <xm:sqref>E4</xm:sqref>
        </x14:dataValidation>
        <x14:dataValidation type="list" allowBlank="1" showInputMessage="1" showErrorMessage="1" xr:uid="{F630026B-F477-45DE-AFEB-D8D3DAD06B0E}">
          <x14:formula1>
            <xm:f>'Lookup tables'!$I$2:$I$5</xm:f>
          </x14:formula1>
          <xm:sqref>E6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5DE63-2368-4641-8722-48D822A3AE9C}">
  <sheetPr codeName="Sheet10"/>
  <dimension ref="A1:BM79"/>
  <sheetViews>
    <sheetView showGridLines="0" topLeftCell="A13" zoomScaleNormal="100" workbookViewId="0">
      <selection activeCell="AD18" sqref="AD18:AD35"/>
    </sheetView>
  </sheetViews>
  <sheetFormatPr defaultColWidth="8.5703125" defaultRowHeight="14.45"/>
  <cols>
    <col min="1" max="2" width="4.42578125" customWidth="1"/>
    <col min="3" max="4" width="0.5703125" customWidth="1"/>
    <col min="5" max="5" width="30.42578125" customWidth="1"/>
    <col min="6" max="7" width="16" bestFit="1" customWidth="1"/>
    <col min="8" max="8" width="9.42578125" customWidth="1"/>
    <col min="9" max="9" width="10.140625" customWidth="1"/>
    <col min="10" max="10" width="14.5703125" customWidth="1"/>
    <col min="11" max="11" width="2.5703125" customWidth="1"/>
    <col min="12" max="12" width="1.5703125" customWidth="1"/>
    <col min="13" max="13" width="0.5703125" customWidth="1"/>
    <col min="14" max="14" width="4.5703125" customWidth="1"/>
    <col min="15" max="15" width="0.5703125" customWidth="1"/>
    <col min="16" max="16" width="5" bestFit="1" customWidth="1"/>
    <col min="17" max="17" width="0.5703125" customWidth="1"/>
    <col min="18" max="18" width="5" customWidth="1"/>
    <col min="19" max="19" width="0.5703125" customWidth="1"/>
    <col min="20" max="20" width="4.5703125" customWidth="1"/>
    <col min="21" max="21" width="0.5703125" customWidth="1"/>
    <col min="22" max="22" width="4.5703125" customWidth="1"/>
    <col min="23" max="23" width="0.5703125" customWidth="1"/>
    <col min="24" max="24" width="4.5703125" customWidth="1"/>
    <col min="25" max="25" width="0.5703125" customWidth="1"/>
    <col min="26" max="26" width="4.5703125" customWidth="1"/>
    <col min="27" max="27" width="0.5703125" customWidth="1"/>
    <col min="28" max="28" width="4.5703125" customWidth="1"/>
    <col min="29" max="29" width="0.5703125" customWidth="1"/>
    <col min="30" max="30" width="4.5703125" customWidth="1"/>
    <col min="31" max="31" width="0.5703125" customWidth="1"/>
    <col min="32" max="32" width="4.5703125" customWidth="1"/>
    <col min="33" max="33" width="0.5703125" customWidth="1"/>
    <col min="34" max="34" width="4.5703125" customWidth="1"/>
    <col min="35" max="35" width="0.5703125" customWidth="1"/>
    <col min="36" max="36" width="4.5703125" customWidth="1"/>
    <col min="37" max="37" width="0.5703125" customWidth="1"/>
    <col min="38" max="38" width="4.5703125" customWidth="1"/>
    <col min="39" max="39" width="0.5703125" customWidth="1"/>
    <col min="40" max="40" width="5" customWidth="1"/>
    <col min="41" max="41" width="0.5703125" customWidth="1"/>
    <col min="42" max="42" width="5" bestFit="1" customWidth="1"/>
    <col min="43" max="43" width="0.5703125" customWidth="1"/>
    <col min="44" max="44" width="4.5703125" customWidth="1"/>
    <col min="45" max="45" width="0.5703125" customWidth="1"/>
    <col min="46" max="46" width="4.5703125" customWidth="1"/>
    <col min="47" max="47" width="0.5703125" customWidth="1"/>
    <col min="48" max="48" width="4.5703125" customWidth="1"/>
    <col min="49" max="51" width="0.5703125" customWidth="1"/>
    <col min="52" max="58" width="1.42578125" customWidth="1"/>
    <col min="59" max="59" width="1" customWidth="1"/>
    <col min="60" max="65" width="12.5703125" customWidth="1"/>
    <col min="66" max="66" width="21.42578125" customWidth="1"/>
  </cols>
  <sheetData>
    <row r="1" spans="1:65" ht="15" thickBot="1"/>
    <row r="2" spans="1:65">
      <c r="B2" s="20"/>
      <c r="C2" s="21"/>
      <c r="D2" s="21"/>
      <c r="E2" s="137" t="s">
        <v>193</v>
      </c>
      <c r="F2" s="21"/>
      <c r="G2" s="267" t="s">
        <v>199</v>
      </c>
      <c r="H2" s="138">
        <f>ROWS(_xlfn.ANCHORARRAY(C10))</f>
        <v>9</v>
      </c>
      <c r="I2" s="138"/>
      <c r="J2" s="21"/>
      <c r="K2" s="21"/>
      <c r="L2" s="21"/>
      <c r="M2" s="21"/>
      <c r="N2" s="21"/>
      <c r="O2" s="21"/>
      <c r="P2" s="21"/>
      <c r="Q2" s="21"/>
      <c r="R2" s="21"/>
      <c r="S2" s="21"/>
      <c r="T2" s="21"/>
      <c r="U2" s="21"/>
      <c r="V2" s="21"/>
      <c r="W2" s="21"/>
      <c r="X2" s="32" t="s">
        <v>352</v>
      </c>
      <c r="Y2" s="21"/>
      <c r="Z2" s="21"/>
      <c r="AA2" s="21"/>
      <c r="AB2" s="21"/>
      <c r="AC2" s="21"/>
      <c r="AD2" s="21"/>
      <c r="AE2" s="21"/>
      <c r="AF2" s="21"/>
      <c r="AG2" s="21"/>
      <c r="AH2" s="21"/>
      <c r="AI2" s="21"/>
      <c r="AJ2" s="21"/>
      <c r="AK2" s="21"/>
      <c r="AL2" s="21"/>
      <c r="AM2" s="21"/>
      <c r="AN2" s="21"/>
      <c r="AO2" s="21"/>
      <c r="AP2" s="21"/>
      <c r="AQ2" s="21"/>
      <c r="AR2" s="21"/>
      <c r="AS2" s="21"/>
      <c r="AT2" s="21"/>
      <c r="AU2" s="21"/>
      <c r="AV2" s="21"/>
      <c r="AW2" s="21"/>
      <c r="AX2" s="21"/>
      <c r="AY2" s="22"/>
      <c r="BH2" t="s">
        <v>353</v>
      </c>
    </row>
    <row r="3" spans="1:65">
      <c r="B3" s="24"/>
      <c r="E3" s="30"/>
      <c r="J3" s="1"/>
      <c r="M3" t="str">
        <f ca="1">IF(AND(N7-TODAY()&gt;-16,N7-TODAY()&lt;0),1,"")</f>
        <v/>
      </c>
      <c r="N3" s="135"/>
      <c r="O3" t="str">
        <f ca="1">IF(AND(P7-TODAY()&gt;-16,P7-TODAY()&lt;0),1,"")</f>
        <v/>
      </c>
      <c r="P3" s="136"/>
      <c r="Q3" t="str">
        <f ca="1">IF(AND(R7-TODAY()&gt;-16,R7-TODAY()&lt;0),1,"")</f>
        <v/>
      </c>
      <c r="R3" s="31"/>
      <c r="S3" s="19"/>
      <c r="T3" s="31"/>
      <c r="U3" s="19"/>
      <c r="V3" s="31"/>
      <c r="W3" s="19"/>
      <c r="X3" s="140"/>
      <c r="Y3" s="19"/>
      <c r="Z3" s="141" t="s">
        <v>354</v>
      </c>
      <c r="AA3" s="19"/>
      <c r="AB3" s="31"/>
      <c r="AC3" s="19"/>
      <c r="AD3" s="142"/>
      <c r="AE3" s="19"/>
      <c r="AF3" s="141" t="s">
        <v>355</v>
      </c>
      <c r="AG3" s="19"/>
      <c r="AH3" s="19"/>
      <c r="AI3" s="19"/>
      <c r="AJ3" s="19"/>
      <c r="AK3" s="19"/>
      <c r="AL3" s="143"/>
      <c r="AM3" s="19"/>
      <c r="AN3" s="141" t="s">
        <v>356</v>
      </c>
      <c r="AO3" s="19"/>
      <c r="AP3" s="19"/>
      <c r="AQ3" s="19"/>
      <c r="AR3" s="19"/>
      <c r="AS3" s="19"/>
      <c r="AT3" s="19"/>
      <c r="AU3" s="19"/>
      <c r="AV3" s="19"/>
      <c r="AW3" s="19"/>
      <c r="AX3" s="19"/>
      <c r="AY3" s="139"/>
    </row>
    <row r="4" spans="1:65" ht="15" thickBot="1">
      <c r="B4" s="24"/>
      <c r="E4" s="134" t="s">
        <v>357</v>
      </c>
      <c r="F4" s="134" t="s">
        <v>203</v>
      </c>
      <c r="G4" s="1" t="s">
        <v>358</v>
      </c>
      <c r="N4" s="1"/>
      <c r="P4" s="1"/>
      <c r="R4" s="1"/>
      <c r="T4" s="1"/>
      <c r="V4" s="1"/>
      <c r="X4" s="1"/>
      <c r="Z4" s="1"/>
      <c r="AB4" s="1"/>
      <c r="AD4" s="1"/>
      <c r="AY4" s="23"/>
    </row>
    <row r="5" spans="1:65">
      <c r="B5" s="24"/>
      <c r="D5" s="67"/>
      <c r="E5" s="68" t="s">
        <v>322</v>
      </c>
      <c r="F5" s="69" t="s">
        <v>43</v>
      </c>
      <c r="G5" s="69" t="s">
        <v>304</v>
      </c>
      <c r="J5" s="112">
        <f>IF(G5="Date",0,1)</f>
        <v>0</v>
      </c>
      <c r="N5" s="1" t="str">
        <f>_xlfn.XLOOKUP(N7,'Lookup tables'!$AM$2:$AM$10,'Lookup tables'!$AN$2:$AN$10,"Not found")</f>
        <v>FY22</v>
      </c>
      <c r="O5" s="1"/>
      <c r="P5" s="1"/>
      <c r="Q5" s="1"/>
      <c r="R5" s="1"/>
      <c r="S5" s="113"/>
      <c r="T5" s="1" t="str">
        <f>_xlfn.XLOOKUP(T7,'Lookup tables'!$AM$2:$AM$10,'Lookup tables'!$AN$2:$AN$10,"Not found")</f>
        <v>FY23</v>
      </c>
      <c r="U5" s="114"/>
      <c r="V5" s="1"/>
      <c r="X5" s="1"/>
      <c r="Y5" s="1"/>
      <c r="Z5" s="1"/>
      <c r="AA5" s="1"/>
      <c r="AB5" s="1"/>
      <c r="AD5" s="1"/>
      <c r="AE5" s="1"/>
      <c r="AF5" s="1"/>
      <c r="AG5" s="1"/>
      <c r="AH5" s="1"/>
      <c r="AI5" s="1"/>
      <c r="AJ5" s="1"/>
      <c r="AK5" s="114"/>
      <c r="AL5" s="1"/>
      <c r="AM5" s="1"/>
      <c r="AN5" s="1"/>
      <c r="AO5" s="1"/>
      <c r="AP5" s="1"/>
      <c r="AQ5" s="113"/>
      <c r="AR5" s="1" t="str">
        <f>_xlfn.XLOOKUP(AR7,'Lookup tables'!$AM$2:$AM$10,'Lookup tables'!$AN$2:$AN$10,"Not found")</f>
        <v>FY24</v>
      </c>
      <c r="AS5" s="115"/>
      <c r="AT5" s="1"/>
      <c r="AV5" s="1"/>
      <c r="AY5" s="23"/>
      <c r="BH5" s="1" t="s">
        <v>359</v>
      </c>
    </row>
    <row r="6" spans="1:65" ht="15" thickTop="1">
      <c r="B6" s="24"/>
      <c r="E6" s="116"/>
      <c r="N6" s="113"/>
      <c r="O6" s="113"/>
      <c r="P6" s="117">
        <f>YEAR(P7)</f>
        <v>2021</v>
      </c>
      <c r="Q6" s="113"/>
      <c r="R6" s="117">
        <f>YEAR(R7)</f>
        <v>2022</v>
      </c>
      <c r="S6" s="113"/>
      <c r="T6" s="113"/>
      <c r="U6" s="113"/>
      <c r="V6" s="113"/>
      <c r="W6" s="113"/>
      <c r="X6" s="113"/>
      <c r="Y6" s="113"/>
      <c r="Z6" s="113"/>
      <c r="AA6" s="113"/>
      <c r="AB6" s="113"/>
      <c r="AC6" s="118"/>
      <c r="AD6" s="117"/>
      <c r="AE6" s="113"/>
      <c r="AF6" s="113"/>
      <c r="AG6" s="113"/>
      <c r="AH6" s="113"/>
      <c r="AI6" s="113"/>
      <c r="AJ6" s="113"/>
      <c r="AK6" s="113"/>
      <c r="AL6" s="113"/>
      <c r="AM6" s="113"/>
      <c r="AN6" s="117">
        <f>YEAR(AN7)</f>
        <v>2022</v>
      </c>
      <c r="AO6" s="113"/>
      <c r="AP6" s="117">
        <f>YEAR(AP7)</f>
        <v>2023</v>
      </c>
      <c r="AQ6" s="113"/>
      <c r="AR6" s="113"/>
      <c r="AS6" s="113"/>
      <c r="AT6" s="113"/>
      <c r="AU6" s="113"/>
      <c r="AV6" s="113"/>
      <c r="AW6" s="118"/>
      <c r="AY6" s="23"/>
    </row>
    <row r="7" spans="1:65" ht="29.1">
      <c r="B7" s="119" t="s">
        <v>360</v>
      </c>
      <c r="E7" s="33" t="s">
        <v>1</v>
      </c>
      <c r="F7" s="33" t="s">
        <v>297</v>
      </c>
      <c r="G7" s="120" t="s">
        <v>166</v>
      </c>
      <c r="H7" s="120" t="s">
        <v>361</v>
      </c>
      <c r="I7" s="120" t="s">
        <v>362</v>
      </c>
      <c r="J7" s="120" t="s">
        <v>195</v>
      </c>
      <c r="K7" s="120"/>
      <c r="L7" s="120"/>
      <c r="N7" s="121" cm="1">
        <f t="array" ref="N7:AV7">IF(E5="FY21",TRANSPOSE('Lookup tables'!AK2:AK36),IF(E5="FY22",TRANSPOSE('Lookup tables'!AJ2:AJ36),IF(E5="FY23",TRANSPOSE('Lookup tables'!AI2:AI36),"Error")))</f>
        <v>44501</v>
      </c>
      <c r="O7" s="107">
        <v>0</v>
      </c>
      <c r="P7" s="122">
        <v>44531</v>
      </c>
      <c r="Q7" s="107">
        <v>0</v>
      </c>
      <c r="R7" s="122">
        <v>44562</v>
      </c>
      <c r="S7" s="109">
        <v>0</v>
      </c>
      <c r="T7" s="122">
        <v>44593</v>
      </c>
      <c r="U7" s="107">
        <v>0</v>
      </c>
      <c r="V7" s="122">
        <v>44621</v>
      </c>
      <c r="W7" s="107">
        <v>0</v>
      </c>
      <c r="X7" s="122">
        <v>44652</v>
      </c>
      <c r="Y7" s="107">
        <v>0</v>
      </c>
      <c r="Z7" s="122">
        <v>44682</v>
      </c>
      <c r="AA7" s="107">
        <v>0</v>
      </c>
      <c r="AB7" s="122">
        <v>44713</v>
      </c>
      <c r="AC7" s="107">
        <v>0</v>
      </c>
      <c r="AD7" s="122">
        <v>44743</v>
      </c>
      <c r="AE7" s="107">
        <v>0</v>
      </c>
      <c r="AF7" s="122">
        <v>44774</v>
      </c>
      <c r="AG7" s="107">
        <v>0</v>
      </c>
      <c r="AH7" s="122">
        <v>44805</v>
      </c>
      <c r="AI7" s="107">
        <v>0</v>
      </c>
      <c r="AJ7" s="122">
        <v>44835</v>
      </c>
      <c r="AK7" s="107">
        <v>0</v>
      </c>
      <c r="AL7" s="122">
        <v>44866</v>
      </c>
      <c r="AM7" s="107">
        <v>0</v>
      </c>
      <c r="AN7" s="122">
        <v>44896</v>
      </c>
      <c r="AO7" s="107">
        <v>0</v>
      </c>
      <c r="AP7" s="122">
        <v>44927</v>
      </c>
      <c r="AQ7" s="109">
        <v>0</v>
      </c>
      <c r="AR7" s="122">
        <v>44958</v>
      </c>
      <c r="AS7" s="107">
        <v>0</v>
      </c>
      <c r="AT7" s="122">
        <v>44986</v>
      </c>
      <c r="AU7" s="107">
        <v>0</v>
      </c>
      <c r="AV7" s="122">
        <v>45017</v>
      </c>
      <c r="AY7" s="23"/>
      <c r="BH7" s="52" t="s">
        <v>216</v>
      </c>
      <c r="BI7" s="52" t="s">
        <v>217</v>
      </c>
      <c r="BJ7" s="52" t="s">
        <v>363</v>
      </c>
      <c r="BK7" s="52" t="s">
        <v>364</v>
      </c>
      <c r="BL7" s="52" t="s">
        <v>365</v>
      </c>
      <c r="BM7" s="52" t="s">
        <v>366</v>
      </c>
    </row>
    <row r="8" spans="1:65" ht="15" thickBot="1">
      <c r="B8" s="24"/>
      <c r="C8" s="19">
        <f>IF(J5=1,2,1)</f>
        <v>1</v>
      </c>
      <c r="D8" s="19">
        <f>IF(C8=1,-1,1)</f>
        <v>-1</v>
      </c>
      <c r="H8" s="150" t="s">
        <v>367</v>
      </c>
      <c r="O8" s="77"/>
      <c r="Q8" s="77"/>
      <c r="S8" s="110"/>
      <c r="U8" s="77"/>
      <c r="W8" s="77"/>
      <c r="Y8" s="77"/>
      <c r="AA8" s="108"/>
      <c r="AC8" s="77"/>
      <c r="AE8" s="77"/>
      <c r="AG8" s="77"/>
      <c r="AI8" s="77"/>
      <c r="AK8" s="77"/>
      <c r="AM8" s="77"/>
      <c r="AO8" s="77"/>
      <c r="AQ8" s="110"/>
      <c r="AS8" s="77"/>
      <c r="AU8" s="77"/>
      <c r="AY8" s="23"/>
    </row>
    <row r="9" spans="1:65" ht="6" customHeight="1" thickTop="1" thickBot="1">
      <c r="B9" s="123"/>
      <c r="C9" s="71"/>
      <c r="D9" s="71"/>
      <c r="E9" s="124" t="str">
        <f>IF(D10="N","No data available","")</f>
        <v/>
      </c>
      <c r="F9" s="71"/>
      <c r="G9" s="71"/>
      <c r="H9" s="71"/>
      <c r="I9" s="71"/>
      <c r="J9" s="71"/>
      <c r="K9" s="71"/>
      <c r="L9" s="71"/>
      <c r="M9" s="71"/>
      <c r="N9" s="34"/>
      <c r="O9" s="111"/>
      <c r="P9" s="34"/>
      <c r="Q9" s="111"/>
      <c r="R9" s="34"/>
      <c r="S9" s="111"/>
      <c r="T9" s="34"/>
      <c r="U9" s="111"/>
      <c r="V9" s="34"/>
      <c r="W9" s="111"/>
      <c r="X9" s="34"/>
      <c r="Y9" s="111"/>
      <c r="Z9" s="34"/>
      <c r="AA9" s="111"/>
      <c r="AB9" s="34"/>
      <c r="AC9" s="111"/>
      <c r="AD9" s="34"/>
      <c r="AE9" s="111"/>
      <c r="AF9" s="34"/>
      <c r="AG9" s="111"/>
      <c r="AH9" s="34"/>
      <c r="AI9" s="111"/>
      <c r="AJ9" s="34"/>
      <c r="AK9" s="111"/>
      <c r="AL9" s="34"/>
      <c r="AM9" s="111"/>
      <c r="AN9" s="34"/>
      <c r="AO9" s="111"/>
      <c r="AP9" s="34"/>
      <c r="AQ9" s="111"/>
      <c r="AR9" s="34"/>
      <c r="AS9" s="111"/>
      <c r="AT9" s="34"/>
      <c r="AU9" s="111"/>
      <c r="AV9" s="34"/>
      <c r="AW9" s="34"/>
      <c r="AX9" s="34"/>
      <c r="AY9" s="23"/>
    </row>
    <row r="10" spans="1:65" ht="20.25" customHeight="1" thickTop="1" thickBot="1">
      <c r="A10" s="19"/>
      <c r="B10" s="123" cm="1">
        <f t="array" ref="B10:B18">_xlfn.SEQUENCE(COUNTA(E10:E70))</f>
        <v>1</v>
      </c>
      <c r="C10" s="71" cm="1">
        <f t="array" ref="C10:K18">_xlfn._xlws.SORT(_xlfn._xlws.FILTER(INDEX(Table1[#Data],_xlfn.SEQUENCE(ROWS(Table1[#Data])),{5,9,2,26,10,76,78,11,82}),(Table1[Most curent]=TRUE)*(Table1[SBU]=$F$5)*(Table1[Execution Year]=$E$5)*(Table1[Current Phase]&lt;&gt;"Cancelled"),"N"),C8,-D8)</f>
        <v>44655</v>
      </c>
      <c r="D10" s="125" t="str">
        <v>Pending PB/Merchant approval</v>
      </c>
      <c r="E10" s="35" t="str">
        <v>Wet pet food</v>
      </c>
      <c r="F10" s="35" t="str">
        <v>Pending PB/Merch Approval</v>
      </c>
      <c r="G10" s="35" t="str">
        <v>On Track (Green)</v>
      </c>
      <c r="H10" s="36">
        <v>0</v>
      </c>
      <c r="I10" s="36">
        <v>254012919</v>
      </c>
      <c r="J10" s="35" t="str">
        <v>Jason</v>
      </c>
      <c r="K10" s="71">
        <v>0.3</v>
      </c>
      <c r="L10" s="71"/>
      <c r="M10" s="71"/>
      <c r="N10" s="34" t="str">
        <f>IFERROR(IF(AND(N$7&gt;=$BH10,N$7&lt;$BI10),1,IF(AND(N$7&gt;=$BJ10,N$7&lt;$BK10),2,IF(AND(N$7&gt;=$BL10,N$7&lt;=$BM10),3,""))),"")</f>
        <v/>
      </c>
      <c r="O10" s="111" t="str">
        <f>N10</f>
        <v/>
      </c>
      <c r="P10" s="34" t="str">
        <f t="shared" ref="P10:P25" si="0">IFERROR(IF(AND(P$7&gt;=$BH10,P$7&lt;$BI10),1,IF(AND(P$7&gt;=$BJ10,P$7&lt;$BK10),2,IF(AND(P$7&gt;=$BL10,P$7&lt;=$BM10),3,""))),"")</f>
        <v/>
      </c>
      <c r="Q10" s="111" t="str">
        <f t="shared" ref="Q10" si="1">P10</f>
        <v/>
      </c>
      <c r="R10" s="34" t="str">
        <f t="shared" ref="R10:R25" si="2">IFERROR(IF(AND(R$7&gt;=$BH10,R$7&lt;$BI10),1,IF(AND(R$7&gt;=$BJ10,R$7&lt;$BK10),2,IF(AND(R$7&gt;=$BL10,R$7&lt;=$BM10),3,""))),"")</f>
        <v/>
      </c>
      <c r="S10" s="111" t="str">
        <f t="shared" ref="S10" si="3">R10</f>
        <v/>
      </c>
      <c r="T10" s="37">
        <f t="shared" ref="T10:T25" si="4">IFERROR(IF(AND(T$7&gt;=$BH10,T$7&lt;$BI10),1,IF(AND(T$7&gt;=$BJ10,T$7&lt;$BK10),2,IF(AND(T$7&gt;=$BL10,T$7&lt;=$BM10),3,""))),"")</f>
        <v>3</v>
      </c>
      <c r="U10" s="111">
        <f t="shared" ref="U10" si="5">T10</f>
        <v>3</v>
      </c>
      <c r="V10" s="37">
        <f t="shared" ref="V10:V25" si="6">IFERROR(IF(AND(V$7&gt;=$BH10,V$7&lt;$BI10),1,IF(AND(V$7&gt;=$BJ10,V$7&lt;$BK10),2,IF(AND(V$7&gt;=$BL10,V$7&lt;=$BM10),3,""))),"")</f>
        <v>3</v>
      </c>
      <c r="W10" s="111">
        <f t="shared" ref="W10" si="7">V10</f>
        <v>3</v>
      </c>
      <c r="X10" s="37">
        <f t="shared" ref="X10:X25" si="8">IFERROR(IF(AND(X$7&gt;=$BH10,X$7&lt;$BI10),1,IF(AND(X$7&gt;=$BJ10,X$7&lt;$BK10),2,IF(AND(X$7&gt;=$BL10,X$7&lt;=$BM10),3,""))),"")</f>
        <v>1</v>
      </c>
      <c r="Y10" s="111">
        <f t="shared" ref="Y10" si="9">X10</f>
        <v>1</v>
      </c>
      <c r="Z10" s="37">
        <f t="shared" ref="Z10:Z25" si="10">IFERROR(IF(AND(Z$7&gt;=$BH10,Z$7&lt;$BI10),1,IF(AND(Z$7&gt;=$BJ10,Z$7&lt;$BK10),2,IF(AND(Z$7&gt;=$BL10,Z$7&lt;=$BM10),3,""))),"")</f>
        <v>1</v>
      </c>
      <c r="AA10" s="111">
        <f t="shared" ref="AA10" si="11">Z10</f>
        <v>1</v>
      </c>
      <c r="AB10" s="37" t="str">
        <f t="shared" ref="AB10:AB25" si="12">IFERROR(IF(AND(AB$7&gt;=$BH10,AB$7&lt;$BI10),1,IF(AND(AB$7&gt;=$BJ10,AB$7&lt;$BK10),2,IF(AND(AB$7&gt;=$BL10,AB$7&lt;=$BM10),3,""))),"")</f>
        <v/>
      </c>
      <c r="AC10" s="111" t="str">
        <f t="shared" ref="AC10" si="13">AB10</f>
        <v/>
      </c>
      <c r="AD10" s="37" t="str">
        <f t="shared" ref="AD10:AD25" si="14">IFERROR(IF(AND(AD$7&gt;=$BH10,AD$7&lt;$BI10),1,IF(AND(AD$7&gt;=$BJ10,AD$7&lt;$BK10),2,IF(AND(AD$7&gt;=$BL10,AD$7&lt;=$BM10),3,""))),"")</f>
        <v/>
      </c>
      <c r="AE10" s="111" t="str">
        <f t="shared" ref="AE10" si="15">AD10</f>
        <v/>
      </c>
      <c r="AF10" s="37" t="str">
        <f t="shared" ref="AF10:AF25" si="16">IFERROR(IF(AND(AF$7&gt;=$BH10,AF$7&lt;$BI10),1,IF(AND(AF$7&gt;=$BJ10,AF$7&lt;$BK10),2,IF(AND(AF$7&gt;=$BL10,AF$7&lt;=$BM10),3,""))),"")</f>
        <v/>
      </c>
      <c r="AG10" s="111" t="str">
        <f t="shared" ref="AG10" si="17">AF10</f>
        <v/>
      </c>
      <c r="AH10" s="37" t="str">
        <f t="shared" ref="AH10:AH25" si="18">IFERROR(IF(AND(AH$7&gt;=$BH10,AH$7&lt;$BI10),1,IF(AND(AH$7&gt;=$BJ10,AH$7&lt;$BK10),2,IF(AND(AH$7&gt;=$BL10,AH$7&lt;=$BM10),3,""))),"")</f>
        <v/>
      </c>
      <c r="AI10" s="111" t="str">
        <f t="shared" ref="AI10" si="19">AH10</f>
        <v/>
      </c>
      <c r="AJ10" s="37" t="str">
        <f t="shared" ref="AJ10:AJ25" si="20">IFERROR(IF(AND(AJ$7&gt;=$BH10,AJ$7&lt;$BI10),1,IF(AND(AJ$7&gt;=$BJ10,AJ$7&lt;$BK10),2,IF(AND(AJ$7&gt;=$BL10,AJ$7&lt;=$BM10),3,""))),"")</f>
        <v/>
      </c>
      <c r="AK10" s="111" t="str">
        <f t="shared" ref="AK10" si="21">AJ10</f>
        <v/>
      </c>
      <c r="AL10" s="37" t="str">
        <f t="shared" ref="AL10:AL25" si="22">IFERROR(IF(AND(AL$7&gt;=$BH10,AL$7&lt;$BI10),1,IF(AND(AL$7&gt;=$BJ10,AL$7&lt;$BK10),2,IF(AND(AL$7&gt;=$BL10,AL$7&lt;=$BM10),3,""))),"")</f>
        <v/>
      </c>
      <c r="AM10" s="111" t="str">
        <f t="shared" ref="AM10" si="23">AL10</f>
        <v/>
      </c>
      <c r="AN10" s="37" t="str">
        <f t="shared" ref="AN10:AN25" si="24">IFERROR(IF(AND(AN$7&gt;=$BH10,AN$7&lt;$BI10),1,IF(AND(AN$7&gt;=$BJ10,AN$7&lt;$BK10),2,IF(AND(AN$7&gt;=$BL10,AN$7&lt;=$BM10),3,""))),"")</f>
        <v/>
      </c>
      <c r="AO10" s="111" t="str">
        <f t="shared" ref="AO10" si="25">AN10</f>
        <v/>
      </c>
      <c r="AP10" s="37" t="str">
        <f t="shared" ref="AP10:AP25" si="26">IFERROR(IF(AND(AP$7&gt;=$BH10,AP$7&lt;$BI10),1,IF(AND(AP$7&gt;=$BJ10,AP$7&lt;$BK10),2,IF(AND(AP$7&gt;=$BL10,AP$7&lt;=$BM10),3,""))),"")</f>
        <v/>
      </c>
      <c r="AQ10" s="111" t="str">
        <f t="shared" ref="AQ10" si="27">AP10</f>
        <v/>
      </c>
      <c r="AR10" s="37" t="str">
        <f t="shared" ref="AR10:AR25" si="28">IFERROR(IF(AND(AR$7&gt;=$BH10,AR$7&lt;$BI10),1,IF(AND(AR$7&gt;=$BJ10,AR$7&lt;$BK10),2,IF(AND(AR$7&gt;=$BL10,AR$7&lt;=$BM10),3,""))),"")</f>
        <v/>
      </c>
      <c r="AS10" s="111" t="str">
        <f t="shared" ref="AS10" si="29">AR10</f>
        <v/>
      </c>
      <c r="AT10" s="37" t="str">
        <f t="shared" ref="AT10:AT25" si="30">IFERROR(IF(AND(AT$7&gt;=$BH10,AT$7&lt;$BI10),1,IF(AND(AT$7&gt;=$BJ10,AT$7&lt;$BK10),2,IF(AND(AT$7&gt;=$BL10,AT$7&lt;=$BM10),3,""))),"")</f>
        <v/>
      </c>
      <c r="AU10" s="111" t="str">
        <f t="shared" ref="AU10" si="31">AT10</f>
        <v/>
      </c>
      <c r="AV10" s="37" t="str">
        <f t="shared" ref="AV10:AV25" si="32">IFERROR(IF(AND(AV$7&gt;=$BH10,AV$7&lt;$BI10),1,IF(AND(AV$7&gt;=$BJ10,AV$7&lt;$BK10),2,IF(AND(AV$7&gt;=$BL10,AV$7&lt;=$BM10),3,""))),"")</f>
        <v/>
      </c>
      <c r="AW10" s="34" t="str">
        <f t="shared" ref="AW10:AW70" si="33">AV10</f>
        <v/>
      </c>
      <c r="AX10" s="34"/>
      <c r="AY10" s="23"/>
      <c r="BH10" s="60" cm="1">
        <f t="array" ref="BH10">IFERROR(EOMONTH(EOMONTH(_xlfn._xlws.FILTER(Table1[Planned Start],(Table1[Category]=$E10)*(Table1[SBU]=$F$5)*(Table1[Execution Year]=$E$5)*(Table1[Most curent]=TRUE)),0)-45,0)+1,"")</f>
        <v>44652</v>
      </c>
      <c r="BI10" s="60" cm="1">
        <f t="array" ref="BI10">IFERROR(EOMONTH(_xlfn._xlws.FILTER(Table1[Planned Award],(Table1[Category]=$E10)*(Table1[SBU]=$F$5)*(Table1[Execution Year]=$E$5)*(Table1[Most curent]=TRUE)),0),"")</f>
        <v>44712</v>
      </c>
      <c r="BJ10" s="60" t="str" cm="1">
        <f t="array" ref="BJ10">IFERROR(EOMONTH(EOMONTH(_xlfn._xlws.FILTER(Table1[Current Phase End],(Table1[Category]=$E10)*(Table1[SBU]=$F$5)*(Table1[Execution Year]=$E$5)*(Table1[Most curent]=TRUE)),0)-45,0)+1,"")</f>
        <v/>
      </c>
      <c r="BK10" s="60" cm="1">
        <f t="array" ref="BK10">IFERROR(EOMONTH(_xlfn._xlws.FILTER(Table1[Revised Award],(Table1[Category]=$E10)*(Table1[SBU]=$F$5)*(Table1[Execution Year]=$E$5)*(Table1[Most curent]=TRUE)),0),"")</f>
        <v>31</v>
      </c>
      <c r="BL10" s="60">
        <f>IFERROR(EOMONTH(BH10-65,0)+1,"")</f>
        <v>44593</v>
      </c>
      <c r="BM10" s="60">
        <f>IFERROR(BH10-1,"")</f>
        <v>44651</v>
      </c>
    </row>
    <row r="11" spans="1:65" ht="20.25" customHeight="1" thickTop="1" thickBot="1">
      <c r="B11" s="123">
        <v>2</v>
      </c>
      <c r="C11" s="71">
        <v>44682</v>
      </c>
      <c r="D11" s="125" t="str">
        <v>2_Bid Prep</v>
      </c>
      <c r="E11" s="35" t="str">
        <v>Absorbent pads</v>
      </c>
      <c r="F11" s="35" t="str">
        <v>Bid Prep</v>
      </c>
      <c r="G11" s="35" t="str">
        <v>On Track (Green)</v>
      </c>
      <c r="H11" s="36">
        <v>3900000</v>
      </c>
      <c r="I11" s="36">
        <v>79400000</v>
      </c>
      <c r="J11" s="35" t="str">
        <v>Yoshi</v>
      </c>
      <c r="K11" s="71">
        <v>0.3</v>
      </c>
      <c r="L11" s="71"/>
      <c r="M11" s="71"/>
      <c r="N11" s="34" t="str">
        <f t="shared" ref="N11:N70" si="34">IFERROR(IF(AND(N$7&gt;=$BH11,N$7&lt;$BI11),1,IF(AND(N$7&gt;=$BJ11,N$7&lt;$BK11),2,IF(AND(N$7&gt;=$BL11,N$7&lt;=$BM11),3,""))),"")</f>
        <v/>
      </c>
      <c r="O11" s="111" t="str">
        <f t="shared" ref="O11:O70" si="35">N11</f>
        <v/>
      </c>
      <c r="P11" s="34" t="str">
        <f t="shared" si="0"/>
        <v/>
      </c>
      <c r="Q11" s="111" t="str">
        <f t="shared" ref="Q11" si="36">P11</f>
        <v/>
      </c>
      <c r="R11" s="34" t="str">
        <f t="shared" si="2"/>
        <v/>
      </c>
      <c r="S11" s="111" t="str">
        <f t="shared" ref="S11" si="37">R11</f>
        <v/>
      </c>
      <c r="T11" s="37" t="str">
        <f t="shared" si="4"/>
        <v/>
      </c>
      <c r="U11" s="111" t="str">
        <f t="shared" ref="U11" si="38">T11</f>
        <v/>
      </c>
      <c r="V11" s="37">
        <f t="shared" si="6"/>
        <v>3</v>
      </c>
      <c r="W11" s="111">
        <f t="shared" ref="W11" si="39">V11</f>
        <v>3</v>
      </c>
      <c r="X11" s="37">
        <f t="shared" si="8"/>
        <v>3</v>
      </c>
      <c r="Y11" s="111">
        <f t="shared" ref="Y11" si="40">X11</f>
        <v>3</v>
      </c>
      <c r="Z11" s="37">
        <f t="shared" si="10"/>
        <v>1</v>
      </c>
      <c r="AA11" s="111">
        <f t="shared" ref="AA11" si="41">Z11</f>
        <v>1</v>
      </c>
      <c r="AB11" s="37">
        <f t="shared" si="12"/>
        <v>1</v>
      </c>
      <c r="AC11" s="111">
        <f t="shared" ref="AC11" si="42">AB11</f>
        <v>1</v>
      </c>
      <c r="AD11" s="37">
        <f t="shared" si="14"/>
        <v>1</v>
      </c>
      <c r="AE11" s="111">
        <f t="shared" ref="AE11" si="43">AD11</f>
        <v>1</v>
      </c>
      <c r="AF11" s="37">
        <f t="shared" si="16"/>
        <v>1</v>
      </c>
      <c r="AG11" s="111">
        <f t="shared" ref="AG11" si="44">AF11</f>
        <v>1</v>
      </c>
      <c r="AH11" s="37" t="str">
        <f t="shared" si="18"/>
        <v/>
      </c>
      <c r="AI11" s="111" t="str">
        <f t="shared" ref="AI11" si="45">AH11</f>
        <v/>
      </c>
      <c r="AJ11" s="37" t="str">
        <f t="shared" si="20"/>
        <v/>
      </c>
      <c r="AK11" s="111" t="str">
        <f t="shared" ref="AK11" si="46">AJ11</f>
        <v/>
      </c>
      <c r="AL11" s="37" t="str">
        <f t="shared" si="22"/>
        <v/>
      </c>
      <c r="AM11" s="111" t="str">
        <f t="shared" ref="AM11" si="47">AL11</f>
        <v/>
      </c>
      <c r="AN11" s="37" t="str">
        <f t="shared" si="24"/>
        <v/>
      </c>
      <c r="AO11" s="111" t="str">
        <f t="shared" ref="AO11" si="48">AN11</f>
        <v/>
      </c>
      <c r="AP11" s="37" t="str">
        <f t="shared" si="26"/>
        <v/>
      </c>
      <c r="AQ11" s="111" t="str">
        <f t="shared" ref="AQ11" si="49">AP11</f>
        <v/>
      </c>
      <c r="AR11" s="37" t="str">
        <f t="shared" si="28"/>
        <v/>
      </c>
      <c r="AS11" s="111" t="str">
        <f t="shared" ref="AS11" si="50">AR11</f>
        <v/>
      </c>
      <c r="AT11" s="37" t="str">
        <f t="shared" si="30"/>
        <v/>
      </c>
      <c r="AU11" s="111" t="str">
        <f t="shared" ref="AU11" si="51">AT11</f>
        <v/>
      </c>
      <c r="AV11" s="37" t="str">
        <f t="shared" si="32"/>
        <v/>
      </c>
      <c r="AW11" s="34" t="str">
        <f t="shared" si="33"/>
        <v/>
      </c>
      <c r="AX11" s="34"/>
      <c r="AY11" s="23"/>
      <c r="BH11" s="60" cm="1">
        <f t="array" ref="BH11">IFERROR(EOMONTH(EOMONTH(_xlfn._xlws.FILTER(Table1[Planned Start],(Table1[Category]=$E11)*(Table1[SBU]=$F$5)*(Table1[Execution Year]=$E$5)*(Table1[Most curent]=TRUE)),0)-45,0)+1,"")</f>
        <v>44682</v>
      </c>
      <c r="BI11" s="60" cm="1">
        <f t="array" ref="BI11">IFERROR(EOMONTH(_xlfn._xlws.FILTER(Table1[Planned Award],(Table1[Category]=$E11)*(Table1[SBU]=$F$5)*(Table1[Execution Year]=$E$5)*(Table1[Most curent]=TRUE)),0),"")</f>
        <v>44804</v>
      </c>
      <c r="BJ11" s="60" t="str" cm="1">
        <f t="array" ref="BJ11">IFERROR(EOMONTH(EOMONTH(_xlfn._xlws.FILTER(Table1[Current Phase End],(Table1[Category]=$E11)*(Table1[SBU]=$F$5)*(Table1[Execution Year]=$E$5)*(Table1[Most curent]=TRUE)),0)-45,0)+1,"")</f>
        <v/>
      </c>
      <c r="BK11" s="60" cm="1">
        <f t="array" ref="BK11">IFERROR(EOMONTH(_xlfn._xlws.FILTER(Table1[Revised Award],(Table1[Category]=$E11)*(Table1[SBU]=$F$5)*(Table1[Execution Year]=$E$5)*(Table1[Most curent]=TRUE)),0),"")</f>
        <v>31</v>
      </c>
      <c r="BL11" s="60">
        <f t="shared" ref="BL11:BL23" si="52">IFERROR(EOMONTH(BH11-65,0)+1,"")</f>
        <v>44621</v>
      </c>
      <c r="BM11" s="60">
        <f t="shared" ref="BM11:BM23" si="53">IFERROR(BH11-1,"")</f>
        <v>44681</v>
      </c>
    </row>
    <row r="12" spans="1:65" ht="20.25" customHeight="1" thickTop="1" thickBot="1">
      <c r="B12" s="123">
        <v>3</v>
      </c>
      <c r="C12" s="71">
        <v>44682</v>
      </c>
      <c r="D12" s="125" t="str">
        <v>RFP1 SCO Analysis</v>
      </c>
      <c r="E12" s="35" t="str">
        <v>Shave Gel/Foam</v>
      </c>
      <c r="F12" s="35" t="str">
        <v>SCO Analysis</v>
      </c>
      <c r="G12" s="35" t="str">
        <v>On Track (Green)</v>
      </c>
      <c r="H12" s="36">
        <v>0</v>
      </c>
      <c r="I12" s="36">
        <v>14000000</v>
      </c>
      <c r="J12" s="35" t="str">
        <v>Kendra</v>
      </c>
      <c r="K12" s="71">
        <v>0.3</v>
      </c>
      <c r="L12" s="71"/>
      <c r="M12" s="71"/>
      <c r="N12" s="34" t="str">
        <f t="shared" si="34"/>
        <v/>
      </c>
      <c r="O12" s="111" t="str">
        <f t="shared" si="35"/>
        <v/>
      </c>
      <c r="P12" s="34" t="str">
        <f t="shared" si="0"/>
        <v/>
      </c>
      <c r="Q12" s="111" t="str">
        <f t="shared" ref="Q12" si="54">P12</f>
        <v/>
      </c>
      <c r="R12" s="34" t="str">
        <f t="shared" si="2"/>
        <v/>
      </c>
      <c r="S12" s="111" t="str">
        <f t="shared" ref="S12" si="55">R12</f>
        <v/>
      </c>
      <c r="T12" s="37" t="str">
        <f t="shared" si="4"/>
        <v/>
      </c>
      <c r="U12" s="111" t="str">
        <f t="shared" ref="U12" si="56">T12</f>
        <v/>
      </c>
      <c r="V12" s="37">
        <f t="shared" si="6"/>
        <v>3</v>
      </c>
      <c r="W12" s="111">
        <f t="shared" ref="W12" si="57">V12</f>
        <v>3</v>
      </c>
      <c r="X12" s="37">
        <f t="shared" si="8"/>
        <v>3</v>
      </c>
      <c r="Y12" s="111">
        <f t="shared" ref="Y12" si="58">X12</f>
        <v>3</v>
      </c>
      <c r="Z12" s="37">
        <f t="shared" si="10"/>
        <v>1</v>
      </c>
      <c r="AA12" s="111">
        <f t="shared" ref="AA12" si="59">Z12</f>
        <v>1</v>
      </c>
      <c r="AB12" s="37">
        <f t="shared" si="12"/>
        <v>1</v>
      </c>
      <c r="AC12" s="111">
        <f t="shared" ref="AC12" si="60">AB12</f>
        <v>1</v>
      </c>
      <c r="AD12" s="37">
        <f t="shared" si="14"/>
        <v>1</v>
      </c>
      <c r="AE12" s="111">
        <f t="shared" ref="AE12" si="61">AD12</f>
        <v>1</v>
      </c>
      <c r="AF12" s="37" t="str">
        <f t="shared" si="16"/>
        <v/>
      </c>
      <c r="AG12" s="111" t="str">
        <f t="shared" ref="AG12" si="62">AF12</f>
        <v/>
      </c>
      <c r="AH12" s="37" t="str">
        <f t="shared" si="18"/>
        <v/>
      </c>
      <c r="AI12" s="111" t="str">
        <f t="shared" ref="AI12" si="63">AH12</f>
        <v/>
      </c>
      <c r="AJ12" s="37" t="str">
        <f t="shared" si="20"/>
        <v/>
      </c>
      <c r="AK12" s="111" t="str">
        <f t="shared" ref="AK12" si="64">AJ12</f>
        <v/>
      </c>
      <c r="AL12" s="37" t="str">
        <f t="shared" si="22"/>
        <v/>
      </c>
      <c r="AM12" s="111" t="str">
        <f t="shared" ref="AM12" si="65">AL12</f>
        <v/>
      </c>
      <c r="AN12" s="37" t="str">
        <f t="shared" si="24"/>
        <v/>
      </c>
      <c r="AO12" s="111" t="str">
        <f t="shared" ref="AO12" si="66">AN12</f>
        <v/>
      </c>
      <c r="AP12" s="37" t="str">
        <f t="shared" si="26"/>
        <v/>
      </c>
      <c r="AQ12" s="111" t="str">
        <f t="shared" ref="AQ12" si="67">AP12</f>
        <v/>
      </c>
      <c r="AR12" s="37" t="str">
        <f t="shared" si="28"/>
        <v/>
      </c>
      <c r="AS12" s="111" t="str">
        <f t="shared" ref="AS12" si="68">AR12</f>
        <v/>
      </c>
      <c r="AT12" s="37" t="str">
        <f t="shared" si="30"/>
        <v/>
      </c>
      <c r="AU12" s="111" t="str">
        <f t="shared" ref="AU12" si="69">AT12</f>
        <v/>
      </c>
      <c r="AV12" s="37" t="str">
        <f t="shared" si="32"/>
        <v/>
      </c>
      <c r="AW12" s="34" t="str">
        <f t="shared" si="33"/>
        <v/>
      </c>
      <c r="AX12" s="34"/>
      <c r="AY12" s="23"/>
      <c r="BH12" s="60" cm="1">
        <f t="array" ref="BH12">IFERROR(EOMONTH(EOMONTH(_xlfn._xlws.FILTER(Table1[Planned Start],(Table1[Category]=$E12)*(Table1[SBU]=$F$5)*(Table1[Execution Year]=$E$5)*(Table1[Most curent]=TRUE)),0)-45,0)+1,"")</f>
        <v>44682</v>
      </c>
      <c r="BI12" s="60" cm="1">
        <f t="array" ref="BI12">IFERROR(EOMONTH(_xlfn._xlws.FILTER(Table1[Planned Award],(Table1[Category]=$E12)*(Table1[SBU]=$F$5)*(Table1[Execution Year]=$E$5)*(Table1[Most curent]=TRUE)),0),"")</f>
        <v>44773</v>
      </c>
      <c r="BJ12" s="60" t="str" cm="1">
        <f t="array" ref="BJ12">IFERROR(EOMONTH(EOMONTH(_xlfn._xlws.FILTER(Table1[Current Phase End],(Table1[Category]=$E12)*(Table1[SBU]=$F$5)*(Table1[Execution Year]=$E$5)*(Table1[Most curent]=TRUE)),0)-45,0)+1,"")</f>
        <v/>
      </c>
      <c r="BK12" s="60" cm="1">
        <f t="array" ref="BK12">IFERROR(EOMONTH(_xlfn._xlws.FILTER(Table1[Revised Award],(Table1[Category]=$E12)*(Table1[SBU]=$F$5)*(Table1[Execution Year]=$E$5)*(Table1[Most curent]=TRUE)),0),"")</f>
        <v>31</v>
      </c>
      <c r="BL12" s="60">
        <f t="shared" si="52"/>
        <v>44621</v>
      </c>
      <c r="BM12" s="60">
        <f t="shared" si="53"/>
        <v>44681</v>
      </c>
    </row>
    <row r="13" spans="1:65" ht="20.25" customHeight="1" thickTop="1" thickBot="1">
      <c r="B13" s="123">
        <v>4</v>
      </c>
      <c r="C13" s="71">
        <v>44713</v>
      </c>
      <c r="D13" s="125" t="str">
        <v>RFP1</v>
      </c>
      <c r="E13" s="35" t="str">
        <v>Batteries</v>
      </c>
      <c r="F13" s="35" t="str">
        <v>RFPX underway</v>
      </c>
      <c r="G13" s="35" t="str">
        <v>On Track (Green)</v>
      </c>
      <c r="H13" s="36">
        <v>4900000</v>
      </c>
      <c r="I13" s="36">
        <v>8000000</v>
      </c>
      <c r="J13" s="35" t="str">
        <v>Kendra</v>
      </c>
      <c r="K13" s="71">
        <v>0.3</v>
      </c>
      <c r="L13" s="71"/>
      <c r="M13" s="71"/>
      <c r="N13" s="34" t="str">
        <f t="shared" si="34"/>
        <v/>
      </c>
      <c r="O13" s="111" t="str">
        <f t="shared" si="35"/>
        <v/>
      </c>
      <c r="P13" s="34" t="str">
        <f t="shared" si="0"/>
        <v/>
      </c>
      <c r="Q13" s="111" t="str">
        <f t="shared" ref="Q13" si="70">P13</f>
        <v/>
      </c>
      <c r="R13" s="34" t="str">
        <f t="shared" si="2"/>
        <v/>
      </c>
      <c r="S13" s="111" t="str">
        <f t="shared" ref="S13" si="71">R13</f>
        <v/>
      </c>
      <c r="T13" s="37" t="str">
        <f t="shared" si="4"/>
        <v/>
      </c>
      <c r="U13" s="111" t="str">
        <f t="shared" ref="U13" si="72">T13</f>
        <v/>
      </c>
      <c r="V13" s="37" t="str">
        <f t="shared" si="6"/>
        <v/>
      </c>
      <c r="W13" s="111" t="str">
        <f t="shared" ref="W13" si="73">V13</f>
        <v/>
      </c>
      <c r="X13" s="37">
        <f t="shared" si="8"/>
        <v>3</v>
      </c>
      <c r="Y13" s="111">
        <f t="shared" ref="Y13" si="74">X13</f>
        <v>3</v>
      </c>
      <c r="Z13" s="37">
        <f t="shared" si="10"/>
        <v>3</v>
      </c>
      <c r="AA13" s="111">
        <f t="shared" ref="AA13" si="75">Z13</f>
        <v>3</v>
      </c>
      <c r="AB13" s="37">
        <f t="shared" si="12"/>
        <v>1</v>
      </c>
      <c r="AC13" s="111">
        <f t="shared" ref="AC13" si="76">AB13</f>
        <v>1</v>
      </c>
      <c r="AD13" s="37">
        <f t="shared" si="14"/>
        <v>1</v>
      </c>
      <c r="AE13" s="111">
        <f t="shared" ref="AE13" si="77">AD13</f>
        <v>1</v>
      </c>
      <c r="AF13" s="37">
        <f t="shared" si="16"/>
        <v>1</v>
      </c>
      <c r="AG13" s="111">
        <f t="shared" ref="AG13" si="78">AF13</f>
        <v>1</v>
      </c>
      <c r="AH13" s="37">
        <f t="shared" si="18"/>
        <v>1</v>
      </c>
      <c r="AI13" s="111">
        <f t="shared" ref="AI13" si="79">AH13</f>
        <v>1</v>
      </c>
      <c r="AJ13" s="37" t="str">
        <f t="shared" si="20"/>
        <v/>
      </c>
      <c r="AK13" s="111" t="str">
        <f t="shared" ref="AK13" si="80">AJ13</f>
        <v/>
      </c>
      <c r="AL13" s="37" t="str">
        <f t="shared" si="22"/>
        <v/>
      </c>
      <c r="AM13" s="111" t="str">
        <f t="shared" ref="AM13" si="81">AL13</f>
        <v/>
      </c>
      <c r="AN13" s="37" t="str">
        <f t="shared" si="24"/>
        <v/>
      </c>
      <c r="AO13" s="111" t="str">
        <f t="shared" ref="AO13" si="82">AN13</f>
        <v/>
      </c>
      <c r="AP13" s="37" t="str">
        <f t="shared" si="26"/>
        <v/>
      </c>
      <c r="AQ13" s="111" t="str">
        <f t="shared" ref="AQ13" si="83">AP13</f>
        <v/>
      </c>
      <c r="AR13" s="37" t="str">
        <f t="shared" si="28"/>
        <v/>
      </c>
      <c r="AS13" s="111" t="str">
        <f t="shared" ref="AS13" si="84">AR13</f>
        <v/>
      </c>
      <c r="AT13" s="37" t="str">
        <f t="shared" si="30"/>
        <v/>
      </c>
      <c r="AU13" s="111" t="str">
        <f t="shared" ref="AU13" si="85">AT13</f>
        <v/>
      </c>
      <c r="AV13" s="37" t="str">
        <f t="shared" si="32"/>
        <v/>
      </c>
      <c r="AW13" s="34" t="str">
        <f t="shared" si="33"/>
        <v/>
      </c>
      <c r="AX13" s="34"/>
      <c r="AY13" s="23"/>
      <c r="BH13" s="60" cm="1">
        <f t="array" ref="BH13">IFERROR(EOMONTH(EOMONTH(_xlfn._xlws.FILTER(Table1[Planned Start],(Table1[Category]=$E13)*(Table1[SBU]=$F$5)*(Table1[Execution Year]=$E$5)*(Table1[Most curent]=TRUE)),0)-45,0)+1,"")</f>
        <v>44713</v>
      </c>
      <c r="BI13" s="60" cm="1">
        <f t="array" ref="BI13">IFERROR(EOMONTH(_xlfn._xlws.FILTER(Table1[Planned Award],(Table1[Category]=$E13)*(Table1[SBU]=$F$5)*(Table1[Execution Year]=$E$5)*(Table1[Most curent]=TRUE)),0),"")</f>
        <v>44834</v>
      </c>
      <c r="BJ13" s="60" t="str" cm="1">
        <f t="array" ref="BJ13">IFERROR(EOMONTH(EOMONTH(_xlfn._xlws.FILTER(Table1[Current Phase End],(Table1[Category]=$E13)*(Table1[SBU]=$F$5)*(Table1[Execution Year]=$E$5)*(Table1[Most curent]=TRUE)),0)-45,0)+1,"")</f>
        <v/>
      </c>
      <c r="BK13" s="60" cm="1">
        <f t="array" ref="BK13">IFERROR(EOMONTH(_xlfn._xlws.FILTER(Table1[Revised Award],(Table1[Category]=$E13)*(Table1[SBU]=$F$5)*(Table1[Execution Year]=$E$5)*(Table1[Most curent]=TRUE)),0),"")</f>
        <v>31</v>
      </c>
      <c r="BL13" s="60">
        <f t="shared" si="52"/>
        <v>44652</v>
      </c>
      <c r="BM13" s="60">
        <f t="shared" si="53"/>
        <v>44712</v>
      </c>
    </row>
    <row r="14" spans="1:65" ht="20.25" customHeight="1" thickTop="1" thickBot="1">
      <c r="B14" s="123">
        <v>5</v>
      </c>
      <c r="C14" s="71">
        <v>44743</v>
      </c>
      <c r="D14" s="125" t="str">
        <v>1_Exploratory</v>
      </c>
      <c r="E14" s="35" t="str">
        <v>DTT - Plastic</v>
      </c>
      <c r="F14" s="35" t="str">
        <v>Exploratory</v>
      </c>
      <c r="G14" s="35" t="str">
        <v>On Track (Green)</v>
      </c>
      <c r="H14" s="36">
        <v>0</v>
      </c>
      <c r="I14" s="36">
        <v>343000000</v>
      </c>
      <c r="J14" s="35" t="str">
        <v>Luis</v>
      </c>
      <c r="K14" s="71">
        <v>0.3</v>
      </c>
      <c r="L14" s="71"/>
      <c r="M14" s="71"/>
      <c r="N14" s="34" t="str">
        <f t="shared" si="34"/>
        <v/>
      </c>
      <c r="O14" s="111" t="str">
        <f t="shared" si="35"/>
        <v/>
      </c>
      <c r="P14" s="34" t="str">
        <f t="shared" si="0"/>
        <v/>
      </c>
      <c r="Q14" s="111" t="str">
        <f t="shared" ref="Q14" si="86">P14</f>
        <v/>
      </c>
      <c r="R14" s="34" t="str">
        <f t="shared" si="2"/>
        <v/>
      </c>
      <c r="S14" s="111" t="str">
        <f t="shared" ref="S14" si="87">R14</f>
        <v/>
      </c>
      <c r="T14" s="37" t="str">
        <f t="shared" si="4"/>
        <v/>
      </c>
      <c r="U14" s="111" t="str">
        <f t="shared" ref="U14" si="88">T14</f>
        <v/>
      </c>
      <c r="V14" s="37" t="str">
        <f t="shared" si="6"/>
        <v/>
      </c>
      <c r="W14" s="111" t="str">
        <f t="shared" ref="W14" si="89">V14</f>
        <v/>
      </c>
      <c r="X14" s="37" t="str">
        <f t="shared" si="8"/>
        <v/>
      </c>
      <c r="Y14" s="111" t="str">
        <f t="shared" ref="Y14" si="90">X14</f>
        <v/>
      </c>
      <c r="Z14" s="37">
        <f t="shared" si="10"/>
        <v>3</v>
      </c>
      <c r="AA14" s="111">
        <f t="shared" ref="AA14" si="91">Z14</f>
        <v>3</v>
      </c>
      <c r="AB14" s="37">
        <f t="shared" si="12"/>
        <v>3</v>
      </c>
      <c r="AC14" s="111">
        <f t="shared" ref="AC14" si="92">AB14</f>
        <v>3</v>
      </c>
      <c r="AD14" s="37">
        <f t="shared" si="14"/>
        <v>1</v>
      </c>
      <c r="AE14" s="111">
        <f t="shared" ref="AE14" si="93">AD14</f>
        <v>1</v>
      </c>
      <c r="AF14" s="37">
        <f t="shared" si="16"/>
        <v>1</v>
      </c>
      <c r="AG14" s="111">
        <f t="shared" ref="AG14" si="94">AF14</f>
        <v>1</v>
      </c>
      <c r="AH14" s="37">
        <f t="shared" si="18"/>
        <v>1</v>
      </c>
      <c r="AI14" s="111">
        <f t="shared" ref="AI14" si="95">AH14</f>
        <v>1</v>
      </c>
      <c r="AJ14" s="37">
        <f t="shared" si="20"/>
        <v>1</v>
      </c>
      <c r="AK14" s="111">
        <f t="shared" ref="AK14" si="96">AJ14</f>
        <v>1</v>
      </c>
      <c r="AL14" s="37">
        <f t="shared" si="22"/>
        <v>1</v>
      </c>
      <c r="AM14" s="111">
        <f t="shared" ref="AM14" si="97">AL14</f>
        <v>1</v>
      </c>
      <c r="AN14" s="37">
        <f t="shared" si="24"/>
        <v>1</v>
      </c>
      <c r="AO14" s="111">
        <f t="shared" ref="AO14" si="98">AN14</f>
        <v>1</v>
      </c>
      <c r="AP14" s="37" t="str">
        <f t="shared" si="26"/>
        <v/>
      </c>
      <c r="AQ14" s="111" t="str">
        <f t="shared" ref="AQ14" si="99">AP14</f>
        <v/>
      </c>
      <c r="AR14" s="37" t="str">
        <f t="shared" si="28"/>
        <v/>
      </c>
      <c r="AS14" s="111" t="str">
        <f t="shared" ref="AS14" si="100">AR14</f>
        <v/>
      </c>
      <c r="AT14" s="37" t="str">
        <f t="shared" si="30"/>
        <v/>
      </c>
      <c r="AU14" s="111" t="str">
        <f t="shared" ref="AU14" si="101">AT14</f>
        <v/>
      </c>
      <c r="AV14" s="37" t="str">
        <f t="shared" si="32"/>
        <v/>
      </c>
      <c r="AW14" s="34" t="str">
        <f t="shared" si="33"/>
        <v/>
      </c>
      <c r="AX14" s="34"/>
      <c r="AY14" s="23"/>
      <c r="BH14" s="60" cm="1">
        <f t="array" ref="BH14">IFERROR(EOMONTH(EOMONTH(_xlfn._xlws.FILTER(Table1[Planned Start],(Table1[Category]=$E14)*(Table1[SBU]=$F$5)*(Table1[Execution Year]=$E$5)*(Table1[Most curent]=TRUE)),0)-45,0)+1,"")</f>
        <v>44743</v>
      </c>
      <c r="BI14" s="60" cm="1">
        <f t="array" ref="BI14">IFERROR(EOMONTH(_xlfn._xlws.FILTER(Table1[Planned Award],(Table1[Category]=$E14)*(Table1[SBU]=$F$5)*(Table1[Execution Year]=$E$5)*(Table1[Most curent]=TRUE)),0),"")</f>
        <v>44926</v>
      </c>
      <c r="BJ14" s="60" t="str" cm="1">
        <f t="array" ref="BJ14">IFERROR(EOMONTH(EOMONTH(_xlfn._xlws.FILTER(Table1[Current Phase End],(Table1[Category]=$E14)*(Table1[SBU]=$F$5)*(Table1[Execution Year]=$E$5)*(Table1[Most curent]=TRUE)),0)-45,0)+1,"")</f>
        <v/>
      </c>
      <c r="BK14" s="60" cm="1">
        <f t="array" ref="BK14">IFERROR(EOMONTH(_xlfn._xlws.FILTER(Table1[Revised Award],(Table1[Category]=$E14)*(Table1[SBU]=$F$5)*(Table1[Execution Year]=$E$5)*(Table1[Most curent]=TRUE)),0),"")</f>
        <v>31</v>
      </c>
      <c r="BL14" s="60">
        <f t="shared" si="52"/>
        <v>44682</v>
      </c>
      <c r="BM14" s="60">
        <f t="shared" si="53"/>
        <v>44742</v>
      </c>
    </row>
    <row r="15" spans="1:65" ht="20.25" customHeight="1" thickTop="1" thickBot="1">
      <c r="B15" s="123">
        <v>6</v>
      </c>
      <c r="C15" s="71">
        <v>44805</v>
      </c>
      <c r="D15" s="125" t="str">
        <v>1_Exploratory</v>
      </c>
      <c r="E15" s="35" t="str">
        <v>Paper Products II</v>
      </c>
      <c r="F15" s="35" t="str">
        <v>Exploratory</v>
      </c>
      <c r="G15" s="35">
        <v>0</v>
      </c>
      <c r="H15" s="36">
        <v>0</v>
      </c>
      <c r="I15" s="36">
        <v>863000000</v>
      </c>
      <c r="J15" s="35" t="str">
        <v>Yoshi</v>
      </c>
      <c r="K15" s="71" t="str">
        <v/>
      </c>
      <c r="L15" s="71"/>
      <c r="M15" s="71"/>
      <c r="N15" s="34" t="str">
        <f t="shared" si="34"/>
        <v/>
      </c>
      <c r="O15" s="111" t="str">
        <f t="shared" si="35"/>
        <v/>
      </c>
      <c r="P15" s="34" t="str">
        <f t="shared" si="0"/>
        <v/>
      </c>
      <c r="Q15" s="111" t="str">
        <f t="shared" ref="Q15" si="102">P15</f>
        <v/>
      </c>
      <c r="R15" s="34" t="str">
        <f t="shared" si="2"/>
        <v/>
      </c>
      <c r="S15" s="111" t="str">
        <f t="shared" ref="S15" si="103">R15</f>
        <v/>
      </c>
      <c r="T15" s="37" t="str">
        <f t="shared" si="4"/>
        <v/>
      </c>
      <c r="U15" s="111" t="str">
        <f t="shared" ref="U15" si="104">T15</f>
        <v/>
      </c>
      <c r="V15" s="37" t="str">
        <f t="shared" si="6"/>
        <v/>
      </c>
      <c r="W15" s="111" t="str">
        <f t="shared" ref="W15" si="105">V15</f>
        <v/>
      </c>
      <c r="X15" s="37" t="str">
        <f t="shared" si="8"/>
        <v/>
      </c>
      <c r="Y15" s="111" t="str">
        <f t="shared" ref="Y15" si="106">X15</f>
        <v/>
      </c>
      <c r="Z15" s="37" t="str">
        <f t="shared" si="10"/>
        <v/>
      </c>
      <c r="AA15" s="111" t="str">
        <f t="shared" ref="AA15" si="107">Z15</f>
        <v/>
      </c>
      <c r="AB15" s="37" t="str">
        <f t="shared" si="12"/>
        <v/>
      </c>
      <c r="AC15" s="111" t="str">
        <f t="shared" ref="AC15" si="108">AB15</f>
        <v/>
      </c>
      <c r="AD15" s="37">
        <f t="shared" si="14"/>
        <v>3</v>
      </c>
      <c r="AE15" s="111">
        <f t="shared" ref="AE15" si="109">AD15</f>
        <v>3</v>
      </c>
      <c r="AF15" s="37">
        <f t="shared" si="16"/>
        <v>3</v>
      </c>
      <c r="AG15" s="111">
        <f t="shared" ref="AG15" si="110">AF15</f>
        <v>3</v>
      </c>
      <c r="AH15" s="37">
        <f t="shared" si="18"/>
        <v>1</v>
      </c>
      <c r="AI15" s="111">
        <f t="shared" ref="AI15" si="111">AH15</f>
        <v>1</v>
      </c>
      <c r="AJ15" s="37">
        <f t="shared" si="20"/>
        <v>1</v>
      </c>
      <c r="AK15" s="111">
        <f t="shared" ref="AK15" si="112">AJ15</f>
        <v>1</v>
      </c>
      <c r="AL15" s="37">
        <f t="shared" si="22"/>
        <v>1</v>
      </c>
      <c r="AM15" s="111">
        <f t="shared" ref="AM15" si="113">AL15</f>
        <v>1</v>
      </c>
      <c r="AN15" s="37">
        <f t="shared" si="24"/>
        <v>1</v>
      </c>
      <c r="AO15" s="111">
        <f t="shared" ref="AO15" si="114">AN15</f>
        <v>1</v>
      </c>
      <c r="AP15" s="37" t="str">
        <f t="shared" si="26"/>
        <v/>
      </c>
      <c r="AQ15" s="111" t="str">
        <f t="shared" ref="AQ15" si="115">AP15</f>
        <v/>
      </c>
      <c r="AR15" s="37" t="str">
        <f t="shared" si="28"/>
        <v/>
      </c>
      <c r="AS15" s="111" t="str">
        <f t="shared" ref="AS15" si="116">AR15</f>
        <v/>
      </c>
      <c r="AT15" s="37" t="str">
        <f t="shared" si="30"/>
        <v/>
      </c>
      <c r="AU15" s="111" t="str">
        <f t="shared" ref="AU15" si="117">AT15</f>
        <v/>
      </c>
      <c r="AV15" s="37" t="str">
        <f t="shared" si="32"/>
        <v/>
      </c>
      <c r="AW15" s="34" t="str">
        <f t="shared" si="33"/>
        <v/>
      </c>
      <c r="AX15" s="34"/>
      <c r="AY15" s="23"/>
      <c r="BH15" s="60" cm="1">
        <f t="array" ref="BH15">IFERROR(EOMONTH(EOMONTH(_xlfn._xlws.FILTER(Table1[Planned Start],(Table1[Category]=$E15)*(Table1[SBU]=$F$5)*(Table1[Execution Year]=$E$5)*(Table1[Most curent]=TRUE)),0)-45,0)+1,"")</f>
        <v>44805</v>
      </c>
      <c r="BI15" s="60" cm="1">
        <f t="array" ref="BI15">IFERROR(EOMONTH(_xlfn._xlws.FILTER(Table1[Planned Award],(Table1[Category]=$E15)*(Table1[SBU]=$F$5)*(Table1[Execution Year]=$E$5)*(Table1[Most curent]=TRUE)),0),"")</f>
        <v>44926</v>
      </c>
      <c r="BJ15" s="60" t="str" cm="1">
        <f t="array" ref="BJ15">IFERROR(EOMONTH(EOMONTH(_xlfn._xlws.FILTER(Table1[Current Phase End],(Table1[Category]=$E15)*(Table1[SBU]=$F$5)*(Table1[Execution Year]=$E$5)*(Table1[Most curent]=TRUE)),0)-45,0)+1,"")</f>
        <v/>
      </c>
      <c r="BK15" s="60" cm="1">
        <f t="array" ref="BK15">IFERROR(EOMONTH(_xlfn._xlws.FILTER(Table1[Revised Award],(Table1[Category]=$E15)*(Table1[SBU]=$F$5)*(Table1[Execution Year]=$E$5)*(Table1[Most curent]=TRUE)),0),"")</f>
        <v>31</v>
      </c>
      <c r="BL15" s="60">
        <f t="shared" si="52"/>
        <v>44743</v>
      </c>
      <c r="BM15" s="60">
        <f t="shared" si="53"/>
        <v>44804</v>
      </c>
    </row>
    <row r="16" spans="1:65" ht="20.25" customHeight="1" thickTop="1" thickBot="1">
      <c r="B16" s="123">
        <v>7</v>
      </c>
      <c r="C16" s="71">
        <v>44835</v>
      </c>
      <c r="D16" s="125" t="str">
        <v>1_Exploratory</v>
      </c>
      <c r="E16" s="35" t="str">
        <v>Baby Wipes</v>
      </c>
      <c r="F16" s="35" t="str">
        <v>Exploratory</v>
      </c>
      <c r="G16" s="35">
        <v>0</v>
      </c>
      <c r="H16" s="36">
        <v>0</v>
      </c>
      <c r="I16" s="36">
        <v>184000000</v>
      </c>
      <c r="J16" s="35" t="str">
        <v>Kendra</v>
      </c>
      <c r="K16" s="71" t="str">
        <v/>
      </c>
      <c r="L16" s="71"/>
      <c r="M16" s="71"/>
      <c r="N16" s="34" t="str">
        <f t="shared" si="34"/>
        <v/>
      </c>
      <c r="O16" s="111" t="str">
        <f t="shared" si="35"/>
        <v/>
      </c>
      <c r="P16" s="34" t="str">
        <f t="shared" si="0"/>
        <v/>
      </c>
      <c r="Q16" s="111" t="str">
        <f t="shared" ref="Q16" si="118">P16</f>
        <v/>
      </c>
      <c r="R16" s="34" t="str">
        <f t="shared" si="2"/>
        <v/>
      </c>
      <c r="S16" s="111" t="str">
        <f t="shared" ref="S16" si="119">R16</f>
        <v/>
      </c>
      <c r="T16" s="37" t="str">
        <f t="shared" si="4"/>
        <v/>
      </c>
      <c r="U16" s="111" t="str">
        <f t="shared" ref="U16" si="120">T16</f>
        <v/>
      </c>
      <c r="V16" s="37" t="str">
        <f t="shared" si="6"/>
        <v/>
      </c>
      <c r="W16" s="111" t="str">
        <f t="shared" ref="W16" si="121">V16</f>
        <v/>
      </c>
      <c r="X16" s="37" t="str">
        <f t="shared" si="8"/>
        <v/>
      </c>
      <c r="Y16" s="111" t="str">
        <f t="shared" ref="Y16" si="122">X16</f>
        <v/>
      </c>
      <c r="Z16" s="37" t="str">
        <f t="shared" si="10"/>
        <v/>
      </c>
      <c r="AA16" s="111" t="str">
        <f t="shared" ref="AA16" si="123">Z16</f>
        <v/>
      </c>
      <c r="AB16" s="37" t="str">
        <f t="shared" si="12"/>
        <v/>
      </c>
      <c r="AC16" s="111" t="str">
        <f t="shared" ref="AC16" si="124">AB16</f>
        <v/>
      </c>
      <c r="AD16" s="37" t="str">
        <f t="shared" si="14"/>
        <v/>
      </c>
      <c r="AE16" s="111" t="str">
        <f t="shared" ref="AE16" si="125">AD16</f>
        <v/>
      </c>
      <c r="AF16" s="37">
        <f t="shared" si="16"/>
        <v>3</v>
      </c>
      <c r="AG16" s="111">
        <f t="shared" ref="AG16" si="126">AF16</f>
        <v>3</v>
      </c>
      <c r="AH16" s="37">
        <f t="shared" si="18"/>
        <v>3</v>
      </c>
      <c r="AI16" s="111">
        <f t="shared" ref="AI16" si="127">AH16</f>
        <v>3</v>
      </c>
      <c r="AJ16" s="37">
        <f t="shared" si="20"/>
        <v>1</v>
      </c>
      <c r="AK16" s="111">
        <f t="shared" ref="AK16" si="128">AJ16</f>
        <v>1</v>
      </c>
      <c r="AL16" s="37">
        <f t="shared" si="22"/>
        <v>1</v>
      </c>
      <c r="AM16" s="111">
        <f t="shared" ref="AM16" si="129">AL16</f>
        <v>1</v>
      </c>
      <c r="AN16" s="37">
        <f t="shared" si="24"/>
        <v>1</v>
      </c>
      <c r="AO16" s="111">
        <f t="shared" ref="AO16" si="130">AN16</f>
        <v>1</v>
      </c>
      <c r="AP16" s="37" t="str">
        <f t="shared" si="26"/>
        <v/>
      </c>
      <c r="AQ16" s="111" t="str">
        <f t="shared" ref="AQ16" si="131">AP16</f>
        <v/>
      </c>
      <c r="AR16" s="37" t="str">
        <f t="shared" si="28"/>
        <v/>
      </c>
      <c r="AS16" s="111" t="str">
        <f t="shared" ref="AS16" si="132">AR16</f>
        <v/>
      </c>
      <c r="AT16" s="37" t="str">
        <f t="shared" si="30"/>
        <v/>
      </c>
      <c r="AU16" s="111" t="str">
        <f t="shared" ref="AU16" si="133">AT16</f>
        <v/>
      </c>
      <c r="AV16" s="37" t="str">
        <f t="shared" si="32"/>
        <v/>
      </c>
      <c r="AW16" s="34" t="str">
        <f t="shared" si="33"/>
        <v/>
      </c>
      <c r="AX16" s="34"/>
      <c r="AY16" s="23"/>
      <c r="BH16" s="60" cm="1">
        <f t="array" ref="BH16">IFERROR(EOMONTH(EOMONTH(_xlfn._xlws.FILTER(Table1[Planned Start],(Table1[Category]=$E16)*(Table1[SBU]=$F$5)*(Table1[Execution Year]=$E$5)*(Table1[Most curent]=TRUE)),0)-45,0)+1,"")</f>
        <v>44835</v>
      </c>
      <c r="BI16" s="60" cm="1">
        <f t="array" ref="BI16">IFERROR(EOMONTH(_xlfn._xlws.FILTER(Table1[Planned Award],(Table1[Category]=$E16)*(Table1[SBU]=$F$5)*(Table1[Execution Year]=$E$5)*(Table1[Most curent]=TRUE)),0),"")</f>
        <v>44926</v>
      </c>
      <c r="BJ16" s="60" t="str" cm="1">
        <f t="array" ref="BJ16">IFERROR(EOMONTH(EOMONTH(_xlfn._xlws.FILTER(Table1[Current Phase End],(Table1[Category]=$E16)*(Table1[SBU]=$F$5)*(Table1[Execution Year]=$E$5)*(Table1[Most curent]=TRUE)),0)-45,0)+1,"")</f>
        <v/>
      </c>
      <c r="BK16" s="60" cm="1">
        <f t="array" ref="BK16">IFERROR(EOMONTH(_xlfn._xlws.FILTER(Table1[Revised Award],(Table1[Category]=$E16)*(Table1[SBU]=$F$5)*(Table1[Execution Year]=$E$5)*(Table1[Most curent]=TRUE)),0),"")</f>
        <v>31</v>
      </c>
      <c r="BL16" s="60">
        <f t="shared" si="52"/>
        <v>44774</v>
      </c>
      <c r="BM16" s="60">
        <f t="shared" si="53"/>
        <v>44834</v>
      </c>
    </row>
    <row r="17" spans="2:65" ht="20.25" customHeight="1" thickTop="1" thickBot="1">
      <c r="B17" s="123">
        <v>8</v>
      </c>
      <c r="C17" s="71">
        <v>44835</v>
      </c>
      <c r="D17" s="125" t="str">
        <v>1_Exploratory</v>
      </c>
      <c r="E17" s="35" t="str">
        <v>Diapers II</v>
      </c>
      <c r="F17" s="35" t="str">
        <v>Exploratory</v>
      </c>
      <c r="G17" s="35">
        <v>0</v>
      </c>
      <c r="H17" s="36">
        <v>0</v>
      </c>
      <c r="I17" s="36">
        <v>184000000</v>
      </c>
      <c r="J17" s="35" t="str">
        <v>Yoshi</v>
      </c>
      <c r="K17" s="71" t="str">
        <v/>
      </c>
      <c r="L17" s="71"/>
      <c r="M17" s="71"/>
      <c r="N17" s="34" t="str">
        <f t="shared" si="34"/>
        <v/>
      </c>
      <c r="O17" s="111" t="str">
        <f t="shared" si="35"/>
        <v/>
      </c>
      <c r="P17" s="34" t="str">
        <f t="shared" si="0"/>
        <v/>
      </c>
      <c r="Q17" s="111" t="str">
        <f t="shared" ref="Q17" si="134">P17</f>
        <v/>
      </c>
      <c r="R17" s="34" t="str">
        <f t="shared" si="2"/>
        <v/>
      </c>
      <c r="S17" s="111" t="str">
        <f t="shared" ref="S17" si="135">R17</f>
        <v/>
      </c>
      <c r="T17" s="37" t="str">
        <f t="shared" si="4"/>
        <v/>
      </c>
      <c r="U17" s="111" t="str">
        <f t="shared" ref="U17" si="136">T17</f>
        <v/>
      </c>
      <c r="V17" s="37" t="str">
        <f t="shared" si="6"/>
        <v/>
      </c>
      <c r="W17" s="111" t="str">
        <f t="shared" ref="W17" si="137">V17</f>
        <v/>
      </c>
      <c r="X17" s="37" t="str">
        <f t="shared" si="8"/>
        <v/>
      </c>
      <c r="Y17" s="111" t="str">
        <f t="shared" ref="Y17" si="138">X17</f>
        <v/>
      </c>
      <c r="Z17" s="37" t="str">
        <f t="shared" si="10"/>
        <v/>
      </c>
      <c r="AA17" s="111" t="str">
        <f t="shared" ref="AA17" si="139">Z17</f>
        <v/>
      </c>
      <c r="AB17" s="37" t="str">
        <f t="shared" si="12"/>
        <v/>
      </c>
      <c r="AC17" s="111" t="str">
        <f t="shared" ref="AC17" si="140">AB17</f>
        <v/>
      </c>
      <c r="AD17" s="37" t="str">
        <f t="shared" si="14"/>
        <v/>
      </c>
      <c r="AE17" s="111" t="str">
        <f t="shared" ref="AE17" si="141">AD17</f>
        <v/>
      </c>
      <c r="AF17" s="37">
        <f t="shared" si="16"/>
        <v>3</v>
      </c>
      <c r="AG17" s="111">
        <f t="shared" ref="AG17" si="142">AF17</f>
        <v>3</v>
      </c>
      <c r="AH17" s="37">
        <f t="shared" si="18"/>
        <v>3</v>
      </c>
      <c r="AI17" s="111">
        <f t="shared" ref="AI17" si="143">AH17</f>
        <v>3</v>
      </c>
      <c r="AJ17" s="37">
        <f t="shared" si="20"/>
        <v>1</v>
      </c>
      <c r="AK17" s="111">
        <f t="shared" ref="AK17" si="144">AJ17</f>
        <v>1</v>
      </c>
      <c r="AL17" s="37">
        <f t="shared" si="22"/>
        <v>1</v>
      </c>
      <c r="AM17" s="111">
        <f t="shared" ref="AM17" si="145">AL17</f>
        <v>1</v>
      </c>
      <c r="AN17" s="37">
        <f t="shared" si="24"/>
        <v>1</v>
      </c>
      <c r="AO17" s="111">
        <f t="shared" ref="AO17" si="146">AN17</f>
        <v>1</v>
      </c>
      <c r="AP17" s="37" t="str">
        <f t="shared" si="26"/>
        <v/>
      </c>
      <c r="AQ17" s="111" t="str">
        <f t="shared" ref="AQ17" si="147">AP17</f>
        <v/>
      </c>
      <c r="AR17" s="37" t="str">
        <f t="shared" si="28"/>
        <v/>
      </c>
      <c r="AS17" s="111" t="str">
        <f t="shared" ref="AS17" si="148">AR17</f>
        <v/>
      </c>
      <c r="AT17" s="37" t="str">
        <f t="shared" si="30"/>
        <v/>
      </c>
      <c r="AU17" s="111" t="str">
        <f t="shared" ref="AU17" si="149">AT17</f>
        <v/>
      </c>
      <c r="AV17" s="37" t="str">
        <f t="shared" si="32"/>
        <v/>
      </c>
      <c r="AW17" s="34" t="str">
        <f t="shared" si="33"/>
        <v/>
      </c>
      <c r="AX17" s="34"/>
      <c r="AY17" s="23"/>
      <c r="BH17" s="60" cm="1">
        <f t="array" ref="BH17">IFERROR(EOMONTH(EOMONTH(_xlfn._xlws.FILTER(Table1[Planned Start],(Table1[Category]=$E17)*(Table1[SBU]=$F$5)*(Table1[Execution Year]=$E$5)*(Table1[Most curent]=TRUE)),0)-45,0)+1,"")</f>
        <v>44835</v>
      </c>
      <c r="BI17" s="60" cm="1">
        <f t="array" ref="BI17">IFERROR(EOMONTH(_xlfn._xlws.FILTER(Table1[Planned Award],(Table1[Category]=$E17)*(Table1[SBU]=$F$5)*(Table1[Execution Year]=$E$5)*(Table1[Most curent]=TRUE)),0),"")</f>
        <v>44926</v>
      </c>
      <c r="BJ17" s="60" t="str" cm="1">
        <f t="array" ref="BJ17">IFERROR(EOMONTH(EOMONTH(_xlfn._xlws.FILTER(Table1[Current Phase End],(Table1[Category]=$E17)*(Table1[SBU]=$F$5)*(Table1[Execution Year]=$E$5)*(Table1[Most curent]=TRUE)),0)-45,0)+1,"")</f>
        <v/>
      </c>
      <c r="BK17" s="60" cm="1">
        <f t="array" ref="BK17">IFERROR(EOMONTH(_xlfn._xlws.FILTER(Table1[Revised Award],(Table1[Category]=$E17)*(Table1[SBU]=$F$5)*(Table1[Execution Year]=$E$5)*(Table1[Most curent]=TRUE)),0),"")</f>
        <v>31</v>
      </c>
      <c r="BL17" s="60">
        <f t="shared" si="52"/>
        <v>44774</v>
      </c>
      <c r="BM17" s="60">
        <f t="shared" si="53"/>
        <v>44834</v>
      </c>
    </row>
    <row r="18" spans="2:65" ht="20.25" customHeight="1" thickTop="1" thickBot="1">
      <c r="B18" s="123">
        <v>9</v>
      </c>
      <c r="C18" s="71">
        <v>44835</v>
      </c>
      <c r="D18" s="125" t="str">
        <v>1_Exploratory</v>
      </c>
      <c r="E18" s="35" t="str">
        <v>Dog treats and rawhides</v>
      </c>
      <c r="F18" s="35" t="str">
        <v>Exploratory</v>
      </c>
      <c r="G18" s="35">
        <v>0</v>
      </c>
      <c r="H18" s="36">
        <v>0</v>
      </c>
      <c r="I18" s="36">
        <v>216000000</v>
      </c>
      <c r="J18" s="35">
        <v>0</v>
      </c>
      <c r="K18" s="71" t="str">
        <v/>
      </c>
      <c r="L18" s="71"/>
      <c r="M18" s="71"/>
      <c r="N18" s="34" t="str">
        <f t="shared" si="34"/>
        <v/>
      </c>
      <c r="O18" s="111" t="str">
        <f t="shared" si="35"/>
        <v/>
      </c>
      <c r="P18" s="34" t="str">
        <f t="shared" si="0"/>
        <v/>
      </c>
      <c r="Q18" s="111" t="str">
        <f t="shared" ref="Q18" si="150">P18</f>
        <v/>
      </c>
      <c r="R18" s="34" t="str">
        <f t="shared" si="2"/>
        <v/>
      </c>
      <c r="S18" s="111" t="str">
        <f t="shared" ref="S18" si="151">R18</f>
        <v/>
      </c>
      <c r="T18" s="37" t="str">
        <f t="shared" si="4"/>
        <v/>
      </c>
      <c r="U18" s="111" t="str">
        <f t="shared" ref="U18" si="152">T18</f>
        <v/>
      </c>
      <c r="V18" s="37" t="str">
        <f t="shared" si="6"/>
        <v/>
      </c>
      <c r="W18" s="111" t="str">
        <f t="shared" ref="W18" si="153">V18</f>
        <v/>
      </c>
      <c r="X18" s="37" t="str">
        <f t="shared" si="8"/>
        <v/>
      </c>
      <c r="Y18" s="111" t="str">
        <f t="shared" ref="Y18" si="154">X18</f>
        <v/>
      </c>
      <c r="Z18" s="37" t="str">
        <f t="shared" si="10"/>
        <v/>
      </c>
      <c r="AA18" s="111" t="str">
        <f t="shared" ref="AA18" si="155">Z18</f>
        <v/>
      </c>
      <c r="AB18" s="37" t="str">
        <f t="shared" si="12"/>
        <v/>
      </c>
      <c r="AC18" s="111" t="str">
        <f t="shared" ref="AC18" si="156">AB18</f>
        <v/>
      </c>
      <c r="AD18" s="37" t="s">
        <v>368</v>
      </c>
      <c r="AE18" s="111" t="str">
        <f t="shared" ref="AE18" si="157">AD18</f>
        <v>Bonus</v>
      </c>
      <c r="AF18" s="37">
        <f t="shared" si="16"/>
        <v>3</v>
      </c>
      <c r="AG18" s="111">
        <f t="shared" ref="AG18" si="158">AF18</f>
        <v>3</v>
      </c>
      <c r="AH18" s="37">
        <f t="shared" si="18"/>
        <v>3</v>
      </c>
      <c r="AI18" s="111">
        <f t="shared" ref="AI18" si="159">AH18</f>
        <v>3</v>
      </c>
      <c r="AJ18" s="37">
        <f t="shared" si="20"/>
        <v>1</v>
      </c>
      <c r="AK18" s="111">
        <f t="shared" ref="AK18" si="160">AJ18</f>
        <v>1</v>
      </c>
      <c r="AL18" s="37">
        <f t="shared" si="22"/>
        <v>1</v>
      </c>
      <c r="AM18" s="111">
        <f t="shared" ref="AM18" si="161">AL18</f>
        <v>1</v>
      </c>
      <c r="AN18" s="37">
        <f t="shared" si="24"/>
        <v>1</v>
      </c>
      <c r="AO18" s="111">
        <f t="shared" ref="AO18" si="162">AN18</f>
        <v>1</v>
      </c>
      <c r="AP18" s="37" t="str">
        <f t="shared" si="26"/>
        <v/>
      </c>
      <c r="AQ18" s="111" t="str">
        <f t="shared" ref="AQ18" si="163">AP18</f>
        <v/>
      </c>
      <c r="AR18" s="37" t="str">
        <f t="shared" si="28"/>
        <v/>
      </c>
      <c r="AS18" s="111" t="str">
        <f t="shared" ref="AS18" si="164">AR18</f>
        <v/>
      </c>
      <c r="AT18" s="37" t="str">
        <f t="shared" si="30"/>
        <v/>
      </c>
      <c r="AU18" s="111" t="str">
        <f t="shared" ref="AU18" si="165">AT18</f>
        <v/>
      </c>
      <c r="AV18" s="37" t="str">
        <f t="shared" si="32"/>
        <v/>
      </c>
      <c r="AW18" s="34" t="str">
        <f t="shared" si="33"/>
        <v/>
      </c>
      <c r="AX18" s="34"/>
      <c r="AY18" s="23"/>
      <c r="BH18" s="60" cm="1">
        <f t="array" ref="BH18">IFERROR(EOMONTH(EOMONTH(_xlfn._xlws.FILTER(Table1[Planned Start],(Table1[Category]=$E18)*(Table1[SBU]=$F$5)*(Table1[Execution Year]=$E$5)*(Table1[Most curent]=TRUE)),0)-45,0)+1,"")</f>
        <v>44835</v>
      </c>
      <c r="BI18" s="60" cm="1">
        <f t="array" ref="BI18">IFERROR(EOMONTH(_xlfn._xlws.FILTER(Table1[Planned Award],(Table1[Category]=$E18)*(Table1[SBU]=$F$5)*(Table1[Execution Year]=$E$5)*(Table1[Most curent]=TRUE)),0),"")</f>
        <v>44926</v>
      </c>
      <c r="BJ18" s="60" t="str" cm="1">
        <f t="array" ref="BJ18">IFERROR(EOMONTH(EOMONTH(_xlfn._xlws.FILTER(Table1[Current Phase End],(Table1[Category]=$E18)*(Table1[SBU]=$F$5)*(Table1[Execution Year]=$E$5)*(Table1[Most curent]=TRUE)),0)-45,0)+1,"")</f>
        <v/>
      </c>
      <c r="BK18" s="60" cm="1">
        <f t="array" ref="BK18">IFERROR(EOMONTH(_xlfn._xlws.FILTER(Table1[Revised Award],(Table1[Category]=$E18)*(Table1[SBU]=$F$5)*(Table1[Execution Year]=$E$5)*(Table1[Most curent]=TRUE)),0),"")</f>
        <v>31</v>
      </c>
      <c r="BL18" s="60">
        <f t="shared" si="52"/>
        <v>44774</v>
      </c>
      <c r="BM18" s="60">
        <f t="shared" si="53"/>
        <v>44834</v>
      </c>
    </row>
    <row r="19" spans="2:65" ht="20.25" customHeight="1" thickTop="1" thickBot="1">
      <c r="B19" s="123"/>
      <c r="C19" s="71"/>
      <c r="D19" s="125"/>
      <c r="E19" s="35"/>
      <c r="F19" s="35"/>
      <c r="G19" s="35"/>
      <c r="H19" s="36"/>
      <c r="I19" s="36"/>
      <c r="J19" s="35"/>
      <c r="K19" s="71"/>
      <c r="L19" s="71"/>
      <c r="M19" s="71"/>
      <c r="N19" s="34" t="str">
        <f t="shared" si="34"/>
        <v/>
      </c>
      <c r="O19" s="111" t="str">
        <f t="shared" si="35"/>
        <v/>
      </c>
      <c r="P19" s="34" t="str">
        <f t="shared" si="0"/>
        <v/>
      </c>
      <c r="Q19" s="111" t="str">
        <f t="shared" ref="Q19" si="166">P19</f>
        <v/>
      </c>
      <c r="R19" s="34" t="str">
        <f t="shared" si="2"/>
        <v/>
      </c>
      <c r="S19" s="111" t="str">
        <f t="shared" ref="S19" si="167">R19</f>
        <v/>
      </c>
      <c r="T19" s="37" t="str">
        <f t="shared" si="4"/>
        <v/>
      </c>
      <c r="U19" s="111" t="str">
        <f t="shared" ref="U19" si="168">T19</f>
        <v/>
      </c>
      <c r="V19" s="37" t="str">
        <f t="shared" si="6"/>
        <v/>
      </c>
      <c r="W19" s="111" t="str">
        <f t="shared" ref="W19" si="169">V19</f>
        <v/>
      </c>
      <c r="X19" s="37" t="str">
        <f t="shared" si="8"/>
        <v/>
      </c>
      <c r="Y19" s="111" t="str">
        <f t="shared" ref="Y19" si="170">X19</f>
        <v/>
      </c>
      <c r="Z19" s="37" t="str">
        <f t="shared" si="10"/>
        <v/>
      </c>
      <c r="AA19" s="111" t="str">
        <f t="shared" ref="AA19" si="171">Z19</f>
        <v/>
      </c>
      <c r="AB19" s="37" t="str">
        <f t="shared" si="12"/>
        <v/>
      </c>
      <c r="AC19" s="111" t="str">
        <f t="shared" ref="AC19" si="172">AB19</f>
        <v/>
      </c>
      <c r="AD19" s="37" t="str">
        <f t="shared" si="14"/>
        <v/>
      </c>
      <c r="AE19" s="111" t="str">
        <f t="shared" ref="AE19" si="173">AD19</f>
        <v/>
      </c>
      <c r="AF19" s="37" t="str">
        <f t="shared" si="16"/>
        <v/>
      </c>
      <c r="AG19" s="111" t="str">
        <f t="shared" ref="AG19" si="174">AF19</f>
        <v/>
      </c>
      <c r="AH19" s="37" t="str">
        <f t="shared" si="18"/>
        <v/>
      </c>
      <c r="AI19" s="111" t="str">
        <f t="shared" ref="AI19" si="175">AH19</f>
        <v/>
      </c>
      <c r="AJ19" s="37" t="str">
        <f t="shared" si="20"/>
        <v/>
      </c>
      <c r="AK19" s="111" t="str">
        <f t="shared" ref="AK19" si="176">AJ19</f>
        <v/>
      </c>
      <c r="AL19" s="37" t="str">
        <f t="shared" si="22"/>
        <v/>
      </c>
      <c r="AM19" s="111" t="str">
        <f t="shared" ref="AM19" si="177">AL19</f>
        <v/>
      </c>
      <c r="AN19" s="37" t="str">
        <f t="shared" si="24"/>
        <v/>
      </c>
      <c r="AO19" s="111" t="str">
        <f t="shared" ref="AO19" si="178">AN19</f>
        <v/>
      </c>
      <c r="AP19" s="37" t="str">
        <f t="shared" si="26"/>
        <v/>
      </c>
      <c r="AQ19" s="111" t="str">
        <f t="shared" ref="AQ19" si="179">AP19</f>
        <v/>
      </c>
      <c r="AR19" s="37" t="str">
        <f t="shared" si="28"/>
        <v/>
      </c>
      <c r="AS19" s="111" t="str">
        <f t="shared" ref="AS19" si="180">AR19</f>
        <v/>
      </c>
      <c r="AT19" s="37" t="str">
        <f t="shared" si="30"/>
        <v/>
      </c>
      <c r="AU19" s="111" t="str">
        <f t="shared" ref="AU19" si="181">AT19</f>
        <v/>
      </c>
      <c r="AV19" s="37" t="str">
        <f t="shared" si="32"/>
        <v/>
      </c>
      <c r="AW19" s="34" t="str">
        <f t="shared" si="33"/>
        <v/>
      </c>
      <c r="AX19" s="34"/>
      <c r="AY19" s="23"/>
      <c r="BH19" s="60" t="str" cm="1">
        <f t="array" ref="BH19">IFERROR(EOMONTH(EOMONTH(_xlfn._xlws.FILTER(Table1[Planned Start],(Table1[Category]=$E19)*(Table1[SBU]=$F$5)*(Table1[Execution Year]=$E$5)*(Table1[Most curent]=TRUE)),0)-45,0)+1,"")</f>
        <v/>
      </c>
      <c r="BI19" s="60" t="str" cm="1">
        <f t="array" ref="BI19">IFERROR(EOMONTH(_xlfn._xlws.FILTER(Table1[Planned Award],(Table1[Category]=$E19)*(Table1[SBU]=$F$5)*(Table1[Execution Year]=$E$5)*(Table1[Most curent]=TRUE)),0),"")</f>
        <v/>
      </c>
      <c r="BJ19" s="60" t="str" cm="1">
        <f t="array" ref="BJ19">IFERROR(EOMONTH(EOMONTH(_xlfn._xlws.FILTER(Table1[Current Phase End],(Table1[Category]=$E19)*(Table1[SBU]=$F$5)*(Table1[Execution Year]=$E$5)*(Table1[Most curent]=TRUE)),0)-45,0)+1,"")</f>
        <v/>
      </c>
      <c r="BK19" s="60" t="str" cm="1">
        <f t="array" ref="BK19">IFERROR(EOMONTH(_xlfn._xlws.FILTER(Table1[Revised Award],(Table1[Category]=$E19)*(Table1[SBU]=$F$5)*(Table1[Execution Year]=$E$5)*(Table1[Most curent]=TRUE)),0),"")</f>
        <v/>
      </c>
      <c r="BL19" s="60" t="str">
        <f t="shared" si="52"/>
        <v/>
      </c>
      <c r="BM19" s="60" t="str">
        <f t="shared" si="53"/>
        <v/>
      </c>
    </row>
    <row r="20" spans="2:65" ht="20.25" customHeight="1" thickTop="1" thickBot="1">
      <c r="B20" s="123"/>
      <c r="C20" s="71"/>
      <c r="D20" s="125"/>
      <c r="E20" s="35"/>
      <c r="F20" s="35"/>
      <c r="G20" s="35"/>
      <c r="H20" s="36"/>
      <c r="I20" s="36"/>
      <c r="J20" s="35"/>
      <c r="K20" s="71"/>
      <c r="L20" s="71"/>
      <c r="M20" s="71"/>
      <c r="N20" s="34" t="str">
        <f t="shared" si="34"/>
        <v/>
      </c>
      <c r="O20" s="111" t="str">
        <f t="shared" si="35"/>
        <v/>
      </c>
      <c r="P20" s="34" t="str">
        <f t="shared" si="0"/>
        <v/>
      </c>
      <c r="Q20" s="111" t="str">
        <f t="shared" ref="Q20" si="182">P20</f>
        <v/>
      </c>
      <c r="R20" s="34" t="str">
        <f t="shared" si="2"/>
        <v/>
      </c>
      <c r="S20" s="111" t="str">
        <f t="shared" ref="S20" si="183">R20</f>
        <v/>
      </c>
      <c r="T20" s="37" t="str">
        <f t="shared" si="4"/>
        <v/>
      </c>
      <c r="U20" s="111" t="str">
        <f t="shared" ref="U20" si="184">T20</f>
        <v/>
      </c>
      <c r="V20" s="37" t="str">
        <f t="shared" si="6"/>
        <v/>
      </c>
      <c r="W20" s="111" t="str">
        <f t="shared" ref="W20" si="185">V20</f>
        <v/>
      </c>
      <c r="X20" s="37" t="str">
        <f t="shared" si="8"/>
        <v/>
      </c>
      <c r="Y20" s="111" t="str">
        <f t="shared" ref="Y20" si="186">X20</f>
        <v/>
      </c>
      <c r="Z20" s="37" t="str">
        <f t="shared" si="10"/>
        <v/>
      </c>
      <c r="AA20" s="111" t="str">
        <f t="shared" ref="AA20" si="187">Z20</f>
        <v/>
      </c>
      <c r="AB20" s="37" t="str">
        <f t="shared" si="12"/>
        <v/>
      </c>
      <c r="AC20" s="111" t="str">
        <f t="shared" ref="AC20" si="188">AB20</f>
        <v/>
      </c>
      <c r="AD20" s="37" t="str">
        <f t="shared" si="14"/>
        <v/>
      </c>
      <c r="AE20" s="111" t="str">
        <f t="shared" ref="AE20" si="189">AD20</f>
        <v/>
      </c>
      <c r="AF20" s="37" t="str">
        <f t="shared" si="16"/>
        <v/>
      </c>
      <c r="AG20" s="111" t="str">
        <f t="shared" ref="AG20" si="190">AF20</f>
        <v/>
      </c>
      <c r="AH20" s="37" t="str">
        <f t="shared" si="18"/>
        <v/>
      </c>
      <c r="AI20" s="111" t="str">
        <f t="shared" ref="AI20" si="191">AH20</f>
        <v/>
      </c>
      <c r="AJ20" s="37" t="str">
        <f t="shared" si="20"/>
        <v/>
      </c>
      <c r="AK20" s="111" t="str">
        <f t="shared" ref="AK20" si="192">AJ20</f>
        <v/>
      </c>
      <c r="AL20" s="37" t="str">
        <f t="shared" si="22"/>
        <v/>
      </c>
      <c r="AM20" s="111" t="str">
        <f t="shared" ref="AM20" si="193">AL20</f>
        <v/>
      </c>
      <c r="AN20" s="37" t="str">
        <f t="shared" si="24"/>
        <v/>
      </c>
      <c r="AO20" s="111" t="str">
        <f t="shared" ref="AO20" si="194">AN20</f>
        <v/>
      </c>
      <c r="AP20" s="37" t="str">
        <f t="shared" si="26"/>
        <v/>
      </c>
      <c r="AQ20" s="111" t="str">
        <f t="shared" ref="AQ20" si="195">AP20</f>
        <v/>
      </c>
      <c r="AR20" s="37" t="str">
        <f t="shared" si="28"/>
        <v/>
      </c>
      <c r="AS20" s="111" t="str">
        <f t="shared" ref="AS20" si="196">AR20</f>
        <v/>
      </c>
      <c r="AT20" s="37" t="str">
        <f t="shared" si="30"/>
        <v/>
      </c>
      <c r="AU20" s="111" t="str">
        <f t="shared" ref="AU20" si="197">AT20</f>
        <v/>
      </c>
      <c r="AV20" s="37" t="str">
        <f t="shared" si="32"/>
        <v/>
      </c>
      <c r="AW20" s="34" t="str">
        <f t="shared" si="33"/>
        <v/>
      </c>
      <c r="AX20" s="34"/>
      <c r="AY20" s="23"/>
      <c r="BH20" s="60" t="str" cm="1">
        <f t="array" ref="BH20">IFERROR(EOMONTH(EOMONTH(_xlfn._xlws.FILTER(Table1[Planned Start],(Table1[Category]=$E20)*(Table1[SBU]=$F$5)*(Table1[Execution Year]=$E$5)*(Table1[Most curent]=TRUE)),0)-45,0)+1,"")</f>
        <v/>
      </c>
      <c r="BI20" s="60" t="str" cm="1">
        <f t="array" ref="BI20">IFERROR(EOMONTH(_xlfn._xlws.FILTER(Table1[Planned Award],(Table1[Category]=$E20)*(Table1[SBU]=$F$5)*(Table1[Execution Year]=$E$5)*(Table1[Most curent]=TRUE)),0),"")</f>
        <v/>
      </c>
      <c r="BJ20" s="60" t="str" cm="1">
        <f t="array" ref="BJ20">IFERROR(EOMONTH(EOMONTH(_xlfn._xlws.FILTER(Table1[Current Phase End],(Table1[Category]=$E20)*(Table1[SBU]=$F$5)*(Table1[Execution Year]=$E$5)*(Table1[Most curent]=TRUE)),0)-45,0)+1,"")</f>
        <v/>
      </c>
      <c r="BK20" s="60" t="str" cm="1">
        <f t="array" ref="BK20">IFERROR(EOMONTH(_xlfn._xlws.FILTER(Table1[Revised Award],(Table1[Category]=$E20)*(Table1[SBU]=$F$5)*(Table1[Execution Year]=$E$5)*(Table1[Most curent]=TRUE)),0),"")</f>
        <v/>
      </c>
      <c r="BL20" s="60" t="str">
        <f t="shared" si="52"/>
        <v/>
      </c>
      <c r="BM20" s="60" t="str">
        <f t="shared" si="53"/>
        <v/>
      </c>
    </row>
    <row r="21" spans="2:65" ht="20.25" customHeight="1" thickTop="1" thickBot="1">
      <c r="B21" s="123"/>
      <c r="C21" s="71"/>
      <c r="D21" s="125"/>
      <c r="E21" s="35"/>
      <c r="F21" s="35"/>
      <c r="G21" s="35"/>
      <c r="H21" s="36"/>
      <c r="I21" s="36"/>
      <c r="J21" s="35"/>
      <c r="K21" s="71"/>
      <c r="L21" s="71"/>
      <c r="M21" s="71"/>
      <c r="N21" s="34" t="str">
        <f t="shared" si="34"/>
        <v/>
      </c>
      <c r="O21" s="111" t="str">
        <f t="shared" si="35"/>
        <v/>
      </c>
      <c r="P21" s="34" t="str">
        <f t="shared" si="0"/>
        <v/>
      </c>
      <c r="Q21" s="111" t="str">
        <f t="shared" ref="Q21" si="198">P21</f>
        <v/>
      </c>
      <c r="R21" s="34" t="str">
        <f t="shared" si="2"/>
        <v/>
      </c>
      <c r="S21" s="111" t="str">
        <f t="shared" ref="S21" si="199">R21</f>
        <v/>
      </c>
      <c r="T21" s="37" t="str">
        <f t="shared" si="4"/>
        <v/>
      </c>
      <c r="U21" s="111" t="str">
        <f t="shared" ref="U21" si="200">T21</f>
        <v/>
      </c>
      <c r="V21" s="37" t="str">
        <f t="shared" si="6"/>
        <v/>
      </c>
      <c r="W21" s="111" t="str">
        <f t="shared" ref="W21" si="201">V21</f>
        <v/>
      </c>
      <c r="X21" s="37" t="str">
        <f t="shared" si="8"/>
        <v/>
      </c>
      <c r="Y21" s="111" t="str">
        <f t="shared" ref="Y21" si="202">X21</f>
        <v/>
      </c>
      <c r="Z21" s="37" t="str">
        <f t="shared" si="10"/>
        <v/>
      </c>
      <c r="AA21" s="111" t="str">
        <f t="shared" ref="AA21" si="203">Z21</f>
        <v/>
      </c>
      <c r="AB21" s="37" t="str">
        <f t="shared" si="12"/>
        <v/>
      </c>
      <c r="AC21" s="111" t="str">
        <f t="shared" ref="AC21" si="204">AB21</f>
        <v/>
      </c>
      <c r="AD21" s="37" t="str">
        <f t="shared" si="14"/>
        <v/>
      </c>
      <c r="AE21" s="111" t="str">
        <f t="shared" ref="AE21" si="205">AD21</f>
        <v/>
      </c>
      <c r="AF21" s="37" t="str">
        <f t="shared" si="16"/>
        <v/>
      </c>
      <c r="AG21" s="111" t="str">
        <f t="shared" ref="AG21" si="206">AF21</f>
        <v/>
      </c>
      <c r="AH21" s="37" t="str">
        <f t="shared" si="18"/>
        <v/>
      </c>
      <c r="AI21" s="111" t="str">
        <f t="shared" ref="AI21" si="207">AH21</f>
        <v/>
      </c>
      <c r="AJ21" s="37" t="str">
        <f t="shared" si="20"/>
        <v/>
      </c>
      <c r="AK21" s="111" t="str">
        <f t="shared" ref="AK21" si="208">AJ21</f>
        <v/>
      </c>
      <c r="AL21" s="37" t="str">
        <f t="shared" si="22"/>
        <v/>
      </c>
      <c r="AM21" s="111" t="str">
        <f t="shared" ref="AM21" si="209">AL21</f>
        <v/>
      </c>
      <c r="AN21" s="37" t="str">
        <f t="shared" si="24"/>
        <v/>
      </c>
      <c r="AO21" s="111" t="str">
        <f t="shared" ref="AO21" si="210">AN21</f>
        <v/>
      </c>
      <c r="AP21" s="37" t="str">
        <f t="shared" si="26"/>
        <v/>
      </c>
      <c r="AQ21" s="111" t="str">
        <f t="shared" ref="AQ21" si="211">AP21</f>
        <v/>
      </c>
      <c r="AR21" s="37" t="str">
        <f t="shared" si="28"/>
        <v/>
      </c>
      <c r="AS21" s="111" t="str">
        <f t="shared" ref="AS21" si="212">AR21</f>
        <v/>
      </c>
      <c r="AT21" s="37" t="str">
        <f t="shared" si="30"/>
        <v/>
      </c>
      <c r="AU21" s="111" t="str">
        <f t="shared" ref="AU21" si="213">AT21</f>
        <v/>
      </c>
      <c r="AV21" s="37" t="str">
        <f t="shared" si="32"/>
        <v/>
      </c>
      <c r="AW21" s="34" t="str">
        <f t="shared" si="33"/>
        <v/>
      </c>
      <c r="AX21" s="34"/>
      <c r="AY21" s="23"/>
      <c r="BH21" s="60" t="str" cm="1">
        <f t="array" ref="BH21">IFERROR(EOMONTH(EOMONTH(_xlfn._xlws.FILTER(Table1[Planned Start],(Table1[Category]=$E21)*(Table1[SBU]=$F$5)*(Table1[Execution Year]=$E$5)*(Table1[Most curent]=TRUE)),0)-45,0)+1,"")</f>
        <v/>
      </c>
      <c r="BI21" s="60" t="str" cm="1">
        <f t="array" ref="BI21">IFERROR(EOMONTH(_xlfn._xlws.FILTER(Table1[Planned Award],(Table1[Category]=$E21)*(Table1[SBU]=$F$5)*(Table1[Execution Year]=$E$5)*(Table1[Most curent]=TRUE)),0),"")</f>
        <v/>
      </c>
      <c r="BJ21" s="60" t="str" cm="1">
        <f t="array" ref="BJ21">IFERROR(EOMONTH(EOMONTH(_xlfn._xlws.FILTER(Table1[Current Phase End],(Table1[Category]=$E21)*(Table1[SBU]=$F$5)*(Table1[Execution Year]=$E$5)*(Table1[Most curent]=TRUE)),0)-45,0)+1,"")</f>
        <v/>
      </c>
      <c r="BK21" s="60" t="str" cm="1">
        <f t="array" ref="BK21">IFERROR(EOMONTH(_xlfn._xlws.FILTER(Table1[Revised Award],(Table1[Category]=$E21)*(Table1[SBU]=$F$5)*(Table1[Execution Year]=$E$5)*(Table1[Most curent]=TRUE)),0),"")</f>
        <v/>
      </c>
      <c r="BL21" s="60" t="str">
        <f t="shared" si="52"/>
        <v/>
      </c>
      <c r="BM21" s="60" t="str">
        <f t="shared" si="53"/>
        <v/>
      </c>
    </row>
    <row r="22" spans="2:65" ht="18" customHeight="1" thickTop="1" thickBot="1">
      <c r="B22" s="123"/>
      <c r="C22" s="71"/>
      <c r="D22" s="125"/>
      <c r="E22" s="35"/>
      <c r="F22" s="35"/>
      <c r="G22" s="35"/>
      <c r="H22" s="36"/>
      <c r="I22" s="36"/>
      <c r="J22" s="35"/>
      <c r="K22" s="71"/>
      <c r="L22" s="71"/>
      <c r="M22" s="71"/>
      <c r="N22" s="34" t="str">
        <f t="shared" si="34"/>
        <v/>
      </c>
      <c r="O22" s="111" t="str">
        <f t="shared" si="35"/>
        <v/>
      </c>
      <c r="P22" s="34" t="str">
        <f t="shared" si="0"/>
        <v/>
      </c>
      <c r="Q22" s="111" t="str">
        <f t="shared" ref="Q22" si="214">P22</f>
        <v/>
      </c>
      <c r="R22" s="34" t="str">
        <f t="shared" si="2"/>
        <v/>
      </c>
      <c r="S22" s="111" t="str">
        <f t="shared" ref="S22" si="215">R22</f>
        <v/>
      </c>
      <c r="T22" s="37" t="str">
        <f t="shared" si="4"/>
        <v/>
      </c>
      <c r="U22" s="111" t="str">
        <f t="shared" ref="U22" si="216">T22</f>
        <v/>
      </c>
      <c r="V22" s="37" t="str">
        <f t="shared" si="6"/>
        <v/>
      </c>
      <c r="W22" s="111" t="str">
        <f t="shared" ref="W22" si="217">V22</f>
        <v/>
      </c>
      <c r="X22" s="37" t="str">
        <f t="shared" si="8"/>
        <v/>
      </c>
      <c r="Y22" s="111" t="str">
        <f t="shared" ref="Y22" si="218">X22</f>
        <v/>
      </c>
      <c r="Z22" s="37" t="str">
        <f t="shared" si="10"/>
        <v/>
      </c>
      <c r="AA22" s="111" t="str">
        <f t="shared" ref="AA22" si="219">Z22</f>
        <v/>
      </c>
      <c r="AB22" s="37" t="str">
        <f t="shared" si="12"/>
        <v/>
      </c>
      <c r="AC22" s="111" t="str">
        <f t="shared" ref="AC22" si="220">AB22</f>
        <v/>
      </c>
      <c r="AD22" s="37" t="str">
        <f t="shared" si="14"/>
        <v/>
      </c>
      <c r="AE22" s="111" t="str">
        <f t="shared" ref="AE22" si="221">AD22</f>
        <v/>
      </c>
      <c r="AF22" s="37" t="str">
        <f t="shared" si="16"/>
        <v/>
      </c>
      <c r="AG22" s="111" t="str">
        <f t="shared" ref="AG22" si="222">AF22</f>
        <v/>
      </c>
      <c r="AH22" s="37" t="str">
        <f t="shared" si="18"/>
        <v/>
      </c>
      <c r="AI22" s="111" t="str">
        <f t="shared" ref="AI22" si="223">AH22</f>
        <v/>
      </c>
      <c r="AJ22" s="37" t="str">
        <f t="shared" si="20"/>
        <v/>
      </c>
      <c r="AK22" s="111" t="str">
        <f t="shared" ref="AK22" si="224">AJ22</f>
        <v/>
      </c>
      <c r="AL22" s="37" t="str">
        <f t="shared" si="22"/>
        <v/>
      </c>
      <c r="AM22" s="111" t="str">
        <f t="shared" ref="AM22" si="225">AL22</f>
        <v/>
      </c>
      <c r="AN22" s="37" t="str">
        <f t="shared" si="24"/>
        <v/>
      </c>
      <c r="AO22" s="111" t="str">
        <f t="shared" ref="AO22" si="226">AN22</f>
        <v/>
      </c>
      <c r="AP22" s="37" t="str">
        <f t="shared" si="26"/>
        <v/>
      </c>
      <c r="AQ22" s="111" t="str">
        <f t="shared" ref="AQ22" si="227">AP22</f>
        <v/>
      </c>
      <c r="AR22" s="37" t="str">
        <f t="shared" si="28"/>
        <v/>
      </c>
      <c r="AS22" s="111" t="str">
        <f t="shared" ref="AS22" si="228">AR22</f>
        <v/>
      </c>
      <c r="AT22" s="37" t="str">
        <f t="shared" si="30"/>
        <v/>
      </c>
      <c r="AU22" s="111" t="str">
        <f t="shared" ref="AU22" si="229">AT22</f>
        <v/>
      </c>
      <c r="AV22" s="37" t="str">
        <f t="shared" si="32"/>
        <v/>
      </c>
      <c r="AW22" s="34" t="str">
        <f t="shared" si="33"/>
        <v/>
      </c>
      <c r="AX22" s="34"/>
      <c r="AY22" s="23"/>
      <c r="BH22" s="60" t="str" cm="1">
        <f t="array" ref="BH22">IFERROR(EOMONTH(EOMONTH(_xlfn._xlws.FILTER(Table1[Planned Start],(Table1[Category]=$E22)*(Table1[SBU]=$F$5)*(Table1[Execution Year]=$E$5)*(Table1[Most curent]=TRUE)),0)-45,0)+1,"")</f>
        <v/>
      </c>
      <c r="BI22" s="60" t="str" cm="1">
        <f t="array" ref="BI22">IFERROR(EOMONTH(_xlfn._xlws.FILTER(Table1[Planned Award],(Table1[Category]=$E22)*(Table1[SBU]=$F$5)*(Table1[Execution Year]=$E$5)*(Table1[Most curent]=TRUE)),0),"")</f>
        <v/>
      </c>
      <c r="BJ22" s="60" t="str" cm="1">
        <f t="array" ref="BJ22">IFERROR(EOMONTH(EOMONTH(_xlfn._xlws.FILTER(Table1[Current Phase End],(Table1[Category]=$E22)*(Table1[SBU]=$F$5)*(Table1[Execution Year]=$E$5)*(Table1[Most curent]=TRUE)),0)-45,0)+1,"")</f>
        <v/>
      </c>
      <c r="BK22" s="60" t="str" cm="1">
        <f t="array" ref="BK22">IFERROR(EOMONTH(_xlfn._xlws.FILTER(Table1[Revised Award],(Table1[Category]=$E22)*(Table1[SBU]=$F$5)*(Table1[Execution Year]=$E$5)*(Table1[Most curent]=TRUE)),0),"")</f>
        <v/>
      </c>
      <c r="BL22" s="60" t="str">
        <f t="shared" si="52"/>
        <v/>
      </c>
      <c r="BM22" s="60" t="str">
        <f t="shared" si="53"/>
        <v/>
      </c>
    </row>
    <row r="23" spans="2:65" ht="15.6" thickTop="1" thickBot="1">
      <c r="B23" s="123"/>
      <c r="C23" s="71"/>
      <c r="D23" s="125"/>
      <c r="E23" s="35"/>
      <c r="F23" s="35"/>
      <c r="G23" s="35"/>
      <c r="H23" s="36"/>
      <c r="I23" s="36"/>
      <c r="J23" s="35"/>
      <c r="K23" s="71"/>
      <c r="L23" s="71"/>
      <c r="M23" s="71"/>
      <c r="N23" s="34" t="str">
        <f t="shared" si="34"/>
        <v/>
      </c>
      <c r="O23" s="111" t="str">
        <f t="shared" si="35"/>
        <v/>
      </c>
      <c r="P23" s="34" t="str">
        <f t="shared" si="0"/>
        <v/>
      </c>
      <c r="Q23" s="111" t="str">
        <f t="shared" ref="Q23" si="230">P23</f>
        <v/>
      </c>
      <c r="R23" s="34" t="str">
        <f t="shared" si="2"/>
        <v/>
      </c>
      <c r="S23" s="111" t="str">
        <f t="shared" ref="S23" si="231">R23</f>
        <v/>
      </c>
      <c r="T23" s="37" t="str">
        <f t="shared" si="4"/>
        <v/>
      </c>
      <c r="U23" s="111" t="str">
        <f t="shared" ref="U23" si="232">T23</f>
        <v/>
      </c>
      <c r="V23" s="37" t="str">
        <f t="shared" si="6"/>
        <v/>
      </c>
      <c r="W23" s="111" t="str">
        <f t="shared" ref="W23" si="233">V23</f>
        <v/>
      </c>
      <c r="X23" s="37" t="str">
        <f t="shared" si="8"/>
        <v/>
      </c>
      <c r="Y23" s="111" t="str">
        <f t="shared" ref="Y23" si="234">X23</f>
        <v/>
      </c>
      <c r="Z23" s="37" t="str">
        <f t="shared" si="10"/>
        <v/>
      </c>
      <c r="AA23" s="111" t="str">
        <f t="shared" ref="AA23" si="235">Z23</f>
        <v/>
      </c>
      <c r="AB23" s="37" t="str">
        <f t="shared" si="12"/>
        <v/>
      </c>
      <c r="AC23" s="111" t="str">
        <f t="shared" ref="AC23" si="236">AB23</f>
        <v/>
      </c>
      <c r="AD23" s="37" t="str">
        <f t="shared" si="14"/>
        <v/>
      </c>
      <c r="AE23" s="111" t="str">
        <f t="shared" ref="AE23" si="237">AD23</f>
        <v/>
      </c>
      <c r="AF23" s="37" t="str">
        <f t="shared" si="16"/>
        <v/>
      </c>
      <c r="AG23" s="111" t="str">
        <f t="shared" ref="AG23" si="238">AF23</f>
        <v/>
      </c>
      <c r="AH23" s="37" t="str">
        <f t="shared" si="18"/>
        <v/>
      </c>
      <c r="AI23" s="111" t="str">
        <f t="shared" ref="AI23" si="239">AH23</f>
        <v/>
      </c>
      <c r="AJ23" s="37" t="str">
        <f t="shared" si="20"/>
        <v/>
      </c>
      <c r="AK23" s="111" t="str">
        <f t="shared" ref="AK23" si="240">AJ23</f>
        <v/>
      </c>
      <c r="AL23" s="37" t="str">
        <f t="shared" si="22"/>
        <v/>
      </c>
      <c r="AM23" s="111" t="str">
        <f t="shared" ref="AM23" si="241">AL23</f>
        <v/>
      </c>
      <c r="AN23" s="37" t="str">
        <f t="shared" si="24"/>
        <v/>
      </c>
      <c r="AO23" s="111" t="str">
        <f t="shared" ref="AO23" si="242">AN23</f>
        <v/>
      </c>
      <c r="AP23" s="37" t="str">
        <f t="shared" si="26"/>
        <v/>
      </c>
      <c r="AQ23" s="111" t="str">
        <f t="shared" ref="AQ23" si="243">AP23</f>
        <v/>
      </c>
      <c r="AR23" s="37" t="str">
        <f t="shared" si="28"/>
        <v/>
      </c>
      <c r="AS23" s="111" t="str">
        <f t="shared" ref="AS23" si="244">AR23</f>
        <v/>
      </c>
      <c r="AT23" s="37" t="str">
        <f t="shared" si="30"/>
        <v/>
      </c>
      <c r="AU23" s="111" t="str">
        <f t="shared" ref="AU23" si="245">AT23</f>
        <v/>
      </c>
      <c r="AV23" s="37" t="str">
        <f t="shared" si="32"/>
        <v/>
      </c>
      <c r="AW23" s="34" t="str">
        <f t="shared" si="33"/>
        <v/>
      </c>
      <c r="AX23" s="34"/>
      <c r="AY23" s="23"/>
      <c r="BH23" s="60" t="str" cm="1">
        <f t="array" ref="BH23">IFERROR(EOMONTH(EOMONTH(_xlfn._xlws.FILTER(Table1[Planned Start],(Table1[Category]=$E23)*(Table1[SBU]=$F$5)*(Table1[Execution Year]=$E$5)*(Table1[Most curent]=TRUE)),0)-45,0)+1,"")</f>
        <v/>
      </c>
      <c r="BI23" s="60" t="str" cm="1">
        <f t="array" ref="BI23">IFERROR(EOMONTH(_xlfn._xlws.FILTER(Table1[Planned Award],(Table1[Category]=$E23)*(Table1[SBU]=$F$5)*(Table1[Execution Year]=$E$5)*(Table1[Most curent]=TRUE)),0),"")</f>
        <v/>
      </c>
      <c r="BJ23" s="60" t="str" cm="1">
        <f t="array" ref="BJ23">IFERROR(EOMONTH(EOMONTH(_xlfn._xlws.FILTER(Table1[Current Phase End],(Table1[Category]=$E23)*(Table1[SBU]=$F$5)*(Table1[Execution Year]=$E$5)*(Table1[Most curent]=TRUE)),0)-45,0)+1,"")</f>
        <v/>
      </c>
      <c r="BK23" s="60" t="str" cm="1">
        <f t="array" ref="BK23">IFERROR(EOMONTH(_xlfn._xlws.FILTER(Table1[Revised Award],(Table1[Category]=$E23)*(Table1[SBU]=$F$5)*(Table1[Execution Year]=$E$5)*(Table1[Most curent]=TRUE)),0),"")</f>
        <v/>
      </c>
      <c r="BL23" s="60" t="str">
        <f t="shared" si="52"/>
        <v/>
      </c>
      <c r="BM23" s="60" t="str">
        <f t="shared" si="53"/>
        <v/>
      </c>
    </row>
    <row r="24" spans="2:65" ht="15.6" thickTop="1" thickBot="1">
      <c r="B24" s="123"/>
      <c r="C24" s="71"/>
      <c r="D24" s="125"/>
      <c r="E24" s="35"/>
      <c r="F24" s="35"/>
      <c r="G24" s="35"/>
      <c r="H24" s="36"/>
      <c r="I24" s="36"/>
      <c r="J24" s="35"/>
      <c r="K24" s="71"/>
      <c r="L24" s="71"/>
      <c r="M24" s="71"/>
      <c r="N24" s="34" t="str">
        <f t="shared" si="34"/>
        <v/>
      </c>
      <c r="O24" s="111" t="str">
        <f t="shared" si="35"/>
        <v/>
      </c>
      <c r="P24" s="34" t="str">
        <f t="shared" si="0"/>
        <v/>
      </c>
      <c r="Q24" s="111" t="str">
        <f t="shared" ref="Q24" si="246">P24</f>
        <v/>
      </c>
      <c r="R24" s="34" t="str">
        <f t="shared" si="2"/>
        <v/>
      </c>
      <c r="S24" s="111" t="str">
        <f t="shared" ref="S24" si="247">R24</f>
        <v/>
      </c>
      <c r="T24" s="37" t="str">
        <f t="shared" si="4"/>
        <v/>
      </c>
      <c r="U24" s="111" t="str">
        <f t="shared" ref="U24" si="248">T24</f>
        <v/>
      </c>
      <c r="V24" s="37" t="str">
        <f t="shared" si="6"/>
        <v/>
      </c>
      <c r="W24" s="111" t="str">
        <f t="shared" ref="W24" si="249">V24</f>
        <v/>
      </c>
      <c r="X24" s="37" t="str">
        <f t="shared" si="8"/>
        <v/>
      </c>
      <c r="Y24" s="111" t="str">
        <f t="shared" ref="Y24" si="250">X24</f>
        <v/>
      </c>
      <c r="Z24" s="37" t="str">
        <f t="shared" si="10"/>
        <v/>
      </c>
      <c r="AA24" s="111" t="str">
        <f t="shared" ref="AA24" si="251">Z24</f>
        <v/>
      </c>
      <c r="AB24" s="37" t="str">
        <f t="shared" si="12"/>
        <v/>
      </c>
      <c r="AC24" s="111" t="str">
        <f t="shared" ref="AC24" si="252">AB24</f>
        <v/>
      </c>
      <c r="AD24" s="37" t="str">
        <f t="shared" si="14"/>
        <v/>
      </c>
      <c r="AE24" s="111" t="str">
        <f t="shared" ref="AE24" si="253">AD24</f>
        <v/>
      </c>
      <c r="AF24" s="37" t="str">
        <f t="shared" si="16"/>
        <v/>
      </c>
      <c r="AG24" s="111" t="str">
        <f t="shared" ref="AG24" si="254">AF24</f>
        <v/>
      </c>
      <c r="AH24" s="37" t="str">
        <f t="shared" si="18"/>
        <v/>
      </c>
      <c r="AI24" s="111" t="str">
        <f t="shared" ref="AI24" si="255">AH24</f>
        <v/>
      </c>
      <c r="AJ24" s="37" t="str">
        <f t="shared" si="20"/>
        <v/>
      </c>
      <c r="AK24" s="111" t="str">
        <f t="shared" ref="AK24" si="256">AJ24</f>
        <v/>
      </c>
      <c r="AL24" s="37" t="str">
        <f t="shared" si="22"/>
        <v/>
      </c>
      <c r="AM24" s="111" t="str">
        <f t="shared" ref="AM24" si="257">AL24</f>
        <v/>
      </c>
      <c r="AN24" s="37" t="str">
        <f t="shared" si="24"/>
        <v/>
      </c>
      <c r="AO24" s="111" t="str">
        <f t="shared" ref="AO24" si="258">AN24</f>
        <v/>
      </c>
      <c r="AP24" s="37" t="str">
        <f t="shared" si="26"/>
        <v/>
      </c>
      <c r="AQ24" s="111" t="str">
        <f t="shared" ref="AQ24" si="259">AP24</f>
        <v/>
      </c>
      <c r="AR24" s="37" t="str">
        <f t="shared" si="28"/>
        <v/>
      </c>
      <c r="AS24" s="111" t="str">
        <f t="shared" ref="AS24" si="260">AR24</f>
        <v/>
      </c>
      <c r="AT24" s="37" t="str">
        <f t="shared" si="30"/>
        <v/>
      </c>
      <c r="AU24" s="111" t="str">
        <f t="shared" ref="AU24" si="261">AT24</f>
        <v/>
      </c>
      <c r="AV24" s="37" t="str">
        <f t="shared" si="32"/>
        <v/>
      </c>
      <c r="AW24" s="34" t="str">
        <f t="shared" si="33"/>
        <v/>
      </c>
      <c r="AX24" s="34"/>
      <c r="AY24" s="23"/>
      <c r="BH24" s="60" t="str" cm="1">
        <f t="array" ref="BH24">IFERROR(EOMONTH(EOMONTH(_xlfn._xlws.FILTER(Table1[Planned Start],(Table1[Category]=$E24)*(Table1[SBU]=$F$5)*(Table1[Execution Year]=$E$5)*(Table1[Most curent]=TRUE)),0)-45,0)+1,"")</f>
        <v/>
      </c>
      <c r="BI24" s="60" t="str" cm="1">
        <f t="array" ref="BI24">IFERROR(EOMONTH(_xlfn._xlws.FILTER(Table1[Planned Award],(Table1[Category]=$E24)*(Table1[SBU]=$F$5)*(Table1[Execution Year]=$E$5)*(Table1[Most curent]=TRUE)),0),"")</f>
        <v/>
      </c>
      <c r="BJ24" s="60" t="str" cm="1">
        <f t="array" ref="BJ24">IFERROR(EOMONTH(EOMONTH(_xlfn._xlws.FILTER(Table1[Current Phase End],(Table1[Category]=$E24)*(Table1[SBU]=$F$5)*(Table1[Execution Year]=$E$5)*(Table1[Most curent]=TRUE)),0)-45,0)+1,"")</f>
        <v/>
      </c>
      <c r="BK24" s="60" t="str" cm="1">
        <f t="array" ref="BK24">IFERROR(EOMONTH(_xlfn._xlws.FILTER(Table1[Revised Award],(Table1[Category]=$E24)*(Table1[SBU]=$F$5)*(Table1[Execution Year]=$E$5)*(Table1[Most curent]=TRUE)),0),"")</f>
        <v/>
      </c>
      <c r="BL24" s="60" t="str">
        <f t="shared" ref="BL24:BL62" si="262">IFERROR(EOMONTH(BH24-65,0)+1,"")</f>
        <v/>
      </c>
      <c r="BM24" s="60" t="str">
        <f t="shared" ref="BM24:BM62" si="263">IFERROR(BH24-1,"")</f>
        <v/>
      </c>
    </row>
    <row r="25" spans="2:65" ht="15.6" thickTop="1" thickBot="1">
      <c r="B25" s="123"/>
      <c r="C25" s="71"/>
      <c r="D25" s="125"/>
      <c r="E25" s="35"/>
      <c r="F25" s="35"/>
      <c r="G25" s="35"/>
      <c r="H25" s="36"/>
      <c r="I25" s="36"/>
      <c r="J25" s="35"/>
      <c r="K25" s="71"/>
      <c r="L25" s="71"/>
      <c r="M25" s="71"/>
      <c r="N25" s="34" t="str">
        <f t="shared" si="34"/>
        <v/>
      </c>
      <c r="O25" s="111" t="str">
        <f t="shared" si="35"/>
        <v/>
      </c>
      <c r="P25" s="34" t="str">
        <f t="shared" si="0"/>
        <v/>
      </c>
      <c r="Q25" s="111" t="str">
        <f t="shared" ref="Q25" si="264">P25</f>
        <v/>
      </c>
      <c r="R25" s="34" t="str">
        <f t="shared" si="2"/>
        <v/>
      </c>
      <c r="S25" s="111" t="str">
        <f t="shared" ref="S25" si="265">R25</f>
        <v/>
      </c>
      <c r="T25" s="37" t="str">
        <f t="shared" si="4"/>
        <v/>
      </c>
      <c r="U25" s="111" t="str">
        <f t="shared" ref="U25" si="266">T25</f>
        <v/>
      </c>
      <c r="V25" s="37" t="str">
        <f t="shared" si="6"/>
        <v/>
      </c>
      <c r="W25" s="111" t="str">
        <f t="shared" ref="W25" si="267">V25</f>
        <v/>
      </c>
      <c r="X25" s="37" t="str">
        <f t="shared" si="8"/>
        <v/>
      </c>
      <c r="Y25" s="111" t="str">
        <f t="shared" ref="Y25" si="268">X25</f>
        <v/>
      </c>
      <c r="Z25" s="37" t="str">
        <f t="shared" si="10"/>
        <v/>
      </c>
      <c r="AA25" s="111" t="str">
        <f t="shared" ref="AA25" si="269">Z25</f>
        <v/>
      </c>
      <c r="AB25" s="37" t="str">
        <f t="shared" si="12"/>
        <v/>
      </c>
      <c r="AC25" s="111" t="str">
        <f t="shared" ref="AC25" si="270">AB25</f>
        <v/>
      </c>
      <c r="AD25" s="37" t="str">
        <f t="shared" si="14"/>
        <v/>
      </c>
      <c r="AE25" s="111" t="str">
        <f t="shared" ref="AE25" si="271">AD25</f>
        <v/>
      </c>
      <c r="AF25" s="37" t="str">
        <f t="shared" si="16"/>
        <v/>
      </c>
      <c r="AG25" s="111" t="str">
        <f t="shared" ref="AG25" si="272">AF25</f>
        <v/>
      </c>
      <c r="AH25" s="37" t="str">
        <f t="shared" si="18"/>
        <v/>
      </c>
      <c r="AI25" s="111" t="str">
        <f t="shared" ref="AI25" si="273">AH25</f>
        <v/>
      </c>
      <c r="AJ25" s="37" t="str">
        <f t="shared" si="20"/>
        <v/>
      </c>
      <c r="AK25" s="111" t="str">
        <f t="shared" ref="AK25" si="274">AJ25</f>
        <v/>
      </c>
      <c r="AL25" s="37" t="str">
        <f t="shared" si="22"/>
        <v/>
      </c>
      <c r="AM25" s="111" t="str">
        <f t="shared" ref="AM25" si="275">AL25</f>
        <v/>
      </c>
      <c r="AN25" s="37" t="str">
        <f t="shared" si="24"/>
        <v/>
      </c>
      <c r="AO25" s="111" t="str">
        <f t="shared" ref="AO25" si="276">AN25</f>
        <v/>
      </c>
      <c r="AP25" s="37" t="str">
        <f t="shared" si="26"/>
        <v/>
      </c>
      <c r="AQ25" s="111" t="str">
        <f t="shared" ref="AQ25" si="277">AP25</f>
        <v/>
      </c>
      <c r="AR25" s="37" t="str">
        <f t="shared" si="28"/>
        <v/>
      </c>
      <c r="AS25" s="111" t="str">
        <f t="shared" ref="AS25" si="278">AR25</f>
        <v/>
      </c>
      <c r="AT25" s="37" t="str">
        <f t="shared" si="30"/>
        <v/>
      </c>
      <c r="AU25" s="111" t="str">
        <f t="shared" ref="AU25" si="279">AT25</f>
        <v/>
      </c>
      <c r="AV25" s="37" t="str">
        <f t="shared" si="32"/>
        <v/>
      </c>
      <c r="AW25" s="34" t="str">
        <f t="shared" si="33"/>
        <v/>
      </c>
      <c r="AX25" s="34"/>
      <c r="AY25" s="23"/>
      <c r="BH25" s="60" t="str" cm="1">
        <f t="array" ref="BH25">IFERROR(EOMONTH(EOMONTH(_xlfn._xlws.FILTER(Table1[Planned Start],(Table1[Category]=$E25)*(Table1[SBU]=$F$5)*(Table1[Execution Year]=$E$5)*(Table1[Most curent]=TRUE)),0)-45,0)+1,"")</f>
        <v/>
      </c>
      <c r="BI25" s="60" t="str" cm="1">
        <f t="array" ref="BI25">IFERROR(EOMONTH(_xlfn._xlws.FILTER(Table1[Planned Award],(Table1[Category]=$E25)*(Table1[SBU]=$F$5)*(Table1[Execution Year]=$E$5)*(Table1[Most curent]=TRUE)),0),"")</f>
        <v/>
      </c>
      <c r="BJ25" s="60" t="str" cm="1">
        <f t="array" ref="BJ25">IFERROR(EOMONTH(EOMONTH(_xlfn._xlws.FILTER(Table1[Current Phase End],(Table1[Category]=$E25)*(Table1[SBU]=$F$5)*(Table1[Execution Year]=$E$5)*(Table1[Most curent]=TRUE)),0)-45,0)+1,"")</f>
        <v/>
      </c>
      <c r="BK25" s="60" t="str" cm="1">
        <f t="array" ref="BK25">IFERROR(EOMONTH(_xlfn._xlws.FILTER(Table1[Revised Award],(Table1[Category]=$E25)*(Table1[SBU]=$F$5)*(Table1[Execution Year]=$E$5)*(Table1[Most curent]=TRUE)),0),"")</f>
        <v/>
      </c>
      <c r="BL25" s="60" t="str">
        <f t="shared" si="262"/>
        <v/>
      </c>
      <c r="BM25" s="60" t="str">
        <f t="shared" si="263"/>
        <v/>
      </c>
    </row>
    <row r="26" spans="2:65" ht="15.6" thickTop="1" thickBot="1">
      <c r="B26" s="123"/>
      <c r="C26" s="71"/>
      <c r="D26" s="125"/>
      <c r="E26" s="35"/>
      <c r="F26" s="35"/>
      <c r="G26" s="35"/>
      <c r="H26" s="36"/>
      <c r="I26" s="36"/>
      <c r="J26" s="35"/>
      <c r="K26" s="71"/>
      <c r="L26" s="71"/>
      <c r="M26" s="71"/>
      <c r="N26" s="34" t="str">
        <f t="shared" si="34"/>
        <v/>
      </c>
      <c r="O26" s="111" t="str">
        <f t="shared" si="35"/>
        <v/>
      </c>
      <c r="P26" s="34" t="str">
        <f t="shared" ref="P26:P70" si="280">IFERROR(IF(AND(P$7&gt;=$BH26,P$7&lt;$BI26),1,IF(AND(P$7&gt;=$BJ26,P$7&lt;$BK26),2,IF(AND(P$7&gt;=$BL26,P$7&lt;=$BM26),3,""))),"")</f>
        <v/>
      </c>
      <c r="Q26" s="111" t="str">
        <f t="shared" ref="Q26" si="281">P26</f>
        <v/>
      </c>
      <c r="R26" s="34" t="str">
        <f t="shared" ref="R26:R70" si="282">IFERROR(IF(AND(R$7&gt;=$BH26,R$7&lt;$BI26),1,IF(AND(R$7&gt;=$BJ26,R$7&lt;$BK26),2,IF(AND(R$7&gt;=$BL26,R$7&lt;=$BM26),3,""))),"")</f>
        <v/>
      </c>
      <c r="S26" s="111" t="str">
        <f t="shared" ref="S26" si="283">R26</f>
        <v/>
      </c>
      <c r="T26" s="37" t="str">
        <f t="shared" ref="T26:T70" si="284">IFERROR(IF(AND(T$7&gt;=$BH26,T$7&lt;$BI26),1,IF(AND(T$7&gt;=$BJ26,T$7&lt;$BK26),2,IF(AND(T$7&gt;=$BL26,T$7&lt;=$BM26),3,""))),"")</f>
        <v/>
      </c>
      <c r="U26" s="111" t="str">
        <f t="shared" ref="U26" si="285">T26</f>
        <v/>
      </c>
      <c r="V26" s="37" t="str">
        <f t="shared" ref="V26:V70" si="286">IFERROR(IF(AND(V$7&gt;=$BH26,V$7&lt;$BI26),1,IF(AND(V$7&gt;=$BJ26,V$7&lt;$BK26),2,IF(AND(V$7&gt;=$BL26,V$7&lt;=$BM26),3,""))),"")</f>
        <v/>
      </c>
      <c r="W26" s="111" t="str">
        <f t="shared" ref="W26" si="287">V26</f>
        <v/>
      </c>
      <c r="X26" s="37" t="str">
        <f t="shared" ref="X26:X70" si="288">IFERROR(IF(AND(X$7&gt;=$BH26,X$7&lt;$BI26),1,IF(AND(X$7&gt;=$BJ26,X$7&lt;$BK26),2,IF(AND(X$7&gt;=$BL26,X$7&lt;=$BM26),3,""))),"")</f>
        <v/>
      </c>
      <c r="Y26" s="111" t="str">
        <f t="shared" ref="Y26" si="289">X26</f>
        <v/>
      </c>
      <c r="Z26" s="37" t="str">
        <f t="shared" ref="Z26:Z70" si="290">IFERROR(IF(AND(Z$7&gt;=$BH26,Z$7&lt;$BI26),1,IF(AND(Z$7&gt;=$BJ26,Z$7&lt;$BK26),2,IF(AND(Z$7&gt;=$BL26,Z$7&lt;=$BM26),3,""))),"")</f>
        <v/>
      </c>
      <c r="AA26" s="111" t="str">
        <f t="shared" ref="AA26" si="291">Z26</f>
        <v/>
      </c>
      <c r="AB26" s="37" t="str">
        <f t="shared" ref="AB26:AB70" si="292">IFERROR(IF(AND(AB$7&gt;=$BH26,AB$7&lt;$BI26),1,IF(AND(AB$7&gt;=$BJ26,AB$7&lt;$BK26),2,IF(AND(AB$7&gt;=$BL26,AB$7&lt;=$BM26),3,""))),"")</f>
        <v/>
      </c>
      <c r="AC26" s="111" t="str">
        <f t="shared" ref="AC26" si="293">AB26</f>
        <v/>
      </c>
      <c r="AD26" s="37" t="str">
        <f t="shared" ref="AD26:AD70" si="294">IFERROR(IF(AND(AD$7&gt;=$BH26,AD$7&lt;$BI26),1,IF(AND(AD$7&gt;=$BJ26,AD$7&lt;$BK26),2,IF(AND(AD$7&gt;=$BL26,AD$7&lt;=$BM26),3,""))),"")</f>
        <v/>
      </c>
      <c r="AE26" s="111" t="str">
        <f t="shared" ref="AE26" si="295">AD26</f>
        <v/>
      </c>
      <c r="AF26" s="37" t="str">
        <f t="shared" ref="AF26:AF70" si="296">IFERROR(IF(AND(AF$7&gt;=$BH26,AF$7&lt;$BI26),1,IF(AND(AF$7&gt;=$BJ26,AF$7&lt;$BK26),2,IF(AND(AF$7&gt;=$BL26,AF$7&lt;=$BM26),3,""))),"")</f>
        <v/>
      </c>
      <c r="AG26" s="111" t="str">
        <f t="shared" ref="AG26" si="297">AF26</f>
        <v/>
      </c>
      <c r="AH26" s="37" t="str">
        <f t="shared" ref="AH26:AH70" si="298">IFERROR(IF(AND(AH$7&gt;=$BH26,AH$7&lt;$BI26),1,IF(AND(AH$7&gt;=$BJ26,AH$7&lt;$BK26),2,IF(AND(AH$7&gt;=$BL26,AH$7&lt;=$BM26),3,""))),"")</f>
        <v/>
      </c>
      <c r="AI26" s="111" t="str">
        <f t="shared" ref="AI26" si="299">AH26</f>
        <v/>
      </c>
      <c r="AJ26" s="37" t="str">
        <f t="shared" ref="AJ26:AJ70" si="300">IFERROR(IF(AND(AJ$7&gt;=$BH26,AJ$7&lt;$BI26),1,IF(AND(AJ$7&gt;=$BJ26,AJ$7&lt;$BK26),2,IF(AND(AJ$7&gt;=$BL26,AJ$7&lt;=$BM26),3,""))),"")</f>
        <v/>
      </c>
      <c r="AK26" s="111" t="str">
        <f t="shared" ref="AK26" si="301">AJ26</f>
        <v/>
      </c>
      <c r="AL26" s="37" t="str">
        <f t="shared" ref="AL26:AL70" si="302">IFERROR(IF(AND(AL$7&gt;=$BH26,AL$7&lt;$BI26),1,IF(AND(AL$7&gt;=$BJ26,AL$7&lt;$BK26),2,IF(AND(AL$7&gt;=$BL26,AL$7&lt;=$BM26),3,""))),"")</f>
        <v/>
      </c>
      <c r="AM26" s="111" t="str">
        <f t="shared" ref="AM26" si="303">AL26</f>
        <v/>
      </c>
      <c r="AN26" s="37" t="str">
        <f t="shared" ref="AN26:AN70" si="304">IFERROR(IF(AND(AN$7&gt;=$BH26,AN$7&lt;$BI26),1,IF(AND(AN$7&gt;=$BJ26,AN$7&lt;$BK26),2,IF(AND(AN$7&gt;=$BL26,AN$7&lt;=$BM26),3,""))),"")</f>
        <v/>
      </c>
      <c r="AO26" s="111" t="str">
        <f t="shared" ref="AO26" si="305">AN26</f>
        <v/>
      </c>
      <c r="AP26" s="37" t="str">
        <f t="shared" ref="AP26:AP70" si="306">IFERROR(IF(AND(AP$7&gt;=$BH26,AP$7&lt;$BI26),1,IF(AND(AP$7&gt;=$BJ26,AP$7&lt;$BK26),2,IF(AND(AP$7&gt;=$BL26,AP$7&lt;=$BM26),3,""))),"")</f>
        <v/>
      </c>
      <c r="AQ26" s="111" t="str">
        <f t="shared" ref="AQ26" si="307">AP26</f>
        <v/>
      </c>
      <c r="AR26" s="37" t="str">
        <f t="shared" ref="AR26:AR70" si="308">IFERROR(IF(AND(AR$7&gt;=$BH26,AR$7&lt;$BI26),1,IF(AND(AR$7&gt;=$BJ26,AR$7&lt;$BK26),2,IF(AND(AR$7&gt;=$BL26,AR$7&lt;=$BM26),3,""))),"")</f>
        <v/>
      </c>
      <c r="AS26" s="111" t="str">
        <f t="shared" ref="AS26" si="309">AR26</f>
        <v/>
      </c>
      <c r="AT26" s="37" t="str">
        <f t="shared" ref="AT26:AT70" si="310">IFERROR(IF(AND(AT$7&gt;=$BH26,AT$7&lt;$BI26),1,IF(AND(AT$7&gt;=$BJ26,AT$7&lt;$BK26),2,IF(AND(AT$7&gt;=$BL26,AT$7&lt;=$BM26),3,""))),"")</f>
        <v/>
      </c>
      <c r="AU26" s="111" t="str">
        <f t="shared" ref="AU26" si="311">AT26</f>
        <v/>
      </c>
      <c r="AV26" s="37" t="str">
        <f t="shared" ref="AV26:AV70" si="312">IFERROR(IF(AND(AV$7&gt;=$BH26,AV$7&lt;$BI26),1,IF(AND(AV$7&gt;=$BJ26,AV$7&lt;$BK26),2,IF(AND(AV$7&gt;=$BL26,AV$7&lt;=$BM26),3,""))),"")</f>
        <v/>
      </c>
      <c r="AW26" s="34" t="str">
        <f t="shared" si="33"/>
        <v/>
      </c>
      <c r="AX26" s="34"/>
      <c r="AY26" s="23"/>
      <c r="BH26" s="60" t="str" cm="1">
        <f t="array" ref="BH26">IFERROR(EOMONTH(EOMONTH(_xlfn._xlws.FILTER(Table1[Planned Start],(Table1[Category]=$E26)*(Table1[SBU]=$F$5)*(Table1[Execution Year]=$E$5)*(Table1[Most curent]=TRUE)),0)-45,0)+1,"")</f>
        <v/>
      </c>
      <c r="BI26" s="60" t="str" cm="1">
        <f t="array" ref="BI26">IFERROR(EOMONTH(_xlfn._xlws.FILTER(Table1[Planned Award],(Table1[Category]=$E26)*(Table1[SBU]=$F$5)*(Table1[Execution Year]=$E$5)*(Table1[Most curent]=TRUE)),0),"")</f>
        <v/>
      </c>
      <c r="BJ26" s="60" t="str" cm="1">
        <f t="array" ref="BJ26">IFERROR(EOMONTH(EOMONTH(_xlfn._xlws.FILTER(Table1[Current Phase End],(Table1[Category]=$E26)*(Table1[SBU]=$F$5)*(Table1[Execution Year]=$E$5)*(Table1[Most curent]=TRUE)),0)-45,0)+1,"")</f>
        <v/>
      </c>
      <c r="BK26" s="60" t="str" cm="1">
        <f t="array" ref="BK26">IFERROR(EOMONTH(_xlfn._xlws.FILTER(Table1[Revised Award],(Table1[Category]=$E26)*(Table1[SBU]=$F$5)*(Table1[Execution Year]=$E$5)*(Table1[Most curent]=TRUE)),0),"")</f>
        <v/>
      </c>
      <c r="BL26" s="60" t="str">
        <f t="shared" si="262"/>
        <v/>
      </c>
      <c r="BM26" s="60" t="str">
        <f t="shared" si="263"/>
        <v/>
      </c>
    </row>
    <row r="27" spans="2:65" ht="15.6" thickTop="1" thickBot="1">
      <c r="B27" s="123"/>
      <c r="C27" s="71"/>
      <c r="D27" s="125"/>
      <c r="E27" s="35"/>
      <c r="F27" s="35"/>
      <c r="G27" s="35"/>
      <c r="H27" s="36"/>
      <c r="I27" s="36"/>
      <c r="J27" s="35"/>
      <c r="K27" s="71"/>
      <c r="L27" s="71"/>
      <c r="M27" s="71"/>
      <c r="N27" s="34" t="str">
        <f t="shared" si="34"/>
        <v/>
      </c>
      <c r="O27" s="111" t="str">
        <f t="shared" si="35"/>
        <v/>
      </c>
      <c r="P27" s="34" t="str">
        <f t="shared" si="280"/>
        <v/>
      </c>
      <c r="Q27" s="111" t="str">
        <f t="shared" ref="Q27" si="313">P27</f>
        <v/>
      </c>
      <c r="R27" s="34" t="str">
        <f t="shared" si="282"/>
        <v/>
      </c>
      <c r="S27" s="111" t="str">
        <f t="shared" ref="S27" si="314">R27</f>
        <v/>
      </c>
      <c r="T27" s="37" t="str">
        <f t="shared" si="284"/>
        <v/>
      </c>
      <c r="U27" s="111" t="str">
        <f t="shared" ref="U27" si="315">T27</f>
        <v/>
      </c>
      <c r="V27" s="37" t="str">
        <f t="shared" si="286"/>
        <v/>
      </c>
      <c r="W27" s="111" t="str">
        <f t="shared" ref="W27" si="316">V27</f>
        <v/>
      </c>
      <c r="X27" s="37" t="str">
        <f t="shared" si="288"/>
        <v/>
      </c>
      <c r="Y27" s="111" t="str">
        <f t="shared" ref="Y27" si="317">X27</f>
        <v/>
      </c>
      <c r="Z27" s="37" t="str">
        <f t="shared" si="290"/>
        <v/>
      </c>
      <c r="AA27" s="111" t="str">
        <f t="shared" ref="AA27" si="318">Z27</f>
        <v/>
      </c>
      <c r="AB27" s="37" t="str">
        <f t="shared" si="292"/>
        <v/>
      </c>
      <c r="AC27" s="111" t="str">
        <f t="shared" ref="AC27" si="319">AB27</f>
        <v/>
      </c>
      <c r="AD27" s="37" t="str">
        <f t="shared" si="294"/>
        <v/>
      </c>
      <c r="AE27" s="111" t="str">
        <f t="shared" ref="AE27" si="320">AD27</f>
        <v/>
      </c>
      <c r="AF27" s="37" t="str">
        <f t="shared" si="296"/>
        <v/>
      </c>
      <c r="AG27" s="111" t="str">
        <f t="shared" ref="AG27" si="321">AF27</f>
        <v/>
      </c>
      <c r="AH27" s="37" t="str">
        <f t="shared" si="298"/>
        <v/>
      </c>
      <c r="AI27" s="111" t="str">
        <f t="shared" ref="AI27" si="322">AH27</f>
        <v/>
      </c>
      <c r="AJ27" s="37" t="str">
        <f t="shared" si="300"/>
        <v/>
      </c>
      <c r="AK27" s="111" t="str">
        <f t="shared" ref="AK27" si="323">AJ27</f>
        <v/>
      </c>
      <c r="AL27" s="37" t="str">
        <f t="shared" si="302"/>
        <v/>
      </c>
      <c r="AM27" s="111" t="str">
        <f t="shared" ref="AM27" si="324">AL27</f>
        <v/>
      </c>
      <c r="AN27" s="37" t="str">
        <f t="shared" si="304"/>
        <v/>
      </c>
      <c r="AO27" s="111" t="str">
        <f t="shared" ref="AO27" si="325">AN27</f>
        <v/>
      </c>
      <c r="AP27" s="37" t="str">
        <f t="shared" si="306"/>
        <v/>
      </c>
      <c r="AQ27" s="111" t="str">
        <f t="shared" ref="AQ27" si="326">AP27</f>
        <v/>
      </c>
      <c r="AR27" s="37" t="str">
        <f t="shared" si="308"/>
        <v/>
      </c>
      <c r="AS27" s="111" t="str">
        <f t="shared" ref="AS27" si="327">AR27</f>
        <v/>
      </c>
      <c r="AT27" s="37" t="str">
        <f t="shared" si="310"/>
        <v/>
      </c>
      <c r="AU27" s="111" t="str">
        <f t="shared" ref="AU27" si="328">AT27</f>
        <v/>
      </c>
      <c r="AV27" s="37" t="str">
        <f t="shared" si="312"/>
        <v/>
      </c>
      <c r="AW27" s="34" t="str">
        <f t="shared" si="33"/>
        <v/>
      </c>
      <c r="AX27" s="34"/>
      <c r="AY27" s="23"/>
      <c r="BH27" s="60" t="str" cm="1">
        <f t="array" ref="BH27">IFERROR(EOMONTH(EOMONTH(_xlfn._xlws.FILTER(Table1[Planned Start],(Table1[Category]=$E27)*(Table1[SBU]=$F$5)*(Table1[Execution Year]=$E$5)*(Table1[Most curent]=TRUE)),0)-45,0)+1,"")</f>
        <v/>
      </c>
      <c r="BI27" s="60" t="str" cm="1">
        <f t="array" ref="BI27">IFERROR(EOMONTH(_xlfn._xlws.FILTER(Table1[Planned Award],(Table1[Category]=$E27)*(Table1[SBU]=$F$5)*(Table1[Execution Year]=$E$5)*(Table1[Most curent]=TRUE)),0),"")</f>
        <v/>
      </c>
      <c r="BJ27" s="60" t="str" cm="1">
        <f t="array" ref="BJ27">IFERROR(EOMONTH(EOMONTH(_xlfn._xlws.FILTER(Table1[Current Phase End],(Table1[Category]=$E27)*(Table1[SBU]=$F$5)*(Table1[Execution Year]=$E$5)*(Table1[Most curent]=TRUE)),0)-45,0)+1,"")</f>
        <v/>
      </c>
      <c r="BK27" s="60" t="str" cm="1">
        <f t="array" ref="BK27">IFERROR(EOMONTH(_xlfn._xlws.FILTER(Table1[Revised Award],(Table1[Category]=$E27)*(Table1[SBU]=$F$5)*(Table1[Execution Year]=$E$5)*(Table1[Most curent]=TRUE)),0),"")</f>
        <v/>
      </c>
      <c r="BL27" s="60" t="str">
        <f t="shared" si="262"/>
        <v/>
      </c>
      <c r="BM27" s="60" t="str">
        <f t="shared" si="263"/>
        <v/>
      </c>
    </row>
    <row r="28" spans="2:65" ht="15.6" thickTop="1" thickBot="1">
      <c r="B28" s="123"/>
      <c r="C28" s="71"/>
      <c r="D28" s="125"/>
      <c r="E28" s="35"/>
      <c r="F28" s="35"/>
      <c r="G28" s="35"/>
      <c r="H28" s="36"/>
      <c r="I28" s="36"/>
      <c r="J28" s="35"/>
      <c r="K28" s="71"/>
      <c r="L28" s="71"/>
      <c r="M28" s="71"/>
      <c r="N28" s="34" t="str">
        <f t="shared" si="34"/>
        <v/>
      </c>
      <c r="O28" s="111" t="str">
        <f t="shared" si="35"/>
        <v/>
      </c>
      <c r="P28" s="34" t="str">
        <f t="shared" si="280"/>
        <v/>
      </c>
      <c r="Q28" s="111" t="str">
        <f t="shared" ref="Q28" si="329">P28</f>
        <v/>
      </c>
      <c r="R28" s="34" t="str">
        <f t="shared" si="282"/>
        <v/>
      </c>
      <c r="S28" s="111" t="str">
        <f t="shared" ref="S28" si="330">R28</f>
        <v/>
      </c>
      <c r="T28" s="37" t="str">
        <f t="shared" si="284"/>
        <v/>
      </c>
      <c r="U28" s="111" t="str">
        <f t="shared" ref="U28" si="331">T28</f>
        <v/>
      </c>
      <c r="V28" s="37" t="str">
        <f t="shared" si="286"/>
        <v/>
      </c>
      <c r="W28" s="111" t="str">
        <f t="shared" ref="W28" si="332">V28</f>
        <v/>
      </c>
      <c r="X28" s="37" t="str">
        <f t="shared" si="288"/>
        <v/>
      </c>
      <c r="Y28" s="111" t="str">
        <f t="shared" ref="Y28" si="333">X28</f>
        <v/>
      </c>
      <c r="Z28" s="37" t="str">
        <f t="shared" si="290"/>
        <v/>
      </c>
      <c r="AA28" s="111" t="str">
        <f t="shared" ref="AA28" si="334">Z28</f>
        <v/>
      </c>
      <c r="AB28" s="37" t="str">
        <f t="shared" si="292"/>
        <v/>
      </c>
      <c r="AC28" s="111" t="str">
        <f t="shared" ref="AC28" si="335">AB28</f>
        <v/>
      </c>
      <c r="AD28" s="37" t="str">
        <f t="shared" si="294"/>
        <v/>
      </c>
      <c r="AE28" s="111" t="str">
        <f t="shared" ref="AE28" si="336">AD28</f>
        <v/>
      </c>
      <c r="AF28" s="37" t="str">
        <f t="shared" si="296"/>
        <v/>
      </c>
      <c r="AG28" s="111" t="str">
        <f t="shared" ref="AG28" si="337">AF28</f>
        <v/>
      </c>
      <c r="AH28" s="37" t="str">
        <f t="shared" si="298"/>
        <v/>
      </c>
      <c r="AI28" s="111" t="str">
        <f t="shared" ref="AI28" si="338">AH28</f>
        <v/>
      </c>
      <c r="AJ28" s="37" t="str">
        <f t="shared" si="300"/>
        <v/>
      </c>
      <c r="AK28" s="111" t="str">
        <f t="shared" ref="AK28" si="339">AJ28</f>
        <v/>
      </c>
      <c r="AL28" s="37" t="str">
        <f t="shared" si="302"/>
        <v/>
      </c>
      <c r="AM28" s="111" t="str">
        <f t="shared" ref="AM28" si="340">AL28</f>
        <v/>
      </c>
      <c r="AN28" s="37" t="str">
        <f t="shared" si="304"/>
        <v/>
      </c>
      <c r="AO28" s="111" t="str">
        <f t="shared" ref="AO28" si="341">AN28</f>
        <v/>
      </c>
      <c r="AP28" s="37" t="str">
        <f t="shared" si="306"/>
        <v/>
      </c>
      <c r="AQ28" s="111" t="str">
        <f t="shared" ref="AQ28" si="342">AP28</f>
        <v/>
      </c>
      <c r="AR28" s="37" t="str">
        <f t="shared" si="308"/>
        <v/>
      </c>
      <c r="AS28" s="111" t="str">
        <f t="shared" ref="AS28" si="343">AR28</f>
        <v/>
      </c>
      <c r="AT28" s="37" t="str">
        <f t="shared" si="310"/>
        <v/>
      </c>
      <c r="AU28" s="111" t="str">
        <f t="shared" ref="AU28" si="344">AT28</f>
        <v/>
      </c>
      <c r="AV28" s="37" t="str">
        <f t="shared" si="312"/>
        <v/>
      </c>
      <c r="AW28" s="34" t="str">
        <f t="shared" si="33"/>
        <v/>
      </c>
      <c r="AX28" s="34"/>
      <c r="AY28" s="23"/>
      <c r="BH28" s="60" t="str" cm="1">
        <f t="array" ref="BH28">IFERROR(EOMONTH(EOMONTH(_xlfn._xlws.FILTER(Table1[Planned Start],(Table1[Category]=$E28)*(Table1[SBU]=$F$5)*(Table1[Execution Year]=$E$5)*(Table1[Most curent]=TRUE)),0)-45,0)+1,"")</f>
        <v/>
      </c>
      <c r="BI28" s="60" t="str" cm="1">
        <f t="array" ref="BI28">IFERROR(EOMONTH(_xlfn._xlws.FILTER(Table1[Planned Award],(Table1[Category]=$E28)*(Table1[SBU]=$F$5)*(Table1[Execution Year]=$E$5)*(Table1[Most curent]=TRUE)),0),"")</f>
        <v/>
      </c>
      <c r="BJ28" s="60" t="str" cm="1">
        <f t="array" ref="BJ28">IFERROR(EOMONTH(EOMONTH(_xlfn._xlws.FILTER(Table1[Current Phase End],(Table1[Category]=$E28)*(Table1[SBU]=$F$5)*(Table1[Execution Year]=$E$5)*(Table1[Most curent]=TRUE)),0)-45,0)+1,"")</f>
        <v/>
      </c>
      <c r="BK28" s="60" t="str" cm="1">
        <f t="array" ref="BK28">IFERROR(EOMONTH(_xlfn._xlws.FILTER(Table1[Revised Award],(Table1[Category]=$E28)*(Table1[SBU]=$F$5)*(Table1[Execution Year]=$E$5)*(Table1[Most curent]=TRUE)),0),"")</f>
        <v/>
      </c>
      <c r="BL28" s="60" t="str">
        <f t="shared" si="262"/>
        <v/>
      </c>
      <c r="BM28" s="60" t="str">
        <f t="shared" si="263"/>
        <v/>
      </c>
    </row>
    <row r="29" spans="2:65" ht="15.6" thickTop="1" thickBot="1">
      <c r="B29" s="123"/>
      <c r="C29" s="71"/>
      <c r="D29" s="125"/>
      <c r="E29" s="35"/>
      <c r="F29" s="35"/>
      <c r="G29" s="35"/>
      <c r="H29" s="36"/>
      <c r="I29" s="36"/>
      <c r="J29" s="35"/>
      <c r="K29" s="71"/>
      <c r="L29" s="71"/>
      <c r="M29" s="71"/>
      <c r="N29" s="34" t="str">
        <f t="shared" si="34"/>
        <v/>
      </c>
      <c r="O29" s="111" t="str">
        <f t="shared" si="35"/>
        <v/>
      </c>
      <c r="P29" s="34" t="str">
        <f t="shared" si="280"/>
        <v/>
      </c>
      <c r="Q29" s="111" t="str">
        <f t="shared" ref="Q29" si="345">P29</f>
        <v/>
      </c>
      <c r="R29" s="34" t="str">
        <f t="shared" si="282"/>
        <v/>
      </c>
      <c r="S29" s="111" t="str">
        <f t="shared" ref="S29" si="346">R29</f>
        <v/>
      </c>
      <c r="T29" s="37" t="str">
        <f t="shared" si="284"/>
        <v/>
      </c>
      <c r="U29" s="111" t="str">
        <f t="shared" ref="U29" si="347">T29</f>
        <v/>
      </c>
      <c r="V29" s="37" t="str">
        <f t="shared" si="286"/>
        <v/>
      </c>
      <c r="W29" s="111" t="str">
        <f t="shared" ref="W29" si="348">V29</f>
        <v/>
      </c>
      <c r="X29" s="37" t="str">
        <f t="shared" si="288"/>
        <v/>
      </c>
      <c r="Y29" s="111" t="str">
        <f t="shared" ref="Y29" si="349">X29</f>
        <v/>
      </c>
      <c r="Z29" s="37" t="str">
        <f t="shared" si="290"/>
        <v/>
      </c>
      <c r="AA29" s="111" t="str">
        <f t="shared" ref="AA29" si="350">Z29</f>
        <v/>
      </c>
      <c r="AB29" s="37" t="str">
        <f t="shared" si="292"/>
        <v/>
      </c>
      <c r="AC29" s="111" t="str">
        <f t="shared" ref="AC29" si="351">AB29</f>
        <v/>
      </c>
      <c r="AD29" s="37" t="str">
        <f t="shared" si="294"/>
        <v/>
      </c>
      <c r="AE29" s="111" t="str">
        <f t="shared" ref="AE29" si="352">AD29</f>
        <v/>
      </c>
      <c r="AF29" s="37" t="str">
        <f t="shared" si="296"/>
        <v/>
      </c>
      <c r="AG29" s="111" t="str">
        <f t="shared" ref="AG29" si="353">AF29</f>
        <v/>
      </c>
      <c r="AH29" s="37" t="str">
        <f t="shared" si="298"/>
        <v/>
      </c>
      <c r="AI29" s="111" t="str">
        <f t="shared" ref="AI29" si="354">AH29</f>
        <v/>
      </c>
      <c r="AJ29" s="37" t="str">
        <f t="shared" si="300"/>
        <v/>
      </c>
      <c r="AK29" s="111" t="str">
        <f t="shared" ref="AK29" si="355">AJ29</f>
        <v/>
      </c>
      <c r="AL29" s="37" t="str">
        <f t="shared" si="302"/>
        <v/>
      </c>
      <c r="AM29" s="111" t="str">
        <f t="shared" ref="AM29" si="356">AL29</f>
        <v/>
      </c>
      <c r="AN29" s="37" t="str">
        <f t="shared" si="304"/>
        <v/>
      </c>
      <c r="AO29" s="111" t="str">
        <f t="shared" ref="AO29" si="357">AN29</f>
        <v/>
      </c>
      <c r="AP29" s="37" t="str">
        <f t="shared" si="306"/>
        <v/>
      </c>
      <c r="AQ29" s="111" t="str">
        <f t="shared" ref="AQ29" si="358">AP29</f>
        <v/>
      </c>
      <c r="AR29" s="37" t="str">
        <f t="shared" si="308"/>
        <v/>
      </c>
      <c r="AS29" s="111" t="str">
        <f t="shared" ref="AS29" si="359">AR29</f>
        <v/>
      </c>
      <c r="AT29" s="37" t="str">
        <f t="shared" si="310"/>
        <v/>
      </c>
      <c r="AU29" s="111" t="str">
        <f t="shared" ref="AU29" si="360">AT29</f>
        <v/>
      </c>
      <c r="AV29" s="37" t="str">
        <f t="shared" si="312"/>
        <v/>
      </c>
      <c r="AW29" s="34" t="str">
        <f t="shared" si="33"/>
        <v/>
      </c>
      <c r="AX29" s="34"/>
      <c r="AY29" s="23"/>
      <c r="BH29" s="60" t="str" cm="1">
        <f t="array" ref="BH29">IFERROR(EOMONTH(EOMONTH(_xlfn._xlws.FILTER(Table1[Planned Start],(Table1[Category]=$E29)*(Table1[SBU]=$F$5)*(Table1[Execution Year]=$E$5)*(Table1[Most curent]=TRUE)),0)-45,0)+1,"")</f>
        <v/>
      </c>
      <c r="BI29" s="60" t="str" cm="1">
        <f t="array" ref="BI29">IFERROR(EOMONTH(_xlfn._xlws.FILTER(Table1[Planned Award],(Table1[Category]=$E29)*(Table1[SBU]=$F$5)*(Table1[Execution Year]=$E$5)*(Table1[Most curent]=TRUE)),0),"")</f>
        <v/>
      </c>
      <c r="BJ29" s="60" t="str" cm="1">
        <f t="array" ref="BJ29">IFERROR(EOMONTH(EOMONTH(_xlfn._xlws.FILTER(Table1[Current Phase End],(Table1[Category]=$E29)*(Table1[SBU]=$F$5)*(Table1[Execution Year]=$E$5)*(Table1[Most curent]=TRUE)),0)-45,0)+1,"")</f>
        <v/>
      </c>
      <c r="BK29" s="60" t="str" cm="1">
        <f t="array" ref="BK29">IFERROR(EOMONTH(_xlfn._xlws.FILTER(Table1[Revised Award],(Table1[Category]=$E29)*(Table1[SBU]=$F$5)*(Table1[Execution Year]=$E$5)*(Table1[Most curent]=TRUE)),0),"")</f>
        <v/>
      </c>
      <c r="BL29" s="60" t="str">
        <f t="shared" si="262"/>
        <v/>
      </c>
      <c r="BM29" s="60" t="str">
        <f t="shared" si="263"/>
        <v/>
      </c>
    </row>
    <row r="30" spans="2:65" ht="15.6" thickTop="1" thickBot="1">
      <c r="B30" s="123"/>
      <c r="C30" s="71"/>
      <c r="D30" s="125"/>
      <c r="E30" s="35"/>
      <c r="F30" s="35"/>
      <c r="G30" s="35"/>
      <c r="H30" s="36"/>
      <c r="I30" s="36"/>
      <c r="J30" s="35"/>
      <c r="K30" s="71"/>
      <c r="L30" s="71"/>
      <c r="M30" s="71"/>
      <c r="N30" s="34" t="str">
        <f t="shared" si="34"/>
        <v/>
      </c>
      <c r="O30" s="111" t="str">
        <f t="shared" si="35"/>
        <v/>
      </c>
      <c r="P30" s="34" t="str">
        <f t="shared" si="280"/>
        <v/>
      </c>
      <c r="Q30" s="111" t="str">
        <f t="shared" ref="Q30" si="361">P30</f>
        <v/>
      </c>
      <c r="R30" s="34" t="str">
        <f t="shared" si="282"/>
        <v/>
      </c>
      <c r="S30" s="111" t="str">
        <f t="shared" ref="S30" si="362">R30</f>
        <v/>
      </c>
      <c r="T30" s="37" t="str">
        <f t="shared" si="284"/>
        <v/>
      </c>
      <c r="U30" s="111" t="str">
        <f t="shared" ref="U30" si="363">T30</f>
        <v/>
      </c>
      <c r="V30" s="37" t="str">
        <f t="shared" si="286"/>
        <v/>
      </c>
      <c r="W30" s="111" t="str">
        <f t="shared" ref="W30" si="364">V30</f>
        <v/>
      </c>
      <c r="X30" s="37" t="str">
        <f t="shared" si="288"/>
        <v/>
      </c>
      <c r="Y30" s="111" t="str">
        <f t="shared" ref="Y30" si="365">X30</f>
        <v/>
      </c>
      <c r="Z30" s="37" t="str">
        <f t="shared" si="290"/>
        <v/>
      </c>
      <c r="AA30" s="111" t="str">
        <f t="shared" ref="AA30" si="366">Z30</f>
        <v/>
      </c>
      <c r="AB30" s="37" t="str">
        <f t="shared" si="292"/>
        <v/>
      </c>
      <c r="AC30" s="111" t="str">
        <f t="shared" ref="AC30" si="367">AB30</f>
        <v/>
      </c>
      <c r="AD30" s="37" t="str">
        <f t="shared" si="294"/>
        <v/>
      </c>
      <c r="AE30" s="111" t="str">
        <f t="shared" ref="AE30" si="368">AD30</f>
        <v/>
      </c>
      <c r="AF30" s="37" t="str">
        <f t="shared" si="296"/>
        <v/>
      </c>
      <c r="AG30" s="111" t="str">
        <f t="shared" ref="AG30" si="369">AF30</f>
        <v/>
      </c>
      <c r="AH30" s="37" t="str">
        <f t="shared" si="298"/>
        <v/>
      </c>
      <c r="AI30" s="111" t="str">
        <f t="shared" ref="AI30" si="370">AH30</f>
        <v/>
      </c>
      <c r="AJ30" s="37" t="str">
        <f t="shared" si="300"/>
        <v/>
      </c>
      <c r="AK30" s="111" t="str">
        <f t="shared" ref="AK30" si="371">AJ30</f>
        <v/>
      </c>
      <c r="AL30" s="37" t="str">
        <f t="shared" si="302"/>
        <v/>
      </c>
      <c r="AM30" s="111" t="str">
        <f t="shared" ref="AM30" si="372">AL30</f>
        <v/>
      </c>
      <c r="AN30" s="37" t="str">
        <f t="shared" si="304"/>
        <v/>
      </c>
      <c r="AO30" s="111" t="str">
        <f t="shared" ref="AO30" si="373">AN30</f>
        <v/>
      </c>
      <c r="AP30" s="37" t="str">
        <f t="shared" si="306"/>
        <v/>
      </c>
      <c r="AQ30" s="111" t="str">
        <f t="shared" ref="AQ30" si="374">AP30</f>
        <v/>
      </c>
      <c r="AR30" s="37" t="str">
        <f t="shared" si="308"/>
        <v/>
      </c>
      <c r="AS30" s="111" t="str">
        <f t="shared" ref="AS30" si="375">AR30</f>
        <v/>
      </c>
      <c r="AT30" s="37" t="str">
        <f t="shared" si="310"/>
        <v/>
      </c>
      <c r="AU30" s="111" t="str">
        <f t="shared" ref="AU30" si="376">AT30</f>
        <v/>
      </c>
      <c r="AV30" s="37" t="str">
        <f t="shared" si="312"/>
        <v/>
      </c>
      <c r="AW30" s="34" t="str">
        <f t="shared" si="33"/>
        <v/>
      </c>
      <c r="AX30" s="34"/>
      <c r="AY30" s="23"/>
      <c r="BH30" s="60" t="str" cm="1">
        <f t="array" ref="BH30">IFERROR(EOMONTH(EOMONTH(_xlfn._xlws.FILTER(Table1[Planned Start],(Table1[Category]=$E30)*(Table1[SBU]=$F$5)*(Table1[Execution Year]=$E$5)*(Table1[Most curent]=TRUE)),0)-45,0)+1,"")</f>
        <v/>
      </c>
      <c r="BI30" s="60" t="str" cm="1">
        <f t="array" ref="BI30">IFERROR(EOMONTH(_xlfn._xlws.FILTER(Table1[Planned Award],(Table1[Category]=$E30)*(Table1[SBU]=$F$5)*(Table1[Execution Year]=$E$5)*(Table1[Most curent]=TRUE)),0),"")</f>
        <v/>
      </c>
      <c r="BJ30" s="60" t="str" cm="1">
        <f t="array" ref="BJ30">IFERROR(EOMONTH(EOMONTH(_xlfn._xlws.FILTER(Table1[Current Phase End],(Table1[Category]=$E30)*(Table1[SBU]=$F$5)*(Table1[Execution Year]=$E$5)*(Table1[Most curent]=TRUE)),0)-45,0)+1,"")</f>
        <v/>
      </c>
      <c r="BK30" s="60" t="str" cm="1">
        <f t="array" ref="BK30">IFERROR(EOMONTH(_xlfn._xlws.FILTER(Table1[Revised Award],(Table1[Category]=$E30)*(Table1[SBU]=$F$5)*(Table1[Execution Year]=$E$5)*(Table1[Most curent]=TRUE)),0),"")</f>
        <v/>
      </c>
      <c r="BL30" s="60" t="str">
        <f t="shared" si="262"/>
        <v/>
      </c>
      <c r="BM30" s="60" t="str">
        <f t="shared" si="263"/>
        <v/>
      </c>
    </row>
    <row r="31" spans="2:65" ht="15.6" thickTop="1" thickBot="1">
      <c r="B31" s="123"/>
      <c r="C31" s="71"/>
      <c r="D31" s="125"/>
      <c r="E31" s="35"/>
      <c r="F31" s="35"/>
      <c r="G31" s="35"/>
      <c r="H31" s="36"/>
      <c r="I31" s="36"/>
      <c r="J31" s="35"/>
      <c r="K31" s="71"/>
      <c r="L31" s="71"/>
      <c r="M31" s="71"/>
      <c r="N31" s="34" t="str">
        <f t="shared" si="34"/>
        <v/>
      </c>
      <c r="O31" s="111" t="str">
        <f t="shared" si="35"/>
        <v/>
      </c>
      <c r="P31" s="34" t="str">
        <f t="shared" si="280"/>
        <v/>
      </c>
      <c r="Q31" s="111" t="str">
        <f t="shared" ref="Q31" si="377">P31</f>
        <v/>
      </c>
      <c r="R31" s="34" t="str">
        <f t="shared" si="282"/>
        <v/>
      </c>
      <c r="S31" s="111" t="str">
        <f t="shared" ref="S31" si="378">R31</f>
        <v/>
      </c>
      <c r="T31" s="37" t="str">
        <f t="shared" si="284"/>
        <v/>
      </c>
      <c r="U31" s="111" t="str">
        <f t="shared" ref="U31" si="379">T31</f>
        <v/>
      </c>
      <c r="V31" s="37" t="str">
        <f t="shared" si="286"/>
        <v/>
      </c>
      <c r="W31" s="111" t="str">
        <f t="shared" ref="W31" si="380">V31</f>
        <v/>
      </c>
      <c r="X31" s="37" t="str">
        <f t="shared" si="288"/>
        <v/>
      </c>
      <c r="Y31" s="111" t="str">
        <f t="shared" ref="Y31" si="381">X31</f>
        <v/>
      </c>
      <c r="Z31" s="37" t="str">
        <f t="shared" si="290"/>
        <v/>
      </c>
      <c r="AA31" s="111" t="str">
        <f t="shared" ref="AA31" si="382">Z31</f>
        <v/>
      </c>
      <c r="AB31" s="37" t="str">
        <f t="shared" si="292"/>
        <v/>
      </c>
      <c r="AC31" s="111" t="str">
        <f t="shared" ref="AC31" si="383">AB31</f>
        <v/>
      </c>
      <c r="AD31" s="37" t="str">
        <f t="shared" si="294"/>
        <v/>
      </c>
      <c r="AE31" s="111" t="str">
        <f t="shared" ref="AE31" si="384">AD31</f>
        <v/>
      </c>
      <c r="AF31" s="37" t="str">
        <f t="shared" si="296"/>
        <v/>
      </c>
      <c r="AG31" s="111" t="str">
        <f t="shared" ref="AG31" si="385">AF31</f>
        <v/>
      </c>
      <c r="AH31" s="37" t="str">
        <f t="shared" si="298"/>
        <v/>
      </c>
      <c r="AI31" s="111" t="str">
        <f t="shared" ref="AI31" si="386">AH31</f>
        <v/>
      </c>
      <c r="AJ31" s="37" t="str">
        <f t="shared" si="300"/>
        <v/>
      </c>
      <c r="AK31" s="111" t="str">
        <f t="shared" ref="AK31" si="387">AJ31</f>
        <v/>
      </c>
      <c r="AL31" s="37" t="str">
        <f t="shared" si="302"/>
        <v/>
      </c>
      <c r="AM31" s="111" t="str">
        <f t="shared" ref="AM31" si="388">AL31</f>
        <v/>
      </c>
      <c r="AN31" s="37" t="str">
        <f t="shared" si="304"/>
        <v/>
      </c>
      <c r="AO31" s="111" t="str">
        <f t="shared" ref="AO31" si="389">AN31</f>
        <v/>
      </c>
      <c r="AP31" s="37" t="str">
        <f t="shared" si="306"/>
        <v/>
      </c>
      <c r="AQ31" s="111" t="str">
        <f t="shared" ref="AQ31" si="390">AP31</f>
        <v/>
      </c>
      <c r="AR31" s="37" t="str">
        <f t="shared" si="308"/>
        <v/>
      </c>
      <c r="AS31" s="111" t="str">
        <f t="shared" ref="AS31" si="391">AR31</f>
        <v/>
      </c>
      <c r="AT31" s="37" t="str">
        <f t="shared" si="310"/>
        <v/>
      </c>
      <c r="AU31" s="111" t="str">
        <f t="shared" ref="AU31" si="392">AT31</f>
        <v/>
      </c>
      <c r="AV31" s="37" t="str">
        <f t="shared" si="312"/>
        <v/>
      </c>
      <c r="AW31" s="34" t="str">
        <f t="shared" si="33"/>
        <v/>
      </c>
      <c r="AX31" s="34"/>
      <c r="AY31" s="23"/>
      <c r="BH31" s="60" t="str" cm="1">
        <f t="array" ref="BH31">IFERROR(EOMONTH(EOMONTH(_xlfn._xlws.FILTER(Table1[Planned Start],(Table1[Category]=$E31)*(Table1[SBU]=$F$5)*(Table1[Execution Year]=$E$5)*(Table1[Most curent]=TRUE)),0)-45,0)+1,"")</f>
        <v/>
      </c>
      <c r="BI31" s="60" t="str" cm="1">
        <f t="array" ref="BI31">IFERROR(EOMONTH(_xlfn._xlws.FILTER(Table1[Planned Award],(Table1[Category]=$E31)*(Table1[SBU]=$F$5)*(Table1[Execution Year]=$E$5)*(Table1[Most curent]=TRUE)),0),"")</f>
        <v/>
      </c>
      <c r="BJ31" s="60" t="str" cm="1">
        <f t="array" ref="BJ31">IFERROR(EOMONTH(EOMONTH(_xlfn._xlws.FILTER(Table1[Current Phase End],(Table1[Category]=$E31)*(Table1[SBU]=$F$5)*(Table1[Execution Year]=$E$5)*(Table1[Most curent]=TRUE)),0)-45,0)+1,"")</f>
        <v/>
      </c>
      <c r="BK31" s="60" t="str" cm="1">
        <f t="array" ref="BK31">IFERROR(EOMONTH(_xlfn._xlws.FILTER(Table1[Revised Award],(Table1[Category]=$E31)*(Table1[SBU]=$F$5)*(Table1[Execution Year]=$E$5)*(Table1[Most curent]=TRUE)),0),"")</f>
        <v/>
      </c>
      <c r="BL31" s="60" t="str">
        <f t="shared" si="262"/>
        <v/>
      </c>
      <c r="BM31" s="60" t="str">
        <f t="shared" si="263"/>
        <v/>
      </c>
    </row>
    <row r="32" spans="2:65" ht="15.6" thickTop="1" thickBot="1">
      <c r="B32" s="123"/>
      <c r="C32" s="71"/>
      <c r="D32" s="125"/>
      <c r="E32" s="35"/>
      <c r="F32" s="35"/>
      <c r="G32" s="35"/>
      <c r="H32" s="36"/>
      <c r="I32" s="36"/>
      <c r="J32" s="35"/>
      <c r="K32" s="71"/>
      <c r="L32" s="71"/>
      <c r="M32" s="71"/>
      <c r="N32" s="34" t="str">
        <f t="shared" si="34"/>
        <v/>
      </c>
      <c r="O32" s="111" t="str">
        <f t="shared" si="35"/>
        <v/>
      </c>
      <c r="P32" s="34" t="str">
        <f t="shared" si="280"/>
        <v/>
      </c>
      <c r="Q32" s="111" t="str">
        <f t="shared" ref="Q32" si="393">P32</f>
        <v/>
      </c>
      <c r="R32" s="34" t="str">
        <f t="shared" si="282"/>
        <v/>
      </c>
      <c r="S32" s="111" t="str">
        <f t="shared" ref="S32" si="394">R32</f>
        <v/>
      </c>
      <c r="T32" s="37" t="str">
        <f t="shared" si="284"/>
        <v/>
      </c>
      <c r="U32" s="111" t="str">
        <f t="shared" ref="U32" si="395">T32</f>
        <v/>
      </c>
      <c r="V32" s="37" t="str">
        <f t="shared" si="286"/>
        <v/>
      </c>
      <c r="W32" s="111" t="str">
        <f t="shared" ref="W32" si="396">V32</f>
        <v/>
      </c>
      <c r="X32" s="37" t="str">
        <f t="shared" si="288"/>
        <v/>
      </c>
      <c r="Y32" s="111" t="str">
        <f t="shared" ref="Y32" si="397">X32</f>
        <v/>
      </c>
      <c r="Z32" s="37" t="str">
        <f t="shared" si="290"/>
        <v/>
      </c>
      <c r="AA32" s="111" t="str">
        <f t="shared" ref="AA32" si="398">Z32</f>
        <v/>
      </c>
      <c r="AB32" s="37" t="str">
        <f t="shared" si="292"/>
        <v/>
      </c>
      <c r="AC32" s="111" t="str">
        <f t="shared" ref="AC32" si="399">AB32</f>
        <v/>
      </c>
      <c r="AD32" s="37" t="str">
        <f t="shared" si="294"/>
        <v/>
      </c>
      <c r="AE32" s="111" t="str">
        <f t="shared" ref="AE32" si="400">AD32</f>
        <v/>
      </c>
      <c r="AF32" s="37" t="str">
        <f t="shared" si="296"/>
        <v/>
      </c>
      <c r="AG32" s="111" t="str">
        <f t="shared" ref="AG32" si="401">AF32</f>
        <v/>
      </c>
      <c r="AH32" s="37" t="str">
        <f t="shared" si="298"/>
        <v/>
      </c>
      <c r="AI32" s="111" t="str">
        <f t="shared" ref="AI32" si="402">AH32</f>
        <v/>
      </c>
      <c r="AJ32" s="37" t="str">
        <f t="shared" si="300"/>
        <v/>
      </c>
      <c r="AK32" s="111" t="str">
        <f t="shared" ref="AK32" si="403">AJ32</f>
        <v/>
      </c>
      <c r="AL32" s="37" t="str">
        <f t="shared" si="302"/>
        <v/>
      </c>
      <c r="AM32" s="111" t="str">
        <f t="shared" ref="AM32" si="404">AL32</f>
        <v/>
      </c>
      <c r="AN32" s="37" t="str">
        <f t="shared" si="304"/>
        <v/>
      </c>
      <c r="AO32" s="111" t="str">
        <f t="shared" ref="AO32" si="405">AN32</f>
        <v/>
      </c>
      <c r="AP32" s="37" t="str">
        <f t="shared" si="306"/>
        <v/>
      </c>
      <c r="AQ32" s="111" t="str">
        <f t="shared" ref="AQ32" si="406">AP32</f>
        <v/>
      </c>
      <c r="AR32" s="37" t="str">
        <f t="shared" si="308"/>
        <v/>
      </c>
      <c r="AS32" s="111" t="str">
        <f t="shared" ref="AS32" si="407">AR32</f>
        <v/>
      </c>
      <c r="AT32" s="37" t="str">
        <f t="shared" si="310"/>
        <v/>
      </c>
      <c r="AU32" s="111" t="str">
        <f t="shared" ref="AU32" si="408">AT32</f>
        <v/>
      </c>
      <c r="AV32" s="37" t="str">
        <f t="shared" si="312"/>
        <v/>
      </c>
      <c r="AW32" s="34" t="str">
        <f t="shared" si="33"/>
        <v/>
      </c>
      <c r="AX32" s="34"/>
      <c r="AY32" s="23"/>
      <c r="BH32" s="60" t="str" cm="1">
        <f t="array" ref="BH32">IFERROR(EOMONTH(EOMONTH(_xlfn._xlws.FILTER(Table1[Planned Start],(Table1[Category]=$E32)*(Table1[SBU]=$F$5)*(Table1[Execution Year]=$E$5)*(Table1[Most curent]=TRUE)),0)-45,0)+1,"")</f>
        <v/>
      </c>
      <c r="BI32" s="60" t="str" cm="1">
        <f t="array" ref="BI32">IFERROR(EOMONTH(_xlfn._xlws.FILTER(Table1[Planned Award],(Table1[Category]=$E32)*(Table1[SBU]=$F$5)*(Table1[Execution Year]=$E$5)*(Table1[Most curent]=TRUE)),0),"")</f>
        <v/>
      </c>
      <c r="BJ32" s="60" t="str" cm="1">
        <f t="array" ref="BJ32">IFERROR(EOMONTH(EOMONTH(_xlfn._xlws.FILTER(Table1[Current Phase End],(Table1[Category]=$E32)*(Table1[SBU]=$F$5)*(Table1[Execution Year]=$E$5)*(Table1[Most curent]=TRUE)),0)-45,0)+1,"")</f>
        <v/>
      </c>
      <c r="BK32" s="60" t="str" cm="1">
        <f t="array" ref="BK32">IFERROR(EOMONTH(_xlfn._xlws.FILTER(Table1[Revised Award],(Table1[Category]=$E32)*(Table1[SBU]=$F$5)*(Table1[Execution Year]=$E$5)*(Table1[Most curent]=TRUE)),0),"")</f>
        <v/>
      </c>
      <c r="BL32" s="60" t="str">
        <f t="shared" si="262"/>
        <v/>
      </c>
      <c r="BM32" s="60" t="str">
        <f t="shared" si="263"/>
        <v/>
      </c>
    </row>
    <row r="33" spans="2:65" ht="15.6" thickTop="1" thickBot="1">
      <c r="B33" s="123"/>
      <c r="C33" s="71"/>
      <c r="D33" s="125"/>
      <c r="E33" s="35"/>
      <c r="F33" s="35"/>
      <c r="G33" s="35"/>
      <c r="H33" s="36"/>
      <c r="I33" s="36"/>
      <c r="J33" s="35"/>
      <c r="K33" s="71"/>
      <c r="L33" s="71"/>
      <c r="M33" s="71"/>
      <c r="N33" s="34" t="str">
        <f t="shared" si="34"/>
        <v/>
      </c>
      <c r="O33" s="111" t="str">
        <f t="shared" si="35"/>
        <v/>
      </c>
      <c r="P33" s="34" t="str">
        <f t="shared" si="280"/>
        <v/>
      </c>
      <c r="Q33" s="111" t="str">
        <f t="shared" ref="Q33" si="409">P33</f>
        <v/>
      </c>
      <c r="R33" s="34" t="str">
        <f t="shared" si="282"/>
        <v/>
      </c>
      <c r="S33" s="111" t="str">
        <f t="shared" ref="S33" si="410">R33</f>
        <v/>
      </c>
      <c r="T33" s="37" t="str">
        <f t="shared" si="284"/>
        <v/>
      </c>
      <c r="U33" s="111" t="str">
        <f t="shared" ref="U33" si="411">T33</f>
        <v/>
      </c>
      <c r="V33" s="37" t="str">
        <f t="shared" si="286"/>
        <v/>
      </c>
      <c r="W33" s="111" t="str">
        <f t="shared" ref="W33" si="412">V33</f>
        <v/>
      </c>
      <c r="X33" s="37" t="str">
        <f t="shared" si="288"/>
        <v/>
      </c>
      <c r="Y33" s="111" t="str">
        <f t="shared" ref="Y33" si="413">X33</f>
        <v/>
      </c>
      <c r="Z33" s="37" t="str">
        <f t="shared" si="290"/>
        <v/>
      </c>
      <c r="AA33" s="111" t="str">
        <f t="shared" ref="AA33" si="414">Z33</f>
        <v/>
      </c>
      <c r="AB33" s="37" t="str">
        <f t="shared" si="292"/>
        <v/>
      </c>
      <c r="AC33" s="111" t="str">
        <f t="shared" ref="AC33" si="415">AB33</f>
        <v/>
      </c>
      <c r="AD33" s="37" t="str">
        <f t="shared" si="294"/>
        <v/>
      </c>
      <c r="AE33" s="111" t="str">
        <f t="shared" ref="AE33" si="416">AD33</f>
        <v/>
      </c>
      <c r="AF33" s="37" t="str">
        <f t="shared" si="296"/>
        <v/>
      </c>
      <c r="AG33" s="111" t="str">
        <f t="shared" ref="AG33" si="417">AF33</f>
        <v/>
      </c>
      <c r="AH33" s="37" t="str">
        <f t="shared" si="298"/>
        <v/>
      </c>
      <c r="AI33" s="111" t="str">
        <f t="shared" ref="AI33" si="418">AH33</f>
        <v/>
      </c>
      <c r="AJ33" s="37" t="str">
        <f t="shared" si="300"/>
        <v/>
      </c>
      <c r="AK33" s="111" t="str">
        <f t="shared" ref="AK33" si="419">AJ33</f>
        <v/>
      </c>
      <c r="AL33" s="37" t="str">
        <f t="shared" si="302"/>
        <v/>
      </c>
      <c r="AM33" s="111" t="str">
        <f t="shared" ref="AM33" si="420">AL33</f>
        <v/>
      </c>
      <c r="AN33" s="37" t="str">
        <f t="shared" si="304"/>
        <v/>
      </c>
      <c r="AO33" s="111" t="str">
        <f t="shared" ref="AO33" si="421">AN33</f>
        <v/>
      </c>
      <c r="AP33" s="37" t="str">
        <f t="shared" si="306"/>
        <v/>
      </c>
      <c r="AQ33" s="111" t="str">
        <f t="shared" ref="AQ33" si="422">AP33</f>
        <v/>
      </c>
      <c r="AR33" s="37" t="str">
        <f t="shared" si="308"/>
        <v/>
      </c>
      <c r="AS33" s="111" t="str">
        <f t="shared" ref="AS33" si="423">AR33</f>
        <v/>
      </c>
      <c r="AT33" s="37" t="str">
        <f t="shared" si="310"/>
        <v/>
      </c>
      <c r="AU33" s="111" t="str">
        <f t="shared" ref="AU33" si="424">AT33</f>
        <v/>
      </c>
      <c r="AV33" s="37" t="str">
        <f t="shared" si="312"/>
        <v/>
      </c>
      <c r="AW33" s="34" t="str">
        <f t="shared" si="33"/>
        <v/>
      </c>
      <c r="AX33" s="34"/>
      <c r="AY33" s="23"/>
      <c r="BH33" s="60" t="str" cm="1">
        <f t="array" ref="BH33">IFERROR(EOMONTH(EOMONTH(_xlfn._xlws.FILTER(Table1[Planned Start],(Table1[Category]=$E33)*(Table1[SBU]=$F$5)*(Table1[Execution Year]=$E$5)*(Table1[Most curent]=TRUE)),0)-45,0)+1,"")</f>
        <v/>
      </c>
      <c r="BI33" s="60" t="str" cm="1">
        <f t="array" ref="BI33">IFERROR(EOMONTH(_xlfn._xlws.FILTER(Table1[Planned Award],(Table1[Category]=$E33)*(Table1[SBU]=$F$5)*(Table1[Execution Year]=$E$5)*(Table1[Most curent]=TRUE)),0),"")</f>
        <v/>
      </c>
      <c r="BJ33" s="60" t="str" cm="1">
        <f t="array" ref="BJ33">IFERROR(EOMONTH(EOMONTH(_xlfn._xlws.FILTER(Table1[Current Phase End],(Table1[Category]=$E33)*(Table1[SBU]=$F$5)*(Table1[Execution Year]=$E$5)*(Table1[Most curent]=TRUE)),0)-45,0)+1,"")</f>
        <v/>
      </c>
      <c r="BK33" s="60" t="str" cm="1">
        <f t="array" ref="BK33">IFERROR(EOMONTH(_xlfn._xlws.FILTER(Table1[Revised Award],(Table1[Category]=$E33)*(Table1[SBU]=$F$5)*(Table1[Execution Year]=$E$5)*(Table1[Most curent]=TRUE)),0),"")</f>
        <v/>
      </c>
      <c r="BL33" s="60" t="str">
        <f t="shared" si="262"/>
        <v/>
      </c>
      <c r="BM33" s="60" t="str">
        <f t="shared" si="263"/>
        <v/>
      </c>
    </row>
    <row r="34" spans="2:65" ht="15.6" thickTop="1" thickBot="1">
      <c r="B34" s="123"/>
      <c r="C34" s="71"/>
      <c r="D34" s="125"/>
      <c r="E34" s="35"/>
      <c r="F34" s="35"/>
      <c r="G34" s="35"/>
      <c r="H34" s="36"/>
      <c r="I34" s="36"/>
      <c r="J34" s="35"/>
      <c r="K34" s="71"/>
      <c r="L34" s="71"/>
      <c r="M34" s="71"/>
      <c r="N34" s="34" t="str">
        <f t="shared" si="34"/>
        <v/>
      </c>
      <c r="O34" s="111" t="str">
        <f t="shared" si="35"/>
        <v/>
      </c>
      <c r="P34" s="34" t="str">
        <f t="shared" si="280"/>
        <v/>
      </c>
      <c r="Q34" s="111" t="str">
        <f t="shared" ref="Q34" si="425">P34</f>
        <v/>
      </c>
      <c r="R34" s="34" t="str">
        <f t="shared" si="282"/>
        <v/>
      </c>
      <c r="S34" s="111" t="str">
        <f t="shared" ref="S34" si="426">R34</f>
        <v/>
      </c>
      <c r="T34" s="37" t="str">
        <f t="shared" si="284"/>
        <v/>
      </c>
      <c r="U34" s="111" t="str">
        <f t="shared" ref="U34" si="427">T34</f>
        <v/>
      </c>
      <c r="V34" s="37" t="str">
        <f t="shared" si="286"/>
        <v/>
      </c>
      <c r="W34" s="111" t="str">
        <f t="shared" ref="W34" si="428">V34</f>
        <v/>
      </c>
      <c r="X34" s="37" t="str">
        <f t="shared" si="288"/>
        <v/>
      </c>
      <c r="Y34" s="111" t="str">
        <f t="shared" ref="Y34" si="429">X34</f>
        <v/>
      </c>
      <c r="Z34" s="37" t="str">
        <f t="shared" si="290"/>
        <v/>
      </c>
      <c r="AA34" s="111" t="str">
        <f t="shared" ref="AA34" si="430">Z34</f>
        <v/>
      </c>
      <c r="AB34" s="37" t="str">
        <f t="shared" si="292"/>
        <v/>
      </c>
      <c r="AC34" s="111" t="str">
        <f t="shared" ref="AC34" si="431">AB34</f>
        <v/>
      </c>
      <c r="AD34" s="37" t="str">
        <f t="shared" si="294"/>
        <v/>
      </c>
      <c r="AE34" s="111" t="str">
        <f t="shared" ref="AE34" si="432">AD34</f>
        <v/>
      </c>
      <c r="AF34" s="37" t="str">
        <f t="shared" si="296"/>
        <v/>
      </c>
      <c r="AG34" s="111" t="str">
        <f t="shared" ref="AG34" si="433">AF34</f>
        <v/>
      </c>
      <c r="AH34" s="37" t="str">
        <f t="shared" si="298"/>
        <v/>
      </c>
      <c r="AI34" s="111" t="str">
        <f t="shared" ref="AI34" si="434">AH34</f>
        <v/>
      </c>
      <c r="AJ34" s="37" t="str">
        <f t="shared" si="300"/>
        <v/>
      </c>
      <c r="AK34" s="111" t="str">
        <f t="shared" ref="AK34" si="435">AJ34</f>
        <v/>
      </c>
      <c r="AL34" s="37" t="str">
        <f t="shared" si="302"/>
        <v/>
      </c>
      <c r="AM34" s="111" t="str">
        <f t="shared" ref="AM34" si="436">AL34</f>
        <v/>
      </c>
      <c r="AN34" s="37" t="str">
        <f t="shared" si="304"/>
        <v/>
      </c>
      <c r="AO34" s="111" t="str">
        <f t="shared" ref="AO34" si="437">AN34</f>
        <v/>
      </c>
      <c r="AP34" s="37" t="str">
        <f t="shared" si="306"/>
        <v/>
      </c>
      <c r="AQ34" s="111" t="str">
        <f t="shared" ref="AQ34" si="438">AP34</f>
        <v/>
      </c>
      <c r="AR34" s="37" t="str">
        <f t="shared" si="308"/>
        <v/>
      </c>
      <c r="AS34" s="111" t="str">
        <f t="shared" ref="AS34" si="439">AR34</f>
        <v/>
      </c>
      <c r="AT34" s="37" t="str">
        <f t="shared" si="310"/>
        <v/>
      </c>
      <c r="AU34" s="111" t="str">
        <f t="shared" ref="AU34" si="440">AT34</f>
        <v/>
      </c>
      <c r="AV34" s="37" t="str">
        <f t="shared" si="312"/>
        <v/>
      </c>
      <c r="AW34" s="34" t="str">
        <f t="shared" si="33"/>
        <v/>
      </c>
      <c r="AX34" s="34"/>
      <c r="AY34" s="23"/>
      <c r="BH34" s="60" t="str" cm="1">
        <f t="array" ref="BH34">IFERROR(EOMONTH(EOMONTH(_xlfn._xlws.FILTER(Table1[Planned Start],(Table1[Category]=$E34)*(Table1[SBU]=$F$5)*(Table1[Execution Year]=$E$5)*(Table1[Most curent]=TRUE)),0)-45,0)+1,"")</f>
        <v/>
      </c>
      <c r="BI34" s="60" t="str" cm="1">
        <f t="array" ref="BI34">IFERROR(EOMONTH(_xlfn._xlws.FILTER(Table1[Planned Award],(Table1[Category]=$E34)*(Table1[SBU]=$F$5)*(Table1[Execution Year]=$E$5)*(Table1[Most curent]=TRUE)),0),"")</f>
        <v/>
      </c>
      <c r="BJ34" s="60" t="str" cm="1">
        <f t="array" ref="BJ34">IFERROR(EOMONTH(EOMONTH(_xlfn._xlws.FILTER(Table1[Current Phase End],(Table1[Category]=$E34)*(Table1[SBU]=$F$5)*(Table1[Execution Year]=$E$5)*(Table1[Most curent]=TRUE)),0)-45,0)+1,"")</f>
        <v/>
      </c>
      <c r="BK34" s="60" t="str" cm="1">
        <f t="array" ref="BK34">IFERROR(EOMONTH(_xlfn._xlws.FILTER(Table1[Revised Award],(Table1[Category]=$E34)*(Table1[SBU]=$F$5)*(Table1[Execution Year]=$E$5)*(Table1[Most curent]=TRUE)),0),"")</f>
        <v/>
      </c>
      <c r="BL34" s="60" t="str">
        <f t="shared" si="262"/>
        <v/>
      </c>
      <c r="BM34" s="60" t="str">
        <f t="shared" si="263"/>
        <v/>
      </c>
    </row>
    <row r="35" spans="2:65" ht="15.6" thickTop="1" thickBot="1">
      <c r="B35" s="123"/>
      <c r="C35" s="71"/>
      <c r="D35" s="125"/>
      <c r="E35" s="35"/>
      <c r="F35" s="35"/>
      <c r="G35" s="35"/>
      <c r="H35" s="36"/>
      <c r="I35" s="36"/>
      <c r="J35" s="35"/>
      <c r="K35" s="71"/>
      <c r="L35" s="71"/>
      <c r="M35" s="71"/>
      <c r="N35" s="34" t="str">
        <f t="shared" si="34"/>
        <v/>
      </c>
      <c r="O35" s="111" t="str">
        <f t="shared" si="35"/>
        <v/>
      </c>
      <c r="P35" s="34" t="str">
        <f t="shared" si="280"/>
        <v/>
      </c>
      <c r="Q35" s="111" t="str">
        <f t="shared" ref="Q35" si="441">P35</f>
        <v/>
      </c>
      <c r="R35" s="34" t="str">
        <f t="shared" si="282"/>
        <v/>
      </c>
      <c r="S35" s="111" t="str">
        <f t="shared" ref="S35" si="442">R35</f>
        <v/>
      </c>
      <c r="T35" s="37" t="str">
        <f t="shared" si="284"/>
        <v/>
      </c>
      <c r="U35" s="111" t="str">
        <f t="shared" ref="U35" si="443">T35</f>
        <v/>
      </c>
      <c r="V35" s="37" t="str">
        <f t="shared" si="286"/>
        <v/>
      </c>
      <c r="W35" s="111" t="str">
        <f t="shared" ref="W35" si="444">V35</f>
        <v/>
      </c>
      <c r="X35" s="37" t="str">
        <f t="shared" si="288"/>
        <v/>
      </c>
      <c r="Y35" s="111" t="str">
        <f t="shared" ref="Y35" si="445">X35</f>
        <v/>
      </c>
      <c r="Z35" s="37" t="str">
        <f t="shared" si="290"/>
        <v/>
      </c>
      <c r="AA35" s="111" t="str">
        <f t="shared" ref="AA35" si="446">Z35</f>
        <v/>
      </c>
      <c r="AB35" s="37" t="str">
        <f t="shared" si="292"/>
        <v/>
      </c>
      <c r="AC35" s="111" t="str">
        <f t="shared" ref="AC35" si="447">AB35</f>
        <v/>
      </c>
      <c r="AD35" s="37" t="str">
        <f t="shared" si="294"/>
        <v/>
      </c>
      <c r="AE35" s="111" t="str">
        <f t="shared" ref="AE35" si="448">AD35</f>
        <v/>
      </c>
      <c r="AF35" s="37" t="str">
        <f t="shared" si="296"/>
        <v/>
      </c>
      <c r="AG35" s="111" t="str">
        <f t="shared" ref="AG35" si="449">AF35</f>
        <v/>
      </c>
      <c r="AH35" s="37" t="str">
        <f t="shared" si="298"/>
        <v/>
      </c>
      <c r="AI35" s="111" t="str">
        <f t="shared" ref="AI35" si="450">AH35</f>
        <v/>
      </c>
      <c r="AJ35" s="37" t="str">
        <f t="shared" si="300"/>
        <v/>
      </c>
      <c r="AK35" s="111" t="str">
        <f t="shared" ref="AK35" si="451">AJ35</f>
        <v/>
      </c>
      <c r="AL35" s="37" t="str">
        <f t="shared" si="302"/>
        <v/>
      </c>
      <c r="AM35" s="111" t="str">
        <f t="shared" ref="AM35" si="452">AL35</f>
        <v/>
      </c>
      <c r="AN35" s="37" t="str">
        <f t="shared" si="304"/>
        <v/>
      </c>
      <c r="AO35" s="111" t="str">
        <f t="shared" ref="AO35" si="453">AN35</f>
        <v/>
      </c>
      <c r="AP35" s="37" t="str">
        <f t="shared" si="306"/>
        <v/>
      </c>
      <c r="AQ35" s="111" t="str">
        <f t="shared" ref="AQ35" si="454">AP35</f>
        <v/>
      </c>
      <c r="AR35" s="37" t="str">
        <f t="shared" si="308"/>
        <v/>
      </c>
      <c r="AS35" s="111" t="str">
        <f t="shared" ref="AS35" si="455">AR35</f>
        <v/>
      </c>
      <c r="AT35" s="37" t="str">
        <f t="shared" si="310"/>
        <v/>
      </c>
      <c r="AU35" s="111" t="str">
        <f t="shared" ref="AU35" si="456">AT35</f>
        <v/>
      </c>
      <c r="AV35" s="37" t="str">
        <f t="shared" si="312"/>
        <v/>
      </c>
      <c r="AW35" s="34" t="str">
        <f t="shared" si="33"/>
        <v/>
      </c>
      <c r="AX35" s="34"/>
      <c r="AY35" s="23"/>
      <c r="BH35" s="60" t="str" cm="1">
        <f t="array" ref="BH35">IFERROR(EOMONTH(EOMONTH(_xlfn._xlws.FILTER(Table1[Planned Start],(Table1[Category]=$E35)*(Table1[SBU]=$F$5)*(Table1[Execution Year]=$E$5)*(Table1[Most curent]=TRUE)),0)-45,0)+1,"")</f>
        <v/>
      </c>
      <c r="BI35" s="60" t="str" cm="1">
        <f t="array" ref="BI35">IFERROR(EOMONTH(_xlfn._xlws.FILTER(Table1[Planned Award],(Table1[Category]=$E35)*(Table1[SBU]=$F$5)*(Table1[Execution Year]=$E$5)*(Table1[Most curent]=TRUE)),0),"")</f>
        <v/>
      </c>
      <c r="BJ35" s="60" t="str" cm="1">
        <f t="array" ref="BJ35">IFERROR(EOMONTH(EOMONTH(_xlfn._xlws.FILTER(Table1[Current Phase End],(Table1[Category]=$E35)*(Table1[SBU]=$F$5)*(Table1[Execution Year]=$E$5)*(Table1[Most curent]=TRUE)),0)-45,0)+1,"")</f>
        <v/>
      </c>
      <c r="BK35" s="60" t="str" cm="1">
        <f t="array" ref="BK35">IFERROR(EOMONTH(_xlfn._xlws.FILTER(Table1[Revised Award],(Table1[Category]=$E35)*(Table1[SBU]=$F$5)*(Table1[Execution Year]=$E$5)*(Table1[Most curent]=TRUE)),0),"")</f>
        <v/>
      </c>
      <c r="BL35" s="60" t="str">
        <f t="shared" si="262"/>
        <v/>
      </c>
      <c r="BM35" s="60" t="str">
        <f t="shared" si="263"/>
        <v/>
      </c>
    </row>
    <row r="36" spans="2:65" ht="15.6" thickTop="1" thickBot="1">
      <c r="B36" s="123"/>
      <c r="C36" s="71"/>
      <c r="D36" s="125"/>
      <c r="E36" s="35"/>
      <c r="F36" s="35"/>
      <c r="G36" s="35"/>
      <c r="H36" s="36"/>
      <c r="I36" s="36"/>
      <c r="J36" s="35"/>
      <c r="K36" s="71"/>
      <c r="L36" s="71"/>
      <c r="M36" s="71"/>
      <c r="N36" s="34" t="str">
        <f t="shared" si="34"/>
        <v/>
      </c>
      <c r="O36" s="111" t="str">
        <f t="shared" si="35"/>
        <v/>
      </c>
      <c r="P36" s="34" t="str">
        <f t="shared" si="280"/>
        <v/>
      </c>
      <c r="Q36" s="111" t="str">
        <f t="shared" ref="Q36" si="457">P36</f>
        <v/>
      </c>
      <c r="R36" s="34" t="str">
        <f t="shared" si="282"/>
        <v/>
      </c>
      <c r="S36" s="111" t="str">
        <f t="shared" ref="S36" si="458">R36</f>
        <v/>
      </c>
      <c r="T36" s="37" t="str">
        <f t="shared" si="284"/>
        <v/>
      </c>
      <c r="U36" s="111" t="str">
        <f t="shared" ref="U36" si="459">T36</f>
        <v/>
      </c>
      <c r="V36" s="37" t="str">
        <f t="shared" si="286"/>
        <v/>
      </c>
      <c r="W36" s="111" t="str">
        <f t="shared" ref="W36" si="460">V36</f>
        <v/>
      </c>
      <c r="X36" s="37" t="str">
        <f t="shared" si="288"/>
        <v/>
      </c>
      <c r="Y36" s="111" t="str">
        <f t="shared" ref="Y36" si="461">X36</f>
        <v/>
      </c>
      <c r="Z36" s="37" t="str">
        <f t="shared" si="290"/>
        <v/>
      </c>
      <c r="AA36" s="111" t="str">
        <f t="shared" ref="AA36" si="462">Z36</f>
        <v/>
      </c>
      <c r="AB36" s="37" t="str">
        <f t="shared" si="292"/>
        <v/>
      </c>
      <c r="AC36" s="111" t="str">
        <f t="shared" ref="AC36" si="463">AB36</f>
        <v/>
      </c>
      <c r="AD36" s="37" t="str">
        <f t="shared" si="294"/>
        <v/>
      </c>
      <c r="AE36" s="111" t="str">
        <f t="shared" ref="AE36" si="464">AD36</f>
        <v/>
      </c>
      <c r="AF36" s="37" t="str">
        <f t="shared" si="296"/>
        <v/>
      </c>
      <c r="AG36" s="111" t="str">
        <f t="shared" ref="AG36" si="465">AF36</f>
        <v/>
      </c>
      <c r="AH36" s="37" t="str">
        <f t="shared" si="298"/>
        <v/>
      </c>
      <c r="AI36" s="111" t="str">
        <f t="shared" ref="AI36" si="466">AH36</f>
        <v/>
      </c>
      <c r="AJ36" s="37" t="str">
        <f t="shared" si="300"/>
        <v/>
      </c>
      <c r="AK36" s="111" t="str">
        <f t="shared" ref="AK36" si="467">AJ36</f>
        <v/>
      </c>
      <c r="AL36" s="37" t="str">
        <f t="shared" si="302"/>
        <v/>
      </c>
      <c r="AM36" s="111" t="str">
        <f t="shared" ref="AM36" si="468">AL36</f>
        <v/>
      </c>
      <c r="AN36" s="37" t="str">
        <f t="shared" si="304"/>
        <v/>
      </c>
      <c r="AO36" s="111" t="str">
        <f t="shared" ref="AO36" si="469">AN36</f>
        <v/>
      </c>
      <c r="AP36" s="37" t="str">
        <f t="shared" si="306"/>
        <v/>
      </c>
      <c r="AQ36" s="111" t="str">
        <f t="shared" ref="AQ36" si="470">AP36</f>
        <v/>
      </c>
      <c r="AR36" s="37" t="str">
        <f t="shared" si="308"/>
        <v/>
      </c>
      <c r="AS36" s="111" t="str">
        <f t="shared" ref="AS36" si="471">AR36</f>
        <v/>
      </c>
      <c r="AT36" s="37" t="str">
        <f t="shared" si="310"/>
        <v/>
      </c>
      <c r="AU36" s="111" t="str">
        <f t="shared" ref="AU36" si="472">AT36</f>
        <v/>
      </c>
      <c r="AV36" s="37" t="str">
        <f t="shared" si="312"/>
        <v/>
      </c>
      <c r="AW36" s="34" t="str">
        <f t="shared" si="33"/>
        <v/>
      </c>
      <c r="AX36" s="34"/>
      <c r="AY36" s="23"/>
      <c r="BH36" s="60" t="str" cm="1">
        <f t="array" ref="BH36">IFERROR(EOMONTH(EOMONTH(_xlfn._xlws.FILTER(Table1[Planned Start],(Table1[Category]=$E36)*(Table1[SBU]=$F$5)*(Table1[Execution Year]=$E$5)*(Table1[Most curent]=TRUE)),0)-45,0)+1,"")</f>
        <v/>
      </c>
      <c r="BI36" s="60" t="str" cm="1">
        <f t="array" ref="BI36">IFERROR(EOMONTH(_xlfn._xlws.FILTER(Table1[Planned Award],(Table1[Category]=$E36)*(Table1[SBU]=$F$5)*(Table1[Execution Year]=$E$5)*(Table1[Most curent]=TRUE)),0),"")</f>
        <v/>
      </c>
      <c r="BJ36" s="60" t="str" cm="1">
        <f t="array" ref="BJ36">IFERROR(EOMONTH(EOMONTH(_xlfn._xlws.FILTER(Table1[Current Phase End],(Table1[Category]=$E36)*(Table1[SBU]=$F$5)*(Table1[Execution Year]=$E$5)*(Table1[Most curent]=TRUE)),0)-45,0)+1,"")</f>
        <v/>
      </c>
      <c r="BK36" s="60" t="str" cm="1">
        <f t="array" ref="BK36">IFERROR(EOMONTH(_xlfn._xlws.FILTER(Table1[Revised Award],(Table1[Category]=$E36)*(Table1[SBU]=$F$5)*(Table1[Execution Year]=$E$5)*(Table1[Most curent]=TRUE)),0),"")</f>
        <v/>
      </c>
      <c r="BL36" s="60" t="str">
        <f t="shared" si="262"/>
        <v/>
      </c>
      <c r="BM36" s="60" t="str">
        <f t="shared" si="263"/>
        <v/>
      </c>
    </row>
    <row r="37" spans="2:65" ht="15.6" thickTop="1" thickBot="1">
      <c r="B37" s="123"/>
      <c r="C37" s="71"/>
      <c r="D37" s="125"/>
      <c r="E37" s="35"/>
      <c r="F37" s="35"/>
      <c r="G37" s="35"/>
      <c r="H37" s="36"/>
      <c r="I37" s="36"/>
      <c r="J37" s="35"/>
      <c r="K37" s="71"/>
      <c r="L37" s="71"/>
      <c r="M37" s="71"/>
      <c r="N37" s="34" t="str">
        <f t="shared" si="34"/>
        <v/>
      </c>
      <c r="O37" s="111" t="str">
        <f t="shared" si="35"/>
        <v/>
      </c>
      <c r="P37" s="34" t="str">
        <f t="shared" si="280"/>
        <v/>
      </c>
      <c r="Q37" s="111" t="str">
        <f t="shared" ref="Q37" si="473">P37</f>
        <v/>
      </c>
      <c r="R37" s="34" t="str">
        <f t="shared" si="282"/>
        <v/>
      </c>
      <c r="S37" s="111" t="str">
        <f t="shared" ref="S37" si="474">R37</f>
        <v/>
      </c>
      <c r="T37" s="37" t="str">
        <f t="shared" si="284"/>
        <v/>
      </c>
      <c r="U37" s="111" t="str">
        <f t="shared" ref="U37" si="475">T37</f>
        <v/>
      </c>
      <c r="V37" s="37" t="str">
        <f t="shared" si="286"/>
        <v/>
      </c>
      <c r="W37" s="111" t="str">
        <f t="shared" ref="W37" si="476">V37</f>
        <v/>
      </c>
      <c r="X37" s="37" t="str">
        <f t="shared" si="288"/>
        <v/>
      </c>
      <c r="Y37" s="111" t="str">
        <f t="shared" ref="Y37" si="477">X37</f>
        <v/>
      </c>
      <c r="Z37" s="37" t="str">
        <f t="shared" si="290"/>
        <v/>
      </c>
      <c r="AA37" s="111" t="str">
        <f t="shared" ref="AA37" si="478">Z37</f>
        <v/>
      </c>
      <c r="AB37" s="37" t="str">
        <f t="shared" si="292"/>
        <v/>
      </c>
      <c r="AC37" s="111" t="str">
        <f t="shared" ref="AC37" si="479">AB37</f>
        <v/>
      </c>
      <c r="AD37" s="37" t="str">
        <f t="shared" si="294"/>
        <v/>
      </c>
      <c r="AE37" s="111" t="str">
        <f t="shared" ref="AE37" si="480">AD37</f>
        <v/>
      </c>
      <c r="AF37" s="37" t="str">
        <f t="shared" si="296"/>
        <v/>
      </c>
      <c r="AG37" s="111" t="str">
        <f t="shared" ref="AG37" si="481">AF37</f>
        <v/>
      </c>
      <c r="AH37" s="37" t="str">
        <f t="shared" si="298"/>
        <v/>
      </c>
      <c r="AI37" s="111" t="str">
        <f t="shared" ref="AI37" si="482">AH37</f>
        <v/>
      </c>
      <c r="AJ37" s="37" t="str">
        <f t="shared" si="300"/>
        <v/>
      </c>
      <c r="AK37" s="111" t="str">
        <f t="shared" ref="AK37" si="483">AJ37</f>
        <v/>
      </c>
      <c r="AL37" s="37" t="str">
        <f t="shared" si="302"/>
        <v/>
      </c>
      <c r="AM37" s="111" t="str">
        <f t="shared" ref="AM37" si="484">AL37</f>
        <v/>
      </c>
      <c r="AN37" s="37" t="str">
        <f t="shared" si="304"/>
        <v/>
      </c>
      <c r="AO37" s="111" t="str">
        <f t="shared" ref="AO37" si="485">AN37</f>
        <v/>
      </c>
      <c r="AP37" s="37" t="str">
        <f t="shared" si="306"/>
        <v/>
      </c>
      <c r="AQ37" s="111" t="str">
        <f t="shared" ref="AQ37" si="486">AP37</f>
        <v/>
      </c>
      <c r="AR37" s="37" t="str">
        <f t="shared" si="308"/>
        <v/>
      </c>
      <c r="AS37" s="111" t="str">
        <f t="shared" ref="AS37" si="487">AR37</f>
        <v/>
      </c>
      <c r="AT37" s="37" t="str">
        <f t="shared" si="310"/>
        <v/>
      </c>
      <c r="AU37" s="111" t="str">
        <f t="shared" ref="AU37" si="488">AT37</f>
        <v/>
      </c>
      <c r="AV37" s="37" t="str">
        <f t="shared" si="312"/>
        <v/>
      </c>
      <c r="AW37" s="34" t="str">
        <f t="shared" si="33"/>
        <v/>
      </c>
      <c r="AX37" s="34"/>
      <c r="AY37" s="23"/>
      <c r="BH37" s="60" t="str" cm="1">
        <f t="array" ref="BH37">IFERROR(EOMONTH(EOMONTH(_xlfn._xlws.FILTER(Table1[Planned Start],(Table1[Category]=$E37)*(Table1[SBU]=$F$5)*(Table1[Execution Year]=$E$5)*(Table1[Most curent]=TRUE)),0)-45,0)+1,"")</f>
        <v/>
      </c>
      <c r="BI37" s="60" t="str" cm="1">
        <f t="array" ref="BI37">IFERROR(EOMONTH(_xlfn._xlws.FILTER(Table1[Planned Award],(Table1[Category]=$E37)*(Table1[SBU]=$F$5)*(Table1[Execution Year]=$E$5)*(Table1[Most curent]=TRUE)),0),"")</f>
        <v/>
      </c>
      <c r="BJ37" s="60" t="str" cm="1">
        <f t="array" ref="BJ37">IFERROR(EOMONTH(EOMONTH(_xlfn._xlws.FILTER(Table1[Current Phase End],(Table1[Category]=$E37)*(Table1[SBU]=$F$5)*(Table1[Execution Year]=$E$5)*(Table1[Most curent]=TRUE)),0)-45,0)+1,"")</f>
        <v/>
      </c>
      <c r="BK37" s="60" t="str" cm="1">
        <f t="array" ref="BK37">IFERROR(EOMONTH(_xlfn._xlws.FILTER(Table1[Revised Award],(Table1[Category]=$E37)*(Table1[SBU]=$F$5)*(Table1[Execution Year]=$E$5)*(Table1[Most curent]=TRUE)),0),"")</f>
        <v/>
      </c>
      <c r="BL37" s="60" t="str">
        <f t="shared" si="262"/>
        <v/>
      </c>
      <c r="BM37" s="60" t="str">
        <f t="shared" si="263"/>
        <v/>
      </c>
    </row>
    <row r="38" spans="2:65" ht="15.6" thickTop="1" thickBot="1">
      <c r="B38" s="123"/>
      <c r="C38" s="71"/>
      <c r="D38" s="125"/>
      <c r="E38" s="35"/>
      <c r="F38" s="35"/>
      <c r="G38" s="35"/>
      <c r="H38" s="36"/>
      <c r="I38" s="36"/>
      <c r="J38" s="35"/>
      <c r="K38" s="71"/>
      <c r="L38" s="71"/>
      <c r="M38" s="71"/>
      <c r="N38" s="34" t="str">
        <f t="shared" si="34"/>
        <v/>
      </c>
      <c r="O38" s="111" t="str">
        <f t="shared" si="35"/>
        <v/>
      </c>
      <c r="P38" s="34" t="str">
        <f t="shared" si="280"/>
        <v/>
      </c>
      <c r="Q38" s="111" t="str">
        <f t="shared" ref="Q38" si="489">P38</f>
        <v/>
      </c>
      <c r="R38" s="34" t="str">
        <f t="shared" si="282"/>
        <v/>
      </c>
      <c r="S38" s="111" t="str">
        <f t="shared" ref="S38" si="490">R38</f>
        <v/>
      </c>
      <c r="T38" s="37" t="str">
        <f t="shared" si="284"/>
        <v/>
      </c>
      <c r="U38" s="111" t="str">
        <f t="shared" ref="U38" si="491">T38</f>
        <v/>
      </c>
      <c r="V38" s="37" t="str">
        <f t="shared" si="286"/>
        <v/>
      </c>
      <c r="W38" s="111" t="str">
        <f t="shared" ref="W38" si="492">V38</f>
        <v/>
      </c>
      <c r="X38" s="37" t="str">
        <f t="shared" si="288"/>
        <v/>
      </c>
      <c r="Y38" s="111" t="str">
        <f t="shared" ref="Y38" si="493">X38</f>
        <v/>
      </c>
      <c r="Z38" s="37" t="str">
        <f t="shared" si="290"/>
        <v/>
      </c>
      <c r="AA38" s="111" t="str">
        <f t="shared" ref="AA38" si="494">Z38</f>
        <v/>
      </c>
      <c r="AB38" s="37" t="str">
        <f t="shared" si="292"/>
        <v/>
      </c>
      <c r="AC38" s="111" t="str">
        <f t="shared" ref="AC38" si="495">AB38</f>
        <v/>
      </c>
      <c r="AD38" s="37" t="str">
        <f t="shared" si="294"/>
        <v/>
      </c>
      <c r="AE38" s="111" t="str">
        <f t="shared" ref="AE38" si="496">AD38</f>
        <v/>
      </c>
      <c r="AF38" s="37" t="str">
        <f t="shared" si="296"/>
        <v/>
      </c>
      <c r="AG38" s="111" t="str">
        <f t="shared" ref="AG38" si="497">AF38</f>
        <v/>
      </c>
      <c r="AH38" s="37" t="str">
        <f t="shared" si="298"/>
        <v/>
      </c>
      <c r="AI38" s="111" t="str">
        <f t="shared" ref="AI38" si="498">AH38</f>
        <v/>
      </c>
      <c r="AJ38" s="37" t="str">
        <f t="shared" si="300"/>
        <v/>
      </c>
      <c r="AK38" s="111" t="str">
        <f t="shared" ref="AK38" si="499">AJ38</f>
        <v/>
      </c>
      <c r="AL38" s="37" t="str">
        <f t="shared" si="302"/>
        <v/>
      </c>
      <c r="AM38" s="111" t="str">
        <f t="shared" ref="AM38" si="500">AL38</f>
        <v/>
      </c>
      <c r="AN38" s="37" t="str">
        <f t="shared" si="304"/>
        <v/>
      </c>
      <c r="AO38" s="111" t="str">
        <f t="shared" ref="AO38" si="501">AN38</f>
        <v/>
      </c>
      <c r="AP38" s="37" t="str">
        <f t="shared" si="306"/>
        <v/>
      </c>
      <c r="AQ38" s="111" t="str">
        <f t="shared" ref="AQ38" si="502">AP38</f>
        <v/>
      </c>
      <c r="AR38" s="37" t="str">
        <f t="shared" si="308"/>
        <v/>
      </c>
      <c r="AS38" s="111" t="str">
        <f t="shared" ref="AS38" si="503">AR38</f>
        <v/>
      </c>
      <c r="AT38" s="37" t="str">
        <f t="shared" si="310"/>
        <v/>
      </c>
      <c r="AU38" s="111" t="str">
        <f t="shared" ref="AU38" si="504">AT38</f>
        <v/>
      </c>
      <c r="AV38" s="37" t="str">
        <f t="shared" si="312"/>
        <v/>
      </c>
      <c r="AW38" s="34" t="str">
        <f t="shared" si="33"/>
        <v/>
      </c>
      <c r="AX38" s="34"/>
      <c r="AY38" s="23"/>
      <c r="BH38" s="60" t="str" cm="1">
        <f t="array" ref="BH38">IFERROR(EOMONTH(EOMONTH(_xlfn._xlws.FILTER(Table1[Planned Start],(Table1[Category]=$E38)*(Table1[SBU]=$F$5)*(Table1[Execution Year]=$E$5)*(Table1[Most curent]=TRUE)),0)-45,0)+1,"")</f>
        <v/>
      </c>
      <c r="BI38" s="60" t="str" cm="1">
        <f t="array" ref="BI38">IFERROR(EOMONTH(_xlfn._xlws.FILTER(Table1[Planned Award],(Table1[Category]=$E38)*(Table1[SBU]=$F$5)*(Table1[Execution Year]=$E$5)*(Table1[Most curent]=TRUE)),0),"")</f>
        <v/>
      </c>
      <c r="BJ38" s="60" t="str" cm="1">
        <f t="array" ref="BJ38">IFERROR(EOMONTH(EOMONTH(_xlfn._xlws.FILTER(Table1[Current Phase End],(Table1[Category]=$E38)*(Table1[SBU]=$F$5)*(Table1[Execution Year]=$E$5)*(Table1[Most curent]=TRUE)),0)-45,0)+1,"")</f>
        <v/>
      </c>
      <c r="BK38" s="60" t="str" cm="1">
        <f t="array" ref="BK38">IFERROR(EOMONTH(_xlfn._xlws.FILTER(Table1[Revised Award],(Table1[Category]=$E38)*(Table1[SBU]=$F$5)*(Table1[Execution Year]=$E$5)*(Table1[Most curent]=TRUE)),0),"")</f>
        <v/>
      </c>
      <c r="BL38" s="60" t="str">
        <f t="shared" si="262"/>
        <v/>
      </c>
      <c r="BM38" s="60" t="str">
        <f t="shared" si="263"/>
        <v/>
      </c>
    </row>
    <row r="39" spans="2:65" ht="15.6" thickTop="1" thickBot="1">
      <c r="B39" s="123"/>
      <c r="C39" s="71"/>
      <c r="D39" s="125"/>
      <c r="E39" s="35"/>
      <c r="F39" s="35"/>
      <c r="G39" s="35"/>
      <c r="H39" s="36"/>
      <c r="I39" s="36"/>
      <c r="J39" s="35"/>
      <c r="K39" s="71"/>
      <c r="L39" s="71"/>
      <c r="M39" s="71"/>
      <c r="N39" s="34" t="str">
        <f t="shared" si="34"/>
        <v/>
      </c>
      <c r="O39" s="111" t="str">
        <f t="shared" si="35"/>
        <v/>
      </c>
      <c r="P39" s="34" t="str">
        <f t="shared" si="280"/>
        <v/>
      </c>
      <c r="Q39" s="111" t="str">
        <f t="shared" ref="Q39" si="505">P39</f>
        <v/>
      </c>
      <c r="R39" s="34" t="str">
        <f t="shared" si="282"/>
        <v/>
      </c>
      <c r="S39" s="111" t="str">
        <f t="shared" ref="S39" si="506">R39</f>
        <v/>
      </c>
      <c r="T39" s="37" t="str">
        <f t="shared" si="284"/>
        <v/>
      </c>
      <c r="U39" s="111" t="str">
        <f t="shared" ref="U39" si="507">T39</f>
        <v/>
      </c>
      <c r="V39" s="37" t="str">
        <f t="shared" si="286"/>
        <v/>
      </c>
      <c r="W39" s="111" t="str">
        <f t="shared" ref="W39" si="508">V39</f>
        <v/>
      </c>
      <c r="X39" s="37" t="str">
        <f t="shared" si="288"/>
        <v/>
      </c>
      <c r="Y39" s="111" t="str">
        <f t="shared" ref="Y39" si="509">X39</f>
        <v/>
      </c>
      <c r="Z39" s="37" t="str">
        <f t="shared" si="290"/>
        <v/>
      </c>
      <c r="AA39" s="111" t="str">
        <f t="shared" ref="AA39" si="510">Z39</f>
        <v/>
      </c>
      <c r="AB39" s="37" t="str">
        <f t="shared" si="292"/>
        <v/>
      </c>
      <c r="AC39" s="111" t="str">
        <f t="shared" ref="AC39" si="511">AB39</f>
        <v/>
      </c>
      <c r="AD39" s="37" t="str">
        <f t="shared" si="294"/>
        <v/>
      </c>
      <c r="AE39" s="111" t="str">
        <f t="shared" ref="AE39" si="512">AD39</f>
        <v/>
      </c>
      <c r="AF39" s="37" t="str">
        <f t="shared" si="296"/>
        <v/>
      </c>
      <c r="AG39" s="111" t="str">
        <f t="shared" ref="AG39" si="513">AF39</f>
        <v/>
      </c>
      <c r="AH39" s="37" t="str">
        <f t="shared" si="298"/>
        <v/>
      </c>
      <c r="AI39" s="111" t="str">
        <f t="shared" ref="AI39" si="514">AH39</f>
        <v/>
      </c>
      <c r="AJ39" s="37" t="str">
        <f t="shared" si="300"/>
        <v/>
      </c>
      <c r="AK39" s="111" t="str">
        <f t="shared" ref="AK39" si="515">AJ39</f>
        <v/>
      </c>
      <c r="AL39" s="37" t="str">
        <f t="shared" si="302"/>
        <v/>
      </c>
      <c r="AM39" s="111" t="str">
        <f t="shared" ref="AM39" si="516">AL39</f>
        <v/>
      </c>
      <c r="AN39" s="37" t="str">
        <f t="shared" si="304"/>
        <v/>
      </c>
      <c r="AO39" s="111" t="str">
        <f t="shared" ref="AO39" si="517">AN39</f>
        <v/>
      </c>
      <c r="AP39" s="37" t="str">
        <f t="shared" si="306"/>
        <v/>
      </c>
      <c r="AQ39" s="111" t="str">
        <f t="shared" ref="AQ39" si="518">AP39</f>
        <v/>
      </c>
      <c r="AR39" s="37" t="str">
        <f t="shared" si="308"/>
        <v/>
      </c>
      <c r="AS39" s="111" t="str">
        <f t="shared" ref="AS39" si="519">AR39</f>
        <v/>
      </c>
      <c r="AT39" s="37" t="str">
        <f t="shared" si="310"/>
        <v/>
      </c>
      <c r="AU39" s="111" t="str">
        <f t="shared" ref="AU39" si="520">AT39</f>
        <v/>
      </c>
      <c r="AV39" s="37" t="str">
        <f t="shared" si="312"/>
        <v/>
      </c>
      <c r="AW39" s="34" t="str">
        <f t="shared" si="33"/>
        <v/>
      </c>
      <c r="AX39" s="34"/>
      <c r="AY39" s="23"/>
      <c r="BH39" s="60" t="str" cm="1">
        <f t="array" ref="BH39">IFERROR(EOMONTH(EOMONTH(_xlfn._xlws.FILTER(Table1[Planned Start],(Table1[Category]=$E39)*(Table1[SBU]=$F$5)*(Table1[Execution Year]=$E$5)*(Table1[Most curent]=TRUE)),0)-45,0)+1,"")</f>
        <v/>
      </c>
      <c r="BI39" s="60" t="str" cm="1">
        <f t="array" ref="BI39">IFERROR(EOMONTH(_xlfn._xlws.FILTER(Table1[Planned Award],(Table1[Category]=$E39)*(Table1[SBU]=$F$5)*(Table1[Execution Year]=$E$5)*(Table1[Most curent]=TRUE)),0),"")</f>
        <v/>
      </c>
      <c r="BJ39" s="60" t="str" cm="1">
        <f t="array" ref="BJ39">IFERROR(EOMONTH(EOMONTH(_xlfn._xlws.FILTER(Table1[Current Phase End],(Table1[Category]=$E39)*(Table1[SBU]=$F$5)*(Table1[Execution Year]=$E$5)*(Table1[Most curent]=TRUE)),0)-45,0)+1,"")</f>
        <v/>
      </c>
      <c r="BK39" s="60" t="str" cm="1">
        <f t="array" ref="BK39">IFERROR(EOMONTH(_xlfn._xlws.FILTER(Table1[Revised Award],(Table1[Category]=$E39)*(Table1[SBU]=$F$5)*(Table1[Execution Year]=$E$5)*(Table1[Most curent]=TRUE)),0),"")</f>
        <v/>
      </c>
      <c r="BL39" s="60" t="str">
        <f t="shared" si="262"/>
        <v/>
      </c>
      <c r="BM39" s="60" t="str">
        <f t="shared" si="263"/>
        <v/>
      </c>
    </row>
    <row r="40" spans="2:65" ht="15.6" thickTop="1" thickBot="1">
      <c r="B40" s="123"/>
      <c r="C40" s="71"/>
      <c r="D40" s="125"/>
      <c r="E40" s="35"/>
      <c r="F40" s="35"/>
      <c r="G40" s="35"/>
      <c r="H40" s="36"/>
      <c r="I40" s="36"/>
      <c r="J40" s="35"/>
      <c r="K40" s="71"/>
      <c r="L40" s="71"/>
      <c r="M40" s="71"/>
      <c r="N40" s="34" t="str">
        <f t="shared" si="34"/>
        <v/>
      </c>
      <c r="O40" s="111" t="str">
        <f t="shared" si="35"/>
        <v/>
      </c>
      <c r="P40" s="34" t="str">
        <f t="shared" si="280"/>
        <v/>
      </c>
      <c r="Q40" s="111" t="str">
        <f t="shared" ref="Q40" si="521">P40</f>
        <v/>
      </c>
      <c r="R40" s="34" t="str">
        <f t="shared" si="282"/>
        <v/>
      </c>
      <c r="S40" s="111" t="str">
        <f t="shared" ref="S40" si="522">R40</f>
        <v/>
      </c>
      <c r="T40" s="37" t="str">
        <f t="shared" si="284"/>
        <v/>
      </c>
      <c r="U40" s="111" t="str">
        <f t="shared" ref="U40" si="523">T40</f>
        <v/>
      </c>
      <c r="V40" s="37" t="str">
        <f t="shared" si="286"/>
        <v/>
      </c>
      <c r="W40" s="111" t="str">
        <f t="shared" ref="W40" si="524">V40</f>
        <v/>
      </c>
      <c r="X40" s="37" t="str">
        <f t="shared" si="288"/>
        <v/>
      </c>
      <c r="Y40" s="111" t="str">
        <f t="shared" ref="Y40" si="525">X40</f>
        <v/>
      </c>
      <c r="Z40" s="37" t="str">
        <f t="shared" si="290"/>
        <v/>
      </c>
      <c r="AA40" s="111" t="str">
        <f t="shared" ref="AA40" si="526">Z40</f>
        <v/>
      </c>
      <c r="AB40" s="37" t="str">
        <f t="shared" si="292"/>
        <v/>
      </c>
      <c r="AC40" s="111" t="str">
        <f t="shared" ref="AC40" si="527">AB40</f>
        <v/>
      </c>
      <c r="AD40" s="37" t="str">
        <f t="shared" si="294"/>
        <v/>
      </c>
      <c r="AE40" s="111" t="str">
        <f t="shared" ref="AE40" si="528">AD40</f>
        <v/>
      </c>
      <c r="AF40" s="37" t="str">
        <f t="shared" si="296"/>
        <v/>
      </c>
      <c r="AG40" s="111" t="str">
        <f t="shared" ref="AG40" si="529">AF40</f>
        <v/>
      </c>
      <c r="AH40" s="37" t="str">
        <f t="shared" si="298"/>
        <v/>
      </c>
      <c r="AI40" s="111" t="str">
        <f t="shared" ref="AI40" si="530">AH40</f>
        <v/>
      </c>
      <c r="AJ40" s="37" t="str">
        <f t="shared" si="300"/>
        <v/>
      </c>
      <c r="AK40" s="111" t="str">
        <f t="shared" ref="AK40" si="531">AJ40</f>
        <v/>
      </c>
      <c r="AL40" s="37" t="str">
        <f t="shared" si="302"/>
        <v/>
      </c>
      <c r="AM40" s="111" t="str">
        <f t="shared" ref="AM40" si="532">AL40</f>
        <v/>
      </c>
      <c r="AN40" s="37" t="str">
        <f t="shared" si="304"/>
        <v/>
      </c>
      <c r="AO40" s="111" t="str">
        <f t="shared" ref="AO40" si="533">AN40</f>
        <v/>
      </c>
      <c r="AP40" s="37" t="str">
        <f t="shared" si="306"/>
        <v/>
      </c>
      <c r="AQ40" s="111" t="str">
        <f t="shared" ref="AQ40" si="534">AP40</f>
        <v/>
      </c>
      <c r="AR40" s="37" t="str">
        <f t="shared" si="308"/>
        <v/>
      </c>
      <c r="AS40" s="111" t="str">
        <f t="shared" ref="AS40" si="535">AR40</f>
        <v/>
      </c>
      <c r="AT40" s="37" t="str">
        <f t="shared" si="310"/>
        <v/>
      </c>
      <c r="AU40" s="111" t="str">
        <f t="shared" ref="AU40" si="536">AT40</f>
        <v/>
      </c>
      <c r="AV40" s="37" t="str">
        <f t="shared" si="312"/>
        <v/>
      </c>
      <c r="AW40" s="34" t="str">
        <f t="shared" si="33"/>
        <v/>
      </c>
      <c r="AX40" s="34"/>
      <c r="AY40" s="23"/>
      <c r="BH40" s="60" t="str" cm="1">
        <f t="array" ref="BH40">IFERROR(EOMONTH(EOMONTH(_xlfn._xlws.FILTER(Table1[Planned Start],(Table1[Category]=$E40)*(Table1[SBU]=$F$5)*(Table1[Execution Year]=$E$5)*(Table1[Most curent]=TRUE)),0)-45,0)+1,"")</f>
        <v/>
      </c>
      <c r="BI40" s="60" t="str" cm="1">
        <f t="array" ref="BI40">IFERROR(EOMONTH(_xlfn._xlws.FILTER(Table1[Planned Award],(Table1[Category]=$E40)*(Table1[SBU]=$F$5)*(Table1[Execution Year]=$E$5)*(Table1[Most curent]=TRUE)),0),"")</f>
        <v/>
      </c>
      <c r="BJ40" s="60" t="str" cm="1">
        <f t="array" ref="BJ40">IFERROR(EOMONTH(EOMONTH(_xlfn._xlws.FILTER(Table1[Current Phase End],(Table1[Category]=$E40)*(Table1[SBU]=$F$5)*(Table1[Execution Year]=$E$5)*(Table1[Most curent]=TRUE)),0)-45,0)+1,"")</f>
        <v/>
      </c>
      <c r="BK40" s="60" t="str" cm="1">
        <f t="array" ref="BK40">IFERROR(EOMONTH(_xlfn._xlws.FILTER(Table1[Revised Award],(Table1[Category]=$E40)*(Table1[SBU]=$F$5)*(Table1[Execution Year]=$E$5)*(Table1[Most curent]=TRUE)),0),"")</f>
        <v/>
      </c>
      <c r="BL40" s="60" t="str">
        <f t="shared" si="262"/>
        <v/>
      </c>
      <c r="BM40" s="60" t="str">
        <f t="shared" si="263"/>
        <v/>
      </c>
    </row>
    <row r="41" spans="2:65" ht="15.6" thickTop="1" thickBot="1">
      <c r="B41" s="123"/>
      <c r="C41" s="71"/>
      <c r="D41" s="125"/>
      <c r="E41" s="35"/>
      <c r="F41" s="35"/>
      <c r="G41" s="35"/>
      <c r="H41" s="36"/>
      <c r="I41" s="36"/>
      <c r="J41" s="35"/>
      <c r="K41" s="71"/>
      <c r="L41" s="71"/>
      <c r="M41" s="71"/>
      <c r="N41" s="34" t="str">
        <f t="shared" si="34"/>
        <v/>
      </c>
      <c r="O41" s="111" t="str">
        <f t="shared" si="35"/>
        <v/>
      </c>
      <c r="P41" s="34" t="str">
        <f t="shared" si="280"/>
        <v/>
      </c>
      <c r="Q41" s="111" t="str">
        <f t="shared" ref="Q41" si="537">P41</f>
        <v/>
      </c>
      <c r="R41" s="34" t="str">
        <f t="shared" si="282"/>
        <v/>
      </c>
      <c r="S41" s="111" t="str">
        <f t="shared" ref="S41" si="538">R41</f>
        <v/>
      </c>
      <c r="T41" s="37" t="str">
        <f t="shared" si="284"/>
        <v/>
      </c>
      <c r="U41" s="111" t="str">
        <f t="shared" ref="U41" si="539">T41</f>
        <v/>
      </c>
      <c r="V41" s="37" t="str">
        <f t="shared" si="286"/>
        <v/>
      </c>
      <c r="W41" s="111" t="str">
        <f t="shared" ref="W41" si="540">V41</f>
        <v/>
      </c>
      <c r="X41" s="37" t="str">
        <f t="shared" si="288"/>
        <v/>
      </c>
      <c r="Y41" s="111" t="str">
        <f t="shared" ref="Y41" si="541">X41</f>
        <v/>
      </c>
      <c r="Z41" s="37" t="str">
        <f t="shared" si="290"/>
        <v/>
      </c>
      <c r="AA41" s="111" t="str">
        <f t="shared" ref="AA41" si="542">Z41</f>
        <v/>
      </c>
      <c r="AB41" s="37" t="str">
        <f t="shared" si="292"/>
        <v/>
      </c>
      <c r="AC41" s="111" t="str">
        <f t="shared" ref="AC41" si="543">AB41</f>
        <v/>
      </c>
      <c r="AD41" s="37" t="str">
        <f t="shared" si="294"/>
        <v/>
      </c>
      <c r="AE41" s="111" t="str">
        <f t="shared" ref="AE41" si="544">AD41</f>
        <v/>
      </c>
      <c r="AF41" s="37" t="str">
        <f t="shared" si="296"/>
        <v/>
      </c>
      <c r="AG41" s="111" t="str">
        <f t="shared" ref="AG41" si="545">AF41</f>
        <v/>
      </c>
      <c r="AH41" s="37" t="str">
        <f t="shared" si="298"/>
        <v/>
      </c>
      <c r="AI41" s="111" t="str">
        <f t="shared" ref="AI41" si="546">AH41</f>
        <v/>
      </c>
      <c r="AJ41" s="37" t="str">
        <f t="shared" si="300"/>
        <v/>
      </c>
      <c r="AK41" s="111" t="str">
        <f t="shared" ref="AK41" si="547">AJ41</f>
        <v/>
      </c>
      <c r="AL41" s="37" t="str">
        <f t="shared" si="302"/>
        <v/>
      </c>
      <c r="AM41" s="111" t="str">
        <f t="shared" ref="AM41" si="548">AL41</f>
        <v/>
      </c>
      <c r="AN41" s="37" t="str">
        <f t="shared" si="304"/>
        <v/>
      </c>
      <c r="AO41" s="111" t="str">
        <f t="shared" ref="AO41" si="549">AN41</f>
        <v/>
      </c>
      <c r="AP41" s="37" t="str">
        <f t="shared" si="306"/>
        <v/>
      </c>
      <c r="AQ41" s="111" t="str">
        <f t="shared" ref="AQ41" si="550">AP41</f>
        <v/>
      </c>
      <c r="AR41" s="37" t="str">
        <f t="shared" si="308"/>
        <v/>
      </c>
      <c r="AS41" s="111" t="str">
        <f t="shared" ref="AS41" si="551">AR41</f>
        <v/>
      </c>
      <c r="AT41" s="37" t="str">
        <f t="shared" si="310"/>
        <v/>
      </c>
      <c r="AU41" s="111" t="str">
        <f t="shared" ref="AU41" si="552">AT41</f>
        <v/>
      </c>
      <c r="AV41" s="37" t="str">
        <f t="shared" si="312"/>
        <v/>
      </c>
      <c r="AW41" s="34" t="str">
        <f t="shared" si="33"/>
        <v/>
      </c>
      <c r="AX41" s="34"/>
      <c r="AY41" s="23"/>
      <c r="BH41" s="60" t="str" cm="1">
        <f t="array" ref="BH41">IFERROR(EOMONTH(EOMONTH(_xlfn._xlws.FILTER(Table1[Planned Start],(Table1[Category]=$E41)*(Table1[SBU]=$F$5)*(Table1[Execution Year]=$E$5)*(Table1[Most curent]=TRUE)),0)-45,0)+1,"")</f>
        <v/>
      </c>
      <c r="BI41" s="60" t="str" cm="1">
        <f t="array" ref="BI41">IFERROR(EOMONTH(_xlfn._xlws.FILTER(Table1[Planned Award],(Table1[Category]=$E41)*(Table1[SBU]=$F$5)*(Table1[Execution Year]=$E$5)*(Table1[Most curent]=TRUE)),0),"")</f>
        <v/>
      </c>
      <c r="BJ41" s="60" t="str" cm="1">
        <f t="array" ref="BJ41">IFERROR(EOMONTH(EOMONTH(_xlfn._xlws.FILTER(Table1[Current Phase End],(Table1[Category]=$E41)*(Table1[SBU]=$F$5)*(Table1[Execution Year]=$E$5)*(Table1[Most curent]=TRUE)),0)-45,0)+1,"")</f>
        <v/>
      </c>
      <c r="BK41" s="60" t="str" cm="1">
        <f t="array" ref="BK41">IFERROR(EOMONTH(_xlfn._xlws.FILTER(Table1[Revised Award],(Table1[Category]=$E41)*(Table1[SBU]=$F$5)*(Table1[Execution Year]=$E$5)*(Table1[Most curent]=TRUE)),0),"")</f>
        <v/>
      </c>
      <c r="BL41" s="60" t="str">
        <f t="shared" si="262"/>
        <v/>
      </c>
      <c r="BM41" s="60" t="str">
        <f t="shared" si="263"/>
        <v/>
      </c>
    </row>
    <row r="42" spans="2:65" ht="15.6" thickTop="1" thickBot="1">
      <c r="B42" s="123"/>
      <c r="C42" s="71"/>
      <c r="D42" s="125"/>
      <c r="E42" s="35"/>
      <c r="F42" s="35"/>
      <c r="G42" s="35"/>
      <c r="H42" s="36"/>
      <c r="I42" s="36"/>
      <c r="J42" s="35"/>
      <c r="K42" s="71"/>
      <c r="L42" s="71"/>
      <c r="M42" s="71"/>
      <c r="N42" s="34" t="str">
        <f t="shared" si="34"/>
        <v/>
      </c>
      <c r="O42" s="111" t="str">
        <f t="shared" si="35"/>
        <v/>
      </c>
      <c r="P42" s="34" t="str">
        <f t="shared" si="280"/>
        <v/>
      </c>
      <c r="Q42" s="111" t="str">
        <f t="shared" ref="Q42" si="553">P42</f>
        <v/>
      </c>
      <c r="R42" s="34" t="str">
        <f t="shared" si="282"/>
        <v/>
      </c>
      <c r="S42" s="111" t="str">
        <f t="shared" ref="S42" si="554">R42</f>
        <v/>
      </c>
      <c r="T42" s="37" t="str">
        <f t="shared" si="284"/>
        <v/>
      </c>
      <c r="U42" s="111" t="str">
        <f t="shared" ref="U42" si="555">T42</f>
        <v/>
      </c>
      <c r="V42" s="37" t="str">
        <f t="shared" si="286"/>
        <v/>
      </c>
      <c r="W42" s="111" t="str">
        <f t="shared" ref="W42" si="556">V42</f>
        <v/>
      </c>
      <c r="X42" s="37" t="str">
        <f t="shared" si="288"/>
        <v/>
      </c>
      <c r="Y42" s="111" t="str">
        <f t="shared" ref="Y42" si="557">X42</f>
        <v/>
      </c>
      <c r="Z42" s="37" t="str">
        <f t="shared" si="290"/>
        <v/>
      </c>
      <c r="AA42" s="111" t="str">
        <f t="shared" ref="AA42" si="558">Z42</f>
        <v/>
      </c>
      <c r="AB42" s="37" t="str">
        <f t="shared" si="292"/>
        <v/>
      </c>
      <c r="AC42" s="111" t="str">
        <f t="shared" ref="AC42" si="559">AB42</f>
        <v/>
      </c>
      <c r="AD42" s="37" t="str">
        <f t="shared" si="294"/>
        <v/>
      </c>
      <c r="AE42" s="111" t="str">
        <f t="shared" ref="AE42" si="560">AD42</f>
        <v/>
      </c>
      <c r="AF42" s="37" t="str">
        <f t="shared" si="296"/>
        <v/>
      </c>
      <c r="AG42" s="111" t="str">
        <f t="shared" ref="AG42" si="561">AF42</f>
        <v/>
      </c>
      <c r="AH42" s="37" t="str">
        <f t="shared" si="298"/>
        <v/>
      </c>
      <c r="AI42" s="111" t="str">
        <f t="shared" ref="AI42" si="562">AH42</f>
        <v/>
      </c>
      <c r="AJ42" s="37" t="str">
        <f t="shared" si="300"/>
        <v/>
      </c>
      <c r="AK42" s="111" t="str">
        <f t="shared" ref="AK42" si="563">AJ42</f>
        <v/>
      </c>
      <c r="AL42" s="37" t="str">
        <f t="shared" si="302"/>
        <v/>
      </c>
      <c r="AM42" s="111" t="str">
        <f t="shared" ref="AM42" si="564">AL42</f>
        <v/>
      </c>
      <c r="AN42" s="37" t="str">
        <f t="shared" si="304"/>
        <v/>
      </c>
      <c r="AO42" s="111" t="str">
        <f t="shared" ref="AO42" si="565">AN42</f>
        <v/>
      </c>
      <c r="AP42" s="37" t="str">
        <f t="shared" si="306"/>
        <v/>
      </c>
      <c r="AQ42" s="111" t="str">
        <f t="shared" ref="AQ42" si="566">AP42</f>
        <v/>
      </c>
      <c r="AR42" s="37" t="str">
        <f t="shared" si="308"/>
        <v/>
      </c>
      <c r="AS42" s="111" t="str">
        <f t="shared" ref="AS42" si="567">AR42</f>
        <v/>
      </c>
      <c r="AT42" s="37" t="str">
        <f t="shared" si="310"/>
        <v/>
      </c>
      <c r="AU42" s="111" t="str">
        <f t="shared" ref="AU42" si="568">AT42</f>
        <v/>
      </c>
      <c r="AV42" s="37" t="str">
        <f t="shared" si="312"/>
        <v/>
      </c>
      <c r="AW42" s="34" t="str">
        <f t="shared" si="33"/>
        <v/>
      </c>
      <c r="AX42" s="34"/>
      <c r="AY42" s="23"/>
      <c r="BH42" s="60" t="str" cm="1">
        <f t="array" ref="BH42">IFERROR(EOMONTH(EOMONTH(_xlfn._xlws.FILTER(Table1[Planned Start],(Table1[Category]=$E42)*(Table1[SBU]=$F$5)*(Table1[Execution Year]=$E$5)*(Table1[Most curent]=TRUE)),0)-45,0)+1,"")</f>
        <v/>
      </c>
      <c r="BI42" s="60" t="str" cm="1">
        <f t="array" ref="BI42">IFERROR(EOMONTH(_xlfn._xlws.FILTER(Table1[Planned Award],(Table1[Category]=$E42)*(Table1[SBU]=$F$5)*(Table1[Execution Year]=$E$5)*(Table1[Most curent]=TRUE)),0),"")</f>
        <v/>
      </c>
      <c r="BJ42" s="60" t="str" cm="1">
        <f t="array" ref="BJ42">IFERROR(EOMONTH(EOMONTH(_xlfn._xlws.FILTER(Table1[Current Phase End],(Table1[Category]=$E42)*(Table1[SBU]=$F$5)*(Table1[Execution Year]=$E$5)*(Table1[Most curent]=TRUE)),0)-45,0)+1,"")</f>
        <v/>
      </c>
      <c r="BK42" s="60" t="str" cm="1">
        <f t="array" ref="BK42">IFERROR(EOMONTH(_xlfn._xlws.FILTER(Table1[Revised Award],(Table1[Category]=$E42)*(Table1[SBU]=$F$5)*(Table1[Execution Year]=$E$5)*(Table1[Most curent]=TRUE)),0),"")</f>
        <v/>
      </c>
      <c r="BL42" s="60" t="str">
        <f t="shared" si="262"/>
        <v/>
      </c>
      <c r="BM42" s="60" t="str">
        <f t="shared" si="263"/>
        <v/>
      </c>
    </row>
    <row r="43" spans="2:65" ht="15.6" thickTop="1" thickBot="1">
      <c r="B43" s="123"/>
      <c r="C43" s="71"/>
      <c r="D43" s="125"/>
      <c r="E43" s="35"/>
      <c r="F43" s="35"/>
      <c r="G43" s="35"/>
      <c r="H43" s="36"/>
      <c r="I43" s="36"/>
      <c r="J43" s="35"/>
      <c r="K43" s="71"/>
      <c r="L43" s="71"/>
      <c r="M43" s="71"/>
      <c r="N43" s="34" t="str">
        <f t="shared" si="34"/>
        <v/>
      </c>
      <c r="O43" s="111" t="str">
        <f t="shared" si="35"/>
        <v/>
      </c>
      <c r="P43" s="34" t="str">
        <f t="shared" si="280"/>
        <v/>
      </c>
      <c r="Q43" s="111" t="str">
        <f t="shared" ref="Q43" si="569">P43</f>
        <v/>
      </c>
      <c r="R43" s="34" t="str">
        <f t="shared" si="282"/>
        <v/>
      </c>
      <c r="S43" s="111" t="str">
        <f t="shared" ref="S43" si="570">R43</f>
        <v/>
      </c>
      <c r="T43" s="37" t="str">
        <f t="shared" si="284"/>
        <v/>
      </c>
      <c r="U43" s="111" t="str">
        <f t="shared" ref="U43" si="571">T43</f>
        <v/>
      </c>
      <c r="V43" s="37" t="str">
        <f t="shared" si="286"/>
        <v/>
      </c>
      <c r="W43" s="111" t="str">
        <f t="shared" ref="W43" si="572">V43</f>
        <v/>
      </c>
      <c r="X43" s="37" t="str">
        <f t="shared" si="288"/>
        <v/>
      </c>
      <c r="Y43" s="111" t="str">
        <f t="shared" ref="Y43" si="573">X43</f>
        <v/>
      </c>
      <c r="Z43" s="37" t="str">
        <f t="shared" si="290"/>
        <v/>
      </c>
      <c r="AA43" s="111" t="str">
        <f t="shared" ref="AA43" si="574">Z43</f>
        <v/>
      </c>
      <c r="AB43" s="37" t="str">
        <f t="shared" si="292"/>
        <v/>
      </c>
      <c r="AC43" s="111" t="str">
        <f t="shared" ref="AC43" si="575">AB43</f>
        <v/>
      </c>
      <c r="AD43" s="37" t="str">
        <f t="shared" si="294"/>
        <v/>
      </c>
      <c r="AE43" s="111" t="str">
        <f t="shared" ref="AE43" si="576">AD43</f>
        <v/>
      </c>
      <c r="AF43" s="37" t="str">
        <f t="shared" si="296"/>
        <v/>
      </c>
      <c r="AG43" s="111" t="str">
        <f t="shared" ref="AG43" si="577">AF43</f>
        <v/>
      </c>
      <c r="AH43" s="37" t="str">
        <f t="shared" si="298"/>
        <v/>
      </c>
      <c r="AI43" s="111" t="str">
        <f t="shared" ref="AI43" si="578">AH43</f>
        <v/>
      </c>
      <c r="AJ43" s="37" t="str">
        <f t="shared" si="300"/>
        <v/>
      </c>
      <c r="AK43" s="111" t="str">
        <f t="shared" ref="AK43" si="579">AJ43</f>
        <v/>
      </c>
      <c r="AL43" s="37" t="str">
        <f t="shared" si="302"/>
        <v/>
      </c>
      <c r="AM43" s="111" t="str">
        <f t="shared" ref="AM43" si="580">AL43</f>
        <v/>
      </c>
      <c r="AN43" s="37" t="str">
        <f t="shared" si="304"/>
        <v/>
      </c>
      <c r="AO43" s="111" t="str">
        <f t="shared" ref="AO43" si="581">AN43</f>
        <v/>
      </c>
      <c r="AP43" s="37" t="str">
        <f t="shared" si="306"/>
        <v/>
      </c>
      <c r="AQ43" s="111" t="str">
        <f t="shared" ref="AQ43" si="582">AP43</f>
        <v/>
      </c>
      <c r="AR43" s="37" t="str">
        <f t="shared" si="308"/>
        <v/>
      </c>
      <c r="AS43" s="111" t="str">
        <f t="shared" ref="AS43" si="583">AR43</f>
        <v/>
      </c>
      <c r="AT43" s="37" t="str">
        <f t="shared" si="310"/>
        <v/>
      </c>
      <c r="AU43" s="111" t="str">
        <f t="shared" ref="AU43" si="584">AT43</f>
        <v/>
      </c>
      <c r="AV43" s="37" t="str">
        <f t="shared" si="312"/>
        <v/>
      </c>
      <c r="AW43" s="34" t="str">
        <f t="shared" si="33"/>
        <v/>
      </c>
      <c r="AX43" s="34"/>
      <c r="AY43" s="23"/>
      <c r="BH43" s="60" t="str" cm="1">
        <f t="array" ref="BH43">IFERROR(EOMONTH(EOMONTH(_xlfn._xlws.FILTER(Table1[Planned Start],(Table1[Category]=$E43)*(Table1[SBU]=$F$5)*(Table1[Execution Year]=$E$5)*(Table1[Most curent]=TRUE)),0)-45,0)+1,"")</f>
        <v/>
      </c>
      <c r="BI43" s="60" t="str" cm="1">
        <f t="array" ref="BI43">IFERROR(EOMONTH(_xlfn._xlws.FILTER(Table1[Planned Award],(Table1[Category]=$E43)*(Table1[SBU]=$F$5)*(Table1[Execution Year]=$E$5)*(Table1[Most curent]=TRUE)),0),"")</f>
        <v/>
      </c>
      <c r="BJ43" s="60" t="str" cm="1">
        <f t="array" ref="BJ43">IFERROR(EOMONTH(EOMONTH(_xlfn._xlws.FILTER(Table1[Current Phase End],(Table1[Category]=$E43)*(Table1[SBU]=$F$5)*(Table1[Execution Year]=$E$5)*(Table1[Most curent]=TRUE)),0)-45,0)+1,"")</f>
        <v/>
      </c>
      <c r="BK43" s="60" t="str" cm="1">
        <f t="array" ref="BK43">IFERROR(EOMONTH(_xlfn._xlws.FILTER(Table1[Revised Award],(Table1[Category]=$E43)*(Table1[SBU]=$F$5)*(Table1[Execution Year]=$E$5)*(Table1[Most curent]=TRUE)),0),"")</f>
        <v/>
      </c>
      <c r="BL43" s="60" t="str">
        <f t="shared" si="262"/>
        <v/>
      </c>
      <c r="BM43" s="60" t="str">
        <f t="shared" si="263"/>
        <v/>
      </c>
    </row>
    <row r="44" spans="2:65" ht="15.6" thickTop="1" thickBot="1">
      <c r="B44" s="123"/>
      <c r="C44" s="71"/>
      <c r="D44" s="125"/>
      <c r="E44" s="35"/>
      <c r="F44" s="35"/>
      <c r="G44" s="35"/>
      <c r="H44" s="36"/>
      <c r="I44" s="36"/>
      <c r="J44" s="35"/>
      <c r="K44" s="71"/>
      <c r="L44" s="71"/>
      <c r="M44" s="71"/>
      <c r="N44" s="34" t="str">
        <f t="shared" si="34"/>
        <v/>
      </c>
      <c r="O44" s="111" t="str">
        <f t="shared" si="35"/>
        <v/>
      </c>
      <c r="P44" s="34" t="str">
        <f t="shared" si="280"/>
        <v/>
      </c>
      <c r="Q44" s="111" t="str">
        <f t="shared" ref="Q44" si="585">P44</f>
        <v/>
      </c>
      <c r="R44" s="34" t="str">
        <f t="shared" si="282"/>
        <v/>
      </c>
      <c r="S44" s="111" t="str">
        <f t="shared" ref="S44" si="586">R44</f>
        <v/>
      </c>
      <c r="T44" s="37" t="str">
        <f t="shared" si="284"/>
        <v/>
      </c>
      <c r="U44" s="111" t="str">
        <f t="shared" ref="U44" si="587">T44</f>
        <v/>
      </c>
      <c r="V44" s="37" t="str">
        <f t="shared" si="286"/>
        <v/>
      </c>
      <c r="W44" s="111" t="str">
        <f t="shared" ref="W44" si="588">V44</f>
        <v/>
      </c>
      <c r="X44" s="37" t="str">
        <f t="shared" si="288"/>
        <v/>
      </c>
      <c r="Y44" s="111" t="str">
        <f t="shared" ref="Y44" si="589">X44</f>
        <v/>
      </c>
      <c r="Z44" s="37" t="str">
        <f t="shared" si="290"/>
        <v/>
      </c>
      <c r="AA44" s="111" t="str">
        <f t="shared" ref="AA44" si="590">Z44</f>
        <v/>
      </c>
      <c r="AB44" s="37" t="str">
        <f t="shared" si="292"/>
        <v/>
      </c>
      <c r="AC44" s="111" t="str">
        <f t="shared" ref="AC44" si="591">AB44</f>
        <v/>
      </c>
      <c r="AD44" s="37" t="str">
        <f t="shared" si="294"/>
        <v/>
      </c>
      <c r="AE44" s="111" t="str">
        <f t="shared" ref="AE44" si="592">AD44</f>
        <v/>
      </c>
      <c r="AF44" s="37" t="str">
        <f t="shared" si="296"/>
        <v/>
      </c>
      <c r="AG44" s="111" t="str">
        <f t="shared" ref="AG44" si="593">AF44</f>
        <v/>
      </c>
      <c r="AH44" s="37" t="str">
        <f t="shared" si="298"/>
        <v/>
      </c>
      <c r="AI44" s="111" t="str">
        <f t="shared" ref="AI44" si="594">AH44</f>
        <v/>
      </c>
      <c r="AJ44" s="37" t="str">
        <f t="shared" si="300"/>
        <v/>
      </c>
      <c r="AK44" s="111" t="str">
        <f t="shared" ref="AK44" si="595">AJ44</f>
        <v/>
      </c>
      <c r="AL44" s="37" t="str">
        <f t="shared" si="302"/>
        <v/>
      </c>
      <c r="AM44" s="111" t="str">
        <f t="shared" ref="AM44" si="596">AL44</f>
        <v/>
      </c>
      <c r="AN44" s="37" t="str">
        <f t="shared" si="304"/>
        <v/>
      </c>
      <c r="AO44" s="111" t="str">
        <f t="shared" ref="AO44" si="597">AN44</f>
        <v/>
      </c>
      <c r="AP44" s="37" t="str">
        <f t="shared" si="306"/>
        <v/>
      </c>
      <c r="AQ44" s="111" t="str">
        <f t="shared" ref="AQ44" si="598">AP44</f>
        <v/>
      </c>
      <c r="AR44" s="37" t="str">
        <f t="shared" si="308"/>
        <v/>
      </c>
      <c r="AS44" s="111" t="str">
        <f t="shared" ref="AS44" si="599">AR44</f>
        <v/>
      </c>
      <c r="AT44" s="37" t="str">
        <f t="shared" si="310"/>
        <v/>
      </c>
      <c r="AU44" s="111" t="str">
        <f t="shared" ref="AU44" si="600">AT44</f>
        <v/>
      </c>
      <c r="AV44" s="37" t="str">
        <f t="shared" si="312"/>
        <v/>
      </c>
      <c r="AW44" s="34" t="str">
        <f t="shared" si="33"/>
        <v/>
      </c>
      <c r="AX44" s="34"/>
      <c r="AY44" s="23"/>
      <c r="BH44" s="60" t="str" cm="1">
        <f t="array" ref="BH44">IFERROR(EOMONTH(EOMONTH(_xlfn._xlws.FILTER(Table1[Planned Start],(Table1[Category]=$E44)*(Table1[SBU]=$F$5)*(Table1[Execution Year]=$E$5)*(Table1[Most curent]=TRUE)),0)-45,0)+1,"")</f>
        <v/>
      </c>
      <c r="BI44" s="60" t="str" cm="1">
        <f t="array" ref="BI44">IFERROR(EOMONTH(_xlfn._xlws.FILTER(Table1[Planned Award],(Table1[Category]=$E44)*(Table1[SBU]=$F$5)*(Table1[Execution Year]=$E$5)*(Table1[Most curent]=TRUE)),0),"")</f>
        <v/>
      </c>
      <c r="BJ44" s="60" t="str" cm="1">
        <f t="array" ref="BJ44">IFERROR(EOMONTH(EOMONTH(_xlfn._xlws.FILTER(Table1[Current Phase End],(Table1[Category]=$E44)*(Table1[SBU]=$F$5)*(Table1[Execution Year]=$E$5)*(Table1[Most curent]=TRUE)),0)-45,0)+1,"")</f>
        <v/>
      </c>
      <c r="BK44" s="60" t="str" cm="1">
        <f t="array" ref="BK44">IFERROR(EOMONTH(_xlfn._xlws.FILTER(Table1[Revised Award],(Table1[Category]=$E44)*(Table1[SBU]=$F$5)*(Table1[Execution Year]=$E$5)*(Table1[Most curent]=TRUE)),0),"")</f>
        <v/>
      </c>
      <c r="BL44" s="60" t="str">
        <f t="shared" si="262"/>
        <v/>
      </c>
      <c r="BM44" s="60" t="str">
        <f t="shared" si="263"/>
        <v/>
      </c>
    </row>
    <row r="45" spans="2:65" ht="15.6" thickTop="1" thickBot="1">
      <c r="B45" s="123"/>
      <c r="C45" s="71"/>
      <c r="D45" s="125"/>
      <c r="E45" s="35"/>
      <c r="F45" s="35"/>
      <c r="G45" s="35"/>
      <c r="H45" s="36"/>
      <c r="I45" s="36"/>
      <c r="J45" s="35"/>
      <c r="K45" s="71"/>
      <c r="L45" s="71"/>
      <c r="M45" s="71"/>
      <c r="N45" s="34" t="str">
        <f t="shared" si="34"/>
        <v/>
      </c>
      <c r="O45" s="111" t="str">
        <f t="shared" si="35"/>
        <v/>
      </c>
      <c r="P45" s="34" t="str">
        <f t="shared" si="280"/>
        <v/>
      </c>
      <c r="Q45" s="111" t="str">
        <f t="shared" ref="Q45" si="601">P45</f>
        <v/>
      </c>
      <c r="R45" s="34" t="str">
        <f t="shared" si="282"/>
        <v/>
      </c>
      <c r="S45" s="111" t="str">
        <f t="shared" ref="S45" si="602">R45</f>
        <v/>
      </c>
      <c r="T45" s="37" t="str">
        <f t="shared" si="284"/>
        <v/>
      </c>
      <c r="U45" s="111" t="str">
        <f t="shared" ref="U45" si="603">T45</f>
        <v/>
      </c>
      <c r="V45" s="37" t="str">
        <f t="shared" si="286"/>
        <v/>
      </c>
      <c r="W45" s="111" t="str">
        <f t="shared" ref="W45" si="604">V45</f>
        <v/>
      </c>
      <c r="X45" s="37" t="str">
        <f t="shared" si="288"/>
        <v/>
      </c>
      <c r="Y45" s="111" t="str">
        <f t="shared" ref="Y45" si="605">X45</f>
        <v/>
      </c>
      <c r="Z45" s="37" t="str">
        <f t="shared" si="290"/>
        <v/>
      </c>
      <c r="AA45" s="111" t="str">
        <f t="shared" ref="AA45" si="606">Z45</f>
        <v/>
      </c>
      <c r="AB45" s="37" t="str">
        <f t="shared" si="292"/>
        <v/>
      </c>
      <c r="AC45" s="111" t="str">
        <f t="shared" ref="AC45" si="607">AB45</f>
        <v/>
      </c>
      <c r="AD45" s="37" t="str">
        <f t="shared" si="294"/>
        <v/>
      </c>
      <c r="AE45" s="111" t="str">
        <f t="shared" ref="AE45" si="608">AD45</f>
        <v/>
      </c>
      <c r="AF45" s="37" t="str">
        <f t="shared" si="296"/>
        <v/>
      </c>
      <c r="AG45" s="111" t="str">
        <f t="shared" ref="AG45" si="609">AF45</f>
        <v/>
      </c>
      <c r="AH45" s="37" t="str">
        <f t="shared" si="298"/>
        <v/>
      </c>
      <c r="AI45" s="111" t="str">
        <f t="shared" ref="AI45" si="610">AH45</f>
        <v/>
      </c>
      <c r="AJ45" s="37" t="str">
        <f t="shared" si="300"/>
        <v/>
      </c>
      <c r="AK45" s="111" t="str">
        <f t="shared" ref="AK45" si="611">AJ45</f>
        <v/>
      </c>
      <c r="AL45" s="37" t="str">
        <f t="shared" si="302"/>
        <v/>
      </c>
      <c r="AM45" s="111" t="str">
        <f t="shared" ref="AM45" si="612">AL45</f>
        <v/>
      </c>
      <c r="AN45" s="37" t="str">
        <f t="shared" si="304"/>
        <v/>
      </c>
      <c r="AO45" s="111" t="str">
        <f t="shared" ref="AO45" si="613">AN45</f>
        <v/>
      </c>
      <c r="AP45" s="37" t="str">
        <f t="shared" si="306"/>
        <v/>
      </c>
      <c r="AQ45" s="111" t="str">
        <f t="shared" ref="AQ45" si="614">AP45</f>
        <v/>
      </c>
      <c r="AR45" s="37" t="str">
        <f t="shared" si="308"/>
        <v/>
      </c>
      <c r="AS45" s="111" t="str">
        <f t="shared" ref="AS45" si="615">AR45</f>
        <v/>
      </c>
      <c r="AT45" s="37" t="str">
        <f t="shared" si="310"/>
        <v/>
      </c>
      <c r="AU45" s="111" t="str">
        <f t="shared" ref="AU45" si="616">AT45</f>
        <v/>
      </c>
      <c r="AV45" s="37" t="str">
        <f t="shared" si="312"/>
        <v/>
      </c>
      <c r="AW45" s="34" t="str">
        <f t="shared" si="33"/>
        <v/>
      </c>
      <c r="AX45" s="34"/>
      <c r="AY45" s="23"/>
      <c r="BH45" s="60" t="str" cm="1">
        <f t="array" ref="BH45">IFERROR(EOMONTH(EOMONTH(_xlfn._xlws.FILTER(Table1[Planned Start],(Table1[Category]=$E45)*(Table1[SBU]=$F$5)*(Table1[Execution Year]=$E$5)*(Table1[Most curent]=TRUE)),0)-45,0)+1,"")</f>
        <v/>
      </c>
      <c r="BI45" s="60" t="str" cm="1">
        <f t="array" ref="BI45">IFERROR(EOMONTH(_xlfn._xlws.FILTER(Table1[Planned Award],(Table1[Category]=$E45)*(Table1[SBU]=$F$5)*(Table1[Execution Year]=$E$5)*(Table1[Most curent]=TRUE)),0),"")</f>
        <v/>
      </c>
      <c r="BJ45" s="60" t="str" cm="1">
        <f t="array" ref="BJ45">IFERROR(EOMONTH(EOMONTH(_xlfn._xlws.FILTER(Table1[Current Phase End],(Table1[Category]=$E45)*(Table1[SBU]=$F$5)*(Table1[Execution Year]=$E$5)*(Table1[Most curent]=TRUE)),0)-45,0)+1,"")</f>
        <v/>
      </c>
      <c r="BK45" s="60" t="str" cm="1">
        <f t="array" ref="BK45">IFERROR(EOMONTH(_xlfn._xlws.FILTER(Table1[Revised Award],(Table1[Category]=$E45)*(Table1[SBU]=$F$5)*(Table1[Execution Year]=$E$5)*(Table1[Most curent]=TRUE)),0),"")</f>
        <v/>
      </c>
      <c r="BL45" s="60" t="str">
        <f t="shared" si="262"/>
        <v/>
      </c>
      <c r="BM45" s="60" t="str">
        <f t="shared" si="263"/>
        <v/>
      </c>
    </row>
    <row r="46" spans="2:65" ht="15.6" thickTop="1" thickBot="1">
      <c r="B46" s="123"/>
      <c r="C46" s="71"/>
      <c r="D46" s="125"/>
      <c r="E46" s="35"/>
      <c r="F46" s="35"/>
      <c r="G46" s="35"/>
      <c r="H46" s="36"/>
      <c r="I46" s="36"/>
      <c r="J46" s="35"/>
      <c r="K46" s="71"/>
      <c r="L46" s="71"/>
      <c r="M46" s="71"/>
      <c r="N46" s="34" t="str">
        <f t="shared" si="34"/>
        <v/>
      </c>
      <c r="O46" s="111" t="str">
        <f t="shared" si="35"/>
        <v/>
      </c>
      <c r="P46" s="34" t="str">
        <f t="shared" si="280"/>
        <v/>
      </c>
      <c r="Q46" s="111" t="str">
        <f t="shared" ref="Q46" si="617">P46</f>
        <v/>
      </c>
      <c r="R46" s="34" t="str">
        <f t="shared" si="282"/>
        <v/>
      </c>
      <c r="S46" s="111" t="str">
        <f t="shared" ref="S46" si="618">R46</f>
        <v/>
      </c>
      <c r="T46" s="37" t="str">
        <f t="shared" si="284"/>
        <v/>
      </c>
      <c r="U46" s="111" t="str">
        <f t="shared" ref="U46" si="619">T46</f>
        <v/>
      </c>
      <c r="V46" s="37" t="str">
        <f t="shared" si="286"/>
        <v/>
      </c>
      <c r="W46" s="111" t="str">
        <f t="shared" ref="W46" si="620">V46</f>
        <v/>
      </c>
      <c r="X46" s="37" t="str">
        <f t="shared" si="288"/>
        <v/>
      </c>
      <c r="Y46" s="111" t="str">
        <f t="shared" ref="Y46" si="621">X46</f>
        <v/>
      </c>
      <c r="Z46" s="37" t="str">
        <f t="shared" si="290"/>
        <v/>
      </c>
      <c r="AA46" s="111" t="str">
        <f t="shared" ref="AA46" si="622">Z46</f>
        <v/>
      </c>
      <c r="AB46" s="37" t="str">
        <f t="shared" si="292"/>
        <v/>
      </c>
      <c r="AC46" s="111" t="str">
        <f t="shared" ref="AC46" si="623">AB46</f>
        <v/>
      </c>
      <c r="AD46" s="37" t="str">
        <f t="shared" si="294"/>
        <v/>
      </c>
      <c r="AE46" s="111" t="str">
        <f t="shared" ref="AE46" si="624">AD46</f>
        <v/>
      </c>
      <c r="AF46" s="37" t="str">
        <f t="shared" si="296"/>
        <v/>
      </c>
      <c r="AG46" s="111" t="str">
        <f t="shared" ref="AG46" si="625">AF46</f>
        <v/>
      </c>
      <c r="AH46" s="37" t="str">
        <f t="shared" si="298"/>
        <v/>
      </c>
      <c r="AI46" s="111" t="str">
        <f t="shared" ref="AI46" si="626">AH46</f>
        <v/>
      </c>
      <c r="AJ46" s="37" t="str">
        <f t="shared" si="300"/>
        <v/>
      </c>
      <c r="AK46" s="111" t="str">
        <f t="shared" ref="AK46" si="627">AJ46</f>
        <v/>
      </c>
      <c r="AL46" s="37" t="str">
        <f t="shared" si="302"/>
        <v/>
      </c>
      <c r="AM46" s="111" t="str">
        <f t="shared" ref="AM46" si="628">AL46</f>
        <v/>
      </c>
      <c r="AN46" s="37" t="str">
        <f t="shared" si="304"/>
        <v/>
      </c>
      <c r="AO46" s="111" t="str">
        <f t="shared" ref="AO46" si="629">AN46</f>
        <v/>
      </c>
      <c r="AP46" s="37" t="str">
        <f t="shared" si="306"/>
        <v/>
      </c>
      <c r="AQ46" s="111" t="str">
        <f t="shared" ref="AQ46" si="630">AP46</f>
        <v/>
      </c>
      <c r="AR46" s="37" t="str">
        <f t="shared" si="308"/>
        <v/>
      </c>
      <c r="AS46" s="111" t="str">
        <f t="shared" ref="AS46" si="631">AR46</f>
        <v/>
      </c>
      <c r="AT46" s="37" t="str">
        <f t="shared" si="310"/>
        <v/>
      </c>
      <c r="AU46" s="111" t="str">
        <f t="shared" ref="AU46" si="632">AT46</f>
        <v/>
      </c>
      <c r="AV46" s="37" t="str">
        <f t="shared" si="312"/>
        <v/>
      </c>
      <c r="AW46" s="34" t="str">
        <f t="shared" si="33"/>
        <v/>
      </c>
      <c r="AX46" s="34"/>
      <c r="AY46" s="23"/>
      <c r="BH46" s="60" t="str" cm="1">
        <f t="array" ref="BH46">IFERROR(EOMONTH(EOMONTH(_xlfn._xlws.FILTER(Table1[Planned Start],(Table1[Category]=$E46)*(Table1[SBU]=$F$5)*(Table1[Execution Year]=$E$5)*(Table1[Most curent]=TRUE)),0)-45,0)+1,"")</f>
        <v/>
      </c>
      <c r="BI46" s="60" t="str" cm="1">
        <f t="array" ref="BI46">IFERROR(EOMONTH(_xlfn._xlws.FILTER(Table1[Planned Award],(Table1[Category]=$E46)*(Table1[SBU]=$F$5)*(Table1[Execution Year]=$E$5)*(Table1[Most curent]=TRUE)),0),"")</f>
        <v/>
      </c>
      <c r="BJ46" s="60" t="str" cm="1">
        <f t="array" ref="BJ46">IFERROR(EOMONTH(EOMONTH(_xlfn._xlws.FILTER(Table1[Current Phase End],(Table1[Category]=$E46)*(Table1[SBU]=$F$5)*(Table1[Execution Year]=$E$5)*(Table1[Most curent]=TRUE)),0)-45,0)+1,"")</f>
        <v/>
      </c>
      <c r="BK46" s="60" t="str" cm="1">
        <f t="array" ref="BK46">IFERROR(EOMONTH(_xlfn._xlws.FILTER(Table1[Revised Award],(Table1[Category]=$E46)*(Table1[SBU]=$F$5)*(Table1[Execution Year]=$E$5)*(Table1[Most curent]=TRUE)),0),"")</f>
        <v/>
      </c>
      <c r="BL46" s="60" t="str">
        <f t="shared" si="262"/>
        <v/>
      </c>
      <c r="BM46" s="60" t="str">
        <f t="shared" si="263"/>
        <v/>
      </c>
    </row>
    <row r="47" spans="2:65" ht="15.6" thickTop="1" thickBot="1">
      <c r="B47" s="123"/>
      <c r="C47" s="71"/>
      <c r="D47" s="125"/>
      <c r="E47" s="35"/>
      <c r="F47" s="35"/>
      <c r="G47" s="35"/>
      <c r="H47" s="36"/>
      <c r="I47" s="36"/>
      <c r="J47" s="35"/>
      <c r="K47" s="71"/>
      <c r="L47" s="71"/>
      <c r="M47" s="71"/>
      <c r="N47" s="34" t="str">
        <f t="shared" si="34"/>
        <v/>
      </c>
      <c r="O47" s="111" t="str">
        <f t="shared" si="35"/>
        <v/>
      </c>
      <c r="P47" s="34" t="str">
        <f t="shared" si="280"/>
        <v/>
      </c>
      <c r="Q47" s="111" t="str">
        <f t="shared" ref="Q47" si="633">P47</f>
        <v/>
      </c>
      <c r="R47" s="34" t="str">
        <f t="shared" si="282"/>
        <v/>
      </c>
      <c r="S47" s="111" t="str">
        <f t="shared" ref="S47" si="634">R47</f>
        <v/>
      </c>
      <c r="T47" s="37" t="str">
        <f t="shared" si="284"/>
        <v/>
      </c>
      <c r="U47" s="111" t="str">
        <f t="shared" ref="U47" si="635">T47</f>
        <v/>
      </c>
      <c r="V47" s="37" t="str">
        <f t="shared" si="286"/>
        <v/>
      </c>
      <c r="W47" s="111" t="str">
        <f t="shared" ref="W47" si="636">V47</f>
        <v/>
      </c>
      <c r="X47" s="37" t="str">
        <f t="shared" si="288"/>
        <v/>
      </c>
      <c r="Y47" s="111" t="str">
        <f t="shared" ref="Y47" si="637">X47</f>
        <v/>
      </c>
      <c r="Z47" s="37" t="str">
        <f t="shared" si="290"/>
        <v/>
      </c>
      <c r="AA47" s="111" t="str">
        <f t="shared" ref="AA47" si="638">Z47</f>
        <v/>
      </c>
      <c r="AB47" s="37" t="str">
        <f t="shared" si="292"/>
        <v/>
      </c>
      <c r="AC47" s="111" t="str">
        <f t="shared" ref="AC47" si="639">AB47</f>
        <v/>
      </c>
      <c r="AD47" s="37" t="str">
        <f t="shared" si="294"/>
        <v/>
      </c>
      <c r="AE47" s="111" t="str">
        <f t="shared" ref="AE47" si="640">AD47</f>
        <v/>
      </c>
      <c r="AF47" s="37" t="str">
        <f t="shared" si="296"/>
        <v/>
      </c>
      <c r="AG47" s="111" t="str">
        <f t="shared" ref="AG47" si="641">AF47</f>
        <v/>
      </c>
      <c r="AH47" s="37" t="str">
        <f t="shared" si="298"/>
        <v/>
      </c>
      <c r="AI47" s="111" t="str">
        <f t="shared" ref="AI47" si="642">AH47</f>
        <v/>
      </c>
      <c r="AJ47" s="37" t="str">
        <f t="shared" si="300"/>
        <v/>
      </c>
      <c r="AK47" s="111" t="str">
        <f t="shared" ref="AK47" si="643">AJ47</f>
        <v/>
      </c>
      <c r="AL47" s="37" t="str">
        <f t="shared" si="302"/>
        <v/>
      </c>
      <c r="AM47" s="111" t="str">
        <f t="shared" ref="AM47" si="644">AL47</f>
        <v/>
      </c>
      <c r="AN47" s="37" t="str">
        <f t="shared" si="304"/>
        <v/>
      </c>
      <c r="AO47" s="111" t="str">
        <f t="shared" ref="AO47" si="645">AN47</f>
        <v/>
      </c>
      <c r="AP47" s="37" t="str">
        <f t="shared" si="306"/>
        <v/>
      </c>
      <c r="AQ47" s="111" t="str">
        <f t="shared" ref="AQ47" si="646">AP47</f>
        <v/>
      </c>
      <c r="AR47" s="37" t="str">
        <f t="shared" si="308"/>
        <v/>
      </c>
      <c r="AS47" s="111" t="str">
        <f t="shared" ref="AS47" si="647">AR47</f>
        <v/>
      </c>
      <c r="AT47" s="37" t="str">
        <f t="shared" si="310"/>
        <v/>
      </c>
      <c r="AU47" s="111" t="str">
        <f t="shared" ref="AU47" si="648">AT47</f>
        <v/>
      </c>
      <c r="AV47" s="37" t="str">
        <f t="shared" si="312"/>
        <v/>
      </c>
      <c r="AW47" s="34" t="str">
        <f t="shared" si="33"/>
        <v/>
      </c>
      <c r="AX47" s="34"/>
      <c r="AY47" s="23"/>
      <c r="BH47" s="60" t="str" cm="1">
        <f t="array" ref="BH47">IFERROR(EOMONTH(EOMONTH(_xlfn._xlws.FILTER(Table1[Planned Start],(Table1[Category]=$E47)*(Table1[SBU]=$F$5)*(Table1[Execution Year]=$E$5)*(Table1[Most curent]=TRUE)),0)-45,0)+1,"")</f>
        <v/>
      </c>
      <c r="BI47" s="60" t="str" cm="1">
        <f t="array" ref="BI47">IFERROR(EOMONTH(_xlfn._xlws.FILTER(Table1[Planned Award],(Table1[Category]=$E47)*(Table1[SBU]=$F$5)*(Table1[Execution Year]=$E$5)*(Table1[Most curent]=TRUE)),0),"")</f>
        <v/>
      </c>
      <c r="BJ47" s="60" t="str" cm="1">
        <f t="array" ref="BJ47">IFERROR(EOMONTH(EOMONTH(_xlfn._xlws.FILTER(Table1[Current Phase End],(Table1[Category]=$E47)*(Table1[SBU]=$F$5)*(Table1[Execution Year]=$E$5)*(Table1[Most curent]=TRUE)),0)-45,0)+1,"")</f>
        <v/>
      </c>
      <c r="BK47" s="60" t="str" cm="1">
        <f t="array" ref="BK47">IFERROR(EOMONTH(_xlfn._xlws.FILTER(Table1[Revised Award],(Table1[Category]=$E47)*(Table1[SBU]=$F$5)*(Table1[Execution Year]=$E$5)*(Table1[Most curent]=TRUE)),0),"")</f>
        <v/>
      </c>
      <c r="BL47" s="60" t="str">
        <f t="shared" si="262"/>
        <v/>
      </c>
      <c r="BM47" s="60" t="str">
        <f t="shared" si="263"/>
        <v/>
      </c>
    </row>
    <row r="48" spans="2:65" ht="15.6" thickTop="1" thickBot="1">
      <c r="B48" s="123"/>
      <c r="C48" s="71"/>
      <c r="D48" s="125"/>
      <c r="E48" s="35"/>
      <c r="F48" s="35"/>
      <c r="G48" s="35"/>
      <c r="H48" s="36"/>
      <c r="I48" s="36"/>
      <c r="J48" s="35"/>
      <c r="K48" s="71"/>
      <c r="L48" s="71"/>
      <c r="M48" s="71"/>
      <c r="N48" s="34"/>
      <c r="O48" s="111"/>
      <c r="P48" s="34"/>
      <c r="Q48" s="111"/>
      <c r="R48" s="34"/>
      <c r="S48" s="111"/>
      <c r="T48" s="37"/>
      <c r="U48" s="111"/>
      <c r="V48" s="37"/>
      <c r="W48" s="111"/>
      <c r="X48" s="37"/>
      <c r="Y48" s="111"/>
      <c r="Z48" s="37"/>
      <c r="AA48" s="111"/>
      <c r="AB48" s="37"/>
      <c r="AC48" s="111"/>
      <c r="AD48" s="37"/>
      <c r="AE48" s="111"/>
      <c r="AF48" s="37"/>
      <c r="AG48" s="111"/>
      <c r="AH48" s="37"/>
      <c r="AI48" s="111"/>
      <c r="AJ48" s="37"/>
      <c r="AK48" s="111"/>
      <c r="AL48" s="37"/>
      <c r="AM48" s="111"/>
      <c r="AN48" s="37"/>
      <c r="AO48" s="111"/>
      <c r="AP48" s="37"/>
      <c r="AQ48" s="111"/>
      <c r="AR48" s="37"/>
      <c r="AS48" s="111"/>
      <c r="AT48" s="37"/>
      <c r="AU48" s="111"/>
      <c r="AV48" s="37"/>
      <c r="AW48" s="34"/>
      <c r="AX48" s="34"/>
      <c r="AY48" s="23"/>
      <c r="BH48" s="60" t="str" cm="1">
        <f t="array" ref="BH48">IFERROR(EOMONTH(EOMONTH(_xlfn._xlws.FILTER(Table1[Planned Start],(Table1[Category]=$E48)*(Table1[SBU]=$F$5)*(Table1[Execution Year]=$E$5)*(Table1[Most curent]=TRUE)),0)-45,0)+1,"")</f>
        <v/>
      </c>
      <c r="BI48" s="60" t="str" cm="1">
        <f t="array" ref="BI48">IFERROR(EOMONTH(_xlfn._xlws.FILTER(Table1[Planned Award],(Table1[Category]=$E48)*(Table1[SBU]=$F$5)*(Table1[Execution Year]=$E$5)*(Table1[Most curent]=TRUE)),0),"")</f>
        <v/>
      </c>
      <c r="BJ48" s="60" t="str" cm="1">
        <f t="array" ref="BJ48">IFERROR(EOMONTH(EOMONTH(_xlfn._xlws.FILTER(Table1[Current Phase End],(Table1[Category]=$E48)*(Table1[SBU]=$F$5)*(Table1[Execution Year]=$E$5)*(Table1[Most curent]=TRUE)),0)-45,0)+1,"")</f>
        <v/>
      </c>
      <c r="BK48" s="60" t="str" cm="1">
        <f t="array" ref="BK48">IFERROR(EOMONTH(_xlfn._xlws.FILTER(Table1[Revised Award],(Table1[Category]=$E48)*(Table1[SBU]=$F$5)*(Table1[Execution Year]=$E$5)*(Table1[Most curent]=TRUE)),0),"")</f>
        <v/>
      </c>
      <c r="BL48" s="60" t="str">
        <f t="shared" ref="BL48:BL58" si="649">IFERROR(EOMONTH(BH48-65,0)+1,"")</f>
        <v/>
      </c>
      <c r="BM48" s="60" t="str">
        <f t="shared" ref="BM48:BM58" si="650">IFERROR(BH48-1,"")</f>
        <v/>
      </c>
    </row>
    <row r="49" spans="2:65" ht="15.6" thickTop="1" thickBot="1">
      <c r="B49" s="123"/>
      <c r="C49" s="71"/>
      <c r="D49" s="125"/>
      <c r="E49" s="35"/>
      <c r="F49" s="35"/>
      <c r="G49" s="35"/>
      <c r="H49" s="36"/>
      <c r="I49" s="36"/>
      <c r="J49" s="35"/>
      <c r="K49" s="71"/>
      <c r="L49" s="71"/>
      <c r="M49" s="71"/>
      <c r="N49" s="34"/>
      <c r="O49" s="111"/>
      <c r="P49" s="34"/>
      <c r="Q49" s="111"/>
      <c r="R49" s="34"/>
      <c r="S49" s="111"/>
      <c r="T49" s="37"/>
      <c r="U49" s="111"/>
      <c r="V49" s="37"/>
      <c r="W49" s="111"/>
      <c r="X49" s="37"/>
      <c r="Y49" s="111"/>
      <c r="Z49" s="37"/>
      <c r="AA49" s="111"/>
      <c r="AB49" s="37"/>
      <c r="AC49" s="111"/>
      <c r="AD49" s="37"/>
      <c r="AE49" s="111"/>
      <c r="AF49" s="37"/>
      <c r="AG49" s="111"/>
      <c r="AH49" s="37"/>
      <c r="AI49" s="111"/>
      <c r="AJ49" s="37"/>
      <c r="AK49" s="111"/>
      <c r="AL49" s="37"/>
      <c r="AM49" s="111"/>
      <c r="AN49" s="37"/>
      <c r="AO49" s="111"/>
      <c r="AP49" s="37"/>
      <c r="AQ49" s="111"/>
      <c r="AR49" s="37"/>
      <c r="AS49" s="111"/>
      <c r="AT49" s="37"/>
      <c r="AU49" s="111"/>
      <c r="AV49" s="37"/>
      <c r="AW49" s="34"/>
      <c r="AX49" s="34"/>
      <c r="AY49" s="23"/>
      <c r="BH49" s="60" t="str" cm="1">
        <f t="array" ref="BH49">IFERROR(EOMONTH(EOMONTH(_xlfn._xlws.FILTER(Table1[Planned Start],(Table1[Category]=$E49)*(Table1[SBU]=$F$5)*(Table1[Execution Year]=$E$5)*(Table1[Most curent]=TRUE)),0)-45,0)+1,"")</f>
        <v/>
      </c>
      <c r="BI49" s="60" t="str" cm="1">
        <f t="array" ref="BI49">IFERROR(EOMONTH(_xlfn._xlws.FILTER(Table1[Planned Award],(Table1[Category]=$E49)*(Table1[SBU]=$F$5)*(Table1[Execution Year]=$E$5)*(Table1[Most curent]=TRUE)),0),"")</f>
        <v/>
      </c>
      <c r="BJ49" s="60" t="str" cm="1">
        <f t="array" ref="BJ49">IFERROR(EOMONTH(EOMONTH(_xlfn._xlws.FILTER(Table1[Current Phase End],(Table1[Category]=$E49)*(Table1[SBU]=$F$5)*(Table1[Execution Year]=$E$5)*(Table1[Most curent]=TRUE)),0)-45,0)+1,"")</f>
        <v/>
      </c>
      <c r="BK49" s="60" t="str" cm="1">
        <f t="array" ref="BK49">IFERROR(EOMONTH(_xlfn._xlws.FILTER(Table1[Revised Award],(Table1[Category]=$E49)*(Table1[SBU]=$F$5)*(Table1[Execution Year]=$E$5)*(Table1[Most curent]=TRUE)),0),"")</f>
        <v/>
      </c>
      <c r="BL49" s="60" t="str">
        <f t="shared" si="649"/>
        <v/>
      </c>
      <c r="BM49" s="60" t="str">
        <f t="shared" si="650"/>
        <v/>
      </c>
    </row>
    <row r="50" spans="2:65" ht="15.6" thickTop="1" thickBot="1">
      <c r="B50" s="123"/>
      <c r="C50" s="71"/>
      <c r="D50" s="125"/>
      <c r="E50" s="35"/>
      <c r="F50" s="35"/>
      <c r="G50" s="35"/>
      <c r="H50" s="36"/>
      <c r="I50" s="36"/>
      <c r="J50" s="35"/>
      <c r="K50" s="71"/>
      <c r="L50" s="71"/>
      <c r="M50" s="71"/>
      <c r="N50" s="34"/>
      <c r="O50" s="111"/>
      <c r="P50" s="34"/>
      <c r="Q50" s="111"/>
      <c r="R50" s="34"/>
      <c r="S50" s="111"/>
      <c r="T50" s="37"/>
      <c r="U50" s="111"/>
      <c r="V50" s="37"/>
      <c r="W50" s="111"/>
      <c r="X50" s="37"/>
      <c r="Y50" s="111"/>
      <c r="Z50" s="37"/>
      <c r="AA50" s="111"/>
      <c r="AB50" s="37"/>
      <c r="AC50" s="111"/>
      <c r="AD50" s="37"/>
      <c r="AE50" s="111"/>
      <c r="AF50" s="37"/>
      <c r="AG50" s="111"/>
      <c r="AH50" s="37"/>
      <c r="AI50" s="111"/>
      <c r="AJ50" s="37"/>
      <c r="AK50" s="111"/>
      <c r="AL50" s="37"/>
      <c r="AM50" s="111"/>
      <c r="AN50" s="37"/>
      <c r="AO50" s="111"/>
      <c r="AP50" s="37"/>
      <c r="AQ50" s="111"/>
      <c r="AR50" s="37"/>
      <c r="AS50" s="111"/>
      <c r="AT50" s="37"/>
      <c r="AU50" s="111"/>
      <c r="AV50" s="37"/>
      <c r="AW50" s="34"/>
      <c r="AX50" s="34"/>
      <c r="AY50" s="23"/>
      <c r="BH50" s="60" t="str" cm="1">
        <f t="array" ref="BH50">IFERROR(EOMONTH(EOMONTH(_xlfn._xlws.FILTER(Table1[Planned Start],(Table1[Category]=$E50)*(Table1[SBU]=$F$5)*(Table1[Execution Year]=$E$5)*(Table1[Most curent]=TRUE)),0)-45,0)+1,"")</f>
        <v/>
      </c>
      <c r="BI50" s="60" t="str" cm="1">
        <f t="array" ref="BI50">IFERROR(EOMONTH(_xlfn._xlws.FILTER(Table1[Planned Award],(Table1[Category]=$E50)*(Table1[SBU]=$F$5)*(Table1[Execution Year]=$E$5)*(Table1[Most curent]=TRUE)),0),"")</f>
        <v/>
      </c>
      <c r="BJ50" s="60" t="str" cm="1">
        <f t="array" ref="BJ50">IFERROR(EOMONTH(EOMONTH(_xlfn._xlws.FILTER(Table1[Current Phase End],(Table1[Category]=$E50)*(Table1[SBU]=$F$5)*(Table1[Execution Year]=$E$5)*(Table1[Most curent]=TRUE)),0)-45,0)+1,"")</f>
        <v/>
      </c>
      <c r="BK50" s="60" t="str" cm="1">
        <f t="array" ref="BK50">IFERROR(EOMONTH(_xlfn._xlws.FILTER(Table1[Revised Award],(Table1[Category]=$E50)*(Table1[SBU]=$F$5)*(Table1[Execution Year]=$E$5)*(Table1[Most curent]=TRUE)),0),"")</f>
        <v/>
      </c>
      <c r="BL50" s="60" t="str">
        <f t="shared" si="649"/>
        <v/>
      </c>
      <c r="BM50" s="60" t="str">
        <f t="shared" si="650"/>
        <v/>
      </c>
    </row>
    <row r="51" spans="2:65" ht="15.6" thickTop="1" thickBot="1">
      <c r="B51" s="123"/>
      <c r="C51" s="71"/>
      <c r="D51" s="125"/>
      <c r="E51" s="35"/>
      <c r="F51" s="35"/>
      <c r="G51" s="35"/>
      <c r="H51" s="36"/>
      <c r="I51" s="36"/>
      <c r="J51" s="35"/>
      <c r="K51" s="71"/>
      <c r="L51" s="71"/>
      <c r="M51" s="71"/>
      <c r="N51" s="34"/>
      <c r="O51" s="111"/>
      <c r="P51" s="34"/>
      <c r="Q51" s="111"/>
      <c r="R51" s="34"/>
      <c r="S51" s="111"/>
      <c r="T51" s="37"/>
      <c r="U51" s="111"/>
      <c r="V51" s="37"/>
      <c r="W51" s="111"/>
      <c r="X51" s="37"/>
      <c r="Y51" s="111"/>
      <c r="Z51" s="37"/>
      <c r="AA51" s="111"/>
      <c r="AB51" s="37"/>
      <c r="AC51" s="111"/>
      <c r="AD51" s="37"/>
      <c r="AE51" s="111"/>
      <c r="AF51" s="37"/>
      <c r="AG51" s="111"/>
      <c r="AH51" s="37"/>
      <c r="AI51" s="111"/>
      <c r="AJ51" s="37"/>
      <c r="AK51" s="111"/>
      <c r="AL51" s="37"/>
      <c r="AM51" s="111"/>
      <c r="AN51" s="37"/>
      <c r="AO51" s="111"/>
      <c r="AP51" s="37"/>
      <c r="AQ51" s="111"/>
      <c r="AR51" s="37"/>
      <c r="AS51" s="111"/>
      <c r="AT51" s="37"/>
      <c r="AU51" s="111"/>
      <c r="AV51" s="37"/>
      <c r="AW51" s="34"/>
      <c r="AX51" s="34"/>
      <c r="AY51" s="23"/>
      <c r="BH51" s="60" t="str" cm="1">
        <f t="array" ref="BH51">IFERROR(EOMONTH(EOMONTH(_xlfn._xlws.FILTER(Table1[Planned Start],(Table1[Category]=$E51)*(Table1[SBU]=$F$5)*(Table1[Execution Year]=$E$5)*(Table1[Most curent]=TRUE)),0)-45,0)+1,"")</f>
        <v/>
      </c>
      <c r="BI51" s="60" t="str" cm="1">
        <f t="array" ref="BI51">IFERROR(EOMONTH(_xlfn._xlws.FILTER(Table1[Planned Award],(Table1[Category]=$E51)*(Table1[SBU]=$F$5)*(Table1[Execution Year]=$E$5)*(Table1[Most curent]=TRUE)),0),"")</f>
        <v/>
      </c>
      <c r="BJ51" s="60" t="str" cm="1">
        <f t="array" ref="BJ51">IFERROR(EOMONTH(EOMONTH(_xlfn._xlws.FILTER(Table1[Current Phase End],(Table1[Category]=$E51)*(Table1[SBU]=$F$5)*(Table1[Execution Year]=$E$5)*(Table1[Most curent]=TRUE)),0)-45,0)+1,"")</f>
        <v/>
      </c>
      <c r="BK51" s="60" t="str" cm="1">
        <f t="array" ref="BK51">IFERROR(EOMONTH(_xlfn._xlws.FILTER(Table1[Revised Award],(Table1[Category]=$E51)*(Table1[SBU]=$F$5)*(Table1[Execution Year]=$E$5)*(Table1[Most curent]=TRUE)),0),"")</f>
        <v/>
      </c>
      <c r="BL51" s="60" t="str">
        <f t="shared" si="649"/>
        <v/>
      </c>
      <c r="BM51" s="60" t="str">
        <f t="shared" si="650"/>
        <v/>
      </c>
    </row>
    <row r="52" spans="2:65" ht="15.6" thickTop="1" thickBot="1">
      <c r="B52" s="123"/>
      <c r="C52" s="71"/>
      <c r="D52" s="125"/>
      <c r="E52" s="35"/>
      <c r="F52" s="35"/>
      <c r="G52" s="35"/>
      <c r="H52" s="36"/>
      <c r="I52" s="36"/>
      <c r="J52" s="35"/>
      <c r="K52" s="71"/>
      <c r="L52" s="71"/>
      <c r="M52" s="71"/>
      <c r="N52" s="34"/>
      <c r="O52" s="111"/>
      <c r="P52" s="34"/>
      <c r="Q52" s="111"/>
      <c r="R52" s="34"/>
      <c r="S52" s="111"/>
      <c r="T52" s="37"/>
      <c r="U52" s="111"/>
      <c r="V52" s="37"/>
      <c r="W52" s="111"/>
      <c r="X52" s="37"/>
      <c r="Y52" s="111"/>
      <c r="Z52" s="37"/>
      <c r="AA52" s="111"/>
      <c r="AB52" s="37"/>
      <c r="AC52" s="111"/>
      <c r="AD52" s="37"/>
      <c r="AE52" s="111"/>
      <c r="AF52" s="37"/>
      <c r="AG52" s="111"/>
      <c r="AH52" s="37"/>
      <c r="AI52" s="111"/>
      <c r="AJ52" s="37"/>
      <c r="AK52" s="111"/>
      <c r="AL52" s="37"/>
      <c r="AM52" s="111"/>
      <c r="AN52" s="37"/>
      <c r="AO52" s="111"/>
      <c r="AP52" s="37"/>
      <c r="AQ52" s="111"/>
      <c r="AR52" s="37"/>
      <c r="AS52" s="111"/>
      <c r="AT52" s="37"/>
      <c r="AU52" s="111"/>
      <c r="AV52" s="37"/>
      <c r="AW52" s="34"/>
      <c r="AX52" s="34"/>
      <c r="AY52" s="23"/>
      <c r="BH52" s="60" t="str" cm="1">
        <f t="array" ref="BH52">IFERROR(EOMONTH(EOMONTH(_xlfn._xlws.FILTER(Table1[Planned Start],(Table1[Category]=$E52)*(Table1[SBU]=$F$5)*(Table1[Execution Year]=$E$5)*(Table1[Most curent]=TRUE)),0)-45,0)+1,"")</f>
        <v/>
      </c>
      <c r="BI52" s="60" t="str" cm="1">
        <f t="array" ref="BI52">IFERROR(EOMONTH(_xlfn._xlws.FILTER(Table1[Planned Award],(Table1[Category]=$E52)*(Table1[SBU]=$F$5)*(Table1[Execution Year]=$E$5)*(Table1[Most curent]=TRUE)),0),"")</f>
        <v/>
      </c>
      <c r="BJ52" s="60" t="str" cm="1">
        <f t="array" ref="BJ52">IFERROR(EOMONTH(EOMONTH(_xlfn._xlws.FILTER(Table1[Current Phase End],(Table1[Category]=$E52)*(Table1[SBU]=$F$5)*(Table1[Execution Year]=$E$5)*(Table1[Most curent]=TRUE)),0)-45,0)+1,"")</f>
        <v/>
      </c>
      <c r="BK52" s="60" t="str" cm="1">
        <f t="array" ref="BK52">IFERROR(EOMONTH(_xlfn._xlws.FILTER(Table1[Revised Award],(Table1[Category]=$E52)*(Table1[SBU]=$F$5)*(Table1[Execution Year]=$E$5)*(Table1[Most curent]=TRUE)),0),"")</f>
        <v/>
      </c>
      <c r="BL52" s="60" t="str">
        <f t="shared" si="649"/>
        <v/>
      </c>
      <c r="BM52" s="60" t="str">
        <f t="shared" si="650"/>
        <v/>
      </c>
    </row>
    <row r="53" spans="2:65" ht="15.6" thickTop="1" thickBot="1">
      <c r="B53" s="123"/>
      <c r="C53" s="71"/>
      <c r="D53" s="125"/>
      <c r="E53" s="35"/>
      <c r="F53" s="35"/>
      <c r="G53" s="35"/>
      <c r="H53" s="36"/>
      <c r="I53" s="36"/>
      <c r="J53" s="35"/>
      <c r="K53" s="71"/>
      <c r="L53" s="71"/>
      <c r="M53" s="71"/>
      <c r="N53" s="34"/>
      <c r="O53" s="111"/>
      <c r="P53" s="34"/>
      <c r="Q53" s="111"/>
      <c r="R53" s="34"/>
      <c r="S53" s="111"/>
      <c r="T53" s="37"/>
      <c r="U53" s="111"/>
      <c r="V53" s="37"/>
      <c r="W53" s="111"/>
      <c r="X53" s="37"/>
      <c r="Y53" s="111"/>
      <c r="Z53" s="37"/>
      <c r="AA53" s="111"/>
      <c r="AB53" s="37"/>
      <c r="AC53" s="111"/>
      <c r="AD53" s="37"/>
      <c r="AE53" s="111"/>
      <c r="AF53" s="37"/>
      <c r="AG53" s="111"/>
      <c r="AH53" s="37"/>
      <c r="AI53" s="111"/>
      <c r="AJ53" s="37"/>
      <c r="AK53" s="111"/>
      <c r="AL53" s="37"/>
      <c r="AM53" s="111"/>
      <c r="AN53" s="37"/>
      <c r="AO53" s="111"/>
      <c r="AP53" s="37"/>
      <c r="AQ53" s="111"/>
      <c r="AR53" s="37"/>
      <c r="AS53" s="111"/>
      <c r="AT53" s="37"/>
      <c r="AU53" s="111"/>
      <c r="AV53" s="37"/>
      <c r="AW53" s="34"/>
      <c r="AX53" s="34"/>
      <c r="AY53" s="23"/>
      <c r="BH53" s="60" t="str" cm="1">
        <f t="array" ref="BH53">IFERROR(EOMONTH(EOMONTH(_xlfn._xlws.FILTER(Table1[Planned Start],(Table1[Category]=$E53)*(Table1[SBU]=$F$5)*(Table1[Execution Year]=$E$5)*(Table1[Most curent]=TRUE)),0)-45,0)+1,"")</f>
        <v/>
      </c>
      <c r="BI53" s="60" t="str" cm="1">
        <f t="array" ref="BI53">IFERROR(EOMONTH(_xlfn._xlws.FILTER(Table1[Planned Award],(Table1[Category]=$E53)*(Table1[SBU]=$F$5)*(Table1[Execution Year]=$E$5)*(Table1[Most curent]=TRUE)),0),"")</f>
        <v/>
      </c>
      <c r="BJ53" s="60" t="str" cm="1">
        <f t="array" ref="BJ53">IFERROR(EOMONTH(EOMONTH(_xlfn._xlws.FILTER(Table1[Current Phase End],(Table1[Category]=$E53)*(Table1[SBU]=$F$5)*(Table1[Execution Year]=$E$5)*(Table1[Most curent]=TRUE)),0)-45,0)+1,"")</f>
        <v/>
      </c>
      <c r="BK53" s="60" t="str" cm="1">
        <f t="array" ref="BK53">IFERROR(EOMONTH(_xlfn._xlws.FILTER(Table1[Revised Award],(Table1[Category]=$E53)*(Table1[SBU]=$F$5)*(Table1[Execution Year]=$E$5)*(Table1[Most curent]=TRUE)),0),"")</f>
        <v/>
      </c>
      <c r="BL53" s="60" t="str">
        <f t="shared" si="649"/>
        <v/>
      </c>
      <c r="BM53" s="60" t="str">
        <f t="shared" si="650"/>
        <v/>
      </c>
    </row>
    <row r="54" spans="2:65" ht="15.6" thickTop="1" thickBot="1">
      <c r="B54" s="123"/>
      <c r="C54" s="71"/>
      <c r="D54" s="125"/>
      <c r="E54" s="35"/>
      <c r="F54" s="35"/>
      <c r="G54" s="35"/>
      <c r="H54" s="36"/>
      <c r="I54" s="36"/>
      <c r="J54" s="35"/>
      <c r="K54" s="71"/>
      <c r="L54" s="71"/>
      <c r="M54" s="71"/>
      <c r="N54" s="34"/>
      <c r="O54" s="111"/>
      <c r="P54" s="34"/>
      <c r="Q54" s="111"/>
      <c r="R54" s="34"/>
      <c r="S54" s="111"/>
      <c r="T54" s="37"/>
      <c r="U54" s="111"/>
      <c r="V54" s="37"/>
      <c r="W54" s="111"/>
      <c r="X54" s="37"/>
      <c r="Y54" s="111"/>
      <c r="Z54" s="37"/>
      <c r="AA54" s="111"/>
      <c r="AB54" s="37"/>
      <c r="AC54" s="111"/>
      <c r="AD54" s="37"/>
      <c r="AE54" s="111"/>
      <c r="AF54" s="37"/>
      <c r="AG54" s="111"/>
      <c r="AH54" s="37"/>
      <c r="AI54" s="111"/>
      <c r="AJ54" s="37"/>
      <c r="AK54" s="111"/>
      <c r="AL54" s="37"/>
      <c r="AM54" s="111"/>
      <c r="AN54" s="37"/>
      <c r="AO54" s="111"/>
      <c r="AP54" s="37"/>
      <c r="AQ54" s="111"/>
      <c r="AR54" s="37"/>
      <c r="AS54" s="111"/>
      <c r="AT54" s="37"/>
      <c r="AU54" s="111"/>
      <c r="AV54" s="37"/>
      <c r="AW54" s="34"/>
      <c r="AX54" s="34"/>
      <c r="AY54" s="23"/>
      <c r="BH54" s="60" t="str" cm="1">
        <f t="array" ref="BH54">IFERROR(EOMONTH(EOMONTH(_xlfn._xlws.FILTER(Table1[Planned Start],(Table1[Category]=$E54)*(Table1[SBU]=$F$5)*(Table1[Execution Year]=$E$5)*(Table1[Most curent]=TRUE)),0)-45,0)+1,"")</f>
        <v/>
      </c>
      <c r="BI54" s="60" t="str" cm="1">
        <f t="array" ref="BI54">IFERROR(EOMONTH(_xlfn._xlws.FILTER(Table1[Planned Award],(Table1[Category]=$E54)*(Table1[SBU]=$F$5)*(Table1[Execution Year]=$E$5)*(Table1[Most curent]=TRUE)),0),"")</f>
        <v/>
      </c>
      <c r="BJ54" s="60" t="str" cm="1">
        <f t="array" ref="BJ54">IFERROR(EOMONTH(EOMONTH(_xlfn._xlws.FILTER(Table1[Current Phase End],(Table1[Category]=$E54)*(Table1[SBU]=$F$5)*(Table1[Execution Year]=$E$5)*(Table1[Most curent]=TRUE)),0)-45,0)+1,"")</f>
        <v/>
      </c>
      <c r="BK54" s="60" t="str" cm="1">
        <f t="array" ref="BK54">IFERROR(EOMONTH(_xlfn._xlws.FILTER(Table1[Revised Award],(Table1[Category]=$E54)*(Table1[SBU]=$F$5)*(Table1[Execution Year]=$E$5)*(Table1[Most curent]=TRUE)),0),"")</f>
        <v/>
      </c>
      <c r="BL54" s="60" t="str">
        <f t="shared" si="649"/>
        <v/>
      </c>
      <c r="BM54" s="60" t="str">
        <f t="shared" si="650"/>
        <v/>
      </c>
    </row>
    <row r="55" spans="2:65" ht="15.6" thickTop="1" thickBot="1">
      <c r="B55" s="123"/>
      <c r="C55" s="71"/>
      <c r="D55" s="125"/>
      <c r="E55" s="35"/>
      <c r="F55" s="35"/>
      <c r="G55" s="35"/>
      <c r="H55" s="36"/>
      <c r="I55" s="36"/>
      <c r="J55" s="35"/>
      <c r="K55" s="71"/>
      <c r="L55" s="71"/>
      <c r="M55" s="71"/>
      <c r="N55" s="34"/>
      <c r="O55" s="111"/>
      <c r="P55" s="34"/>
      <c r="Q55" s="111"/>
      <c r="R55" s="34"/>
      <c r="S55" s="111"/>
      <c r="T55" s="37"/>
      <c r="U55" s="111"/>
      <c r="V55" s="37"/>
      <c r="W55" s="111"/>
      <c r="X55" s="37"/>
      <c r="Y55" s="111"/>
      <c r="Z55" s="37"/>
      <c r="AA55" s="111"/>
      <c r="AB55" s="37"/>
      <c r="AC55" s="111"/>
      <c r="AD55" s="37"/>
      <c r="AE55" s="111"/>
      <c r="AF55" s="37"/>
      <c r="AG55" s="111"/>
      <c r="AH55" s="37"/>
      <c r="AI55" s="111"/>
      <c r="AJ55" s="37"/>
      <c r="AK55" s="111"/>
      <c r="AL55" s="37"/>
      <c r="AM55" s="111"/>
      <c r="AN55" s="37"/>
      <c r="AO55" s="111"/>
      <c r="AP55" s="37"/>
      <c r="AQ55" s="111"/>
      <c r="AR55" s="37"/>
      <c r="AS55" s="111"/>
      <c r="AT55" s="37"/>
      <c r="AU55" s="111"/>
      <c r="AV55" s="37"/>
      <c r="AW55" s="34"/>
      <c r="AX55" s="34"/>
      <c r="AY55" s="23"/>
      <c r="BH55" s="60" t="str" cm="1">
        <f t="array" ref="BH55">IFERROR(EOMONTH(EOMONTH(_xlfn._xlws.FILTER(Table1[Planned Start],(Table1[Category]=$E55)*(Table1[SBU]=$F$5)*(Table1[Execution Year]=$E$5)*(Table1[Most curent]=TRUE)),0)-45,0)+1,"")</f>
        <v/>
      </c>
      <c r="BI55" s="60" t="str" cm="1">
        <f t="array" ref="BI55">IFERROR(EOMONTH(_xlfn._xlws.FILTER(Table1[Planned Award],(Table1[Category]=$E55)*(Table1[SBU]=$F$5)*(Table1[Execution Year]=$E$5)*(Table1[Most curent]=TRUE)),0),"")</f>
        <v/>
      </c>
      <c r="BJ55" s="60" t="str" cm="1">
        <f t="array" ref="BJ55">IFERROR(EOMONTH(EOMONTH(_xlfn._xlws.FILTER(Table1[Current Phase End],(Table1[Category]=$E55)*(Table1[SBU]=$F$5)*(Table1[Execution Year]=$E$5)*(Table1[Most curent]=TRUE)),0)-45,0)+1,"")</f>
        <v/>
      </c>
      <c r="BK55" s="60" t="str" cm="1">
        <f t="array" ref="BK55">IFERROR(EOMONTH(_xlfn._xlws.FILTER(Table1[Revised Award],(Table1[Category]=$E55)*(Table1[SBU]=$F$5)*(Table1[Execution Year]=$E$5)*(Table1[Most curent]=TRUE)),0),"")</f>
        <v/>
      </c>
      <c r="BL55" s="60" t="str">
        <f t="shared" si="649"/>
        <v/>
      </c>
      <c r="BM55" s="60" t="str">
        <f t="shared" si="650"/>
        <v/>
      </c>
    </row>
    <row r="56" spans="2:65" ht="15.6" thickTop="1" thickBot="1">
      <c r="B56" s="123"/>
      <c r="C56" s="71"/>
      <c r="D56" s="125"/>
      <c r="E56" s="35"/>
      <c r="F56" s="35"/>
      <c r="G56" s="35"/>
      <c r="H56" s="36"/>
      <c r="I56" s="36"/>
      <c r="J56" s="35"/>
      <c r="K56" s="71"/>
      <c r="L56" s="71"/>
      <c r="M56" s="71"/>
      <c r="N56" s="34"/>
      <c r="O56" s="111"/>
      <c r="P56" s="34"/>
      <c r="Q56" s="111"/>
      <c r="R56" s="34"/>
      <c r="S56" s="111"/>
      <c r="T56" s="37"/>
      <c r="U56" s="111"/>
      <c r="V56" s="37"/>
      <c r="W56" s="111"/>
      <c r="X56" s="37"/>
      <c r="Y56" s="111"/>
      <c r="Z56" s="37"/>
      <c r="AA56" s="111"/>
      <c r="AB56" s="37"/>
      <c r="AC56" s="111"/>
      <c r="AD56" s="37"/>
      <c r="AE56" s="111"/>
      <c r="AF56" s="37"/>
      <c r="AG56" s="111"/>
      <c r="AH56" s="37"/>
      <c r="AI56" s="111"/>
      <c r="AJ56" s="37"/>
      <c r="AK56" s="111"/>
      <c r="AL56" s="37"/>
      <c r="AM56" s="111"/>
      <c r="AN56" s="37"/>
      <c r="AO56" s="111"/>
      <c r="AP56" s="37"/>
      <c r="AQ56" s="111"/>
      <c r="AR56" s="37"/>
      <c r="AS56" s="111"/>
      <c r="AT56" s="37"/>
      <c r="AU56" s="111"/>
      <c r="AV56" s="37"/>
      <c r="AW56" s="34"/>
      <c r="AX56" s="34"/>
      <c r="AY56" s="23"/>
      <c r="BH56" s="60" t="str" cm="1">
        <f t="array" ref="BH56">IFERROR(EOMONTH(EOMONTH(_xlfn._xlws.FILTER(Table1[Planned Start],(Table1[Category]=$E56)*(Table1[SBU]=$F$5)*(Table1[Execution Year]=$E$5)*(Table1[Most curent]=TRUE)),0)-45,0)+1,"")</f>
        <v/>
      </c>
      <c r="BI56" s="60" t="str" cm="1">
        <f t="array" ref="BI56">IFERROR(EOMONTH(_xlfn._xlws.FILTER(Table1[Planned Award],(Table1[Category]=$E56)*(Table1[SBU]=$F$5)*(Table1[Execution Year]=$E$5)*(Table1[Most curent]=TRUE)),0),"")</f>
        <v/>
      </c>
      <c r="BJ56" s="60" t="str" cm="1">
        <f t="array" ref="BJ56">IFERROR(EOMONTH(EOMONTH(_xlfn._xlws.FILTER(Table1[Current Phase End],(Table1[Category]=$E56)*(Table1[SBU]=$F$5)*(Table1[Execution Year]=$E$5)*(Table1[Most curent]=TRUE)),0)-45,0)+1,"")</f>
        <v/>
      </c>
      <c r="BK56" s="60" t="str" cm="1">
        <f t="array" ref="BK56">IFERROR(EOMONTH(_xlfn._xlws.FILTER(Table1[Revised Award],(Table1[Category]=$E56)*(Table1[SBU]=$F$5)*(Table1[Execution Year]=$E$5)*(Table1[Most curent]=TRUE)),0),"")</f>
        <v/>
      </c>
      <c r="BL56" s="60" t="str">
        <f t="shared" si="649"/>
        <v/>
      </c>
      <c r="BM56" s="60" t="str">
        <f t="shared" si="650"/>
        <v/>
      </c>
    </row>
    <row r="57" spans="2:65" ht="15.6" thickTop="1" thickBot="1">
      <c r="B57" s="123"/>
      <c r="C57" s="71"/>
      <c r="D57" s="125"/>
      <c r="E57" s="35"/>
      <c r="F57" s="35"/>
      <c r="G57" s="35"/>
      <c r="H57" s="36"/>
      <c r="I57" s="36"/>
      <c r="J57" s="35"/>
      <c r="K57" s="71"/>
      <c r="L57" s="71"/>
      <c r="M57" s="71"/>
      <c r="N57" s="34"/>
      <c r="O57" s="111"/>
      <c r="P57" s="34"/>
      <c r="Q57" s="111"/>
      <c r="R57" s="34"/>
      <c r="S57" s="111"/>
      <c r="T57" s="37"/>
      <c r="U57" s="111"/>
      <c r="V57" s="37"/>
      <c r="W57" s="111"/>
      <c r="X57" s="37"/>
      <c r="Y57" s="111"/>
      <c r="Z57" s="37"/>
      <c r="AA57" s="111"/>
      <c r="AB57" s="37"/>
      <c r="AC57" s="111"/>
      <c r="AD57" s="37"/>
      <c r="AE57" s="111"/>
      <c r="AF57" s="37"/>
      <c r="AG57" s="111"/>
      <c r="AH57" s="37"/>
      <c r="AI57" s="111"/>
      <c r="AJ57" s="37"/>
      <c r="AK57" s="111"/>
      <c r="AL57" s="37"/>
      <c r="AM57" s="111"/>
      <c r="AN57" s="37"/>
      <c r="AO57" s="111"/>
      <c r="AP57" s="37"/>
      <c r="AQ57" s="111"/>
      <c r="AR57" s="37"/>
      <c r="AS57" s="111"/>
      <c r="AT57" s="37"/>
      <c r="AU57" s="111"/>
      <c r="AV57" s="37"/>
      <c r="AW57" s="34"/>
      <c r="AX57" s="34"/>
      <c r="AY57" s="23"/>
      <c r="BH57" s="60" t="str" cm="1">
        <f t="array" ref="BH57">IFERROR(EOMONTH(EOMONTH(_xlfn._xlws.FILTER(Table1[Planned Start],(Table1[Category]=$E57)*(Table1[SBU]=$F$5)*(Table1[Execution Year]=$E$5)*(Table1[Most curent]=TRUE)),0)-45,0)+1,"")</f>
        <v/>
      </c>
      <c r="BI57" s="60" t="str" cm="1">
        <f t="array" ref="BI57">IFERROR(EOMONTH(_xlfn._xlws.FILTER(Table1[Planned Award],(Table1[Category]=$E57)*(Table1[SBU]=$F$5)*(Table1[Execution Year]=$E$5)*(Table1[Most curent]=TRUE)),0),"")</f>
        <v/>
      </c>
      <c r="BJ57" s="60" t="str" cm="1">
        <f t="array" ref="BJ57">IFERROR(EOMONTH(EOMONTH(_xlfn._xlws.FILTER(Table1[Current Phase End],(Table1[Category]=$E57)*(Table1[SBU]=$F$5)*(Table1[Execution Year]=$E$5)*(Table1[Most curent]=TRUE)),0)-45,0)+1,"")</f>
        <v/>
      </c>
      <c r="BK57" s="60" t="str" cm="1">
        <f t="array" ref="BK57">IFERROR(EOMONTH(_xlfn._xlws.FILTER(Table1[Revised Award],(Table1[Category]=$E57)*(Table1[SBU]=$F$5)*(Table1[Execution Year]=$E$5)*(Table1[Most curent]=TRUE)),0),"")</f>
        <v/>
      </c>
      <c r="BL57" s="60" t="str">
        <f t="shared" si="649"/>
        <v/>
      </c>
      <c r="BM57" s="60" t="str">
        <f t="shared" si="650"/>
        <v/>
      </c>
    </row>
    <row r="58" spans="2:65" ht="15.6" thickTop="1" thickBot="1">
      <c r="B58" s="123"/>
      <c r="C58" s="71"/>
      <c r="D58" s="125"/>
      <c r="E58" s="35"/>
      <c r="F58" s="35"/>
      <c r="G58" s="35"/>
      <c r="H58" s="36"/>
      <c r="I58" s="36"/>
      <c r="J58" s="35"/>
      <c r="K58" s="71"/>
      <c r="L58" s="71"/>
      <c r="M58" s="71"/>
      <c r="N58" s="34"/>
      <c r="O58" s="111"/>
      <c r="P58" s="34"/>
      <c r="Q58" s="111"/>
      <c r="R58" s="34"/>
      <c r="S58" s="111"/>
      <c r="T58" s="37"/>
      <c r="U58" s="111"/>
      <c r="V58" s="37"/>
      <c r="W58" s="111"/>
      <c r="X58" s="37"/>
      <c r="Y58" s="111"/>
      <c r="Z58" s="37"/>
      <c r="AA58" s="111"/>
      <c r="AB58" s="37"/>
      <c r="AC58" s="111"/>
      <c r="AD58" s="37"/>
      <c r="AE58" s="111"/>
      <c r="AF58" s="37"/>
      <c r="AG58" s="111"/>
      <c r="AH58" s="37"/>
      <c r="AI58" s="111"/>
      <c r="AJ58" s="37"/>
      <c r="AK58" s="111"/>
      <c r="AL58" s="37"/>
      <c r="AM58" s="111"/>
      <c r="AN58" s="37"/>
      <c r="AO58" s="111"/>
      <c r="AP58" s="37"/>
      <c r="AQ58" s="111"/>
      <c r="AR58" s="37"/>
      <c r="AS58" s="111"/>
      <c r="AT58" s="37"/>
      <c r="AU58" s="111"/>
      <c r="AV58" s="37"/>
      <c r="AW58" s="34"/>
      <c r="AX58" s="34"/>
      <c r="AY58" s="23"/>
      <c r="BH58" s="60" t="str" cm="1">
        <f t="array" ref="BH58">IFERROR(EOMONTH(EOMONTH(_xlfn._xlws.FILTER(Table1[Planned Start],(Table1[Category]=$E58)*(Table1[SBU]=$F$5)*(Table1[Execution Year]=$E$5)*(Table1[Most curent]=TRUE)),0)-45,0)+1,"")</f>
        <v/>
      </c>
      <c r="BI58" s="60" t="str" cm="1">
        <f t="array" ref="BI58">IFERROR(EOMONTH(_xlfn._xlws.FILTER(Table1[Planned Award],(Table1[Category]=$E58)*(Table1[SBU]=$F$5)*(Table1[Execution Year]=$E$5)*(Table1[Most curent]=TRUE)),0),"")</f>
        <v/>
      </c>
      <c r="BJ58" s="60" t="str" cm="1">
        <f t="array" ref="BJ58">IFERROR(EOMONTH(EOMONTH(_xlfn._xlws.FILTER(Table1[Current Phase End],(Table1[Category]=$E58)*(Table1[SBU]=$F$5)*(Table1[Execution Year]=$E$5)*(Table1[Most curent]=TRUE)),0)-45,0)+1,"")</f>
        <v/>
      </c>
      <c r="BK58" s="60" t="str" cm="1">
        <f t="array" ref="BK58">IFERROR(EOMONTH(_xlfn._xlws.FILTER(Table1[Revised Award],(Table1[Category]=$E58)*(Table1[SBU]=$F$5)*(Table1[Execution Year]=$E$5)*(Table1[Most curent]=TRUE)),0),"")</f>
        <v/>
      </c>
      <c r="BL58" s="60" t="str">
        <f t="shared" si="649"/>
        <v/>
      </c>
      <c r="BM58" s="60" t="str">
        <f t="shared" si="650"/>
        <v/>
      </c>
    </row>
    <row r="59" spans="2:65" ht="15.6" thickTop="1" thickBot="1">
      <c r="B59" s="123"/>
      <c r="C59" s="71"/>
      <c r="D59" s="125"/>
      <c r="E59" s="35"/>
      <c r="F59" s="35"/>
      <c r="G59" s="35"/>
      <c r="H59" s="36"/>
      <c r="I59" s="36"/>
      <c r="J59" s="35"/>
      <c r="K59" s="71"/>
      <c r="L59" s="71"/>
      <c r="M59" s="71"/>
      <c r="N59" s="34" t="str">
        <f t="shared" si="34"/>
        <v/>
      </c>
      <c r="O59" s="111" t="str">
        <f t="shared" si="35"/>
        <v/>
      </c>
      <c r="P59" s="34" t="str">
        <f t="shared" si="280"/>
        <v/>
      </c>
      <c r="Q59" s="111" t="str">
        <f t="shared" ref="Q59" si="651">P59</f>
        <v/>
      </c>
      <c r="R59" s="34" t="str">
        <f t="shared" si="282"/>
        <v/>
      </c>
      <c r="S59" s="111" t="str">
        <f t="shared" ref="S59" si="652">R59</f>
        <v/>
      </c>
      <c r="T59" s="37" t="str">
        <f t="shared" si="284"/>
        <v/>
      </c>
      <c r="U59" s="111" t="str">
        <f t="shared" ref="U59" si="653">T59</f>
        <v/>
      </c>
      <c r="V59" s="37" t="str">
        <f t="shared" si="286"/>
        <v/>
      </c>
      <c r="W59" s="111" t="str">
        <f t="shared" ref="W59" si="654">V59</f>
        <v/>
      </c>
      <c r="X59" s="37" t="str">
        <f t="shared" si="288"/>
        <v/>
      </c>
      <c r="Y59" s="111" t="str">
        <f t="shared" ref="Y59" si="655">X59</f>
        <v/>
      </c>
      <c r="Z59" s="37" t="str">
        <f t="shared" si="290"/>
        <v/>
      </c>
      <c r="AA59" s="111" t="str">
        <f t="shared" ref="AA59" si="656">Z59</f>
        <v/>
      </c>
      <c r="AB59" s="37" t="str">
        <f t="shared" si="292"/>
        <v/>
      </c>
      <c r="AC59" s="111" t="str">
        <f t="shared" ref="AC59" si="657">AB59</f>
        <v/>
      </c>
      <c r="AD59" s="37" t="str">
        <f t="shared" si="294"/>
        <v/>
      </c>
      <c r="AE59" s="111" t="str">
        <f t="shared" ref="AE59" si="658">AD59</f>
        <v/>
      </c>
      <c r="AF59" s="37" t="str">
        <f t="shared" si="296"/>
        <v/>
      </c>
      <c r="AG59" s="111" t="str">
        <f t="shared" ref="AG59" si="659">AF59</f>
        <v/>
      </c>
      <c r="AH59" s="37" t="str">
        <f t="shared" si="298"/>
        <v/>
      </c>
      <c r="AI59" s="111" t="str">
        <f t="shared" ref="AI59" si="660">AH59</f>
        <v/>
      </c>
      <c r="AJ59" s="37" t="str">
        <f t="shared" si="300"/>
        <v/>
      </c>
      <c r="AK59" s="111" t="str">
        <f t="shared" ref="AK59" si="661">AJ59</f>
        <v/>
      </c>
      <c r="AL59" s="37" t="str">
        <f t="shared" si="302"/>
        <v/>
      </c>
      <c r="AM59" s="111" t="str">
        <f t="shared" ref="AM59" si="662">AL59</f>
        <v/>
      </c>
      <c r="AN59" s="37" t="str">
        <f t="shared" si="304"/>
        <v/>
      </c>
      <c r="AO59" s="111" t="str">
        <f t="shared" ref="AO59" si="663">AN59</f>
        <v/>
      </c>
      <c r="AP59" s="37" t="str">
        <f t="shared" si="306"/>
        <v/>
      </c>
      <c r="AQ59" s="111" t="str">
        <f t="shared" ref="AQ59" si="664">AP59</f>
        <v/>
      </c>
      <c r="AR59" s="37" t="str">
        <f t="shared" si="308"/>
        <v/>
      </c>
      <c r="AS59" s="111" t="str">
        <f t="shared" ref="AS59" si="665">AR59</f>
        <v/>
      </c>
      <c r="AT59" s="37" t="str">
        <f t="shared" si="310"/>
        <v/>
      </c>
      <c r="AU59" s="111" t="str">
        <f t="shared" ref="AU59" si="666">AT59</f>
        <v/>
      </c>
      <c r="AV59" s="37" t="str">
        <f t="shared" si="312"/>
        <v/>
      </c>
      <c r="AW59" s="34" t="str">
        <f t="shared" si="33"/>
        <v/>
      </c>
      <c r="AX59" s="34"/>
      <c r="AY59" s="23"/>
      <c r="BH59" s="60" t="str" cm="1">
        <f t="array" ref="BH59">IFERROR(EOMONTH(EOMONTH(_xlfn._xlws.FILTER(Table1[Planned Start],(Table1[Category]=$E59)*(Table1[SBU]=$F$5)*(Table1[Execution Year]=$E$5)*(Table1[Most curent]=TRUE)),0)-45,0)+1,"")</f>
        <v/>
      </c>
      <c r="BI59" s="60" t="str" cm="1">
        <f t="array" ref="BI59">IFERROR(EOMONTH(_xlfn._xlws.FILTER(Table1[Planned Award],(Table1[Category]=$E59)*(Table1[SBU]=$F$5)*(Table1[Execution Year]=$E$5)*(Table1[Most curent]=TRUE)),0),"")</f>
        <v/>
      </c>
      <c r="BJ59" s="60" t="str" cm="1">
        <f t="array" ref="BJ59">IFERROR(EOMONTH(EOMONTH(_xlfn._xlws.FILTER(Table1[Current Phase End],(Table1[Category]=$E59)*(Table1[SBU]=$F$5)*(Table1[Execution Year]=$E$5)*(Table1[Most curent]=TRUE)),0)-45,0)+1,"")</f>
        <v/>
      </c>
      <c r="BK59" s="60" t="str" cm="1">
        <f t="array" ref="BK59">IFERROR(EOMONTH(_xlfn._xlws.FILTER(Table1[Revised Award],(Table1[Category]=$E59)*(Table1[SBU]=$F$5)*(Table1[Execution Year]=$E$5)*(Table1[Most curent]=TRUE)),0),"")</f>
        <v/>
      </c>
      <c r="BL59" s="60" t="str">
        <f t="shared" si="262"/>
        <v/>
      </c>
      <c r="BM59" s="60" t="str">
        <f t="shared" si="263"/>
        <v/>
      </c>
    </row>
    <row r="60" spans="2:65" ht="15.6" thickTop="1" thickBot="1">
      <c r="B60" s="123"/>
      <c r="C60" s="71"/>
      <c r="D60" s="125"/>
      <c r="E60" s="35"/>
      <c r="F60" s="35"/>
      <c r="G60" s="35"/>
      <c r="H60" s="36"/>
      <c r="I60" s="36"/>
      <c r="J60" s="35"/>
      <c r="K60" s="71"/>
      <c r="L60" s="71"/>
      <c r="M60" s="71"/>
      <c r="N60" s="34" t="str">
        <f t="shared" si="34"/>
        <v/>
      </c>
      <c r="O60" s="111" t="str">
        <f t="shared" si="35"/>
        <v/>
      </c>
      <c r="P60" s="34" t="str">
        <f t="shared" si="280"/>
        <v/>
      </c>
      <c r="Q60" s="111" t="str">
        <f t="shared" ref="Q60" si="667">P60</f>
        <v/>
      </c>
      <c r="R60" s="34" t="str">
        <f t="shared" si="282"/>
        <v/>
      </c>
      <c r="S60" s="111" t="str">
        <f t="shared" ref="S60" si="668">R60</f>
        <v/>
      </c>
      <c r="T60" s="37" t="str">
        <f t="shared" si="284"/>
        <v/>
      </c>
      <c r="U60" s="111" t="str">
        <f t="shared" ref="U60" si="669">T60</f>
        <v/>
      </c>
      <c r="V60" s="37" t="str">
        <f t="shared" si="286"/>
        <v/>
      </c>
      <c r="W60" s="111" t="str">
        <f t="shared" ref="W60" si="670">V60</f>
        <v/>
      </c>
      <c r="X60" s="37" t="str">
        <f t="shared" si="288"/>
        <v/>
      </c>
      <c r="Y60" s="111" t="str">
        <f t="shared" ref="Y60" si="671">X60</f>
        <v/>
      </c>
      <c r="Z60" s="37" t="str">
        <f t="shared" si="290"/>
        <v/>
      </c>
      <c r="AA60" s="111" t="str">
        <f t="shared" ref="AA60" si="672">Z60</f>
        <v/>
      </c>
      <c r="AB60" s="37" t="str">
        <f t="shared" si="292"/>
        <v/>
      </c>
      <c r="AC60" s="111" t="str">
        <f t="shared" ref="AC60" si="673">AB60</f>
        <v/>
      </c>
      <c r="AD60" s="37" t="str">
        <f t="shared" si="294"/>
        <v/>
      </c>
      <c r="AE60" s="111" t="str">
        <f t="shared" ref="AE60" si="674">AD60</f>
        <v/>
      </c>
      <c r="AF60" s="37" t="str">
        <f t="shared" si="296"/>
        <v/>
      </c>
      <c r="AG60" s="111" t="str">
        <f t="shared" ref="AG60" si="675">AF60</f>
        <v/>
      </c>
      <c r="AH60" s="37" t="str">
        <f t="shared" si="298"/>
        <v/>
      </c>
      <c r="AI60" s="111" t="str">
        <f t="shared" ref="AI60" si="676">AH60</f>
        <v/>
      </c>
      <c r="AJ60" s="37" t="str">
        <f t="shared" si="300"/>
        <v/>
      </c>
      <c r="AK60" s="111" t="str">
        <f t="shared" ref="AK60" si="677">AJ60</f>
        <v/>
      </c>
      <c r="AL60" s="37" t="str">
        <f t="shared" si="302"/>
        <v/>
      </c>
      <c r="AM60" s="111" t="str">
        <f t="shared" ref="AM60" si="678">AL60</f>
        <v/>
      </c>
      <c r="AN60" s="37" t="str">
        <f t="shared" si="304"/>
        <v/>
      </c>
      <c r="AO60" s="111" t="str">
        <f t="shared" ref="AO60" si="679">AN60</f>
        <v/>
      </c>
      <c r="AP60" s="37" t="str">
        <f t="shared" si="306"/>
        <v/>
      </c>
      <c r="AQ60" s="111" t="str">
        <f t="shared" ref="AQ60" si="680">AP60</f>
        <v/>
      </c>
      <c r="AR60" s="37" t="str">
        <f t="shared" si="308"/>
        <v/>
      </c>
      <c r="AS60" s="111" t="str">
        <f t="shared" ref="AS60" si="681">AR60</f>
        <v/>
      </c>
      <c r="AT60" s="37" t="str">
        <f t="shared" si="310"/>
        <v/>
      </c>
      <c r="AU60" s="111" t="str">
        <f t="shared" ref="AU60" si="682">AT60</f>
        <v/>
      </c>
      <c r="AV60" s="37" t="str">
        <f t="shared" si="312"/>
        <v/>
      </c>
      <c r="AW60" s="34" t="str">
        <f t="shared" si="33"/>
        <v/>
      </c>
      <c r="AX60" s="34"/>
      <c r="AY60" s="23"/>
      <c r="BH60" s="60" t="str" cm="1">
        <f t="array" ref="BH60">IFERROR(EOMONTH(EOMONTH(_xlfn._xlws.FILTER(Table1[Planned Start],(Table1[Category]=$E60)*(Table1[SBU]=$F$5)*(Table1[Execution Year]=$E$5)*(Table1[Most curent]=TRUE)),0)-45,0)+1,"")</f>
        <v/>
      </c>
      <c r="BI60" s="60" t="str" cm="1">
        <f t="array" ref="BI60">IFERROR(EOMONTH(_xlfn._xlws.FILTER(Table1[Planned Award],(Table1[Category]=$E60)*(Table1[SBU]=$F$5)*(Table1[Execution Year]=$E$5)*(Table1[Most curent]=TRUE)),0),"")</f>
        <v/>
      </c>
      <c r="BJ60" s="60" t="str" cm="1">
        <f t="array" ref="BJ60">IFERROR(EOMONTH(EOMONTH(_xlfn._xlws.FILTER(Table1[Current Phase End],(Table1[Category]=$E60)*(Table1[SBU]=$F$5)*(Table1[Execution Year]=$E$5)*(Table1[Most curent]=TRUE)),0)-45,0)+1,"")</f>
        <v/>
      </c>
      <c r="BK60" s="60" t="str" cm="1">
        <f t="array" ref="BK60">IFERROR(EOMONTH(_xlfn._xlws.FILTER(Table1[Revised Award],(Table1[Category]=$E60)*(Table1[SBU]=$F$5)*(Table1[Execution Year]=$E$5)*(Table1[Most curent]=TRUE)),0),"")</f>
        <v/>
      </c>
      <c r="BL60" s="60" t="str">
        <f t="shared" si="262"/>
        <v/>
      </c>
      <c r="BM60" s="60" t="str">
        <f t="shared" si="263"/>
        <v/>
      </c>
    </row>
    <row r="61" spans="2:65" ht="15.6" thickTop="1" thickBot="1">
      <c r="B61" s="123"/>
      <c r="C61" s="71"/>
      <c r="D61" s="125"/>
      <c r="E61" s="35"/>
      <c r="F61" s="35"/>
      <c r="G61" s="35"/>
      <c r="H61" s="36"/>
      <c r="I61" s="36"/>
      <c r="J61" s="35"/>
      <c r="K61" s="71"/>
      <c r="L61" s="71"/>
      <c r="M61" s="71"/>
      <c r="N61" s="34" t="str">
        <f t="shared" si="34"/>
        <v/>
      </c>
      <c r="O61" s="111" t="str">
        <f t="shared" si="35"/>
        <v/>
      </c>
      <c r="P61" s="34" t="str">
        <f t="shared" si="280"/>
        <v/>
      </c>
      <c r="Q61" s="111" t="str">
        <f t="shared" ref="Q61" si="683">P61</f>
        <v/>
      </c>
      <c r="R61" s="34" t="str">
        <f t="shared" si="282"/>
        <v/>
      </c>
      <c r="S61" s="111" t="str">
        <f t="shared" ref="S61" si="684">R61</f>
        <v/>
      </c>
      <c r="T61" s="37" t="str">
        <f t="shared" si="284"/>
        <v/>
      </c>
      <c r="U61" s="111" t="str">
        <f t="shared" ref="U61" si="685">T61</f>
        <v/>
      </c>
      <c r="V61" s="37" t="str">
        <f t="shared" si="286"/>
        <v/>
      </c>
      <c r="W61" s="111" t="str">
        <f t="shared" ref="W61" si="686">V61</f>
        <v/>
      </c>
      <c r="X61" s="37" t="str">
        <f t="shared" si="288"/>
        <v/>
      </c>
      <c r="Y61" s="111" t="str">
        <f t="shared" ref="Y61" si="687">X61</f>
        <v/>
      </c>
      <c r="Z61" s="37" t="str">
        <f t="shared" si="290"/>
        <v/>
      </c>
      <c r="AA61" s="111" t="str">
        <f t="shared" ref="AA61" si="688">Z61</f>
        <v/>
      </c>
      <c r="AB61" s="37" t="str">
        <f t="shared" si="292"/>
        <v/>
      </c>
      <c r="AC61" s="111" t="str">
        <f t="shared" ref="AC61" si="689">AB61</f>
        <v/>
      </c>
      <c r="AD61" s="37" t="str">
        <f t="shared" si="294"/>
        <v/>
      </c>
      <c r="AE61" s="111" t="str">
        <f t="shared" ref="AE61" si="690">AD61</f>
        <v/>
      </c>
      <c r="AF61" s="37" t="str">
        <f t="shared" si="296"/>
        <v/>
      </c>
      <c r="AG61" s="111" t="str">
        <f t="shared" ref="AG61" si="691">AF61</f>
        <v/>
      </c>
      <c r="AH61" s="37" t="str">
        <f t="shared" si="298"/>
        <v/>
      </c>
      <c r="AI61" s="111" t="str">
        <f t="shared" ref="AI61" si="692">AH61</f>
        <v/>
      </c>
      <c r="AJ61" s="37" t="str">
        <f t="shared" si="300"/>
        <v/>
      </c>
      <c r="AK61" s="111" t="str">
        <f t="shared" ref="AK61" si="693">AJ61</f>
        <v/>
      </c>
      <c r="AL61" s="37" t="str">
        <f t="shared" si="302"/>
        <v/>
      </c>
      <c r="AM61" s="111" t="str">
        <f t="shared" ref="AM61" si="694">AL61</f>
        <v/>
      </c>
      <c r="AN61" s="37" t="str">
        <f t="shared" si="304"/>
        <v/>
      </c>
      <c r="AO61" s="111" t="str">
        <f t="shared" ref="AO61" si="695">AN61</f>
        <v/>
      </c>
      <c r="AP61" s="37" t="str">
        <f t="shared" si="306"/>
        <v/>
      </c>
      <c r="AQ61" s="111" t="str">
        <f t="shared" ref="AQ61" si="696">AP61</f>
        <v/>
      </c>
      <c r="AR61" s="37" t="str">
        <f t="shared" si="308"/>
        <v/>
      </c>
      <c r="AS61" s="111" t="str">
        <f t="shared" ref="AS61" si="697">AR61</f>
        <v/>
      </c>
      <c r="AT61" s="37" t="str">
        <f t="shared" si="310"/>
        <v/>
      </c>
      <c r="AU61" s="111" t="str">
        <f t="shared" ref="AU61" si="698">AT61</f>
        <v/>
      </c>
      <c r="AV61" s="37" t="str">
        <f t="shared" si="312"/>
        <v/>
      </c>
      <c r="AW61" s="34" t="str">
        <f t="shared" si="33"/>
        <v/>
      </c>
      <c r="AX61" s="34"/>
      <c r="AY61" s="23"/>
      <c r="BH61" s="60" t="str" cm="1">
        <f t="array" ref="BH61">IFERROR(EOMONTH(EOMONTH(_xlfn._xlws.FILTER(Table1[Planned Start],(Table1[Category]=$E61)*(Table1[SBU]=$F$5)*(Table1[Execution Year]=$E$5)*(Table1[Most curent]=TRUE)),0)-45,0)+1,"")</f>
        <v/>
      </c>
      <c r="BI61" s="60" t="str" cm="1">
        <f t="array" ref="BI61">IFERROR(EOMONTH(_xlfn._xlws.FILTER(Table1[Planned Award],(Table1[Category]=$E61)*(Table1[SBU]=$F$5)*(Table1[Execution Year]=$E$5)*(Table1[Most curent]=TRUE)),0),"")</f>
        <v/>
      </c>
      <c r="BJ61" s="60" t="str" cm="1">
        <f t="array" ref="BJ61">IFERROR(EOMONTH(EOMONTH(_xlfn._xlws.FILTER(Table1[Current Phase End],(Table1[Category]=$E61)*(Table1[SBU]=$F$5)*(Table1[Execution Year]=$E$5)*(Table1[Most curent]=TRUE)),0)-45,0)+1,"")</f>
        <v/>
      </c>
      <c r="BK61" s="60" t="str" cm="1">
        <f t="array" ref="BK61">IFERROR(EOMONTH(_xlfn._xlws.FILTER(Table1[Revised Award],(Table1[Category]=$E61)*(Table1[SBU]=$F$5)*(Table1[Execution Year]=$E$5)*(Table1[Most curent]=TRUE)),0),"")</f>
        <v/>
      </c>
      <c r="BL61" s="60" t="str">
        <f t="shared" si="262"/>
        <v/>
      </c>
      <c r="BM61" s="60" t="str">
        <f t="shared" si="263"/>
        <v/>
      </c>
    </row>
    <row r="62" spans="2:65" ht="15.6" thickTop="1" thickBot="1">
      <c r="B62" s="123"/>
      <c r="C62" s="71"/>
      <c r="D62" s="125"/>
      <c r="E62" s="35"/>
      <c r="F62" s="35"/>
      <c r="G62" s="35"/>
      <c r="H62" s="36"/>
      <c r="I62" s="36"/>
      <c r="J62" s="35"/>
      <c r="K62" s="71"/>
      <c r="L62" s="71"/>
      <c r="M62" s="71"/>
      <c r="N62" s="34" t="str">
        <f t="shared" si="34"/>
        <v/>
      </c>
      <c r="O62" s="111" t="str">
        <f t="shared" si="35"/>
        <v/>
      </c>
      <c r="P62" s="34" t="str">
        <f t="shared" si="280"/>
        <v/>
      </c>
      <c r="Q62" s="111" t="str">
        <f t="shared" ref="Q62" si="699">P62</f>
        <v/>
      </c>
      <c r="R62" s="34" t="str">
        <f t="shared" si="282"/>
        <v/>
      </c>
      <c r="S62" s="111" t="str">
        <f t="shared" ref="S62" si="700">R62</f>
        <v/>
      </c>
      <c r="T62" s="37" t="str">
        <f t="shared" si="284"/>
        <v/>
      </c>
      <c r="U62" s="111" t="str">
        <f t="shared" ref="U62" si="701">T62</f>
        <v/>
      </c>
      <c r="V62" s="37" t="str">
        <f t="shared" si="286"/>
        <v/>
      </c>
      <c r="W62" s="111" t="str">
        <f t="shared" ref="W62" si="702">V62</f>
        <v/>
      </c>
      <c r="X62" s="37" t="str">
        <f t="shared" si="288"/>
        <v/>
      </c>
      <c r="Y62" s="111" t="str">
        <f t="shared" ref="Y62" si="703">X62</f>
        <v/>
      </c>
      <c r="Z62" s="37" t="str">
        <f t="shared" si="290"/>
        <v/>
      </c>
      <c r="AA62" s="111" t="str">
        <f t="shared" ref="AA62" si="704">Z62</f>
        <v/>
      </c>
      <c r="AB62" s="37" t="str">
        <f t="shared" si="292"/>
        <v/>
      </c>
      <c r="AC62" s="111" t="str">
        <f t="shared" ref="AC62" si="705">AB62</f>
        <v/>
      </c>
      <c r="AD62" s="37" t="str">
        <f t="shared" si="294"/>
        <v/>
      </c>
      <c r="AE62" s="111" t="str">
        <f t="shared" ref="AE62" si="706">AD62</f>
        <v/>
      </c>
      <c r="AF62" s="37" t="str">
        <f t="shared" si="296"/>
        <v/>
      </c>
      <c r="AG62" s="111" t="str">
        <f t="shared" ref="AG62" si="707">AF62</f>
        <v/>
      </c>
      <c r="AH62" s="37" t="str">
        <f t="shared" si="298"/>
        <v/>
      </c>
      <c r="AI62" s="111" t="str">
        <f t="shared" ref="AI62" si="708">AH62</f>
        <v/>
      </c>
      <c r="AJ62" s="37" t="str">
        <f t="shared" si="300"/>
        <v/>
      </c>
      <c r="AK62" s="111" t="str">
        <f t="shared" ref="AK62" si="709">AJ62</f>
        <v/>
      </c>
      <c r="AL62" s="37" t="str">
        <f t="shared" si="302"/>
        <v/>
      </c>
      <c r="AM62" s="111" t="str">
        <f t="shared" ref="AM62" si="710">AL62</f>
        <v/>
      </c>
      <c r="AN62" s="37" t="str">
        <f t="shared" si="304"/>
        <v/>
      </c>
      <c r="AO62" s="111" t="str">
        <f t="shared" ref="AO62" si="711">AN62</f>
        <v/>
      </c>
      <c r="AP62" s="37" t="str">
        <f t="shared" si="306"/>
        <v/>
      </c>
      <c r="AQ62" s="111" t="str">
        <f t="shared" ref="AQ62" si="712">AP62</f>
        <v/>
      </c>
      <c r="AR62" s="37" t="str">
        <f t="shared" si="308"/>
        <v/>
      </c>
      <c r="AS62" s="111" t="str">
        <f t="shared" ref="AS62" si="713">AR62</f>
        <v/>
      </c>
      <c r="AT62" s="37" t="str">
        <f t="shared" si="310"/>
        <v/>
      </c>
      <c r="AU62" s="111" t="str">
        <f t="shared" ref="AU62" si="714">AT62</f>
        <v/>
      </c>
      <c r="AV62" s="37" t="str">
        <f t="shared" si="312"/>
        <v/>
      </c>
      <c r="AW62" s="34" t="str">
        <f t="shared" si="33"/>
        <v/>
      </c>
      <c r="AX62" s="34"/>
      <c r="AY62" s="23"/>
      <c r="BH62" s="60" t="str" cm="1">
        <f t="array" ref="BH62">IFERROR(EOMONTH(EOMONTH(_xlfn._xlws.FILTER(Table1[Planned Start],(Table1[Category]=$E62)*(Table1[SBU]=$F$5)*(Table1[Execution Year]=$E$5)*(Table1[Most curent]=TRUE)),0)-45,0)+1,"")</f>
        <v/>
      </c>
      <c r="BI62" s="60" t="str" cm="1">
        <f t="array" ref="BI62">IFERROR(EOMONTH(_xlfn._xlws.FILTER(Table1[Planned Award],(Table1[Category]=$E62)*(Table1[SBU]=$F$5)*(Table1[Execution Year]=$E$5)*(Table1[Most curent]=TRUE)),0),"")</f>
        <v/>
      </c>
      <c r="BJ62" s="60" t="str" cm="1">
        <f t="array" ref="BJ62">IFERROR(EOMONTH(EOMONTH(_xlfn._xlws.FILTER(Table1[Current Phase End],(Table1[Category]=$E62)*(Table1[SBU]=$F$5)*(Table1[Execution Year]=$E$5)*(Table1[Most curent]=TRUE)),0)-45,0)+1,"")</f>
        <v/>
      </c>
      <c r="BK62" s="60" t="str" cm="1">
        <f t="array" ref="BK62">IFERROR(EOMONTH(_xlfn._xlws.FILTER(Table1[Revised Award],(Table1[Category]=$E62)*(Table1[SBU]=$F$5)*(Table1[Execution Year]=$E$5)*(Table1[Most curent]=TRUE)),0),"")</f>
        <v/>
      </c>
      <c r="BL62" s="60" t="str">
        <f t="shared" si="262"/>
        <v/>
      </c>
      <c r="BM62" s="60" t="str">
        <f t="shared" si="263"/>
        <v/>
      </c>
    </row>
    <row r="63" spans="2:65" ht="15.6" thickTop="1" thickBot="1">
      <c r="B63" s="123"/>
      <c r="C63" s="71"/>
      <c r="D63" s="125"/>
      <c r="E63" s="35"/>
      <c r="F63" s="35"/>
      <c r="G63" s="35"/>
      <c r="H63" s="36"/>
      <c r="I63" s="36"/>
      <c r="J63" s="35"/>
      <c r="K63" s="71"/>
      <c r="L63" s="71"/>
      <c r="M63" s="71"/>
      <c r="N63" s="34" t="str">
        <f t="shared" si="34"/>
        <v/>
      </c>
      <c r="O63" s="111" t="str">
        <f t="shared" si="35"/>
        <v/>
      </c>
      <c r="P63" s="34" t="str">
        <f t="shared" si="280"/>
        <v/>
      </c>
      <c r="Q63" s="111" t="str">
        <f t="shared" ref="Q63" si="715">P63</f>
        <v/>
      </c>
      <c r="R63" s="34" t="str">
        <f t="shared" si="282"/>
        <v/>
      </c>
      <c r="S63" s="111" t="str">
        <f t="shared" ref="S63" si="716">R63</f>
        <v/>
      </c>
      <c r="T63" s="37" t="str">
        <f t="shared" si="284"/>
        <v/>
      </c>
      <c r="U63" s="111" t="str">
        <f t="shared" ref="U63" si="717">T63</f>
        <v/>
      </c>
      <c r="V63" s="37" t="str">
        <f t="shared" si="286"/>
        <v/>
      </c>
      <c r="W63" s="111" t="str">
        <f t="shared" ref="W63" si="718">V63</f>
        <v/>
      </c>
      <c r="X63" s="37" t="str">
        <f t="shared" si="288"/>
        <v/>
      </c>
      <c r="Y63" s="111" t="str">
        <f t="shared" ref="Y63" si="719">X63</f>
        <v/>
      </c>
      <c r="Z63" s="37" t="str">
        <f t="shared" si="290"/>
        <v/>
      </c>
      <c r="AA63" s="111" t="str">
        <f t="shared" ref="AA63" si="720">Z63</f>
        <v/>
      </c>
      <c r="AB63" s="37" t="str">
        <f t="shared" si="292"/>
        <v/>
      </c>
      <c r="AC63" s="111" t="str">
        <f t="shared" ref="AC63" si="721">AB63</f>
        <v/>
      </c>
      <c r="AD63" s="37" t="str">
        <f t="shared" si="294"/>
        <v/>
      </c>
      <c r="AE63" s="111" t="str">
        <f t="shared" ref="AE63" si="722">AD63</f>
        <v/>
      </c>
      <c r="AF63" s="37" t="str">
        <f t="shared" si="296"/>
        <v/>
      </c>
      <c r="AG63" s="111" t="str">
        <f t="shared" ref="AG63" si="723">AF63</f>
        <v/>
      </c>
      <c r="AH63" s="37" t="str">
        <f t="shared" si="298"/>
        <v/>
      </c>
      <c r="AI63" s="111" t="str">
        <f t="shared" ref="AI63" si="724">AH63</f>
        <v/>
      </c>
      <c r="AJ63" s="37" t="str">
        <f t="shared" si="300"/>
        <v/>
      </c>
      <c r="AK63" s="111" t="str">
        <f t="shared" ref="AK63" si="725">AJ63</f>
        <v/>
      </c>
      <c r="AL63" s="37" t="str">
        <f t="shared" si="302"/>
        <v/>
      </c>
      <c r="AM63" s="111" t="str">
        <f t="shared" ref="AM63" si="726">AL63</f>
        <v/>
      </c>
      <c r="AN63" s="37" t="str">
        <f t="shared" si="304"/>
        <v/>
      </c>
      <c r="AO63" s="111" t="str">
        <f t="shared" ref="AO63" si="727">AN63</f>
        <v/>
      </c>
      <c r="AP63" s="37" t="str">
        <f t="shared" si="306"/>
        <v/>
      </c>
      <c r="AQ63" s="111" t="str">
        <f t="shared" ref="AQ63" si="728">AP63</f>
        <v/>
      </c>
      <c r="AR63" s="37" t="str">
        <f t="shared" si="308"/>
        <v/>
      </c>
      <c r="AS63" s="111" t="str">
        <f t="shared" ref="AS63" si="729">AR63</f>
        <v/>
      </c>
      <c r="AT63" s="37" t="str">
        <f t="shared" si="310"/>
        <v/>
      </c>
      <c r="AU63" s="111" t="str">
        <f t="shared" ref="AU63" si="730">AT63</f>
        <v/>
      </c>
      <c r="AV63" s="37" t="str">
        <f t="shared" si="312"/>
        <v/>
      </c>
      <c r="AW63" s="34" t="str">
        <f t="shared" si="33"/>
        <v/>
      </c>
      <c r="AX63" s="34"/>
      <c r="AY63" s="23"/>
      <c r="BH63" s="60" t="str" cm="1">
        <f t="array" ref="BH63">IFERROR(EOMONTH(EOMONTH(_xlfn._xlws.FILTER(Table1[Planned Start],(Table1[Category]=$E63)*(Table1[SBU]=$F$5)*(Table1[Execution Year]=$E$5)*(Table1[Most curent]=TRUE)),0)-45,0)+1,"")</f>
        <v/>
      </c>
      <c r="BI63" s="60" t="str" cm="1">
        <f t="array" ref="BI63">IFERROR(EOMONTH(_xlfn._xlws.FILTER(Table1[Planned Award],(Table1[Category]=$E63)*(Table1[SBU]=$F$5)*(Table1[Execution Year]=$E$5)*(Table1[Most curent]=TRUE)),0),"")</f>
        <v/>
      </c>
      <c r="BJ63" s="60" t="str" cm="1">
        <f t="array" ref="BJ63">IFERROR(EOMONTH(EOMONTH(_xlfn._xlws.FILTER(Table1[Current Phase End],(Table1[Category]=$E63)*(Table1[SBU]=$F$5)*(Table1[Execution Year]=$E$5)*(Table1[Most curent]=TRUE)),0)-45,0)+1,"")</f>
        <v/>
      </c>
      <c r="BK63" s="60" t="str" cm="1">
        <f t="array" ref="BK63">IFERROR(EOMONTH(_xlfn._xlws.FILTER(Table1[Revised Award],(Table1[Category]=$E63)*(Table1[SBU]=$F$5)*(Table1[Execution Year]=$E$5)*(Table1[Most curent]=TRUE)),0),"")</f>
        <v/>
      </c>
      <c r="BL63" s="60" t="str">
        <f t="shared" ref="BL63:BL71" si="731">IFERROR(EOMONTH(BH63-65,0)+1,"")</f>
        <v/>
      </c>
      <c r="BM63" s="60" t="str">
        <f t="shared" ref="BM63:BM71" si="732">IFERROR(BH63-1,"")</f>
        <v/>
      </c>
    </row>
    <row r="64" spans="2:65" ht="15.6" thickTop="1" thickBot="1">
      <c r="B64" s="123"/>
      <c r="C64" s="71"/>
      <c r="D64" s="125"/>
      <c r="E64" s="35"/>
      <c r="F64" s="35"/>
      <c r="G64" s="35"/>
      <c r="H64" s="36"/>
      <c r="I64" s="36"/>
      <c r="J64" s="35"/>
      <c r="K64" s="71"/>
      <c r="L64" s="71"/>
      <c r="M64" s="71"/>
      <c r="N64" s="34" t="str">
        <f t="shared" si="34"/>
        <v/>
      </c>
      <c r="O64" s="111" t="str">
        <f t="shared" si="35"/>
        <v/>
      </c>
      <c r="P64" s="34" t="str">
        <f t="shared" si="280"/>
        <v/>
      </c>
      <c r="Q64" s="111" t="str">
        <f t="shared" ref="Q64" si="733">P64</f>
        <v/>
      </c>
      <c r="R64" s="34" t="str">
        <f t="shared" si="282"/>
        <v/>
      </c>
      <c r="S64" s="111" t="str">
        <f t="shared" ref="S64" si="734">R64</f>
        <v/>
      </c>
      <c r="T64" s="37" t="str">
        <f t="shared" si="284"/>
        <v/>
      </c>
      <c r="U64" s="111" t="str">
        <f t="shared" ref="U64" si="735">T64</f>
        <v/>
      </c>
      <c r="V64" s="37" t="str">
        <f t="shared" si="286"/>
        <v/>
      </c>
      <c r="W64" s="111" t="str">
        <f t="shared" ref="W64" si="736">V64</f>
        <v/>
      </c>
      <c r="X64" s="37" t="str">
        <f t="shared" si="288"/>
        <v/>
      </c>
      <c r="Y64" s="111" t="str">
        <f t="shared" ref="Y64" si="737">X64</f>
        <v/>
      </c>
      <c r="Z64" s="37" t="str">
        <f t="shared" si="290"/>
        <v/>
      </c>
      <c r="AA64" s="111" t="str">
        <f t="shared" ref="AA64" si="738">Z64</f>
        <v/>
      </c>
      <c r="AB64" s="37" t="str">
        <f t="shared" si="292"/>
        <v/>
      </c>
      <c r="AC64" s="111" t="str">
        <f t="shared" ref="AC64" si="739">AB64</f>
        <v/>
      </c>
      <c r="AD64" s="37" t="str">
        <f t="shared" si="294"/>
        <v/>
      </c>
      <c r="AE64" s="111" t="str">
        <f t="shared" ref="AE64" si="740">AD64</f>
        <v/>
      </c>
      <c r="AF64" s="37" t="str">
        <f t="shared" si="296"/>
        <v/>
      </c>
      <c r="AG64" s="111" t="str">
        <f t="shared" ref="AG64" si="741">AF64</f>
        <v/>
      </c>
      <c r="AH64" s="37" t="str">
        <f t="shared" si="298"/>
        <v/>
      </c>
      <c r="AI64" s="111" t="str">
        <f t="shared" ref="AI64" si="742">AH64</f>
        <v/>
      </c>
      <c r="AJ64" s="37" t="str">
        <f t="shared" si="300"/>
        <v/>
      </c>
      <c r="AK64" s="111" t="str">
        <f t="shared" ref="AK64" si="743">AJ64</f>
        <v/>
      </c>
      <c r="AL64" s="37" t="str">
        <f t="shared" si="302"/>
        <v/>
      </c>
      <c r="AM64" s="111" t="str">
        <f t="shared" ref="AM64" si="744">AL64</f>
        <v/>
      </c>
      <c r="AN64" s="37" t="str">
        <f t="shared" si="304"/>
        <v/>
      </c>
      <c r="AO64" s="111" t="str">
        <f t="shared" ref="AO64" si="745">AN64</f>
        <v/>
      </c>
      <c r="AP64" s="37" t="str">
        <f t="shared" si="306"/>
        <v/>
      </c>
      <c r="AQ64" s="111" t="str">
        <f t="shared" ref="AQ64" si="746">AP64</f>
        <v/>
      </c>
      <c r="AR64" s="37" t="str">
        <f t="shared" si="308"/>
        <v/>
      </c>
      <c r="AS64" s="111" t="str">
        <f t="shared" ref="AS64" si="747">AR64</f>
        <v/>
      </c>
      <c r="AT64" s="37" t="str">
        <f t="shared" si="310"/>
        <v/>
      </c>
      <c r="AU64" s="111" t="str">
        <f t="shared" ref="AU64" si="748">AT64</f>
        <v/>
      </c>
      <c r="AV64" s="37" t="str">
        <f t="shared" si="312"/>
        <v/>
      </c>
      <c r="AW64" s="34" t="str">
        <f t="shared" si="33"/>
        <v/>
      </c>
      <c r="AX64" s="34"/>
      <c r="AY64" s="23"/>
      <c r="BH64" s="60" t="str" cm="1">
        <f t="array" ref="BH64">IFERROR(EOMONTH(EOMONTH(_xlfn._xlws.FILTER(Table1[Planned Start],(Table1[Category]=$E64)*(Table1[SBU]=$F$5)*(Table1[Execution Year]=$E$5)*(Table1[Most curent]=TRUE)),0)-45,0)+1,"")</f>
        <v/>
      </c>
      <c r="BI64" s="60" t="str" cm="1">
        <f t="array" ref="BI64">IFERROR(EOMONTH(_xlfn._xlws.FILTER(Table1[Planned Award],(Table1[Category]=$E64)*(Table1[SBU]=$F$5)*(Table1[Execution Year]=$E$5)*(Table1[Most curent]=TRUE)),0),"")</f>
        <v/>
      </c>
      <c r="BJ64" s="60" t="str" cm="1">
        <f t="array" ref="BJ64">IFERROR(EOMONTH(EOMONTH(_xlfn._xlws.FILTER(Table1[Current Phase End],(Table1[Category]=$E64)*(Table1[SBU]=$F$5)*(Table1[Execution Year]=$E$5)*(Table1[Most curent]=TRUE)),0)-45,0)+1,"")</f>
        <v/>
      </c>
      <c r="BK64" s="60" t="str" cm="1">
        <f t="array" ref="BK64">IFERROR(EOMONTH(_xlfn._xlws.FILTER(Table1[Revised Award],(Table1[Category]=$E64)*(Table1[SBU]=$F$5)*(Table1[Execution Year]=$E$5)*(Table1[Most curent]=TRUE)),0),"")</f>
        <v/>
      </c>
      <c r="BL64" s="60" t="str">
        <f t="shared" si="731"/>
        <v/>
      </c>
      <c r="BM64" s="60" t="str">
        <f t="shared" si="732"/>
        <v/>
      </c>
    </row>
    <row r="65" spans="2:65" ht="15.6" thickTop="1" thickBot="1">
      <c r="B65" s="123"/>
      <c r="C65" s="71"/>
      <c r="D65" s="125"/>
      <c r="E65" s="35"/>
      <c r="F65" s="35"/>
      <c r="G65" s="35"/>
      <c r="H65" s="36"/>
      <c r="I65" s="36"/>
      <c r="J65" s="35"/>
      <c r="K65" s="71"/>
      <c r="L65" s="71"/>
      <c r="M65" s="71"/>
      <c r="N65" s="34" t="str">
        <f t="shared" si="34"/>
        <v/>
      </c>
      <c r="O65" s="111" t="str">
        <f t="shared" si="35"/>
        <v/>
      </c>
      <c r="P65" s="34" t="str">
        <f t="shared" si="280"/>
        <v/>
      </c>
      <c r="Q65" s="111" t="str">
        <f t="shared" ref="Q65" si="749">P65</f>
        <v/>
      </c>
      <c r="R65" s="34" t="str">
        <f t="shared" si="282"/>
        <v/>
      </c>
      <c r="S65" s="111" t="str">
        <f t="shared" ref="S65" si="750">R65</f>
        <v/>
      </c>
      <c r="T65" s="37" t="str">
        <f t="shared" si="284"/>
        <v/>
      </c>
      <c r="U65" s="111" t="str">
        <f t="shared" ref="U65" si="751">T65</f>
        <v/>
      </c>
      <c r="V65" s="37" t="str">
        <f t="shared" si="286"/>
        <v/>
      </c>
      <c r="W65" s="111" t="str">
        <f t="shared" ref="W65" si="752">V65</f>
        <v/>
      </c>
      <c r="X65" s="37" t="str">
        <f t="shared" si="288"/>
        <v/>
      </c>
      <c r="Y65" s="111" t="str">
        <f t="shared" ref="Y65" si="753">X65</f>
        <v/>
      </c>
      <c r="Z65" s="37" t="str">
        <f t="shared" si="290"/>
        <v/>
      </c>
      <c r="AA65" s="111" t="str">
        <f t="shared" ref="AA65" si="754">Z65</f>
        <v/>
      </c>
      <c r="AB65" s="37" t="str">
        <f t="shared" si="292"/>
        <v/>
      </c>
      <c r="AC65" s="111" t="str">
        <f t="shared" ref="AC65" si="755">AB65</f>
        <v/>
      </c>
      <c r="AD65" s="37" t="str">
        <f t="shared" si="294"/>
        <v/>
      </c>
      <c r="AE65" s="111" t="str">
        <f t="shared" ref="AE65" si="756">AD65</f>
        <v/>
      </c>
      <c r="AF65" s="37" t="str">
        <f t="shared" si="296"/>
        <v/>
      </c>
      <c r="AG65" s="111" t="str">
        <f t="shared" ref="AG65" si="757">AF65</f>
        <v/>
      </c>
      <c r="AH65" s="37" t="str">
        <f t="shared" si="298"/>
        <v/>
      </c>
      <c r="AI65" s="111" t="str">
        <f t="shared" ref="AI65" si="758">AH65</f>
        <v/>
      </c>
      <c r="AJ65" s="37" t="str">
        <f t="shared" si="300"/>
        <v/>
      </c>
      <c r="AK65" s="111" t="str">
        <f t="shared" ref="AK65" si="759">AJ65</f>
        <v/>
      </c>
      <c r="AL65" s="37" t="str">
        <f t="shared" si="302"/>
        <v/>
      </c>
      <c r="AM65" s="111" t="str">
        <f t="shared" ref="AM65" si="760">AL65</f>
        <v/>
      </c>
      <c r="AN65" s="37" t="str">
        <f t="shared" si="304"/>
        <v/>
      </c>
      <c r="AO65" s="111" t="str">
        <f t="shared" ref="AO65" si="761">AN65</f>
        <v/>
      </c>
      <c r="AP65" s="37" t="str">
        <f t="shared" si="306"/>
        <v/>
      </c>
      <c r="AQ65" s="111" t="str">
        <f t="shared" ref="AQ65" si="762">AP65</f>
        <v/>
      </c>
      <c r="AR65" s="37" t="str">
        <f t="shared" si="308"/>
        <v/>
      </c>
      <c r="AS65" s="111" t="str">
        <f t="shared" ref="AS65" si="763">AR65</f>
        <v/>
      </c>
      <c r="AT65" s="37" t="str">
        <f t="shared" si="310"/>
        <v/>
      </c>
      <c r="AU65" s="111" t="str">
        <f t="shared" ref="AU65" si="764">AT65</f>
        <v/>
      </c>
      <c r="AV65" s="37" t="str">
        <f t="shared" si="312"/>
        <v/>
      </c>
      <c r="AW65" s="34" t="str">
        <f t="shared" si="33"/>
        <v/>
      </c>
      <c r="AX65" s="34"/>
      <c r="AY65" s="23"/>
      <c r="BH65" s="60" t="str" cm="1">
        <f t="array" ref="BH65">IFERROR(EOMONTH(EOMONTH(_xlfn._xlws.FILTER(Table1[Planned Start],(Table1[Category]=$E65)*(Table1[SBU]=$F$5)*(Table1[Execution Year]=$E$5)*(Table1[Most curent]=TRUE)),0)-45,0)+1,"")</f>
        <v/>
      </c>
      <c r="BI65" s="60" t="str" cm="1">
        <f t="array" ref="BI65">IFERROR(EOMONTH(_xlfn._xlws.FILTER(Table1[Planned Award],(Table1[Category]=$E65)*(Table1[SBU]=$F$5)*(Table1[Execution Year]=$E$5)*(Table1[Most curent]=TRUE)),0),"")</f>
        <v/>
      </c>
      <c r="BJ65" s="60" t="str" cm="1">
        <f t="array" ref="BJ65">IFERROR(EOMONTH(EOMONTH(_xlfn._xlws.FILTER(Table1[Current Phase End],(Table1[Category]=$E65)*(Table1[SBU]=$F$5)*(Table1[Execution Year]=$E$5)*(Table1[Most curent]=TRUE)),0)-45,0)+1,"")</f>
        <v/>
      </c>
      <c r="BK65" s="60" t="str" cm="1">
        <f t="array" ref="BK65">IFERROR(EOMONTH(_xlfn._xlws.FILTER(Table1[Revised Award],(Table1[Category]=$E65)*(Table1[SBU]=$F$5)*(Table1[Execution Year]=$E$5)*(Table1[Most curent]=TRUE)),0),"")</f>
        <v/>
      </c>
      <c r="BL65" s="60" t="str">
        <f t="shared" si="731"/>
        <v/>
      </c>
      <c r="BM65" s="60" t="str">
        <f t="shared" si="732"/>
        <v/>
      </c>
    </row>
    <row r="66" spans="2:65" ht="15.6" thickTop="1" thickBot="1">
      <c r="B66" s="123"/>
      <c r="C66" s="71"/>
      <c r="D66" s="125"/>
      <c r="E66" s="35"/>
      <c r="F66" s="35"/>
      <c r="G66" s="35"/>
      <c r="H66" s="36"/>
      <c r="I66" s="36"/>
      <c r="J66" s="35"/>
      <c r="K66" s="71"/>
      <c r="L66" s="71"/>
      <c r="M66" s="71"/>
      <c r="N66" s="34" t="str">
        <f t="shared" si="34"/>
        <v/>
      </c>
      <c r="O66" s="111" t="str">
        <f t="shared" si="35"/>
        <v/>
      </c>
      <c r="P66" s="34" t="str">
        <f t="shared" si="280"/>
        <v/>
      </c>
      <c r="Q66" s="111" t="str">
        <f t="shared" ref="Q66" si="765">P66</f>
        <v/>
      </c>
      <c r="R66" s="34" t="str">
        <f t="shared" si="282"/>
        <v/>
      </c>
      <c r="S66" s="111" t="str">
        <f t="shared" ref="S66" si="766">R66</f>
        <v/>
      </c>
      <c r="T66" s="37" t="str">
        <f t="shared" si="284"/>
        <v/>
      </c>
      <c r="U66" s="111" t="str">
        <f t="shared" ref="U66" si="767">T66</f>
        <v/>
      </c>
      <c r="V66" s="37" t="str">
        <f t="shared" si="286"/>
        <v/>
      </c>
      <c r="W66" s="111" t="str">
        <f t="shared" ref="W66" si="768">V66</f>
        <v/>
      </c>
      <c r="X66" s="37" t="str">
        <f t="shared" si="288"/>
        <v/>
      </c>
      <c r="Y66" s="111" t="str">
        <f t="shared" ref="Y66" si="769">X66</f>
        <v/>
      </c>
      <c r="Z66" s="37" t="str">
        <f t="shared" si="290"/>
        <v/>
      </c>
      <c r="AA66" s="111" t="str">
        <f t="shared" ref="AA66" si="770">Z66</f>
        <v/>
      </c>
      <c r="AB66" s="37" t="str">
        <f t="shared" si="292"/>
        <v/>
      </c>
      <c r="AC66" s="111" t="str">
        <f t="shared" ref="AC66" si="771">AB66</f>
        <v/>
      </c>
      <c r="AD66" s="37" t="str">
        <f t="shared" si="294"/>
        <v/>
      </c>
      <c r="AE66" s="111" t="str">
        <f t="shared" ref="AE66" si="772">AD66</f>
        <v/>
      </c>
      <c r="AF66" s="37" t="str">
        <f t="shared" si="296"/>
        <v/>
      </c>
      <c r="AG66" s="111" t="str">
        <f t="shared" ref="AG66" si="773">AF66</f>
        <v/>
      </c>
      <c r="AH66" s="37" t="str">
        <f t="shared" si="298"/>
        <v/>
      </c>
      <c r="AI66" s="111" t="str">
        <f t="shared" ref="AI66" si="774">AH66</f>
        <v/>
      </c>
      <c r="AJ66" s="37" t="str">
        <f t="shared" si="300"/>
        <v/>
      </c>
      <c r="AK66" s="111" t="str">
        <f t="shared" ref="AK66" si="775">AJ66</f>
        <v/>
      </c>
      <c r="AL66" s="37" t="str">
        <f t="shared" si="302"/>
        <v/>
      </c>
      <c r="AM66" s="111" t="str">
        <f t="shared" ref="AM66" si="776">AL66</f>
        <v/>
      </c>
      <c r="AN66" s="37" t="str">
        <f t="shared" si="304"/>
        <v/>
      </c>
      <c r="AO66" s="111" t="str">
        <f t="shared" ref="AO66" si="777">AN66</f>
        <v/>
      </c>
      <c r="AP66" s="37" t="str">
        <f t="shared" si="306"/>
        <v/>
      </c>
      <c r="AQ66" s="111" t="str">
        <f t="shared" ref="AQ66" si="778">AP66</f>
        <v/>
      </c>
      <c r="AR66" s="37" t="str">
        <f t="shared" si="308"/>
        <v/>
      </c>
      <c r="AS66" s="111" t="str">
        <f t="shared" ref="AS66" si="779">AR66</f>
        <v/>
      </c>
      <c r="AT66" s="37" t="str">
        <f t="shared" si="310"/>
        <v/>
      </c>
      <c r="AU66" s="111" t="str">
        <f t="shared" ref="AU66" si="780">AT66</f>
        <v/>
      </c>
      <c r="AV66" s="37" t="str">
        <f t="shared" si="312"/>
        <v/>
      </c>
      <c r="AW66" s="34" t="str">
        <f t="shared" si="33"/>
        <v/>
      </c>
      <c r="AX66" s="34"/>
      <c r="AY66" s="23"/>
      <c r="BH66" s="60" t="str" cm="1">
        <f t="array" ref="BH66">IFERROR(EOMONTH(EOMONTH(_xlfn._xlws.FILTER(Table1[Planned Start],(Table1[Category]=$E66)*(Table1[SBU]=$F$5)*(Table1[Execution Year]=$E$5)*(Table1[Most curent]=TRUE)),0)-45,0)+1,"")</f>
        <v/>
      </c>
      <c r="BI66" s="60" t="str" cm="1">
        <f t="array" ref="BI66">IFERROR(EOMONTH(_xlfn._xlws.FILTER(Table1[Planned Award],(Table1[Category]=$E66)*(Table1[SBU]=$F$5)*(Table1[Execution Year]=$E$5)*(Table1[Most curent]=TRUE)),0),"")</f>
        <v/>
      </c>
      <c r="BJ66" s="60" t="str" cm="1">
        <f t="array" ref="BJ66">IFERROR(EOMONTH(EOMONTH(_xlfn._xlws.FILTER(Table1[Current Phase End],(Table1[Category]=$E66)*(Table1[SBU]=$F$5)*(Table1[Execution Year]=$E$5)*(Table1[Most curent]=TRUE)),0)-45,0)+1,"")</f>
        <v/>
      </c>
      <c r="BK66" s="60" t="str" cm="1">
        <f t="array" ref="BK66">IFERROR(EOMONTH(_xlfn._xlws.FILTER(Table1[Revised Award],(Table1[Category]=$E66)*(Table1[SBU]=$F$5)*(Table1[Execution Year]=$E$5)*(Table1[Most curent]=TRUE)),0),"")</f>
        <v/>
      </c>
      <c r="BL66" s="60" t="str">
        <f t="shared" si="731"/>
        <v/>
      </c>
      <c r="BM66" s="60" t="str">
        <f t="shared" si="732"/>
        <v/>
      </c>
    </row>
    <row r="67" spans="2:65" ht="15.6" thickTop="1" thickBot="1">
      <c r="B67" s="123"/>
      <c r="C67" s="71"/>
      <c r="D67" s="125"/>
      <c r="E67" s="35"/>
      <c r="F67" s="35"/>
      <c r="G67" s="35"/>
      <c r="H67" s="36"/>
      <c r="I67" s="36"/>
      <c r="J67" s="35"/>
      <c r="K67" s="71"/>
      <c r="L67" s="71"/>
      <c r="M67" s="71"/>
      <c r="N67" s="34" t="str">
        <f t="shared" si="34"/>
        <v/>
      </c>
      <c r="O67" s="111" t="str">
        <f t="shared" si="35"/>
        <v/>
      </c>
      <c r="P67" s="34" t="str">
        <f t="shared" si="280"/>
        <v/>
      </c>
      <c r="Q67" s="111" t="str">
        <f t="shared" ref="Q67" si="781">P67</f>
        <v/>
      </c>
      <c r="R67" s="34" t="str">
        <f t="shared" si="282"/>
        <v/>
      </c>
      <c r="S67" s="111" t="str">
        <f t="shared" ref="S67" si="782">R67</f>
        <v/>
      </c>
      <c r="T67" s="37" t="str">
        <f t="shared" si="284"/>
        <v/>
      </c>
      <c r="U67" s="111" t="str">
        <f t="shared" ref="U67" si="783">T67</f>
        <v/>
      </c>
      <c r="V67" s="37" t="str">
        <f t="shared" si="286"/>
        <v/>
      </c>
      <c r="W67" s="111" t="str">
        <f t="shared" ref="W67" si="784">V67</f>
        <v/>
      </c>
      <c r="X67" s="37" t="str">
        <f t="shared" si="288"/>
        <v/>
      </c>
      <c r="Y67" s="111" t="str">
        <f t="shared" ref="Y67" si="785">X67</f>
        <v/>
      </c>
      <c r="Z67" s="37" t="str">
        <f t="shared" si="290"/>
        <v/>
      </c>
      <c r="AA67" s="111" t="str">
        <f t="shared" ref="AA67" si="786">Z67</f>
        <v/>
      </c>
      <c r="AB67" s="37" t="str">
        <f t="shared" si="292"/>
        <v/>
      </c>
      <c r="AC67" s="111" t="str">
        <f t="shared" ref="AC67" si="787">AB67</f>
        <v/>
      </c>
      <c r="AD67" s="37" t="str">
        <f t="shared" si="294"/>
        <v/>
      </c>
      <c r="AE67" s="111" t="str">
        <f t="shared" ref="AE67" si="788">AD67</f>
        <v/>
      </c>
      <c r="AF67" s="37" t="str">
        <f t="shared" si="296"/>
        <v/>
      </c>
      <c r="AG67" s="111" t="str">
        <f t="shared" ref="AG67" si="789">AF67</f>
        <v/>
      </c>
      <c r="AH67" s="37" t="str">
        <f t="shared" si="298"/>
        <v/>
      </c>
      <c r="AI67" s="111" t="str">
        <f t="shared" ref="AI67" si="790">AH67</f>
        <v/>
      </c>
      <c r="AJ67" s="37" t="str">
        <f t="shared" si="300"/>
        <v/>
      </c>
      <c r="AK67" s="111" t="str">
        <f t="shared" ref="AK67" si="791">AJ67</f>
        <v/>
      </c>
      <c r="AL67" s="37" t="str">
        <f t="shared" si="302"/>
        <v/>
      </c>
      <c r="AM67" s="111" t="str">
        <f t="shared" ref="AM67" si="792">AL67</f>
        <v/>
      </c>
      <c r="AN67" s="37" t="str">
        <f t="shared" si="304"/>
        <v/>
      </c>
      <c r="AO67" s="111" t="str">
        <f t="shared" ref="AO67" si="793">AN67</f>
        <v/>
      </c>
      <c r="AP67" s="37" t="str">
        <f t="shared" si="306"/>
        <v/>
      </c>
      <c r="AQ67" s="111" t="str">
        <f t="shared" ref="AQ67" si="794">AP67</f>
        <v/>
      </c>
      <c r="AR67" s="37" t="str">
        <f t="shared" si="308"/>
        <v/>
      </c>
      <c r="AS67" s="111" t="str">
        <f t="shared" ref="AS67" si="795">AR67</f>
        <v/>
      </c>
      <c r="AT67" s="37" t="str">
        <f t="shared" si="310"/>
        <v/>
      </c>
      <c r="AU67" s="111" t="str">
        <f t="shared" ref="AU67" si="796">AT67</f>
        <v/>
      </c>
      <c r="AV67" s="37" t="str">
        <f t="shared" si="312"/>
        <v/>
      </c>
      <c r="AW67" s="34" t="str">
        <f t="shared" si="33"/>
        <v/>
      </c>
      <c r="AX67" s="34"/>
      <c r="AY67" s="23"/>
      <c r="BH67" s="60" t="str" cm="1">
        <f t="array" ref="BH67">IFERROR(EOMONTH(EOMONTH(_xlfn._xlws.FILTER(Table1[Planned Start],(Table1[Category]=$E67)*(Table1[SBU]=$F$5)*(Table1[Execution Year]=$E$5)*(Table1[Most curent]=TRUE)),0)-45,0)+1,"")</f>
        <v/>
      </c>
      <c r="BI67" s="60" t="str" cm="1">
        <f t="array" ref="BI67">IFERROR(EOMONTH(_xlfn._xlws.FILTER(Table1[Planned Award],(Table1[Category]=$E67)*(Table1[SBU]=$F$5)*(Table1[Execution Year]=$E$5)*(Table1[Most curent]=TRUE)),0),"")</f>
        <v/>
      </c>
      <c r="BJ67" s="60" t="str" cm="1">
        <f t="array" ref="BJ67">IFERROR(EOMONTH(EOMONTH(_xlfn._xlws.FILTER(Table1[Current Phase End],(Table1[Category]=$E67)*(Table1[SBU]=$F$5)*(Table1[Execution Year]=$E$5)*(Table1[Most curent]=TRUE)),0)-45,0)+1,"")</f>
        <v/>
      </c>
      <c r="BK67" s="60" t="str" cm="1">
        <f t="array" ref="BK67">IFERROR(EOMONTH(_xlfn._xlws.FILTER(Table1[Revised Award],(Table1[Category]=$E67)*(Table1[SBU]=$F$5)*(Table1[Execution Year]=$E$5)*(Table1[Most curent]=TRUE)),0),"")</f>
        <v/>
      </c>
      <c r="BL67" s="60" t="str">
        <f t="shared" si="731"/>
        <v/>
      </c>
      <c r="BM67" s="60" t="str">
        <f t="shared" si="732"/>
        <v/>
      </c>
    </row>
    <row r="68" spans="2:65" ht="15.6" thickTop="1" thickBot="1">
      <c r="B68" s="123"/>
      <c r="C68" s="71"/>
      <c r="D68" s="125"/>
      <c r="E68" s="35"/>
      <c r="F68" s="35"/>
      <c r="G68" s="35"/>
      <c r="H68" s="36"/>
      <c r="I68" s="36"/>
      <c r="J68" s="35"/>
      <c r="K68" s="71"/>
      <c r="L68" s="71"/>
      <c r="M68" s="71"/>
      <c r="N68" s="34" t="str">
        <f t="shared" si="34"/>
        <v/>
      </c>
      <c r="O68" s="111" t="str">
        <f t="shared" si="35"/>
        <v/>
      </c>
      <c r="P68" s="34" t="str">
        <f t="shared" si="280"/>
        <v/>
      </c>
      <c r="Q68" s="111" t="str">
        <f t="shared" ref="Q68" si="797">P68</f>
        <v/>
      </c>
      <c r="R68" s="34" t="str">
        <f t="shared" si="282"/>
        <v/>
      </c>
      <c r="S68" s="111" t="str">
        <f t="shared" ref="S68" si="798">R68</f>
        <v/>
      </c>
      <c r="T68" s="37" t="str">
        <f t="shared" si="284"/>
        <v/>
      </c>
      <c r="U68" s="111" t="str">
        <f t="shared" ref="U68" si="799">T68</f>
        <v/>
      </c>
      <c r="V68" s="37" t="str">
        <f t="shared" si="286"/>
        <v/>
      </c>
      <c r="W68" s="111" t="str">
        <f t="shared" ref="W68" si="800">V68</f>
        <v/>
      </c>
      <c r="X68" s="37" t="str">
        <f t="shared" si="288"/>
        <v/>
      </c>
      <c r="Y68" s="111" t="str">
        <f t="shared" ref="Y68" si="801">X68</f>
        <v/>
      </c>
      <c r="Z68" s="37" t="str">
        <f t="shared" si="290"/>
        <v/>
      </c>
      <c r="AA68" s="111" t="str">
        <f t="shared" ref="AA68" si="802">Z68</f>
        <v/>
      </c>
      <c r="AB68" s="37" t="str">
        <f t="shared" si="292"/>
        <v/>
      </c>
      <c r="AC68" s="111" t="str">
        <f t="shared" ref="AC68" si="803">AB68</f>
        <v/>
      </c>
      <c r="AD68" s="37" t="str">
        <f t="shared" si="294"/>
        <v/>
      </c>
      <c r="AE68" s="111" t="str">
        <f t="shared" ref="AE68" si="804">AD68</f>
        <v/>
      </c>
      <c r="AF68" s="37" t="str">
        <f t="shared" si="296"/>
        <v/>
      </c>
      <c r="AG68" s="111" t="str">
        <f t="shared" ref="AG68" si="805">AF68</f>
        <v/>
      </c>
      <c r="AH68" s="37" t="str">
        <f t="shared" si="298"/>
        <v/>
      </c>
      <c r="AI68" s="111" t="str">
        <f t="shared" ref="AI68" si="806">AH68</f>
        <v/>
      </c>
      <c r="AJ68" s="37" t="str">
        <f t="shared" si="300"/>
        <v/>
      </c>
      <c r="AK68" s="111" t="str">
        <f t="shared" ref="AK68" si="807">AJ68</f>
        <v/>
      </c>
      <c r="AL68" s="37" t="str">
        <f t="shared" si="302"/>
        <v/>
      </c>
      <c r="AM68" s="111" t="str">
        <f t="shared" ref="AM68" si="808">AL68</f>
        <v/>
      </c>
      <c r="AN68" s="37" t="str">
        <f t="shared" si="304"/>
        <v/>
      </c>
      <c r="AO68" s="111" t="str">
        <f t="shared" ref="AO68" si="809">AN68</f>
        <v/>
      </c>
      <c r="AP68" s="37" t="str">
        <f t="shared" si="306"/>
        <v/>
      </c>
      <c r="AQ68" s="111" t="str">
        <f t="shared" ref="AQ68" si="810">AP68</f>
        <v/>
      </c>
      <c r="AR68" s="37" t="str">
        <f t="shared" si="308"/>
        <v/>
      </c>
      <c r="AS68" s="111" t="str">
        <f t="shared" ref="AS68" si="811">AR68</f>
        <v/>
      </c>
      <c r="AT68" s="37" t="str">
        <f t="shared" si="310"/>
        <v/>
      </c>
      <c r="AU68" s="111" t="str">
        <f t="shared" ref="AU68" si="812">AT68</f>
        <v/>
      </c>
      <c r="AV68" s="37" t="str">
        <f t="shared" si="312"/>
        <v/>
      </c>
      <c r="AW68" s="34" t="str">
        <f t="shared" si="33"/>
        <v/>
      </c>
      <c r="AX68" s="34"/>
      <c r="AY68" s="23"/>
      <c r="BH68" s="60" t="str" cm="1">
        <f t="array" ref="BH68">IFERROR(EOMONTH(EOMONTH(_xlfn._xlws.FILTER(Table1[Planned Start],(Table1[Category]=$E68)*(Table1[SBU]=$F$5)*(Table1[Execution Year]=$E$5)*(Table1[Most curent]=TRUE)),0)-45,0)+1,"")</f>
        <v/>
      </c>
      <c r="BI68" s="60" t="str" cm="1">
        <f t="array" ref="BI68">IFERROR(EOMONTH(_xlfn._xlws.FILTER(Table1[Planned Award],(Table1[Category]=$E68)*(Table1[SBU]=$F$5)*(Table1[Execution Year]=$E$5)*(Table1[Most curent]=TRUE)),0),"")</f>
        <v/>
      </c>
      <c r="BJ68" s="60" t="str" cm="1">
        <f t="array" ref="BJ68">IFERROR(EOMONTH(EOMONTH(_xlfn._xlws.FILTER(Table1[Current Phase End],(Table1[Category]=$E68)*(Table1[SBU]=$F$5)*(Table1[Execution Year]=$E$5)*(Table1[Most curent]=TRUE)),0)-45,0)+1,"")</f>
        <v/>
      </c>
      <c r="BK68" s="60" t="str" cm="1">
        <f t="array" ref="BK68">IFERROR(EOMONTH(_xlfn._xlws.FILTER(Table1[Revised Award],(Table1[Category]=$E68)*(Table1[SBU]=$F$5)*(Table1[Execution Year]=$E$5)*(Table1[Most curent]=TRUE)),0),"")</f>
        <v/>
      </c>
      <c r="BL68" s="60" t="str">
        <f t="shared" si="731"/>
        <v/>
      </c>
      <c r="BM68" s="60" t="str">
        <f t="shared" si="732"/>
        <v/>
      </c>
    </row>
    <row r="69" spans="2:65" ht="15.6" thickTop="1" thickBot="1">
      <c r="B69" s="123"/>
      <c r="C69" s="71"/>
      <c r="D69" s="125"/>
      <c r="E69" s="35"/>
      <c r="F69" s="35"/>
      <c r="G69" s="35"/>
      <c r="H69" s="36"/>
      <c r="I69" s="36"/>
      <c r="J69" s="35"/>
      <c r="K69" s="71"/>
      <c r="L69" s="71"/>
      <c r="M69" s="71"/>
      <c r="N69" s="34" t="str">
        <f t="shared" si="34"/>
        <v/>
      </c>
      <c r="O69" s="111" t="str">
        <f t="shared" si="35"/>
        <v/>
      </c>
      <c r="P69" s="34" t="str">
        <f t="shared" si="280"/>
        <v/>
      </c>
      <c r="Q69" s="111" t="str">
        <f t="shared" ref="Q69" si="813">P69</f>
        <v/>
      </c>
      <c r="R69" s="34" t="str">
        <f t="shared" si="282"/>
        <v/>
      </c>
      <c r="S69" s="111" t="str">
        <f t="shared" ref="S69" si="814">R69</f>
        <v/>
      </c>
      <c r="T69" s="37" t="str">
        <f t="shared" si="284"/>
        <v/>
      </c>
      <c r="U69" s="111" t="str">
        <f t="shared" ref="U69" si="815">T69</f>
        <v/>
      </c>
      <c r="V69" s="37" t="str">
        <f t="shared" si="286"/>
        <v/>
      </c>
      <c r="W69" s="111" t="str">
        <f t="shared" ref="W69" si="816">V69</f>
        <v/>
      </c>
      <c r="X69" s="37" t="str">
        <f t="shared" si="288"/>
        <v/>
      </c>
      <c r="Y69" s="111" t="str">
        <f t="shared" ref="Y69" si="817">X69</f>
        <v/>
      </c>
      <c r="Z69" s="37" t="str">
        <f t="shared" si="290"/>
        <v/>
      </c>
      <c r="AA69" s="111" t="str">
        <f t="shared" ref="AA69" si="818">Z69</f>
        <v/>
      </c>
      <c r="AB69" s="37" t="str">
        <f t="shared" si="292"/>
        <v/>
      </c>
      <c r="AC69" s="111" t="str">
        <f t="shared" ref="AC69" si="819">AB69</f>
        <v/>
      </c>
      <c r="AD69" s="37" t="str">
        <f t="shared" si="294"/>
        <v/>
      </c>
      <c r="AE69" s="111" t="str">
        <f t="shared" ref="AE69" si="820">AD69</f>
        <v/>
      </c>
      <c r="AF69" s="37" t="str">
        <f t="shared" si="296"/>
        <v/>
      </c>
      <c r="AG69" s="111" t="str">
        <f t="shared" ref="AG69" si="821">AF69</f>
        <v/>
      </c>
      <c r="AH69" s="37" t="str">
        <f t="shared" si="298"/>
        <v/>
      </c>
      <c r="AI69" s="111" t="str">
        <f t="shared" ref="AI69" si="822">AH69</f>
        <v/>
      </c>
      <c r="AJ69" s="37" t="str">
        <f t="shared" si="300"/>
        <v/>
      </c>
      <c r="AK69" s="111" t="str">
        <f t="shared" ref="AK69" si="823">AJ69</f>
        <v/>
      </c>
      <c r="AL69" s="37" t="str">
        <f t="shared" si="302"/>
        <v/>
      </c>
      <c r="AM69" s="111" t="str">
        <f t="shared" ref="AM69" si="824">AL69</f>
        <v/>
      </c>
      <c r="AN69" s="37" t="str">
        <f t="shared" si="304"/>
        <v/>
      </c>
      <c r="AO69" s="111" t="str">
        <f t="shared" ref="AO69" si="825">AN69</f>
        <v/>
      </c>
      <c r="AP69" s="37" t="str">
        <f t="shared" si="306"/>
        <v/>
      </c>
      <c r="AQ69" s="111" t="str">
        <f t="shared" ref="AQ69" si="826">AP69</f>
        <v/>
      </c>
      <c r="AR69" s="37" t="str">
        <f t="shared" si="308"/>
        <v/>
      </c>
      <c r="AS69" s="111" t="str">
        <f t="shared" ref="AS69" si="827">AR69</f>
        <v/>
      </c>
      <c r="AT69" s="37" t="str">
        <f t="shared" si="310"/>
        <v/>
      </c>
      <c r="AU69" s="111" t="str">
        <f t="shared" ref="AU69" si="828">AT69</f>
        <v/>
      </c>
      <c r="AV69" s="37" t="str">
        <f t="shared" si="312"/>
        <v/>
      </c>
      <c r="AW69" s="34" t="str">
        <f t="shared" si="33"/>
        <v/>
      </c>
      <c r="AX69" s="34"/>
      <c r="AY69" s="23"/>
      <c r="BH69" s="60" t="str" cm="1">
        <f t="array" ref="BH69">IFERROR(EOMONTH(EOMONTH(_xlfn._xlws.FILTER(Table1[Planned Start],(Table1[Category]=$E69)*(Table1[SBU]=$F$5)*(Table1[Execution Year]=$E$5)*(Table1[Most curent]=TRUE)),0)-45,0)+1,"")</f>
        <v/>
      </c>
      <c r="BI69" s="60" t="str" cm="1">
        <f t="array" ref="BI69">IFERROR(EOMONTH(_xlfn._xlws.FILTER(Table1[Planned Award],(Table1[Category]=$E69)*(Table1[SBU]=$F$5)*(Table1[Execution Year]=$E$5)*(Table1[Most curent]=TRUE)),0),"")</f>
        <v/>
      </c>
      <c r="BJ69" s="60" t="str" cm="1">
        <f t="array" ref="BJ69">IFERROR(EOMONTH(EOMONTH(_xlfn._xlws.FILTER(Table1[Current Phase End],(Table1[Category]=$E69)*(Table1[SBU]=$F$5)*(Table1[Execution Year]=$E$5)*(Table1[Most curent]=TRUE)),0)-45,0)+1,"")</f>
        <v/>
      </c>
      <c r="BK69" s="60" t="str" cm="1">
        <f t="array" ref="BK69">IFERROR(EOMONTH(_xlfn._xlws.FILTER(Table1[Revised Award],(Table1[Category]=$E69)*(Table1[SBU]=$F$5)*(Table1[Execution Year]=$E$5)*(Table1[Most curent]=TRUE)),0),"")</f>
        <v/>
      </c>
      <c r="BL69" s="60" t="str">
        <f t="shared" si="731"/>
        <v/>
      </c>
      <c r="BM69" s="60" t="str">
        <f t="shared" si="732"/>
        <v/>
      </c>
    </row>
    <row r="70" spans="2:65" ht="15.6" thickTop="1" thickBot="1">
      <c r="B70" s="123"/>
      <c r="C70" s="71"/>
      <c r="D70" s="125"/>
      <c r="E70" s="35"/>
      <c r="F70" s="35"/>
      <c r="G70" s="36"/>
      <c r="H70" s="36"/>
      <c r="I70" s="36"/>
      <c r="J70" s="35"/>
      <c r="K70" s="71"/>
      <c r="L70" s="71"/>
      <c r="M70" s="71"/>
      <c r="N70" s="34" t="str">
        <f t="shared" si="34"/>
        <v/>
      </c>
      <c r="O70" s="111" t="str">
        <f t="shared" si="35"/>
        <v/>
      </c>
      <c r="P70" s="34" t="str">
        <f t="shared" si="280"/>
        <v/>
      </c>
      <c r="Q70" s="111" t="str">
        <f t="shared" ref="Q70" si="829">P70</f>
        <v/>
      </c>
      <c r="R70" s="34" t="str">
        <f t="shared" si="282"/>
        <v/>
      </c>
      <c r="S70" s="111" t="str">
        <f t="shared" ref="S70" si="830">R70</f>
        <v/>
      </c>
      <c r="T70" s="37" t="str">
        <f t="shared" si="284"/>
        <v/>
      </c>
      <c r="U70" s="111" t="str">
        <f t="shared" ref="U70" si="831">T70</f>
        <v/>
      </c>
      <c r="V70" s="37" t="str">
        <f t="shared" si="286"/>
        <v/>
      </c>
      <c r="W70" s="111" t="str">
        <f t="shared" ref="W70" si="832">V70</f>
        <v/>
      </c>
      <c r="X70" s="37" t="str">
        <f t="shared" si="288"/>
        <v/>
      </c>
      <c r="Y70" s="111" t="str">
        <f t="shared" ref="Y70" si="833">X70</f>
        <v/>
      </c>
      <c r="Z70" s="37" t="str">
        <f t="shared" si="290"/>
        <v/>
      </c>
      <c r="AA70" s="111" t="str">
        <f t="shared" ref="AA70" si="834">Z70</f>
        <v/>
      </c>
      <c r="AB70" s="37" t="str">
        <f t="shared" si="292"/>
        <v/>
      </c>
      <c r="AC70" s="111" t="str">
        <f t="shared" ref="AC70" si="835">AB70</f>
        <v/>
      </c>
      <c r="AD70" s="37" t="str">
        <f t="shared" si="294"/>
        <v/>
      </c>
      <c r="AE70" s="111" t="str">
        <f t="shared" ref="AE70" si="836">AD70</f>
        <v/>
      </c>
      <c r="AF70" s="37" t="str">
        <f t="shared" si="296"/>
        <v/>
      </c>
      <c r="AG70" s="111" t="str">
        <f t="shared" ref="AG70" si="837">AF70</f>
        <v/>
      </c>
      <c r="AH70" s="37" t="str">
        <f t="shared" si="298"/>
        <v/>
      </c>
      <c r="AI70" s="111" t="str">
        <f t="shared" ref="AI70" si="838">AH70</f>
        <v/>
      </c>
      <c r="AJ70" s="37" t="str">
        <f t="shared" si="300"/>
        <v/>
      </c>
      <c r="AK70" s="111" t="str">
        <f t="shared" ref="AK70" si="839">AJ70</f>
        <v/>
      </c>
      <c r="AL70" s="37" t="str">
        <f t="shared" si="302"/>
        <v/>
      </c>
      <c r="AM70" s="111" t="str">
        <f t="shared" ref="AM70" si="840">AL70</f>
        <v/>
      </c>
      <c r="AN70" s="37" t="str">
        <f t="shared" si="304"/>
        <v/>
      </c>
      <c r="AO70" s="111" t="str">
        <f t="shared" ref="AO70" si="841">AN70</f>
        <v/>
      </c>
      <c r="AP70" s="37" t="str">
        <f t="shared" si="306"/>
        <v/>
      </c>
      <c r="AQ70" s="111" t="str">
        <f t="shared" ref="AQ70" si="842">AP70</f>
        <v/>
      </c>
      <c r="AR70" s="37" t="str">
        <f t="shared" si="308"/>
        <v/>
      </c>
      <c r="AS70" s="111" t="str">
        <f t="shared" ref="AS70" si="843">AR70</f>
        <v/>
      </c>
      <c r="AT70" s="37" t="str">
        <f t="shared" si="310"/>
        <v/>
      </c>
      <c r="AU70" s="111" t="str">
        <f t="shared" ref="AU70" si="844">AT70</f>
        <v/>
      </c>
      <c r="AV70" s="37" t="str">
        <f t="shared" si="312"/>
        <v/>
      </c>
      <c r="AW70" s="34" t="str">
        <f t="shared" si="33"/>
        <v/>
      </c>
      <c r="AX70" s="34"/>
      <c r="AY70" s="23"/>
      <c r="BH70" s="60" t="str" cm="1">
        <f t="array" ref="BH70">IFERROR(EOMONTH(EOMONTH(_xlfn._xlws.FILTER(Table1[Planned Start],(Table1[Category]=$E70)*(Table1[SBU]=$F$5)*(Table1[Execution Year]=$E$5)*(Table1[Most curent]=TRUE)),0)-45,0)+1,"")</f>
        <v/>
      </c>
      <c r="BI70" s="60" t="str" cm="1">
        <f t="array" ref="BI70">IFERROR(EOMONTH(_xlfn._xlws.FILTER(Table1[Planned Award],(Table1[Category]=$E70)*(Table1[SBU]=$F$5)*(Table1[Execution Year]=$E$5)*(Table1[Most curent]=TRUE)),0),"")</f>
        <v/>
      </c>
      <c r="BJ70" s="60" t="str" cm="1">
        <f t="array" ref="BJ70">IFERROR(EOMONTH(EOMONTH(_xlfn._xlws.FILTER(Table1[Current Phase End],(Table1[Category]=$E70)*(Table1[SBU]=$F$5)*(Table1[Execution Year]=$E$5)*(Table1[Most curent]=TRUE)),0)-45,0)+1,"")</f>
        <v/>
      </c>
      <c r="BK70" s="60" t="str" cm="1">
        <f t="array" ref="BK70">IFERROR(EOMONTH(_xlfn._xlws.FILTER(Table1[Revised Award],(Table1[Category]=$E70)*(Table1[SBU]=$F$5)*(Table1[Execution Year]=$E$5)*(Table1[Most curent]=TRUE)),0),"")</f>
        <v/>
      </c>
      <c r="BL70" s="60" t="str">
        <f t="shared" si="731"/>
        <v/>
      </c>
      <c r="BM70" s="60" t="str">
        <f t="shared" si="732"/>
        <v/>
      </c>
    </row>
    <row r="71" spans="2:65" ht="15.6" thickTop="1" thickBot="1">
      <c r="B71" s="123"/>
      <c r="C71" s="71"/>
      <c r="D71" s="71"/>
      <c r="E71" s="71"/>
      <c r="F71" s="71"/>
      <c r="G71" s="71"/>
      <c r="H71" s="71"/>
      <c r="I71" s="71"/>
      <c r="J71" s="71"/>
      <c r="K71" s="71"/>
      <c r="L71" s="71"/>
      <c r="M71" s="71"/>
      <c r="N71" s="34"/>
      <c r="O71" s="111"/>
      <c r="P71" s="34"/>
      <c r="Q71" s="111"/>
      <c r="R71" s="34"/>
      <c r="S71" s="111"/>
      <c r="T71" s="34"/>
      <c r="U71" s="111"/>
      <c r="V71" s="34"/>
      <c r="W71" s="111"/>
      <c r="X71" s="34"/>
      <c r="Y71" s="111"/>
      <c r="Z71" s="34"/>
      <c r="AA71" s="111"/>
      <c r="AB71" s="34"/>
      <c r="AC71" s="111"/>
      <c r="AD71" s="34"/>
      <c r="AE71" s="111"/>
      <c r="AF71" s="34"/>
      <c r="AG71" s="111"/>
      <c r="AH71" s="34"/>
      <c r="AI71" s="111"/>
      <c r="AJ71" s="34"/>
      <c r="AK71" s="111"/>
      <c r="AL71" s="34"/>
      <c r="AM71" s="111"/>
      <c r="AN71" s="34"/>
      <c r="AO71" s="111"/>
      <c r="AP71" s="34"/>
      <c r="AQ71" s="111"/>
      <c r="AR71" s="34"/>
      <c r="AS71" s="111"/>
      <c r="AT71" s="34"/>
      <c r="AU71" s="111"/>
      <c r="AV71" s="34"/>
      <c r="AW71" s="34"/>
      <c r="AX71" s="34"/>
      <c r="AY71" s="23"/>
      <c r="BH71" s="60" t="str" cm="1">
        <f t="array" ref="BH71">IFERROR(EOMONTH(EOMONTH(_xlfn._xlws.FILTER(Table1[Planned Start],(Table1[Category]=$E71)*(Table1[SBU]=$F$5)*(Table1[Execution Year]=$E$5)*(Table1[Most curent]=TRUE)),0)-45,0)+1,"")</f>
        <v/>
      </c>
      <c r="BI71" s="60" t="str" cm="1">
        <f t="array" ref="BI71">IFERROR(EOMONTH(_xlfn._xlws.FILTER(Table1[Planned Award],(Table1[Category]=$E71)*(Table1[SBU]=$F$5)*(Table1[Execution Year]=$E$5)*(Table1[Most curent]=TRUE)),0),"")</f>
        <v/>
      </c>
      <c r="BJ71" s="60" t="str" cm="1">
        <f t="array" ref="BJ71">IFERROR(EOMONTH(EOMONTH(_xlfn._xlws.FILTER(Table1[Current Phase End],(Table1[Category]=$E71)*(Table1[SBU]=$F$5)*(Table1[Execution Year]=$E$5)*(Table1[Most curent]=TRUE)),0)-45,0)+1,"")</f>
        <v/>
      </c>
      <c r="BK71" s="60" t="str" cm="1">
        <f t="array" ref="BK71">IFERROR(EOMONTH(_xlfn._xlws.FILTER(Table1[Revised Award],(Table1[Category]=$E71)*(Table1[SBU]=$F$5)*(Table1[Execution Year]=$E$5)*(Table1[Most curent]=TRUE)),0),"")</f>
        <v/>
      </c>
      <c r="BL71" s="60" t="str">
        <f t="shared" si="731"/>
        <v/>
      </c>
      <c r="BM71" s="60" t="str">
        <f t="shared" si="732"/>
        <v/>
      </c>
    </row>
    <row r="72" spans="2:65" ht="15" thickTop="1">
      <c r="B72" s="126" t="e">
        <v>#REF!</v>
      </c>
      <c r="C72" s="118" t="e">
        <v>#REF!</v>
      </c>
      <c r="D72" s="118" t="e">
        <v>#REF!</v>
      </c>
      <c r="E72" s="118" t="e">
        <v>#REF!</v>
      </c>
      <c r="F72" s="118"/>
      <c r="G72" s="118"/>
      <c r="H72" s="118"/>
      <c r="I72" s="118"/>
      <c r="J72" s="118"/>
      <c r="K72" s="118"/>
      <c r="L72" s="118"/>
      <c r="M72" s="118"/>
      <c r="N72" s="118"/>
      <c r="O72" s="118"/>
      <c r="P72" s="118"/>
      <c r="Q72" s="118"/>
      <c r="R72" s="118"/>
      <c r="S72" s="118"/>
      <c r="T72" s="118"/>
      <c r="U72" s="118"/>
      <c r="V72" s="118"/>
      <c r="W72" s="118"/>
      <c r="X72" s="118"/>
      <c r="Y72" s="118"/>
      <c r="Z72" s="118"/>
      <c r="AA72" s="118"/>
      <c r="AB72" s="118"/>
      <c r="AC72" s="118"/>
      <c r="AD72" s="118"/>
      <c r="AE72" s="118"/>
      <c r="AF72" s="118"/>
      <c r="AG72" s="118"/>
      <c r="AH72" s="118"/>
      <c r="AI72" s="118"/>
      <c r="AJ72" s="118"/>
      <c r="AK72" s="118"/>
      <c r="AL72" s="118"/>
      <c r="AM72" s="118"/>
      <c r="AN72" s="118"/>
      <c r="AO72" s="118"/>
      <c r="AP72" s="118"/>
      <c r="AQ72" s="118"/>
      <c r="AR72" s="118"/>
      <c r="AS72" s="118"/>
      <c r="AT72" s="118"/>
      <c r="AU72" s="118"/>
      <c r="AV72" s="118"/>
      <c r="AW72" s="118"/>
      <c r="AX72" s="118"/>
      <c r="AY72" s="23"/>
    </row>
    <row r="73" spans="2:65">
      <c r="B73" s="24"/>
      <c r="D73" s="127"/>
      <c r="E73" s="127"/>
      <c r="F73" s="127"/>
      <c r="G73" s="127"/>
      <c r="H73" s="127"/>
      <c r="I73" s="127"/>
      <c r="J73" s="127"/>
      <c r="K73" s="127"/>
      <c r="L73" s="127"/>
      <c r="M73" s="127"/>
      <c r="N73" s="127"/>
      <c r="O73" s="127"/>
      <c r="P73" s="127"/>
      <c r="Q73" s="127"/>
      <c r="R73" s="127"/>
      <c r="S73" s="127"/>
      <c r="T73" s="127"/>
      <c r="U73" s="127"/>
      <c r="V73" s="127"/>
      <c r="W73" s="128"/>
      <c r="X73" s="127"/>
      <c r="Y73" s="127"/>
      <c r="Z73" s="127"/>
      <c r="AA73" s="127"/>
      <c r="AB73" s="127"/>
      <c r="AC73" s="127"/>
      <c r="AD73" s="127"/>
      <c r="AE73" s="127"/>
      <c r="AF73" s="128" t="s">
        <v>369</v>
      </c>
      <c r="AG73" s="127"/>
      <c r="AH73" s="127"/>
      <c r="AI73" s="127"/>
      <c r="AJ73" s="127"/>
      <c r="AK73" s="127"/>
      <c r="AL73" s="127"/>
      <c r="AM73" s="127"/>
      <c r="AN73" s="127"/>
      <c r="AO73" s="127"/>
      <c r="AP73" s="127"/>
      <c r="AQ73" s="127"/>
      <c r="AR73" s="127"/>
      <c r="AS73" s="127"/>
      <c r="AT73" s="127"/>
      <c r="AU73" s="127"/>
      <c r="AV73" s="127"/>
      <c r="AW73" s="127"/>
      <c r="AX73" s="127"/>
      <c r="AY73" s="23"/>
    </row>
    <row r="74" spans="2:65">
      <c r="B74" s="24"/>
      <c r="G74" s="18"/>
      <c r="H74" s="18"/>
      <c r="I74" s="18"/>
      <c r="K74" s="18"/>
      <c r="L74" s="18"/>
      <c r="N74" s="129"/>
      <c r="O74" s="18"/>
      <c r="P74" s="129"/>
      <c r="Q74" s="18"/>
      <c r="R74" s="129"/>
      <c r="S74" s="18"/>
      <c r="T74" s="129"/>
      <c r="U74" s="18"/>
      <c r="V74" s="129"/>
      <c r="W74" s="18"/>
      <c r="X74" s="129"/>
      <c r="Y74" s="18"/>
      <c r="Z74" s="129"/>
      <c r="AA74" s="18"/>
      <c r="AB74" s="129"/>
      <c r="AC74" s="18"/>
      <c r="AD74" s="129"/>
      <c r="AE74" s="18"/>
      <c r="AF74" s="129"/>
      <c r="AG74" s="18"/>
      <c r="AH74" s="129"/>
      <c r="AI74" s="18"/>
      <c r="AJ74" s="129"/>
      <c r="AK74" s="18"/>
      <c r="AL74" s="129"/>
      <c r="AM74" s="18"/>
      <c r="AN74" s="129"/>
      <c r="AO74" s="18"/>
      <c r="AP74" s="129"/>
      <c r="AQ74" s="18"/>
      <c r="AR74" s="129"/>
      <c r="AS74" s="18"/>
      <c r="AT74" s="129"/>
      <c r="AU74" s="18"/>
      <c r="AV74" s="129"/>
      <c r="AW74" s="18"/>
      <c r="AX74" s="18"/>
      <c r="AY74" s="23"/>
    </row>
    <row r="75" spans="2:65">
      <c r="B75" s="24"/>
      <c r="E75" s="38"/>
      <c r="F75" s="39"/>
      <c r="G75" s="40"/>
      <c r="H75" s="40"/>
      <c r="I75" s="40"/>
      <c r="J75" s="39"/>
      <c r="K75" s="40"/>
      <c r="L75" s="40"/>
      <c r="M75" s="39"/>
      <c r="N75" s="41"/>
      <c r="O75" s="40"/>
      <c r="P75" s="41"/>
      <c r="Q75" s="40"/>
      <c r="R75" s="41"/>
      <c r="S75" s="40"/>
      <c r="T75" s="41"/>
      <c r="U75" s="40"/>
      <c r="V75" s="41"/>
      <c r="W75" s="40"/>
      <c r="X75" s="41"/>
      <c r="Y75" s="40"/>
      <c r="Z75" s="41"/>
      <c r="AA75" s="40"/>
      <c r="AB75" s="41"/>
      <c r="AC75" s="40"/>
      <c r="AD75" s="41"/>
      <c r="AE75" s="40"/>
      <c r="AF75" s="39"/>
      <c r="AG75" s="39"/>
      <c r="AH75" s="39"/>
      <c r="AI75" s="39"/>
      <c r="AJ75" s="39"/>
      <c r="AK75" s="39"/>
      <c r="AL75" s="39"/>
      <c r="AM75" s="39"/>
      <c r="AN75" s="39"/>
      <c r="AO75" s="39"/>
      <c r="AP75" s="39"/>
      <c r="AQ75" s="39"/>
      <c r="AR75" s="39"/>
      <c r="AS75" s="39"/>
      <c r="AT75" s="39"/>
      <c r="AU75" s="39"/>
      <c r="AV75" s="39"/>
      <c r="AW75" s="39"/>
      <c r="AX75" s="42"/>
      <c r="AY75" s="23"/>
    </row>
    <row r="76" spans="2:65">
      <c r="B76" s="24"/>
      <c r="E76" s="43"/>
      <c r="F76" s="130"/>
      <c r="G76" s="130"/>
      <c r="H76" s="44">
        <f>SUM(H10:H70)</f>
        <v>8800000</v>
      </c>
      <c r="I76" s="44">
        <f>SUM(I10:I70)</f>
        <v>2145412919</v>
      </c>
      <c r="J76" s="44">
        <f>SUM(J10:J70)</f>
        <v>0</v>
      </c>
      <c r="K76" s="132"/>
      <c r="L76" s="132"/>
      <c r="M76" s="132"/>
      <c r="N76" s="132"/>
      <c r="O76" s="131"/>
      <c r="P76" s="132"/>
      <c r="Q76" s="131"/>
      <c r="R76" s="130" t="s">
        <v>370</v>
      </c>
      <c r="S76" s="131"/>
      <c r="T76" s="132"/>
      <c r="U76" s="131"/>
      <c r="V76" s="132"/>
      <c r="W76" s="131"/>
      <c r="X76" s="132"/>
      <c r="Y76" s="131"/>
      <c r="Z76" s="130"/>
      <c r="AA76" s="131"/>
      <c r="AB76" s="132"/>
      <c r="AC76" s="131"/>
      <c r="AD76" s="132"/>
      <c r="AE76" s="131"/>
      <c r="AF76" s="131"/>
      <c r="AG76" s="131"/>
      <c r="AH76" s="131"/>
      <c r="AI76" s="131"/>
      <c r="AJ76" s="131"/>
      <c r="AK76" s="131"/>
      <c r="AL76" s="131"/>
      <c r="AM76" s="131"/>
      <c r="AN76" s="131"/>
      <c r="AO76" s="131"/>
      <c r="AP76" s="131"/>
      <c r="AQ76" s="131"/>
      <c r="AR76" s="131"/>
      <c r="AS76" s="131"/>
      <c r="AT76" s="131"/>
      <c r="AU76" s="131"/>
      <c r="AV76" s="133"/>
      <c r="AW76" s="131"/>
      <c r="AX76" s="45"/>
      <c r="AY76" s="23"/>
    </row>
    <row r="77" spans="2:65">
      <c r="B77" s="24"/>
      <c r="E77" s="46"/>
      <c r="F77" s="47"/>
      <c r="G77" s="48"/>
      <c r="H77" s="48"/>
      <c r="I77" s="48"/>
      <c r="J77" s="47"/>
      <c r="K77" s="48"/>
      <c r="L77" s="48"/>
      <c r="M77" s="47"/>
      <c r="N77" s="49"/>
      <c r="O77" s="48"/>
      <c r="P77" s="49"/>
      <c r="Q77" s="48"/>
      <c r="R77" s="49"/>
      <c r="S77" s="48"/>
      <c r="T77" s="49"/>
      <c r="U77" s="48"/>
      <c r="V77" s="49"/>
      <c r="W77" s="48"/>
      <c r="X77" s="49"/>
      <c r="Y77" s="48"/>
      <c r="Z77" s="49"/>
      <c r="AA77" s="48"/>
      <c r="AB77" s="49"/>
      <c r="AC77" s="48"/>
      <c r="AD77" s="49"/>
      <c r="AE77" s="48"/>
      <c r="AF77" s="47"/>
      <c r="AG77" s="47"/>
      <c r="AH77" s="47"/>
      <c r="AI77" s="47"/>
      <c r="AJ77" s="47"/>
      <c r="AK77" s="47"/>
      <c r="AL77" s="47"/>
      <c r="AM77" s="47"/>
      <c r="AN77" s="47"/>
      <c r="AO77" s="47"/>
      <c r="AP77" s="47"/>
      <c r="AQ77" s="47"/>
      <c r="AR77" s="47"/>
      <c r="AS77" s="47"/>
      <c r="AT77" s="47"/>
      <c r="AU77" s="47"/>
      <c r="AV77" s="47"/>
      <c r="AW77" s="47"/>
      <c r="AX77" s="50"/>
      <c r="AY77" s="23"/>
    </row>
    <row r="78" spans="2:65">
      <c r="B78" s="24"/>
      <c r="G78" s="18"/>
      <c r="H78" s="18"/>
      <c r="I78" s="18"/>
      <c r="K78" s="18"/>
      <c r="L78" s="18"/>
      <c r="N78" s="129"/>
      <c r="O78" s="18"/>
      <c r="P78" s="129"/>
      <c r="Q78" s="18"/>
      <c r="R78" s="129"/>
      <c r="S78" s="18"/>
      <c r="T78" s="129"/>
      <c r="U78" s="18"/>
      <c r="V78" s="129"/>
      <c r="W78" s="18"/>
      <c r="X78" s="129"/>
      <c r="Y78" s="18"/>
      <c r="Z78" s="129"/>
      <c r="AA78" s="18"/>
      <c r="AB78" s="129"/>
      <c r="AC78" s="18"/>
      <c r="AD78" s="129"/>
      <c r="AE78" s="18"/>
      <c r="AY78" s="23"/>
    </row>
    <row r="79" spans="2:65" ht="15" thickBot="1">
      <c r="B79" s="25"/>
      <c r="C79" s="26"/>
      <c r="D79" s="26"/>
      <c r="E79" s="26"/>
      <c r="F79" s="26"/>
      <c r="G79" s="26"/>
      <c r="H79" s="26"/>
      <c r="I79" s="26"/>
      <c r="J79" s="26"/>
      <c r="K79" s="26"/>
      <c r="L79" s="26"/>
      <c r="M79" s="26"/>
      <c r="N79" s="51"/>
      <c r="O79" s="26"/>
      <c r="P79" s="51"/>
      <c r="Q79" s="26"/>
      <c r="R79" s="51"/>
      <c r="S79" s="26"/>
      <c r="T79" s="51"/>
      <c r="U79" s="26"/>
      <c r="V79" s="51"/>
      <c r="W79" s="26"/>
      <c r="X79" s="51"/>
      <c r="Y79" s="26"/>
      <c r="Z79" s="51"/>
      <c r="AA79" s="26"/>
      <c r="AB79" s="51"/>
      <c r="AC79" s="26"/>
      <c r="AD79" s="51"/>
      <c r="AE79" s="26"/>
      <c r="AF79" s="26"/>
      <c r="AG79" s="26"/>
      <c r="AH79" s="26"/>
      <c r="AI79" s="26"/>
      <c r="AJ79" s="26"/>
      <c r="AK79" s="26"/>
      <c r="AL79" s="26"/>
      <c r="AM79" s="26"/>
      <c r="AN79" s="26"/>
      <c r="AO79" s="26"/>
      <c r="AP79" s="26"/>
      <c r="AQ79" s="26"/>
      <c r="AR79" s="26"/>
      <c r="AS79" s="26"/>
      <c r="AT79" s="26"/>
      <c r="AU79" s="26"/>
      <c r="AV79" s="26"/>
      <c r="AW79" s="26"/>
      <c r="AX79" s="26"/>
      <c r="AY79" s="27"/>
    </row>
  </sheetData>
  <conditionalFormatting sqref="M9:AX71">
    <cfRule type="cellIs" dxfId="315" priority="20" stopIfTrue="1" operator="between">
      <formula>1</formula>
      <formula>1</formula>
    </cfRule>
    <cfRule type="cellIs" dxfId="314" priority="21" stopIfTrue="1" operator="between">
      <formula>3</formula>
      <formula>3</formula>
    </cfRule>
    <cfRule type="cellIs" dxfId="313" priority="22" stopIfTrue="1" operator="between">
      <formula>2</formula>
      <formula>2</formula>
    </cfRule>
    <cfRule type="expression" dxfId="312" priority="23">
      <formula>M$3=1</formula>
    </cfRule>
  </conditionalFormatting>
  <conditionalFormatting sqref="G10:G70">
    <cfRule type="cellIs" dxfId="311" priority="9" operator="equal">
      <formula>0</formula>
    </cfRule>
  </conditionalFormatting>
  <conditionalFormatting sqref="J10:J70">
    <cfRule type="cellIs" dxfId="310" priority="6" operator="equal">
      <formula>0</formula>
    </cfRule>
  </conditionalFormatting>
  <conditionalFormatting sqref="G10">
    <cfRule type="iconSet" priority="5">
      <iconSet>
        <cfvo type="percent" val="0"/>
        <cfvo type="percent" val="33"/>
        <cfvo type="percent" val="67"/>
      </iconSet>
    </cfRule>
  </conditionalFormatting>
  <conditionalFormatting sqref="A10">
    <cfRule type="iconSet" priority="3">
      <iconSet iconSet="4TrafficLights" showValue="0">
        <cfvo type="percent" val="0"/>
        <cfvo type="percent" val="25"/>
        <cfvo type="percent" val="50"/>
        <cfvo type="percent" val="75"/>
      </iconSet>
    </cfRule>
  </conditionalFormatting>
  <dataValidations count="1">
    <dataValidation type="list" allowBlank="1" showInputMessage="1" showErrorMessage="1" sqref="G5" xr:uid="{951DD725-836C-4F69-B575-654A85AFE6E0}">
      <formula1>"Date, Stage"</formula1>
    </dataValidation>
  </dataValidations>
  <hyperlinks>
    <hyperlink ref="E2" location="MENU!A1" display="Back to Menu" xr:uid="{4C7AF870-76F5-43C4-9C67-5F440C71996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calculate_sheet">
                <anchor moveWithCells="1" sizeWithCells="1">
                  <from>
                    <xdr:col>4</xdr:col>
                    <xdr:colOff>1181100</xdr:colOff>
                    <xdr:row>1</xdr:row>
                    <xdr:rowOff>76200</xdr:rowOff>
                  </from>
                  <to>
                    <xdr:col>4</xdr:col>
                    <xdr:colOff>2247900</xdr:colOff>
                    <xdr:row>2</xdr:row>
                    <xdr:rowOff>114300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2" id="{00000000-000E-0000-0700-000001000000}">
            <x14:iconSet iconSet="4TrafficLights" custom="1">
              <x14:cfvo type="percent">
                <xm:f>0</xm:f>
              </x14:cfvo>
              <x14:cfvo type="num">
                <xm:f>0.25</xm:f>
              </x14:cfvo>
              <x14:cfvo type="num">
                <xm:f>0.5</xm:f>
              </x14:cfvo>
              <x14:cfvo type="num">
                <xm:f>0.75</xm:f>
              </x14:cfvo>
              <x14:cfIcon iconSet="4TrafficLights" iconId="0"/>
              <x14:cfIcon iconSet="3TrafficLights1" iconId="2"/>
              <x14:cfIcon iconSet="3TrafficLights1" iconId="1"/>
              <x14:cfIcon iconSet="3TrafficLights1" iconId="0"/>
            </x14:iconSet>
          </x14:cfRule>
          <xm:sqref>K10</xm:sqref>
        </x14:conditionalFormatting>
        <x14:conditionalFormatting xmlns:xm="http://schemas.microsoft.com/office/excel/2006/main">
          <x14:cfRule type="iconSet" priority="1" id="{63AEC7F1-E66E-46E9-8638-3AB9F1E09F75}">
            <x14:iconSet iconSet="4TrafficLights" custom="1">
              <x14:cfvo type="percent">
                <xm:f>0</xm:f>
              </x14:cfvo>
              <x14:cfvo type="num">
                <xm:f>0.25</xm:f>
              </x14:cfvo>
              <x14:cfvo type="num">
                <xm:f>0.5</xm:f>
              </x14:cfvo>
              <x14:cfvo type="num">
                <xm:f>0.75</xm:f>
              </x14:cfvo>
              <x14:cfIcon iconSet="4TrafficLights" iconId="0"/>
              <x14:cfIcon iconSet="3TrafficLights1" iconId="2"/>
              <x14:cfIcon iconSet="3TrafficLights1" iconId="1"/>
              <x14:cfIcon iconSet="3TrafficLights1" iconId="0"/>
            </x14:iconSet>
          </x14:cfRule>
          <xm:sqref>K11:K70</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23090056-F755-4130-B8A8-D4FE256417DF}">
          <x14:formula1>
            <xm:f>'Lookup tables'!$I$2:$I$5</xm:f>
          </x14:formula1>
          <xm:sqref>F5</xm:sqref>
        </x14:dataValidation>
        <x14:dataValidation type="list" allowBlank="1" showInputMessage="1" showErrorMessage="1" xr:uid="{145EF791-4E0C-4099-AD00-E72DCC9375F5}">
          <x14:formula1>
            <xm:f>'Lookup tables'!$N$2:$N$4</xm:f>
          </x14:formula1>
          <xm:sqref>E5</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61C847-8483-4561-8712-374C7DC4C727}">
  <sheetPr codeName="Sheet14"/>
  <dimension ref="A1:CE83"/>
  <sheetViews>
    <sheetView showGridLines="0" tabSelected="1" zoomScale="90" zoomScaleNormal="90" workbookViewId="0">
      <pane ySplit="9" topLeftCell="F16" activePane="bottomLeft" state="frozen"/>
      <selection pane="bottomLeft" activeCell="F5" sqref="F5"/>
    </sheetView>
  </sheetViews>
  <sheetFormatPr defaultColWidth="8.5703125" defaultRowHeight="14.45"/>
  <cols>
    <col min="1" max="1" width="4.42578125" customWidth="1"/>
    <col min="2" max="2" width="7.28515625" bestFit="1" customWidth="1"/>
    <col min="3" max="3" width="0.5703125" customWidth="1"/>
    <col min="4" max="4" width="4.5703125" customWidth="1"/>
    <col min="5" max="5" width="34.42578125" customWidth="1"/>
    <col min="6" max="6" width="26.42578125" bestFit="1" customWidth="1"/>
    <col min="7" max="7" width="23.140625" customWidth="1"/>
    <col min="8" max="8" width="9.42578125" customWidth="1"/>
    <col min="9" max="9" width="10.28515625" customWidth="1"/>
    <col min="10" max="10" width="17.140625" customWidth="1"/>
    <col min="11" max="11" width="2.5703125" customWidth="1"/>
    <col min="12" max="12" width="1.5703125" customWidth="1"/>
    <col min="13" max="13" width="0.5703125" customWidth="1"/>
    <col min="14" max="14" width="4.5703125" customWidth="1"/>
    <col min="15" max="15" width="0.5703125" customWidth="1"/>
    <col min="16" max="16" width="5" bestFit="1" customWidth="1"/>
    <col min="17" max="17" width="0.5703125" customWidth="1"/>
    <col min="18" max="18" width="5" customWidth="1"/>
    <col min="19" max="19" width="0.5703125" customWidth="1"/>
    <col min="20" max="20" width="4.5703125" customWidth="1"/>
    <col min="21" max="21" width="0.5703125" customWidth="1"/>
    <col min="22" max="22" width="4.5703125" customWidth="1"/>
    <col min="23" max="23" width="0.5703125" customWidth="1"/>
    <col min="24" max="24" width="4.5703125" customWidth="1"/>
    <col min="25" max="25" width="0.5703125" customWidth="1"/>
    <col min="26" max="26" width="4.5703125" customWidth="1"/>
    <col min="27" max="27" width="0.5703125" customWidth="1"/>
    <col min="28" max="28" width="4.5703125" customWidth="1"/>
    <col min="29" max="29" width="0.5703125" customWidth="1"/>
    <col min="30" max="30" width="4.5703125" customWidth="1"/>
    <col min="31" max="31" width="0.5703125" customWidth="1"/>
    <col min="32" max="32" width="4.5703125" customWidth="1"/>
    <col min="33" max="33" width="0.5703125" customWidth="1"/>
    <col min="34" max="34" width="4.5703125" customWidth="1"/>
    <col min="35" max="35" width="0.5703125" customWidth="1"/>
    <col min="36" max="36" width="4.5703125" customWidth="1"/>
    <col min="37" max="37" width="0.5703125" customWidth="1"/>
    <col min="38" max="38" width="4.5703125" customWidth="1"/>
    <col min="39" max="39" width="0.5703125" customWidth="1"/>
    <col min="40" max="40" width="5" customWidth="1"/>
    <col min="41" max="41" width="0.5703125" customWidth="1"/>
    <col min="42" max="42" width="5" bestFit="1" customWidth="1"/>
    <col min="43" max="43" width="0.5703125" customWidth="1"/>
    <col min="44" max="44" width="4.5703125" customWidth="1"/>
    <col min="45" max="45" width="0.5703125" customWidth="1"/>
    <col min="46" max="46" width="4.5703125" customWidth="1"/>
    <col min="47" max="47" width="0.5703125" customWidth="1"/>
    <col min="48" max="48" width="4.5703125" customWidth="1"/>
    <col min="49" max="49" width="0.5703125" customWidth="1"/>
    <col min="50" max="50" width="5.5703125" customWidth="1"/>
    <col min="51" max="51" width="0.5703125" customWidth="1"/>
    <col min="52" max="52" width="5.5703125" customWidth="1"/>
    <col min="53" max="53" width="0.5703125" customWidth="1"/>
    <col min="54" max="54" width="5.5703125" customWidth="1"/>
    <col min="55" max="55" width="0.5703125" customWidth="1"/>
    <col min="56" max="56" width="5.5703125" customWidth="1"/>
    <col min="57" max="57" width="0.5703125" customWidth="1"/>
    <col min="58" max="58" width="5.5703125" customWidth="1"/>
    <col min="59" max="59" width="0.5703125" customWidth="1"/>
    <col min="60" max="60" width="5.5703125" customWidth="1"/>
    <col min="61" max="61" width="0.5703125" customWidth="1"/>
    <col min="62" max="62" width="5.5703125" customWidth="1"/>
    <col min="63" max="63" width="0.5703125" customWidth="1"/>
    <col min="64" max="64" width="5.5703125" customWidth="1"/>
    <col min="65" max="65" width="0.5703125" customWidth="1"/>
    <col min="66" max="66" width="5.5703125" customWidth="1"/>
    <col min="67" max="67" width="0.5703125" customWidth="1"/>
    <col min="68" max="69" width="5.5703125" customWidth="1"/>
    <col min="70" max="76" width="1.42578125" customWidth="1"/>
    <col min="77" max="77" width="1" customWidth="1"/>
    <col min="78" max="83" width="12.5703125" customWidth="1"/>
    <col min="84" max="84" width="21.42578125" customWidth="1"/>
  </cols>
  <sheetData>
    <row r="1" spans="1:83" ht="15" thickBot="1">
      <c r="BZ1" s="61" t="s">
        <v>371</v>
      </c>
    </row>
    <row r="2" spans="1:83">
      <c r="B2" s="20"/>
      <c r="C2" s="21"/>
      <c r="D2" s="21"/>
      <c r="E2" s="137" t="s">
        <v>193</v>
      </c>
      <c r="F2" s="21"/>
      <c r="G2" s="138"/>
      <c r="H2" s="138"/>
      <c r="I2" s="138"/>
      <c r="J2" s="21"/>
      <c r="K2" s="21"/>
      <c r="L2" s="21"/>
      <c r="M2" s="21"/>
      <c r="N2" s="21"/>
      <c r="O2" s="21"/>
      <c r="P2" s="21"/>
      <c r="Q2" s="21"/>
      <c r="R2" s="21"/>
      <c r="S2" s="21"/>
      <c r="T2" s="21"/>
      <c r="U2" s="21"/>
      <c r="V2" s="21"/>
      <c r="W2" s="21"/>
      <c r="X2" s="32" t="s">
        <v>352</v>
      </c>
      <c r="Y2" s="21"/>
      <c r="Z2" s="21"/>
      <c r="AA2" s="21"/>
      <c r="AB2" s="21"/>
      <c r="AC2" s="21"/>
      <c r="AD2" s="21"/>
      <c r="AE2" s="21"/>
      <c r="AF2" s="21"/>
      <c r="AG2" s="21"/>
      <c r="AH2" s="21"/>
      <c r="AI2" s="21"/>
      <c r="AJ2" s="21"/>
      <c r="AK2" s="21"/>
      <c r="AL2" s="21"/>
      <c r="AM2" s="21"/>
      <c r="AN2" s="21"/>
      <c r="AO2" s="21"/>
      <c r="AP2" s="21"/>
      <c r="AQ2" s="21"/>
      <c r="AR2" s="21"/>
      <c r="AS2" s="21"/>
      <c r="AT2" s="21"/>
      <c r="AU2" s="21"/>
      <c r="AV2" s="21"/>
      <c r="AW2" s="21"/>
      <c r="AX2" s="21"/>
      <c r="AY2" s="21"/>
      <c r="AZ2" s="21"/>
      <c r="BA2" s="21"/>
      <c r="BB2" s="21"/>
      <c r="BC2" s="21"/>
      <c r="BD2" s="21"/>
      <c r="BE2" s="21"/>
      <c r="BF2" s="21"/>
      <c r="BG2" s="21"/>
      <c r="BH2" s="21"/>
      <c r="BI2" s="21"/>
      <c r="BJ2" s="21"/>
      <c r="BK2" s="21"/>
      <c r="BL2" s="21"/>
      <c r="BM2" s="21"/>
      <c r="BN2" s="21"/>
      <c r="BO2" s="21"/>
      <c r="BP2" s="21"/>
      <c r="BQ2" s="22"/>
      <c r="BZ2" t="s">
        <v>353</v>
      </c>
    </row>
    <row r="3" spans="1:83">
      <c r="B3" s="24"/>
      <c r="E3" s="30"/>
      <c r="M3" t="str">
        <f ca="1">IF(AND(N7-TODAY()&gt;-16,N7-TODAY()&lt;0),1,"")</f>
        <v/>
      </c>
      <c r="N3" s="135"/>
      <c r="O3" t="str">
        <f ca="1">IF(AND(P7-TODAY()&gt;-16,P7-TODAY()&lt;0),1,"")</f>
        <v/>
      </c>
      <c r="P3" s="136"/>
      <c r="Q3" t="str">
        <f ca="1">IF(AND(R7-TODAY()&gt;-16,R7-TODAY()&lt;0),1,"")</f>
        <v/>
      </c>
      <c r="R3" s="31"/>
      <c r="S3" s="19"/>
      <c r="T3" s="31"/>
      <c r="U3" s="19"/>
      <c r="V3" s="31"/>
      <c r="W3" s="19"/>
      <c r="X3" s="140"/>
      <c r="Y3" s="19"/>
      <c r="Z3" s="141" t="s">
        <v>354</v>
      </c>
      <c r="AA3" s="19"/>
      <c r="AB3" s="31"/>
      <c r="AC3" s="19"/>
      <c r="AD3" s="142"/>
      <c r="AE3" s="19"/>
      <c r="AF3" s="141" t="s">
        <v>355</v>
      </c>
      <c r="AG3" s="19"/>
      <c r="AH3" s="19"/>
      <c r="AI3" s="19"/>
      <c r="AJ3" s="19"/>
      <c r="AK3" s="19"/>
      <c r="AL3" s="143"/>
      <c r="AM3" s="19"/>
      <c r="AN3" s="141" t="s">
        <v>356</v>
      </c>
      <c r="AO3" s="19"/>
      <c r="AP3" s="19"/>
      <c r="AQ3" s="19"/>
      <c r="AR3" s="19"/>
      <c r="AS3" s="19"/>
      <c r="AT3" s="19"/>
      <c r="AU3" s="19"/>
      <c r="AV3" s="19"/>
      <c r="AW3" s="19"/>
      <c r="AX3" s="19"/>
      <c r="AY3" s="19"/>
      <c r="AZ3" s="198" t="s">
        <v>372</v>
      </c>
      <c r="BA3" s="19"/>
      <c r="BB3" s="19"/>
      <c r="BC3" s="19"/>
      <c r="BD3" s="19"/>
      <c r="BE3" s="19"/>
      <c r="BF3" s="19"/>
      <c r="BG3" s="19"/>
      <c r="BH3" s="19"/>
      <c r="BI3" s="19"/>
      <c r="BJ3" s="19"/>
      <c r="BK3" s="19"/>
      <c r="BL3" s="19"/>
      <c r="BM3" s="19"/>
      <c r="BN3" s="19"/>
      <c r="BO3" s="19"/>
      <c r="BP3" s="19"/>
      <c r="BQ3" s="23"/>
    </row>
    <row r="4" spans="1:83" ht="15" thickBot="1">
      <c r="B4" s="24"/>
      <c r="E4" s="134" t="s">
        <v>373</v>
      </c>
      <c r="F4" s="134" t="s">
        <v>203</v>
      </c>
      <c r="G4" s="1" t="s">
        <v>374</v>
      </c>
      <c r="N4" s="1"/>
      <c r="P4" s="1"/>
      <c r="R4" s="1"/>
      <c r="T4" s="1"/>
      <c r="V4" s="1"/>
      <c r="X4" s="1"/>
      <c r="Z4" s="1"/>
      <c r="AB4" s="1"/>
      <c r="AD4" s="1"/>
      <c r="AZ4" s="198" t="s">
        <v>375</v>
      </c>
      <c r="BQ4" s="23"/>
    </row>
    <row r="5" spans="1:83" ht="15.6" thickTop="1" thickBot="1">
      <c r="B5" s="24"/>
      <c r="D5" s="67"/>
      <c r="E5" s="199" t="s">
        <v>322</v>
      </c>
      <c r="F5" s="200" t="s">
        <v>43</v>
      </c>
      <c r="G5" s="200" t="s">
        <v>376</v>
      </c>
      <c r="J5" s="197"/>
      <c r="N5" s="1" t="str">
        <f>_xlfn.XLOOKUP(N7,'Lookup tables'!$AM$2:$AM$10,'Lookup tables'!$AN$2:$AN$10,"Not found")</f>
        <v>FY22</v>
      </c>
      <c r="O5" s="1"/>
      <c r="P5" s="1"/>
      <c r="Q5" s="1"/>
      <c r="R5" s="1"/>
      <c r="S5" s="113"/>
      <c r="T5" s="1" t="str">
        <f>_xlfn.XLOOKUP(T7,'Lookup tables'!$AM$2:$AM$10,'Lookup tables'!$AN$2:$AN$10,"Not found")</f>
        <v>FY23</v>
      </c>
      <c r="U5" s="114"/>
      <c r="V5" s="1"/>
      <c r="X5" s="1"/>
      <c r="Y5" s="1"/>
      <c r="Z5" s="1"/>
      <c r="AA5" s="1"/>
      <c r="AB5" s="1"/>
      <c r="AD5" s="1"/>
      <c r="AE5" s="1"/>
      <c r="AF5" s="1"/>
      <c r="AG5" s="1"/>
      <c r="AH5" s="1"/>
      <c r="AI5" s="1"/>
      <c r="AJ5" s="1"/>
      <c r="AK5" s="114"/>
      <c r="AL5" s="1"/>
      <c r="AM5" s="1"/>
      <c r="AN5" s="1"/>
      <c r="AO5" s="1"/>
      <c r="AP5" s="1"/>
      <c r="AQ5" s="113"/>
      <c r="AR5" s="1" t="str">
        <f>_xlfn.XLOOKUP(AR7,'Lookup tables'!$AM$2:$AM$10,'Lookup tables'!$AN$2:$AN$10,"Not found")</f>
        <v>FY24</v>
      </c>
      <c r="AS5" s="115"/>
      <c r="AT5" s="1"/>
      <c r="AV5" s="1"/>
      <c r="BQ5" s="23"/>
      <c r="BZ5" s="1" t="s">
        <v>359</v>
      </c>
    </row>
    <row r="6" spans="1:83" ht="15" thickTop="1">
      <c r="B6" s="24"/>
      <c r="E6" s="116"/>
      <c r="N6" s="113"/>
      <c r="O6" s="113"/>
      <c r="P6" s="117">
        <f>YEAR(P7)</f>
        <v>2021</v>
      </c>
      <c r="Q6" s="113"/>
      <c r="R6" s="117">
        <f>YEAR(R7)</f>
        <v>2022</v>
      </c>
      <c r="S6" s="113"/>
      <c r="T6" s="113"/>
      <c r="U6" s="113"/>
      <c r="V6" s="113"/>
      <c r="W6" s="113"/>
      <c r="X6" s="113"/>
      <c r="Y6" s="113"/>
      <c r="Z6" s="113"/>
      <c r="AA6" s="113"/>
      <c r="AB6" s="113"/>
      <c r="AC6" s="118"/>
      <c r="AD6" s="117"/>
      <c r="AE6" s="113"/>
      <c r="AF6" s="113"/>
      <c r="AG6" s="113"/>
      <c r="AH6" s="113"/>
      <c r="AI6" s="113"/>
      <c r="AJ6" s="113"/>
      <c r="AK6" s="113"/>
      <c r="AL6" s="113"/>
      <c r="AM6" s="113"/>
      <c r="AN6" s="117">
        <f>YEAR(AN7)</f>
        <v>2022</v>
      </c>
      <c r="AO6" s="113"/>
      <c r="AP6" s="117">
        <f>YEAR(AP7)</f>
        <v>2023</v>
      </c>
      <c r="AQ6" s="113"/>
      <c r="AR6" s="113"/>
      <c r="AS6" s="113"/>
      <c r="AT6" s="113"/>
      <c r="AU6" s="113"/>
      <c r="AV6" s="113"/>
      <c r="AW6" s="113"/>
      <c r="AX6" s="113"/>
      <c r="AY6" s="113"/>
      <c r="AZ6" s="113"/>
      <c r="BA6" s="113"/>
      <c r="BB6" s="113"/>
      <c r="BC6" s="113"/>
      <c r="BD6" s="113"/>
      <c r="BE6" s="113"/>
      <c r="BF6" s="113"/>
      <c r="BG6" s="113"/>
      <c r="BH6" s="113"/>
      <c r="BI6" s="113"/>
      <c r="BJ6" s="113"/>
      <c r="BK6" s="113"/>
      <c r="BL6" s="113"/>
      <c r="BM6" s="113"/>
      <c r="BN6" s="113"/>
      <c r="BO6" s="113"/>
      <c r="BQ6" s="23"/>
    </row>
    <row r="7" spans="1:83" ht="29.1">
      <c r="B7" s="119" t="s">
        <v>360</v>
      </c>
      <c r="D7" s="33" t="s">
        <v>3</v>
      </c>
      <c r="E7" s="33" t="s">
        <v>1</v>
      </c>
      <c r="F7" s="33" t="s">
        <v>297</v>
      </c>
      <c r="G7" s="120" t="s">
        <v>166</v>
      </c>
      <c r="H7" s="120" t="s">
        <v>361</v>
      </c>
      <c r="I7" s="120" t="s">
        <v>362</v>
      </c>
      <c r="J7" s="120" t="s">
        <v>195</v>
      </c>
      <c r="K7" s="120"/>
      <c r="L7" s="120"/>
      <c r="N7" s="121" cm="1">
        <f t="array" ref="N7:BN7">IF(E5="FY21",TRANSPOSE('Lookup tables'!AK2:AK54),IF(E5="FY22",TRANSPOSE('Lookup tables'!AJ2:AJ54),IF(E5="FY23",TRANSPOSE('Lookup tables'!AI2:AI54),"Error")))</f>
        <v>44501</v>
      </c>
      <c r="O7" s="107">
        <v>0</v>
      </c>
      <c r="P7" s="122">
        <v>44531</v>
      </c>
      <c r="Q7" s="107">
        <v>0</v>
      </c>
      <c r="R7" s="122">
        <v>44562</v>
      </c>
      <c r="S7" s="109">
        <v>0</v>
      </c>
      <c r="T7" s="122">
        <v>44593</v>
      </c>
      <c r="U7" s="107">
        <v>0</v>
      </c>
      <c r="V7" s="122">
        <v>44621</v>
      </c>
      <c r="W7" s="107">
        <v>0</v>
      </c>
      <c r="X7" s="122">
        <v>44652</v>
      </c>
      <c r="Y7" s="107">
        <v>0</v>
      </c>
      <c r="Z7" s="122">
        <v>44682</v>
      </c>
      <c r="AA7" s="107">
        <v>0</v>
      </c>
      <c r="AB7" s="122">
        <v>44713</v>
      </c>
      <c r="AC7" s="107">
        <v>0</v>
      </c>
      <c r="AD7" s="122">
        <v>44743</v>
      </c>
      <c r="AE7" s="107">
        <v>0</v>
      </c>
      <c r="AF7" s="122">
        <v>44774</v>
      </c>
      <c r="AG7" s="107">
        <v>0</v>
      </c>
      <c r="AH7" s="122">
        <v>44805</v>
      </c>
      <c r="AI7" s="107">
        <v>0</v>
      </c>
      <c r="AJ7" s="122">
        <v>44835</v>
      </c>
      <c r="AK7" s="107">
        <v>0</v>
      </c>
      <c r="AL7" s="122">
        <v>44866</v>
      </c>
      <c r="AM7" s="107">
        <v>0</v>
      </c>
      <c r="AN7" s="122">
        <v>44896</v>
      </c>
      <c r="AO7" s="107">
        <v>0</v>
      </c>
      <c r="AP7" s="122">
        <v>44927</v>
      </c>
      <c r="AQ7" s="109">
        <v>0</v>
      </c>
      <c r="AR7" s="122">
        <v>44958</v>
      </c>
      <c r="AS7" s="107">
        <v>0</v>
      </c>
      <c r="AT7" s="122">
        <v>44986</v>
      </c>
      <c r="AU7" s="107">
        <v>0</v>
      </c>
      <c r="AV7" s="122">
        <v>45017</v>
      </c>
      <c r="AW7" s="107">
        <v>0</v>
      </c>
      <c r="AX7" s="122">
        <v>45047</v>
      </c>
      <c r="AY7" s="107">
        <v>0</v>
      </c>
      <c r="AZ7" s="122">
        <v>45078</v>
      </c>
      <c r="BA7" s="107">
        <v>0</v>
      </c>
      <c r="BB7" s="122">
        <v>45108</v>
      </c>
      <c r="BC7" s="107">
        <v>0</v>
      </c>
      <c r="BD7" s="122">
        <v>45139</v>
      </c>
      <c r="BE7" s="107">
        <v>0</v>
      </c>
      <c r="BF7" s="122">
        <v>45170</v>
      </c>
      <c r="BG7" s="107">
        <v>0</v>
      </c>
      <c r="BH7" s="122">
        <v>45200</v>
      </c>
      <c r="BI7" s="107">
        <v>0</v>
      </c>
      <c r="BJ7" s="122">
        <v>45231</v>
      </c>
      <c r="BK7" s="107">
        <v>0</v>
      </c>
      <c r="BL7" s="122">
        <v>45261</v>
      </c>
      <c r="BM7" s="107">
        <v>0</v>
      </c>
      <c r="BN7" s="122">
        <v>45292</v>
      </c>
      <c r="BO7" s="107"/>
      <c r="BQ7" s="23"/>
      <c r="BZ7" s="52" t="s">
        <v>216</v>
      </c>
      <c r="CA7" s="52" t="s">
        <v>217</v>
      </c>
      <c r="CB7" s="52" t="s">
        <v>363</v>
      </c>
      <c r="CC7" s="52" t="s">
        <v>364</v>
      </c>
      <c r="CD7" s="52" t="s">
        <v>365</v>
      </c>
      <c r="CE7" s="52" t="s">
        <v>366</v>
      </c>
    </row>
    <row r="8" spans="1:83" ht="15" thickBot="1">
      <c r="B8" s="24"/>
      <c r="C8" s="19">
        <v>1</v>
      </c>
      <c r="D8" s="19">
        <v>-1</v>
      </c>
      <c r="H8" s="150" t="s">
        <v>367</v>
      </c>
      <c r="O8" s="77"/>
      <c r="Q8" s="77"/>
      <c r="S8" s="110"/>
      <c r="U8" s="77"/>
      <c r="W8" s="77"/>
      <c r="Y8" s="77"/>
      <c r="AA8" s="108"/>
      <c r="AC8" s="77"/>
      <c r="AE8" s="77"/>
      <c r="AG8" s="77"/>
      <c r="AI8" s="77"/>
      <c r="AK8" s="77"/>
      <c r="AM8" s="77"/>
      <c r="AO8" s="77"/>
      <c r="AQ8" s="110"/>
      <c r="AS8" s="77"/>
      <c r="AU8" s="77"/>
      <c r="AW8" s="77"/>
      <c r="AY8" s="77"/>
      <c r="BA8" s="77"/>
      <c r="BC8" s="77"/>
      <c r="BE8" s="77"/>
      <c r="BG8" s="77"/>
      <c r="BI8" s="77"/>
      <c r="BK8" s="77"/>
      <c r="BM8" s="77"/>
      <c r="BO8" s="77"/>
      <c r="BQ8" s="23"/>
    </row>
    <row r="9" spans="1:83" ht="6" customHeight="1" thickTop="1" thickBot="1">
      <c r="B9" s="123"/>
      <c r="C9" s="71"/>
      <c r="D9" s="71"/>
      <c r="E9" s="124" t="str">
        <f ca="1">IF(D10="N","No data available","")</f>
        <v/>
      </c>
      <c r="F9" s="71"/>
      <c r="G9" s="71"/>
      <c r="H9" s="71"/>
      <c r="I9" s="71"/>
      <c r="J9" s="71"/>
      <c r="K9" s="71"/>
      <c r="L9" s="71"/>
      <c r="M9" s="71"/>
      <c r="N9" s="34"/>
      <c r="O9" s="111"/>
      <c r="P9" s="34"/>
      <c r="Q9" s="111"/>
      <c r="R9" s="34"/>
      <c r="S9" s="111"/>
      <c r="T9" s="34"/>
      <c r="U9" s="111"/>
      <c r="V9" s="34"/>
      <c r="W9" s="111"/>
      <c r="X9" s="34"/>
      <c r="Y9" s="111"/>
      <c r="Z9" s="34"/>
      <c r="AA9" s="111"/>
      <c r="AB9" s="34"/>
      <c r="AC9" s="111"/>
      <c r="AD9" s="34"/>
      <c r="AE9" s="111"/>
      <c r="AF9" s="34"/>
      <c r="AG9" s="111"/>
      <c r="AH9" s="34"/>
      <c r="AI9" s="111"/>
      <c r="AJ9" s="34"/>
      <c r="AK9" s="111"/>
      <c r="AL9" s="34"/>
      <c r="AM9" s="111"/>
      <c r="AN9" s="34"/>
      <c r="AO9" s="111"/>
      <c r="AP9" s="34"/>
      <c r="AQ9" s="111"/>
      <c r="AR9" s="34"/>
      <c r="AS9" s="111"/>
      <c r="AT9" s="34"/>
      <c r="AU9" s="111"/>
      <c r="AV9" s="34"/>
      <c r="AW9" s="111"/>
      <c r="AX9" s="34"/>
      <c r="AY9" s="111"/>
      <c r="AZ9" s="34"/>
      <c r="BA9" s="111"/>
      <c r="BB9" s="34"/>
      <c r="BC9" s="111"/>
      <c r="BD9" s="34"/>
      <c r="BE9" s="111"/>
      <c r="BF9" s="34"/>
      <c r="BG9" s="111"/>
      <c r="BH9" s="34"/>
      <c r="BI9" s="111"/>
      <c r="BJ9" s="34"/>
      <c r="BK9" s="111"/>
      <c r="BL9" s="34"/>
      <c r="BM9" s="111"/>
      <c r="BN9" s="34"/>
      <c r="BO9" s="111"/>
      <c r="BP9" s="34"/>
      <c r="BQ9" s="23"/>
    </row>
    <row r="10" spans="1:83" ht="20.25" customHeight="1" thickTop="1" thickBot="1">
      <c r="A10" s="19"/>
      <c r="B10" s="123" cm="1">
        <f t="array" aca="1" ref="B10:B30" ca="1">_xlfn.SEQUENCE(COUNTA(E10:E74))</f>
        <v>1</v>
      </c>
      <c r="C10" s="71" cm="1">
        <f t="array" aca="1" ref="C10:K30" ca="1">IF(G5="ACTIVE",EXCALACTIVE,EXCALALL)</f>
        <v>43831</v>
      </c>
      <c r="D10" s="35" t="str">
        <f ca="1"/>
        <v>FY21</v>
      </c>
      <c r="E10" s="35" t="str">
        <f ca="1"/>
        <v>Detergent</v>
      </c>
      <c r="F10" s="35" t="str">
        <f ca="1"/>
        <v>Completed</v>
      </c>
      <c r="G10" s="35" t="str">
        <f ca="1"/>
        <v>Closed</v>
      </c>
      <c r="H10" s="36">
        <f ca="1"/>
        <v>76500000</v>
      </c>
      <c r="I10" s="36">
        <f ca="1"/>
        <v>0</v>
      </c>
      <c r="J10" s="35" t="str">
        <f ca="1"/>
        <v>Jason</v>
      </c>
      <c r="K10" s="71">
        <f ca="1"/>
        <v>0.2</v>
      </c>
      <c r="L10" s="71"/>
      <c r="M10" s="71"/>
      <c r="N10" s="34" t="str">
        <f ca="1">IFERROR(IF(AND(N$7&gt;=$BZ10,N$7&lt;$CA10),1,IF(AND(N$7&gt;=$CB10,N$7&lt;$CC10),2,IF(AND(N$7&gt;=$CD10,N$7&lt;=$CE10),3,""))),"")</f>
        <v/>
      </c>
      <c r="O10" s="111" t="str">
        <f ca="1">N10</f>
        <v/>
      </c>
      <c r="P10" s="34" t="str">
        <f t="shared" ref="P10:P74" ca="1" si="0">IFERROR(IF(AND(P$7&gt;=$BZ10,P$7&lt;$CA10),1,IF(AND(P$7&gt;=$CB10,P$7&lt;$CC10),2,IF(AND(P$7&gt;=$CD10,P$7&lt;=$CE10),3,""))),"")</f>
        <v/>
      </c>
      <c r="Q10" s="111" t="str">
        <f t="shared" ref="Q10:Q74" ca="1" si="1">P10</f>
        <v/>
      </c>
      <c r="R10" s="34" t="str">
        <f t="shared" ref="R10:R74" ca="1" si="2">IFERROR(IF(AND(R$7&gt;=$BZ10,R$7&lt;$CA10),1,IF(AND(R$7&gt;=$CB10,R$7&lt;$CC10),2,IF(AND(R$7&gt;=$CD10,R$7&lt;=$CE10),3,""))),"")</f>
        <v/>
      </c>
      <c r="S10" s="111" t="str">
        <f t="shared" ref="S10:S74" ca="1" si="3">R10</f>
        <v/>
      </c>
      <c r="T10" s="37" t="str">
        <f t="shared" ref="T10:T74" ca="1" si="4">IFERROR(IF(AND(T$7&gt;=$BZ10,T$7&lt;$CA10),1,IF(AND(T$7&gt;=$CB10,T$7&lt;$CC10),2,IF(AND(T$7&gt;=$CD10,T$7&lt;=$CE10),3,""))),"")</f>
        <v/>
      </c>
      <c r="U10" s="111" t="str">
        <f t="shared" ref="U10:U74" ca="1" si="5">T10</f>
        <v/>
      </c>
      <c r="V10" s="37" t="str">
        <f t="shared" ref="V10:V74" ca="1" si="6">IFERROR(IF(AND(V$7&gt;=$BZ10,V$7&lt;$CA10),1,IF(AND(V$7&gt;=$CB10,V$7&lt;$CC10),2,IF(AND(V$7&gt;=$CD10,V$7&lt;=$CE10),3,""))),"")</f>
        <v/>
      </c>
      <c r="W10" s="111" t="str">
        <f t="shared" ref="W10:W74" ca="1" si="7">V10</f>
        <v/>
      </c>
      <c r="X10" s="37" t="str">
        <f t="shared" ref="X10:X74" ca="1" si="8">IFERROR(IF(AND(X$7&gt;=$BZ10,X$7&lt;$CA10),1,IF(AND(X$7&gt;=$CB10,X$7&lt;$CC10),2,IF(AND(X$7&gt;=$CD10,X$7&lt;=$CE10),3,""))),"")</f>
        <v/>
      </c>
      <c r="Y10" s="111" t="str">
        <f t="shared" ref="Y10:Y74" ca="1" si="9">X10</f>
        <v/>
      </c>
      <c r="Z10" s="37" t="str">
        <f t="shared" ref="Z10:Z74" ca="1" si="10">IFERROR(IF(AND(Z$7&gt;=$BZ10,Z$7&lt;$CA10),1,IF(AND(Z$7&gt;=$CB10,Z$7&lt;$CC10),2,IF(AND(Z$7&gt;=$CD10,Z$7&lt;=$CE10),3,""))),"")</f>
        <v/>
      </c>
      <c r="AA10" s="111" t="str">
        <f t="shared" ref="AA10:AA74" ca="1" si="11">Z10</f>
        <v/>
      </c>
      <c r="AB10" s="37" t="str">
        <f t="shared" ref="AB10:AB74" ca="1" si="12">IFERROR(IF(AND(AB$7&gt;=$BZ10,AB$7&lt;$CA10),1,IF(AND(AB$7&gt;=$CB10,AB$7&lt;$CC10),2,IF(AND(AB$7&gt;=$CD10,AB$7&lt;=$CE10),3,""))),"")</f>
        <v/>
      </c>
      <c r="AC10" s="111" t="str">
        <f t="shared" ref="AC10:AC74" ca="1" si="13">AB10</f>
        <v/>
      </c>
      <c r="AD10" s="37" t="str">
        <f t="shared" ref="AD10:AD74" ca="1" si="14">IFERROR(IF(AND(AD$7&gt;=$BZ10,AD$7&lt;$CA10),1,IF(AND(AD$7&gt;=$CB10,AD$7&lt;$CC10),2,IF(AND(AD$7&gt;=$CD10,AD$7&lt;=$CE10),3,""))),"")</f>
        <v/>
      </c>
      <c r="AE10" s="111" t="str">
        <f t="shared" ref="AE10:AE74" ca="1" si="15">AD10</f>
        <v/>
      </c>
      <c r="AF10" s="37" t="str">
        <f t="shared" ref="AF10:AF74" ca="1" si="16">IFERROR(IF(AND(AF$7&gt;=$BZ10,AF$7&lt;$CA10),1,IF(AND(AF$7&gt;=$CB10,AF$7&lt;$CC10),2,IF(AND(AF$7&gt;=$CD10,AF$7&lt;=$CE10),3,""))),"")</f>
        <v/>
      </c>
      <c r="AG10" s="111" t="str">
        <f t="shared" ref="AG10:AG74" ca="1" si="17">AF10</f>
        <v/>
      </c>
      <c r="AH10" s="37" t="str">
        <f t="shared" ref="AH10:AH74" ca="1" si="18">IFERROR(IF(AND(AH$7&gt;=$BZ10,AH$7&lt;$CA10),1,IF(AND(AH$7&gt;=$CB10,AH$7&lt;$CC10),2,IF(AND(AH$7&gt;=$CD10,AH$7&lt;=$CE10),3,""))),"")</f>
        <v/>
      </c>
      <c r="AI10" s="111" t="str">
        <f t="shared" ref="AI10:AI74" ca="1" si="19">AH10</f>
        <v/>
      </c>
      <c r="AJ10" s="37" t="str">
        <f t="shared" ref="AJ10:AJ74" ca="1" si="20">IFERROR(IF(AND(AJ$7&gt;=$BZ10,AJ$7&lt;$CA10),1,IF(AND(AJ$7&gt;=$CB10,AJ$7&lt;$CC10),2,IF(AND(AJ$7&gt;=$CD10,AJ$7&lt;=$CE10),3,""))),"")</f>
        <v/>
      </c>
      <c r="AK10" s="111" t="str">
        <f t="shared" ref="AK10:AK74" ca="1" si="21">AJ10</f>
        <v/>
      </c>
      <c r="AL10" s="37" t="str">
        <f t="shared" ref="AL10:AL74" ca="1" si="22">IFERROR(IF(AND(AL$7&gt;=$BZ10,AL$7&lt;$CA10),1,IF(AND(AL$7&gt;=$CB10,AL$7&lt;$CC10),2,IF(AND(AL$7&gt;=$CD10,AL$7&lt;=$CE10),3,""))),"")</f>
        <v/>
      </c>
      <c r="AM10" s="111" t="str">
        <f t="shared" ref="AM10:AM74" ca="1" si="23">AL10</f>
        <v/>
      </c>
      <c r="AN10" s="37" t="str">
        <f t="shared" ref="AN10:AN74" ca="1" si="24">IFERROR(IF(AND(AN$7&gt;=$BZ10,AN$7&lt;$CA10),1,IF(AND(AN$7&gt;=$CB10,AN$7&lt;$CC10),2,IF(AND(AN$7&gt;=$CD10,AN$7&lt;=$CE10),3,""))),"")</f>
        <v/>
      </c>
      <c r="AO10" s="111" t="str">
        <f t="shared" ref="AO10:AO74" ca="1" si="25">AN10</f>
        <v/>
      </c>
      <c r="AP10" s="37" t="str">
        <f t="shared" ref="AP10:AP74" ca="1" si="26">IFERROR(IF(AND(AP$7&gt;=$BZ10,AP$7&lt;$CA10),1,IF(AND(AP$7&gt;=$CB10,AP$7&lt;$CC10),2,IF(AND(AP$7&gt;=$CD10,AP$7&lt;=$CE10),3,""))),"")</f>
        <v/>
      </c>
      <c r="AQ10" s="111" t="str">
        <f t="shared" ref="AQ10:AQ74" ca="1" si="27">AP10</f>
        <v/>
      </c>
      <c r="AR10" s="37" t="str">
        <f t="shared" ref="AR10:AR74" ca="1" si="28">IFERROR(IF(AND(AR$7&gt;=$BZ10,AR$7&lt;$CA10),1,IF(AND(AR$7&gt;=$CB10,AR$7&lt;$CC10),2,IF(AND(AR$7&gt;=$CD10,AR$7&lt;=$CE10),3,""))),"")</f>
        <v/>
      </c>
      <c r="AS10" s="111" t="str">
        <f t="shared" ref="AS10:AS74" ca="1" si="29">AR10</f>
        <v/>
      </c>
      <c r="AT10" s="37" t="str">
        <f t="shared" ref="AT10:AT74" ca="1" si="30">IFERROR(IF(AND(AT$7&gt;=$BZ10,AT$7&lt;$CA10),1,IF(AND(AT$7&gt;=$CB10,AT$7&lt;$CC10),2,IF(AND(AT$7&gt;=$CD10,AT$7&lt;=$CE10),3,""))),"")</f>
        <v/>
      </c>
      <c r="AU10" s="111" t="str">
        <f t="shared" ref="AU10:AU74" ca="1" si="31">AT10</f>
        <v/>
      </c>
      <c r="AV10" s="37" t="str">
        <f t="shared" ref="AV10:BN74" ca="1" si="32">IFERROR(IF(AND(AV$7&gt;=$BZ10,AV$7&lt;$CA10),1,IF(AND(AV$7&gt;=$CB10,AV$7&lt;$CC10),2,IF(AND(AV$7&gt;=$CD10,AV$7&lt;=$CE10),3,""))),"")</f>
        <v/>
      </c>
      <c r="AW10" s="111" t="str">
        <f t="shared" ref="AW10:BO74" ca="1" si="33">AV10</f>
        <v/>
      </c>
      <c r="AX10" s="37" t="str">
        <f t="shared" ca="1" si="32"/>
        <v/>
      </c>
      <c r="AY10" s="111" t="str">
        <f t="shared" ref="AY10:AY16" ca="1" si="34">AX10</f>
        <v/>
      </c>
      <c r="AZ10" s="37" t="str">
        <f t="shared" ca="1" si="32"/>
        <v/>
      </c>
      <c r="BA10" s="111" t="str">
        <f t="shared" ref="BA10:BA16" ca="1" si="35">AZ10</f>
        <v/>
      </c>
      <c r="BB10" s="37" t="str">
        <f t="shared" ca="1" si="32"/>
        <v/>
      </c>
      <c r="BC10" s="111" t="str">
        <f t="shared" ref="BC10:BC16" ca="1" si="36">BB10</f>
        <v/>
      </c>
      <c r="BD10" s="37" t="str">
        <f t="shared" ca="1" si="32"/>
        <v/>
      </c>
      <c r="BE10" s="111" t="str">
        <f t="shared" ref="BE10:BE16" ca="1" si="37">BD10</f>
        <v/>
      </c>
      <c r="BF10" s="37" t="str">
        <f t="shared" ca="1" si="32"/>
        <v/>
      </c>
      <c r="BG10" s="111" t="str">
        <f t="shared" ref="BG10:BG16" ca="1" si="38">BF10</f>
        <v/>
      </c>
      <c r="BH10" s="37" t="str">
        <f t="shared" ca="1" si="32"/>
        <v/>
      </c>
      <c r="BI10" s="111" t="str">
        <f t="shared" ref="BI10:BI16" ca="1" si="39">BH10</f>
        <v/>
      </c>
      <c r="BJ10" s="37" t="str">
        <f t="shared" ca="1" si="32"/>
        <v/>
      </c>
      <c r="BK10" s="111" t="str">
        <f t="shared" ref="BK10:BK16" ca="1" si="40">BJ10</f>
        <v/>
      </c>
      <c r="BL10" s="37" t="str">
        <f t="shared" ca="1" si="32"/>
        <v/>
      </c>
      <c r="BM10" s="111" t="str">
        <f t="shared" ref="BM10:BM16" ca="1" si="41">BL10</f>
        <v/>
      </c>
      <c r="BN10" s="37" t="str">
        <f t="shared" ca="1" si="32"/>
        <v/>
      </c>
      <c r="BO10" s="111" t="str">
        <f t="shared" ref="BO10:BO16" ca="1" si="42">BN10</f>
        <v/>
      </c>
      <c r="BP10" s="34"/>
      <c r="BQ10" s="23"/>
      <c r="BZ10" s="60" cm="1">
        <f t="array" aca="1" ref="BZ10" ca="1">IFERROR(EOMONTH(EOMONTH(_xlfn._xlws.FILTER(Table1[Planned Start],(Table1[Category]=$E10)*(Table1[SBU]=$F$5)*(Table1[Execution Year]=$D10)*(Table1[Most curent]=TRUE)),0)-45,0)+1,"")</f>
        <v>43831</v>
      </c>
      <c r="CA10" s="60" cm="1">
        <f t="array" aca="1" ref="CA10" ca="1">IFERROR(EOMONTH(_xlfn._xlws.FILTER(Table1[Planned Award],(Table1[Category]=$E10)*(Table1[SBU]=$F$5)*(Table1[Most curent]=TRUE)*(Table1[Execution Year]=$D10)),0),"")</f>
        <v>43951</v>
      </c>
      <c r="CB10" s="60" cm="1">
        <f t="array" aca="1" ref="CB10" ca="1">IFERROR(EOMONTH(EOMONTH(_xlfn._xlws.FILTER(Table1[Current Phase End],(Table1[Category]=$E10)*(Table1[SBU]=$F$5)*(Table1[Most curent]=TRUE)*(Table1[Execution Year]=$D10)),0)-45,0)+1,"")</f>
        <v>43831</v>
      </c>
      <c r="CC10" s="60" cm="1">
        <f t="array" aca="1" ref="CC10" ca="1">IFERROR(EOMONTH(_xlfn._xlws.FILTER(Table1[Revised Award],(Table1[Category]=$E10)*(Table1[SBU]=$F$5)*(Table1[Most curent]=TRUE)*(Table1[Execution Year]=$D10)),0),"")</f>
        <v>43951</v>
      </c>
      <c r="CD10" s="60">
        <f ca="1">IFERROR(EOMONTH(BZ10-65,0)+1,"")</f>
        <v>43770</v>
      </c>
      <c r="CE10" s="60">
        <f ca="1">IFERROR(BZ10-1,"")</f>
        <v>43830</v>
      </c>
    </row>
    <row r="11" spans="1:83" ht="20.25" customHeight="1" thickTop="1" thickBot="1">
      <c r="B11" s="123">
        <f ca="1"/>
        <v>2</v>
      </c>
      <c r="C11" s="71">
        <f ca="1"/>
        <v>43952</v>
      </c>
      <c r="D11" s="35" t="str">
        <f ca="1"/>
        <v>FY22</v>
      </c>
      <c r="E11" s="35" t="str">
        <f ca="1"/>
        <v>Wipes</v>
      </c>
      <c r="F11" s="35" t="str">
        <f ca="1"/>
        <v>Completed</v>
      </c>
      <c r="G11" s="35" t="str">
        <f ca="1"/>
        <v>Closed</v>
      </c>
      <c r="H11" s="36">
        <f ca="1"/>
        <v>53077702</v>
      </c>
      <c r="I11" s="36">
        <f ca="1"/>
        <v>0</v>
      </c>
      <c r="J11" s="35" t="str">
        <f ca="1"/>
        <v>Roy</v>
      </c>
      <c r="K11" s="71">
        <f ca="1"/>
        <v>0.2</v>
      </c>
      <c r="L11" s="71"/>
      <c r="M11" s="71"/>
      <c r="N11" s="34" t="str">
        <f t="shared" ref="N11:N74" ca="1" si="43">IFERROR(IF(AND(N$7&gt;=$BZ11,N$7&lt;$CA11),1,IF(AND(N$7&gt;=$CB11,N$7&lt;$CC11),2,IF(AND(N$7&gt;=$CD11,N$7&lt;=$CE11),3,""))),"")</f>
        <v/>
      </c>
      <c r="O11" s="111" t="str">
        <f t="shared" ref="O11:O74" ca="1" si="44">N11</f>
        <v/>
      </c>
      <c r="P11" s="34" t="str">
        <f t="shared" ca="1" si="0"/>
        <v/>
      </c>
      <c r="Q11" s="111" t="str">
        <f t="shared" ca="1" si="1"/>
        <v/>
      </c>
      <c r="R11" s="34" t="str">
        <f t="shared" ca="1" si="2"/>
        <v/>
      </c>
      <c r="S11" s="111" t="str">
        <f t="shared" ca="1" si="3"/>
        <v/>
      </c>
      <c r="T11" s="37" t="str">
        <f t="shared" ca="1" si="4"/>
        <v/>
      </c>
      <c r="U11" s="111" t="str">
        <f t="shared" ca="1" si="5"/>
        <v/>
      </c>
      <c r="V11" s="37" t="str">
        <f t="shared" ca="1" si="6"/>
        <v/>
      </c>
      <c r="W11" s="111" t="str">
        <f t="shared" ca="1" si="7"/>
        <v/>
      </c>
      <c r="X11" s="37" t="str">
        <f t="shared" ca="1" si="8"/>
        <v/>
      </c>
      <c r="Y11" s="111" t="str">
        <f t="shared" ca="1" si="9"/>
        <v/>
      </c>
      <c r="Z11" s="37" t="str">
        <f t="shared" ca="1" si="10"/>
        <v/>
      </c>
      <c r="AA11" s="111" t="str">
        <f t="shared" ca="1" si="11"/>
        <v/>
      </c>
      <c r="AB11" s="37" t="str">
        <f t="shared" ca="1" si="12"/>
        <v/>
      </c>
      <c r="AC11" s="111" t="str">
        <f t="shared" ca="1" si="13"/>
        <v/>
      </c>
      <c r="AD11" s="37" t="str">
        <f t="shared" ca="1" si="14"/>
        <v/>
      </c>
      <c r="AE11" s="111" t="str">
        <f t="shared" ca="1" si="15"/>
        <v/>
      </c>
      <c r="AF11" s="37" t="str">
        <f t="shared" ca="1" si="16"/>
        <v/>
      </c>
      <c r="AG11" s="111" t="str">
        <f t="shared" ca="1" si="17"/>
        <v/>
      </c>
      <c r="AH11" s="37" t="str">
        <f t="shared" ca="1" si="18"/>
        <v/>
      </c>
      <c r="AI11" s="111" t="str">
        <f t="shared" ca="1" si="19"/>
        <v/>
      </c>
      <c r="AJ11" s="37" t="str">
        <f t="shared" ca="1" si="20"/>
        <v/>
      </c>
      <c r="AK11" s="111" t="str">
        <f t="shared" ca="1" si="21"/>
        <v/>
      </c>
      <c r="AL11" s="37" t="str">
        <f t="shared" ca="1" si="22"/>
        <v/>
      </c>
      <c r="AM11" s="111" t="str">
        <f t="shared" ca="1" si="23"/>
        <v/>
      </c>
      <c r="AN11" s="37" t="str">
        <f t="shared" ca="1" si="24"/>
        <v/>
      </c>
      <c r="AO11" s="111" t="str">
        <f t="shared" ca="1" si="25"/>
        <v/>
      </c>
      <c r="AP11" s="37" t="str">
        <f t="shared" ca="1" si="26"/>
        <v/>
      </c>
      <c r="AQ11" s="111" t="str">
        <f t="shared" ca="1" si="27"/>
        <v/>
      </c>
      <c r="AR11" s="37" t="str">
        <f t="shared" ca="1" si="28"/>
        <v/>
      </c>
      <c r="AS11" s="111" t="str">
        <f t="shared" ca="1" si="29"/>
        <v/>
      </c>
      <c r="AT11" s="37" t="str">
        <f t="shared" ca="1" si="30"/>
        <v/>
      </c>
      <c r="AU11" s="111" t="str">
        <f t="shared" ca="1" si="31"/>
        <v/>
      </c>
      <c r="AV11" s="37" t="str">
        <f t="shared" ca="1" si="32"/>
        <v/>
      </c>
      <c r="AW11" s="111" t="str">
        <f t="shared" ca="1" si="33"/>
        <v/>
      </c>
      <c r="AX11" s="37" t="str">
        <f t="shared" ca="1" si="32"/>
        <v/>
      </c>
      <c r="AY11" s="111" t="str">
        <f t="shared" ca="1" si="34"/>
        <v/>
      </c>
      <c r="AZ11" s="37" t="str">
        <f t="shared" ca="1" si="32"/>
        <v/>
      </c>
      <c r="BA11" s="111" t="str">
        <f t="shared" ca="1" si="35"/>
        <v/>
      </c>
      <c r="BB11" s="37" t="str">
        <f t="shared" ca="1" si="32"/>
        <v/>
      </c>
      <c r="BC11" s="111" t="str">
        <f t="shared" ca="1" si="36"/>
        <v/>
      </c>
      <c r="BD11" s="37" t="str">
        <f t="shared" ca="1" si="32"/>
        <v/>
      </c>
      <c r="BE11" s="111" t="str">
        <f t="shared" ca="1" si="37"/>
        <v/>
      </c>
      <c r="BF11" s="37" t="str">
        <f t="shared" ca="1" si="32"/>
        <v/>
      </c>
      <c r="BG11" s="111" t="str">
        <f t="shared" ca="1" si="38"/>
        <v/>
      </c>
      <c r="BH11" s="37" t="str">
        <f t="shared" ca="1" si="32"/>
        <v/>
      </c>
      <c r="BI11" s="111" t="str">
        <f t="shared" ca="1" si="39"/>
        <v/>
      </c>
      <c r="BJ11" s="37" t="str">
        <f t="shared" ca="1" si="32"/>
        <v/>
      </c>
      <c r="BK11" s="111" t="str">
        <f t="shared" ca="1" si="40"/>
        <v/>
      </c>
      <c r="BL11" s="37" t="str">
        <f t="shared" ca="1" si="32"/>
        <v/>
      </c>
      <c r="BM11" s="111" t="str">
        <f t="shared" ca="1" si="41"/>
        <v/>
      </c>
      <c r="BN11" s="37" t="str">
        <f t="shared" ca="1" si="32"/>
        <v/>
      </c>
      <c r="BO11" s="111" t="str">
        <f t="shared" ca="1" si="42"/>
        <v/>
      </c>
      <c r="BP11" s="34"/>
      <c r="BQ11" s="23"/>
      <c r="BZ11" s="60" cm="1">
        <f t="array" aca="1" ref="BZ11" ca="1">IFERROR(EOMONTH(EOMONTH(_xlfn._xlws.FILTER(Table1[Planned Start],(Table1[Category]=$E11)*(Table1[SBU]=$F$5)*(Table1[Execution Year]=$D11)*(Table1[Most curent]=TRUE)),0)-45,0)+1,"")</f>
        <v>43952</v>
      </c>
      <c r="CA11" s="60" cm="1">
        <f t="array" aca="1" ref="CA11" ca="1">IFERROR(EOMONTH(_xlfn._xlws.FILTER(Table1[Planned Award],(Table1[Category]=$E11)*(Table1[SBU]=$F$5)*(Table1[Most curent]=TRUE)*(Table1[Execution Year]=$D11)),0),"")</f>
        <v>44286</v>
      </c>
      <c r="CB11" s="60" cm="1">
        <f t="array" aca="1" ref="CB11" ca="1">IFERROR(EOMONTH(EOMONTH(_xlfn._xlws.FILTER(Table1[Current Phase End],(Table1[Category]=$E11)*(Table1[SBU]=$F$5)*(Table1[Most curent]=TRUE)*(Table1[Execution Year]=$D11)),0)-45,0)+1,"")</f>
        <v>44044</v>
      </c>
      <c r="CC11" s="60" cm="1">
        <f t="array" aca="1" ref="CC11" ca="1">IFERROR(EOMONTH(_xlfn._xlws.FILTER(Table1[Revised Award],(Table1[Category]=$E11)*(Table1[SBU]=$F$5)*(Table1[Most curent]=TRUE)*(Table1[Execution Year]=$D11)),0),"")</f>
        <v>44347</v>
      </c>
      <c r="CD11" s="60">
        <f t="shared" ref="CD11:CD74" ca="1" si="45">IFERROR(EOMONTH(BZ11-65,0)+1,"")</f>
        <v>43891</v>
      </c>
      <c r="CE11" s="60">
        <f t="shared" ref="CE11:CE74" ca="1" si="46">IFERROR(BZ11-1,"")</f>
        <v>43951</v>
      </c>
    </row>
    <row r="12" spans="1:83" ht="20.25" customHeight="1" thickTop="1" thickBot="1">
      <c r="B12" s="123">
        <f ca="1"/>
        <v>3</v>
      </c>
      <c r="C12" s="71">
        <f ca="1"/>
        <v>44136</v>
      </c>
      <c r="D12" s="35" t="str">
        <f ca="1"/>
        <v>FY22</v>
      </c>
      <c r="E12" s="35" t="str">
        <f ca="1"/>
        <v>Paper products</v>
      </c>
      <c r="F12" s="35" t="str">
        <f ca="1"/>
        <v>Completed</v>
      </c>
      <c r="G12" s="35" t="str">
        <f ca="1"/>
        <v>Closed</v>
      </c>
      <c r="H12" s="36">
        <f ca="1"/>
        <v>110803729</v>
      </c>
      <c r="I12" s="36">
        <f ca="1"/>
        <v>209492734</v>
      </c>
      <c r="J12" s="35" t="str">
        <f ca="1"/>
        <v>Jason</v>
      </c>
      <c r="K12" s="71">
        <f ca="1"/>
        <v>0.2</v>
      </c>
      <c r="L12" s="71"/>
      <c r="M12" s="71"/>
      <c r="N12" s="34" t="str">
        <f t="shared" ca="1" si="43"/>
        <v/>
      </c>
      <c r="O12" s="111" t="str">
        <f t="shared" ca="1" si="44"/>
        <v/>
      </c>
      <c r="P12" s="34" t="str">
        <f t="shared" ca="1" si="0"/>
        <v/>
      </c>
      <c r="Q12" s="111" t="str">
        <f t="shared" ca="1" si="1"/>
        <v/>
      </c>
      <c r="R12" s="34" t="str">
        <f t="shared" ca="1" si="2"/>
        <v/>
      </c>
      <c r="S12" s="111" t="str">
        <f t="shared" ca="1" si="3"/>
        <v/>
      </c>
      <c r="T12" s="37" t="str">
        <f t="shared" ca="1" si="4"/>
        <v/>
      </c>
      <c r="U12" s="111" t="str">
        <f t="shared" ca="1" si="5"/>
        <v/>
      </c>
      <c r="V12" s="37" t="str">
        <f t="shared" ca="1" si="6"/>
        <v/>
      </c>
      <c r="W12" s="111" t="str">
        <f t="shared" ca="1" si="7"/>
        <v/>
      </c>
      <c r="X12" s="37" t="str">
        <f t="shared" ca="1" si="8"/>
        <v/>
      </c>
      <c r="Y12" s="111" t="str">
        <f t="shared" ca="1" si="9"/>
        <v/>
      </c>
      <c r="Z12" s="37" t="str">
        <f t="shared" ca="1" si="10"/>
        <v/>
      </c>
      <c r="AA12" s="111" t="str">
        <f t="shared" ca="1" si="11"/>
        <v/>
      </c>
      <c r="AB12" s="37" t="str">
        <f t="shared" ca="1" si="12"/>
        <v/>
      </c>
      <c r="AC12" s="111" t="str">
        <f t="shared" ca="1" si="13"/>
        <v/>
      </c>
      <c r="AD12" s="37" t="str">
        <f t="shared" ca="1" si="14"/>
        <v/>
      </c>
      <c r="AE12" s="111" t="str">
        <f t="shared" ca="1" si="15"/>
        <v/>
      </c>
      <c r="AF12" s="37" t="str">
        <f t="shared" ca="1" si="16"/>
        <v/>
      </c>
      <c r="AG12" s="111" t="str">
        <f t="shared" ca="1" si="17"/>
        <v/>
      </c>
      <c r="AH12" s="37" t="str">
        <f t="shared" ca="1" si="18"/>
        <v/>
      </c>
      <c r="AI12" s="111" t="str">
        <f t="shared" ca="1" si="19"/>
        <v/>
      </c>
      <c r="AJ12" s="37" t="str">
        <f t="shared" ca="1" si="20"/>
        <v/>
      </c>
      <c r="AK12" s="111" t="str">
        <f t="shared" ca="1" si="21"/>
        <v/>
      </c>
      <c r="AL12" s="37" t="str">
        <f t="shared" ca="1" si="22"/>
        <v/>
      </c>
      <c r="AM12" s="111" t="str">
        <f t="shared" ca="1" si="23"/>
        <v/>
      </c>
      <c r="AN12" s="37" t="str">
        <f t="shared" ca="1" si="24"/>
        <v/>
      </c>
      <c r="AO12" s="111" t="str">
        <f t="shared" ca="1" si="25"/>
        <v/>
      </c>
      <c r="AP12" s="37" t="str">
        <f t="shared" ca="1" si="26"/>
        <v/>
      </c>
      <c r="AQ12" s="111" t="str">
        <f t="shared" ca="1" si="27"/>
        <v/>
      </c>
      <c r="AR12" s="37" t="str">
        <f t="shared" ca="1" si="28"/>
        <v/>
      </c>
      <c r="AS12" s="111" t="str">
        <f t="shared" ca="1" si="29"/>
        <v/>
      </c>
      <c r="AT12" s="37" t="str">
        <f t="shared" ca="1" si="30"/>
        <v/>
      </c>
      <c r="AU12" s="111" t="str">
        <f t="shared" ca="1" si="31"/>
        <v/>
      </c>
      <c r="AV12" s="37" t="str">
        <f t="shared" ca="1" si="32"/>
        <v/>
      </c>
      <c r="AW12" s="111" t="str">
        <f t="shared" ca="1" si="33"/>
        <v/>
      </c>
      <c r="AX12" s="37" t="str">
        <f t="shared" ca="1" si="32"/>
        <v/>
      </c>
      <c r="AY12" s="111" t="str">
        <f t="shared" ca="1" si="34"/>
        <v/>
      </c>
      <c r="AZ12" s="37" t="str">
        <f t="shared" ca="1" si="32"/>
        <v/>
      </c>
      <c r="BA12" s="111" t="str">
        <f t="shared" ca="1" si="35"/>
        <v/>
      </c>
      <c r="BB12" s="37" t="str">
        <f t="shared" ca="1" si="32"/>
        <v/>
      </c>
      <c r="BC12" s="111" t="str">
        <f t="shared" ca="1" si="36"/>
        <v/>
      </c>
      <c r="BD12" s="37" t="str">
        <f t="shared" ca="1" si="32"/>
        <v/>
      </c>
      <c r="BE12" s="111" t="str">
        <f t="shared" ca="1" si="37"/>
        <v/>
      </c>
      <c r="BF12" s="37" t="str">
        <f t="shared" ca="1" si="32"/>
        <v/>
      </c>
      <c r="BG12" s="111" t="str">
        <f t="shared" ca="1" si="38"/>
        <v/>
      </c>
      <c r="BH12" s="37" t="str">
        <f t="shared" ca="1" si="32"/>
        <v/>
      </c>
      <c r="BI12" s="111" t="str">
        <f t="shared" ca="1" si="39"/>
        <v/>
      </c>
      <c r="BJ12" s="37" t="str">
        <f t="shared" ca="1" si="32"/>
        <v/>
      </c>
      <c r="BK12" s="111" t="str">
        <f t="shared" ca="1" si="40"/>
        <v/>
      </c>
      <c r="BL12" s="37" t="str">
        <f t="shared" ca="1" si="32"/>
        <v/>
      </c>
      <c r="BM12" s="111" t="str">
        <f t="shared" ca="1" si="41"/>
        <v/>
      </c>
      <c r="BN12" s="37" t="str">
        <f t="shared" ca="1" si="32"/>
        <v/>
      </c>
      <c r="BO12" s="111" t="str">
        <f t="shared" ca="1" si="42"/>
        <v/>
      </c>
      <c r="BP12" s="34"/>
      <c r="BQ12" s="23"/>
      <c r="BZ12" s="60" cm="1">
        <f t="array" aca="1" ref="BZ12" ca="1">IFERROR(EOMONTH(EOMONTH(_xlfn._xlws.FILTER(Table1[Planned Start],(Table1[Category]=$E12)*(Table1[SBU]=$F$5)*(Table1[Execution Year]=$D12)*(Table1[Most curent]=TRUE)),0)-45,0)+1,"")</f>
        <v>44136</v>
      </c>
      <c r="CA12" s="60" cm="1">
        <f t="array" aca="1" ref="CA12" ca="1">IFERROR(EOMONTH(_xlfn._xlws.FILTER(Table1[Planned Award],(Table1[Category]=$E12)*(Table1[SBU]=$F$5)*(Table1[Most curent]=TRUE)*(Table1[Execution Year]=$D12)),0),"")</f>
        <v>44316</v>
      </c>
      <c r="CB12" s="60" cm="1">
        <f t="array" aca="1" ref="CB12" ca="1">IFERROR(EOMONTH(EOMONTH(_xlfn._xlws.FILTER(Table1[Current Phase End],(Table1[Category]=$E12)*(Table1[SBU]=$F$5)*(Table1[Most curent]=TRUE)*(Table1[Execution Year]=$D12)),0)-45,0)+1,"")</f>
        <v>44136</v>
      </c>
      <c r="CC12" s="60" cm="1">
        <f t="array" aca="1" ref="CC12" ca="1">IFERROR(EOMONTH(_xlfn._xlws.FILTER(Table1[Revised Award],(Table1[Category]=$E12)*(Table1[SBU]=$F$5)*(Table1[Most curent]=TRUE)*(Table1[Execution Year]=$D12)),0),"")</f>
        <v>44347</v>
      </c>
      <c r="CD12" s="60">
        <f t="shared" ca="1" si="45"/>
        <v>44075</v>
      </c>
      <c r="CE12" s="60">
        <f t="shared" ca="1" si="46"/>
        <v>44135</v>
      </c>
    </row>
    <row r="13" spans="1:83" ht="20.25" customHeight="1" thickTop="1" thickBot="1">
      <c r="B13" s="123">
        <f ca="1"/>
        <v>4</v>
      </c>
      <c r="C13" s="71">
        <f ca="1"/>
        <v>44216</v>
      </c>
      <c r="D13" s="35" t="str">
        <f ca="1"/>
        <v>FY22</v>
      </c>
      <c r="E13" s="35" t="str">
        <f ca="1"/>
        <v>Food &amp; Trash bags (GEP)</v>
      </c>
      <c r="F13" s="35" t="str">
        <f ca="1"/>
        <v>Completed</v>
      </c>
      <c r="G13" s="35" t="str">
        <f ca="1"/>
        <v>Closed</v>
      </c>
      <c r="H13" s="36">
        <f ca="1"/>
        <v>41800000</v>
      </c>
      <c r="I13" s="36">
        <f ca="1"/>
        <v>44443394.93</v>
      </c>
      <c r="J13" s="35" t="str">
        <f ca="1"/>
        <v>Jason</v>
      </c>
      <c r="K13" s="71">
        <f ca="1"/>
        <v>0.2</v>
      </c>
      <c r="L13" s="71"/>
      <c r="M13" s="71"/>
      <c r="N13" s="34" t="str">
        <f t="shared" ca="1" si="43"/>
        <v/>
      </c>
      <c r="O13" s="111" t="str">
        <f t="shared" ca="1" si="44"/>
        <v/>
      </c>
      <c r="P13" s="34" t="str">
        <f t="shared" ca="1" si="0"/>
        <v/>
      </c>
      <c r="Q13" s="111" t="str">
        <f t="shared" ca="1" si="1"/>
        <v/>
      </c>
      <c r="R13" s="34" t="str">
        <f t="shared" ca="1" si="2"/>
        <v/>
      </c>
      <c r="S13" s="111" t="str">
        <f t="shared" ca="1" si="3"/>
        <v/>
      </c>
      <c r="T13" s="37" t="str">
        <f t="shared" ca="1" si="4"/>
        <v/>
      </c>
      <c r="U13" s="111" t="str">
        <f t="shared" ca="1" si="5"/>
        <v/>
      </c>
      <c r="V13" s="37" t="str">
        <f t="shared" ca="1" si="6"/>
        <v/>
      </c>
      <c r="W13" s="111" t="str">
        <f t="shared" ca="1" si="7"/>
        <v/>
      </c>
      <c r="X13" s="37" t="str">
        <f t="shared" ca="1" si="8"/>
        <v/>
      </c>
      <c r="Y13" s="111" t="str">
        <f t="shared" ca="1" si="9"/>
        <v/>
      </c>
      <c r="Z13" s="37" t="str">
        <f t="shared" ca="1" si="10"/>
        <v/>
      </c>
      <c r="AA13" s="111" t="str">
        <f t="shared" ca="1" si="11"/>
        <v/>
      </c>
      <c r="AB13" s="37" t="str">
        <f t="shared" ca="1" si="12"/>
        <v/>
      </c>
      <c r="AC13" s="111" t="str">
        <f t="shared" ca="1" si="13"/>
        <v/>
      </c>
      <c r="AD13" s="37" t="str">
        <f t="shared" ca="1" si="14"/>
        <v/>
      </c>
      <c r="AE13" s="111" t="str">
        <f t="shared" ca="1" si="15"/>
        <v/>
      </c>
      <c r="AF13" s="37" t="str">
        <f t="shared" ca="1" si="16"/>
        <v/>
      </c>
      <c r="AG13" s="111" t="str">
        <f t="shared" ca="1" si="17"/>
        <v/>
      </c>
      <c r="AH13" s="37" t="str">
        <f t="shared" ca="1" si="18"/>
        <v/>
      </c>
      <c r="AI13" s="111" t="str">
        <f t="shared" ca="1" si="19"/>
        <v/>
      </c>
      <c r="AJ13" s="37" t="str">
        <f t="shared" ca="1" si="20"/>
        <v/>
      </c>
      <c r="AK13" s="111" t="str">
        <f t="shared" ca="1" si="21"/>
        <v/>
      </c>
      <c r="AL13" s="37" t="str">
        <f t="shared" ca="1" si="22"/>
        <v/>
      </c>
      <c r="AM13" s="111" t="str">
        <f t="shared" ca="1" si="23"/>
        <v/>
      </c>
      <c r="AN13" s="37" t="str">
        <f t="shared" ca="1" si="24"/>
        <v/>
      </c>
      <c r="AO13" s="111" t="str">
        <f t="shared" ca="1" si="25"/>
        <v/>
      </c>
      <c r="AP13" s="37" t="str">
        <f t="shared" ca="1" si="26"/>
        <v/>
      </c>
      <c r="AQ13" s="111" t="str">
        <f t="shared" ca="1" si="27"/>
        <v/>
      </c>
      <c r="AR13" s="37" t="str">
        <f t="shared" ca="1" si="28"/>
        <v/>
      </c>
      <c r="AS13" s="111" t="str">
        <f t="shared" ca="1" si="29"/>
        <v/>
      </c>
      <c r="AT13" s="37" t="str">
        <f t="shared" ca="1" si="30"/>
        <v/>
      </c>
      <c r="AU13" s="111" t="str">
        <f t="shared" ca="1" si="31"/>
        <v/>
      </c>
      <c r="AV13" s="37" t="str">
        <f t="shared" ca="1" si="32"/>
        <v/>
      </c>
      <c r="AW13" s="111" t="str">
        <f t="shared" ca="1" si="33"/>
        <v/>
      </c>
      <c r="AX13" s="37" t="str">
        <f t="shared" ca="1" si="32"/>
        <v/>
      </c>
      <c r="AY13" s="111" t="str">
        <f t="shared" ca="1" si="34"/>
        <v/>
      </c>
      <c r="AZ13" s="37" t="str">
        <f t="shared" ca="1" si="32"/>
        <v/>
      </c>
      <c r="BA13" s="111" t="str">
        <f t="shared" ca="1" si="35"/>
        <v/>
      </c>
      <c r="BB13" s="37" t="str">
        <f t="shared" ca="1" si="32"/>
        <v/>
      </c>
      <c r="BC13" s="111" t="str">
        <f t="shared" ca="1" si="36"/>
        <v/>
      </c>
      <c r="BD13" s="37" t="str">
        <f t="shared" ca="1" si="32"/>
        <v/>
      </c>
      <c r="BE13" s="111" t="str">
        <f t="shared" ca="1" si="37"/>
        <v/>
      </c>
      <c r="BF13" s="37" t="str">
        <f t="shared" ca="1" si="32"/>
        <v/>
      </c>
      <c r="BG13" s="111" t="str">
        <f t="shared" ca="1" si="38"/>
        <v/>
      </c>
      <c r="BH13" s="37" t="str">
        <f t="shared" ca="1" si="32"/>
        <v/>
      </c>
      <c r="BI13" s="111" t="str">
        <f t="shared" ca="1" si="39"/>
        <v/>
      </c>
      <c r="BJ13" s="37" t="str">
        <f t="shared" ca="1" si="32"/>
        <v/>
      </c>
      <c r="BK13" s="111" t="str">
        <f t="shared" ca="1" si="40"/>
        <v/>
      </c>
      <c r="BL13" s="37" t="str">
        <f t="shared" ca="1" si="32"/>
        <v/>
      </c>
      <c r="BM13" s="111" t="str">
        <f t="shared" ca="1" si="41"/>
        <v/>
      </c>
      <c r="BN13" s="37" t="str">
        <f t="shared" ca="1" si="32"/>
        <v/>
      </c>
      <c r="BO13" s="111" t="str">
        <f t="shared" ca="1" si="42"/>
        <v/>
      </c>
      <c r="BP13" s="34"/>
      <c r="BQ13" s="23"/>
      <c r="BZ13" s="60" cm="1">
        <f t="array" aca="1" ref="BZ13" ca="1">IFERROR(EOMONTH(EOMONTH(_xlfn._xlws.FILTER(Table1[Planned Start],(Table1[Category]=$E13)*(Table1[SBU]=$F$5)*(Table1[Execution Year]=$D13)*(Table1[Most curent]=TRUE)),0)-45,0)+1,"")</f>
        <v>44197</v>
      </c>
      <c r="CA13" s="60" cm="1">
        <f t="array" aca="1" ref="CA13" ca="1">IFERROR(EOMONTH(_xlfn._xlws.FILTER(Table1[Planned Award],(Table1[Category]=$E13)*(Table1[SBU]=$F$5)*(Table1[Most curent]=TRUE)*(Table1[Execution Year]=$D13)),0),"")</f>
        <v>44286</v>
      </c>
      <c r="CB13" s="60" cm="1">
        <f t="array" aca="1" ref="CB13" ca="1">IFERROR(EOMONTH(EOMONTH(_xlfn._xlws.FILTER(Table1[Current Phase End],(Table1[Category]=$E13)*(Table1[SBU]=$F$5)*(Table1[Most curent]=TRUE)*(Table1[Execution Year]=$D13)),0)-45,0)+1,"")</f>
        <v>44197</v>
      </c>
      <c r="CC13" s="60" cm="1">
        <f t="array" aca="1" ref="CC13" ca="1">IFERROR(EOMONTH(_xlfn._xlws.FILTER(Table1[Revised Award],(Table1[Category]=$E13)*(Table1[SBU]=$F$5)*(Table1[Most curent]=TRUE)*(Table1[Execution Year]=$D13)),0),"")</f>
        <v>44347</v>
      </c>
      <c r="CD13" s="60">
        <f t="shared" ca="1" si="45"/>
        <v>44136</v>
      </c>
      <c r="CE13" s="60">
        <f t="shared" ca="1" si="46"/>
        <v>44196</v>
      </c>
    </row>
    <row r="14" spans="1:83" ht="20.25" customHeight="1" thickTop="1" thickBot="1">
      <c r="B14" s="123">
        <f ca="1"/>
        <v>5</v>
      </c>
      <c r="C14" s="71">
        <f ca="1"/>
        <v>44228</v>
      </c>
      <c r="D14" s="35" t="str">
        <f ca="1"/>
        <v>FY22</v>
      </c>
      <c r="E14" s="35" t="str">
        <f ca="1"/>
        <v>DTT - Paper</v>
      </c>
      <c r="F14" s="35" t="str">
        <f ca="1"/>
        <v>Completed</v>
      </c>
      <c r="G14" s="35" t="str">
        <f ca="1"/>
        <v>Closed</v>
      </c>
      <c r="H14" s="36">
        <f ca="1"/>
        <v>3059572.62</v>
      </c>
      <c r="I14" s="36">
        <f ca="1"/>
        <v>796117271.83000004</v>
      </c>
      <c r="J14" s="35" t="str">
        <f ca="1"/>
        <v>Jason</v>
      </c>
      <c r="K14" s="71">
        <f ca="1"/>
        <v>0.2</v>
      </c>
      <c r="L14" s="71"/>
      <c r="M14" s="71"/>
      <c r="N14" s="34" t="str">
        <f t="shared" ca="1" si="43"/>
        <v/>
      </c>
      <c r="O14" s="111" t="str">
        <f t="shared" ca="1" si="44"/>
        <v/>
      </c>
      <c r="P14" s="34" t="str">
        <f t="shared" ca="1" si="0"/>
        <v/>
      </c>
      <c r="Q14" s="111" t="str">
        <f t="shared" ca="1" si="1"/>
        <v/>
      </c>
      <c r="R14" s="34" t="str">
        <f t="shared" ca="1" si="2"/>
        <v/>
      </c>
      <c r="S14" s="111" t="str">
        <f t="shared" ca="1" si="3"/>
        <v/>
      </c>
      <c r="T14" s="37" t="str">
        <f t="shared" ca="1" si="4"/>
        <v/>
      </c>
      <c r="U14" s="111" t="str">
        <f t="shared" ca="1" si="5"/>
        <v/>
      </c>
      <c r="V14" s="37" t="str">
        <f t="shared" ca="1" si="6"/>
        <v/>
      </c>
      <c r="W14" s="111" t="str">
        <f t="shared" ca="1" si="7"/>
        <v/>
      </c>
      <c r="X14" s="37" t="str">
        <f t="shared" ca="1" si="8"/>
        <v/>
      </c>
      <c r="Y14" s="111" t="str">
        <f t="shared" ca="1" si="9"/>
        <v/>
      </c>
      <c r="Z14" s="37" t="str">
        <f t="shared" ca="1" si="10"/>
        <v/>
      </c>
      <c r="AA14" s="111" t="str">
        <f t="shared" ca="1" si="11"/>
        <v/>
      </c>
      <c r="AB14" s="37" t="str">
        <f t="shared" ca="1" si="12"/>
        <v/>
      </c>
      <c r="AC14" s="111" t="str">
        <f t="shared" ca="1" si="13"/>
        <v/>
      </c>
      <c r="AD14" s="37" t="str">
        <f t="shared" ca="1" si="14"/>
        <v/>
      </c>
      <c r="AE14" s="111" t="str">
        <f t="shared" ca="1" si="15"/>
        <v/>
      </c>
      <c r="AF14" s="37" t="str">
        <f t="shared" ca="1" si="16"/>
        <v/>
      </c>
      <c r="AG14" s="111" t="str">
        <f t="shared" ca="1" si="17"/>
        <v/>
      </c>
      <c r="AH14" s="37" t="str">
        <f t="shared" ca="1" si="18"/>
        <v/>
      </c>
      <c r="AI14" s="111" t="str">
        <f t="shared" ca="1" si="19"/>
        <v/>
      </c>
      <c r="AJ14" s="37" t="str">
        <f t="shared" ca="1" si="20"/>
        <v/>
      </c>
      <c r="AK14" s="111" t="str">
        <f t="shared" ca="1" si="21"/>
        <v/>
      </c>
      <c r="AL14" s="37" t="str">
        <f t="shared" ca="1" si="22"/>
        <v/>
      </c>
      <c r="AM14" s="111" t="str">
        <f t="shared" ca="1" si="23"/>
        <v/>
      </c>
      <c r="AN14" s="37" t="str">
        <f t="shared" ca="1" si="24"/>
        <v/>
      </c>
      <c r="AO14" s="111" t="str">
        <f t="shared" ca="1" si="25"/>
        <v/>
      </c>
      <c r="AP14" s="37" t="str">
        <f t="shared" ca="1" si="26"/>
        <v/>
      </c>
      <c r="AQ14" s="111" t="str">
        <f t="shared" ca="1" si="27"/>
        <v/>
      </c>
      <c r="AR14" s="37" t="str">
        <f t="shared" ca="1" si="28"/>
        <v/>
      </c>
      <c r="AS14" s="111" t="str">
        <f t="shared" ca="1" si="29"/>
        <v/>
      </c>
      <c r="AT14" s="37" t="str">
        <f t="shared" ca="1" si="30"/>
        <v/>
      </c>
      <c r="AU14" s="111" t="str">
        <f t="shared" ca="1" si="31"/>
        <v/>
      </c>
      <c r="AV14" s="37" t="str">
        <f t="shared" ca="1" si="32"/>
        <v/>
      </c>
      <c r="AW14" s="111" t="str">
        <f t="shared" ca="1" si="33"/>
        <v/>
      </c>
      <c r="AX14" s="37" t="str">
        <f t="shared" ca="1" si="32"/>
        <v/>
      </c>
      <c r="AY14" s="111" t="str">
        <f t="shared" ca="1" si="34"/>
        <v/>
      </c>
      <c r="AZ14" s="37" t="str">
        <f t="shared" ca="1" si="32"/>
        <v/>
      </c>
      <c r="BA14" s="111" t="str">
        <f t="shared" ca="1" si="35"/>
        <v/>
      </c>
      <c r="BB14" s="37" t="str">
        <f t="shared" ca="1" si="32"/>
        <v/>
      </c>
      <c r="BC14" s="111" t="str">
        <f t="shared" ca="1" si="36"/>
        <v/>
      </c>
      <c r="BD14" s="37" t="str">
        <f t="shared" ca="1" si="32"/>
        <v/>
      </c>
      <c r="BE14" s="111" t="str">
        <f t="shared" ca="1" si="37"/>
        <v/>
      </c>
      <c r="BF14" s="37" t="str">
        <f t="shared" ca="1" si="32"/>
        <v/>
      </c>
      <c r="BG14" s="111" t="str">
        <f t="shared" ca="1" si="38"/>
        <v/>
      </c>
      <c r="BH14" s="37" t="str">
        <f t="shared" ca="1" si="32"/>
        <v/>
      </c>
      <c r="BI14" s="111" t="str">
        <f t="shared" ca="1" si="39"/>
        <v/>
      </c>
      <c r="BJ14" s="37" t="str">
        <f t="shared" ca="1" si="32"/>
        <v/>
      </c>
      <c r="BK14" s="111" t="str">
        <f t="shared" ca="1" si="40"/>
        <v/>
      </c>
      <c r="BL14" s="37" t="str">
        <f t="shared" ca="1" si="32"/>
        <v/>
      </c>
      <c r="BM14" s="111" t="str">
        <f t="shared" ca="1" si="41"/>
        <v/>
      </c>
      <c r="BN14" s="37" t="str">
        <f t="shared" ca="1" si="32"/>
        <v/>
      </c>
      <c r="BO14" s="111" t="str">
        <f t="shared" ca="1" si="42"/>
        <v/>
      </c>
      <c r="BP14" s="34"/>
      <c r="BQ14" s="23"/>
      <c r="BZ14" s="60" cm="1">
        <f t="array" aca="1" ref="BZ14" ca="1">IFERROR(EOMONTH(EOMONTH(_xlfn._xlws.FILTER(Table1[Planned Start],(Table1[Category]=$E14)*(Table1[SBU]=$F$5)*(Table1[Execution Year]=$D14)*(Table1[Most curent]=TRUE)),0)-45,0)+1,"")</f>
        <v>44228</v>
      </c>
      <c r="CA14" s="60" cm="1">
        <f t="array" aca="1" ref="CA14" ca="1">IFERROR(EOMONTH(_xlfn._xlws.FILTER(Table1[Planned Award],(Table1[Category]=$E14)*(Table1[SBU]=$F$5)*(Table1[Most curent]=TRUE)*(Table1[Execution Year]=$D14)),0),"")</f>
        <v>44408</v>
      </c>
      <c r="CB14" s="60" cm="1">
        <f t="array" aca="1" ref="CB14" ca="1">IFERROR(EOMONTH(EOMONTH(_xlfn._xlws.FILTER(Table1[Current Phase End],(Table1[Category]=$E14)*(Table1[SBU]=$F$5)*(Table1[Most curent]=TRUE)*(Table1[Execution Year]=$D14)),0)-45,0)+1,"")</f>
        <v>44256</v>
      </c>
      <c r="CC14" s="60" cm="1">
        <f t="array" aca="1" ref="CC14" ca="1">IFERROR(EOMONTH(_xlfn._xlws.FILTER(Table1[Revised Award],(Table1[Category]=$E14)*(Table1[SBU]=$F$5)*(Table1[Most curent]=TRUE)*(Table1[Execution Year]=$D14)),0),"")</f>
        <v>31</v>
      </c>
      <c r="CD14" s="60">
        <f t="shared" ca="1" si="45"/>
        <v>44166</v>
      </c>
      <c r="CE14" s="60">
        <f t="shared" ca="1" si="46"/>
        <v>44227</v>
      </c>
    </row>
    <row r="15" spans="1:83" ht="20.25" customHeight="1" thickTop="1" thickBot="1">
      <c r="B15" s="123">
        <f ca="1"/>
        <v>6</v>
      </c>
      <c r="C15" s="71">
        <f ca="1"/>
        <v>44301</v>
      </c>
      <c r="D15" s="35" t="str">
        <f ca="1"/>
        <v>FY22</v>
      </c>
      <c r="E15" s="35" t="str">
        <f ca="1"/>
        <v>Puppy Pads</v>
      </c>
      <c r="F15" s="35" t="str">
        <f ca="1"/>
        <v>Completed</v>
      </c>
      <c r="G15" s="35" t="str">
        <f ca="1"/>
        <v>Closed</v>
      </c>
      <c r="H15" s="36">
        <f ca="1"/>
        <v>3715029</v>
      </c>
      <c r="I15" s="36">
        <f ca="1"/>
        <v>40958361</v>
      </c>
      <c r="J15" s="35" t="str">
        <f ca="1"/>
        <v>Jason</v>
      </c>
      <c r="K15" s="71">
        <f ca="1"/>
        <v>0.2</v>
      </c>
      <c r="L15" s="71"/>
      <c r="M15" s="71"/>
      <c r="N15" s="34" t="str">
        <f t="shared" ca="1" si="43"/>
        <v/>
      </c>
      <c r="O15" s="111" t="str">
        <f t="shared" ca="1" si="44"/>
        <v/>
      </c>
      <c r="P15" s="34" t="str">
        <f t="shared" ca="1" si="0"/>
        <v/>
      </c>
      <c r="Q15" s="111" t="str">
        <f t="shared" ca="1" si="1"/>
        <v/>
      </c>
      <c r="R15" s="34" t="str">
        <f t="shared" ca="1" si="2"/>
        <v/>
      </c>
      <c r="S15" s="111" t="str">
        <f t="shared" ca="1" si="3"/>
        <v/>
      </c>
      <c r="T15" s="37" t="str">
        <f t="shared" ca="1" si="4"/>
        <v/>
      </c>
      <c r="U15" s="111" t="str">
        <f t="shared" ca="1" si="5"/>
        <v/>
      </c>
      <c r="V15" s="37" t="str">
        <f t="shared" ca="1" si="6"/>
        <v/>
      </c>
      <c r="W15" s="111" t="str">
        <f t="shared" ca="1" si="7"/>
        <v/>
      </c>
      <c r="X15" s="37" t="str">
        <f t="shared" ca="1" si="8"/>
        <v/>
      </c>
      <c r="Y15" s="111" t="str">
        <f t="shared" ca="1" si="9"/>
        <v/>
      </c>
      <c r="Z15" s="37" t="str">
        <f t="shared" ca="1" si="10"/>
        <v/>
      </c>
      <c r="AA15" s="111" t="str">
        <f t="shared" ca="1" si="11"/>
        <v/>
      </c>
      <c r="AB15" s="37" t="str">
        <f t="shared" ca="1" si="12"/>
        <v/>
      </c>
      <c r="AC15" s="111" t="str">
        <f t="shared" ca="1" si="13"/>
        <v/>
      </c>
      <c r="AD15" s="37" t="str">
        <f t="shared" ca="1" si="14"/>
        <v/>
      </c>
      <c r="AE15" s="111" t="str">
        <f t="shared" ca="1" si="15"/>
        <v/>
      </c>
      <c r="AF15" s="37" t="str">
        <f t="shared" ca="1" si="16"/>
        <v/>
      </c>
      <c r="AG15" s="111" t="str">
        <f t="shared" ca="1" si="17"/>
        <v/>
      </c>
      <c r="AH15" s="37" t="str">
        <f t="shared" ca="1" si="18"/>
        <v/>
      </c>
      <c r="AI15" s="111" t="str">
        <f t="shared" ca="1" si="19"/>
        <v/>
      </c>
      <c r="AJ15" s="37" t="str">
        <f t="shared" ca="1" si="20"/>
        <v/>
      </c>
      <c r="AK15" s="111" t="str">
        <f t="shared" ca="1" si="21"/>
        <v/>
      </c>
      <c r="AL15" s="37" t="str">
        <f t="shared" ca="1" si="22"/>
        <v/>
      </c>
      <c r="AM15" s="111" t="str">
        <f t="shared" ca="1" si="23"/>
        <v/>
      </c>
      <c r="AN15" s="37" t="str">
        <f t="shared" ca="1" si="24"/>
        <v/>
      </c>
      <c r="AO15" s="111" t="str">
        <f t="shared" ca="1" si="25"/>
        <v/>
      </c>
      <c r="AP15" s="37" t="str">
        <f t="shared" ca="1" si="26"/>
        <v/>
      </c>
      <c r="AQ15" s="111" t="str">
        <f t="shared" ca="1" si="27"/>
        <v/>
      </c>
      <c r="AR15" s="37" t="str">
        <f t="shared" ca="1" si="28"/>
        <v/>
      </c>
      <c r="AS15" s="111" t="str">
        <f t="shared" ca="1" si="29"/>
        <v/>
      </c>
      <c r="AT15" s="37" t="str">
        <f t="shared" ca="1" si="30"/>
        <v/>
      </c>
      <c r="AU15" s="111" t="str">
        <f t="shared" ca="1" si="31"/>
        <v/>
      </c>
      <c r="AV15" s="37" t="str">
        <f t="shared" ca="1" si="32"/>
        <v/>
      </c>
      <c r="AW15" s="111" t="str">
        <f t="shared" ca="1" si="33"/>
        <v/>
      </c>
      <c r="AX15" s="37" t="str">
        <f t="shared" ca="1" si="32"/>
        <v/>
      </c>
      <c r="AY15" s="111" t="str">
        <f t="shared" ca="1" si="34"/>
        <v/>
      </c>
      <c r="AZ15" s="37" t="str">
        <f t="shared" ca="1" si="32"/>
        <v/>
      </c>
      <c r="BA15" s="111" t="str">
        <f t="shared" ca="1" si="35"/>
        <v/>
      </c>
      <c r="BB15" s="37" t="str">
        <f t="shared" ca="1" si="32"/>
        <v/>
      </c>
      <c r="BC15" s="111" t="str">
        <f t="shared" ca="1" si="36"/>
        <v/>
      </c>
      <c r="BD15" s="37" t="str">
        <f t="shared" ca="1" si="32"/>
        <v/>
      </c>
      <c r="BE15" s="111" t="str">
        <f t="shared" ca="1" si="37"/>
        <v/>
      </c>
      <c r="BF15" s="37" t="str">
        <f t="shared" ca="1" si="32"/>
        <v/>
      </c>
      <c r="BG15" s="111" t="str">
        <f t="shared" ca="1" si="38"/>
        <v/>
      </c>
      <c r="BH15" s="37" t="str">
        <f t="shared" ca="1" si="32"/>
        <v/>
      </c>
      <c r="BI15" s="111" t="str">
        <f t="shared" ca="1" si="39"/>
        <v/>
      </c>
      <c r="BJ15" s="37" t="str">
        <f t="shared" ca="1" si="32"/>
        <v/>
      </c>
      <c r="BK15" s="111" t="str">
        <f t="shared" ca="1" si="40"/>
        <v/>
      </c>
      <c r="BL15" s="37" t="str">
        <f t="shared" ca="1" si="32"/>
        <v/>
      </c>
      <c r="BM15" s="111" t="str">
        <f t="shared" ca="1" si="41"/>
        <v/>
      </c>
      <c r="BN15" s="37" t="str">
        <f t="shared" ca="1" si="32"/>
        <v/>
      </c>
      <c r="BO15" s="111" t="str">
        <f t="shared" ca="1" si="42"/>
        <v/>
      </c>
      <c r="BP15" s="34"/>
      <c r="BQ15" s="23"/>
      <c r="BZ15" s="60" cm="1">
        <f t="array" aca="1" ref="BZ15" ca="1">IFERROR(EOMONTH(EOMONTH(_xlfn._xlws.FILTER(Table1[Planned Start],(Table1[Category]=$E15)*(Table1[SBU]=$F$5)*(Table1[Execution Year]=$D15)*(Table1[Most curent]=TRUE)),0)-45,0)+1,"")</f>
        <v>44287</v>
      </c>
      <c r="CA15" s="60" cm="1">
        <f t="array" aca="1" ref="CA15" ca="1">IFERROR(EOMONTH(_xlfn._xlws.FILTER(Table1[Planned Award],(Table1[Category]=$E15)*(Table1[SBU]=$F$5)*(Table1[Most curent]=TRUE)*(Table1[Execution Year]=$D15)),0),"")</f>
        <v>44347</v>
      </c>
      <c r="CB15" s="60" t="str" cm="1">
        <f t="array" aca="1" ref="CB15" ca="1">IFERROR(EOMONTH(EOMONTH(_xlfn._xlws.FILTER(Table1[Current Phase End],(Table1[Category]=$E15)*(Table1[SBU]=$F$5)*(Table1[Most curent]=TRUE)*(Table1[Execution Year]=$D15)),0)-45,0)+1,"")</f>
        <v/>
      </c>
      <c r="CC15" s="60" cm="1">
        <f t="array" aca="1" ref="CC15" ca="1">IFERROR(EOMONTH(_xlfn._xlws.FILTER(Table1[Revised Award],(Table1[Category]=$E15)*(Table1[SBU]=$F$5)*(Table1[Most curent]=TRUE)*(Table1[Execution Year]=$D15)),0),"")</f>
        <v>31</v>
      </c>
      <c r="CD15" s="60">
        <f t="shared" ca="1" si="45"/>
        <v>44228</v>
      </c>
      <c r="CE15" s="60">
        <f t="shared" ca="1" si="46"/>
        <v>44286</v>
      </c>
    </row>
    <row r="16" spans="1:83" ht="20.25" customHeight="1" thickTop="1" thickBot="1">
      <c r="B16" s="123">
        <f ca="1"/>
        <v>7</v>
      </c>
      <c r="C16" s="71">
        <f ca="1"/>
        <v>44348</v>
      </c>
      <c r="D16" s="35" t="str">
        <f ca="1"/>
        <v>FY22</v>
      </c>
      <c r="E16" s="35" t="str">
        <f ca="1"/>
        <v>Dish &amp; Laundry (liquids/powder/pods)</v>
      </c>
      <c r="F16" s="35" t="str">
        <f ca="1"/>
        <v>Completed</v>
      </c>
      <c r="G16" s="35" t="str">
        <f ca="1"/>
        <v>Closed</v>
      </c>
      <c r="H16" s="36">
        <f ca="1"/>
        <v>98413656</v>
      </c>
      <c r="I16" s="36">
        <f ca="1"/>
        <v>23149480</v>
      </c>
      <c r="J16" s="35" t="str">
        <f ca="1"/>
        <v>Jason</v>
      </c>
      <c r="K16" s="71">
        <f ca="1"/>
        <v>0.2</v>
      </c>
      <c r="L16" s="71"/>
      <c r="M16" s="71"/>
      <c r="N16" s="34">
        <f t="shared" ca="1" si="43"/>
        <v>1</v>
      </c>
      <c r="O16" s="111">
        <f t="shared" ca="1" si="44"/>
        <v>1</v>
      </c>
      <c r="P16" s="34" t="str">
        <f t="shared" ca="1" si="0"/>
        <v/>
      </c>
      <c r="Q16" s="111" t="str">
        <f t="shared" ca="1" si="1"/>
        <v/>
      </c>
      <c r="R16" s="34" t="str">
        <f t="shared" ca="1" si="2"/>
        <v/>
      </c>
      <c r="S16" s="111" t="str">
        <f t="shared" ca="1" si="3"/>
        <v/>
      </c>
      <c r="T16" s="37" t="str">
        <f t="shared" ca="1" si="4"/>
        <v/>
      </c>
      <c r="U16" s="111" t="str">
        <f t="shared" ca="1" si="5"/>
        <v/>
      </c>
      <c r="V16" s="37" t="str">
        <f t="shared" ca="1" si="6"/>
        <v/>
      </c>
      <c r="W16" s="111" t="str">
        <f t="shared" ca="1" si="7"/>
        <v/>
      </c>
      <c r="X16" s="37" t="str">
        <f t="shared" ca="1" si="8"/>
        <v/>
      </c>
      <c r="Y16" s="111" t="str">
        <f t="shared" ca="1" si="9"/>
        <v/>
      </c>
      <c r="Z16" s="37" t="str">
        <f t="shared" ca="1" si="10"/>
        <v/>
      </c>
      <c r="AA16" s="111" t="str">
        <f t="shared" ca="1" si="11"/>
        <v/>
      </c>
      <c r="AB16" s="37" t="str">
        <f t="shared" ca="1" si="12"/>
        <v/>
      </c>
      <c r="AC16" s="111" t="str">
        <f t="shared" ca="1" si="13"/>
        <v/>
      </c>
      <c r="AD16" s="37" t="str">
        <f t="shared" ca="1" si="14"/>
        <v/>
      </c>
      <c r="AE16" s="111" t="str">
        <f t="shared" ca="1" si="15"/>
        <v/>
      </c>
      <c r="AF16" s="37" t="str">
        <f t="shared" ca="1" si="16"/>
        <v/>
      </c>
      <c r="AG16" s="111" t="str">
        <f t="shared" ca="1" si="17"/>
        <v/>
      </c>
      <c r="AH16" s="37" t="str">
        <f t="shared" ca="1" si="18"/>
        <v/>
      </c>
      <c r="AI16" s="111" t="str">
        <f t="shared" ca="1" si="19"/>
        <v/>
      </c>
      <c r="AJ16" s="37" t="str">
        <f t="shared" ca="1" si="20"/>
        <v/>
      </c>
      <c r="AK16" s="111" t="str">
        <f t="shared" ca="1" si="21"/>
        <v/>
      </c>
      <c r="AL16" s="37" t="str">
        <f t="shared" ca="1" si="22"/>
        <v/>
      </c>
      <c r="AM16" s="111" t="str">
        <f t="shared" ca="1" si="23"/>
        <v/>
      </c>
      <c r="AN16" s="37" t="str">
        <f t="shared" ca="1" si="24"/>
        <v/>
      </c>
      <c r="AO16" s="111" t="str">
        <f t="shared" ca="1" si="25"/>
        <v/>
      </c>
      <c r="AP16" s="37" t="str">
        <f t="shared" ca="1" si="26"/>
        <v/>
      </c>
      <c r="AQ16" s="111" t="str">
        <f t="shared" ca="1" si="27"/>
        <v/>
      </c>
      <c r="AR16" s="37" t="str">
        <f t="shared" ca="1" si="28"/>
        <v/>
      </c>
      <c r="AS16" s="111" t="str">
        <f t="shared" ca="1" si="29"/>
        <v/>
      </c>
      <c r="AT16" s="37" t="str">
        <f t="shared" ca="1" si="30"/>
        <v/>
      </c>
      <c r="AU16" s="111" t="str">
        <f t="shared" ca="1" si="31"/>
        <v/>
      </c>
      <c r="AV16" s="37" t="str">
        <f t="shared" ca="1" si="32"/>
        <v/>
      </c>
      <c r="AW16" s="111" t="str">
        <f t="shared" ca="1" si="33"/>
        <v/>
      </c>
      <c r="AX16" s="37" t="str">
        <f t="shared" ca="1" si="32"/>
        <v/>
      </c>
      <c r="AY16" s="111" t="str">
        <f t="shared" ca="1" si="34"/>
        <v/>
      </c>
      <c r="AZ16" s="37" t="str">
        <f t="shared" ca="1" si="32"/>
        <v/>
      </c>
      <c r="BA16" s="111" t="str">
        <f t="shared" ca="1" si="35"/>
        <v/>
      </c>
      <c r="BB16" s="37" t="str">
        <f t="shared" ca="1" si="32"/>
        <v/>
      </c>
      <c r="BC16" s="111" t="str">
        <f t="shared" ca="1" si="36"/>
        <v/>
      </c>
      <c r="BD16" s="37" t="str">
        <f t="shared" ca="1" si="32"/>
        <v/>
      </c>
      <c r="BE16" s="111" t="str">
        <f t="shared" ca="1" si="37"/>
        <v/>
      </c>
      <c r="BF16" s="37" t="str">
        <f t="shared" ca="1" si="32"/>
        <v/>
      </c>
      <c r="BG16" s="111" t="str">
        <f t="shared" ca="1" si="38"/>
        <v/>
      </c>
      <c r="BH16" s="37" t="str">
        <f t="shared" ca="1" si="32"/>
        <v/>
      </c>
      <c r="BI16" s="111" t="str">
        <f t="shared" ca="1" si="39"/>
        <v/>
      </c>
      <c r="BJ16" s="37" t="str">
        <f t="shared" ca="1" si="32"/>
        <v/>
      </c>
      <c r="BK16" s="111" t="str">
        <f t="shared" ca="1" si="40"/>
        <v/>
      </c>
      <c r="BL16" s="37" t="str">
        <f t="shared" ca="1" si="32"/>
        <v/>
      </c>
      <c r="BM16" s="111" t="str">
        <f t="shared" ca="1" si="41"/>
        <v/>
      </c>
      <c r="BN16" s="37" t="str">
        <f t="shared" ca="1" si="32"/>
        <v/>
      </c>
      <c r="BO16" s="111" t="str">
        <f t="shared" ca="1" si="42"/>
        <v/>
      </c>
      <c r="BP16" s="34"/>
      <c r="BQ16" s="23"/>
      <c r="BZ16" s="60" cm="1">
        <f t="array" aca="1" ref="BZ16" ca="1">IFERROR(EOMONTH(EOMONTH(_xlfn._xlws.FILTER(Table1[Planned Start],(Table1[Category]=$E16)*(Table1[SBU]=$F$5)*(Table1[Execution Year]=$D16)*(Table1[Most curent]=TRUE)),0)-45,0)+1,"")</f>
        <v>44348</v>
      </c>
      <c r="CA16" s="60" cm="1">
        <f t="array" aca="1" ref="CA16" ca="1">IFERROR(EOMONTH(_xlfn._xlws.FILTER(Table1[Planned Award],(Table1[Category]=$E16)*(Table1[SBU]=$F$5)*(Table1[Most curent]=TRUE)*(Table1[Execution Year]=$D16)),0),"")</f>
        <v>44530</v>
      </c>
      <c r="CB16" s="60" t="str" cm="1">
        <f t="array" aca="1" ref="CB16" ca="1">IFERROR(EOMONTH(EOMONTH(_xlfn._xlws.FILTER(Table1[Current Phase End],(Table1[Category]=$E16)*(Table1[SBU]=$F$5)*(Table1[Most curent]=TRUE)*(Table1[Execution Year]=$D16)),0)-45,0)+1,"")</f>
        <v/>
      </c>
      <c r="CC16" s="60" cm="1">
        <f t="array" aca="1" ref="CC16" ca="1">IFERROR(EOMONTH(_xlfn._xlws.FILTER(Table1[Revised Award],(Table1[Category]=$E16)*(Table1[SBU]=$F$5)*(Table1[Most curent]=TRUE)*(Table1[Execution Year]=$D16)),0),"")</f>
        <v>31</v>
      </c>
      <c r="CD16" s="60">
        <f t="shared" ca="1" si="45"/>
        <v>44287</v>
      </c>
      <c r="CE16" s="60">
        <f t="shared" ca="1" si="46"/>
        <v>44347</v>
      </c>
    </row>
    <row r="17" spans="2:83" ht="20.25" customHeight="1" thickTop="1" thickBot="1">
      <c r="B17" s="123">
        <f ca="1"/>
        <v>8</v>
      </c>
      <c r="C17" s="71">
        <f ca="1"/>
        <v>44378</v>
      </c>
      <c r="D17" s="35" t="str">
        <f ca="1"/>
        <v>FY22</v>
      </c>
      <c r="E17" s="35" t="str">
        <f ca="1"/>
        <v>Cat Litter</v>
      </c>
      <c r="F17" s="35" t="str">
        <f ca="1"/>
        <v>Complete</v>
      </c>
      <c r="G17" s="35" t="str">
        <f ca="1"/>
        <v>Closed</v>
      </c>
      <c r="H17" s="36">
        <f ca="1"/>
        <v>23906030</v>
      </c>
      <c r="I17" s="36">
        <f ca="1"/>
        <v>98065992</v>
      </c>
      <c r="J17" s="35" t="str">
        <f ca="1"/>
        <v>Larry</v>
      </c>
      <c r="K17" s="71">
        <f ca="1"/>
        <v>0.2</v>
      </c>
      <c r="L17" s="71"/>
      <c r="M17" s="71"/>
      <c r="N17" s="34">
        <f t="shared" ca="1" si="43"/>
        <v>1</v>
      </c>
      <c r="O17" s="111">
        <f t="shared" ca="1" si="44"/>
        <v>1</v>
      </c>
      <c r="P17" s="34">
        <f t="shared" ca="1" si="0"/>
        <v>1</v>
      </c>
      <c r="Q17" s="111">
        <f t="shared" ca="1" si="1"/>
        <v>1</v>
      </c>
      <c r="R17" s="34">
        <f t="shared" ca="1" si="2"/>
        <v>1</v>
      </c>
      <c r="S17" s="111">
        <f t="shared" ca="1" si="3"/>
        <v>1</v>
      </c>
      <c r="T17" s="37">
        <f t="shared" ca="1" si="4"/>
        <v>1</v>
      </c>
      <c r="U17" s="111">
        <f t="shared" ca="1" si="5"/>
        <v>1</v>
      </c>
      <c r="V17" s="37">
        <f t="shared" ca="1" si="6"/>
        <v>1</v>
      </c>
      <c r="W17" s="111">
        <f t="shared" ca="1" si="7"/>
        <v>1</v>
      </c>
      <c r="X17" s="37">
        <f t="shared" ca="1" si="8"/>
        <v>1</v>
      </c>
      <c r="Y17" s="111">
        <f t="shared" ca="1" si="9"/>
        <v>1</v>
      </c>
      <c r="Z17" s="37" t="str">
        <f t="shared" ca="1" si="10"/>
        <v/>
      </c>
      <c r="AA17" s="111" t="str">
        <f t="shared" ca="1" si="11"/>
        <v/>
      </c>
      <c r="AB17" s="37" t="str">
        <f t="shared" ca="1" si="12"/>
        <v/>
      </c>
      <c r="AC17" s="111" t="str">
        <f t="shared" ca="1" si="13"/>
        <v/>
      </c>
      <c r="AD17" s="37" t="str">
        <f t="shared" ca="1" si="14"/>
        <v/>
      </c>
      <c r="AE17" s="111" t="str">
        <f t="shared" ca="1" si="15"/>
        <v/>
      </c>
      <c r="AF17" s="37" t="str">
        <f t="shared" ca="1" si="16"/>
        <v/>
      </c>
      <c r="AG17" s="111" t="str">
        <f t="shared" ca="1" si="17"/>
        <v/>
      </c>
      <c r="AH17" s="37" t="str">
        <f t="shared" ca="1" si="18"/>
        <v/>
      </c>
      <c r="AI17" s="111" t="str">
        <f t="shared" ca="1" si="19"/>
        <v/>
      </c>
      <c r="AJ17" s="37" t="str">
        <f t="shared" ca="1" si="20"/>
        <v/>
      </c>
      <c r="AK17" s="111" t="str">
        <f t="shared" ca="1" si="21"/>
        <v/>
      </c>
      <c r="AL17" s="37" t="str">
        <f t="shared" ca="1" si="22"/>
        <v/>
      </c>
      <c r="AM17" s="111" t="str">
        <f t="shared" ca="1" si="23"/>
        <v/>
      </c>
      <c r="AN17" s="37" t="str">
        <f t="shared" ca="1" si="24"/>
        <v/>
      </c>
      <c r="AO17" s="111" t="str">
        <f t="shared" ca="1" si="25"/>
        <v/>
      </c>
      <c r="AP17" s="37" t="str">
        <f t="shared" ca="1" si="26"/>
        <v/>
      </c>
      <c r="AQ17" s="111" t="str">
        <f t="shared" ca="1" si="27"/>
        <v/>
      </c>
      <c r="AR17" s="37" t="str">
        <f t="shared" ca="1" si="28"/>
        <v/>
      </c>
      <c r="AS17" s="111" t="str">
        <f t="shared" ca="1" si="29"/>
        <v/>
      </c>
      <c r="AT17" s="37" t="str">
        <f t="shared" ca="1" si="30"/>
        <v/>
      </c>
      <c r="AU17" s="111" t="str">
        <f t="shared" ca="1" si="31"/>
        <v/>
      </c>
      <c r="AV17" s="37" t="str">
        <f t="shared" ca="1" si="32"/>
        <v/>
      </c>
      <c r="AW17" s="111" t="str">
        <f t="shared" ca="1" si="33"/>
        <v/>
      </c>
      <c r="AX17" s="37" t="str">
        <f t="shared" ca="1" si="32"/>
        <v/>
      </c>
      <c r="AY17" s="111" t="str">
        <f t="shared" ca="1" si="33"/>
        <v/>
      </c>
      <c r="AZ17" s="37" t="str">
        <f t="shared" ca="1" si="32"/>
        <v/>
      </c>
      <c r="BA17" s="111" t="str">
        <f t="shared" ca="1" si="33"/>
        <v/>
      </c>
      <c r="BB17" s="37" t="str">
        <f t="shared" ca="1" si="32"/>
        <v/>
      </c>
      <c r="BC17" s="111" t="str">
        <f t="shared" ca="1" si="33"/>
        <v/>
      </c>
      <c r="BD17" s="37" t="str">
        <f t="shared" ca="1" si="32"/>
        <v/>
      </c>
      <c r="BE17" s="111" t="str">
        <f t="shared" ca="1" si="33"/>
        <v/>
      </c>
      <c r="BF17" s="37" t="str">
        <f t="shared" ca="1" si="32"/>
        <v/>
      </c>
      <c r="BG17" s="111" t="str">
        <f t="shared" ca="1" si="33"/>
        <v/>
      </c>
      <c r="BH17" s="37" t="str">
        <f t="shared" ca="1" si="32"/>
        <v/>
      </c>
      <c r="BI17" s="111" t="str">
        <f t="shared" ca="1" si="33"/>
        <v/>
      </c>
      <c r="BJ17" s="37" t="str">
        <f t="shared" ca="1" si="32"/>
        <v/>
      </c>
      <c r="BK17" s="111" t="str">
        <f t="shared" ca="1" si="33"/>
        <v/>
      </c>
      <c r="BL17" s="37" t="str">
        <f t="shared" ca="1" si="32"/>
        <v/>
      </c>
      <c r="BM17" s="111" t="str">
        <f t="shared" ca="1" si="33"/>
        <v/>
      </c>
      <c r="BN17" s="37" t="str">
        <f t="shared" ca="1" si="32"/>
        <v/>
      </c>
      <c r="BO17" s="111" t="str">
        <f t="shared" ca="1" si="33"/>
        <v/>
      </c>
      <c r="BP17" s="34"/>
      <c r="BQ17" s="23"/>
      <c r="BZ17" s="60" cm="1">
        <f t="array" aca="1" ref="BZ17" ca="1">IFERROR(EOMONTH(EOMONTH(_xlfn._xlws.FILTER(Table1[Planned Start],(Table1[Category]=$E17)*(Table1[SBU]=$F$5)*(Table1[Execution Year]=$D17)*(Table1[Most curent]=TRUE)),0)-45,0)+1,"")</f>
        <v>44378</v>
      </c>
      <c r="CA17" s="60" cm="1">
        <f t="array" aca="1" ref="CA17" ca="1">IFERROR(EOMONTH(_xlfn._xlws.FILTER(Table1[Planned Award],(Table1[Category]=$E17)*(Table1[SBU]=$F$5)*(Table1[Most curent]=TRUE)*(Table1[Execution Year]=$D17)),0),"")</f>
        <v>44681</v>
      </c>
      <c r="CB17" s="60" t="str" cm="1">
        <f t="array" aca="1" ref="CB17" ca="1">IFERROR(EOMONTH(EOMONTH(_xlfn._xlws.FILTER(Table1[Current Phase End],(Table1[Category]=$E17)*(Table1[SBU]=$F$5)*(Table1[Most curent]=TRUE)*(Table1[Execution Year]=$D17)),0)-45,0)+1,"")</f>
        <v/>
      </c>
      <c r="CC17" s="60" cm="1">
        <f t="array" aca="1" ref="CC17" ca="1">IFERROR(EOMONTH(_xlfn._xlws.FILTER(Table1[Revised Award],(Table1[Category]=$E17)*(Table1[SBU]=$F$5)*(Table1[Most curent]=TRUE)*(Table1[Execution Year]=$D17)),0),"")</f>
        <v>31</v>
      </c>
      <c r="CD17" s="60">
        <f t="shared" ca="1" si="45"/>
        <v>44317</v>
      </c>
      <c r="CE17" s="60">
        <f t="shared" ca="1" si="46"/>
        <v>44377</v>
      </c>
    </row>
    <row r="18" spans="2:83" ht="20.25" customHeight="1" thickTop="1" thickBot="1">
      <c r="B18" s="123">
        <f ca="1"/>
        <v>9</v>
      </c>
      <c r="C18" s="71">
        <f ca="1"/>
        <v>44409</v>
      </c>
      <c r="D18" s="35" t="str">
        <f ca="1"/>
        <v>FY22</v>
      </c>
      <c r="E18" s="35" t="str">
        <f ca="1"/>
        <v>Diapers</v>
      </c>
      <c r="F18" s="35" t="str">
        <f ca="1"/>
        <v>Completed</v>
      </c>
      <c r="G18" s="35" t="str">
        <f ca="1"/>
        <v>Closed</v>
      </c>
      <c r="H18" s="36">
        <f ca="1"/>
        <v>66700000</v>
      </c>
      <c r="I18" s="36">
        <f ca="1"/>
        <v>218000000</v>
      </c>
      <c r="J18" s="35" t="str">
        <f ca="1"/>
        <v>Yoshi</v>
      </c>
      <c r="K18" s="71">
        <f ca="1"/>
        <v>0.2</v>
      </c>
      <c r="L18" s="71"/>
      <c r="M18" s="71"/>
      <c r="N18" s="34">
        <f t="shared" ca="1" si="43"/>
        <v>1</v>
      </c>
      <c r="O18" s="111">
        <f t="shared" ca="1" si="44"/>
        <v>1</v>
      </c>
      <c r="P18" s="34">
        <f t="shared" ca="1" si="0"/>
        <v>1</v>
      </c>
      <c r="Q18" s="111">
        <f t="shared" ca="1" si="1"/>
        <v>1</v>
      </c>
      <c r="R18" s="34" t="str">
        <f t="shared" ca="1" si="2"/>
        <v/>
      </c>
      <c r="S18" s="111" t="str">
        <f t="shared" ca="1" si="3"/>
        <v/>
      </c>
      <c r="T18" s="37" t="str">
        <f t="shared" ca="1" si="4"/>
        <v/>
      </c>
      <c r="U18" s="111" t="str">
        <f t="shared" ca="1" si="5"/>
        <v/>
      </c>
      <c r="V18" s="37" t="str">
        <f t="shared" ca="1" si="6"/>
        <v/>
      </c>
      <c r="W18" s="111" t="str">
        <f t="shared" ca="1" si="7"/>
        <v/>
      </c>
      <c r="X18" s="37" t="str">
        <f t="shared" ca="1" si="8"/>
        <v/>
      </c>
      <c r="Y18" s="111" t="str">
        <f t="shared" ca="1" si="9"/>
        <v/>
      </c>
      <c r="Z18" s="37" t="str">
        <f t="shared" ca="1" si="10"/>
        <v/>
      </c>
      <c r="AA18" s="111" t="str">
        <f t="shared" ca="1" si="11"/>
        <v/>
      </c>
      <c r="AB18" s="37" t="str">
        <f t="shared" ca="1" si="12"/>
        <v/>
      </c>
      <c r="AC18" s="111" t="str">
        <f t="shared" ca="1" si="13"/>
        <v/>
      </c>
      <c r="AD18" s="37" t="str">
        <f t="shared" ca="1" si="14"/>
        <v/>
      </c>
      <c r="AE18" s="111" t="str">
        <f t="shared" ca="1" si="15"/>
        <v/>
      </c>
      <c r="AF18" s="37" t="str">
        <f t="shared" ca="1" si="16"/>
        <v/>
      </c>
      <c r="AG18" s="111" t="str">
        <f t="shared" ca="1" si="17"/>
        <v/>
      </c>
      <c r="AH18" s="37" t="str">
        <f t="shared" ca="1" si="18"/>
        <v/>
      </c>
      <c r="AI18" s="111" t="str">
        <f t="shared" ca="1" si="19"/>
        <v/>
      </c>
      <c r="AJ18" s="37" t="str">
        <f t="shared" ca="1" si="20"/>
        <v/>
      </c>
      <c r="AK18" s="111" t="str">
        <f t="shared" ca="1" si="21"/>
        <v/>
      </c>
      <c r="AL18" s="37" t="str">
        <f t="shared" ca="1" si="22"/>
        <v/>
      </c>
      <c r="AM18" s="111" t="str">
        <f t="shared" ca="1" si="23"/>
        <v/>
      </c>
      <c r="AN18" s="37" t="str">
        <f t="shared" ca="1" si="24"/>
        <v/>
      </c>
      <c r="AO18" s="111" t="str">
        <f t="shared" ca="1" si="25"/>
        <v/>
      </c>
      <c r="AP18" s="37" t="str">
        <f t="shared" ca="1" si="26"/>
        <v/>
      </c>
      <c r="AQ18" s="111" t="str">
        <f t="shared" ca="1" si="27"/>
        <v/>
      </c>
      <c r="AR18" s="37" t="str">
        <f t="shared" ca="1" si="28"/>
        <v/>
      </c>
      <c r="AS18" s="111" t="str">
        <f t="shared" ca="1" si="29"/>
        <v/>
      </c>
      <c r="AT18" s="37" t="str">
        <f t="shared" ca="1" si="30"/>
        <v/>
      </c>
      <c r="AU18" s="111" t="str">
        <f t="shared" ca="1" si="31"/>
        <v/>
      </c>
      <c r="AV18" s="37" t="str">
        <f t="shared" ca="1" si="32"/>
        <v/>
      </c>
      <c r="AW18" s="111" t="str">
        <f t="shared" ca="1" si="33"/>
        <v/>
      </c>
      <c r="AX18" s="37" t="str">
        <f t="shared" ca="1" si="32"/>
        <v/>
      </c>
      <c r="AY18" s="111" t="str">
        <f t="shared" ref="AY18:AY75" ca="1" si="47">AX18</f>
        <v/>
      </c>
      <c r="AZ18" s="37" t="str">
        <f t="shared" ca="1" si="32"/>
        <v/>
      </c>
      <c r="BA18" s="111" t="str">
        <f t="shared" ref="BA18:BA75" ca="1" si="48">AZ18</f>
        <v/>
      </c>
      <c r="BB18" s="37" t="str">
        <f t="shared" ca="1" si="32"/>
        <v/>
      </c>
      <c r="BC18" s="111" t="str">
        <f t="shared" ref="BC18:BC75" ca="1" si="49">BB18</f>
        <v/>
      </c>
      <c r="BD18" s="37" t="str">
        <f t="shared" ca="1" si="32"/>
        <v/>
      </c>
      <c r="BE18" s="111" t="str">
        <f t="shared" ref="BE18:BE75" ca="1" si="50">BD18</f>
        <v/>
      </c>
      <c r="BF18" s="37" t="str">
        <f t="shared" ca="1" si="32"/>
        <v/>
      </c>
      <c r="BG18" s="111" t="str">
        <f t="shared" ref="BG18:BG75" ca="1" si="51">BF18</f>
        <v/>
      </c>
      <c r="BH18" s="37" t="str">
        <f t="shared" ca="1" si="32"/>
        <v/>
      </c>
      <c r="BI18" s="111" t="str">
        <f t="shared" ref="BI18:BI75" ca="1" si="52">BH18</f>
        <v/>
      </c>
      <c r="BJ18" s="37" t="str">
        <f t="shared" ca="1" si="32"/>
        <v/>
      </c>
      <c r="BK18" s="111" t="str">
        <f t="shared" ref="BK18:BK75" ca="1" si="53">BJ18</f>
        <v/>
      </c>
      <c r="BL18" s="37" t="str">
        <f t="shared" ca="1" si="32"/>
        <v/>
      </c>
      <c r="BM18" s="111" t="str">
        <f t="shared" ref="BM18:BM75" ca="1" si="54">BL18</f>
        <v/>
      </c>
      <c r="BN18" s="37" t="str">
        <f t="shared" ca="1" si="32"/>
        <v/>
      </c>
      <c r="BO18" s="111" t="str">
        <f t="shared" ref="BO18:BO75" ca="1" si="55">BN18</f>
        <v/>
      </c>
      <c r="BP18" s="34"/>
      <c r="BQ18" s="23"/>
      <c r="BZ18" s="60" cm="1">
        <f t="array" aca="1" ref="BZ18" ca="1">IFERROR(EOMONTH(EOMONTH(_xlfn._xlws.FILTER(Table1[Planned Start],(Table1[Category]=$E18)*(Table1[SBU]=$F$5)*(Table1[Execution Year]=$D18)*(Table1[Most curent]=TRUE)),0)-45,0)+1,"")</f>
        <v>44409</v>
      </c>
      <c r="CA18" s="60" cm="1">
        <f t="array" aca="1" ref="CA18" ca="1">IFERROR(EOMONTH(_xlfn._xlws.FILTER(Table1[Planned Award],(Table1[Category]=$E18)*(Table1[SBU]=$F$5)*(Table1[Most curent]=TRUE)*(Table1[Execution Year]=$D18)),0),"")</f>
        <v>44561</v>
      </c>
      <c r="CB18" s="60" t="str" cm="1">
        <f t="array" aca="1" ref="CB18" ca="1">IFERROR(EOMONTH(EOMONTH(_xlfn._xlws.FILTER(Table1[Current Phase End],(Table1[Category]=$E18)*(Table1[SBU]=$F$5)*(Table1[Most curent]=TRUE)*(Table1[Execution Year]=$D18)),0)-45,0)+1,"")</f>
        <v/>
      </c>
      <c r="CC18" s="60" cm="1">
        <f t="array" aca="1" ref="CC18" ca="1">IFERROR(EOMONTH(_xlfn._xlws.FILTER(Table1[Revised Award],(Table1[Category]=$E18)*(Table1[SBU]=$F$5)*(Table1[Most curent]=TRUE)*(Table1[Execution Year]=$D18)),0),"")</f>
        <v>31</v>
      </c>
      <c r="CD18" s="60">
        <f t="shared" ca="1" si="45"/>
        <v>44348</v>
      </c>
      <c r="CE18" s="60">
        <f t="shared" ca="1" si="46"/>
        <v>44408</v>
      </c>
    </row>
    <row r="19" spans="2:83" ht="20.25" customHeight="1" thickTop="1" thickBot="1">
      <c r="B19" s="123">
        <f ca="1"/>
        <v>10</v>
      </c>
      <c r="C19" s="71">
        <f ca="1"/>
        <v>44409</v>
      </c>
      <c r="D19" s="35" t="str">
        <f ca="1"/>
        <v>FY22</v>
      </c>
      <c r="E19" s="35" t="str">
        <f ca="1"/>
        <v>Liquid Handsoap &amp; Bodywash</v>
      </c>
      <c r="F19" s="35" t="str">
        <f ca="1"/>
        <v>Pending PB/Merch Approval</v>
      </c>
      <c r="G19" s="35" t="str">
        <f ca="1"/>
        <v>On Track (Green)</v>
      </c>
      <c r="H19" s="36">
        <f ca="1"/>
        <v>9295836.3499999996</v>
      </c>
      <c r="I19" s="36">
        <f ca="1"/>
        <v>41728979.93</v>
      </c>
      <c r="J19" s="35" t="str">
        <f ca="1"/>
        <v>Jason</v>
      </c>
      <c r="K19" s="71">
        <f ca="1"/>
        <v>0.3</v>
      </c>
      <c r="L19" s="71"/>
      <c r="M19" s="71"/>
      <c r="N19" s="34">
        <f t="shared" ca="1" si="43"/>
        <v>1</v>
      </c>
      <c r="O19" s="111">
        <f t="shared" ca="1" si="44"/>
        <v>1</v>
      </c>
      <c r="P19" s="34">
        <f t="shared" ca="1" si="0"/>
        <v>1</v>
      </c>
      <c r="Q19" s="111">
        <f t="shared" ca="1" si="1"/>
        <v>1</v>
      </c>
      <c r="R19" s="34">
        <f t="shared" ca="1" si="2"/>
        <v>1</v>
      </c>
      <c r="S19" s="111">
        <f t="shared" ca="1" si="3"/>
        <v>1</v>
      </c>
      <c r="T19" s="37">
        <f t="shared" ca="1" si="4"/>
        <v>1</v>
      </c>
      <c r="U19" s="111">
        <f t="shared" ca="1" si="5"/>
        <v>1</v>
      </c>
      <c r="V19" s="37">
        <f t="shared" ca="1" si="6"/>
        <v>1</v>
      </c>
      <c r="W19" s="111">
        <f t="shared" ca="1" si="7"/>
        <v>1</v>
      </c>
      <c r="X19" s="37">
        <f t="shared" ca="1" si="8"/>
        <v>1</v>
      </c>
      <c r="Y19" s="111">
        <f t="shared" ca="1" si="9"/>
        <v>1</v>
      </c>
      <c r="Z19" s="37">
        <f t="shared" ca="1" si="10"/>
        <v>1</v>
      </c>
      <c r="AA19" s="111">
        <f t="shared" ca="1" si="11"/>
        <v>1</v>
      </c>
      <c r="AB19" s="37">
        <f t="shared" ca="1" si="12"/>
        <v>1</v>
      </c>
      <c r="AC19" s="111">
        <f t="shared" ca="1" si="13"/>
        <v>1</v>
      </c>
      <c r="AD19" s="37" t="str">
        <f t="shared" ca="1" si="14"/>
        <v/>
      </c>
      <c r="AE19" s="111" t="str">
        <f t="shared" ca="1" si="15"/>
        <v/>
      </c>
      <c r="AF19" s="37" t="str">
        <f t="shared" ca="1" si="16"/>
        <v/>
      </c>
      <c r="AG19" s="111" t="str">
        <f t="shared" ca="1" si="17"/>
        <v/>
      </c>
      <c r="AH19" s="37" t="str">
        <f t="shared" ca="1" si="18"/>
        <v/>
      </c>
      <c r="AI19" s="111" t="str">
        <f t="shared" ca="1" si="19"/>
        <v/>
      </c>
      <c r="AJ19" s="37" t="str">
        <f t="shared" ca="1" si="20"/>
        <v/>
      </c>
      <c r="AK19" s="111" t="str">
        <f t="shared" ca="1" si="21"/>
        <v/>
      </c>
      <c r="AL19" s="37" t="str">
        <f t="shared" ca="1" si="22"/>
        <v/>
      </c>
      <c r="AM19" s="111" t="str">
        <f t="shared" ca="1" si="23"/>
        <v/>
      </c>
      <c r="AN19" s="37" t="str">
        <f t="shared" ca="1" si="24"/>
        <v/>
      </c>
      <c r="AO19" s="111" t="str">
        <f t="shared" ca="1" si="25"/>
        <v/>
      </c>
      <c r="AP19" s="37" t="str">
        <f t="shared" ca="1" si="26"/>
        <v/>
      </c>
      <c r="AQ19" s="111" t="str">
        <f t="shared" ca="1" si="27"/>
        <v/>
      </c>
      <c r="AR19" s="37" t="str">
        <f t="shared" ca="1" si="28"/>
        <v/>
      </c>
      <c r="AS19" s="111" t="str">
        <f t="shared" ca="1" si="29"/>
        <v/>
      </c>
      <c r="AT19" s="37" t="str">
        <f t="shared" ca="1" si="30"/>
        <v/>
      </c>
      <c r="AU19" s="111" t="str">
        <f t="shared" ca="1" si="31"/>
        <v/>
      </c>
      <c r="AV19" s="37" t="str">
        <f t="shared" ca="1" si="32"/>
        <v/>
      </c>
      <c r="AW19" s="111" t="str">
        <f t="shared" ca="1" si="33"/>
        <v/>
      </c>
      <c r="AX19" s="37" t="str">
        <f t="shared" ca="1" si="32"/>
        <v/>
      </c>
      <c r="AY19" s="111" t="str">
        <f t="shared" ca="1" si="47"/>
        <v/>
      </c>
      <c r="AZ19" s="37" t="str">
        <f t="shared" ca="1" si="32"/>
        <v/>
      </c>
      <c r="BA19" s="111" t="str">
        <f t="shared" ca="1" si="48"/>
        <v/>
      </c>
      <c r="BB19" s="37" t="str">
        <f t="shared" ca="1" si="32"/>
        <v/>
      </c>
      <c r="BC19" s="111" t="str">
        <f t="shared" ca="1" si="49"/>
        <v/>
      </c>
      <c r="BD19" s="37" t="str">
        <f t="shared" ca="1" si="32"/>
        <v/>
      </c>
      <c r="BE19" s="111" t="str">
        <f t="shared" ca="1" si="50"/>
        <v/>
      </c>
      <c r="BF19" s="37" t="str">
        <f t="shared" ca="1" si="32"/>
        <v/>
      </c>
      <c r="BG19" s="111" t="str">
        <f t="shared" ca="1" si="51"/>
        <v/>
      </c>
      <c r="BH19" s="37" t="str">
        <f t="shared" ca="1" si="32"/>
        <v/>
      </c>
      <c r="BI19" s="111" t="str">
        <f t="shared" ca="1" si="52"/>
        <v/>
      </c>
      <c r="BJ19" s="37" t="str">
        <f t="shared" ca="1" si="32"/>
        <v/>
      </c>
      <c r="BK19" s="111" t="str">
        <f t="shared" ca="1" si="53"/>
        <v/>
      </c>
      <c r="BL19" s="37" t="str">
        <f t="shared" ca="1" si="32"/>
        <v/>
      </c>
      <c r="BM19" s="111" t="str">
        <f t="shared" ca="1" si="54"/>
        <v/>
      </c>
      <c r="BN19" s="37" t="str">
        <f t="shared" ca="1" si="32"/>
        <v/>
      </c>
      <c r="BO19" s="111" t="str">
        <f t="shared" ca="1" si="55"/>
        <v/>
      </c>
      <c r="BP19" s="34"/>
      <c r="BQ19" s="23"/>
      <c r="BZ19" s="60" cm="1">
        <f t="array" aca="1" ref="BZ19" ca="1">IFERROR(EOMONTH(EOMONTH(_xlfn._xlws.FILTER(Table1[Planned Start],(Table1[Category]=$E19)*(Table1[SBU]=$F$5)*(Table1[Execution Year]=$D19)*(Table1[Most curent]=TRUE)),0)-45,0)+1,"")</f>
        <v>44409</v>
      </c>
      <c r="CA19" s="60" cm="1">
        <f t="array" aca="1" ref="CA19" ca="1">IFERROR(EOMONTH(_xlfn._xlws.FILTER(Table1[Planned Award],(Table1[Category]=$E19)*(Table1[SBU]=$F$5)*(Table1[Most curent]=TRUE)*(Table1[Execution Year]=$D19)),0),"")</f>
        <v>44742</v>
      </c>
      <c r="CB19" s="60" t="str" cm="1">
        <f t="array" aca="1" ref="CB19" ca="1">IFERROR(EOMONTH(EOMONTH(_xlfn._xlws.FILTER(Table1[Current Phase End],(Table1[Category]=$E19)*(Table1[SBU]=$F$5)*(Table1[Most curent]=TRUE)*(Table1[Execution Year]=$D19)),0)-45,0)+1,"")</f>
        <v/>
      </c>
      <c r="CC19" s="60" cm="1">
        <f t="array" aca="1" ref="CC19" ca="1">IFERROR(EOMONTH(_xlfn._xlws.FILTER(Table1[Revised Award],(Table1[Category]=$E19)*(Table1[SBU]=$F$5)*(Table1[Most curent]=TRUE)*(Table1[Execution Year]=$D19)),0),"")</f>
        <v>31</v>
      </c>
      <c r="CD19" s="60">
        <f t="shared" ca="1" si="45"/>
        <v>44348</v>
      </c>
      <c r="CE19" s="60">
        <f t="shared" ca="1" si="46"/>
        <v>44408</v>
      </c>
    </row>
    <row r="20" spans="2:83" ht="20.25" customHeight="1" thickTop="1" thickBot="1">
      <c r="B20" s="123">
        <f ca="1"/>
        <v>11</v>
      </c>
      <c r="C20" s="71">
        <f ca="1"/>
        <v>44409</v>
      </c>
      <c r="D20" s="35" t="str">
        <f ca="1"/>
        <v>FY22</v>
      </c>
      <c r="E20" s="35" t="str">
        <f ca="1"/>
        <v>Dry pet food</v>
      </c>
      <c r="F20" s="35" t="str">
        <f ca="1"/>
        <v>Pending PB/Merch Approval</v>
      </c>
      <c r="G20" s="35" t="str">
        <f ca="1"/>
        <v>On Track (Green)</v>
      </c>
      <c r="H20" s="36">
        <f ca="1"/>
        <v>102041987</v>
      </c>
      <c r="I20" s="36">
        <f ca="1"/>
        <v>342102713</v>
      </c>
      <c r="J20" s="35" t="str">
        <f ca="1"/>
        <v>Jamie</v>
      </c>
      <c r="K20" s="71">
        <f ca="1"/>
        <v>0.3</v>
      </c>
      <c r="L20" s="71"/>
      <c r="M20" s="71"/>
      <c r="N20" s="34">
        <f t="shared" ca="1" si="43"/>
        <v>1</v>
      </c>
      <c r="O20" s="111">
        <f t="shared" ca="1" si="44"/>
        <v>1</v>
      </c>
      <c r="P20" s="34">
        <f t="shared" ca="1" si="0"/>
        <v>1</v>
      </c>
      <c r="Q20" s="111">
        <f t="shared" ca="1" si="1"/>
        <v>1</v>
      </c>
      <c r="R20" s="34">
        <f t="shared" ca="1" si="2"/>
        <v>1</v>
      </c>
      <c r="S20" s="111">
        <f t="shared" ca="1" si="3"/>
        <v>1</v>
      </c>
      <c r="T20" s="37">
        <f t="shared" ca="1" si="4"/>
        <v>1</v>
      </c>
      <c r="U20" s="111">
        <f t="shared" ca="1" si="5"/>
        <v>1</v>
      </c>
      <c r="V20" s="37">
        <f t="shared" ca="1" si="6"/>
        <v>1</v>
      </c>
      <c r="W20" s="111">
        <f t="shared" ca="1" si="7"/>
        <v>1</v>
      </c>
      <c r="X20" s="37">
        <f t="shared" ca="1" si="8"/>
        <v>1</v>
      </c>
      <c r="Y20" s="111">
        <f t="shared" ca="1" si="9"/>
        <v>1</v>
      </c>
      <c r="Z20" s="37">
        <f t="shared" ca="1" si="10"/>
        <v>1</v>
      </c>
      <c r="AA20" s="111">
        <f t="shared" ca="1" si="11"/>
        <v>1</v>
      </c>
      <c r="AB20" s="37">
        <f t="shared" ca="1" si="12"/>
        <v>1</v>
      </c>
      <c r="AC20" s="111">
        <f t="shared" ca="1" si="13"/>
        <v>1</v>
      </c>
      <c r="AD20" s="37" t="str">
        <f t="shared" ca="1" si="14"/>
        <v/>
      </c>
      <c r="AE20" s="111" t="str">
        <f t="shared" ca="1" si="15"/>
        <v/>
      </c>
      <c r="AF20" s="37" t="str">
        <f t="shared" ca="1" si="16"/>
        <v/>
      </c>
      <c r="AG20" s="111" t="str">
        <f t="shared" ca="1" si="17"/>
        <v/>
      </c>
      <c r="AH20" s="37" t="str">
        <f t="shared" ca="1" si="18"/>
        <v/>
      </c>
      <c r="AI20" s="111" t="str">
        <f t="shared" ca="1" si="19"/>
        <v/>
      </c>
      <c r="AJ20" s="37" t="str">
        <f t="shared" ca="1" si="20"/>
        <v/>
      </c>
      <c r="AK20" s="111" t="str">
        <f t="shared" ca="1" si="21"/>
        <v/>
      </c>
      <c r="AL20" s="37" t="str">
        <f t="shared" ca="1" si="22"/>
        <v/>
      </c>
      <c r="AM20" s="111" t="str">
        <f t="shared" ca="1" si="23"/>
        <v/>
      </c>
      <c r="AN20" s="37" t="str">
        <f t="shared" ca="1" si="24"/>
        <v/>
      </c>
      <c r="AO20" s="111" t="str">
        <f t="shared" ca="1" si="25"/>
        <v/>
      </c>
      <c r="AP20" s="37" t="str">
        <f t="shared" ca="1" si="26"/>
        <v/>
      </c>
      <c r="AQ20" s="111" t="str">
        <f t="shared" ca="1" si="27"/>
        <v/>
      </c>
      <c r="AR20" s="37" t="str">
        <f t="shared" ca="1" si="28"/>
        <v/>
      </c>
      <c r="AS20" s="111" t="str">
        <f t="shared" ca="1" si="29"/>
        <v/>
      </c>
      <c r="AT20" s="37" t="str">
        <f t="shared" ca="1" si="30"/>
        <v/>
      </c>
      <c r="AU20" s="111" t="str">
        <f t="shared" ca="1" si="31"/>
        <v/>
      </c>
      <c r="AV20" s="37" t="str">
        <f t="shared" ca="1" si="32"/>
        <v/>
      </c>
      <c r="AW20" s="111" t="str">
        <f t="shared" ca="1" si="33"/>
        <v/>
      </c>
      <c r="AX20" s="37" t="str">
        <f t="shared" ca="1" si="32"/>
        <v/>
      </c>
      <c r="AY20" s="111" t="str">
        <f t="shared" ca="1" si="47"/>
        <v/>
      </c>
      <c r="AZ20" s="37" t="str">
        <f t="shared" ca="1" si="32"/>
        <v/>
      </c>
      <c r="BA20" s="111" t="str">
        <f t="shared" ca="1" si="48"/>
        <v/>
      </c>
      <c r="BB20" s="37" t="str">
        <f t="shared" ca="1" si="32"/>
        <v/>
      </c>
      <c r="BC20" s="111" t="str">
        <f t="shared" ca="1" si="49"/>
        <v/>
      </c>
      <c r="BD20" s="37" t="str">
        <f t="shared" ca="1" si="32"/>
        <v/>
      </c>
      <c r="BE20" s="111" t="str">
        <f t="shared" ca="1" si="50"/>
        <v/>
      </c>
      <c r="BF20" s="37" t="str">
        <f t="shared" ca="1" si="32"/>
        <v/>
      </c>
      <c r="BG20" s="111" t="str">
        <f t="shared" ca="1" si="51"/>
        <v/>
      </c>
      <c r="BH20" s="37" t="str">
        <f t="shared" ca="1" si="32"/>
        <v/>
      </c>
      <c r="BI20" s="111" t="str">
        <f t="shared" ca="1" si="52"/>
        <v/>
      </c>
      <c r="BJ20" s="37" t="str">
        <f t="shared" ca="1" si="32"/>
        <v/>
      </c>
      <c r="BK20" s="111" t="str">
        <f t="shared" ca="1" si="53"/>
        <v/>
      </c>
      <c r="BL20" s="37" t="str">
        <f t="shared" ca="1" si="32"/>
        <v/>
      </c>
      <c r="BM20" s="111" t="str">
        <f t="shared" ca="1" si="54"/>
        <v/>
      </c>
      <c r="BN20" s="37" t="str">
        <f t="shared" ca="1" si="32"/>
        <v/>
      </c>
      <c r="BO20" s="111" t="str">
        <f t="shared" ca="1" si="55"/>
        <v/>
      </c>
      <c r="BP20" s="34"/>
      <c r="BQ20" s="23"/>
      <c r="BZ20" s="60" cm="1">
        <f t="array" aca="1" ref="BZ20" ca="1">IFERROR(EOMONTH(EOMONTH(_xlfn._xlws.FILTER(Table1[Planned Start],(Table1[Category]=$E20)*(Table1[SBU]=$F$5)*(Table1[Execution Year]=$D20)*(Table1[Most curent]=TRUE)),0)-45,0)+1,"")</f>
        <v>44409</v>
      </c>
      <c r="CA20" s="60" cm="1">
        <f t="array" aca="1" ref="CA20" ca="1">IFERROR(EOMONTH(_xlfn._xlws.FILTER(Table1[Planned Award],(Table1[Category]=$E20)*(Table1[SBU]=$F$5)*(Table1[Most curent]=TRUE)*(Table1[Execution Year]=$D20)),0),"")</f>
        <v>44742</v>
      </c>
      <c r="CB20" s="60" t="str" cm="1">
        <f t="array" aca="1" ref="CB20" ca="1">IFERROR(EOMONTH(EOMONTH(_xlfn._xlws.FILTER(Table1[Current Phase End],(Table1[Category]=$E20)*(Table1[SBU]=$F$5)*(Table1[Most curent]=TRUE)*(Table1[Execution Year]=$D20)),0)-45,0)+1,"")</f>
        <v/>
      </c>
      <c r="CC20" s="60" cm="1">
        <f t="array" aca="1" ref="CC20" ca="1">IFERROR(EOMONTH(_xlfn._xlws.FILTER(Table1[Revised Award],(Table1[Category]=$E20)*(Table1[SBU]=$F$5)*(Table1[Most curent]=TRUE)*(Table1[Execution Year]=$D20)),0),"")</f>
        <v>31</v>
      </c>
      <c r="CD20" s="60">
        <f t="shared" ca="1" si="45"/>
        <v>44348</v>
      </c>
      <c r="CE20" s="60">
        <f t="shared" ca="1" si="46"/>
        <v>44408</v>
      </c>
    </row>
    <row r="21" spans="2:83" ht="20.25" customHeight="1" thickTop="1" thickBot="1">
      <c r="B21" s="123">
        <f ca="1"/>
        <v>12</v>
      </c>
      <c r="C21" s="71">
        <f ca="1"/>
        <v>44426</v>
      </c>
      <c r="D21" s="35" t="str">
        <f ca="1"/>
        <v>FY22</v>
      </c>
      <c r="E21" s="35" t="str">
        <f ca="1"/>
        <v>Cotton Products</v>
      </c>
      <c r="F21" s="35" t="str">
        <f ca="1"/>
        <v>Post Award</v>
      </c>
      <c r="G21" s="35" t="str">
        <f ca="1"/>
        <v>On Track (Green)</v>
      </c>
      <c r="H21" s="36">
        <f ca="1"/>
        <v>10400000</v>
      </c>
      <c r="I21" s="36">
        <f ca="1"/>
        <v>37000000</v>
      </c>
      <c r="J21" s="35" t="str">
        <f ca="1"/>
        <v>Chris</v>
      </c>
      <c r="K21" s="71">
        <f ca="1"/>
        <v>0.3</v>
      </c>
      <c r="L21" s="71"/>
      <c r="M21" s="71"/>
      <c r="N21" s="34">
        <f t="shared" ca="1" si="43"/>
        <v>1</v>
      </c>
      <c r="O21" s="111">
        <f t="shared" ca="1" si="44"/>
        <v>1</v>
      </c>
      <c r="P21" s="34">
        <f t="shared" ca="1" si="0"/>
        <v>1</v>
      </c>
      <c r="Q21" s="111">
        <f t="shared" ca="1" si="1"/>
        <v>1</v>
      </c>
      <c r="R21" s="34">
        <f t="shared" ca="1" si="2"/>
        <v>1</v>
      </c>
      <c r="S21" s="111">
        <f t="shared" ca="1" si="3"/>
        <v>1</v>
      </c>
      <c r="T21" s="37">
        <f t="shared" ca="1" si="4"/>
        <v>1</v>
      </c>
      <c r="U21" s="111">
        <f t="shared" ca="1" si="5"/>
        <v>1</v>
      </c>
      <c r="V21" s="37">
        <f t="shared" ca="1" si="6"/>
        <v>1</v>
      </c>
      <c r="W21" s="111">
        <f t="shared" ca="1" si="7"/>
        <v>1</v>
      </c>
      <c r="X21" s="37">
        <f t="shared" ca="1" si="8"/>
        <v>1</v>
      </c>
      <c r="Y21" s="111">
        <f t="shared" ca="1" si="9"/>
        <v>1</v>
      </c>
      <c r="Z21" s="37">
        <f t="shared" ca="1" si="10"/>
        <v>1</v>
      </c>
      <c r="AA21" s="111">
        <f t="shared" ca="1" si="11"/>
        <v>1</v>
      </c>
      <c r="AB21" s="37">
        <f t="shared" ca="1" si="12"/>
        <v>1</v>
      </c>
      <c r="AC21" s="111">
        <f t="shared" ca="1" si="13"/>
        <v>1</v>
      </c>
      <c r="AD21" s="37" t="str">
        <f t="shared" ca="1" si="14"/>
        <v/>
      </c>
      <c r="AE21" s="111" t="str">
        <f t="shared" ca="1" si="15"/>
        <v/>
      </c>
      <c r="AF21" s="37" t="str">
        <f t="shared" ca="1" si="16"/>
        <v/>
      </c>
      <c r="AG21" s="111" t="str">
        <f t="shared" ca="1" si="17"/>
        <v/>
      </c>
      <c r="AH21" s="37" t="str">
        <f t="shared" ca="1" si="18"/>
        <v/>
      </c>
      <c r="AI21" s="111" t="str">
        <f t="shared" ca="1" si="19"/>
        <v/>
      </c>
      <c r="AJ21" s="37" t="str">
        <f t="shared" ca="1" si="20"/>
        <v/>
      </c>
      <c r="AK21" s="111" t="str">
        <f t="shared" ca="1" si="21"/>
        <v/>
      </c>
      <c r="AL21" s="37" t="str">
        <f t="shared" ca="1" si="22"/>
        <v/>
      </c>
      <c r="AM21" s="111" t="str">
        <f t="shared" ca="1" si="23"/>
        <v/>
      </c>
      <c r="AN21" s="37" t="str">
        <f t="shared" ca="1" si="24"/>
        <v/>
      </c>
      <c r="AO21" s="111" t="str">
        <f t="shared" ca="1" si="25"/>
        <v/>
      </c>
      <c r="AP21" s="37" t="str">
        <f t="shared" ca="1" si="26"/>
        <v/>
      </c>
      <c r="AQ21" s="111" t="str">
        <f t="shared" ca="1" si="27"/>
        <v/>
      </c>
      <c r="AR21" s="37" t="str">
        <f t="shared" ca="1" si="28"/>
        <v/>
      </c>
      <c r="AS21" s="111" t="str">
        <f t="shared" ca="1" si="29"/>
        <v/>
      </c>
      <c r="AT21" s="37" t="str">
        <f t="shared" ca="1" si="30"/>
        <v/>
      </c>
      <c r="AU21" s="111" t="str">
        <f t="shared" ca="1" si="31"/>
        <v/>
      </c>
      <c r="AV21" s="37" t="str">
        <f t="shared" ca="1" si="32"/>
        <v/>
      </c>
      <c r="AW21" s="111" t="str">
        <f t="shared" ca="1" si="33"/>
        <v/>
      </c>
      <c r="AX21" s="37" t="str">
        <f t="shared" ca="1" si="32"/>
        <v/>
      </c>
      <c r="AY21" s="111" t="str">
        <f t="shared" ca="1" si="47"/>
        <v/>
      </c>
      <c r="AZ21" s="37" t="str">
        <f t="shared" ca="1" si="32"/>
        <v/>
      </c>
      <c r="BA21" s="111" t="str">
        <f t="shared" ca="1" si="48"/>
        <v/>
      </c>
      <c r="BB21" s="37" t="str">
        <f t="shared" ca="1" si="32"/>
        <v/>
      </c>
      <c r="BC21" s="111" t="str">
        <f t="shared" ca="1" si="49"/>
        <v/>
      </c>
      <c r="BD21" s="37" t="str">
        <f t="shared" ca="1" si="32"/>
        <v/>
      </c>
      <c r="BE21" s="111" t="str">
        <f t="shared" ca="1" si="50"/>
        <v/>
      </c>
      <c r="BF21" s="37" t="str">
        <f t="shared" ca="1" si="32"/>
        <v/>
      </c>
      <c r="BG21" s="111" t="str">
        <f t="shared" ca="1" si="51"/>
        <v/>
      </c>
      <c r="BH21" s="37" t="str">
        <f t="shared" ca="1" si="32"/>
        <v/>
      </c>
      <c r="BI21" s="111" t="str">
        <f t="shared" ca="1" si="52"/>
        <v/>
      </c>
      <c r="BJ21" s="37" t="str">
        <f t="shared" ca="1" si="32"/>
        <v/>
      </c>
      <c r="BK21" s="111" t="str">
        <f t="shared" ca="1" si="53"/>
        <v/>
      </c>
      <c r="BL21" s="37" t="str">
        <f t="shared" ca="1" si="32"/>
        <v/>
      </c>
      <c r="BM21" s="111" t="str">
        <f t="shared" ca="1" si="54"/>
        <v/>
      </c>
      <c r="BN21" s="37" t="str">
        <f t="shared" ca="1" si="32"/>
        <v/>
      </c>
      <c r="BO21" s="111" t="str">
        <f t="shared" ca="1" si="55"/>
        <v/>
      </c>
      <c r="BP21" s="34"/>
      <c r="BQ21" s="23"/>
      <c r="BZ21" s="60" cm="1">
        <f t="array" aca="1" ref="BZ21" ca="1">IFERROR(EOMONTH(EOMONTH(_xlfn._xlws.FILTER(Table1[Planned Start],(Table1[Category]=$E21)*(Table1[SBU]=$F$5)*(Table1[Execution Year]=$D21)*(Table1[Most curent]=TRUE)),0)-45,0)+1,"")</f>
        <v>44409</v>
      </c>
      <c r="CA21" s="60" cm="1">
        <f t="array" aca="1" ref="CA21" ca="1">IFERROR(EOMONTH(_xlfn._xlws.FILTER(Table1[Planned Award],(Table1[Category]=$E21)*(Table1[SBU]=$F$5)*(Table1[Most curent]=TRUE)*(Table1[Execution Year]=$D21)),0),"")</f>
        <v>44742</v>
      </c>
      <c r="CB21" s="60" t="str" cm="1">
        <f t="array" aca="1" ref="CB21" ca="1">IFERROR(EOMONTH(EOMONTH(_xlfn._xlws.FILTER(Table1[Current Phase End],(Table1[Category]=$E21)*(Table1[SBU]=$F$5)*(Table1[Most curent]=TRUE)*(Table1[Execution Year]=$D21)),0)-45,0)+1,"")</f>
        <v/>
      </c>
      <c r="CC21" s="60" cm="1">
        <f t="array" aca="1" ref="CC21" ca="1">IFERROR(EOMONTH(_xlfn._xlws.FILTER(Table1[Revised Award],(Table1[Category]=$E21)*(Table1[SBU]=$F$5)*(Table1[Most curent]=TRUE)*(Table1[Execution Year]=$D21)),0),"")</f>
        <v>31</v>
      </c>
      <c r="CD21" s="60">
        <f t="shared" ca="1" si="45"/>
        <v>44348</v>
      </c>
      <c r="CE21" s="60">
        <f t="shared" ca="1" si="46"/>
        <v>44408</v>
      </c>
    </row>
    <row r="22" spans="2:83" ht="18" customHeight="1" thickTop="1" thickBot="1">
      <c r="B22" s="123">
        <f ca="1"/>
        <v>13</v>
      </c>
      <c r="C22" s="71">
        <f ca="1"/>
        <v>44655</v>
      </c>
      <c r="D22" s="35" t="str">
        <f ca="1"/>
        <v>FY23</v>
      </c>
      <c r="E22" s="35" t="str">
        <f ca="1"/>
        <v>Wet pet food</v>
      </c>
      <c r="F22" s="35" t="str">
        <f ca="1"/>
        <v>Pending PB/Merch Approval</v>
      </c>
      <c r="G22" s="35" t="str">
        <f ca="1"/>
        <v>On Track (Green)</v>
      </c>
      <c r="H22" s="36">
        <f ca="1"/>
        <v>0</v>
      </c>
      <c r="I22" s="36">
        <f ca="1"/>
        <v>254012919</v>
      </c>
      <c r="J22" s="35" t="str">
        <f ca="1"/>
        <v>Jason</v>
      </c>
      <c r="K22" s="71">
        <f ca="1"/>
        <v>0.3</v>
      </c>
      <c r="L22" s="71"/>
      <c r="M22" s="71"/>
      <c r="N22" s="34" t="str">
        <f t="shared" ca="1" si="43"/>
        <v/>
      </c>
      <c r="O22" s="111" t="str">
        <f t="shared" ca="1" si="44"/>
        <v/>
      </c>
      <c r="P22" s="34" t="str">
        <f t="shared" ca="1" si="0"/>
        <v/>
      </c>
      <c r="Q22" s="111" t="str">
        <f t="shared" ca="1" si="1"/>
        <v/>
      </c>
      <c r="R22" s="34" t="str">
        <f t="shared" ca="1" si="2"/>
        <v/>
      </c>
      <c r="S22" s="111" t="str">
        <f t="shared" ca="1" si="3"/>
        <v/>
      </c>
      <c r="T22" s="37">
        <f t="shared" ca="1" si="4"/>
        <v>3</v>
      </c>
      <c r="U22" s="111">
        <f t="shared" ca="1" si="5"/>
        <v>3</v>
      </c>
      <c r="V22" s="37">
        <f t="shared" ca="1" si="6"/>
        <v>3</v>
      </c>
      <c r="W22" s="111">
        <f t="shared" ca="1" si="7"/>
        <v>3</v>
      </c>
      <c r="X22" s="37">
        <f t="shared" ca="1" si="8"/>
        <v>1</v>
      </c>
      <c r="Y22" s="111">
        <f t="shared" ca="1" si="9"/>
        <v>1</v>
      </c>
      <c r="Z22" s="37">
        <f t="shared" ca="1" si="10"/>
        <v>1</v>
      </c>
      <c r="AA22" s="111">
        <f t="shared" ca="1" si="11"/>
        <v>1</v>
      </c>
      <c r="AB22" s="37" t="str">
        <f t="shared" ca="1" si="12"/>
        <v/>
      </c>
      <c r="AC22" s="111" t="str">
        <f t="shared" ca="1" si="13"/>
        <v/>
      </c>
      <c r="AD22" s="37" t="str">
        <f t="shared" ca="1" si="14"/>
        <v/>
      </c>
      <c r="AE22" s="111" t="str">
        <f t="shared" ca="1" si="15"/>
        <v/>
      </c>
      <c r="AF22" s="37" t="str">
        <f t="shared" ca="1" si="16"/>
        <v/>
      </c>
      <c r="AG22" s="111" t="str">
        <f t="shared" ca="1" si="17"/>
        <v/>
      </c>
      <c r="AH22" s="37" t="str">
        <f t="shared" ca="1" si="18"/>
        <v/>
      </c>
      <c r="AI22" s="111" t="str">
        <f t="shared" ca="1" si="19"/>
        <v/>
      </c>
      <c r="AJ22" s="37" t="str">
        <f t="shared" ca="1" si="20"/>
        <v/>
      </c>
      <c r="AK22" s="111" t="str">
        <f t="shared" ca="1" si="21"/>
        <v/>
      </c>
      <c r="AL22" s="37" t="str">
        <f t="shared" ca="1" si="22"/>
        <v/>
      </c>
      <c r="AM22" s="111" t="str">
        <f t="shared" ca="1" si="23"/>
        <v/>
      </c>
      <c r="AN22" s="37" t="str">
        <f t="shared" ca="1" si="24"/>
        <v/>
      </c>
      <c r="AO22" s="111" t="str">
        <f t="shared" ca="1" si="25"/>
        <v/>
      </c>
      <c r="AP22" s="37" t="str">
        <f t="shared" ca="1" si="26"/>
        <v/>
      </c>
      <c r="AQ22" s="111" t="str">
        <f t="shared" ca="1" si="27"/>
        <v/>
      </c>
      <c r="AR22" s="37" t="str">
        <f t="shared" ca="1" si="28"/>
        <v/>
      </c>
      <c r="AS22" s="111" t="str">
        <f t="shared" ca="1" si="29"/>
        <v/>
      </c>
      <c r="AT22" s="37" t="str">
        <f t="shared" ca="1" si="30"/>
        <v/>
      </c>
      <c r="AU22" s="111" t="str">
        <f t="shared" ca="1" si="31"/>
        <v/>
      </c>
      <c r="AV22" s="37" t="str">
        <f t="shared" ca="1" si="32"/>
        <v/>
      </c>
      <c r="AW22" s="111" t="str">
        <f t="shared" ca="1" si="33"/>
        <v/>
      </c>
      <c r="AX22" s="37" t="str">
        <f t="shared" ca="1" si="32"/>
        <v/>
      </c>
      <c r="AY22" s="111" t="str">
        <f t="shared" ca="1" si="47"/>
        <v/>
      </c>
      <c r="AZ22" s="37" t="str">
        <f t="shared" ca="1" si="32"/>
        <v/>
      </c>
      <c r="BA22" s="111" t="str">
        <f t="shared" ca="1" si="48"/>
        <v/>
      </c>
      <c r="BB22" s="37" t="str">
        <f t="shared" ca="1" si="32"/>
        <v/>
      </c>
      <c r="BC22" s="111" t="str">
        <f t="shared" ca="1" si="49"/>
        <v/>
      </c>
      <c r="BD22" s="37" t="str">
        <f t="shared" ca="1" si="32"/>
        <v/>
      </c>
      <c r="BE22" s="111" t="str">
        <f t="shared" ca="1" si="50"/>
        <v/>
      </c>
      <c r="BF22" s="37" t="str">
        <f t="shared" ca="1" si="32"/>
        <v/>
      </c>
      <c r="BG22" s="111" t="str">
        <f t="shared" ca="1" si="51"/>
        <v/>
      </c>
      <c r="BH22" s="37" t="str">
        <f t="shared" ca="1" si="32"/>
        <v/>
      </c>
      <c r="BI22" s="111" t="str">
        <f t="shared" ca="1" si="52"/>
        <v/>
      </c>
      <c r="BJ22" s="37" t="str">
        <f t="shared" ca="1" si="32"/>
        <v/>
      </c>
      <c r="BK22" s="111" t="str">
        <f t="shared" ca="1" si="53"/>
        <v/>
      </c>
      <c r="BL22" s="37" t="str">
        <f t="shared" ca="1" si="32"/>
        <v/>
      </c>
      <c r="BM22" s="111" t="str">
        <f t="shared" ca="1" si="54"/>
        <v/>
      </c>
      <c r="BN22" s="37" t="str">
        <f t="shared" ca="1" si="32"/>
        <v/>
      </c>
      <c r="BO22" s="111" t="str">
        <f t="shared" ca="1" si="55"/>
        <v/>
      </c>
      <c r="BP22" s="34"/>
      <c r="BQ22" s="23"/>
      <c r="BZ22" s="60" cm="1">
        <f t="array" aca="1" ref="BZ22" ca="1">IFERROR(EOMONTH(EOMONTH(_xlfn._xlws.FILTER(Table1[Planned Start],(Table1[Category]=$E22)*(Table1[SBU]=$F$5)*(Table1[Execution Year]=$D22)*(Table1[Most curent]=TRUE)),0)-45,0)+1,"")</f>
        <v>44652</v>
      </c>
      <c r="CA22" s="60" cm="1">
        <f t="array" aca="1" ref="CA22" ca="1">IFERROR(EOMONTH(_xlfn._xlws.FILTER(Table1[Planned Award],(Table1[Category]=$E22)*(Table1[SBU]=$F$5)*(Table1[Most curent]=TRUE)*(Table1[Execution Year]=$D22)),0),"")</f>
        <v>44712</v>
      </c>
      <c r="CB22" s="60" t="str" cm="1">
        <f t="array" aca="1" ref="CB22" ca="1">IFERROR(EOMONTH(EOMONTH(_xlfn._xlws.FILTER(Table1[Current Phase End],(Table1[Category]=$E22)*(Table1[SBU]=$F$5)*(Table1[Most curent]=TRUE)*(Table1[Execution Year]=$D22)),0)-45,0)+1,"")</f>
        <v/>
      </c>
      <c r="CC22" s="60" cm="1">
        <f t="array" aca="1" ref="CC22" ca="1">IFERROR(EOMONTH(_xlfn._xlws.FILTER(Table1[Revised Award],(Table1[Category]=$E22)*(Table1[SBU]=$F$5)*(Table1[Most curent]=TRUE)*(Table1[Execution Year]=$D22)),0),"")</f>
        <v>31</v>
      </c>
      <c r="CD22" s="60">
        <f t="shared" ca="1" si="45"/>
        <v>44593</v>
      </c>
      <c r="CE22" s="60">
        <f t="shared" ca="1" si="46"/>
        <v>44651</v>
      </c>
    </row>
    <row r="23" spans="2:83" ht="15.6" thickTop="1" thickBot="1">
      <c r="B23" s="123">
        <f ca="1"/>
        <v>14</v>
      </c>
      <c r="C23" s="71">
        <f ca="1"/>
        <v>44682</v>
      </c>
      <c r="D23" s="35" t="str">
        <f ca="1"/>
        <v>FY23</v>
      </c>
      <c r="E23" s="35" t="str">
        <f ca="1"/>
        <v>Absorbent pads</v>
      </c>
      <c r="F23" s="35" t="str">
        <f ca="1"/>
        <v>Bid Prep</v>
      </c>
      <c r="G23" s="35" t="str">
        <f ca="1"/>
        <v>On Track (Green)</v>
      </c>
      <c r="H23" s="36">
        <f ca="1"/>
        <v>3900000</v>
      </c>
      <c r="I23" s="36">
        <f ca="1"/>
        <v>79400000</v>
      </c>
      <c r="J23" s="35" t="str">
        <f ca="1"/>
        <v>Yoshi</v>
      </c>
      <c r="K23" s="71">
        <f ca="1"/>
        <v>0.3</v>
      </c>
      <c r="L23" s="71"/>
      <c r="M23" s="71"/>
      <c r="N23" s="34" t="str">
        <f t="shared" ca="1" si="43"/>
        <v/>
      </c>
      <c r="O23" s="111" t="str">
        <f t="shared" ca="1" si="44"/>
        <v/>
      </c>
      <c r="P23" s="34" t="str">
        <f t="shared" ca="1" si="0"/>
        <v/>
      </c>
      <c r="Q23" s="111" t="str">
        <f t="shared" ca="1" si="1"/>
        <v/>
      </c>
      <c r="R23" s="34" t="str">
        <f t="shared" ca="1" si="2"/>
        <v/>
      </c>
      <c r="S23" s="111" t="str">
        <f t="shared" ca="1" si="3"/>
        <v/>
      </c>
      <c r="T23" s="37" t="str">
        <f t="shared" ca="1" si="4"/>
        <v/>
      </c>
      <c r="U23" s="111" t="str">
        <f t="shared" ca="1" si="5"/>
        <v/>
      </c>
      <c r="V23" s="37">
        <f t="shared" ca="1" si="6"/>
        <v>3</v>
      </c>
      <c r="W23" s="111">
        <f t="shared" ca="1" si="7"/>
        <v>3</v>
      </c>
      <c r="X23" s="37">
        <f t="shared" ca="1" si="8"/>
        <v>3</v>
      </c>
      <c r="Y23" s="111">
        <f t="shared" ca="1" si="9"/>
        <v>3</v>
      </c>
      <c r="Z23" s="37">
        <f t="shared" ca="1" si="10"/>
        <v>1</v>
      </c>
      <c r="AA23" s="111">
        <f t="shared" ca="1" si="11"/>
        <v>1</v>
      </c>
      <c r="AB23" s="37">
        <f t="shared" ca="1" si="12"/>
        <v>1</v>
      </c>
      <c r="AC23" s="111">
        <f t="shared" ca="1" si="13"/>
        <v>1</v>
      </c>
      <c r="AD23" s="37">
        <f t="shared" ca="1" si="14"/>
        <v>1</v>
      </c>
      <c r="AE23" s="111">
        <f t="shared" ca="1" si="15"/>
        <v>1</v>
      </c>
      <c r="AF23" s="37">
        <f t="shared" ca="1" si="16"/>
        <v>1</v>
      </c>
      <c r="AG23" s="111">
        <f t="shared" ca="1" si="17"/>
        <v>1</v>
      </c>
      <c r="AH23" s="37" t="str">
        <f t="shared" ca="1" si="18"/>
        <v/>
      </c>
      <c r="AI23" s="111" t="str">
        <f t="shared" ca="1" si="19"/>
        <v/>
      </c>
      <c r="AJ23" s="37" t="str">
        <f t="shared" ca="1" si="20"/>
        <v/>
      </c>
      <c r="AK23" s="111" t="str">
        <f t="shared" ca="1" si="21"/>
        <v/>
      </c>
      <c r="AL23" s="37" t="str">
        <f t="shared" ca="1" si="22"/>
        <v/>
      </c>
      <c r="AM23" s="111" t="str">
        <f t="shared" ca="1" si="23"/>
        <v/>
      </c>
      <c r="AN23" s="37" t="str">
        <f t="shared" ca="1" si="24"/>
        <v/>
      </c>
      <c r="AO23" s="111" t="str">
        <f t="shared" ca="1" si="25"/>
        <v/>
      </c>
      <c r="AP23" s="37" t="str">
        <f t="shared" ca="1" si="26"/>
        <v/>
      </c>
      <c r="AQ23" s="111" t="str">
        <f t="shared" ca="1" si="27"/>
        <v/>
      </c>
      <c r="AR23" s="37" t="str">
        <f t="shared" ca="1" si="28"/>
        <v/>
      </c>
      <c r="AS23" s="111" t="str">
        <f t="shared" ca="1" si="29"/>
        <v/>
      </c>
      <c r="AT23" s="37" t="str">
        <f t="shared" ca="1" si="30"/>
        <v/>
      </c>
      <c r="AU23" s="111" t="str">
        <f t="shared" ca="1" si="31"/>
        <v/>
      </c>
      <c r="AV23" s="37" t="str">
        <f t="shared" ca="1" si="32"/>
        <v/>
      </c>
      <c r="AW23" s="111" t="str">
        <f t="shared" ca="1" si="33"/>
        <v/>
      </c>
      <c r="AX23" s="37" t="str">
        <f t="shared" ca="1" si="32"/>
        <v/>
      </c>
      <c r="AY23" s="111" t="str">
        <f t="shared" ca="1" si="47"/>
        <v/>
      </c>
      <c r="AZ23" s="37" t="str">
        <f t="shared" ca="1" si="32"/>
        <v/>
      </c>
      <c r="BA23" s="111" t="str">
        <f t="shared" ca="1" si="48"/>
        <v/>
      </c>
      <c r="BB23" s="37" t="str">
        <f t="shared" ca="1" si="32"/>
        <v/>
      </c>
      <c r="BC23" s="111" t="str">
        <f t="shared" ca="1" si="49"/>
        <v/>
      </c>
      <c r="BD23" s="37" t="str">
        <f t="shared" ca="1" si="32"/>
        <v/>
      </c>
      <c r="BE23" s="111" t="str">
        <f t="shared" ca="1" si="50"/>
        <v/>
      </c>
      <c r="BF23" s="37" t="str">
        <f t="shared" ca="1" si="32"/>
        <v/>
      </c>
      <c r="BG23" s="111" t="str">
        <f t="shared" ca="1" si="51"/>
        <v/>
      </c>
      <c r="BH23" s="37" t="str">
        <f t="shared" ca="1" si="32"/>
        <v/>
      </c>
      <c r="BI23" s="111" t="str">
        <f t="shared" ca="1" si="52"/>
        <v/>
      </c>
      <c r="BJ23" s="37" t="str">
        <f t="shared" ca="1" si="32"/>
        <v/>
      </c>
      <c r="BK23" s="111" t="str">
        <f t="shared" ca="1" si="53"/>
        <v/>
      </c>
      <c r="BL23" s="37" t="str">
        <f t="shared" ca="1" si="32"/>
        <v/>
      </c>
      <c r="BM23" s="111" t="str">
        <f t="shared" ca="1" si="54"/>
        <v/>
      </c>
      <c r="BN23" s="37" t="str">
        <f t="shared" ca="1" si="32"/>
        <v/>
      </c>
      <c r="BO23" s="111" t="str">
        <f t="shared" ca="1" si="55"/>
        <v/>
      </c>
      <c r="BP23" s="34"/>
      <c r="BQ23" s="23"/>
      <c r="BZ23" s="60" cm="1">
        <f t="array" aca="1" ref="BZ23" ca="1">IFERROR(EOMONTH(EOMONTH(_xlfn._xlws.FILTER(Table1[Planned Start],(Table1[Category]=$E23)*(Table1[SBU]=$F$5)*(Table1[Execution Year]=$D23)*(Table1[Most curent]=TRUE)),0)-45,0)+1,"")</f>
        <v>44682</v>
      </c>
      <c r="CA23" s="60" cm="1">
        <f t="array" aca="1" ref="CA23" ca="1">IFERROR(EOMONTH(_xlfn._xlws.FILTER(Table1[Planned Award],(Table1[Category]=$E23)*(Table1[SBU]=$F$5)*(Table1[Most curent]=TRUE)*(Table1[Execution Year]=$D23)),0),"")</f>
        <v>44804</v>
      </c>
      <c r="CB23" s="60" t="str" cm="1">
        <f t="array" aca="1" ref="CB23" ca="1">IFERROR(EOMONTH(EOMONTH(_xlfn._xlws.FILTER(Table1[Current Phase End],(Table1[Category]=$E23)*(Table1[SBU]=$F$5)*(Table1[Most curent]=TRUE)*(Table1[Execution Year]=$D23)),0)-45,0)+1,"")</f>
        <v/>
      </c>
      <c r="CC23" s="60" cm="1">
        <f t="array" aca="1" ref="CC23" ca="1">IFERROR(EOMONTH(_xlfn._xlws.FILTER(Table1[Revised Award],(Table1[Category]=$E23)*(Table1[SBU]=$F$5)*(Table1[Most curent]=TRUE)*(Table1[Execution Year]=$D23)),0),"")</f>
        <v>31</v>
      </c>
      <c r="CD23" s="60">
        <f t="shared" ca="1" si="45"/>
        <v>44621</v>
      </c>
      <c r="CE23" s="60">
        <f t="shared" ca="1" si="46"/>
        <v>44681</v>
      </c>
    </row>
    <row r="24" spans="2:83" ht="15.6" thickTop="1" thickBot="1">
      <c r="B24" s="123">
        <f ca="1"/>
        <v>15</v>
      </c>
      <c r="C24" s="71">
        <f ca="1"/>
        <v>44682</v>
      </c>
      <c r="D24" s="35" t="str">
        <f ca="1"/>
        <v>FY23</v>
      </c>
      <c r="E24" s="35" t="str">
        <f ca="1"/>
        <v>Shave Gel/Foam</v>
      </c>
      <c r="F24" s="35" t="str">
        <f ca="1"/>
        <v>SCO Analysis</v>
      </c>
      <c r="G24" s="35" t="str">
        <f ca="1"/>
        <v>On Track (Green)</v>
      </c>
      <c r="H24" s="36">
        <f ca="1"/>
        <v>0</v>
      </c>
      <c r="I24" s="36">
        <f ca="1"/>
        <v>14000000</v>
      </c>
      <c r="J24" s="35" t="str">
        <f ca="1"/>
        <v>Kendra</v>
      </c>
      <c r="K24" s="71">
        <f ca="1"/>
        <v>0.3</v>
      </c>
      <c r="L24" s="71"/>
      <c r="M24" s="71"/>
      <c r="N24" s="34" t="str">
        <f t="shared" ca="1" si="43"/>
        <v/>
      </c>
      <c r="O24" s="111" t="str">
        <f t="shared" ca="1" si="44"/>
        <v/>
      </c>
      <c r="P24" s="34" t="str">
        <f t="shared" ca="1" si="0"/>
        <v/>
      </c>
      <c r="Q24" s="111" t="str">
        <f t="shared" ca="1" si="1"/>
        <v/>
      </c>
      <c r="R24" s="34" t="str">
        <f t="shared" ca="1" si="2"/>
        <v/>
      </c>
      <c r="S24" s="111" t="str">
        <f t="shared" ca="1" si="3"/>
        <v/>
      </c>
      <c r="T24" s="37" t="str">
        <f t="shared" ca="1" si="4"/>
        <v/>
      </c>
      <c r="U24" s="111" t="str">
        <f t="shared" ca="1" si="5"/>
        <v/>
      </c>
      <c r="V24" s="37">
        <f t="shared" ca="1" si="6"/>
        <v>3</v>
      </c>
      <c r="W24" s="111">
        <f t="shared" ca="1" si="7"/>
        <v>3</v>
      </c>
      <c r="X24" s="37">
        <f t="shared" ca="1" si="8"/>
        <v>3</v>
      </c>
      <c r="Y24" s="111">
        <f t="shared" ca="1" si="9"/>
        <v>3</v>
      </c>
      <c r="Z24" s="37">
        <f t="shared" ca="1" si="10"/>
        <v>1</v>
      </c>
      <c r="AA24" s="111">
        <f t="shared" ca="1" si="11"/>
        <v>1</v>
      </c>
      <c r="AB24" s="37">
        <f t="shared" ca="1" si="12"/>
        <v>1</v>
      </c>
      <c r="AC24" s="111">
        <f t="shared" ca="1" si="13"/>
        <v>1</v>
      </c>
      <c r="AD24" s="37">
        <f t="shared" ca="1" si="14"/>
        <v>1</v>
      </c>
      <c r="AE24" s="111">
        <f t="shared" ca="1" si="15"/>
        <v>1</v>
      </c>
      <c r="AF24" s="37" t="str">
        <f t="shared" ca="1" si="16"/>
        <v/>
      </c>
      <c r="AG24" s="111" t="str">
        <f t="shared" ca="1" si="17"/>
        <v/>
      </c>
      <c r="AH24" s="37" t="str">
        <f t="shared" ca="1" si="18"/>
        <v/>
      </c>
      <c r="AI24" s="111" t="str">
        <f t="shared" ca="1" si="19"/>
        <v/>
      </c>
      <c r="AJ24" s="37" t="str">
        <f t="shared" ca="1" si="20"/>
        <v/>
      </c>
      <c r="AK24" s="111" t="str">
        <f t="shared" ca="1" si="21"/>
        <v/>
      </c>
      <c r="AL24" s="37" t="str">
        <f t="shared" ca="1" si="22"/>
        <v/>
      </c>
      <c r="AM24" s="111" t="str">
        <f t="shared" ca="1" si="23"/>
        <v/>
      </c>
      <c r="AN24" s="37" t="str">
        <f t="shared" ca="1" si="24"/>
        <v/>
      </c>
      <c r="AO24" s="111" t="str">
        <f t="shared" ca="1" si="25"/>
        <v/>
      </c>
      <c r="AP24" s="37" t="str">
        <f t="shared" ca="1" si="26"/>
        <v/>
      </c>
      <c r="AQ24" s="111" t="str">
        <f t="shared" ca="1" si="27"/>
        <v/>
      </c>
      <c r="AR24" s="37" t="str">
        <f t="shared" ca="1" si="28"/>
        <v/>
      </c>
      <c r="AS24" s="111" t="str">
        <f t="shared" ca="1" si="29"/>
        <v/>
      </c>
      <c r="AT24" s="37" t="str">
        <f t="shared" ca="1" si="30"/>
        <v/>
      </c>
      <c r="AU24" s="111" t="str">
        <f t="shared" ca="1" si="31"/>
        <v/>
      </c>
      <c r="AV24" s="37" t="str">
        <f t="shared" ca="1" si="32"/>
        <v/>
      </c>
      <c r="AW24" s="111" t="str">
        <f t="shared" ca="1" si="33"/>
        <v/>
      </c>
      <c r="AX24" s="37" t="str">
        <f t="shared" ca="1" si="32"/>
        <v/>
      </c>
      <c r="AY24" s="111" t="str">
        <f t="shared" ca="1" si="47"/>
        <v/>
      </c>
      <c r="AZ24" s="37" t="str">
        <f t="shared" ca="1" si="32"/>
        <v/>
      </c>
      <c r="BA24" s="111" t="str">
        <f t="shared" ca="1" si="48"/>
        <v/>
      </c>
      <c r="BB24" s="37" t="str">
        <f t="shared" ca="1" si="32"/>
        <v/>
      </c>
      <c r="BC24" s="111" t="str">
        <f t="shared" ca="1" si="49"/>
        <v/>
      </c>
      <c r="BD24" s="37" t="str">
        <f t="shared" ca="1" si="32"/>
        <v/>
      </c>
      <c r="BE24" s="111" t="str">
        <f t="shared" ca="1" si="50"/>
        <v/>
      </c>
      <c r="BF24" s="37" t="str">
        <f t="shared" ca="1" si="32"/>
        <v/>
      </c>
      <c r="BG24" s="111" t="str">
        <f t="shared" ca="1" si="51"/>
        <v/>
      </c>
      <c r="BH24" s="37" t="str">
        <f t="shared" ca="1" si="32"/>
        <v/>
      </c>
      <c r="BI24" s="111" t="str">
        <f t="shared" ca="1" si="52"/>
        <v/>
      </c>
      <c r="BJ24" s="37" t="str">
        <f t="shared" ca="1" si="32"/>
        <v/>
      </c>
      <c r="BK24" s="111" t="str">
        <f t="shared" ca="1" si="53"/>
        <v/>
      </c>
      <c r="BL24" s="37" t="str">
        <f t="shared" ca="1" si="32"/>
        <v/>
      </c>
      <c r="BM24" s="111" t="str">
        <f t="shared" ca="1" si="54"/>
        <v/>
      </c>
      <c r="BN24" s="37" t="str">
        <f t="shared" ca="1" si="32"/>
        <v/>
      </c>
      <c r="BO24" s="111" t="str">
        <f t="shared" ca="1" si="55"/>
        <v/>
      </c>
      <c r="BP24" s="34"/>
      <c r="BQ24" s="23"/>
      <c r="BZ24" s="60" cm="1">
        <f t="array" aca="1" ref="BZ24" ca="1">IFERROR(EOMONTH(EOMONTH(_xlfn._xlws.FILTER(Table1[Planned Start],(Table1[Category]=$E24)*(Table1[SBU]=$F$5)*(Table1[Execution Year]=$D24)*(Table1[Most curent]=TRUE)),0)-45,0)+1,"")</f>
        <v>44682</v>
      </c>
      <c r="CA24" s="60" cm="1">
        <f t="array" aca="1" ref="CA24" ca="1">IFERROR(EOMONTH(_xlfn._xlws.FILTER(Table1[Planned Award],(Table1[Category]=$E24)*(Table1[SBU]=$F$5)*(Table1[Most curent]=TRUE)*(Table1[Execution Year]=$D24)),0),"")</f>
        <v>44773</v>
      </c>
      <c r="CB24" s="60" t="str" cm="1">
        <f t="array" aca="1" ref="CB24" ca="1">IFERROR(EOMONTH(EOMONTH(_xlfn._xlws.FILTER(Table1[Current Phase End],(Table1[Category]=$E24)*(Table1[SBU]=$F$5)*(Table1[Most curent]=TRUE)*(Table1[Execution Year]=$D24)),0)-45,0)+1,"")</f>
        <v/>
      </c>
      <c r="CC24" s="60" cm="1">
        <f t="array" aca="1" ref="CC24" ca="1">IFERROR(EOMONTH(_xlfn._xlws.FILTER(Table1[Revised Award],(Table1[Category]=$E24)*(Table1[SBU]=$F$5)*(Table1[Most curent]=TRUE)*(Table1[Execution Year]=$D24)),0),"")</f>
        <v>31</v>
      </c>
      <c r="CD24" s="60">
        <f t="shared" ca="1" si="45"/>
        <v>44621</v>
      </c>
      <c r="CE24" s="60">
        <f t="shared" ca="1" si="46"/>
        <v>44681</v>
      </c>
    </row>
    <row r="25" spans="2:83" ht="15.6" thickTop="1" thickBot="1">
      <c r="B25" s="123">
        <f ca="1"/>
        <v>16</v>
      </c>
      <c r="C25" s="71">
        <f ca="1"/>
        <v>44713</v>
      </c>
      <c r="D25" s="35" t="str">
        <f ca="1"/>
        <v>FY23</v>
      </c>
      <c r="E25" s="35" t="str">
        <f ca="1"/>
        <v>Batteries</v>
      </c>
      <c r="F25" s="35" t="str">
        <f ca="1"/>
        <v>RFPX underway</v>
      </c>
      <c r="G25" s="35" t="str">
        <f ca="1"/>
        <v>On Track (Green)</v>
      </c>
      <c r="H25" s="36">
        <f ca="1"/>
        <v>4900000</v>
      </c>
      <c r="I25" s="36">
        <f ca="1"/>
        <v>8000000</v>
      </c>
      <c r="J25" s="35" t="str">
        <f ca="1"/>
        <v>Kendra</v>
      </c>
      <c r="K25" s="71">
        <f ca="1"/>
        <v>0.3</v>
      </c>
      <c r="L25" s="71"/>
      <c r="M25" s="71"/>
      <c r="N25" s="34" t="str">
        <f t="shared" ca="1" si="43"/>
        <v/>
      </c>
      <c r="O25" s="111" t="str">
        <f t="shared" ca="1" si="44"/>
        <v/>
      </c>
      <c r="P25" s="34" t="str">
        <f t="shared" ca="1" si="0"/>
        <v/>
      </c>
      <c r="Q25" s="111" t="str">
        <f t="shared" ca="1" si="1"/>
        <v/>
      </c>
      <c r="R25" s="34" t="str">
        <f t="shared" ca="1" si="2"/>
        <v/>
      </c>
      <c r="S25" s="111" t="str">
        <f t="shared" ca="1" si="3"/>
        <v/>
      </c>
      <c r="T25" s="37" t="str">
        <f t="shared" ca="1" si="4"/>
        <v/>
      </c>
      <c r="U25" s="111" t="str">
        <f t="shared" ca="1" si="5"/>
        <v/>
      </c>
      <c r="V25" s="37" t="str">
        <f t="shared" ca="1" si="6"/>
        <v/>
      </c>
      <c r="W25" s="111" t="str">
        <f t="shared" ca="1" si="7"/>
        <v/>
      </c>
      <c r="X25" s="37">
        <f t="shared" ca="1" si="8"/>
        <v>3</v>
      </c>
      <c r="Y25" s="111">
        <f t="shared" ca="1" si="9"/>
        <v>3</v>
      </c>
      <c r="Z25" s="37">
        <f t="shared" ca="1" si="10"/>
        <v>3</v>
      </c>
      <c r="AA25" s="111">
        <f t="shared" ca="1" si="11"/>
        <v>3</v>
      </c>
      <c r="AB25" s="37">
        <f t="shared" ca="1" si="12"/>
        <v>1</v>
      </c>
      <c r="AC25" s="111">
        <f t="shared" ca="1" si="13"/>
        <v>1</v>
      </c>
      <c r="AD25" s="37">
        <f t="shared" ca="1" si="14"/>
        <v>1</v>
      </c>
      <c r="AE25" s="111">
        <f t="shared" ca="1" si="15"/>
        <v>1</v>
      </c>
      <c r="AF25" s="37">
        <f t="shared" ca="1" si="16"/>
        <v>1</v>
      </c>
      <c r="AG25" s="111">
        <f t="shared" ca="1" si="17"/>
        <v>1</v>
      </c>
      <c r="AH25" s="37">
        <f t="shared" ca="1" si="18"/>
        <v>1</v>
      </c>
      <c r="AI25" s="111">
        <f t="shared" ca="1" si="19"/>
        <v>1</v>
      </c>
      <c r="AJ25" s="37" t="str">
        <f t="shared" ca="1" si="20"/>
        <v/>
      </c>
      <c r="AK25" s="111" t="str">
        <f t="shared" ca="1" si="21"/>
        <v/>
      </c>
      <c r="AL25" s="37" t="str">
        <f t="shared" ca="1" si="22"/>
        <v/>
      </c>
      <c r="AM25" s="111" t="str">
        <f t="shared" ca="1" si="23"/>
        <v/>
      </c>
      <c r="AN25" s="37" t="str">
        <f t="shared" ca="1" si="24"/>
        <v/>
      </c>
      <c r="AO25" s="111" t="str">
        <f t="shared" ca="1" si="25"/>
        <v/>
      </c>
      <c r="AP25" s="37" t="str">
        <f t="shared" ca="1" si="26"/>
        <v/>
      </c>
      <c r="AQ25" s="111" t="str">
        <f t="shared" ca="1" si="27"/>
        <v/>
      </c>
      <c r="AR25" s="37" t="str">
        <f t="shared" ca="1" si="28"/>
        <v/>
      </c>
      <c r="AS25" s="111" t="str">
        <f t="shared" ca="1" si="29"/>
        <v/>
      </c>
      <c r="AT25" s="37" t="str">
        <f t="shared" ca="1" si="30"/>
        <v/>
      </c>
      <c r="AU25" s="111" t="str">
        <f t="shared" ca="1" si="31"/>
        <v/>
      </c>
      <c r="AV25" s="37" t="str">
        <f t="shared" ca="1" si="32"/>
        <v/>
      </c>
      <c r="AW25" s="111" t="str">
        <f t="shared" ca="1" si="33"/>
        <v/>
      </c>
      <c r="AX25" s="37" t="str">
        <f t="shared" ca="1" si="32"/>
        <v/>
      </c>
      <c r="AY25" s="111" t="str">
        <f t="shared" ca="1" si="47"/>
        <v/>
      </c>
      <c r="AZ25" s="37" t="str">
        <f t="shared" ca="1" si="32"/>
        <v/>
      </c>
      <c r="BA25" s="111" t="str">
        <f t="shared" ca="1" si="48"/>
        <v/>
      </c>
      <c r="BB25" s="37" t="str">
        <f t="shared" ca="1" si="32"/>
        <v/>
      </c>
      <c r="BC25" s="111" t="str">
        <f t="shared" ca="1" si="49"/>
        <v/>
      </c>
      <c r="BD25" s="37" t="str">
        <f t="shared" ca="1" si="32"/>
        <v/>
      </c>
      <c r="BE25" s="111" t="str">
        <f t="shared" ca="1" si="50"/>
        <v/>
      </c>
      <c r="BF25" s="37" t="str">
        <f t="shared" ca="1" si="32"/>
        <v/>
      </c>
      <c r="BG25" s="111" t="str">
        <f t="shared" ca="1" si="51"/>
        <v/>
      </c>
      <c r="BH25" s="37" t="str">
        <f t="shared" ca="1" si="32"/>
        <v/>
      </c>
      <c r="BI25" s="111" t="str">
        <f t="shared" ca="1" si="52"/>
        <v/>
      </c>
      <c r="BJ25" s="37" t="str">
        <f t="shared" ca="1" si="32"/>
        <v/>
      </c>
      <c r="BK25" s="111" t="str">
        <f t="shared" ca="1" si="53"/>
        <v/>
      </c>
      <c r="BL25" s="37" t="str">
        <f t="shared" ca="1" si="32"/>
        <v/>
      </c>
      <c r="BM25" s="111" t="str">
        <f t="shared" ca="1" si="54"/>
        <v/>
      </c>
      <c r="BN25" s="37" t="str">
        <f t="shared" ca="1" si="32"/>
        <v/>
      </c>
      <c r="BO25" s="111" t="str">
        <f t="shared" ca="1" si="55"/>
        <v/>
      </c>
      <c r="BP25" s="34"/>
      <c r="BQ25" s="23"/>
      <c r="BZ25" s="60" cm="1">
        <f t="array" aca="1" ref="BZ25" ca="1">IFERROR(EOMONTH(EOMONTH(_xlfn._xlws.FILTER(Table1[Planned Start],(Table1[Category]=$E25)*(Table1[SBU]=$F$5)*(Table1[Execution Year]=$D25)*(Table1[Most curent]=TRUE)),0)-45,0)+1,"")</f>
        <v>44713</v>
      </c>
      <c r="CA25" s="60" cm="1">
        <f t="array" aca="1" ref="CA25" ca="1">IFERROR(EOMONTH(_xlfn._xlws.FILTER(Table1[Planned Award],(Table1[Category]=$E25)*(Table1[SBU]=$F$5)*(Table1[Most curent]=TRUE)*(Table1[Execution Year]=$D25)),0),"")</f>
        <v>44834</v>
      </c>
      <c r="CB25" s="60" t="str" cm="1">
        <f t="array" aca="1" ref="CB25" ca="1">IFERROR(EOMONTH(EOMONTH(_xlfn._xlws.FILTER(Table1[Current Phase End],(Table1[Category]=$E25)*(Table1[SBU]=$F$5)*(Table1[Most curent]=TRUE)*(Table1[Execution Year]=$D25)),0)-45,0)+1,"")</f>
        <v/>
      </c>
      <c r="CC25" s="60" cm="1">
        <f t="array" aca="1" ref="CC25" ca="1">IFERROR(EOMONTH(_xlfn._xlws.FILTER(Table1[Revised Award],(Table1[Category]=$E25)*(Table1[SBU]=$F$5)*(Table1[Most curent]=TRUE)*(Table1[Execution Year]=$D25)),0),"")</f>
        <v>31</v>
      </c>
      <c r="CD25" s="60">
        <f t="shared" ca="1" si="45"/>
        <v>44652</v>
      </c>
      <c r="CE25" s="60">
        <f t="shared" ca="1" si="46"/>
        <v>44712</v>
      </c>
    </row>
    <row r="26" spans="2:83" ht="15.6" thickTop="1" thickBot="1">
      <c r="B26" s="123">
        <f ca="1"/>
        <v>17</v>
      </c>
      <c r="C26" s="71">
        <f ca="1"/>
        <v>44743</v>
      </c>
      <c r="D26" s="35" t="str">
        <f ca="1"/>
        <v>FY23</v>
      </c>
      <c r="E26" s="35" t="str">
        <f ca="1"/>
        <v>DTT - Plastic</v>
      </c>
      <c r="F26" s="35" t="str">
        <f ca="1"/>
        <v>Exploratory</v>
      </c>
      <c r="G26" s="35" t="str">
        <f ca="1"/>
        <v>On Track (Green)</v>
      </c>
      <c r="H26" s="36">
        <f ca="1"/>
        <v>0</v>
      </c>
      <c r="I26" s="36">
        <f ca="1"/>
        <v>343000000</v>
      </c>
      <c r="J26" s="35" t="str">
        <f ca="1"/>
        <v>Luis</v>
      </c>
      <c r="K26" s="71">
        <f ca="1"/>
        <v>0.3</v>
      </c>
      <c r="L26" s="71"/>
      <c r="M26" s="71"/>
      <c r="N26" s="34" t="str">
        <f t="shared" ca="1" si="43"/>
        <v/>
      </c>
      <c r="O26" s="111" t="str">
        <f t="shared" ca="1" si="44"/>
        <v/>
      </c>
      <c r="P26" s="34" t="str">
        <f t="shared" ca="1" si="0"/>
        <v/>
      </c>
      <c r="Q26" s="111" t="str">
        <f t="shared" ca="1" si="1"/>
        <v/>
      </c>
      <c r="R26" s="34" t="str">
        <f t="shared" ca="1" si="2"/>
        <v/>
      </c>
      <c r="S26" s="111" t="str">
        <f t="shared" ca="1" si="3"/>
        <v/>
      </c>
      <c r="T26" s="37" t="str">
        <f t="shared" ca="1" si="4"/>
        <v/>
      </c>
      <c r="U26" s="111" t="str">
        <f t="shared" ca="1" si="5"/>
        <v/>
      </c>
      <c r="V26" s="37" t="str">
        <f t="shared" ca="1" si="6"/>
        <v/>
      </c>
      <c r="W26" s="111" t="str">
        <f t="shared" ca="1" si="7"/>
        <v/>
      </c>
      <c r="X26" s="37" t="str">
        <f t="shared" ca="1" si="8"/>
        <v/>
      </c>
      <c r="Y26" s="111" t="str">
        <f t="shared" ca="1" si="9"/>
        <v/>
      </c>
      <c r="Z26" s="37">
        <f t="shared" ca="1" si="10"/>
        <v>3</v>
      </c>
      <c r="AA26" s="111">
        <f t="shared" ca="1" si="11"/>
        <v>3</v>
      </c>
      <c r="AB26" s="37">
        <f t="shared" ca="1" si="12"/>
        <v>3</v>
      </c>
      <c r="AC26" s="111">
        <f t="shared" ca="1" si="13"/>
        <v>3</v>
      </c>
      <c r="AD26" s="37">
        <f t="shared" ca="1" si="14"/>
        <v>1</v>
      </c>
      <c r="AE26" s="111">
        <f t="shared" ca="1" si="15"/>
        <v>1</v>
      </c>
      <c r="AF26" s="37">
        <f t="shared" ca="1" si="16"/>
        <v>1</v>
      </c>
      <c r="AG26" s="111">
        <f t="shared" ca="1" si="17"/>
        <v>1</v>
      </c>
      <c r="AH26" s="37">
        <f t="shared" ca="1" si="18"/>
        <v>1</v>
      </c>
      <c r="AI26" s="111">
        <f t="shared" ca="1" si="19"/>
        <v>1</v>
      </c>
      <c r="AJ26" s="37">
        <f t="shared" ca="1" si="20"/>
        <v>1</v>
      </c>
      <c r="AK26" s="111">
        <f t="shared" ca="1" si="21"/>
        <v>1</v>
      </c>
      <c r="AL26" s="37">
        <f t="shared" ca="1" si="22"/>
        <v>1</v>
      </c>
      <c r="AM26" s="111">
        <f t="shared" ca="1" si="23"/>
        <v>1</v>
      </c>
      <c r="AN26" s="37">
        <f t="shared" ca="1" si="24"/>
        <v>1</v>
      </c>
      <c r="AO26" s="111">
        <f t="shared" ca="1" si="25"/>
        <v>1</v>
      </c>
      <c r="AP26" s="37" t="str">
        <f t="shared" ca="1" si="26"/>
        <v/>
      </c>
      <c r="AQ26" s="111" t="str">
        <f t="shared" ca="1" si="27"/>
        <v/>
      </c>
      <c r="AR26" s="37" t="str">
        <f t="shared" ca="1" si="28"/>
        <v/>
      </c>
      <c r="AS26" s="111" t="str">
        <f t="shared" ca="1" si="29"/>
        <v/>
      </c>
      <c r="AT26" s="37" t="str">
        <f t="shared" ca="1" si="30"/>
        <v/>
      </c>
      <c r="AU26" s="111" t="str">
        <f t="shared" ca="1" si="31"/>
        <v/>
      </c>
      <c r="AV26" s="37" t="str">
        <f t="shared" ca="1" si="32"/>
        <v/>
      </c>
      <c r="AW26" s="111" t="str">
        <f t="shared" ca="1" si="33"/>
        <v/>
      </c>
      <c r="AX26" s="37" t="str">
        <f t="shared" ca="1" si="32"/>
        <v/>
      </c>
      <c r="AY26" s="111" t="str">
        <f t="shared" ca="1" si="47"/>
        <v/>
      </c>
      <c r="AZ26" s="37" t="str">
        <f t="shared" ca="1" si="32"/>
        <v/>
      </c>
      <c r="BA26" s="111" t="str">
        <f t="shared" ca="1" si="48"/>
        <v/>
      </c>
      <c r="BB26" s="37" t="str">
        <f t="shared" ca="1" si="32"/>
        <v/>
      </c>
      <c r="BC26" s="111" t="str">
        <f t="shared" ca="1" si="49"/>
        <v/>
      </c>
      <c r="BD26" s="37" t="str">
        <f t="shared" ca="1" si="32"/>
        <v/>
      </c>
      <c r="BE26" s="111" t="str">
        <f t="shared" ca="1" si="50"/>
        <v/>
      </c>
      <c r="BF26" s="37" t="str">
        <f t="shared" ca="1" si="32"/>
        <v/>
      </c>
      <c r="BG26" s="111" t="str">
        <f t="shared" ca="1" si="51"/>
        <v/>
      </c>
      <c r="BH26" s="37" t="str">
        <f t="shared" ca="1" si="32"/>
        <v/>
      </c>
      <c r="BI26" s="111" t="str">
        <f t="shared" ca="1" si="52"/>
        <v/>
      </c>
      <c r="BJ26" s="37" t="str">
        <f t="shared" ca="1" si="32"/>
        <v/>
      </c>
      <c r="BK26" s="111" t="str">
        <f t="shared" ca="1" si="53"/>
        <v/>
      </c>
      <c r="BL26" s="37" t="str">
        <f t="shared" ca="1" si="32"/>
        <v/>
      </c>
      <c r="BM26" s="111" t="str">
        <f t="shared" ca="1" si="54"/>
        <v/>
      </c>
      <c r="BN26" s="37" t="str">
        <f t="shared" ca="1" si="32"/>
        <v/>
      </c>
      <c r="BO26" s="111" t="str">
        <f t="shared" ca="1" si="55"/>
        <v/>
      </c>
      <c r="BP26" s="34"/>
      <c r="BQ26" s="23"/>
      <c r="BZ26" s="60" cm="1">
        <f t="array" aca="1" ref="BZ26" ca="1">IFERROR(EOMONTH(EOMONTH(_xlfn._xlws.FILTER(Table1[Planned Start],(Table1[Category]=$E26)*(Table1[SBU]=$F$5)*(Table1[Execution Year]=$D26)*(Table1[Most curent]=TRUE)),0)-45,0)+1,"")</f>
        <v>44743</v>
      </c>
      <c r="CA26" s="60" cm="1">
        <f t="array" aca="1" ref="CA26" ca="1">IFERROR(EOMONTH(_xlfn._xlws.FILTER(Table1[Planned Award],(Table1[Category]=$E26)*(Table1[SBU]=$F$5)*(Table1[Most curent]=TRUE)*(Table1[Execution Year]=$D26)),0),"")</f>
        <v>44926</v>
      </c>
      <c r="CB26" s="60" t="str" cm="1">
        <f t="array" aca="1" ref="CB26" ca="1">IFERROR(EOMONTH(EOMONTH(_xlfn._xlws.FILTER(Table1[Current Phase End],(Table1[Category]=$E26)*(Table1[SBU]=$F$5)*(Table1[Most curent]=TRUE)*(Table1[Execution Year]=$D26)),0)-45,0)+1,"")</f>
        <v/>
      </c>
      <c r="CC26" s="60" cm="1">
        <f t="array" aca="1" ref="CC26" ca="1">IFERROR(EOMONTH(_xlfn._xlws.FILTER(Table1[Revised Award],(Table1[Category]=$E26)*(Table1[SBU]=$F$5)*(Table1[Most curent]=TRUE)*(Table1[Execution Year]=$D26)),0),"")</f>
        <v>31</v>
      </c>
      <c r="CD26" s="60">
        <f t="shared" ca="1" si="45"/>
        <v>44682</v>
      </c>
      <c r="CE26" s="60">
        <f t="shared" ca="1" si="46"/>
        <v>44742</v>
      </c>
    </row>
    <row r="27" spans="2:83" ht="15.6" thickTop="1" thickBot="1">
      <c r="B27" s="123">
        <f ca="1"/>
        <v>18</v>
      </c>
      <c r="C27" s="71">
        <f ca="1"/>
        <v>44805</v>
      </c>
      <c r="D27" s="35" t="str">
        <f ca="1"/>
        <v>FY23</v>
      </c>
      <c r="E27" s="35" t="str">
        <f ca="1"/>
        <v>Paper Products II</v>
      </c>
      <c r="F27" s="35" t="str">
        <f ca="1"/>
        <v>Exploratory</v>
      </c>
      <c r="G27" s="35">
        <f ca="1"/>
        <v>0</v>
      </c>
      <c r="H27" s="36">
        <f ca="1"/>
        <v>0</v>
      </c>
      <c r="I27" s="36">
        <f ca="1"/>
        <v>863000000</v>
      </c>
      <c r="J27" s="35" t="str">
        <f ca="1"/>
        <v>Yoshi</v>
      </c>
      <c r="K27" s="71" t="str">
        <f ca="1"/>
        <v/>
      </c>
      <c r="L27" s="71"/>
      <c r="M27" s="71"/>
      <c r="N27" s="34" t="str">
        <f t="shared" ca="1" si="43"/>
        <v/>
      </c>
      <c r="O27" s="111" t="str">
        <f t="shared" ca="1" si="44"/>
        <v/>
      </c>
      <c r="P27" s="34" t="str">
        <f t="shared" ca="1" si="0"/>
        <v/>
      </c>
      <c r="Q27" s="111" t="str">
        <f t="shared" ca="1" si="1"/>
        <v/>
      </c>
      <c r="R27" s="34" t="str">
        <f t="shared" ca="1" si="2"/>
        <v/>
      </c>
      <c r="S27" s="111" t="str">
        <f t="shared" ca="1" si="3"/>
        <v/>
      </c>
      <c r="T27" s="37" t="str">
        <f t="shared" ca="1" si="4"/>
        <v/>
      </c>
      <c r="U27" s="111" t="str">
        <f t="shared" ca="1" si="5"/>
        <v/>
      </c>
      <c r="V27" s="37" t="str">
        <f t="shared" ca="1" si="6"/>
        <v/>
      </c>
      <c r="W27" s="111" t="str">
        <f t="shared" ca="1" si="7"/>
        <v/>
      </c>
      <c r="X27" s="37" t="str">
        <f t="shared" ca="1" si="8"/>
        <v/>
      </c>
      <c r="Y27" s="111" t="str">
        <f t="shared" ca="1" si="9"/>
        <v/>
      </c>
      <c r="Z27" s="37" t="str">
        <f t="shared" ca="1" si="10"/>
        <v/>
      </c>
      <c r="AA27" s="111" t="str">
        <f t="shared" ca="1" si="11"/>
        <v/>
      </c>
      <c r="AB27" s="37" t="str">
        <f t="shared" ca="1" si="12"/>
        <v/>
      </c>
      <c r="AC27" s="111" t="str">
        <f t="shared" ca="1" si="13"/>
        <v/>
      </c>
      <c r="AD27" s="37">
        <f t="shared" ca="1" si="14"/>
        <v>3</v>
      </c>
      <c r="AE27" s="111">
        <f t="shared" ca="1" si="15"/>
        <v>3</v>
      </c>
      <c r="AF27" s="37">
        <f t="shared" ca="1" si="16"/>
        <v>3</v>
      </c>
      <c r="AG27" s="111">
        <f t="shared" ca="1" si="17"/>
        <v>3</v>
      </c>
      <c r="AH27" s="37">
        <f t="shared" ca="1" si="18"/>
        <v>1</v>
      </c>
      <c r="AI27" s="111">
        <f t="shared" ca="1" si="19"/>
        <v>1</v>
      </c>
      <c r="AJ27" s="37">
        <f t="shared" ca="1" si="20"/>
        <v>1</v>
      </c>
      <c r="AK27" s="111">
        <f t="shared" ca="1" si="21"/>
        <v>1</v>
      </c>
      <c r="AL27" s="37">
        <f t="shared" ca="1" si="22"/>
        <v>1</v>
      </c>
      <c r="AM27" s="111">
        <f t="shared" ca="1" si="23"/>
        <v>1</v>
      </c>
      <c r="AN27" s="37">
        <f t="shared" ca="1" si="24"/>
        <v>1</v>
      </c>
      <c r="AO27" s="111">
        <f t="shared" ca="1" si="25"/>
        <v>1</v>
      </c>
      <c r="AP27" s="37" t="str">
        <f t="shared" ca="1" si="26"/>
        <v/>
      </c>
      <c r="AQ27" s="111" t="str">
        <f t="shared" ca="1" si="27"/>
        <v/>
      </c>
      <c r="AR27" s="37" t="str">
        <f t="shared" ca="1" si="28"/>
        <v/>
      </c>
      <c r="AS27" s="111" t="str">
        <f t="shared" ca="1" si="29"/>
        <v/>
      </c>
      <c r="AT27" s="37" t="str">
        <f t="shared" ca="1" si="30"/>
        <v/>
      </c>
      <c r="AU27" s="111" t="str">
        <f t="shared" ca="1" si="31"/>
        <v/>
      </c>
      <c r="AV27" s="37" t="str">
        <f t="shared" ca="1" si="32"/>
        <v/>
      </c>
      <c r="AW27" s="111" t="str">
        <f t="shared" ca="1" si="33"/>
        <v/>
      </c>
      <c r="AX27" s="37" t="str">
        <f t="shared" ca="1" si="32"/>
        <v/>
      </c>
      <c r="AY27" s="111" t="str">
        <f t="shared" ca="1" si="47"/>
        <v/>
      </c>
      <c r="AZ27" s="37" t="str">
        <f t="shared" ca="1" si="32"/>
        <v/>
      </c>
      <c r="BA27" s="111" t="str">
        <f t="shared" ca="1" si="48"/>
        <v/>
      </c>
      <c r="BB27" s="37" t="str">
        <f t="shared" ca="1" si="32"/>
        <v/>
      </c>
      <c r="BC27" s="111" t="str">
        <f t="shared" ca="1" si="49"/>
        <v/>
      </c>
      <c r="BD27" s="37" t="str">
        <f t="shared" ca="1" si="32"/>
        <v/>
      </c>
      <c r="BE27" s="111" t="str">
        <f t="shared" ca="1" si="50"/>
        <v/>
      </c>
      <c r="BF27" s="37" t="str">
        <f t="shared" ca="1" si="32"/>
        <v/>
      </c>
      <c r="BG27" s="111" t="str">
        <f t="shared" ca="1" si="51"/>
        <v/>
      </c>
      <c r="BH27" s="37" t="str">
        <f t="shared" ca="1" si="32"/>
        <v/>
      </c>
      <c r="BI27" s="111" t="str">
        <f t="shared" ca="1" si="52"/>
        <v/>
      </c>
      <c r="BJ27" s="37" t="str">
        <f t="shared" ca="1" si="32"/>
        <v/>
      </c>
      <c r="BK27" s="111" t="str">
        <f t="shared" ca="1" si="53"/>
        <v/>
      </c>
      <c r="BL27" s="37" t="str">
        <f t="shared" ca="1" si="32"/>
        <v/>
      </c>
      <c r="BM27" s="111" t="str">
        <f t="shared" ca="1" si="54"/>
        <v/>
      </c>
      <c r="BN27" s="37" t="str">
        <f t="shared" ca="1" si="32"/>
        <v/>
      </c>
      <c r="BO27" s="111" t="str">
        <f t="shared" ca="1" si="55"/>
        <v/>
      </c>
      <c r="BP27" s="34"/>
      <c r="BQ27" s="23"/>
      <c r="BZ27" s="60" cm="1">
        <f t="array" aca="1" ref="BZ27" ca="1">IFERROR(EOMONTH(EOMONTH(_xlfn._xlws.FILTER(Table1[Planned Start],(Table1[Category]=$E27)*(Table1[SBU]=$F$5)*(Table1[Execution Year]=$D27)*(Table1[Most curent]=TRUE)),0)-45,0)+1,"")</f>
        <v>44805</v>
      </c>
      <c r="CA27" s="60" cm="1">
        <f t="array" aca="1" ref="CA27" ca="1">IFERROR(EOMONTH(_xlfn._xlws.FILTER(Table1[Planned Award],(Table1[Category]=$E27)*(Table1[SBU]=$F$5)*(Table1[Most curent]=TRUE)*(Table1[Execution Year]=$D27)),0),"")</f>
        <v>44926</v>
      </c>
      <c r="CB27" s="60" t="str" cm="1">
        <f t="array" aca="1" ref="CB27" ca="1">IFERROR(EOMONTH(EOMONTH(_xlfn._xlws.FILTER(Table1[Current Phase End],(Table1[Category]=$E27)*(Table1[SBU]=$F$5)*(Table1[Most curent]=TRUE)*(Table1[Execution Year]=$D27)),0)-45,0)+1,"")</f>
        <v/>
      </c>
      <c r="CC27" s="60" cm="1">
        <f t="array" aca="1" ref="CC27" ca="1">IFERROR(EOMONTH(_xlfn._xlws.FILTER(Table1[Revised Award],(Table1[Category]=$E27)*(Table1[SBU]=$F$5)*(Table1[Most curent]=TRUE)*(Table1[Execution Year]=$D27)),0),"")</f>
        <v>31</v>
      </c>
      <c r="CD27" s="60">
        <f t="shared" ca="1" si="45"/>
        <v>44743</v>
      </c>
      <c r="CE27" s="60">
        <f t="shared" ca="1" si="46"/>
        <v>44804</v>
      </c>
    </row>
    <row r="28" spans="2:83" ht="15.6" thickTop="1" thickBot="1">
      <c r="B28" s="123">
        <f ca="1"/>
        <v>19</v>
      </c>
      <c r="C28" s="71">
        <f ca="1"/>
        <v>44835</v>
      </c>
      <c r="D28" s="35" t="str">
        <f ca="1"/>
        <v>FY23</v>
      </c>
      <c r="E28" s="35" t="str">
        <f ca="1"/>
        <v>Baby Wipes</v>
      </c>
      <c r="F28" s="35" t="str">
        <f ca="1"/>
        <v>Exploratory</v>
      </c>
      <c r="G28" s="35">
        <f ca="1"/>
        <v>0</v>
      </c>
      <c r="H28" s="36">
        <f ca="1"/>
        <v>0</v>
      </c>
      <c r="I28" s="36">
        <f ca="1"/>
        <v>184000000</v>
      </c>
      <c r="J28" s="35" t="str">
        <f ca="1"/>
        <v>Kendra</v>
      </c>
      <c r="K28" s="71" t="str">
        <f ca="1"/>
        <v/>
      </c>
      <c r="L28" s="71"/>
      <c r="M28" s="71"/>
      <c r="N28" s="34" t="str">
        <f t="shared" ca="1" si="43"/>
        <v/>
      </c>
      <c r="O28" s="111" t="str">
        <f t="shared" ca="1" si="44"/>
        <v/>
      </c>
      <c r="P28" s="34" t="str">
        <f t="shared" ca="1" si="0"/>
        <v/>
      </c>
      <c r="Q28" s="111" t="str">
        <f t="shared" ca="1" si="1"/>
        <v/>
      </c>
      <c r="R28" s="34" t="str">
        <f t="shared" ca="1" si="2"/>
        <v/>
      </c>
      <c r="S28" s="111" t="str">
        <f t="shared" ca="1" si="3"/>
        <v/>
      </c>
      <c r="T28" s="37" t="str">
        <f t="shared" ca="1" si="4"/>
        <v/>
      </c>
      <c r="U28" s="111" t="str">
        <f t="shared" ca="1" si="5"/>
        <v/>
      </c>
      <c r="V28" s="37" t="str">
        <f t="shared" ca="1" si="6"/>
        <v/>
      </c>
      <c r="W28" s="111" t="str">
        <f t="shared" ca="1" si="7"/>
        <v/>
      </c>
      <c r="X28" s="37" t="str">
        <f t="shared" ca="1" si="8"/>
        <v/>
      </c>
      <c r="Y28" s="111" t="str">
        <f t="shared" ca="1" si="9"/>
        <v/>
      </c>
      <c r="Z28" s="37" t="str">
        <f t="shared" ca="1" si="10"/>
        <v/>
      </c>
      <c r="AA28" s="111" t="str">
        <f t="shared" ca="1" si="11"/>
        <v/>
      </c>
      <c r="AB28" s="37" t="str">
        <f t="shared" ca="1" si="12"/>
        <v/>
      </c>
      <c r="AC28" s="111" t="str">
        <f t="shared" ca="1" si="13"/>
        <v/>
      </c>
      <c r="AD28" s="37" t="str">
        <f t="shared" ca="1" si="14"/>
        <v/>
      </c>
      <c r="AE28" s="111" t="str">
        <f t="shared" ca="1" si="15"/>
        <v/>
      </c>
      <c r="AF28" s="37">
        <f t="shared" ca="1" si="16"/>
        <v>3</v>
      </c>
      <c r="AG28" s="111">
        <f t="shared" ca="1" si="17"/>
        <v>3</v>
      </c>
      <c r="AH28" s="37">
        <f t="shared" ca="1" si="18"/>
        <v>3</v>
      </c>
      <c r="AI28" s="111">
        <f t="shared" ca="1" si="19"/>
        <v>3</v>
      </c>
      <c r="AJ28" s="37">
        <f t="shared" ca="1" si="20"/>
        <v>1</v>
      </c>
      <c r="AK28" s="111">
        <f t="shared" ca="1" si="21"/>
        <v>1</v>
      </c>
      <c r="AL28" s="37">
        <f t="shared" ca="1" si="22"/>
        <v>1</v>
      </c>
      <c r="AM28" s="111">
        <f t="shared" ca="1" si="23"/>
        <v>1</v>
      </c>
      <c r="AN28" s="37">
        <f t="shared" ca="1" si="24"/>
        <v>1</v>
      </c>
      <c r="AO28" s="111">
        <f t="shared" ca="1" si="25"/>
        <v>1</v>
      </c>
      <c r="AP28" s="37" t="str">
        <f t="shared" ca="1" si="26"/>
        <v/>
      </c>
      <c r="AQ28" s="111" t="str">
        <f t="shared" ca="1" si="27"/>
        <v/>
      </c>
      <c r="AR28" s="37" t="str">
        <f t="shared" ca="1" si="28"/>
        <v/>
      </c>
      <c r="AS28" s="111" t="str">
        <f t="shared" ca="1" si="29"/>
        <v/>
      </c>
      <c r="AT28" s="37" t="str">
        <f t="shared" ca="1" si="30"/>
        <v/>
      </c>
      <c r="AU28" s="111" t="str">
        <f t="shared" ca="1" si="31"/>
        <v/>
      </c>
      <c r="AV28" s="37" t="str">
        <f t="shared" ca="1" si="32"/>
        <v/>
      </c>
      <c r="AW28" s="111" t="str">
        <f t="shared" ca="1" si="33"/>
        <v/>
      </c>
      <c r="AX28" s="37" t="str">
        <f t="shared" ca="1" si="32"/>
        <v/>
      </c>
      <c r="AY28" s="111" t="str">
        <f t="shared" ca="1" si="47"/>
        <v/>
      </c>
      <c r="AZ28" s="37" t="str">
        <f t="shared" ca="1" si="32"/>
        <v/>
      </c>
      <c r="BA28" s="111" t="str">
        <f t="shared" ca="1" si="48"/>
        <v/>
      </c>
      <c r="BB28" s="37" t="str">
        <f t="shared" ca="1" si="32"/>
        <v/>
      </c>
      <c r="BC28" s="111" t="str">
        <f t="shared" ca="1" si="49"/>
        <v/>
      </c>
      <c r="BD28" s="37" t="str">
        <f t="shared" ca="1" si="32"/>
        <v/>
      </c>
      <c r="BE28" s="111" t="str">
        <f t="shared" ca="1" si="50"/>
        <v/>
      </c>
      <c r="BF28" s="37" t="str">
        <f t="shared" ca="1" si="32"/>
        <v/>
      </c>
      <c r="BG28" s="111" t="str">
        <f t="shared" ca="1" si="51"/>
        <v/>
      </c>
      <c r="BH28" s="37" t="str">
        <f t="shared" ca="1" si="32"/>
        <v/>
      </c>
      <c r="BI28" s="111" t="str">
        <f t="shared" ca="1" si="52"/>
        <v/>
      </c>
      <c r="BJ28" s="37" t="str">
        <f t="shared" ca="1" si="32"/>
        <v/>
      </c>
      <c r="BK28" s="111" t="str">
        <f t="shared" ca="1" si="53"/>
        <v/>
      </c>
      <c r="BL28" s="37" t="str">
        <f t="shared" ca="1" si="32"/>
        <v/>
      </c>
      <c r="BM28" s="111" t="str">
        <f t="shared" ca="1" si="54"/>
        <v/>
      </c>
      <c r="BN28" s="37" t="str">
        <f t="shared" ca="1" si="32"/>
        <v/>
      </c>
      <c r="BO28" s="111" t="str">
        <f t="shared" ca="1" si="55"/>
        <v/>
      </c>
      <c r="BP28" s="34"/>
      <c r="BQ28" s="23"/>
      <c r="BZ28" s="60" cm="1">
        <f t="array" aca="1" ref="BZ28" ca="1">IFERROR(EOMONTH(EOMONTH(_xlfn._xlws.FILTER(Table1[Planned Start],(Table1[Category]=$E28)*(Table1[SBU]=$F$5)*(Table1[Execution Year]=$D28)*(Table1[Most curent]=TRUE)),0)-45,0)+1,"")</f>
        <v>44835</v>
      </c>
      <c r="CA28" s="60" cm="1">
        <f t="array" aca="1" ref="CA28" ca="1">IFERROR(EOMONTH(_xlfn._xlws.FILTER(Table1[Planned Award],(Table1[Category]=$E28)*(Table1[SBU]=$F$5)*(Table1[Most curent]=TRUE)*(Table1[Execution Year]=$D28)),0),"")</f>
        <v>44926</v>
      </c>
      <c r="CB28" s="60" t="str" cm="1">
        <f t="array" aca="1" ref="CB28" ca="1">IFERROR(EOMONTH(EOMONTH(_xlfn._xlws.FILTER(Table1[Current Phase End],(Table1[Category]=$E28)*(Table1[SBU]=$F$5)*(Table1[Most curent]=TRUE)*(Table1[Execution Year]=$D28)),0)-45,0)+1,"")</f>
        <v/>
      </c>
      <c r="CC28" s="60" cm="1">
        <f t="array" aca="1" ref="CC28" ca="1">IFERROR(EOMONTH(_xlfn._xlws.FILTER(Table1[Revised Award],(Table1[Category]=$E28)*(Table1[SBU]=$F$5)*(Table1[Most curent]=TRUE)*(Table1[Execution Year]=$D28)),0),"")</f>
        <v>31</v>
      </c>
      <c r="CD28" s="60">
        <f t="shared" ca="1" si="45"/>
        <v>44774</v>
      </c>
      <c r="CE28" s="60">
        <f t="shared" ca="1" si="46"/>
        <v>44834</v>
      </c>
    </row>
    <row r="29" spans="2:83" ht="15.6" thickTop="1" thickBot="1">
      <c r="B29" s="123">
        <f ca="1"/>
        <v>20</v>
      </c>
      <c r="C29" s="71">
        <f ca="1"/>
        <v>44835</v>
      </c>
      <c r="D29" s="35" t="str">
        <f ca="1"/>
        <v>FY23</v>
      </c>
      <c r="E29" s="35" t="str">
        <f ca="1"/>
        <v>Diapers II</v>
      </c>
      <c r="F29" s="35" t="str">
        <f ca="1"/>
        <v>Exploratory</v>
      </c>
      <c r="G29" s="35">
        <f ca="1"/>
        <v>0</v>
      </c>
      <c r="H29" s="36">
        <f ca="1"/>
        <v>0</v>
      </c>
      <c r="I29" s="36">
        <f ca="1"/>
        <v>184000000</v>
      </c>
      <c r="J29" s="35" t="str">
        <f ca="1"/>
        <v>Yoshi</v>
      </c>
      <c r="K29" s="71" t="str">
        <f ca="1"/>
        <v/>
      </c>
      <c r="L29" s="71"/>
      <c r="M29" s="71"/>
      <c r="N29" s="34" t="str">
        <f t="shared" ca="1" si="43"/>
        <v/>
      </c>
      <c r="O29" s="111" t="str">
        <f t="shared" ca="1" si="44"/>
        <v/>
      </c>
      <c r="P29" s="34" t="str">
        <f t="shared" ca="1" si="0"/>
        <v/>
      </c>
      <c r="Q29" s="111" t="str">
        <f t="shared" ca="1" si="1"/>
        <v/>
      </c>
      <c r="R29" s="34" t="str">
        <f t="shared" ca="1" si="2"/>
        <v/>
      </c>
      <c r="S29" s="111" t="str">
        <f t="shared" ca="1" si="3"/>
        <v/>
      </c>
      <c r="T29" s="37" t="str">
        <f t="shared" ca="1" si="4"/>
        <v/>
      </c>
      <c r="U29" s="111" t="str">
        <f t="shared" ca="1" si="5"/>
        <v/>
      </c>
      <c r="V29" s="37" t="str">
        <f t="shared" ca="1" si="6"/>
        <v/>
      </c>
      <c r="W29" s="111" t="str">
        <f t="shared" ca="1" si="7"/>
        <v/>
      </c>
      <c r="X29" s="37" t="str">
        <f t="shared" ca="1" si="8"/>
        <v/>
      </c>
      <c r="Y29" s="111" t="str">
        <f t="shared" ca="1" si="9"/>
        <v/>
      </c>
      <c r="Z29" s="37" t="str">
        <f t="shared" ca="1" si="10"/>
        <v/>
      </c>
      <c r="AA29" s="111" t="str">
        <f t="shared" ca="1" si="11"/>
        <v/>
      </c>
      <c r="AB29" s="37" t="str">
        <f t="shared" ca="1" si="12"/>
        <v/>
      </c>
      <c r="AC29" s="111" t="str">
        <f t="shared" ca="1" si="13"/>
        <v/>
      </c>
      <c r="AD29" s="37" t="str">
        <f t="shared" ca="1" si="14"/>
        <v/>
      </c>
      <c r="AE29" s="111" t="str">
        <f t="shared" ca="1" si="15"/>
        <v/>
      </c>
      <c r="AF29" s="37">
        <f t="shared" ca="1" si="16"/>
        <v>3</v>
      </c>
      <c r="AG29" s="111">
        <f t="shared" ca="1" si="17"/>
        <v>3</v>
      </c>
      <c r="AH29" s="37">
        <f t="shared" ca="1" si="18"/>
        <v>3</v>
      </c>
      <c r="AI29" s="111">
        <f t="shared" ca="1" si="19"/>
        <v>3</v>
      </c>
      <c r="AJ29" s="37">
        <f t="shared" ca="1" si="20"/>
        <v>1</v>
      </c>
      <c r="AK29" s="111">
        <f t="shared" ca="1" si="21"/>
        <v>1</v>
      </c>
      <c r="AL29" s="37">
        <f t="shared" ca="1" si="22"/>
        <v>1</v>
      </c>
      <c r="AM29" s="111">
        <f t="shared" ca="1" si="23"/>
        <v>1</v>
      </c>
      <c r="AN29" s="37">
        <f t="shared" ca="1" si="24"/>
        <v>1</v>
      </c>
      <c r="AO29" s="111">
        <f t="shared" ca="1" si="25"/>
        <v>1</v>
      </c>
      <c r="AP29" s="37" t="str">
        <f t="shared" ca="1" si="26"/>
        <v/>
      </c>
      <c r="AQ29" s="111" t="str">
        <f t="shared" ca="1" si="27"/>
        <v/>
      </c>
      <c r="AR29" s="37" t="str">
        <f t="shared" ca="1" si="28"/>
        <v/>
      </c>
      <c r="AS29" s="111" t="str">
        <f t="shared" ca="1" si="29"/>
        <v/>
      </c>
      <c r="AT29" s="37" t="str">
        <f t="shared" ca="1" si="30"/>
        <v/>
      </c>
      <c r="AU29" s="111" t="str">
        <f t="shared" ca="1" si="31"/>
        <v/>
      </c>
      <c r="AV29" s="37" t="str">
        <f t="shared" ca="1" si="32"/>
        <v/>
      </c>
      <c r="AW29" s="111" t="str">
        <f t="shared" ca="1" si="33"/>
        <v/>
      </c>
      <c r="AX29" s="37" t="str">
        <f t="shared" ca="1" si="32"/>
        <v/>
      </c>
      <c r="AY29" s="111" t="str">
        <f t="shared" ca="1" si="47"/>
        <v/>
      </c>
      <c r="AZ29" s="37" t="str">
        <f t="shared" ca="1" si="32"/>
        <v/>
      </c>
      <c r="BA29" s="111" t="str">
        <f t="shared" ca="1" si="48"/>
        <v/>
      </c>
      <c r="BB29" s="37" t="str">
        <f t="shared" ca="1" si="32"/>
        <v/>
      </c>
      <c r="BC29" s="111" t="str">
        <f t="shared" ca="1" si="49"/>
        <v/>
      </c>
      <c r="BD29" s="37" t="str">
        <f t="shared" ca="1" si="32"/>
        <v/>
      </c>
      <c r="BE29" s="111" t="str">
        <f t="shared" ca="1" si="50"/>
        <v/>
      </c>
      <c r="BF29" s="37" t="str">
        <f t="shared" ca="1" si="32"/>
        <v/>
      </c>
      <c r="BG29" s="111" t="str">
        <f t="shared" ca="1" si="51"/>
        <v/>
      </c>
      <c r="BH29" s="37" t="str">
        <f t="shared" ca="1" si="32"/>
        <v/>
      </c>
      <c r="BI29" s="111" t="str">
        <f t="shared" ca="1" si="52"/>
        <v/>
      </c>
      <c r="BJ29" s="37" t="str">
        <f t="shared" ca="1" si="32"/>
        <v/>
      </c>
      <c r="BK29" s="111" t="str">
        <f t="shared" ca="1" si="53"/>
        <v/>
      </c>
      <c r="BL29" s="37" t="str">
        <f t="shared" ca="1" si="32"/>
        <v/>
      </c>
      <c r="BM29" s="111" t="str">
        <f t="shared" ca="1" si="54"/>
        <v/>
      </c>
      <c r="BN29" s="37" t="str">
        <f t="shared" ca="1" si="32"/>
        <v/>
      </c>
      <c r="BO29" s="111" t="str">
        <f t="shared" ca="1" si="55"/>
        <v/>
      </c>
      <c r="BP29" s="34"/>
      <c r="BQ29" s="23"/>
      <c r="BZ29" s="60" cm="1">
        <f t="array" aca="1" ref="BZ29" ca="1">IFERROR(EOMONTH(EOMONTH(_xlfn._xlws.FILTER(Table1[Planned Start],(Table1[Category]=$E29)*(Table1[SBU]=$F$5)*(Table1[Execution Year]=$D29)*(Table1[Most curent]=TRUE)),0)-45,0)+1,"")</f>
        <v>44835</v>
      </c>
      <c r="CA29" s="60" cm="1">
        <f t="array" aca="1" ref="CA29" ca="1">IFERROR(EOMONTH(_xlfn._xlws.FILTER(Table1[Planned Award],(Table1[Category]=$E29)*(Table1[SBU]=$F$5)*(Table1[Most curent]=TRUE)*(Table1[Execution Year]=$D29)),0),"")</f>
        <v>44926</v>
      </c>
      <c r="CB29" s="60" t="str" cm="1">
        <f t="array" aca="1" ref="CB29" ca="1">IFERROR(EOMONTH(EOMONTH(_xlfn._xlws.FILTER(Table1[Current Phase End],(Table1[Category]=$E29)*(Table1[SBU]=$F$5)*(Table1[Most curent]=TRUE)*(Table1[Execution Year]=$D29)),0)-45,0)+1,"")</f>
        <v/>
      </c>
      <c r="CC29" s="60" cm="1">
        <f t="array" aca="1" ref="CC29" ca="1">IFERROR(EOMONTH(_xlfn._xlws.FILTER(Table1[Revised Award],(Table1[Category]=$E29)*(Table1[SBU]=$F$5)*(Table1[Most curent]=TRUE)*(Table1[Execution Year]=$D29)),0),"")</f>
        <v>31</v>
      </c>
      <c r="CD29" s="60">
        <f t="shared" ca="1" si="45"/>
        <v>44774</v>
      </c>
      <c r="CE29" s="60">
        <f t="shared" ca="1" si="46"/>
        <v>44834</v>
      </c>
    </row>
    <row r="30" spans="2:83" ht="15.6" thickTop="1" thickBot="1">
      <c r="B30" s="123">
        <f ca="1"/>
        <v>21</v>
      </c>
      <c r="C30" s="71">
        <f ca="1"/>
        <v>44835</v>
      </c>
      <c r="D30" s="35" t="str">
        <f ca="1"/>
        <v>FY23</v>
      </c>
      <c r="E30" s="35" t="str">
        <f ca="1"/>
        <v>Dog treats and rawhides</v>
      </c>
      <c r="F30" s="35" t="str">
        <f ca="1"/>
        <v>Exploratory</v>
      </c>
      <c r="G30" s="35">
        <f ca="1"/>
        <v>0</v>
      </c>
      <c r="H30" s="36">
        <f ca="1"/>
        <v>0</v>
      </c>
      <c r="I30" s="36">
        <f ca="1"/>
        <v>216000000</v>
      </c>
      <c r="J30" s="35">
        <f ca="1"/>
        <v>0</v>
      </c>
      <c r="K30" s="71" t="str">
        <f ca="1"/>
        <v/>
      </c>
      <c r="L30" s="71"/>
      <c r="M30" s="71"/>
      <c r="N30" s="34" t="str">
        <f t="shared" ca="1" si="43"/>
        <v/>
      </c>
      <c r="O30" s="111" t="str">
        <f t="shared" ca="1" si="44"/>
        <v/>
      </c>
      <c r="P30" s="34" t="str">
        <f t="shared" ca="1" si="0"/>
        <v/>
      </c>
      <c r="Q30" s="111" t="str">
        <f t="shared" ca="1" si="1"/>
        <v/>
      </c>
      <c r="R30" s="34" t="str">
        <f t="shared" ca="1" si="2"/>
        <v/>
      </c>
      <c r="S30" s="111" t="str">
        <f t="shared" ca="1" si="3"/>
        <v/>
      </c>
      <c r="T30" s="37" t="str">
        <f t="shared" ca="1" si="4"/>
        <v/>
      </c>
      <c r="U30" s="111" t="str">
        <f t="shared" ca="1" si="5"/>
        <v/>
      </c>
      <c r="V30" s="37" t="str">
        <f t="shared" ca="1" si="6"/>
        <v/>
      </c>
      <c r="W30" s="111" t="str">
        <f t="shared" ca="1" si="7"/>
        <v/>
      </c>
      <c r="X30" s="37" t="str">
        <f t="shared" ca="1" si="8"/>
        <v/>
      </c>
      <c r="Y30" s="111" t="str">
        <f t="shared" ca="1" si="9"/>
        <v/>
      </c>
      <c r="Z30" s="37" t="str">
        <f t="shared" ca="1" si="10"/>
        <v/>
      </c>
      <c r="AA30" s="111" t="str">
        <f t="shared" ca="1" si="11"/>
        <v/>
      </c>
      <c r="AB30" s="37" t="str">
        <f t="shared" ca="1" si="12"/>
        <v/>
      </c>
      <c r="AC30" s="111" t="str">
        <f t="shared" ca="1" si="13"/>
        <v/>
      </c>
      <c r="AD30" s="37" t="str">
        <f t="shared" ca="1" si="14"/>
        <v/>
      </c>
      <c r="AE30" s="111" t="str">
        <f t="shared" ca="1" si="15"/>
        <v/>
      </c>
      <c r="AF30" s="37">
        <f t="shared" ca="1" si="16"/>
        <v>3</v>
      </c>
      <c r="AG30" s="111">
        <f t="shared" ca="1" si="17"/>
        <v>3</v>
      </c>
      <c r="AH30" s="37">
        <f t="shared" ca="1" si="18"/>
        <v>3</v>
      </c>
      <c r="AI30" s="111">
        <f t="shared" ca="1" si="19"/>
        <v>3</v>
      </c>
      <c r="AJ30" s="37">
        <f t="shared" ca="1" si="20"/>
        <v>1</v>
      </c>
      <c r="AK30" s="111">
        <f t="shared" ca="1" si="21"/>
        <v>1</v>
      </c>
      <c r="AL30" s="37">
        <f t="shared" ca="1" si="22"/>
        <v>1</v>
      </c>
      <c r="AM30" s="111">
        <f t="shared" ca="1" si="23"/>
        <v>1</v>
      </c>
      <c r="AN30" s="37">
        <f t="shared" ca="1" si="24"/>
        <v>1</v>
      </c>
      <c r="AO30" s="111">
        <f t="shared" ca="1" si="25"/>
        <v>1</v>
      </c>
      <c r="AP30" s="37" t="str">
        <f t="shared" ca="1" si="26"/>
        <v/>
      </c>
      <c r="AQ30" s="111" t="str">
        <f t="shared" ca="1" si="27"/>
        <v/>
      </c>
      <c r="AR30" s="37" t="str">
        <f t="shared" ca="1" si="28"/>
        <v/>
      </c>
      <c r="AS30" s="111" t="str">
        <f t="shared" ca="1" si="29"/>
        <v/>
      </c>
      <c r="AT30" s="37" t="str">
        <f t="shared" ca="1" si="30"/>
        <v/>
      </c>
      <c r="AU30" s="111" t="str">
        <f t="shared" ca="1" si="31"/>
        <v/>
      </c>
      <c r="AV30" s="37" t="str">
        <f t="shared" ca="1" si="32"/>
        <v/>
      </c>
      <c r="AW30" s="111" t="str">
        <f t="shared" ca="1" si="33"/>
        <v/>
      </c>
      <c r="AX30" s="37" t="str">
        <f t="shared" ca="1" si="32"/>
        <v/>
      </c>
      <c r="AY30" s="111" t="str">
        <f t="shared" ca="1" si="47"/>
        <v/>
      </c>
      <c r="AZ30" s="37" t="str">
        <f t="shared" ca="1" si="32"/>
        <v/>
      </c>
      <c r="BA30" s="111" t="str">
        <f t="shared" ca="1" si="48"/>
        <v/>
      </c>
      <c r="BB30" s="37" t="str">
        <f t="shared" ca="1" si="32"/>
        <v/>
      </c>
      <c r="BC30" s="111" t="str">
        <f t="shared" ca="1" si="49"/>
        <v/>
      </c>
      <c r="BD30" s="37" t="str">
        <f t="shared" ca="1" si="32"/>
        <v/>
      </c>
      <c r="BE30" s="111" t="str">
        <f t="shared" ca="1" si="50"/>
        <v/>
      </c>
      <c r="BF30" s="37" t="str">
        <f t="shared" ca="1" si="32"/>
        <v/>
      </c>
      <c r="BG30" s="111" t="str">
        <f t="shared" ca="1" si="51"/>
        <v/>
      </c>
      <c r="BH30" s="37" t="str">
        <f t="shared" ca="1" si="32"/>
        <v/>
      </c>
      <c r="BI30" s="111" t="str">
        <f t="shared" ca="1" si="52"/>
        <v/>
      </c>
      <c r="BJ30" s="37" t="str">
        <f t="shared" ca="1" si="32"/>
        <v/>
      </c>
      <c r="BK30" s="111" t="str">
        <f t="shared" ca="1" si="53"/>
        <v/>
      </c>
      <c r="BL30" s="37" t="str">
        <f t="shared" ca="1" si="32"/>
        <v/>
      </c>
      <c r="BM30" s="111" t="str">
        <f t="shared" ca="1" si="54"/>
        <v/>
      </c>
      <c r="BN30" s="37" t="str">
        <f t="shared" ca="1" si="32"/>
        <v/>
      </c>
      <c r="BO30" s="111" t="str">
        <f t="shared" ca="1" si="55"/>
        <v/>
      </c>
      <c r="BP30" s="34"/>
      <c r="BQ30" s="23"/>
      <c r="BZ30" s="60" cm="1">
        <f t="array" aca="1" ref="BZ30" ca="1">IFERROR(EOMONTH(EOMONTH(_xlfn._xlws.FILTER(Table1[Planned Start],(Table1[Category]=$E30)*(Table1[SBU]=$F$5)*(Table1[Execution Year]=$D30)*(Table1[Most curent]=TRUE)),0)-45,0)+1,"")</f>
        <v>44835</v>
      </c>
      <c r="CA30" s="60" cm="1">
        <f t="array" aca="1" ref="CA30" ca="1">IFERROR(EOMONTH(_xlfn._xlws.FILTER(Table1[Planned Award],(Table1[Category]=$E30)*(Table1[SBU]=$F$5)*(Table1[Most curent]=TRUE)*(Table1[Execution Year]=$D30)),0),"")</f>
        <v>44926</v>
      </c>
      <c r="CB30" s="60" t="str" cm="1">
        <f t="array" aca="1" ref="CB30" ca="1">IFERROR(EOMONTH(EOMONTH(_xlfn._xlws.FILTER(Table1[Current Phase End],(Table1[Category]=$E30)*(Table1[SBU]=$F$5)*(Table1[Most curent]=TRUE)*(Table1[Execution Year]=$D30)),0)-45,0)+1,"")</f>
        <v/>
      </c>
      <c r="CC30" s="60" cm="1">
        <f t="array" aca="1" ref="CC30" ca="1">IFERROR(EOMONTH(_xlfn._xlws.FILTER(Table1[Revised Award],(Table1[Category]=$E30)*(Table1[SBU]=$F$5)*(Table1[Most curent]=TRUE)*(Table1[Execution Year]=$D30)),0),"")</f>
        <v>31</v>
      </c>
      <c r="CD30" s="60">
        <f t="shared" ca="1" si="45"/>
        <v>44774</v>
      </c>
      <c r="CE30" s="60">
        <f t="shared" ca="1" si="46"/>
        <v>44834</v>
      </c>
    </row>
    <row r="31" spans="2:83" ht="15.6" thickTop="1" thickBot="1">
      <c r="B31" s="123"/>
      <c r="C31" s="71"/>
      <c r="D31" s="35"/>
      <c r="E31" s="35"/>
      <c r="F31" s="35"/>
      <c r="G31" s="35"/>
      <c r="H31" s="36"/>
      <c r="I31" s="36"/>
      <c r="J31" s="35"/>
      <c r="K31" s="71"/>
      <c r="L31" s="71"/>
      <c r="M31" s="71"/>
      <c r="N31" s="34" t="str">
        <f t="shared" si="43"/>
        <v/>
      </c>
      <c r="O31" s="111" t="str">
        <f t="shared" si="44"/>
        <v/>
      </c>
      <c r="P31" s="34" t="str">
        <f t="shared" si="0"/>
        <v/>
      </c>
      <c r="Q31" s="111" t="str">
        <f t="shared" si="1"/>
        <v/>
      </c>
      <c r="R31" s="34" t="str">
        <f t="shared" si="2"/>
        <v/>
      </c>
      <c r="S31" s="111" t="str">
        <f t="shared" si="3"/>
        <v/>
      </c>
      <c r="T31" s="37" t="str">
        <f t="shared" si="4"/>
        <v/>
      </c>
      <c r="U31" s="111" t="str">
        <f t="shared" si="5"/>
        <v/>
      </c>
      <c r="V31" s="37" t="str">
        <f t="shared" si="6"/>
        <v/>
      </c>
      <c r="W31" s="111" t="str">
        <f t="shared" si="7"/>
        <v/>
      </c>
      <c r="X31" s="37" t="str">
        <f t="shared" si="8"/>
        <v/>
      </c>
      <c r="Y31" s="111" t="str">
        <f t="shared" si="9"/>
        <v/>
      </c>
      <c r="Z31" s="37" t="str">
        <f t="shared" si="10"/>
        <v/>
      </c>
      <c r="AA31" s="111" t="str">
        <f t="shared" si="11"/>
        <v/>
      </c>
      <c r="AB31" s="37" t="str">
        <f t="shared" si="12"/>
        <v/>
      </c>
      <c r="AC31" s="111" t="str">
        <f t="shared" si="13"/>
        <v/>
      </c>
      <c r="AD31" s="37" t="str">
        <f t="shared" si="14"/>
        <v/>
      </c>
      <c r="AE31" s="111" t="str">
        <f t="shared" si="15"/>
        <v/>
      </c>
      <c r="AF31" s="37" t="str">
        <f t="shared" si="16"/>
        <v/>
      </c>
      <c r="AG31" s="111" t="str">
        <f t="shared" si="17"/>
        <v/>
      </c>
      <c r="AH31" s="37" t="str">
        <f t="shared" si="18"/>
        <v/>
      </c>
      <c r="AI31" s="111" t="str">
        <f t="shared" si="19"/>
        <v/>
      </c>
      <c r="AJ31" s="37" t="str">
        <f t="shared" si="20"/>
        <v/>
      </c>
      <c r="AK31" s="111" t="str">
        <f t="shared" si="21"/>
        <v/>
      </c>
      <c r="AL31" s="37" t="str">
        <f t="shared" si="22"/>
        <v/>
      </c>
      <c r="AM31" s="111" t="str">
        <f t="shared" si="23"/>
        <v/>
      </c>
      <c r="AN31" s="37" t="str">
        <f t="shared" si="24"/>
        <v/>
      </c>
      <c r="AO31" s="111" t="str">
        <f t="shared" si="25"/>
        <v/>
      </c>
      <c r="AP31" s="37" t="str">
        <f t="shared" si="26"/>
        <v/>
      </c>
      <c r="AQ31" s="111" t="str">
        <f t="shared" si="27"/>
        <v/>
      </c>
      <c r="AR31" s="37" t="str">
        <f t="shared" si="28"/>
        <v/>
      </c>
      <c r="AS31" s="111" t="str">
        <f t="shared" si="29"/>
        <v/>
      </c>
      <c r="AT31" s="37" t="str">
        <f t="shared" si="30"/>
        <v/>
      </c>
      <c r="AU31" s="111" t="str">
        <f t="shared" si="31"/>
        <v/>
      </c>
      <c r="AV31" s="37" t="str">
        <f t="shared" si="32"/>
        <v/>
      </c>
      <c r="AW31" s="111" t="str">
        <f t="shared" si="33"/>
        <v/>
      </c>
      <c r="AX31" s="37" t="str">
        <f t="shared" si="32"/>
        <v/>
      </c>
      <c r="AY31" s="111" t="str">
        <f t="shared" si="47"/>
        <v/>
      </c>
      <c r="AZ31" s="37" t="str">
        <f t="shared" si="32"/>
        <v/>
      </c>
      <c r="BA31" s="111" t="str">
        <f t="shared" si="48"/>
        <v/>
      </c>
      <c r="BB31" s="37" t="str">
        <f t="shared" si="32"/>
        <v/>
      </c>
      <c r="BC31" s="111" t="str">
        <f t="shared" si="49"/>
        <v/>
      </c>
      <c r="BD31" s="37" t="str">
        <f t="shared" si="32"/>
        <v/>
      </c>
      <c r="BE31" s="111" t="str">
        <f t="shared" si="50"/>
        <v/>
      </c>
      <c r="BF31" s="37" t="str">
        <f t="shared" si="32"/>
        <v/>
      </c>
      <c r="BG31" s="111" t="str">
        <f t="shared" si="51"/>
        <v/>
      </c>
      <c r="BH31" s="37" t="str">
        <f t="shared" si="32"/>
        <v/>
      </c>
      <c r="BI31" s="111" t="str">
        <f t="shared" si="52"/>
        <v/>
      </c>
      <c r="BJ31" s="37" t="str">
        <f t="shared" si="32"/>
        <v/>
      </c>
      <c r="BK31" s="111" t="str">
        <f t="shared" si="53"/>
        <v/>
      </c>
      <c r="BL31" s="37" t="str">
        <f t="shared" si="32"/>
        <v/>
      </c>
      <c r="BM31" s="111" t="str">
        <f t="shared" si="54"/>
        <v/>
      </c>
      <c r="BN31" s="37" t="str">
        <f t="shared" si="32"/>
        <v/>
      </c>
      <c r="BO31" s="111" t="str">
        <f t="shared" si="55"/>
        <v/>
      </c>
      <c r="BP31" s="34"/>
      <c r="BQ31" s="23"/>
      <c r="BZ31" s="60" t="str" cm="1">
        <f t="array" ref="BZ31">IFERROR(EOMONTH(EOMONTH(_xlfn._xlws.FILTER(Table1[Planned Start],(Table1[Category]=$E31)*(Table1[SBU]=$F$5)*(Table1[Execution Year]=$D31)*(Table1[Most curent]=TRUE)),0)-45,0)+1,"")</f>
        <v/>
      </c>
      <c r="CA31" s="60" t="str" cm="1">
        <f t="array" ref="CA31">IFERROR(EOMONTH(_xlfn._xlws.FILTER(Table1[Planned Award],(Table1[Category]=$E31)*(Table1[SBU]=$F$5)*(Table1[Most curent]=TRUE)*(Table1[Execution Year]=$D31)),0),"")</f>
        <v/>
      </c>
      <c r="CB31" s="60" t="str" cm="1">
        <f t="array" ref="CB31">IFERROR(EOMONTH(EOMONTH(_xlfn._xlws.FILTER(Table1[Current Phase End],(Table1[Category]=$E31)*(Table1[SBU]=$F$5)*(Table1[Most curent]=TRUE)*(Table1[Execution Year]=$D31)),0)-45,0)+1,"")</f>
        <v/>
      </c>
      <c r="CC31" s="60" t="str" cm="1">
        <f t="array" ref="CC31">IFERROR(EOMONTH(_xlfn._xlws.FILTER(Table1[Revised Award],(Table1[Category]=$E31)*(Table1[SBU]=$F$5)*(Table1[Most curent]=TRUE)*(Table1[Execution Year]=$D31)),0),"")</f>
        <v/>
      </c>
      <c r="CD31" s="60" t="str">
        <f t="shared" si="45"/>
        <v/>
      </c>
      <c r="CE31" s="60" t="str">
        <f t="shared" si="46"/>
        <v/>
      </c>
    </row>
    <row r="32" spans="2:83" ht="15.6" thickTop="1" thickBot="1">
      <c r="B32" s="123"/>
      <c r="C32" s="71"/>
      <c r="D32" s="35"/>
      <c r="E32" s="35"/>
      <c r="F32" s="35"/>
      <c r="G32" s="35"/>
      <c r="H32" s="36"/>
      <c r="I32" s="36"/>
      <c r="J32" s="35"/>
      <c r="K32" s="71"/>
      <c r="L32" s="71"/>
      <c r="M32" s="71"/>
      <c r="N32" s="34" t="str">
        <f t="shared" si="43"/>
        <v/>
      </c>
      <c r="O32" s="111" t="str">
        <f t="shared" si="44"/>
        <v/>
      </c>
      <c r="P32" s="34" t="str">
        <f t="shared" si="0"/>
        <v/>
      </c>
      <c r="Q32" s="111" t="str">
        <f t="shared" si="1"/>
        <v/>
      </c>
      <c r="R32" s="34" t="str">
        <f t="shared" si="2"/>
        <v/>
      </c>
      <c r="S32" s="111" t="str">
        <f t="shared" si="3"/>
        <v/>
      </c>
      <c r="T32" s="37" t="str">
        <f t="shared" si="4"/>
        <v/>
      </c>
      <c r="U32" s="111" t="str">
        <f t="shared" si="5"/>
        <v/>
      </c>
      <c r="V32" s="37" t="str">
        <f t="shared" si="6"/>
        <v/>
      </c>
      <c r="W32" s="111" t="str">
        <f t="shared" si="7"/>
        <v/>
      </c>
      <c r="X32" s="37" t="str">
        <f t="shared" si="8"/>
        <v/>
      </c>
      <c r="Y32" s="111" t="str">
        <f t="shared" si="9"/>
        <v/>
      </c>
      <c r="Z32" s="37" t="str">
        <f t="shared" si="10"/>
        <v/>
      </c>
      <c r="AA32" s="111" t="str">
        <f t="shared" si="11"/>
        <v/>
      </c>
      <c r="AB32" s="37" t="str">
        <f t="shared" si="12"/>
        <v/>
      </c>
      <c r="AC32" s="111" t="str">
        <f t="shared" si="13"/>
        <v/>
      </c>
      <c r="AD32" s="37" t="str">
        <f t="shared" si="14"/>
        <v/>
      </c>
      <c r="AE32" s="111" t="str">
        <f t="shared" si="15"/>
        <v/>
      </c>
      <c r="AF32" s="37" t="str">
        <f t="shared" si="16"/>
        <v/>
      </c>
      <c r="AG32" s="111" t="str">
        <f t="shared" si="17"/>
        <v/>
      </c>
      <c r="AH32" s="37" t="str">
        <f t="shared" si="18"/>
        <v/>
      </c>
      <c r="AI32" s="111" t="str">
        <f t="shared" si="19"/>
        <v/>
      </c>
      <c r="AJ32" s="37" t="str">
        <f t="shared" si="20"/>
        <v/>
      </c>
      <c r="AK32" s="111" t="str">
        <f t="shared" si="21"/>
        <v/>
      </c>
      <c r="AL32" s="37" t="str">
        <f t="shared" si="22"/>
        <v/>
      </c>
      <c r="AM32" s="111" t="str">
        <f t="shared" si="23"/>
        <v/>
      </c>
      <c r="AN32" s="37" t="str">
        <f t="shared" si="24"/>
        <v/>
      </c>
      <c r="AO32" s="111" t="str">
        <f t="shared" si="25"/>
        <v/>
      </c>
      <c r="AP32" s="37" t="str">
        <f t="shared" si="26"/>
        <v/>
      </c>
      <c r="AQ32" s="111" t="str">
        <f t="shared" si="27"/>
        <v/>
      </c>
      <c r="AR32" s="37" t="str">
        <f t="shared" si="28"/>
        <v/>
      </c>
      <c r="AS32" s="111" t="str">
        <f t="shared" si="29"/>
        <v/>
      </c>
      <c r="AT32" s="37" t="str">
        <f t="shared" si="30"/>
        <v/>
      </c>
      <c r="AU32" s="111" t="str">
        <f t="shared" si="31"/>
        <v/>
      </c>
      <c r="AV32" s="37" t="str">
        <f t="shared" si="32"/>
        <v/>
      </c>
      <c r="AW32" s="111" t="str">
        <f t="shared" si="33"/>
        <v/>
      </c>
      <c r="AX32" s="37" t="str">
        <f t="shared" si="32"/>
        <v/>
      </c>
      <c r="AY32" s="111" t="str">
        <f t="shared" si="47"/>
        <v/>
      </c>
      <c r="AZ32" s="37" t="str">
        <f t="shared" si="32"/>
        <v/>
      </c>
      <c r="BA32" s="111" t="str">
        <f t="shared" si="48"/>
        <v/>
      </c>
      <c r="BB32" s="37" t="str">
        <f t="shared" si="32"/>
        <v/>
      </c>
      <c r="BC32" s="111" t="str">
        <f t="shared" si="49"/>
        <v/>
      </c>
      <c r="BD32" s="37" t="str">
        <f t="shared" si="32"/>
        <v/>
      </c>
      <c r="BE32" s="111" t="str">
        <f t="shared" si="50"/>
        <v/>
      </c>
      <c r="BF32" s="37" t="str">
        <f t="shared" ref="BF32:BN75" si="56">IFERROR(IF(AND(BF$7&gt;=$BZ32,BF$7&lt;$CA32),1,IF(AND(BF$7&gt;=$CB32,BF$7&lt;$CC32),2,IF(AND(BF$7&gt;=$CD32,BF$7&lt;=$CE32),3,""))),"")</f>
        <v/>
      </c>
      <c r="BG32" s="111" t="str">
        <f t="shared" si="51"/>
        <v/>
      </c>
      <c r="BH32" s="37" t="str">
        <f t="shared" si="56"/>
        <v/>
      </c>
      <c r="BI32" s="111" t="str">
        <f t="shared" si="52"/>
        <v/>
      </c>
      <c r="BJ32" s="37" t="str">
        <f t="shared" si="56"/>
        <v/>
      </c>
      <c r="BK32" s="111" t="str">
        <f t="shared" si="53"/>
        <v/>
      </c>
      <c r="BL32" s="37" t="str">
        <f t="shared" si="56"/>
        <v/>
      </c>
      <c r="BM32" s="111" t="str">
        <f t="shared" si="54"/>
        <v/>
      </c>
      <c r="BN32" s="37" t="str">
        <f t="shared" si="56"/>
        <v/>
      </c>
      <c r="BO32" s="111" t="str">
        <f t="shared" si="55"/>
        <v/>
      </c>
      <c r="BP32" s="34"/>
      <c r="BQ32" s="23"/>
      <c r="BZ32" s="60" t="str" cm="1">
        <f t="array" ref="BZ32">IFERROR(EOMONTH(EOMONTH(_xlfn._xlws.FILTER(Table1[Planned Start],(Table1[Category]=$E32)*(Table1[SBU]=$F$5)*(Table1[Execution Year]=$D32)*(Table1[Most curent]=TRUE)),0)-45,0)+1,"")</f>
        <v/>
      </c>
      <c r="CA32" s="60" t="str" cm="1">
        <f t="array" ref="CA32">IFERROR(EOMONTH(_xlfn._xlws.FILTER(Table1[Planned Award],(Table1[Category]=$E32)*(Table1[SBU]=$F$5)*(Table1[Most curent]=TRUE)*(Table1[Execution Year]=$D32)),0),"")</f>
        <v/>
      </c>
      <c r="CB32" s="60" t="str" cm="1">
        <f t="array" ref="CB32">IFERROR(EOMONTH(EOMONTH(_xlfn._xlws.FILTER(Table1[Current Phase End],(Table1[Category]=$E32)*(Table1[SBU]=$F$5)*(Table1[Most curent]=TRUE)*(Table1[Execution Year]=$D32)),0)-45,0)+1,"")</f>
        <v/>
      </c>
      <c r="CC32" s="60" t="str" cm="1">
        <f t="array" ref="CC32">IFERROR(EOMONTH(_xlfn._xlws.FILTER(Table1[Revised Award],(Table1[Category]=$E32)*(Table1[SBU]=$F$5)*(Table1[Most curent]=TRUE)*(Table1[Execution Year]=$D32)),0),"")</f>
        <v/>
      </c>
      <c r="CD32" s="60" t="str">
        <f t="shared" si="45"/>
        <v/>
      </c>
      <c r="CE32" s="60" t="str">
        <f t="shared" si="46"/>
        <v/>
      </c>
    </row>
    <row r="33" spans="2:83" ht="15.6" thickTop="1" thickBot="1">
      <c r="B33" s="123"/>
      <c r="C33" s="71"/>
      <c r="D33" s="35"/>
      <c r="E33" s="35"/>
      <c r="F33" s="35"/>
      <c r="G33" s="35"/>
      <c r="H33" s="36"/>
      <c r="I33" s="36"/>
      <c r="J33" s="35"/>
      <c r="K33" s="71"/>
      <c r="L33" s="71"/>
      <c r="M33" s="71"/>
      <c r="N33" s="34" t="str">
        <f t="shared" si="43"/>
        <v/>
      </c>
      <c r="O33" s="111" t="str">
        <f t="shared" si="44"/>
        <v/>
      </c>
      <c r="P33" s="34" t="str">
        <f t="shared" si="0"/>
        <v/>
      </c>
      <c r="Q33" s="111" t="str">
        <f t="shared" si="1"/>
        <v/>
      </c>
      <c r="R33" s="34" t="str">
        <f t="shared" si="2"/>
        <v/>
      </c>
      <c r="S33" s="111" t="str">
        <f t="shared" si="3"/>
        <v/>
      </c>
      <c r="T33" s="37" t="str">
        <f t="shared" si="4"/>
        <v/>
      </c>
      <c r="U33" s="111" t="str">
        <f t="shared" si="5"/>
        <v/>
      </c>
      <c r="V33" s="37" t="str">
        <f t="shared" si="6"/>
        <v/>
      </c>
      <c r="W33" s="111" t="str">
        <f t="shared" si="7"/>
        <v/>
      </c>
      <c r="X33" s="37" t="str">
        <f t="shared" si="8"/>
        <v/>
      </c>
      <c r="Y33" s="111" t="str">
        <f t="shared" si="9"/>
        <v/>
      </c>
      <c r="Z33" s="37" t="str">
        <f t="shared" si="10"/>
        <v/>
      </c>
      <c r="AA33" s="111" t="str">
        <f t="shared" si="11"/>
        <v/>
      </c>
      <c r="AB33" s="37" t="str">
        <f t="shared" si="12"/>
        <v/>
      </c>
      <c r="AC33" s="111" t="str">
        <f t="shared" si="13"/>
        <v/>
      </c>
      <c r="AD33" s="37" t="str">
        <f t="shared" si="14"/>
        <v/>
      </c>
      <c r="AE33" s="111" t="str">
        <f t="shared" si="15"/>
        <v/>
      </c>
      <c r="AF33" s="37" t="str">
        <f t="shared" si="16"/>
        <v/>
      </c>
      <c r="AG33" s="111" t="str">
        <f t="shared" si="17"/>
        <v/>
      </c>
      <c r="AH33" s="37" t="str">
        <f t="shared" si="18"/>
        <v/>
      </c>
      <c r="AI33" s="111" t="str">
        <f t="shared" si="19"/>
        <v/>
      </c>
      <c r="AJ33" s="37" t="str">
        <f t="shared" si="20"/>
        <v/>
      </c>
      <c r="AK33" s="111" t="str">
        <f t="shared" si="21"/>
        <v/>
      </c>
      <c r="AL33" s="37" t="str">
        <f t="shared" si="22"/>
        <v/>
      </c>
      <c r="AM33" s="111" t="str">
        <f t="shared" si="23"/>
        <v/>
      </c>
      <c r="AN33" s="37" t="str">
        <f t="shared" si="24"/>
        <v/>
      </c>
      <c r="AO33" s="111" t="str">
        <f t="shared" si="25"/>
        <v/>
      </c>
      <c r="AP33" s="37" t="str">
        <f t="shared" si="26"/>
        <v/>
      </c>
      <c r="AQ33" s="111" t="str">
        <f t="shared" si="27"/>
        <v/>
      </c>
      <c r="AR33" s="37" t="str">
        <f t="shared" si="28"/>
        <v/>
      </c>
      <c r="AS33" s="111" t="str">
        <f t="shared" si="29"/>
        <v/>
      </c>
      <c r="AT33" s="37" t="str">
        <f t="shared" si="30"/>
        <v/>
      </c>
      <c r="AU33" s="111" t="str">
        <f t="shared" si="31"/>
        <v/>
      </c>
      <c r="AV33" s="37" t="str">
        <f t="shared" si="32"/>
        <v/>
      </c>
      <c r="AW33" s="111" t="str">
        <f t="shared" si="33"/>
        <v/>
      </c>
      <c r="AX33" s="37" t="str">
        <f t="shared" ref="AX33:BL75" si="57">IFERROR(IF(AND(AX$7&gt;=$BZ33,AX$7&lt;$CA33),1,IF(AND(AX$7&gt;=$CB33,AX$7&lt;$CC33),2,IF(AND(AX$7&gt;=$CD33,AX$7&lt;=$CE33),3,""))),"")</f>
        <v/>
      </c>
      <c r="AY33" s="111" t="str">
        <f t="shared" si="47"/>
        <v/>
      </c>
      <c r="AZ33" s="37" t="str">
        <f t="shared" si="57"/>
        <v/>
      </c>
      <c r="BA33" s="111" t="str">
        <f t="shared" si="48"/>
        <v/>
      </c>
      <c r="BB33" s="37" t="str">
        <f t="shared" si="57"/>
        <v/>
      </c>
      <c r="BC33" s="111" t="str">
        <f t="shared" si="49"/>
        <v/>
      </c>
      <c r="BD33" s="37" t="str">
        <f t="shared" si="57"/>
        <v/>
      </c>
      <c r="BE33" s="111" t="str">
        <f t="shared" si="50"/>
        <v/>
      </c>
      <c r="BF33" s="37" t="str">
        <f t="shared" si="57"/>
        <v/>
      </c>
      <c r="BG33" s="111" t="str">
        <f t="shared" si="51"/>
        <v/>
      </c>
      <c r="BH33" s="37" t="str">
        <f t="shared" si="57"/>
        <v/>
      </c>
      <c r="BI33" s="111" t="str">
        <f t="shared" si="52"/>
        <v/>
      </c>
      <c r="BJ33" s="37" t="str">
        <f t="shared" si="57"/>
        <v/>
      </c>
      <c r="BK33" s="111" t="str">
        <f t="shared" si="53"/>
        <v/>
      </c>
      <c r="BL33" s="37" t="str">
        <f t="shared" si="57"/>
        <v/>
      </c>
      <c r="BM33" s="111" t="str">
        <f t="shared" si="54"/>
        <v/>
      </c>
      <c r="BN33" s="37" t="str">
        <f t="shared" si="56"/>
        <v/>
      </c>
      <c r="BO33" s="111" t="str">
        <f t="shared" si="55"/>
        <v/>
      </c>
      <c r="BP33" s="34"/>
      <c r="BQ33" s="23"/>
      <c r="BZ33" s="60" t="str" cm="1">
        <f t="array" ref="BZ33">IFERROR(EOMONTH(EOMONTH(_xlfn._xlws.FILTER(Table1[Planned Start],(Table1[Category]=$E33)*(Table1[SBU]=$F$5)*(Table1[Execution Year]=$D33)*(Table1[Most curent]=TRUE)),0)-45,0)+1,"")</f>
        <v/>
      </c>
      <c r="CA33" s="60" t="str" cm="1">
        <f t="array" ref="CA33">IFERROR(EOMONTH(_xlfn._xlws.FILTER(Table1[Planned Award],(Table1[Category]=$E33)*(Table1[SBU]=$F$5)*(Table1[Most curent]=TRUE)*(Table1[Execution Year]=$D33)),0),"")</f>
        <v/>
      </c>
      <c r="CB33" s="60" t="str" cm="1">
        <f t="array" ref="CB33">IFERROR(EOMONTH(EOMONTH(_xlfn._xlws.FILTER(Table1[Current Phase End],(Table1[Category]=$E33)*(Table1[SBU]=$F$5)*(Table1[Most curent]=TRUE)*(Table1[Execution Year]=$D33)),0)-45,0)+1,"")</f>
        <v/>
      </c>
      <c r="CC33" s="60" t="str" cm="1">
        <f t="array" ref="CC33">IFERROR(EOMONTH(_xlfn._xlws.FILTER(Table1[Revised Award],(Table1[Category]=$E33)*(Table1[SBU]=$F$5)*(Table1[Most curent]=TRUE)*(Table1[Execution Year]=$D33)),0),"")</f>
        <v/>
      </c>
      <c r="CD33" s="60" t="str">
        <f t="shared" si="45"/>
        <v/>
      </c>
      <c r="CE33" s="60" t="str">
        <f t="shared" si="46"/>
        <v/>
      </c>
    </row>
    <row r="34" spans="2:83" ht="15.6" thickTop="1" thickBot="1">
      <c r="B34" s="123"/>
      <c r="C34" s="71"/>
      <c r="D34" s="35"/>
      <c r="E34" s="35"/>
      <c r="F34" s="35"/>
      <c r="G34" s="35"/>
      <c r="H34" s="36"/>
      <c r="I34" s="36"/>
      <c r="J34" s="35"/>
      <c r="K34" s="71"/>
      <c r="L34" s="71"/>
      <c r="M34" s="71"/>
      <c r="N34" s="34" t="str">
        <f t="shared" si="43"/>
        <v/>
      </c>
      <c r="O34" s="111" t="str">
        <f t="shared" si="44"/>
        <v/>
      </c>
      <c r="P34" s="34" t="str">
        <f t="shared" si="0"/>
        <v/>
      </c>
      <c r="Q34" s="111" t="str">
        <f t="shared" si="1"/>
        <v/>
      </c>
      <c r="R34" s="34" t="str">
        <f t="shared" si="2"/>
        <v/>
      </c>
      <c r="S34" s="111" t="str">
        <f t="shared" si="3"/>
        <v/>
      </c>
      <c r="T34" s="37" t="str">
        <f t="shared" si="4"/>
        <v/>
      </c>
      <c r="U34" s="111" t="str">
        <f t="shared" si="5"/>
        <v/>
      </c>
      <c r="V34" s="37" t="str">
        <f t="shared" si="6"/>
        <v/>
      </c>
      <c r="W34" s="111" t="str">
        <f t="shared" si="7"/>
        <v/>
      </c>
      <c r="X34" s="37" t="str">
        <f t="shared" si="8"/>
        <v/>
      </c>
      <c r="Y34" s="111" t="str">
        <f t="shared" si="9"/>
        <v/>
      </c>
      <c r="Z34" s="37" t="str">
        <f t="shared" si="10"/>
        <v/>
      </c>
      <c r="AA34" s="111" t="str">
        <f t="shared" si="11"/>
        <v/>
      </c>
      <c r="AB34" s="37" t="str">
        <f t="shared" si="12"/>
        <v/>
      </c>
      <c r="AC34" s="111" t="str">
        <f t="shared" si="13"/>
        <v/>
      </c>
      <c r="AD34" s="37" t="str">
        <f t="shared" si="14"/>
        <v/>
      </c>
      <c r="AE34" s="111" t="str">
        <f t="shared" si="15"/>
        <v/>
      </c>
      <c r="AF34" s="37" t="str">
        <f t="shared" si="16"/>
        <v/>
      </c>
      <c r="AG34" s="111" t="str">
        <f t="shared" si="17"/>
        <v/>
      </c>
      <c r="AH34" s="37" t="str">
        <f t="shared" si="18"/>
        <v/>
      </c>
      <c r="AI34" s="111" t="str">
        <f t="shared" si="19"/>
        <v/>
      </c>
      <c r="AJ34" s="37" t="str">
        <f t="shared" si="20"/>
        <v/>
      </c>
      <c r="AK34" s="111" t="str">
        <f t="shared" si="21"/>
        <v/>
      </c>
      <c r="AL34" s="37" t="str">
        <f t="shared" si="22"/>
        <v/>
      </c>
      <c r="AM34" s="111" t="str">
        <f t="shared" si="23"/>
        <v/>
      </c>
      <c r="AN34" s="37" t="str">
        <f t="shared" si="24"/>
        <v/>
      </c>
      <c r="AO34" s="111" t="str">
        <f t="shared" si="25"/>
        <v/>
      </c>
      <c r="AP34" s="37" t="str">
        <f t="shared" si="26"/>
        <v/>
      </c>
      <c r="AQ34" s="111" t="str">
        <f t="shared" si="27"/>
        <v/>
      </c>
      <c r="AR34" s="37" t="str">
        <f t="shared" si="28"/>
        <v/>
      </c>
      <c r="AS34" s="111" t="str">
        <f t="shared" si="29"/>
        <v/>
      </c>
      <c r="AT34" s="37" t="str">
        <f t="shared" si="30"/>
        <v/>
      </c>
      <c r="AU34" s="111" t="str">
        <f t="shared" si="31"/>
        <v/>
      </c>
      <c r="AV34" s="37" t="str">
        <f t="shared" si="32"/>
        <v/>
      </c>
      <c r="AW34" s="111" t="str">
        <f t="shared" si="33"/>
        <v/>
      </c>
      <c r="AX34" s="37" t="str">
        <f t="shared" si="57"/>
        <v/>
      </c>
      <c r="AY34" s="111" t="str">
        <f t="shared" si="47"/>
        <v/>
      </c>
      <c r="AZ34" s="37" t="str">
        <f t="shared" si="57"/>
        <v/>
      </c>
      <c r="BA34" s="111" t="str">
        <f t="shared" si="48"/>
        <v/>
      </c>
      <c r="BB34" s="37" t="str">
        <f t="shared" si="57"/>
        <v/>
      </c>
      <c r="BC34" s="111" t="str">
        <f t="shared" si="49"/>
        <v/>
      </c>
      <c r="BD34" s="37" t="str">
        <f t="shared" si="57"/>
        <v/>
      </c>
      <c r="BE34" s="111" t="str">
        <f t="shared" si="50"/>
        <v/>
      </c>
      <c r="BF34" s="37" t="str">
        <f t="shared" si="57"/>
        <v/>
      </c>
      <c r="BG34" s="111" t="str">
        <f t="shared" si="51"/>
        <v/>
      </c>
      <c r="BH34" s="37" t="str">
        <f t="shared" si="57"/>
        <v/>
      </c>
      <c r="BI34" s="111" t="str">
        <f t="shared" si="52"/>
        <v/>
      </c>
      <c r="BJ34" s="37" t="str">
        <f t="shared" si="57"/>
        <v/>
      </c>
      <c r="BK34" s="111" t="str">
        <f t="shared" si="53"/>
        <v/>
      </c>
      <c r="BL34" s="37" t="str">
        <f t="shared" si="57"/>
        <v/>
      </c>
      <c r="BM34" s="111" t="str">
        <f t="shared" si="54"/>
        <v/>
      </c>
      <c r="BN34" s="37" t="str">
        <f t="shared" si="56"/>
        <v/>
      </c>
      <c r="BO34" s="111" t="str">
        <f t="shared" si="55"/>
        <v/>
      </c>
      <c r="BP34" s="34"/>
      <c r="BQ34" s="23"/>
      <c r="BZ34" s="60" t="str" cm="1">
        <f t="array" ref="BZ34">IFERROR(EOMONTH(EOMONTH(_xlfn._xlws.FILTER(Table1[Planned Start],(Table1[Category]=$E34)*(Table1[SBU]=$F$5)*(Table1[Execution Year]=$D34)*(Table1[Most curent]=TRUE)),0)-45,0)+1,"")</f>
        <v/>
      </c>
      <c r="CA34" s="60" t="str" cm="1">
        <f t="array" ref="CA34">IFERROR(EOMONTH(_xlfn._xlws.FILTER(Table1[Planned Award],(Table1[Category]=$E34)*(Table1[SBU]=$F$5)*(Table1[Most curent]=TRUE)*(Table1[Execution Year]=$D34)),0),"")</f>
        <v/>
      </c>
      <c r="CB34" s="60" t="str" cm="1">
        <f t="array" ref="CB34">IFERROR(EOMONTH(EOMONTH(_xlfn._xlws.FILTER(Table1[Current Phase End],(Table1[Category]=$E34)*(Table1[SBU]=$F$5)*(Table1[Most curent]=TRUE)*(Table1[Execution Year]=$D34)),0)-45,0)+1,"")</f>
        <v/>
      </c>
      <c r="CC34" s="60" t="str" cm="1">
        <f t="array" ref="CC34">IFERROR(EOMONTH(_xlfn._xlws.FILTER(Table1[Revised Award],(Table1[Category]=$E34)*(Table1[SBU]=$F$5)*(Table1[Most curent]=TRUE)*(Table1[Execution Year]=$D34)),0),"")</f>
        <v/>
      </c>
      <c r="CD34" s="60" t="str">
        <f t="shared" si="45"/>
        <v/>
      </c>
      <c r="CE34" s="60" t="str">
        <f t="shared" si="46"/>
        <v/>
      </c>
    </row>
    <row r="35" spans="2:83" ht="15.6" thickTop="1" thickBot="1">
      <c r="B35" s="123"/>
      <c r="C35" s="71"/>
      <c r="D35" s="35"/>
      <c r="E35" s="35"/>
      <c r="F35" s="35"/>
      <c r="G35" s="35"/>
      <c r="H35" s="36"/>
      <c r="I35" s="36"/>
      <c r="J35" s="35"/>
      <c r="K35" s="71"/>
      <c r="L35" s="71"/>
      <c r="M35" s="71"/>
      <c r="N35" s="34" t="str">
        <f t="shared" si="43"/>
        <v/>
      </c>
      <c r="O35" s="111" t="str">
        <f t="shared" si="44"/>
        <v/>
      </c>
      <c r="P35" s="34" t="str">
        <f t="shared" si="0"/>
        <v/>
      </c>
      <c r="Q35" s="111" t="str">
        <f t="shared" si="1"/>
        <v/>
      </c>
      <c r="R35" s="34" t="str">
        <f t="shared" si="2"/>
        <v/>
      </c>
      <c r="S35" s="111" t="str">
        <f t="shared" si="3"/>
        <v/>
      </c>
      <c r="T35" s="37" t="str">
        <f t="shared" si="4"/>
        <v/>
      </c>
      <c r="U35" s="111" t="str">
        <f t="shared" si="5"/>
        <v/>
      </c>
      <c r="V35" s="37" t="str">
        <f t="shared" si="6"/>
        <v/>
      </c>
      <c r="W35" s="111" t="str">
        <f t="shared" si="7"/>
        <v/>
      </c>
      <c r="X35" s="37" t="str">
        <f t="shared" si="8"/>
        <v/>
      </c>
      <c r="Y35" s="111" t="str">
        <f t="shared" si="9"/>
        <v/>
      </c>
      <c r="Z35" s="37" t="str">
        <f t="shared" si="10"/>
        <v/>
      </c>
      <c r="AA35" s="111" t="str">
        <f t="shared" si="11"/>
        <v/>
      </c>
      <c r="AB35" s="37" t="str">
        <f t="shared" si="12"/>
        <v/>
      </c>
      <c r="AC35" s="111" t="str">
        <f t="shared" si="13"/>
        <v/>
      </c>
      <c r="AD35" s="37" t="str">
        <f t="shared" si="14"/>
        <v/>
      </c>
      <c r="AE35" s="111" t="str">
        <f t="shared" si="15"/>
        <v/>
      </c>
      <c r="AF35" s="37" t="str">
        <f t="shared" si="16"/>
        <v/>
      </c>
      <c r="AG35" s="111" t="str">
        <f t="shared" si="17"/>
        <v/>
      </c>
      <c r="AH35" s="37" t="str">
        <f t="shared" si="18"/>
        <v/>
      </c>
      <c r="AI35" s="111" t="str">
        <f t="shared" si="19"/>
        <v/>
      </c>
      <c r="AJ35" s="37" t="str">
        <f t="shared" si="20"/>
        <v/>
      </c>
      <c r="AK35" s="111" t="str">
        <f t="shared" si="21"/>
        <v/>
      </c>
      <c r="AL35" s="37" t="str">
        <f t="shared" si="22"/>
        <v/>
      </c>
      <c r="AM35" s="111" t="str">
        <f t="shared" si="23"/>
        <v/>
      </c>
      <c r="AN35" s="37" t="str">
        <f t="shared" si="24"/>
        <v/>
      </c>
      <c r="AO35" s="111" t="str">
        <f t="shared" si="25"/>
        <v/>
      </c>
      <c r="AP35" s="37" t="str">
        <f t="shared" si="26"/>
        <v/>
      </c>
      <c r="AQ35" s="111" t="str">
        <f t="shared" si="27"/>
        <v/>
      </c>
      <c r="AR35" s="37" t="str">
        <f t="shared" si="28"/>
        <v/>
      </c>
      <c r="AS35" s="111" t="str">
        <f t="shared" si="29"/>
        <v/>
      </c>
      <c r="AT35" s="37" t="str">
        <f t="shared" si="30"/>
        <v/>
      </c>
      <c r="AU35" s="111" t="str">
        <f t="shared" si="31"/>
        <v/>
      </c>
      <c r="AV35" s="37" t="str">
        <f t="shared" si="32"/>
        <v/>
      </c>
      <c r="AW35" s="111" t="str">
        <f t="shared" si="33"/>
        <v/>
      </c>
      <c r="AX35" s="37" t="str">
        <f t="shared" si="57"/>
        <v/>
      </c>
      <c r="AY35" s="111" t="str">
        <f t="shared" si="47"/>
        <v/>
      </c>
      <c r="AZ35" s="37" t="str">
        <f t="shared" si="57"/>
        <v/>
      </c>
      <c r="BA35" s="111" t="str">
        <f t="shared" si="48"/>
        <v/>
      </c>
      <c r="BB35" s="37" t="str">
        <f t="shared" si="57"/>
        <v/>
      </c>
      <c r="BC35" s="111" t="str">
        <f t="shared" si="49"/>
        <v/>
      </c>
      <c r="BD35" s="37" t="str">
        <f t="shared" si="57"/>
        <v/>
      </c>
      <c r="BE35" s="111" t="str">
        <f t="shared" si="50"/>
        <v/>
      </c>
      <c r="BF35" s="37" t="str">
        <f t="shared" si="57"/>
        <v/>
      </c>
      <c r="BG35" s="111" t="str">
        <f t="shared" si="51"/>
        <v/>
      </c>
      <c r="BH35" s="37" t="str">
        <f t="shared" si="57"/>
        <v/>
      </c>
      <c r="BI35" s="111" t="str">
        <f t="shared" si="52"/>
        <v/>
      </c>
      <c r="BJ35" s="37" t="str">
        <f t="shared" si="57"/>
        <v/>
      </c>
      <c r="BK35" s="111" t="str">
        <f t="shared" si="53"/>
        <v/>
      </c>
      <c r="BL35" s="37" t="str">
        <f t="shared" si="57"/>
        <v/>
      </c>
      <c r="BM35" s="111" t="str">
        <f t="shared" si="54"/>
        <v/>
      </c>
      <c r="BN35" s="37" t="str">
        <f t="shared" si="56"/>
        <v/>
      </c>
      <c r="BO35" s="111" t="str">
        <f t="shared" si="55"/>
        <v/>
      </c>
      <c r="BP35" s="34"/>
      <c r="BQ35" s="23"/>
      <c r="BZ35" s="60" t="str" cm="1">
        <f t="array" ref="BZ35">IFERROR(EOMONTH(EOMONTH(_xlfn._xlws.FILTER(Table1[Planned Start],(Table1[Category]=$E35)*(Table1[SBU]=$F$5)*(Table1[Execution Year]=$D35)*(Table1[Most curent]=TRUE)),0)-45,0)+1,"")</f>
        <v/>
      </c>
      <c r="CA35" s="60" t="str" cm="1">
        <f t="array" ref="CA35">IFERROR(EOMONTH(_xlfn._xlws.FILTER(Table1[Planned Award],(Table1[Category]=$E35)*(Table1[SBU]=$F$5)*(Table1[Most curent]=TRUE)*(Table1[Execution Year]=$D35)),0),"")</f>
        <v/>
      </c>
      <c r="CB35" s="60" t="str" cm="1">
        <f t="array" ref="CB35">IFERROR(EOMONTH(EOMONTH(_xlfn._xlws.FILTER(Table1[Current Phase End],(Table1[Category]=$E35)*(Table1[SBU]=$F$5)*(Table1[Most curent]=TRUE)*(Table1[Execution Year]=$D35)),0)-45,0)+1,"")</f>
        <v/>
      </c>
      <c r="CC35" s="60" t="str" cm="1">
        <f t="array" ref="CC35">IFERROR(EOMONTH(_xlfn._xlws.FILTER(Table1[Revised Award],(Table1[Category]=$E35)*(Table1[SBU]=$F$5)*(Table1[Most curent]=TRUE)*(Table1[Execution Year]=$D35)),0),"")</f>
        <v/>
      </c>
      <c r="CD35" s="60" t="str">
        <f t="shared" si="45"/>
        <v/>
      </c>
      <c r="CE35" s="60" t="str">
        <f t="shared" si="46"/>
        <v/>
      </c>
    </row>
    <row r="36" spans="2:83" ht="15.6" thickTop="1" thickBot="1">
      <c r="B36" s="123"/>
      <c r="C36" s="71"/>
      <c r="D36" s="35"/>
      <c r="E36" s="35"/>
      <c r="F36" s="35"/>
      <c r="G36" s="35"/>
      <c r="H36" s="36"/>
      <c r="I36" s="36"/>
      <c r="J36" s="35"/>
      <c r="K36" s="71"/>
      <c r="L36" s="71"/>
      <c r="M36" s="71"/>
      <c r="N36" s="34" t="str">
        <f t="shared" si="43"/>
        <v/>
      </c>
      <c r="O36" s="111" t="str">
        <f t="shared" si="44"/>
        <v/>
      </c>
      <c r="P36" s="34" t="str">
        <f t="shared" si="0"/>
        <v/>
      </c>
      <c r="Q36" s="111" t="str">
        <f t="shared" si="1"/>
        <v/>
      </c>
      <c r="R36" s="34" t="str">
        <f t="shared" si="2"/>
        <v/>
      </c>
      <c r="S36" s="111" t="str">
        <f t="shared" si="3"/>
        <v/>
      </c>
      <c r="T36" s="37" t="str">
        <f t="shared" si="4"/>
        <v/>
      </c>
      <c r="U36" s="111" t="str">
        <f t="shared" si="5"/>
        <v/>
      </c>
      <c r="V36" s="37" t="str">
        <f t="shared" si="6"/>
        <v/>
      </c>
      <c r="W36" s="111" t="str">
        <f t="shared" si="7"/>
        <v/>
      </c>
      <c r="X36" s="37" t="str">
        <f t="shared" si="8"/>
        <v/>
      </c>
      <c r="Y36" s="111" t="str">
        <f t="shared" si="9"/>
        <v/>
      </c>
      <c r="Z36" s="37" t="str">
        <f t="shared" si="10"/>
        <v/>
      </c>
      <c r="AA36" s="111" t="str">
        <f t="shared" si="11"/>
        <v/>
      </c>
      <c r="AB36" s="37" t="str">
        <f t="shared" si="12"/>
        <v/>
      </c>
      <c r="AC36" s="111" t="str">
        <f t="shared" si="13"/>
        <v/>
      </c>
      <c r="AD36" s="37" t="str">
        <f t="shared" si="14"/>
        <v/>
      </c>
      <c r="AE36" s="111" t="str">
        <f t="shared" si="15"/>
        <v/>
      </c>
      <c r="AF36" s="37" t="str">
        <f t="shared" si="16"/>
        <v/>
      </c>
      <c r="AG36" s="111" t="str">
        <f t="shared" si="17"/>
        <v/>
      </c>
      <c r="AH36" s="37" t="str">
        <f t="shared" si="18"/>
        <v/>
      </c>
      <c r="AI36" s="111" t="str">
        <f t="shared" si="19"/>
        <v/>
      </c>
      <c r="AJ36" s="37" t="str">
        <f t="shared" si="20"/>
        <v/>
      </c>
      <c r="AK36" s="111" t="str">
        <f t="shared" si="21"/>
        <v/>
      </c>
      <c r="AL36" s="37" t="str">
        <f t="shared" si="22"/>
        <v/>
      </c>
      <c r="AM36" s="111" t="str">
        <f t="shared" si="23"/>
        <v/>
      </c>
      <c r="AN36" s="37" t="str">
        <f t="shared" si="24"/>
        <v/>
      </c>
      <c r="AO36" s="111" t="str">
        <f t="shared" si="25"/>
        <v/>
      </c>
      <c r="AP36" s="37" t="str">
        <f t="shared" si="26"/>
        <v/>
      </c>
      <c r="AQ36" s="111" t="str">
        <f t="shared" si="27"/>
        <v/>
      </c>
      <c r="AR36" s="37" t="str">
        <f t="shared" si="28"/>
        <v/>
      </c>
      <c r="AS36" s="111" t="str">
        <f t="shared" si="29"/>
        <v/>
      </c>
      <c r="AT36" s="37" t="str">
        <f t="shared" si="30"/>
        <v/>
      </c>
      <c r="AU36" s="111" t="str">
        <f t="shared" si="31"/>
        <v/>
      </c>
      <c r="AV36" s="37" t="str">
        <f t="shared" si="32"/>
        <v/>
      </c>
      <c r="AW36" s="111" t="str">
        <f t="shared" si="33"/>
        <v/>
      </c>
      <c r="AX36" s="37" t="str">
        <f t="shared" si="57"/>
        <v/>
      </c>
      <c r="AY36" s="111" t="str">
        <f t="shared" si="47"/>
        <v/>
      </c>
      <c r="AZ36" s="37" t="str">
        <f t="shared" si="57"/>
        <v/>
      </c>
      <c r="BA36" s="111" t="str">
        <f t="shared" si="48"/>
        <v/>
      </c>
      <c r="BB36" s="37" t="str">
        <f t="shared" si="57"/>
        <v/>
      </c>
      <c r="BC36" s="111" t="str">
        <f t="shared" si="49"/>
        <v/>
      </c>
      <c r="BD36" s="37" t="str">
        <f t="shared" si="57"/>
        <v/>
      </c>
      <c r="BE36" s="111" t="str">
        <f t="shared" si="50"/>
        <v/>
      </c>
      <c r="BF36" s="37" t="str">
        <f t="shared" si="57"/>
        <v/>
      </c>
      <c r="BG36" s="111" t="str">
        <f t="shared" si="51"/>
        <v/>
      </c>
      <c r="BH36" s="37" t="str">
        <f t="shared" si="57"/>
        <v/>
      </c>
      <c r="BI36" s="111" t="str">
        <f t="shared" si="52"/>
        <v/>
      </c>
      <c r="BJ36" s="37" t="str">
        <f t="shared" si="57"/>
        <v/>
      </c>
      <c r="BK36" s="111" t="str">
        <f t="shared" si="53"/>
        <v/>
      </c>
      <c r="BL36" s="37" t="str">
        <f t="shared" si="57"/>
        <v/>
      </c>
      <c r="BM36" s="111" t="str">
        <f t="shared" si="54"/>
        <v/>
      </c>
      <c r="BN36" s="37" t="str">
        <f t="shared" si="56"/>
        <v/>
      </c>
      <c r="BO36" s="111" t="str">
        <f t="shared" si="55"/>
        <v/>
      </c>
      <c r="BP36" s="34"/>
      <c r="BQ36" s="23"/>
      <c r="BZ36" s="60" t="str" cm="1">
        <f t="array" ref="BZ36">IFERROR(EOMONTH(EOMONTH(_xlfn._xlws.FILTER(Table1[Planned Start],(Table1[Category]=$E36)*(Table1[SBU]=$F$5)*(Table1[Execution Year]=$D36)*(Table1[Most curent]=TRUE)),0)-45,0)+1,"")</f>
        <v/>
      </c>
      <c r="CA36" s="60" t="str" cm="1">
        <f t="array" ref="CA36">IFERROR(EOMONTH(_xlfn._xlws.FILTER(Table1[Planned Award],(Table1[Category]=$E36)*(Table1[SBU]=$F$5)*(Table1[Most curent]=TRUE)*(Table1[Execution Year]=$D36)),0),"")</f>
        <v/>
      </c>
      <c r="CB36" s="60" t="str" cm="1">
        <f t="array" ref="CB36">IFERROR(EOMONTH(EOMONTH(_xlfn._xlws.FILTER(Table1[Current Phase End],(Table1[Category]=$E36)*(Table1[SBU]=$F$5)*(Table1[Most curent]=TRUE)*(Table1[Execution Year]=$D36)),0)-45,0)+1,"")</f>
        <v/>
      </c>
      <c r="CC36" s="60" t="str" cm="1">
        <f t="array" ref="CC36">IFERROR(EOMONTH(_xlfn._xlws.FILTER(Table1[Revised Award],(Table1[Category]=$E36)*(Table1[SBU]=$F$5)*(Table1[Most curent]=TRUE)*(Table1[Execution Year]=$D36)),0),"")</f>
        <v/>
      </c>
      <c r="CD36" s="60" t="str">
        <f t="shared" si="45"/>
        <v/>
      </c>
      <c r="CE36" s="60" t="str">
        <f t="shared" si="46"/>
        <v/>
      </c>
    </row>
    <row r="37" spans="2:83" ht="15.6" thickTop="1" thickBot="1">
      <c r="B37" s="123"/>
      <c r="C37" s="71"/>
      <c r="D37" s="35"/>
      <c r="E37" s="35"/>
      <c r="F37" s="35"/>
      <c r="G37" s="35"/>
      <c r="H37" s="36"/>
      <c r="I37" s="36"/>
      <c r="J37" s="35"/>
      <c r="K37" s="71"/>
      <c r="L37" s="71"/>
      <c r="M37" s="71"/>
      <c r="N37" s="34" t="str">
        <f t="shared" si="43"/>
        <v/>
      </c>
      <c r="O37" s="111" t="str">
        <f t="shared" si="44"/>
        <v/>
      </c>
      <c r="P37" s="34" t="str">
        <f t="shared" si="0"/>
        <v/>
      </c>
      <c r="Q37" s="111" t="str">
        <f t="shared" si="1"/>
        <v/>
      </c>
      <c r="R37" s="34" t="str">
        <f t="shared" si="2"/>
        <v/>
      </c>
      <c r="S37" s="111" t="str">
        <f t="shared" si="3"/>
        <v/>
      </c>
      <c r="T37" s="37" t="str">
        <f t="shared" si="4"/>
        <v/>
      </c>
      <c r="U37" s="111" t="str">
        <f t="shared" si="5"/>
        <v/>
      </c>
      <c r="V37" s="37" t="str">
        <f t="shared" si="6"/>
        <v/>
      </c>
      <c r="W37" s="111" t="str">
        <f t="shared" si="7"/>
        <v/>
      </c>
      <c r="X37" s="37" t="str">
        <f t="shared" si="8"/>
        <v/>
      </c>
      <c r="Y37" s="111" t="str">
        <f t="shared" si="9"/>
        <v/>
      </c>
      <c r="Z37" s="37" t="str">
        <f t="shared" si="10"/>
        <v/>
      </c>
      <c r="AA37" s="111" t="str">
        <f t="shared" si="11"/>
        <v/>
      </c>
      <c r="AB37" s="37" t="str">
        <f t="shared" si="12"/>
        <v/>
      </c>
      <c r="AC37" s="111" t="str">
        <f t="shared" si="13"/>
        <v/>
      </c>
      <c r="AD37" s="37" t="str">
        <f t="shared" si="14"/>
        <v/>
      </c>
      <c r="AE37" s="111" t="str">
        <f t="shared" si="15"/>
        <v/>
      </c>
      <c r="AF37" s="37" t="str">
        <f t="shared" si="16"/>
        <v/>
      </c>
      <c r="AG37" s="111" t="str">
        <f t="shared" si="17"/>
        <v/>
      </c>
      <c r="AH37" s="37" t="str">
        <f t="shared" si="18"/>
        <v/>
      </c>
      <c r="AI37" s="111" t="str">
        <f t="shared" si="19"/>
        <v/>
      </c>
      <c r="AJ37" s="37" t="str">
        <f t="shared" si="20"/>
        <v/>
      </c>
      <c r="AK37" s="111" t="str">
        <f t="shared" si="21"/>
        <v/>
      </c>
      <c r="AL37" s="37" t="str">
        <f t="shared" si="22"/>
        <v/>
      </c>
      <c r="AM37" s="111" t="str">
        <f t="shared" si="23"/>
        <v/>
      </c>
      <c r="AN37" s="37" t="str">
        <f t="shared" si="24"/>
        <v/>
      </c>
      <c r="AO37" s="111" t="str">
        <f t="shared" si="25"/>
        <v/>
      </c>
      <c r="AP37" s="37" t="str">
        <f t="shared" si="26"/>
        <v/>
      </c>
      <c r="AQ37" s="111" t="str">
        <f t="shared" si="27"/>
        <v/>
      </c>
      <c r="AR37" s="37" t="str">
        <f t="shared" si="28"/>
        <v/>
      </c>
      <c r="AS37" s="111" t="str">
        <f t="shared" si="29"/>
        <v/>
      </c>
      <c r="AT37" s="37" t="str">
        <f t="shared" si="30"/>
        <v/>
      </c>
      <c r="AU37" s="111" t="str">
        <f t="shared" si="31"/>
        <v/>
      </c>
      <c r="AV37" s="37" t="str">
        <f t="shared" si="32"/>
        <v/>
      </c>
      <c r="AW37" s="111" t="str">
        <f t="shared" si="33"/>
        <v/>
      </c>
      <c r="AX37" s="37" t="str">
        <f t="shared" si="57"/>
        <v/>
      </c>
      <c r="AY37" s="111" t="str">
        <f t="shared" si="47"/>
        <v/>
      </c>
      <c r="AZ37" s="37" t="str">
        <f t="shared" si="57"/>
        <v/>
      </c>
      <c r="BA37" s="111" t="str">
        <f t="shared" si="48"/>
        <v/>
      </c>
      <c r="BB37" s="37" t="str">
        <f t="shared" si="57"/>
        <v/>
      </c>
      <c r="BC37" s="111" t="str">
        <f t="shared" si="49"/>
        <v/>
      </c>
      <c r="BD37" s="37" t="str">
        <f t="shared" si="57"/>
        <v/>
      </c>
      <c r="BE37" s="111" t="str">
        <f t="shared" si="50"/>
        <v/>
      </c>
      <c r="BF37" s="37" t="str">
        <f t="shared" si="57"/>
        <v/>
      </c>
      <c r="BG37" s="111" t="str">
        <f t="shared" si="51"/>
        <v/>
      </c>
      <c r="BH37" s="37" t="str">
        <f t="shared" si="57"/>
        <v/>
      </c>
      <c r="BI37" s="111" t="str">
        <f t="shared" si="52"/>
        <v/>
      </c>
      <c r="BJ37" s="37" t="str">
        <f t="shared" si="57"/>
        <v/>
      </c>
      <c r="BK37" s="111" t="str">
        <f t="shared" si="53"/>
        <v/>
      </c>
      <c r="BL37" s="37" t="str">
        <f t="shared" si="57"/>
        <v/>
      </c>
      <c r="BM37" s="111" t="str">
        <f t="shared" si="54"/>
        <v/>
      </c>
      <c r="BN37" s="37" t="str">
        <f t="shared" si="56"/>
        <v/>
      </c>
      <c r="BO37" s="111" t="str">
        <f t="shared" si="55"/>
        <v/>
      </c>
      <c r="BP37" s="34"/>
      <c r="BQ37" s="23"/>
      <c r="BZ37" s="60" t="str" cm="1">
        <f t="array" ref="BZ37">IFERROR(EOMONTH(EOMONTH(_xlfn._xlws.FILTER(Table1[Planned Start],(Table1[Category]=$E37)*(Table1[SBU]=$F$5)*(Table1[Execution Year]=$D37)*(Table1[Most curent]=TRUE)),0)-45,0)+1,"")</f>
        <v/>
      </c>
      <c r="CA37" s="60" t="str" cm="1">
        <f t="array" ref="CA37">IFERROR(EOMONTH(_xlfn._xlws.FILTER(Table1[Planned Award],(Table1[Category]=$E37)*(Table1[SBU]=$F$5)*(Table1[Most curent]=TRUE)*(Table1[Execution Year]=$D37)),0),"")</f>
        <v/>
      </c>
      <c r="CB37" s="60" t="str" cm="1">
        <f t="array" ref="CB37">IFERROR(EOMONTH(EOMONTH(_xlfn._xlws.FILTER(Table1[Current Phase End],(Table1[Category]=$E37)*(Table1[SBU]=$F$5)*(Table1[Most curent]=TRUE)*(Table1[Execution Year]=$D37)),0)-45,0)+1,"")</f>
        <v/>
      </c>
      <c r="CC37" s="60" t="str" cm="1">
        <f t="array" ref="CC37">IFERROR(EOMONTH(_xlfn._xlws.FILTER(Table1[Revised Award],(Table1[Category]=$E37)*(Table1[SBU]=$F$5)*(Table1[Most curent]=TRUE)*(Table1[Execution Year]=$D37)),0),"")</f>
        <v/>
      </c>
      <c r="CD37" s="60" t="str">
        <f t="shared" si="45"/>
        <v/>
      </c>
      <c r="CE37" s="60" t="str">
        <f t="shared" si="46"/>
        <v/>
      </c>
    </row>
    <row r="38" spans="2:83" ht="15.6" thickTop="1" thickBot="1">
      <c r="B38" s="123"/>
      <c r="C38" s="71"/>
      <c r="D38" s="35"/>
      <c r="E38" s="35"/>
      <c r="F38" s="35"/>
      <c r="G38" s="35"/>
      <c r="H38" s="36"/>
      <c r="I38" s="36"/>
      <c r="J38" s="35"/>
      <c r="K38" s="71"/>
      <c r="L38" s="71"/>
      <c r="M38" s="71"/>
      <c r="N38" s="34" t="str">
        <f t="shared" si="43"/>
        <v/>
      </c>
      <c r="O38" s="111" t="str">
        <f t="shared" si="44"/>
        <v/>
      </c>
      <c r="P38" s="34" t="str">
        <f t="shared" si="0"/>
        <v/>
      </c>
      <c r="Q38" s="111" t="str">
        <f t="shared" si="1"/>
        <v/>
      </c>
      <c r="R38" s="34" t="str">
        <f t="shared" si="2"/>
        <v/>
      </c>
      <c r="S38" s="111" t="str">
        <f t="shared" si="3"/>
        <v/>
      </c>
      <c r="T38" s="37" t="str">
        <f t="shared" si="4"/>
        <v/>
      </c>
      <c r="U38" s="111" t="str">
        <f t="shared" si="5"/>
        <v/>
      </c>
      <c r="V38" s="37" t="str">
        <f t="shared" si="6"/>
        <v/>
      </c>
      <c r="W38" s="111" t="str">
        <f t="shared" si="7"/>
        <v/>
      </c>
      <c r="X38" s="37" t="str">
        <f t="shared" si="8"/>
        <v/>
      </c>
      <c r="Y38" s="111" t="str">
        <f t="shared" si="9"/>
        <v/>
      </c>
      <c r="Z38" s="37" t="str">
        <f t="shared" si="10"/>
        <v/>
      </c>
      <c r="AA38" s="111" t="str">
        <f t="shared" si="11"/>
        <v/>
      </c>
      <c r="AB38" s="37" t="str">
        <f t="shared" si="12"/>
        <v/>
      </c>
      <c r="AC38" s="111" t="str">
        <f t="shared" si="13"/>
        <v/>
      </c>
      <c r="AD38" s="37" t="str">
        <f t="shared" si="14"/>
        <v/>
      </c>
      <c r="AE38" s="111" t="str">
        <f t="shared" si="15"/>
        <v/>
      </c>
      <c r="AF38" s="37" t="str">
        <f t="shared" si="16"/>
        <v/>
      </c>
      <c r="AG38" s="111" t="str">
        <f t="shared" si="17"/>
        <v/>
      </c>
      <c r="AH38" s="37" t="str">
        <f t="shared" si="18"/>
        <v/>
      </c>
      <c r="AI38" s="111" t="str">
        <f t="shared" si="19"/>
        <v/>
      </c>
      <c r="AJ38" s="37" t="str">
        <f t="shared" si="20"/>
        <v/>
      </c>
      <c r="AK38" s="111" t="str">
        <f t="shared" si="21"/>
        <v/>
      </c>
      <c r="AL38" s="37" t="str">
        <f t="shared" si="22"/>
        <v/>
      </c>
      <c r="AM38" s="111" t="str">
        <f t="shared" si="23"/>
        <v/>
      </c>
      <c r="AN38" s="37" t="str">
        <f t="shared" si="24"/>
        <v/>
      </c>
      <c r="AO38" s="111" t="str">
        <f t="shared" si="25"/>
        <v/>
      </c>
      <c r="AP38" s="37" t="str">
        <f t="shared" si="26"/>
        <v/>
      </c>
      <c r="AQ38" s="111" t="str">
        <f t="shared" si="27"/>
        <v/>
      </c>
      <c r="AR38" s="37" t="str">
        <f t="shared" si="28"/>
        <v/>
      </c>
      <c r="AS38" s="111" t="str">
        <f t="shared" si="29"/>
        <v/>
      </c>
      <c r="AT38" s="37" t="str">
        <f t="shared" si="30"/>
        <v/>
      </c>
      <c r="AU38" s="111" t="str">
        <f t="shared" si="31"/>
        <v/>
      </c>
      <c r="AV38" s="37" t="str">
        <f t="shared" si="32"/>
        <v/>
      </c>
      <c r="AW38" s="111" t="str">
        <f t="shared" si="33"/>
        <v/>
      </c>
      <c r="AX38" s="37" t="str">
        <f t="shared" si="57"/>
        <v/>
      </c>
      <c r="AY38" s="111" t="str">
        <f t="shared" si="47"/>
        <v/>
      </c>
      <c r="AZ38" s="37" t="str">
        <f t="shared" si="57"/>
        <v/>
      </c>
      <c r="BA38" s="111" t="str">
        <f t="shared" si="48"/>
        <v/>
      </c>
      <c r="BB38" s="37" t="str">
        <f t="shared" si="57"/>
        <v/>
      </c>
      <c r="BC38" s="111" t="str">
        <f t="shared" si="49"/>
        <v/>
      </c>
      <c r="BD38" s="37" t="str">
        <f t="shared" si="57"/>
        <v/>
      </c>
      <c r="BE38" s="111" t="str">
        <f t="shared" si="50"/>
        <v/>
      </c>
      <c r="BF38" s="37" t="str">
        <f t="shared" si="57"/>
        <v/>
      </c>
      <c r="BG38" s="111" t="str">
        <f t="shared" si="51"/>
        <v/>
      </c>
      <c r="BH38" s="37" t="str">
        <f t="shared" si="57"/>
        <v/>
      </c>
      <c r="BI38" s="111" t="str">
        <f t="shared" si="52"/>
        <v/>
      </c>
      <c r="BJ38" s="37" t="str">
        <f t="shared" si="57"/>
        <v/>
      </c>
      <c r="BK38" s="111" t="str">
        <f t="shared" si="53"/>
        <v/>
      </c>
      <c r="BL38" s="37" t="str">
        <f t="shared" si="57"/>
        <v/>
      </c>
      <c r="BM38" s="111" t="str">
        <f t="shared" si="54"/>
        <v/>
      </c>
      <c r="BN38" s="37" t="str">
        <f t="shared" si="56"/>
        <v/>
      </c>
      <c r="BO38" s="111" t="str">
        <f t="shared" si="55"/>
        <v/>
      </c>
      <c r="BP38" s="34"/>
      <c r="BQ38" s="23"/>
      <c r="BZ38" s="60" t="str" cm="1">
        <f t="array" ref="BZ38">IFERROR(EOMONTH(EOMONTH(_xlfn._xlws.FILTER(Table1[Planned Start],(Table1[Category]=$E38)*(Table1[SBU]=$F$5)*(Table1[Execution Year]=$D38)*(Table1[Most curent]=TRUE)),0)-45,0)+1,"")</f>
        <v/>
      </c>
      <c r="CA38" s="60" t="str" cm="1">
        <f t="array" ref="CA38">IFERROR(EOMONTH(_xlfn._xlws.FILTER(Table1[Planned Award],(Table1[Category]=$E38)*(Table1[SBU]=$F$5)*(Table1[Most curent]=TRUE)*(Table1[Execution Year]=$D38)),0),"")</f>
        <v/>
      </c>
      <c r="CB38" s="60" t="str" cm="1">
        <f t="array" ref="CB38">IFERROR(EOMONTH(EOMONTH(_xlfn._xlws.FILTER(Table1[Current Phase End],(Table1[Category]=$E38)*(Table1[SBU]=$F$5)*(Table1[Most curent]=TRUE)*(Table1[Execution Year]=$D38)),0)-45,0)+1,"")</f>
        <v/>
      </c>
      <c r="CC38" s="60" t="str" cm="1">
        <f t="array" ref="CC38">IFERROR(EOMONTH(_xlfn._xlws.FILTER(Table1[Revised Award],(Table1[Category]=$E38)*(Table1[SBU]=$F$5)*(Table1[Most curent]=TRUE)*(Table1[Execution Year]=$D38)),0),"")</f>
        <v/>
      </c>
      <c r="CD38" s="60" t="str">
        <f t="shared" si="45"/>
        <v/>
      </c>
      <c r="CE38" s="60" t="str">
        <f t="shared" si="46"/>
        <v/>
      </c>
    </row>
    <row r="39" spans="2:83" ht="15.6" thickTop="1" thickBot="1">
      <c r="B39" s="123"/>
      <c r="C39" s="71"/>
      <c r="D39" s="35"/>
      <c r="E39" s="35"/>
      <c r="F39" s="35"/>
      <c r="G39" s="35"/>
      <c r="H39" s="36"/>
      <c r="I39" s="36"/>
      <c r="J39" s="35"/>
      <c r="K39" s="71"/>
      <c r="L39" s="71"/>
      <c r="M39" s="71"/>
      <c r="N39" s="34" t="str">
        <f t="shared" si="43"/>
        <v/>
      </c>
      <c r="O39" s="111" t="str">
        <f t="shared" si="44"/>
        <v/>
      </c>
      <c r="P39" s="34" t="str">
        <f t="shared" si="0"/>
        <v/>
      </c>
      <c r="Q39" s="111" t="str">
        <f t="shared" si="1"/>
        <v/>
      </c>
      <c r="R39" s="34" t="str">
        <f t="shared" si="2"/>
        <v/>
      </c>
      <c r="S39" s="111" t="str">
        <f t="shared" si="3"/>
        <v/>
      </c>
      <c r="T39" s="37" t="str">
        <f t="shared" si="4"/>
        <v/>
      </c>
      <c r="U39" s="111" t="str">
        <f t="shared" si="5"/>
        <v/>
      </c>
      <c r="V39" s="37" t="str">
        <f t="shared" si="6"/>
        <v/>
      </c>
      <c r="W39" s="111" t="str">
        <f t="shared" si="7"/>
        <v/>
      </c>
      <c r="X39" s="37" t="str">
        <f t="shared" si="8"/>
        <v/>
      </c>
      <c r="Y39" s="111" t="str">
        <f t="shared" si="9"/>
        <v/>
      </c>
      <c r="Z39" s="37" t="str">
        <f t="shared" si="10"/>
        <v/>
      </c>
      <c r="AA39" s="111" t="str">
        <f t="shared" si="11"/>
        <v/>
      </c>
      <c r="AB39" s="37" t="str">
        <f t="shared" si="12"/>
        <v/>
      </c>
      <c r="AC39" s="111" t="str">
        <f t="shared" si="13"/>
        <v/>
      </c>
      <c r="AD39" s="37" t="str">
        <f t="shared" si="14"/>
        <v/>
      </c>
      <c r="AE39" s="111" t="str">
        <f t="shared" si="15"/>
        <v/>
      </c>
      <c r="AF39" s="37" t="str">
        <f t="shared" si="16"/>
        <v/>
      </c>
      <c r="AG39" s="111" t="str">
        <f t="shared" si="17"/>
        <v/>
      </c>
      <c r="AH39" s="37" t="str">
        <f t="shared" si="18"/>
        <v/>
      </c>
      <c r="AI39" s="111" t="str">
        <f t="shared" si="19"/>
        <v/>
      </c>
      <c r="AJ39" s="37" t="str">
        <f t="shared" si="20"/>
        <v/>
      </c>
      <c r="AK39" s="111" t="str">
        <f t="shared" si="21"/>
        <v/>
      </c>
      <c r="AL39" s="37" t="str">
        <f t="shared" si="22"/>
        <v/>
      </c>
      <c r="AM39" s="111" t="str">
        <f t="shared" si="23"/>
        <v/>
      </c>
      <c r="AN39" s="37" t="str">
        <f t="shared" si="24"/>
        <v/>
      </c>
      <c r="AO39" s="111" t="str">
        <f t="shared" si="25"/>
        <v/>
      </c>
      <c r="AP39" s="37" t="str">
        <f t="shared" si="26"/>
        <v/>
      </c>
      <c r="AQ39" s="111" t="str">
        <f t="shared" si="27"/>
        <v/>
      </c>
      <c r="AR39" s="37" t="str">
        <f t="shared" si="28"/>
        <v/>
      </c>
      <c r="AS39" s="111" t="str">
        <f t="shared" si="29"/>
        <v/>
      </c>
      <c r="AT39" s="37" t="str">
        <f t="shared" si="30"/>
        <v/>
      </c>
      <c r="AU39" s="111" t="str">
        <f t="shared" si="31"/>
        <v/>
      </c>
      <c r="AV39" s="37" t="str">
        <f t="shared" si="32"/>
        <v/>
      </c>
      <c r="AW39" s="111" t="str">
        <f t="shared" si="33"/>
        <v/>
      </c>
      <c r="AX39" s="37" t="str">
        <f t="shared" si="57"/>
        <v/>
      </c>
      <c r="AY39" s="111" t="str">
        <f t="shared" si="47"/>
        <v/>
      </c>
      <c r="AZ39" s="37" t="str">
        <f t="shared" si="57"/>
        <v/>
      </c>
      <c r="BA39" s="111" t="str">
        <f t="shared" si="48"/>
        <v/>
      </c>
      <c r="BB39" s="37" t="str">
        <f t="shared" si="57"/>
        <v/>
      </c>
      <c r="BC39" s="111" t="str">
        <f t="shared" si="49"/>
        <v/>
      </c>
      <c r="BD39" s="37" t="str">
        <f t="shared" si="57"/>
        <v/>
      </c>
      <c r="BE39" s="111" t="str">
        <f t="shared" si="50"/>
        <v/>
      </c>
      <c r="BF39" s="37" t="str">
        <f t="shared" si="57"/>
        <v/>
      </c>
      <c r="BG39" s="111" t="str">
        <f t="shared" si="51"/>
        <v/>
      </c>
      <c r="BH39" s="37" t="str">
        <f t="shared" si="57"/>
        <v/>
      </c>
      <c r="BI39" s="111" t="str">
        <f t="shared" si="52"/>
        <v/>
      </c>
      <c r="BJ39" s="37" t="str">
        <f t="shared" si="57"/>
        <v/>
      </c>
      <c r="BK39" s="111" t="str">
        <f t="shared" si="53"/>
        <v/>
      </c>
      <c r="BL39" s="37" t="str">
        <f t="shared" si="57"/>
        <v/>
      </c>
      <c r="BM39" s="111" t="str">
        <f t="shared" si="54"/>
        <v/>
      </c>
      <c r="BN39" s="37" t="str">
        <f t="shared" si="56"/>
        <v/>
      </c>
      <c r="BO39" s="111" t="str">
        <f t="shared" si="55"/>
        <v/>
      </c>
      <c r="BP39" s="34"/>
      <c r="BQ39" s="23"/>
      <c r="BZ39" s="60" t="str" cm="1">
        <f t="array" ref="BZ39">IFERROR(EOMONTH(EOMONTH(_xlfn._xlws.FILTER(Table1[Planned Start],(Table1[Category]=$E39)*(Table1[SBU]=$F$5)*(Table1[Execution Year]=$D39)*(Table1[Most curent]=TRUE)),0)-45,0)+1,"")</f>
        <v/>
      </c>
      <c r="CA39" s="60" t="str" cm="1">
        <f t="array" ref="CA39">IFERROR(EOMONTH(_xlfn._xlws.FILTER(Table1[Planned Award],(Table1[Category]=$E39)*(Table1[SBU]=$F$5)*(Table1[Most curent]=TRUE)*(Table1[Execution Year]=$D39)),0),"")</f>
        <v/>
      </c>
      <c r="CB39" s="60" t="str" cm="1">
        <f t="array" ref="CB39">IFERROR(EOMONTH(EOMONTH(_xlfn._xlws.FILTER(Table1[Current Phase End],(Table1[Category]=$E39)*(Table1[SBU]=$F$5)*(Table1[Most curent]=TRUE)*(Table1[Execution Year]=$D39)),0)-45,0)+1,"")</f>
        <v/>
      </c>
      <c r="CC39" s="60" t="str" cm="1">
        <f t="array" ref="CC39">IFERROR(EOMONTH(_xlfn._xlws.FILTER(Table1[Revised Award],(Table1[Category]=$E39)*(Table1[SBU]=$F$5)*(Table1[Most curent]=TRUE)*(Table1[Execution Year]=$D39)),0),"")</f>
        <v/>
      </c>
      <c r="CD39" s="60" t="str">
        <f t="shared" si="45"/>
        <v/>
      </c>
      <c r="CE39" s="60" t="str">
        <f t="shared" si="46"/>
        <v/>
      </c>
    </row>
    <row r="40" spans="2:83" ht="15.6" thickTop="1" thickBot="1">
      <c r="B40" s="123"/>
      <c r="C40" s="71"/>
      <c r="D40" s="35"/>
      <c r="E40" s="35"/>
      <c r="F40" s="35"/>
      <c r="G40" s="35"/>
      <c r="H40" s="36"/>
      <c r="I40" s="36"/>
      <c r="J40" s="35"/>
      <c r="K40" s="71"/>
      <c r="L40" s="71"/>
      <c r="M40" s="71"/>
      <c r="N40" s="34" t="str">
        <f t="shared" si="43"/>
        <v/>
      </c>
      <c r="O40" s="111" t="str">
        <f t="shared" si="44"/>
        <v/>
      </c>
      <c r="P40" s="34" t="str">
        <f t="shared" si="0"/>
        <v/>
      </c>
      <c r="Q40" s="111" t="str">
        <f t="shared" si="1"/>
        <v/>
      </c>
      <c r="R40" s="34" t="str">
        <f t="shared" si="2"/>
        <v/>
      </c>
      <c r="S40" s="111" t="str">
        <f t="shared" si="3"/>
        <v/>
      </c>
      <c r="T40" s="37" t="str">
        <f t="shared" si="4"/>
        <v/>
      </c>
      <c r="U40" s="111" t="str">
        <f t="shared" si="5"/>
        <v/>
      </c>
      <c r="V40" s="37" t="str">
        <f t="shared" si="6"/>
        <v/>
      </c>
      <c r="W40" s="111" t="str">
        <f t="shared" si="7"/>
        <v/>
      </c>
      <c r="X40" s="37" t="str">
        <f t="shared" si="8"/>
        <v/>
      </c>
      <c r="Y40" s="111" t="str">
        <f t="shared" si="9"/>
        <v/>
      </c>
      <c r="Z40" s="37" t="str">
        <f t="shared" si="10"/>
        <v/>
      </c>
      <c r="AA40" s="111" t="str">
        <f t="shared" si="11"/>
        <v/>
      </c>
      <c r="AB40" s="37" t="str">
        <f t="shared" si="12"/>
        <v/>
      </c>
      <c r="AC40" s="111" t="str">
        <f t="shared" si="13"/>
        <v/>
      </c>
      <c r="AD40" s="37" t="str">
        <f t="shared" si="14"/>
        <v/>
      </c>
      <c r="AE40" s="111" t="str">
        <f t="shared" si="15"/>
        <v/>
      </c>
      <c r="AF40" s="37" t="str">
        <f t="shared" si="16"/>
        <v/>
      </c>
      <c r="AG40" s="111" t="str">
        <f t="shared" si="17"/>
        <v/>
      </c>
      <c r="AH40" s="37" t="str">
        <f t="shared" si="18"/>
        <v/>
      </c>
      <c r="AI40" s="111" t="str">
        <f t="shared" si="19"/>
        <v/>
      </c>
      <c r="AJ40" s="37" t="str">
        <f t="shared" si="20"/>
        <v/>
      </c>
      <c r="AK40" s="111" t="str">
        <f t="shared" si="21"/>
        <v/>
      </c>
      <c r="AL40" s="37" t="str">
        <f t="shared" si="22"/>
        <v/>
      </c>
      <c r="AM40" s="111" t="str">
        <f t="shared" si="23"/>
        <v/>
      </c>
      <c r="AN40" s="37" t="str">
        <f t="shared" si="24"/>
        <v/>
      </c>
      <c r="AO40" s="111" t="str">
        <f t="shared" si="25"/>
        <v/>
      </c>
      <c r="AP40" s="37" t="str">
        <f t="shared" si="26"/>
        <v/>
      </c>
      <c r="AQ40" s="111" t="str">
        <f t="shared" si="27"/>
        <v/>
      </c>
      <c r="AR40" s="37" t="str">
        <f t="shared" si="28"/>
        <v/>
      </c>
      <c r="AS40" s="111" t="str">
        <f t="shared" si="29"/>
        <v/>
      </c>
      <c r="AT40" s="37" t="str">
        <f t="shared" si="30"/>
        <v/>
      </c>
      <c r="AU40" s="111" t="str">
        <f t="shared" si="31"/>
        <v/>
      </c>
      <c r="AV40" s="37" t="str">
        <f t="shared" si="32"/>
        <v/>
      </c>
      <c r="AW40" s="111" t="str">
        <f t="shared" si="33"/>
        <v/>
      </c>
      <c r="AX40" s="37" t="str">
        <f t="shared" si="57"/>
        <v/>
      </c>
      <c r="AY40" s="111" t="str">
        <f t="shared" si="47"/>
        <v/>
      </c>
      <c r="AZ40" s="37" t="str">
        <f t="shared" si="57"/>
        <v/>
      </c>
      <c r="BA40" s="111" t="str">
        <f t="shared" si="48"/>
        <v/>
      </c>
      <c r="BB40" s="37" t="str">
        <f t="shared" si="57"/>
        <v/>
      </c>
      <c r="BC40" s="111" t="str">
        <f t="shared" si="49"/>
        <v/>
      </c>
      <c r="BD40" s="37" t="str">
        <f t="shared" si="57"/>
        <v/>
      </c>
      <c r="BE40" s="111" t="str">
        <f t="shared" si="50"/>
        <v/>
      </c>
      <c r="BF40" s="37" t="str">
        <f t="shared" si="57"/>
        <v/>
      </c>
      <c r="BG40" s="111" t="str">
        <f t="shared" si="51"/>
        <v/>
      </c>
      <c r="BH40" s="37" t="str">
        <f t="shared" si="57"/>
        <v/>
      </c>
      <c r="BI40" s="111" t="str">
        <f t="shared" si="52"/>
        <v/>
      </c>
      <c r="BJ40" s="37" t="str">
        <f t="shared" si="57"/>
        <v/>
      </c>
      <c r="BK40" s="111" t="str">
        <f t="shared" si="53"/>
        <v/>
      </c>
      <c r="BL40" s="37" t="str">
        <f t="shared" si="57"/>
        <v/>
      </c>
      <c r="BM40" s="111" t="str">
        <f t="shared" si="54"/>
        <v/>
      </c>
      <c r="BN40" s="37" t="str">
        <f t="shared" si="56"/>
        <v/>
      </c>
      <c r="BO40" s="111" t="str">
        <f t="shared" si="55"/>
        <v/>
      </c>
      <c r="BP40" s="34"/>
      <c r="BQ40" s="23"/>
      <c r="BZ40" s="60" t="str" cm="1">
        <f t="array" ref="BZ40">IFERROR(EOMONTH(EOMONTH(_xlfn._xlws.FILTER(Table1[Planned Start],(Table1[Category]=$E40)*(Table1[SBU]=$F$5)*(Table1[Execution Year]=$D40)*(Table1[Most curent]=TRUE)),0)-45,0)+1,"")</f>
        <v/>
      </c>
      <c r="CA40" s="60" t="str" cm="1">
        <f t="array" ref="CA40">IFERROR(EOMONTH(_xlfn._xlws.FILTER(Table1[Planned Award],(Table1[Category]=$E40)*(Table1[SBU]=$F$5)*(Table1[Most curent]=TRUE)*(Table1[Execution Year]=$D40)),0),"")</f>
        <v/>
      </c>
      <c r="CB40" s="60" t="str" cm="1">
        <f t="array" ref="CB40">IFERROR(EOMONTH(EOMONTH(_xlfn._xlws.FILTER(Table1[Current Phase End],(Table1[Category]=$E40)*(Table1[SBU]=$F$5)*(Table1[Most curent]=TRUE)*(Table1[Execution Year]=$D40)),0)-45,0)+1,"")</f>
        <v/>
      </c>
      <c r="CC40" s="60" t="str" cm="1">
        <f t="array" ref="CC40">IFERROR(EOMONTH(_xlfn._xlws.FILTER(Table1[Revised Award],(Table1[Category]=$E40)*(Table1[SBU]=$F$5)*(Table1[Most curent]=TRUE)*(Table1[Execution Year]=$D40)),0),"")</f>
        <v/>
      </c>
      <c r="CD40" s="60" t="str">
        <f t="shared" si="45"/>
        <v/>
      </c>
      <c r="CE40" s="60" t="str">
        <f t="shared" si="46"/>
        <v/>
      </c>
    </row>
    <row r="41" spans="2:83" ht="15.6" thickTop="1" thickBot="1">
      <c r="B41" s="123"/>
      <c r="C41" s="71"/>
      <c r="D41" s="35"/>
      <c r="E41" s="35"/>
      <c r="F41" s="35"/>
      <c r="G41" s="35"/>
      <c r="H41" s="36"/>
      <c r="I41" s="36"/>
      <c r="J41" s="35"/>
      <c r="K41" s="71"/>
      <c r="L41" s="71"/>
      <c r="M41" s="71"/>
      <c r="N41" s="34" t="str">
        <f t="shared" si="43"/>
        <v/>
      </c>
      <c r="O41" s="111" t="str">
        <f t="shared" si="44"/>
        <v/>
      </c>
      <c r="P41" s="34" t="str">
        <f t="shared" si="0"/>
        <v/>
      </c>
      <c r="Q41" s="111" t="str">
        <f t="shared" si="1"/>
        <v/>
      </c>
      <c r="R41" s="34" t="str">
        <f t="shared" si="2"/>
        <v/>
      </c>
      <c r="S41" s="111" t="str">
        <f t="shared" si="3"/>
        <v/>
      </c>
      <c r="T41" s="37" t="str">
        <f t="shared" si="4"/>
        <v/>
      </c>
      <c r="U41" s="111" t="str">
        <f t="shared" si="5"/>
        <v/>
      </c>
      <c r="V41" s="37" t="str">
        <f t="shared" si="6"/>
        <v/>
      </c>
      <c r="W41" s="111" t="str">
        <f t="shared" si="7"/>
        <v/>
      </c>
      <c r="X41" s="37" t="str">
        <f t="shared" si="8"/>
        <v/>
      </c>
      <c r="Y41" s="111" t="str">
        <f t="shared" si="9"/>
        <v/>
      </c>
      <c r="Z41" s="37" t="str">
        <f t="shared" si="10"/>
        <v/>
      </c>
      <c r="AA41" s="111" t="str">
        <f t="shared" si="11"/>
        <v/>
      </c>
      <c r="AB41" s="37" t="str">
        <f t="shared" si="12"/>
        <v/>
      </c>
      <c r="AC41" s="111" t="str">
        <f t="shared" si="13"/>
        <v/>
      </c>
      <c r="AD41" s="37" t="str">
        <f t="shared" si="14"/>
        <v/>
      </c>
      <c r="AE41" s="111" t="str">
        <f t="shared" si="15"/>
        <v/>
      </c>
      <c r="AF41" s="37" t="str">
        <f t="shared" si="16"/>
        <v/>
      </c>
      <c r="AG41" s="111" t="str">
        <f t="shared" si="17"/>
        <v/>
      </c>
      <c r="AH41" s="37" t="str">
        <f t="shared" si="18"/>
        <v/>
      </c>
      <c r="AI41" s="111" t="str">
        <f t="shared" si="19"/>
        <v/>
      </c>
      <c r="AJ41" s="37" t="str">
        <f t="shared" si="20"/>
        <v/>
      </c>
      <c r="AK41" s="111" t="str">
        <f t="shared" si="21"/>
        <v/>
      </c>
      <c r="AL41" s="37" t="str">
        <f t="shared" si="22"/>
        <v/>
      </c>
      <c r="AM41" s="111" t="str">
        <f t="shared" si="23"/>
        <v/>
      </c>
      <c r="AN41" s="37" t="str">
        <f t="shared" si="24"/>
        <v/>
      </c>
      <c r="AO41" s="111" t="str">
        <f t="shared" si="25"/>
        <v/>
      </c>
      <c r="AP41" s="37" t="str">
        <f t="shared" si="26"/>
        <v/>
      </c>
      <c r="AQ41" s="111" t="str">
        <f t="shared" si="27"/>
        <v/>
      </c>
      <c r="AR41" s="37" t="str">
        <f t="shared" si="28"/>
        <v/>
      </c>
      <c r="AS41" s="111" t="str">
        <f t="shared" si="29"/>
        <v/>
      </c>
      <c r="AT41" s="37" t="str">
        <f t="shared" si="30"/>
        <v/>
      </c>
      <c r="AU41" s="111" t="str">
        <f t="shared" si="31"/>
        <v/>
      </c>
      <c r="AV41" s="37" t="str">
        <f t="shared" si="32"/>
        <v/>
      </c>
      <c r="AW41" s="111" t="str">
        <f t="shared" si="33"/>
        <v/>
      </c>
      <c r="AX41" s="37" t="str">
        <f t="shared" si="57"/>
        <v/>
      </c>
      <c r="AY41" s="111" t="str">
        <f t="shared" si="47"/>
        <v/>
      </c>
      <c r="AZ41" s="37" t="str">
        <f t="shared" si="57"/>
        <v/>
      </c>
      <c r="BA41" s="111" t="str">
        <f t="shared" si="48"/>
        <v/>
      </c>
      <c r="BB41" s="37" t="str">
        <f t="shared" si="57"/>
        <v/>
      </c>
      <c r="BC41" s="111" t="str">
        <f t="shared" si="49"/>
        <v/>
      </c>
      <c r="BD41" s="37" t="str">
        <f t="shared" si="57"/>
        <v/>
      </c>
      <c r="BE41" s="111" t="str">
        <f t="shared" si="50"/>
        <v/>
      </c>
      <c r="BF41" s="37" t="str">
        <f t="shared" si="57"/>
        <v/>
      </c>
      <c r="BG41" s="111" t="str">
        <f t="shared" si="51"/>
        <v/>
      </c>
      <c r="BH41" s="37" t="str">
        <f t="shared" si="57"/>
        <v/>
      </c>
      <c r="BI41" s="111" t="str">
        <f t="shared" si="52"/>
        <v/>
      </c>
      <c r="BJ41" s="37" t="str">
        <f t="shared" si="57"/>
        <v/>
      </c>
      <c r="BK41" s="111" t="str">
        <f t="shared" si="53"/>
        <v/>
      </c>
      <c r="BL41" s="37" t="str">
        <f t="shared" si="57"/>
        <v/>
      </c>
      <c r="BM41" s="111" t="str">
        <f t="shared" si="54"/>
        <v/>
      </c>
      <c r="BN41" s="37" t="str">
        <f t="shared" si="56"/>
        <v/>
      </c>
      <c r="BO41" s="111" t="str">
        <f t="shared" si="55"/>
        <v/>
      </c>
      <c r="BP41" s="34"/>
      <c r="BQ41" s="23"/>
      <c r="BZ41" s="60" t="str" cm="1">
        <f t="array" ref="BZ41">IFERROR(EOMONTH(EOMONTH(_xlfn._xlws.FILTER(Table1[Planned Start],(Table1[Category]=$E41)*(Table1[SBU]=$F$5)*(Table1[Execution Year]=$D41)*(Table1[Most curent]=TRUE)),0)-45,0)+1,"")</f>
        <v/>
      </c>
      <c r="CA41" s="60" t="str" cm="1">
        <f t="array" ref="CA41">IFERROR(EOMONTH(_xlfn._xlws.FILTER(Table1[Planned Award],(Table1[Category]=$E41)*(Table1[SBU]=$F$5)*(Table1[Most curent]=TRUE)*(Table1[Execution Year]=$D41)),0),"")</f>
        <v/>
      </c>
      <c r="CB41" s="60" t="str" cm="1">
        <f t="array" ref="CB41">IFERROR(EOMONTH(EOMONTH(_xlfn._xlws.FILTER(Table1[Current Phase End],(Table1[Category]=$E41)*(Table1[SBU]=$F$5)*(Table1[Most curent]=TRUE)*(Table1[Execution Year]=$D41)),0)-45,0)+1,"")</f>
        <v/>
      </c>
      <c r="CC41" s="60" t="str" cm="1">
        <f t="array" ref="CC41">IFERROR(EOMONTH(_xlfn._xlws.FILTER(Table1[Revised Award],(Table1[Category]=$E41)*(Table1[SBU]=$F$5)*(Table1[Most curent]=TRUE)*(Table1[Execution Year]=$D41)),0),"")</f>
        <v/>
      </c>
      <c r="CD41" s="60" t="str">
        <f t="shared" si="45"/>
        <v/>
      </c>
      <c r="CE41" s="60" t="str">
        <f t="shared" si="46"/>
        <v/>
      </c>
    </row>
    <row r="42" spans="2:83" ht="15.6" thickTop="1" thickBot="1">
      <c r="B42" s="123"/>
      <c r="C42" s="71"/>
      <c r="D42" s="35"/>
      <c r="E42" s="35"/>
      <c r="F42" s="35"/>
      <c r="G42" s="35"/>
      <c r="H42" s="36"/>
      <c r="I42" s="36"/>
      <c r="J42" s="35"/>
      <c r="K42" s="71"/>
      <c r="L42" s="71"/>
      <c r="M42" s="71"/>
      <c r="N42" s="34" t="str">
        <f t="shared" si="43"/>
        <v/>
      </c>
      <c r="O42" s="111" t="str">
        <f t="shared" si="44"/>
        <v/>
      </c>
      <c r="P42" s="34" t="str">
        <f t="shared" si="0"/>
        <v/>
      </c>
      <c r="Q42" s="111" t="str">
        <f t="shared" si="1"/>
        <v/>
      </c>
      <c r="R42" s="34" t="str">
        <f t="shared" si="2"/>
        <v/>
      </c>
      <c r="S42" s="111" t="str">
        <f t="shared" si="3"/>
        <v/>
      </c>
      <c r="T42" s="37" t="str">
        <f t="shared" si="4"/>
        <v/>
      </c>
      <c r="U42" s="111" t="str">
        <f t="shared" si="5"/>
        <v/>
      </c>
      <c r="V42" s="37" t="str">
        <f t="shared" si="6"/>
        <v/>
      </c>
      <c r="W42" s="111" t="str">
        <f t="shared" si="7"/>
        <v/>
      </c>
      <c r="X42" s="37" t="str">
        <f t="shared" si="8"/>
        <v/>
      </c>
      <c r="Y42" s="111" t="str">
        <f t="shared" si="9"/>
        <v/>
      </c>
      <c r="Z42" s="37" t="str">
        <f t="shared" si="10"/>
        <v/>
      </c>
      <c r="AA42" s="111" t="str">
        <f t="shared" si="11"/>
        <v/>
      </c>
      <c r="AB42" s="37" t="str">
        <f t="shared" si="12"/>
        <v/>
      </c>
      <c r="AC42" s="111" t="str">
        <f t="shared" si="13"/>
        <v/>
      </c>
      <c r="AD42" s="37" t="str">
        <f t="shared" si="14"/>
        <v/>
      </c>
      <c r="AE42" s="111" t="str">
        <f t="shared" si="15"/>
        <v/>
      </c>
      <c r="AF42" s="37" t="str">
        <f t="shared" si="16"/>
        <v/>
      </c>
      <c r="AG42" s="111" t="str">
        <f t="shared" si="17"/>
        <v/>
      </c>
      <c r="AH42" s="37" t="str">
        <f t="shared" si="18"/>
        <v/>
      </c>
      <c r="AI42" s="111" t="str">
        <f t="shared" si="19"/>
        <v/>
      </c>
      <c r="AJ42" s="37" t="str">
        <f t="shared" si="20"/>
        <v/>
      </c>
      <c r="AK42" s="111" t="str">
        <f t="shared" si="21"/>
        <v/>
      </c>
      <c r="AL42" s="37" t="str">
        <f t="shared" si="22"/>
        <v/>
      </c>
      <c r="AM42" s="111" t="str">
        <f t="shared" si="23"/>
        <v/>
      </c>
      <c r="AN42" s="37" t="str">
        <f t="shared" si="24"/>
        <v/>
      </c>
      <c r="AO42" s="111" t="str">
        <f t="shared" si="25"/>
        <v/>
      </c>
      <c r="AP42" s="37" t="str">
        <f t="shared" si="26"/>
        <v/>
      </c>
      <c r="AQ42" s="111" t="str">
        <f t="shared" si="27"/>
        <v/>
      </c>
      <c r="AR42" s="37" t="str">
        <f t="shared" si="28"/>
        <v/>
      </c>
      <c r="AS42" s="111" t="str">
        <f t="shared" si="29"/>
        <v/>
      </c>
      <c r="AT42" s="37" t="str">
        <f t="shared" si="30"/>
        <v/>
      </c>
      <c r="AU42" s="111" t="str">
        <f t="shared" si="31"/>
        <v/>
      </c>
      <c r="AV42" s="37" t="str">
        <f t="shared" si="32"/>
        <v/>
      </c>
      <c r="AW42" s="111" t="str">
        <f t="shared" si="33"/>
        <v/>
      </c>
      <c r="AX42" s="37" t="str">
        <f t="shared" si="57"/>
        <v/>
      </c>
      <c r="AY42" s="111" t="str">
        <f t="shared" si="47"/>
        <v/>
      </c>
      <c r="AZ42" s="37" t="str">
        <f t="shared" si="57"/>
        <v/>
      </c>
      <c r="BA42" s="111" t="str">
        <f t="shared" si="48"/>
        <v/>
      </c>
      <c r="BB42" s="37" t="str">
        <f t="shared" si="57"/>
        <v/>
      </c>
      <c r="BC42" s="111" t="str">
        <f t="shared" si="49"/>
        <v/>
      </c>
      <c r="BD42" s="37" t="str">
        <f t="shared" si="57"/>
        <v/>
      </c>
      <c r="BE42" s="111" t="str">
        <f t="shared" si="50"/>
        <v/>
      </c>
      <c r="BF42" s="37" t="str">
        <f t="shared" si="57"/>
        <v/>
      </c>
      <c r="BG42" s="111" t="str">
        <f t="shared" si="51"/>
        <v/>
      </c>
      <c r="BH42" s="37" t="str">
        <f t="shared" si="57"/>
        <v/>
      </c>
      <c r="BI42" s="111" t="str">
        <f t="shared" si="52"/>
        <v/>
      </c>
      <c r="BJ42" s="37" t="str">
        <f t="shared" si="57"/>
        <v/>
      </c>
      <c r="BK42" s="111" t="str">
        <f t="shared" si="53"/>
        <v/>
      </c>
      <c r="BL42" s="37" t="str">
        <f t="shared" si="57"/>
        <v/>
      </c>
      <c r="BM42" s="111" t="str">
        <f t="shared" si="54"/>
        <v/>
      </c>
      <c r="BN42" s="37" t="str">
        <f t="shared" si="56"/>
        <v/>
      </c>
      <c r="BO42" s="111" t="str">
        <f t="shared" si="55"/>
        <v/>
      </c>
      <c r="BP42" s="34"/>
      <c r="BQ42" s="23"/>
      <c r="BZ42" s="60" t="str" cm="1">
        <f t="array" ref="BZ42">IFERROR(EOMONTH(EOMONTH(_xlfn._xlws.FILTER(Table1[Planned Start],(Table1[Category]=$E42)*(Table1[SBU]=$F$5)*(Table1[Execution Year]=$D42)*(Table1[Most curent]=TRUE)),0)-45,0)+1,"")</f>
        <v/>
      </c>
      <c r="CA42" s="60" t="str" cm="1">
        <f t="array" ref="CA42">IFERROR(EOMONTH(_xlfn._xlws.FILTER(Table1[Planned Award],(Table1[Category]=$E42)*(Table1[SBU]=$F$5)*(Table1[Most curent]=TRUE)*(Table1[Execution Year]=$D42)),0),"")</f>
        <v/>
      </c>
      <c r="CB42" s="60" t="str" cm="1">
        <f t="array" ref="CB42">IFERROR(EOMONTH(EOMONTH(_xlfn._xlws.FILTER(Table1[Current Phase End],(Table1[Category]=$E42)*(Table1[SBU]=$F$5)*(Table1[Most curent]=TRUE)*(Table1[Execution Year]=$D42)),0)-45,0)+1,"")</f>
        <v/>
      </c>
      <c r="CC42" s="60" t="str" cm="1">
        <f t="array" ref="CC42">IFERROR(EOMONTH(_xlfn._xlws.FILTER(Table1[Revised Award],(Table1[Category]=$E42)*(Table1[SBU]=$F$5)*(Table1[Most curent]=TRUE)*(Table1[Execution Year]=$D42)),0),"")</f>
        <v/>
      </c>
      <c r="CD42" s="60" t="str">
        <f t="shared" si="45"/>
        <v/>
      </c>
      <c r="CE42" s="60" t="str">
        <f t="shared" si="46"/>
        <v/>
      </c>
    </row>
    <row r="43" spans="2:83" ht="15.6" thickTop="1" thickBot="1">
      <c r="B43" s="123"/>
      <c r="C43" s="71"/>
      <c r="D43" s="35"/>
      <c r="E43" s="35"/>
      <c r="F43" s="35"/>
      <c r="G43" s="35"/>
      <c r="H43" s="36"/>
      <c r="I43" s="36"/>
      <c r="J43" s="35"/>
      <c r="K43" s="71"/>
      <c r="L43" s="71"/>
      <c r="M43" s="71"/>
      <c r="N43" s="34" t="str">
        <f t="shared" si="43"/>
        <v/>
      </c>
      <c r="O43" s="111" t="str">
        <f t="shared" si="44"/>
        <v/>
      </c>
      <c r="P43" s="34" t="str">
        <f t="shared" si="0"/>
        <v/>
      </c>
      <c r="Q43" s="111" t="str">
        <f t="shared" si="1"/>
        <v/>
      </c>
      <c r="R43" s="34" t="str">
        <f t="shared" si="2"/>
        <v/>
      </c>
      <c r="S43" s="111" t="str">
        <f t="shared" si="3"/>
        <v/>
      </c>
      <c r="T43" s="37" t="str">
        <f t="shared" si="4"/>
        <v/>
      </c>
      <c r="U43" s="111" t="str">
        <f t="shared" si="5"/>
        <v/>
      </c>
      <c r="V43" s="37" t="str">
        <f t="shared" si="6"/>
        <v/>
      </c>
      <c r="W43" s="111" t="str">
        <f t="shared" si="7"/>
        <v/>
      </c>
      <c r="X43" s="37" t="str">
        <f t="shared" si="8"/>
        <v/>
      </c>
      <c r="Y43" s="111" t="str">
        <f t="shared" si="9"/>
        <v/>
      </c>
      <c r="Z43" s="37" t="str">
        <f t="shared" si="10"/>
        <v/>
      </c>
      <c r="AA43" s="111" t="str">
        <f t="shared" si="11"/>
        <v/>
      </c>
      <c r="AB43" s="37" t="str">
        <f t="shared" si="12"/>
        <v/>
      </c>
      <c r="AC43" s="111" t="str">
        <f t="shared" si="13"/>
        <v/>
      </c>
      <c r="AD43" s="37" t="str">
        <f t="shared" si="14"/>
        <v/>
      </c>
      <c r="AE43" s="111" t="str">
        <f t="shared" si="15"/>
        <v/>
      </c>
      <c r="AF43" s="37" t="str">
        <f t="shared" si="16"/>
        <v/>
      </c>
      <c r="AG43" s="111" t="str">
        <f t="shared" si="17"/>
        <v/>
      </c>
      <c r="AH43" s="37" t="str">
        <f t="shared" si="18"/>
        <v/>
      </c>
      <c r="AI43" s="111" t="str">
        <f t="shared" si="19"/>
        <v/>
      </c>
      <c r="AJ43" s="37" t="str">
        <f t="shared" si="20"/>
        <v/>
      </c>
      <c r="AK43" s="111" t="str">
        <f t="shared" si="21"/>
        <v/>
      </c>
      <c r="AL43" s="37" t="str">
        <f t="shared" si="22"/>
        <v/>
      </c>
      <c r="AM43" s="111" t="str">
        <f t="shared" si="23"/>
        <v/>
      </c>
      <c r="AN43" s="37" t="str">
        <f t="shared" si="24"/>
        <v/>
      </c>
      <c r="AO43" s="111" t="str">
        <f t="shared" si="25"/>
        <v/>
      </c>
      <c r="AP43" s="37" t="str">
        <f t="shared" si="26"/>
        <v/>
      </c>
      <c r="AQ43" s="111" t="str">
        <f t="shared" si="27"/>
        <v/>
      </c>
      <c r="AR43" s="37" t="str">
        <f t="shared" si="28"/>
        <v/>
      </c>
      <c r="AS43" s="111" t="str">
        <f t="shared" si="29"/>
        <v/>
      </c>
      <c r="AT43" s="37" t="str">
        <f t="shared" si="30"/>
        <v/>
      </c>
      <c r="AU43" s="111" t="str">
        <f t="shared" si="31"/>
        <v/>
      </c>
      <c r="AV43" s="37" t="str">
        <f t="shared" si="32"/>
        <v/>
      </c>
      <c r="AW43" s="111" t="str">
        <f t="shared" si="33"/>
        <v/>
      </c>
      <c r="AX43" s="37" t="str">
        <f t="shared" si="57"/>
        <v/>
      </c>
      <c r="AY43" s="111" t="str">
        <f t="shared" si="47"/>
        <v/>
      </c>
      <c r="AZ43" s="37" t="str">
        <f t="shared" si="57"/>
        <v/>
      </c>
      <c r="BA43" s="111" t="str">
        <f t="shared" si="48"/>
        <v/>
      </c>
      <c r="BB43" s="37" t="str">
        <f t="shared" si="57"/>
        <v/>
      </c>
      <c r="BC43" s="111" t="str">
        <f t="shared" si="49"/>
        <v/>
      </c>
      <c r="BD43" s="37" t="str">
        <f t="shared" si="57"/>
        <v/>
      </c>
      <c r="BE43" s="111" t="str">
        <f t="shared" si="50"/>
        <v/>
      </c>
      <c r="BF43" s="37" t="str">
        <f t="shared" si="57"/>
        <v/>
      </c>
      <c r="BG43" s="111" t="str">
        <f t="shared" si="51"/>
        <v/>
      </c>
      <c r="BH43" s="37" t="str">
        <f t="shared" si="57"/>
        <v/>
      </c>
      <c r="BI43" s="111" t="str">
        <f t="shared" si="52"/>
        <v/>
      </c>
      <c r="BJ43" s="37" t="str">
        <f t="shared" si="57"/>
        <v/>
      </c>
      <c r="BK43" s="111" t="str">
        <f t="shared" si="53"/>
        <v/>
      </c>
      <c r="BL43" s="37" t="str">
        <f t="shared" si="57"/>
        <v/>
      </c>
      <c r="BM43" s="111" t="str">
        <f t="shared" si="54"/>
        <v/>
      </c>
      <c r="BN43" s="37" t="str">
        <f t="shared" si="56"/>
        <v/>
      </c>
      <c r="BO43" s="111" t="str">
        <f t="shared" si="55"/>
        <v/>
      </c>
      <c r="BP43" s="34"/>
      <c r="BQ43" s="23"/>
      <c r="BZ43" s="60" t="str" cm="1">
        <f t="array" ref="BZ43">IFERROR(EOMONTH(EOMONTH(_xlfn._xlws.FILTER(Table1[Planned Start],(Table1[Category]=$E43)*(Table1[SBU]=$F$5)*(Table1[Execution Year]=$D43)*(Table1[Most curent]=TRUE)),0)-45,0)+1,"")</f>
        <v/>
      </c>
      <c r="CA43" s="60" t="str" cm="1">
        <f t="array" ref="CA43">IFERROR(EOMONTH(_xlfn._xlws.FILTER(Table1[Planned Award],(Table1[Category]=$E43)*(Table1[SBU]=$F$5)*(Table1[Most curent]=TRUE)*(Table1[Execution Year]=$D43)),0),"")</f>
        <v/>
      </c>
      <c r="CB43" s="60" t="str" cm="1">
        <f t="array" ref="CB43">IFERROR(EOMONTH(EOMONTH(_xlfn._xlws.FILTER(Table1[Current Phase End],(Table1[Category]=$E43)*(Table1[SBU]=$F$5)*(Table1[Most curent]=TRUE)*(Table1[Execution Year]=$D43)),0)-45,0)+1,"")</f>
        <v/>
      </c>
      <c r="CC43" s="60" t="str" cm="1">
        <f t="array" ref="CC43">IFERROR(EOMONTH(_xlfn._xlws.FILTER(Table1[Revised Award],(Table1[Category]=$E43)*(Table1[SBU]=$F$5)*(Table1[Most curent]=TRUE)*(Table1[Execution Year]=$D43)),0),"")</f>
        <v/>
      </c>
      <c r="CD43" s="60" t="str">
        <f t="shared" si="45"/>
        <v/>
      </c>
      <c r="CE43" s="60" t="str">
        <f t="shared" si="46"/>
        <v/>
      </c>
    </row>
    <row r="44" spans="2:83" ht="15.6" thickTop="1" thickBot="1">
      <c r="B44" s="123"/>
      <c r="C44" s="71"/>
      <c r="D44" s="35"/>
      <c r="E44" s="35"/>
      <c r="F44" s="35"/>
      <c r="G44" s="35"/>
      <c r="H44" s="36"/>
      <c r="I44" s="36"/>
      <c r="J44" s="35"/>
      <c r="K44" s="71"/>
      <c r="L44" s="71"/>
      <c r="M44" s="71"/>
      <c r="N44" s="34"/>
      <c r="O44" s="111"/>
      <c r="P44" s="34"/>
      <c r="Q44" s="111"/>
      <c r="R44" s="34"/>
      <c r="S44" s="111"/>
      <c r="T44" s="37"/>
      <c r="U44" s="111"/>
      <c r="V44" s="37"/>
      <c r="W44" s="111"/>
      <c r="X44" s="37"/>
      <c r="Y44" s="111"/>
      <c r="Z44" s="37"/>
      <c r="AA44" s="111"/>
      <c r="AB44" s="37"/>
      <c r="AC44" s="111"/>
      <c r="AD44" s="37"/>
      <c r="AE44" s="111"/>
      <c r="AF44" s="37"/>
      <c r="AG44" s="111"/>
      <c r="AH44" s="37"/>
      <c r="AI44" s="111"/>
      <c r="AJ44" s="37"/>
      <c r="AK44" s="111"/>
      <c r="AL44" s="37"/>
      <c r="AM44" s="111"/>
      <c r="AN44" s="37"/>
      <c r="AO44" s="111"/>
      <c r="AP44" s="37"/>
      <c r="AQ44" s="111"/>
      <c r="AR44" s="37"/>
      <c r="AS44" s="111"/>
      <c r="AT44" s="37"/>
      <c r="AU44" s="111"/>
      <c r="AV44" s="37"/>
      <c r="AW44" s="111"/>
      <c r="AX44" s="37"/>
      <c r="AY44" s="111"/>
      <c r="AZ44" s="37"/>
      <c r="BA44" s="111"/>
      <c r="BB44" s="37"/>
      <c r="BC44" s="111"/>
      <c r="BD44" s="37"/>
      <c r="BE44" s="111"/>
      <c r="BF44" s="37"/>
      <c r="BG44" s="111"/>
      <c r="BH44" s="37"/>
      <c r="BI44" s="111"/>
      <c r="BJ44" s="37"/>
      <c r="BK44" s="111"/>
      <c r="BL44" s="37"/>
      <c r="BM44" s="111"/>
      <c r="BN44" s="37"/>
      <c r="BO44" s="111"/>
      <c r="BP44" s="34"/>
      <c r="BQ44" s="23"/>
      <c r="BZ44" s="60"/>
      <c r="CA44" s="60"/>
      <c r="CB44" s="60"/>
      <c r="CC44" s="60"/>
      <c r="CD44" s="60"/>
      <c r="CE44" s="60"/>
    </row>
    <row r="45" spans="2:83" ht="15.6" thickTop="1" thickBot="1">
      <c r="B45" s="123"/>
      <c r="C45" s="71"/>
      <c r="D45" s="35"/>
      <c r="E45" s="35"/>
      <c r="F45" s="35"/>
      <c r="G45" s="35"/>
      <c r="H45" s="36"/>
      <c r="I45" s="36"/>
      <c r="J45" s="35"/>
      <c r="K45" s="71"/>
      <c r="L45" s="71"/>
      <c r="M45" s="71"/>
      <c r="N45" s="34"/>
      <c r="O45" s="111"/>
      <c r="P45" s="34"/>
      <c r="Q45" s="111"/>
      <c r="R45" s="34"/>
      <c r="S45" s="111"/>
      <c r="T45" s="37"/>
      <c r="U45" s="111"/>
      <c r="V45" s="37"/>
      <c r="W45" s="111"/>
      <c r="X45" s="37"/>
      <c r="Y45" s="111"/>
      <c r="Z45" s="37"/>
      <c r="AA45" s="111"/>
      <c r="AB45" s="37"/>
      <c r="AC45" s="111"/>
      <c r="AD45" s="37"/>
      <c r="AE45" s="111"/>
      <c r="AF45" s="37"/>
      <c r="AG45" s="111"/>
      <c r="AH45" s="37"/>
      <c r="AI45" s="111"/>
      <c r="AJ45" s="37"/>
      <c r="AK45" s="111"/>
      <c r="AL45" s="37"/>
      <c r="AM45" s="111"/>
      <c r="AN45" s="37"/>
      <c r="AO45" s="111"/>
      <c r="AP45" s="37"/>
      <c r="AQ45" s="111"/>
      <c r="AR45" s="37"/>
      <c r="AS45" s="111"/>
      <c r="AT45" s="37"/>
      <c r="AU45" s="111"/>
      <c r="AV45" s="37"/>
      <c r="AW45" s="111"/>
      <c r="AX45" s="37"/>
      <c r="AY45" s="111"/>
      <c r="AZ45" s="37"/>
      <c r="BA45" s="111"/>
      <c r="BB45" s="37"/>
      <c r="BC45" s="111"/>
      <c r="BD45" s="37"/>
      <c r="BE45" s="111"/>
      <c r="BF45" s="37"/>
      <c r="BG45" s="111"/>
      <c r="BH45" s="37"/>
      <c r="BI45" s="111"/>
      <c r="BJ45" s="37"/>
      <c r="BK45" s="111"/>
      <c r="BL45" s="37"/>
      <c r="BM45" s="111"/>
      <c r="BN45" s="37"/>
      <c r="BO45" s="111"/>
      <c r="BP45" s="34"/>
      <c r="BQ45" s="23"/>
      <c r="BZ45" s="60"/>
      <c r="CA45" s="60"/>
      <c r="CB45" s="60"/>
      <c r="CC45" s="60"/>
      <c r="CD45" s="60"/>
      <c r="CE45" s="60"/>
    </row>
    <row r="46" spans="2:83" ht="15.6" thickTop="1" thickBot="1">
      <c r="B46" s="123"/>
      <c r="C46" s="71"/>
      <c r="D46" s="35"/>
      <c r="E46" s="35"/>
      <c r="F46" s="35"/>
      <c r="G46" s="35"/>
      <c r="H46" s="36"/>
      <c r="I46" s="36"/>
      <c r="J46" s="35"/>
      <c r="K46" s="71"/>
      <c r="L46" s="71"/>
      <c r="M46" s="71"/>
      <c r="N46" s="34"/>
      <c r="O46" s="111"/>
      <c r="P46" s="34"/>
      <c r="Q46" s="111"/>
      <c r="R46" s="34"/>
      <c r="S46" s="111"/>
      <c r="T46" s="37"/>
      <c r="U46" s="111"/>
      <c r="V46" s="37"/>
      <c r="W46" s="111"/>
      <c r="X46" s="37"/>
      <c r="Y46" s="111"/>
      <c r="Z46" s="37"/>
      <c r="AA46" s="111"/>
      <c r="AB46" s="37"/>
      <c r="AC46" s="111"/>
      <c r="AD46" s="37"/>
      <c r="AE46" s="111"/>
      <c r="AF46" s="37"/>
      <c r="AG46" s="111"/>
      <c r="AH46" s="37"/>
      <c r="AI46" s="111"/>
      <c r="AJ46" s="37"/>
      <c r="AK46" s="111"/>
      <c r="AL46" s="37"/>
      <c r="AM46" s="111"/>
      <c r="AN46" s="37"/>
      <c r="AO46" s="111"/>
      <c r="AP46" s="37"/>
      <c r="AQ46" s="111"/>
      <c r="AR46" s="37"/>
      <c r="AS46" s="111"/>
      <c r="AT46" s="37"/>
      <c r="AU46" s="111"/>
      <c r="AV46" s="37"/>
      <c r="AW46" s="111"/>
      <c r="AX46" s="37"/>
      <c r="AY46" s="111"/>
      <c r="AZ46" s="37"/>
      <c r="BA46" s="111"/>
      <c r="BB46" s="37"/>
      <c r="BC46" s="111"/>
      <c r="BD46" s="37"/>
      <c r="BE46" s="111"/>
      <c r="BF46" s="37"/>
      <c r="BG46" s="111"/>
      <c r="BH46" s="37"/>
      <c r="BI46" s="111"/>
      <c r="BJ46" s="37"/>
      <c r="BK46" s="111"/>
      <c r="BL46" s="37"/>
      <c r="BM46" s="111"/>
      <c r="BN46" s="37"/>
      <c r="BO46" s="111"/>
      <c r="BP46" s="34"/>
      <c r="BQ46" s="23"/>
      <c r="BZ46" s="60"/>
      <c r="CA46" s="60"/>
      <c r="CB46" s="60"/>
      <c r="CC46" s="60"/>
      <c r="CD46" s="60"/>
      <c r="CE46" s="60"/>
    </row>
    <row r="47" spans="2:83" ht="15.6" thickTop="1" thickBot="1">
      <c r="B47" s="123"/>
      <c r="C47" s="71"/>
      <c r="D47" s="35"/>
      <c r="E47" s="35"/>
      <c r="F47" s="35"/>
      <c r="G47" s="35"/>
      <c r="H47" s="36"/>
      <c r="I47" s="36"/>
      <c r="J47" s="35"/>
      <c r="K47" s="71"/>
      <c r="L47" s="71"/>
      <c r="M47" s="71"/>
      <c r="N47" s="34"/>
      <c r="O47" s="111"/>
      <c r="P47" s="34"/>
      <c r="Q47" s="111"/>
      <c r="R47" s="34"/>
      <c r="S47" s="111"/>
      <c r="T47" s="37"/>
      <c r="U47" s="111"/>
      <c r="V47" s="37"/>
      <c r="W47" s="111"/>
      <c r="X47" s="37"/>
      <c r="Y47" s="111"/>
      <c r="Z47" s="37"/>
      <c r="AA47" s="111"/>
      <c r="AB47" s="37"/>
      <c r="AC47" s="111"/>
      <c r="AD47" s="37"/>
      <c r="AE47" s="111"/>
      <c r="AF47" s="37"/>
      <c r="AG47" s="111"/>
      <c r="AH47" s="37"/>
      <c r="AI47" s="111"/>
      <c r="AJ47" s="37"/>
      <c r="AK47" s="111"/>
      <c r="AL47" s="37"/>
      <c r="AM47" s="111"/>
      <c r="AN47" s="37"/>
      <c r="AO47" s="111"/>
      <c r="AP47" s="37"/>
      <c r="AQ47" s="111"/>
      <c r="AR47" s="37"/>
      <c r="AS47" s="111"/>
      <c r="AT47" s="37"/>
      <c r="AU47" s="111"/>
      <c r="AV47" s="37"/>
      <c r="AW47" s="111"/>
      <c r="AX47" s="37"/>
      <c r="AY47" s="111"/>
      <c r="AZ47" s="37"/>
      <c r="BA47" s="111"/>
      <c r="BB47" s="37"/>
      <c r="BC47" s="111"/>
      <c r="BD47" s="37"/>
      <c r="BE47" s="111"/>
      <c r="BF47" s="37"/>
      <c r="BG47" s="111"/>
      <c r="BH47" s="37"/>
      <c r="BI47" s="111"/>
      <c r="BJ47" s="37"/>
      <c r="BK47" s="111"/>
      <c r="BL47" s="37"/>
      <c r="BM47" s="111"/>
      <c r="BN47" s="37"/>
      <c r="BO47" s="111"/>
      <c r="BP47" s="34"/>
      <c r="BQ47" s="23"/>
      <c r="BZ47" s="60"/>
      <c r="CA47" s="60"/>
      <c r="CB47" s="60"/>
      <c r="CC47" s="60"/>
      <c r="CD47" s="60"/>
      <c r="CE47" s="60"/>
    </row>
    <row r="48" spans="2:83" ht="15.6" thickTop="1" thickBot="1">
      <c r="B48" s="123"/>
      <c r="C48" s="71"/>
      <c r="D48" s="35"/>
      <c r="E48" s="35"/>
      <c r="F48" s="35"/>
      <c r="G48" s="35"/>
      <c r="H48" s="36"/>
      <c r="I48" s="36"/>
      <c r="J48" s="35"/>
      <c r="K48" s="71"/>
      <c r="L48" s="71"/>
      <c r="M48" s="71"/>
      <c r="N48" s="34"/>
      <c r="O48" s="111"/>
      <c r="P48" s="34"/>
      <c r="Q48" s="111"/>
      <c r="R48" s="34"/>
      <c r="S48" s="111"/>
      <c r="T48" s="37"/>
      <c r="U48" s="111"/>
      <c r="V48" s="37"/>
      <c r="W48" s="111"/>
      <c r="X48" s="37"/>
      <c r="Y48" s="111"/>
      <c r="Z48" s="37"/>
      <c r="AA48" s="111"/>
      <c r="AB48" s="37"/>
      <c r="AC48" s="111"/>
      <c r="AD48" s="37"/>
      <c r="AE48" s="111"/>
      <c r="AF48" s="37"/>
      <c r="AG48" s="111"/>
      <c r="AH48" s="37"/>
      <c r="AI48" s="111"/>
      <c r="AJ48" s="37"/>
      <c r="AK48" s="111"/>
      <c r="AL48" s="37"/>
      <c r="AM48" s="111"/>
      <c r="AN48" s="37"/>
      <c r="AO48" s="111"/>
      <c r="AP48" s="37"/>
      <c r="AQ48" s="111"/>
      <c r="AR48" s="37"/>
      <c r="AS48" s="111"/>
      <c r="AT48" s="37"/>
      <c r="AU48" s="111"/>
      <c r="AV48" s="37"/>
      <c r="AW48" s="111"/>
      <c r="AX48" s="37"/>
      <c r="AY48" s="111"/>
      <c r="AZ48" s="37"/>
      <c r="BA48" s="111"/>
      <c r="BB48" s="37"/>
      <c r="BC48" s="111"/>
      <c r="BD48" s="37"/>
      <c r="BE48" s="111"/>
      <c r="BF48" s="37"/>
      <c r="BG48" s="111"/>
      <c r="BH48" s="37"/>
      <c r="BI48" s="111"/>
      <c r="BJ48" s="37"/>
      <c r="BK48" s="111"/>
      <c r="BL48" s="37"/>
      <c r="BM48" s="111"/>
      <c r="BN48" s="37"/>
      <c r="BO48" s="111"/>
      <c r="BP48" s="34"/>
      <c r="BQ48" s="23"/>
      <c r="BZ48" s="60"/>
      <c r="CA48" s="60"/>
      <c r="CB48" s="60"/>
      <c r="CC48" s="60"/>
      <c r="CD48" s="60"/>
      <c r="CE48" s="60"/>
    </row>
    <row r="49" spans="2:83" ht="15.6" thickTop="1" thickBot="1">
      <c r="B49" s="123"/>
      <c r="C49" s="71"/>
      <c r="D49" s="35"/>
      <c r="E49" s="35"/>
      <c r="F49" s="35"/>
      <c r="G49" s="35"/>
      <c r="H49" s="36"/>
      <c r="I49" s="36"/>
      <c r="J49" s="35"/>
      <c r="K49" s="71"/>
      <c r="L49" s="71"/>
      <c r="M49" s="71"/>
      <c r="N49" s="34"/>
      <c r="O49" s="111"/>
      <c r="P49" s="34"/>
      <c r="Q49" s="111"/>
      <c r="R49" s="34"/>
      <c r="S49" s="111"/>
      <c r="T49" s="37"/>
      <c r="U49" s="111"/>
      <c r="V49" s="37"/>
      <c r="W49" s="111"/>
      <c r="X49" s="37"/>
      <c r="Y49" s="111"/>
      <c r="Z49" s="37"/>
      <c r="AA49" s="111"/>
      <c r="AB49" s="37"/>
      <c r="AC49" s="111"/>
      <c r="AD49" s="37"/>
      <c r="AE49" s="111"/>
      <c r="AF49" s="37"/>
      <c r="AG49" s="111"/>
      <c r="AH49" s="37"/>
      <c r="AI49" s="111"/>
      <c r="AJ49" s="37"/>
      <c r="AK49" s="111"/>
      <c r="AL49" s="37"/>
      <c r="AM49" s="111"/>
      <c r="AN49" s="37"/>
      <c r="AO49" s="111"/>
      <c r="AP49" s="37"/>
      <c r="AQ49" s="111"/>
      <c r="AR49" s="37"/>
      <c r="AS49" s="111"/>
      <c r="AT49" s="37"/>
      <c r="AU49" s="111"/>
      <c r="AV49" s="37"/>
      <c r="AW49" s="111"/>
      <c r="AX49" s="37"/>
      <c r="AY49" s="111"/>
      <c r="AZ49" s="37"/>
      <c r="BA49" s="111"/>
      <c r="BB49" s="37"/>
      <c r="BC49" s="111"/>
      <c r="BD49" s="37"/>
      <c r="BE49" s="111"/>
      <c r="BF49" s="37"/>
      <c r="BG49" s="111"/>
      <c r="BH49" s="37"/>
      <c r="BI49" s="111"/>
      <c r="BJ49" s="37"/>
      <c r="BK49" s="111"/>
      <c r="BL49" s="37"/>
      <c r="BM49" s="111"/>
      <c r="BN49" s="37"/>
      <c r="BO49" s="111"/>
      <c r="BP49" s="34"/>
      <c r="BQ49" s="23"/>
      <c r="BZ49" s="60"/>
      <c r="CA49" s="60"/>
      <c r="CB49" s="60"/>
      <c r="CC49" s="60"/>
      <c r="CD49" s="60"/>
      <c r="CE49" s="60"/>
    </row>
    <row r="50" spans="2:83" ht="15.6" thickTop="1" thickBot="1">
      <c r="B50" s="123"/>
      <c r="C50" s="71"/>
      <c r="D50" s="35"/>
      <c r="E50" s="35"/>
      <c r="F50" s="35"/>
      <c r="G50" s="35"/>
      <c r="H50" s="36"/>
      <c r="I50" s="36"/>
      <c r="J50" s="35"/>
      <c r="K50" s="71"/>
      <c r="L50" s="71"/>
      <c r="M50" s="71"/>
      <c r="N50" s="34"/>
      <c r="O50" s="111"/>
      <c r="P50" s="34"/>
      <c r="Q50" s="111"/>
      <c r="R50" s="34"/>
      <c r="S50" s="111"/>
      <c r="T50" s="37"/>
      <c r="U50" s="111"/>
      <c r="V50" s="37"/>
      <c r="W50" s="111"/>
      <c r="X50" s="37"/>
      <c r="Y50" s="111"/>
      <c r="Z50" s="37"/>
      <c r="AA50" s="111"/>
      <c r="AB50" s="37"/>
      <c r="AC50" s="111"/>
      <c r="AD50" s="37"/>
      <c r="AE50" s="111"/>
      <c r="AF50" s="37"/>
      <c r="AG50" s="111"/>
      <c r="AH50" s="37"/>
      <c r="AI50" s="111"/>
      <c r="AJ50" s="37"/>
      <c r="AK50" s="111"/>
      <c r="AL50" s="37"/>
      <c r="AM50" s="111"/>
      <c r="AN50" s="37"/>
      <c r="AO50" s="111"/>
      <c r="AP50" s="37"/>
      <c r="AQ50" s="111"/>
      <c r="AR50" s="37"/>
      <c r="AS50" s="111"/>
      <c r="AT50" s="37"/>
      <c r="AU50" s="111"/>
      <c r="AV50" s="37"/>
      <c r="AW50" s="111"/>
      <c r="AX50" s="37"/>
      <c r="AY50" s="111"/>
      <c r="AZ50" s="37"/>
      <c r="BA50" s="111"/>
      <c r="BB50" s="37"/>
      <c r="BC50" s="111"/>
      <c r="BD50" s="37"/>
      <c r="BE50" s="111"/>
      <c r="BF50" s="37"/>
      <c r="BG50" s="111"/>
      <c r="BH50" s="37"/>
      <c r="BI50" s="111"/>
      <c r="BJ50" s="37"/>
      <c r="BK50" s="111"/>
      <c r="BL50" s="37"/>
      <c r="BM50" s="111"/>
      <c r="BN50" s="37"/>
      <c r="BO50" s="111"/>
      <c r="BP50" s="34"/>
      <c r="BQ50" s="23"/>
      <c r="BZ50" s="60"/>
      <c r="CA50" s="60"/>
      <c r="CB50" s="60"/>
      <c r="CC50" s="60"/>
      <c r="CD50" s="60"/>
      <c r="CE50" s="60"/>
    </row>
    <row r="51" spans="2:83" ht="15.6" thickTop="1" thickBot="1">
      <c r="B51" s="123"/>
      <c r="C51" s="71"/>
      <c r="D51" s="35"/>
      <c r="E51" s="35"/>
      <c r="F51" s="35"/>
      <c r="G51" s="35"/>
      <c r="H51" s="36"/>
      <c r="I51" s="36"/>
      <c r="J51" s="35"/>
      <c r="K51" s="71"/>
      <c r="L51" s="71"/>
      <c r="M51" s="71"/>
      <c r="N51" s="34"/>
      <c r="O51" s="111"/>
      <c r="P51" s="34"/>
      <c r="Q51" s="111"/>
      <c r="R51" s="34"/>
      <c r="S51" s="111"/>
      <c r="T51" s="37"/>
      <c r="U51" s="111"/>
      <c r="V51" s="37"/>
      <c r="W51" s="111"/>
      <c r="X51" s="37"/>
      <c r="Y51" s="111"/>
      <c r="Z51" s="37"/>
      <c r="AA51" s="111"/>
      <c r="AB51" s="37"/>
      <c r="AC51" s="111"/>
      <c r="AD51" s="37"/>
      <c r="AE51" s="111"/>
      <c r="AF51" s="37"/>
      <c r="AG51" s="111"/>
      <c r="AH51" s="37"/>
      <c r="AI51" s="111"/>
      <c r="AJ51" s="37"/>
      <c r="AK51" s="111"/>
      <c r="AL51" s="37"/>
      <c r="AM51" s="111"/>
      <c r="AN51" s="37"/>
      <c r="AO51" s="111"/>
      <c r="AP51" s="37"/>
      <c r="AQ51" s="111"/>
      <c r="AR51" s="37"/>
      <c r="AS51" s="111"/>
      <c r="AT51" s="37"/>
      <c r="AU51" s="111"/>
      <c r="AV51" s="37"/>
      <c r="AW51" s="111"/>
      <c r="AX51" s="37"/>
      <c r="AY51" s="111"/>
      <c r="AZ51" s="37"/>
      <c r="BA51" s="111"/>
      <c r="BB51" s="37"/>
      <c r="BC51" s="111"/>
      <c r="BD51" s="37"/>
      <c r="BE51" s="111"/>
      <c r="BF51" s="37"/>
      <c r="BG51" s="111"/>
      <c r="BH51" s="37"/>
      <c r="BI51" s="111"/>
      <c r="BJ51" s="37"/>
      <c r="BK51" s="111"/>
      <c r="BL51" s="37"/>
      <c r="BM51" s="111"/>
      <c r="BN51" s="37"/>
      <c r="BO51" s="111"/>
      <c r="BP51" s="34"/>
      <c r="BQ51" s="23"/>
      <c r="BZ51" s="60"/>
      <c r="CA51" s="60"/>
      <c r="CB51" s="60"/>
      <c r="CC51" s="60"/>
      <c r="CD51" s="60"/>
      <c r="CE51" s="60"/>
    </row>
    <row r="52" spans="2:83" ht="15.6" thickTop="1" thickBot="1">
      <c r="B52" s="123"/>
      <c r="C52" s="71"/>
      <c r="D52" s="35"/>
      <c r="E52" s="35"/>
      <c r="F52" s="35"/>
      <c r="G52" s="35"/>
      <c r="H52" s="36"/>
      <c r="I52" s="36"/>
      <c r="J52" s="35"/>
      <c r="K52" s="71"/>
      <c r="L52" s="71"/>
      <c r="M52" s="71"/>
      <c r="N52" s="34"/>
      <c r="O52" s="111"/>
      <c r="P52" s="34"/>
      <c r="Q52" s="111"/>
      <c r="R52" s="34"/>
      <c r="S52" s="111"/>
      <c r="T52" s="37"/>
      <c r="U52" s="111"/>
      <c r="V52" s="37"/>
      <c r="W52" s="111"/>
      <c r="X52" s="37"/>
      <c r="Y52" s="111"/>
      <c r="Z52" s="37"/>
      <c r="AA52" s="111"/>
      <c r="AB52" s="37"/>
      <c r="AC52" s="111"/>
      <c r="AD52" s="37"/>
      <c r="AE52" s="111"/>
      <c r="AF52" s="37"/>
      <c r="AG52" s="111"/>
      <c r="AH52" s="37"/>
      <c r="AI52" s="111"/>
      <c r="AJ52" s="37"/>
      <c r="AK52" s="111"/>
      <c r="AL52" s="37"/>
      <c r="AM52" s="111"/>
      <c r="AN52" s="37"/>
      <c r="AO52" s="111"/>
      <c r="AP52" s="37"/>
      <c r="AQ52" s="111"/>
      <c r="AR52" s="37"/>
      <c r="AS52" s="111"/>
      <c r="AT52" s="37"/>
      <c r="AU52" s="111"/>
      <c r="AV52" s="37"/>
      <c r="AW52" s="111"/>
      <c r="AX52" s="37"/>
      <c r="AY52" s="111"/>
      <c r="AZ52" s="37"/>
      <c r="BA52" s="111"/>
      <c r="BB52" s="37"/>
      <c r="BC52" s="111"/>
      <c r="BD52" s="37"/>
      <c r="BE52" s="111"/>
      <c r="BF52" s="37"/>
      <c r="BG52" s="111"/>
      <c r="BH52" s="37"/>
      <c r="BI52" s="111"/>
      <c r="BJ52" s="37"/>
      <c r="BK52" s="111"/>
      <c r="BL52" s="37"/>
      <c r="BM52" s="111"/>
      <c r="BN52" s="37"/>
      <c r="BO52" s="111"/>
      <c r="BP52" s="34"/>
      <c r="BQ52" s="23"/>
      <c r="BZ52" s="60"/>
      <c r="CA52" s="60"/>
      <c r="CB52" s="60"/>
      <c r="CC52" s="60"/>
      <c r="CD52" s="60"/>
      <c r="CE52" s="60"/>
    </row>
    <row r="53" spans="2:83" ht="15.6" thickTop="1" thickBot="1">
      <c r="B53" s="123"/>
      <c r="C53" s="71"/>
      <c r="D53" s="35"/>
      <c r="E53" s="35"/>
      <c r="F53" s="35"/>
      <c r="G53" s="35"/>
      <c r="H53" s="36"/>
      <c r="I53" s="36"/>
      <c r="J53" s="35"/>
      <c r="K53" s="71"/>
      <c r="L53" s="71"/>
      <c r="M53" s="71"/>
      <c r="N53" s="34"/>
      <c r="O53" s="111"/>
      <c r="P53" s="34"/>
      <c r="Q53" s="111"/>
      <c r="R53" s="34"/>
      <c r="S53" s="111"/>
      <c r="T53" s="37"/>
      <c r="U53" s="111"/>
      <c r="V53" s="37"/>
      <c r="W53" s="111"/>
      <c r="X53" s="37"/>
      <c r="Y53" s="111"/>
      <c r="Z53" s="37"/>
      <c r="AA53" s="111"/>
      <c r="AB53" s="37"/>
      <c r="AC53" s="111"/>
      <c r="AD53" s="37"/>
      <c r="AE53" s="111"/>
      <c r="AF53" s="37"/>
      <c r="AG53" s="111"/>
      <c r="AH53" s="37"/>
      <c r="AI53" s="111"/>
      <c r="AJ53" s="37"/>
      <c r="AK53" s="111"/>
      <c r="AL53" s="37"/>
      <c r="AM53" s="111"/>
      <c r="AN53" s="37"/>
      <c r="AO53" s="111"/>
      <c r="AP53" s="37"/>
      <c r="AQ53" s="111"/>
      <c r="AR53" s="37"/>
      <c r="AS53" s="111"/>
      <c r="AT53" s="37"/>
      <c r="AU53" s="111"/>
      <c r="AV53" s="37"/>
      <c r="AW53" s="111"/>
      <c r="AX53" s="37"/>
      <c r="AY53" s="111"/>
      <c r="AZ53" s="37"/>
      <c r="BA53" s="111"/>
      <c r="BB53" s="37"/>
      <c r="BC53" s="111"/>
      <c r="BD53" s="37"/>
      <c r="BE53" s="111"/>
      <c r="BF53" s="37"/>
      <c r="BG53" s="111"/>
      <c r="BH53" s="37"/>
      <c r="BI53" s="111"/>
      <c r="BJ53" s="37"/>
      <c r="BK53" s="111"/>
      <c r="BL53" s="37"/>
      <c r="BM53" s="111"/>
      <c r="BN53" s="37"/>
      <c r="BO53" s="111"/>
      <c r="BP53" s="34"/>
      <c r="BQ53" s="23"/>
      <c r="BZ53" s="60"/>
      <c r="CA53" s="60"/>
      <c r="CB53" s="60"/>
      <c r="CC53" s="60"/>
      <c r="CD53" s="60"/>
      <c r="CE53" s="60"/>
    </row>
    <row r="54" spans="2:83" ht="15.6" thickTop="1" thickBot="1">
      <c r="B54" s="123"/>
      <c r="C54" s="71"/>
      <c r="D54" s="35"/>
      <c r="E54" s="35"/>
      <c r="F54" s="35"/>
      <c r="G54" s="35"/>
      <c r="H54" s="36"/>
      <c r="I54" s="36"/>
      <c r="J54" s="35"/>
      <c r="K54" s="71"/>
      <c r="L54" s="71"/>
      <c r="M54" s="71"/>
      <c r="N54" s="34"/>
      <c r="O54" s="111"/>
      <c r="P54" s="34"/>
      <c r="Q54" s="111"/>
      <c r="R54" s="34"/>
      <c r="S54" s="111"/>
      <c r="T54" s="37"/>
      <c r="U54" s="111"/>
      <c r="V54" s="37"/>
      <c r="W54" s="111"/>
      <c r="X54" s="37"/>
      <c r="Y54" s="111"/>
      <c r="Z54" s="37"/>
      <c r="AA54" s="111"/>
      <c r="AB54" s="37"/>
      <c r="AC54" s="111"/>
      <c r="AD54" s="37"/>
      <c r="AE54" s="111"/>
      <c r="AF54" s="37"/>
      <c r="AG54" s="111"/>
      <c r="AH54" s="37"/>
      <c r="AI54" s="111"/>
      <c r="AJ54" s="37"/>
      <c r="AK54" s="111"/>
      <c r="AL54" s="37"/>
      <c r="AM54" s="111"/>
      <c r="AN54" s="37"/>
      <c r="AO54" s="111"/>
      <c r="AP54" s="37"/>
      <c r="AQ54" s="111"/>
      <c r="AR54" s="37"/>
      <c r="AS54" s="111"/>
      <c r="AT54" s="37"/>
      <c r="AU54" s="111"/>
      <c r="AV54" s="37"/>
      <c r="AW54" s="111"/>
      <c r="AX54" s="37"/>
      <c r="AY54" s="111"/>
      <c r="AZ54" s="37"/>
      <c r="BA54" s="111"/>
      <c r="BB54" s="37"/>
      <c r="BC54" s="111"/>
      <c r="BD54" s="37"/>
      <c r="BE54" s="111"/>
      <c r="BF54" s="37"/>
      <c r="BG54" s="111"/>
      <c r="BH54" s="37"/>
      <c r="BI54" s="111"/>
      <c r="BJ54" s="37"/>
      <c r="BK54" s="111"/>
      <c r="BL54" s="37"/>
      <c r="BM54" s="111"/>
      <c r="BN54" s="37"/>
      <c r="BO54" s="111"/>
      <c r="BP54" s="34"/>
      <c r="BQ54" s="23"/>
      <c r="BZ54" s="60"/>
      <c r="CA54" s="60"/>
      <c r="CB54" s="60"/>
      <c r="CC54" s="60"/>
      <c r="CD54" s="60"/>
      <c r="CE54" s="60"/>
    </row>
    <row r="55" spans="2:83" ht="15.6" thickTop="1" thickBot="1">
      <c r="B55" s="123"/>
      <c r="C55" s="71"/>
      <c r="D55" s="35"/>
      <c r="E55" s="35"/>
      <c r="F55" s="35"/>
      <c r="G55" s="35"/>
      <c r="H55" s="36"/>
      <c r="I55" s="36"/>
      <c r="J55" s="35"/>
      <c r="K55" s="71"/>
      <c r="L55" s="71"/>
      <c r="M55" s="71"/>
      <c r="N55" s="34"/>
      <c r="O55" s="111"/>
      <c r="P55" s="34"/>
      <c r="Q55" s="111"/>
      <c r="R55" s="34"/>
      <c r="S55" s="111"/>
      <c r="T55" s="37"/>
      <c r="U55" s="111"/>
      <c r="V55" s="37"/>
      <c r="W55" s="111"/>
      <c r="X55" s="37"/>
      <c r="Y55" s="111"/>
      <c r="Z55" s="37"/>
      <c r="AA55" s="111"/>
      <c r="AB55" s="37"/>
      <c r="AC55" s="111"/>
      <c r="AD55" s="37"/>
      <c r="AE55" s="111"/>
      <c r="AF55" s="37"/>
      <c r="AG55" s="111"/>
      <c r="AH55" s="37"/>
      <c r="AI55" s="111"/>
      <c r="AJ55" s="37"/>
      <c r="AK55" s="111"/>
      <c r="AL55" s="37"/>
      <c r="AM55" s="111"/>
      <c r="AN55" s="37"/>
      <c r="AO55" s="111"/>
      <c r="AP55" s="37"/>
      <c r="AQ55" s="111"/>
      <c r="AR55" s="37"/>
      <c r="AS55" s="111"/>
      <c r="AT55" s="37"/>
      <c r="AU55" s="111"/>
      <c r="AV55" s="37"/>
      <c r="AW55" s="111"/>
      <c r="AX55" s="37"/>
      <c r="AY55" s="111"/>
      <c r="AZ55" s="37"/>
      <c r="BA55" s="111"/>
      <c r="BB55" s="37"/>
      <c r="BC55" s="111"/>
      <c r="BD55" s="37"/>
      <c r="BE55" s="111"/>
      <c r="BF55" s="37"/>
      <c r="BG55" s="111"/>
      <c r="BH55" s="37"/>
      <c r="BI55" s="111"/>
      <c r="BJ55" s="37"/>
      <c r="BK55" s="111"/>
      <c r="BL55" s="37"/>
      <c r="BM55" s="111"/>
      <c r="BN55" s="37"/>
      <c r="BO55" s="111"/>
      <c r="BP55" s="34"/>
      <c r="BQ55" s="23"/>
      <c r="BZ55" s="60"/>
      <c r="CA55" s="60"/>
      <c r="CB55" s="60"/>
      <c r="CC55" s="60"/>
      <c r="CD55" s="60"/>
      <c r="CE55" s="60"/>
    </row>
    <row r="56" spans="2:83" ht="15.6" thickTop="1" thickBot="1">
      <c r="B56" s="123"/>
      <c r="C56" s="71"/>
      <c r="D56" s="35"/>
      <c r="E56" s="35"/>
      <c r="F56" s="35"/>
      <c r="G56" s="35"/>
      <c r="H56" s="36"/>
      <c r="I56" s="36"/>
      <c r="J56" s="35"/>
      <c r="K56" s="71"/>
      <c r="L56" s="71"/>
      <c r="M56" s="71"/>
      <c r="N56" s="34"/>
      <c r="O56" s="111"/>
      <c r="P56" s="34"/>
      <c r="Q56" s="111"/>
      <c r="R56" s="34"/>
      <c r="S56" s="111"/>
      <c r="T56" s="37"/>
      <c r="U56" s="111"/>
      <c r="V56" s="37"/>
      <c r="W56" s="111"/>
      <c r="X56" s="37"/>
      <c r="Y56" s="111"/>
      <c r="Z56" s="37"/>
      <c r="AA56" s="111"/>
      <c r="AB56" s="37"/>
      <c r="AC56" s="111"/>
      <c r="AD56" s="37"/>
      <c r="AE56" s="111"/>
      <c r="AF56" s="37"/>
      <c r="AG56" s="111"/>
      <c r="AH56" s="37"/>
      <c r="AI56" s="111"/>
      <c r="AJ56" s="37"/>
      <c r="AK56" s="111"/>
      <c r="AL56" s="37"/>
      <c r="AM56" s="111"/>
      <c r="AN56" s="37"/>
      <c r="AO56" s="111"/>
      <c r="AP56" s="37"/>
      <c r="AQ56" s="111"/>
      <c r="AR56" s="37"/>
      <c r="AS56" s="111"/>
      <c r="AT56" s="37"/>
      <c r="AU56" s="111"/>
      <c r="AV56" s="37"/>
      <c r="AW56" s="111"/>
      <c r="AX56" s="37"/>
      <c r="AY56" s="111"/>
      <c r="AZ56" s="37"/>
      <c r="BA56" s="111"/>
      <c r="BB56" s="37"/>
      <c r="BC56" s="111"/>
      <c r="BD56" s="37"/>
      <c r="BE56" s="111"/>
      <c r="BF56" s="37"/>
      <c r="BG56" s="111"/>
      <c r="BH56" s="37"/>
      <c r="BI56" s="111"/>
      <c r="BJ56" s="37"/>
      <c r="BK56" s="111"/>
      <c r="BL56" s="37"/>
      <c r="BM56" s="111"/>
      <c r="BN56" s="37"/>
      <c r="BO56" s="111"/>
      <c r="BP56" s="34"/>
      <c r="BQ56" s="23"/>
      <c r="BZ56" s="60"/>
      <c r="CA56" s="60"/>
      <c r="CB56" s="60"/>
      <c r="CC56" s="60"/>
      <c r="CD56" s="60"/>
      <c r="CE56" s="60"/>
    </row>
    <row r="57" spans="2:83" ht="15.6" thickTop="1" thickBot="1">
      <c r="B57" s="123"/>
      <c r="C57" s="71"/>
      <c r="D57" s="35"/>
      <c r="E57" s="35"/>
      <c r="F57" s="35"/>
      <c r="G57" s="35"/>
      <c r="H57" s="36"/>
      <c r="I57" s="36"/>
      <c r="J57" s="35"/>
      <c r="K57" s="71"/>
      <c r="L57" s="71"/>
      <c r="M57" s="71"/>
      <c r="N57" s="34"/>
      <c r="O57" s="111"/>
      <c r="P57" s="34"/>
      <c r="Q57" s="111"/>
      <c r="R57" s="34"/>
      <c r="S57" s="111"/>
      <c r="T57" s="37"/>
      <c r="U57" s="111"/>
      <c r="V57" s="37"/>
      <c r="W57" s="111"/>
      <c r="X57" s="37"/>
      <c r="Y57" s="111"/>
      <c r="Z57" s="37"/>
      <c r="AA57" s="111"/>
      <c r="AB57" s="37"/>
      <c r="AC57" s="111"/>
      <c r="AD57" s="37"/>
      <c r="AE57" s="111"/>
      <c r="AF57" s="37"/>
      <c r="AG57" s="111"/>
      <c r="AH57" s="37"/>
      <c r="AI57" s="111"/>
      <c r="AJ57" s="37"/>
      <c r="AK57" s="111"/>
      <c r="AL57" s="37"/>
      <c r="AM57" s="111"/>
      <c r="AN57" s="37"/>
      <c r="AO57" s="111"/>
      <c r="AP57" s="37"/>
      <c r="AQ57" s="111"/>
      <c r="AR57" s="37"/>
      <c r="AS57" s="111"/>
      <c r="AT57" s="37"/>
      <c r="AU57" s="111"/>
      <c r="AV57" s="37"/>
      <c r="AW57" s="111"/>
      <c r="AX57" s="37"/>
      <c r="AY57" s="111"/>
      <c r="AZ57" s="37"/>
      <c r="BA57" s="111"/>
      <c r="BB57" s="37"/>
      <c r="BC57" s="111"/>
      <c r="BD57" s="37"/>
      <c r="BE57" s="111"/>
      <c r="BF57" s="37"/>
      <c r="BG57" s="111"/>
      <c r="BH57" s="37"/>
      <c r="BI57" s="111"/>
      <c r="BJ57" s="37"/>
      <c r="BK57" s="111"/>
      <c r="BL57" s="37"/>
      <c r="BM57" s="111"/>
      <c r="BN57" s="37"/>
      <c r="BO57" s="111"/>
      <c r="BP57" s="34"/>
      <c r="BQ57" s="23"/>
      <c r="BZ57" s="60"/>
      <c r="CA57" s="60"/>
      <c r="CB57" s="60"/>
      <c r="CC57" s="60"/>
      <c r="CD57" s="60"/>
      <c r="CE57" s="60"/>
    </row>
    <row r="58" spans="2:83" ht="15.6" thickTop="1" thickBot="1">
      <c r="B58" s="123"/>
      <c r="C58" s="71"/>
      <c r="D58" s="35"/>
      <c r="E58" s="35"/>
      <c r="F58" s="35"/>
      <c r="G58" s="35"/>
      <c r="H58" s="36"/>
      <c r="I58" s="36"/>
      <c r="J58" s="35"/>
      <c r="K58" s="71"/>
      <c r="L58" s="71"/>
      <c r="M58" s="71"/>
      <c r="N58" s="34"/>
      <c r="O58" s="111"/>
      <c r="P58" s="34"/>
      <c r="Q58" s="111"/>
      <c r="R58" s="34"/>
      <c r="S58" s="111"/>
      <c r="T58" s="37"/>
      <c r="U58" s="111"/>
      <c r="V58" s="37"/>
      <c r="W58" s="111"/>
      <c r="X58" s="37"/>
      <c r="Y58" s="111"/>
      <c r="Z58" s="37"/>
      <c r="AA58" s="111"/>
      <c r="AB58" s="37"/>
      <c r="AC58" s="111"/>
      <c r="AD58" s="37"/>
      <c r="AE58" s="111"/>
      <c r="AF58" s="37"/>
      <c r="AG58" s="111"/>
      <c r="AH58" s="37"/>
      <c r="AI58" s="111"/>
      <c r="AJ58" s="37"/>
      <c r="AK58" s="111"/>
      <c r="AL58" s="37"/>
      <c r="AM58" s="111"/>
      <c r="AN58" s="37"/>
      <c r="AO58" s="111"/>
      <c r="AP58" s="37"/>
      <c r="AQ58" s="111"/>
      <c r="AR58" s="37"/>
      <c r="AS58" s="111"/>
      <c r="AT58" s="37"/>
      <c r="AU58" s="111"/>
      <c r="AV58" s="37"/>
      <c r="AW58" s="111"/>
      <c r="AX58" s="37"/>
      <c r="AY58" s="111"/>
      <c r="AZ58" s="37"/>
      <c r="BA58" s="111"/>
      <c r="BB58" s="37"/>
      <c r="BC58" s="111"/>
      <c r="BD58" s="37"/>
      <c r="BE58" s="111"/>
      <c r="BF58" s="37"/>
      <c r="BG58" s="111"/>
      <c r="BH58" s="37"/>
      <c r="BI58" s="111"/>
      <c r="BJ58" s="37"/>
      <c r="BK58" s="111"/>
      <c r="BL58" s="37"/>
      <c r="BM58" s="111"/>
      <c r="BN58" s="37"/>
      <c r="BO58" s="111"/>
      <c r="BP58" s="34"/>
      <c r="BQ58" s="23"/>
      <c r="BZ58" s="60"/>
      <c r="CA58" s="60"/>
      <c r="CB58" s="60"/>
      <c r="CC58" s="60"/>
      <c r="CD58" s="60"/>
      <c r="CE58" s="60"/>
    </row>
    <row r="59" spans="2:83" ht="15.6" thickTop="1" thickBot="1">
      <c r="B59" s="123"/>
      <c r="C59" s="71"/>
      <c r="D59" s="35"/>
      <c r="E59" s="35"/>
      <c r="F59" s="35"/>
      <c r="G59" s="35"/>
      <c r="H59" s="36"/>
      <c r="I59" s="36"/>
      <c r="J59" s="35"/>
      <c r="K59" s="71"/>
      <c r="L59" s="71"/>
      <c r="M59" s="71"/>
      <c r="N59" s="34" t="str">
        <f t="shared" si="43"/>
        <v/>
      </c>
      <c r="O59" s="111" t="str">
        <f t="shared" si="44"/>
        <v/>
      </c>
      <c r="P59" s="34" t="str">
        <f t="shared" si="0"/>
        <v/>
      </c>
      <c r="Q59" s="111" t="str">
        <f t="shared" si="1"/>
        <v/>
      </c>
      <c r="R59" s="34" t="str">
        <f t="shared" si="2"/>
        <v/>
      </c>
      <c r="S59" s="111" t="str">
        <f t="shared" si="3"/>
        <v/>
      </c>
      <c r="T59" s="37" t="str">
        <f t="shared" si="4"/>
        <v/>
      </c>
      <c r="U59" s="111" t="str">
        <f t="shared" si="5"/>
        <v/>
      </c>
      <c r="V59" s="37" t="str">
        <f t="shared" si="6"/>
        <v/>
      </c>
      <c r="W59" s="111" t="str">
        <f t="shared" si="7"/>
        <v/>
      </c>
      <c r="X59" s="37" t="str">
        <f t="shared" si="8"/>
        <v/>
      </c>
      <c r="Y59" s="111" t="str">
        <f t="shared" si="9"/>
        <v/>
      </c>
      <c r="Z59" s="37" t="str">
        <f t="shared" si="10"/>
        <v/>
      </c>
      <c r="AA59" s="111" t="str">
        <f t="shared" si="11"/>
        <v/>
      </c>
      <c r="AB59" s="37" t="str">
        <f t="shared" si="12"/>
        <v/>
      </c>
      <c r="AC59" s="111" t="str">
        <f t="shared" si="13"/>
        <v/>
      </c>
      <c r="AD59" s="37" t="str">
        <f t="shared" si="14"/>
        <v/>
      </c>
      <c r="AE59" s="111" t="str">
        <f t="shared" si="15"/>
        <v/>
      </c>
      <c r="AF59" s="37" t="str">
        <f t="shared" si="16"/>
        <v/>
      </c>
      <c r="AG59" s="111" t="str">
        <f t="shared" si="17"/>
        <v/>
      </c>
      <c r="AH59" s="37" t="str">
        <f t="shared" si="18"/>
        <v/>
      </c>
      <c r="AI59" s="111" t="str">
        <f t="shared" si="19"/>
        <v/>
      </c>
      <c r="AJ59" s="37" t="str">
        <f t="shared" si="20"/>
        <v/>
      </c>
      <c r="AK59" s="111" t="str">
        <f t="shared" si="21"/>
        <v/>
      </c>
      <c r="AL59" s="37" t="str">
        <f t="shared" si="22"/>
        <v/>
      </c>
      <c r="AM59" s="111" t="str">
        <f t="shared" si="23"/>
        <v/>
      </c>
      <c r="AN59" s="37" t="str">
        <f t="shared" si="24"/>
        <v/>
      </c>
      <c r="AO59" s="111" t="str">
        <f t="shared" si="25"/>
        <v/>
      </c>
      <c r="AP59" s="37" t="str">
        <f t="shared" si="26"/>
        <v/>
      </c>
      <c r="AQ59" s="111" t="str">
        <f t="shared" si="27"/>
        <v/>
      </c>
      <c r="AR59" s="37" t="str">
        <f t="shared" si="28"/>
        <v/>
      </c>
      <c r="AS59" s="111" t="str">
        <f t="shared" si="29"/>
        <v/>
      </c>
      <c r="AT59" s="37" t="str">
        <f t="shared" si="30"/>
        <v/>
      </c>
      <c r="AU59" s="111" t="str">
        <f t="shared" si="31"/>
        <v/>
      </c>
      <c r="AV59" s="37" t="str">
        <f t="shared" si="32"/>
        <v/>
      </c>
      <c r="AW59" s="111" t="str">
        <f t="shared" si="33"/>
        <v/>
      </c>
      <c r="AX59" s="37" t="str">
        <f t="shared" si="57"/>
        <v/>
      </c>
      <c r="AY59" s="111" t="str">
        <f t="shared" si="47"/>
        <v/>
      </c>
      <c r="AZ59" s="37" t="str">
        <f t="shared" si="57"/>
        <v/>
      </c>
      <c r="BA59" s="111" t="str">
        <f t="shared" si="48"/>
        <v/>
      </c>
      <c r="BB59" s="37" t="str">
        <f t="shared" si="57"/>
        <v/>
      </c>
      <c r="BC59" s="111" t="str">
        <f t="shared" si="49"/>
        <v/>
      </c>
      <c r="BD59" s="37" t="str">
        <f t="shared" si="57"/>
        <v/>
      </c>
      <c r="BE59" s="111" t="str">
        <f t="shared" si="50"/>
        <v/>
      </c>
      <c r="BF59" s="37" t="str">
        <f t="shared" si="57"/>
        <v/>
      </c>
      <c r="BG59" s="111" t="str">
        <f t="shared" si="51"/>
        <v/>
      </c>
      <c r="BH59" s="37" t="str">
        <f t="shared" si="57"/>
        <v/>
      </c>
      <c r="BI59" s="111" t="str">
        <f t="shared" si="52"/>
        <v/>
      </c>
      <c r="BJ59" s="37" t="str">
        <f t="shared" si="57"/>
        <v/>
      </c>
      <c r="BK59" s="111" t="str">
        <f t="shared" si="53"/>
        <v/>
      </c>
      <c r="BL59" s="37" t="str">
        <f t="shared" si="57"/>
        <v/>
      </c>
      <c r="BM59" s="111" t="str">
        <f t="shared" si="54"/>
        <v/>
      </c>
      <c r="BN59" s="37" t="str">
        <f t="shared" si="56"/>
        <v/>
      </c>
      <c r="BO59" s="111" t="str">
        <f t="shared" si="55"/>
        <v/>
      </c>
      <c r="BP59" s="34"/>
      <c r="BQ59" s="23"/>
      <c r="BZ59" s="60" t="str" cm="1">
        <f t="array" ref="BZ59">IFERROR(EOMONTH(EOMONTH(_xlfn._xlws.FILTER(Table1[Planned Start],(Table1[Category]=$E59)*(Table1[SBU]=$F$5)*(Table1[Execution Year]=$D59)*(Table1[Most curent]=TRUE)),0)-45,0)+1,"")</f>
        <v/>
      </c>
      <c r="CA59" s="60" t="str" cm="1">
        <f t="array" ref="CA59">IFERROR(EOMONTH(_xlfn._xlws.FILTER(Table1[Planned Award],(Table1[Category]=$E59)*(Table1[SBU]=$F$5)*(Table1[Most curent]=TRUE)*(Table1[Execution Year]=$D59)),0),"")</f>
        <v/>
      </c>
      <c r="CB59" s="60" t="str" cm="1">
        <f t="array" ref="CB59">IFERROR(EOMONTH(EOMONTH(_xlfn._xlws.FILTER(Table1[Current Phase End],(Table1[Category]=$E59)*(Table1[SBU]=$F$5)*(Table1[Most curent]=TRUE)*(Table1[Execution Year]=$D59)),0)-45,0)+1,"")</f>
        <v/>
      </c>
      <c r="CC59" s="60" t="str" cm="1">
        <f t="array" ref="CC59">IFERROR(EOMONTH(_xlfn._xlws.FILTER(Table1[Revised Award],(Table1[Category]=$E59)*(Table1[SBU]=$F$5)*(Table1[Most curent]=TRUE)*(Table1[Execution Year]=$D59)),0),"")</f>
        <v/>
      </c>
      <c r="CD59" s="60" t="str">
        <f t="shared" si="45"/>
        <v/>
      </c>
      <c r="CE59" s="60" t="str">
        <f t="shared" si="46"/>
        <v/>
      </c>
    </row>
    <row r="60" spans="2:83" ht="15.6" thickTop="1" thickBot="1">
      <c r="B60" s="123"/>
      <c r="C60" s="71"/>
      <c r="D60" s="35"/>
      <c r="E60" s="35"/>
      <c r="F60" s="35"/>
      <c r="G60" s="35"/>
      <c r="H60" s="36"/>
      <c r="I60" s="36"/>
      <c r="J60" s="35"/>
      <c r="K60" s="71"/>
      <c r="L60" s="71"/>
      <c r="M60" s="71"/>
      <c r="N60" s="34" t="str">
        <f t="shared" si="43"/>
        <v/>
      </c>
      <c r="O60" s="111" t="str">
        <f t="shared" si="44"/>
        <v/>
      </c>
      <c r="P60" s="34" t="str">
        <f t="shared" si="0"/>
        <v/>
      </c>
      <c r="Q60" s="111" t="str">
        <f t="shared" si="1"/>
        <v/>
      </c>
      <c r="R60" s="34" t="str">
        <f t="shared" si="2"/>
        <v/>
      </c>
      <c r="S60" s="111" t="str">
        <f t="shared" si="3"/>
        <v/>
      </c>
      <c r="T60" s="37" t="str">
        <f t="shared" si="4"/>
        <v/>
      </c>
      <c r="U60" s="111" t="str">
        <f t="shared" si="5"/>
        <v/>
      </c>
      <c r="V60" s="37" t="str">
        <f t="shared" si="6"/>
        <v/>
      </c>
      <c r="W60" s="111" t="str">
        <f t="shared" si="7"/>
        <v/>
      </c>
      <c r="X60" s="37" t="str">
        <f t="shared" si="8"/>
        <v/>
      </c>
      <c r="Y60" s="111" t="str">
        <f t="shared" si="9"/>
        <v/>
      </c>
      <c r="Z60" s="37" t="str">
        <f t="shared" si="10"/>
        <v/>
      </c>
      <c r="AA60" s="111" t="str">
        <f t="shared" si="11"/>
        <v/>
      </c>
      <c r="AB60" s="37" t="str">
        <f t="shared" si="12"/>
        <v/>
      </c>
      <c r="AC60" s="111" t="str">
        <f t="shared" si="13"/>
        <v/>
      </c>
      <c r="AD60" s="37" t="str">
        <f t="shared" si="14"/>
        <v/>
      </c>
      <c r="AE60" s="111" t="str">
        <f t="shared" si="15"/>
        <v/>
      </c>
      <c r="AF60" s="37" t="str">
        <f t="shared" si="16"/>
        <v/>
      </c>
      <c r="AG60" s="111" t="str">
        <f t="shared" si="17"/>
        <v/>
      </c>
      <c r="AH60" s="37" t="str">
        <f t="shared" si="18"/>
        <v/>
      </c>
      <c r="AI60" s="111" t="str">
        <f t="shared" si="19"/>
        <v/>
      </c>
      <c r="AJ60" s="37" t="str">
        <f t="shared" si="20"/>
        <v/>
      </c>
      <c r="AK60" s="111" t="str">
        <f t="shared" si="21"/>
        <v/>
      </c>
      <c r="AL60" s="37" t="str">
        <f t="shared" si="22"/>
        <v/>
      </c>
      <c r="AM60" s="111" t="str">
        <f t="shared" si="23"/>
        <v/>
      </c>
      <c r="AN60" s="37" t="str">
        <f t="shared" si="24"/>
        <v/>
      </c>
      <c r="AO60" s="111" t="str">
        <f t="shared" si="25"/>
        <v/>
      </c>
      <c r="AP60" s="37" t="str">
        <f t="shared" si="26"/>
        <v/>
      </c>
      <c r="AQ60" s="111" t="str">
        <f t="shared" si="27"/>
        <v/>
      </c>
      <c r="AR60" s="37" t="str">
        <f t="shared" si="28"/>
        <v/>
      </c>
      <c r="AS60" s="111" t="str">
        <f t="shared" si="29"/>
        <v/>
      </c>
      <c r="AT60" s="37" t="str">
        <f t="shared" si="30"/>
        <v/>
      </c>
      <c r="AU60" s="111" t="str">
        <f t="shared" si="31"/>
        <v/>
      </c>
      <c r="AV60" s="37" t="str">
        <f t="shared" si="32"/>
        <v/>
      </c>
      <c r="AW60" s="111" t="str">
        <f t="shared" si="33"/>
        <v/>
      </c>
      <c r="AX60" s="37" t="str">
        <f t="shared" si="57"/>
        <v/>
      </c>
      <c r="AY60" s="111" t="str">
        <f t="shared" si="47"/>
        <v/>
      </c>
      <c r="AZ60" s="37" t="str">
        <f t="shared" si="57"/>
        <v/>
      </c>
      <c r="BA60" s="111" t="str">
        <f t="shared" si="48"/>
        <v/>
      </c>
      <c r="BB60" s="37" t="str">
        <f t="shared" si="57"/>
        <v/>
      </c>
      <c r="BC60" s="111" t="str">
        <f t="shared" si="49"/>
        <v/>
      </c>
      <c r="BD60" s="37" t="str">
        <f t="shared" si="57"/>
        <v/>
      </c>
      <c r="BE60" s="111" t="str">
        <f t="shared" si="50"/>
        <v/>
      </c>
      <c r="BF60" s="37" t="str">
        <f t="shared" si="57"/>
        <v/>
      </c>
      <c r="BG60" s="111" t="str">
        <f t="shared" si="51"/>
        <v/>
      </c>
      <c r="BH60" s="37" t="str">
        <f t="shared" si="57"/>
        <v/>
      </c>
      <c r="BI60" s="111" t="str">
        <f t="shared" si="52"/>
        <v/>
      </c>
      <c r="BJ60" s="37" t="str">
        <f t="shared" si="57"/>
        <v/>
      </c>
      <c r="BK60" s="111" t="str">
        <f t="shared" si="53"/>
        <v/>
      </c>
      <c r="BL60" s="37" t="str">
        <f t="shared" si="57"/>
        <v/>
      </c>
      <c r="BM60" s="111" t="str">
        <f t="shared" si="54"/>
        <v/>
      </c>
      <c r="BN60" s="37" t="str">
        <f t="shared" si="56"/>
        <v/>
      </c>
      <c r="BO60" s="111" t="str">
        <f t="shared" si="55"/>
        <v/>
      </c>
      <c r="BP60" s="34"/>
      <c r="BQ60" s="23"/>
      <c r="BZ60" s="60" t="str" cm="1">
        <f t="array" ref="BZ60">IFERROR(EOMONTH(EOMONTH(_xlfn._xlws.FILTER(Table1[Planned Start],(Table1[Category]=$E60)*(Table1[SBU]=$F$5)*(Table1[Execution Year]=$D60)*(Table1[Most curent]=TRUE)),0)-45,0)+1,"")</f>
        <v/>
      </c>
      <c r="CA60" s="60" t="str" cm="1">
        <f t="array" ref="CA60">IFERROR(EOMONTH(_xlfn._xlws.FILTER(Table1[Planned Award],(Table1[Category]=$E60)*(Table1[SBU]=$F$5)*(Table1[Most curent]=TRUE)*(Table1[Execution Year]=$D60)),0),"")</f>
        <v/>
      </c>
      <c r="CB60" s="60" t="str" cm="1">
        <f t="array" ref="CB60">IFERROR(EOMONTH(EOMONTH(_xlfn._xlws.FILTER(Table1[Current Phase End],(Table1[Category]=$E60)*(Table1[SBU]=$F$5)*(Table1[Most curent]=TRUE)*(Table1[Execution Year]=$D60)),0)-45,0)+1,"")</f>
        <v/>
      </c>
      <c r="CC60" s="60" t="str" cm="1">
        <f t="array" ref="CC60">IFERROR(EOMONTH(_xlfn._xlws.FILTER(Table1[Revised Award],(Table1[Category]=$E60)*(Table1[SBU]=$F$5)*(Table1[Most curent]=TRUE)*(Table1[Execution Year]=$D60)),0),"")</f>
        <v/>
      </c>
      <c r="CD60" s="60" t="str">
        <f t="shared" si="45"/>
        <v/>
      </c>
      <c r="CE60" s="60" t="str">
        <f t="shared" si="46"/>
        <v/>
      </c>
    </row>
    <row r="61" spans="2:83" ht="15.6" thickTop="1" thickBot="1">
      <c r="B61" s="123"/>
      <c r="C61" s="71"/>
      <c r="D61" s="35"/>
      <c r="E61" s="35"/>
      <c r="F61" s="35"/>
      <c r="G61" s="35"/>
      <c r="H61" s="36"/>
      <c r="I61" s="36"/>
      <c r="J61" s="35"/>
      <c r="K61" s="71"/>
      <c r="L61" s="71"/>
      <c r="M61" s="71"/>
      <c r="N61" s="34" t="str">
        <f t="shared" si="43"/>
        <v/>
      </c>
      <c r="O61" s="111" t="str">
        <f t="shared" si="44"/>
        <v/>
      </c>
      <c r="P61" s="34" t="str">
        <f t="shared" si="0"/>
        <v/>
      </c>
      <c r="Q61" s="111" t="str">
        <f t="shared" si="1"/>
        <v/>
      </c>
      <c r="R61" s="34" t="str">
        <f t="shared" si="2"/>
        <v/>
      </c>
      <c r="S61" s="111" t="str">
        <f t="shared" si="3"/>
        <v/>
      </c>
      <c r="T61" s="37" t="str">
        <f t="shared" si="4"/>
        <v/>
      </c>
      <c r="U61" s="111" t="str">
        <f t="shared" si="5"/>
        <v/>
      </c>
      <c r="V61" s="37" t="str">
        <f t="shared" si="6"/>
        <v/>
      </c>
      <c r="W61" s="111" t="str">
        <f t="shared" si="7"/>
        <v/>
      </c>
      <c r="X61" s="37" t="str">
        <f t="shared" si="8"/>
        <v/>
      </c>
      <c r="Y61" s="111" t="str">
        <f t="shared" si="9"/>
        <v/>
      </c>
      <c r="Z61" s="37" t="str">
        <f t="shared" si="10"/>
        <v/>
      </c>
      <c r="AA61" s="111" t="str">
        <f t="shared" si="11"/>
        <v/>
      </c>
      <c r="AB61" s="37" t="str">
        <f t="shared" si="12"/>
        <v/>
      </c>
      <c r="AC61" s="111" t="str">
        <f t="shared" si="13"/>
        <v/>
      </c>
      <c r="AD61" s="37" t="str">
        <f t="shared" si="14"/>
        <v/>
      </c>
      <c r="AE61" s="111" t="str">
        <f t="shared" si="15"/>
        <v/>
      </c>
      <c r="AF61" s="37" t="str">
        <f t="shared" si="16"/>
        <v/>
      </c>
      <c r="AG61" s="111" t="str">
        <f t="shared" si="17"/>
        <v/>
      </c>
      <c r="AH61" s="37" t="str">
        <f t="shared" si="18"/>
        <v/>
      </c>
      <c r="AI61" s="111" t="str">
        <f t="shared" si="19"/>
        <v/>
      </c>
      <c r="AJ61" s="37" t="str">
        <f t="shared" si="20"/>
        <v/>
      </c>
      <c r="AK61" s="111" t="str">
        <f t="shared" si="21"/>
        <v/>
      </c>
      <c r="AL61" s="37" t="str">
        <f t="shared" si="22"/>
        <v/>
      </c>
      <c r="AM61" s="111" t="str">
        <f t="shared" si="23"/>
        <v/>
      </c>
      <c r="AN61" s="37" t="str">
        <f t="shared" si="24"/>
        <v/>
      </c>
      <c r="AO61" s="111" t="str">
        <f t="shared" si="25"/>
        <v/>
      </c>
      <c r="AP61" s="37" t="str">
        <f t="shared" si="26"/>
        <v/>
      </c>
      <c r="AQ61" s="111" t="str">
        <f t="shared" si="27"/>
        <v/>
      </c>
      <c r="AR61" s="37" t="str">
        <f t="shared" si="28"/>
        <v/>
      </c>
      <c r="AS61" s="111" t="str">
        <f t="shared" si="29"/>
        <v/>
      </c>
      <c r="AT61" s="37" t="str">
        <f t="shared" si="30"/>
        <v/>
      </c>
      <c r="AU61" s="111" t="str">
        <f t="shared" si="31"/>
        <v/>
      </c>
      <c r="AV61" s="37" t="str">
        <f t="shared" si="32"/>
        <v/>
      </c>
      <c r="AW61" s="111" t="str">
        <f t="shared" si="33"/>
        <v/>
      </c>
      <c r="AX61" s="37" t="str">
        <f t="shared" si="57"/>
        <v/>
      </c>
      <c r="AY61" s="111" t="str">
        <f t="shared" si="47"/>
        <v/>
      </c>
      <c r="AZ61" s="37" t="str">
        <f t="shared" si="57"/>
        <v/>
      </c>
      <c r="BA61" s="111" t="str">
        <f t="shared" si="48"/>
        <v/>
      </c>
      <c r="BB61" s="37" t="str">
        <f t="shared" si="57"/>
        <v/>
      </c>
      <c r="BC61" s="111" t="str">
        <f t="shared" si="49"/>
        <v/>
      </c>
      <c r="BD61" s="37" t="str">
        <f t="shared" si="57"/>
        <v/>
      </c>
      <c r="BE61" s="111" t="str">
        <f t="shared" si="50"/>
        <v/>
      </c>
      <c r="BF61" s="37" t="str">
        <f t="shared" si="57"/>
        <v/>
      </c>
      <c r="BG61" s="111" t="str">
        <f t="shared" si="51"/>
        <v/>
      </c>
      <c r="BH61" s="37" t="str">
        <f t="shared" si="57"/>
        <v/>
      </c>
      <c r="BI61" s="111" t="str">
        <f t="shared" si="52"/>
        <v/>
      </c>
      <c r="BJ61" s="37" t="str">
        <f t="shared" si="57"/>
        <v/>
      </c>
      <c r="BK61" s="111" t="str">
        <f t="shared" si="53"/>
        <v/>
      </c>
      <c r="BL61" s="37" t="str">
        <f t="shared" si="57"/>
        <v/>
      </c>
      <c r="BM61" s="111" t="str">
        <f t="shared" si="54"/>
        <v/>
      </c>
      <c r="BN61" s="37" t="str">
        <f t="shared" si="56"/>
        <v/>
      </c>
      <c r="BO61" s="111" t="str">
        <f t="shared" si="55"/>
        <v/>
      </c>
      <c r="BP61" s="34"/>
      <c r="BQ61" s="23"/>
      <c r="BZ61" s="60" t="str" cm="1">
        <f t="array" ref="BZ61">IFERROR(EOMONTH(EOMONTH(_xlfn._xlws.FILTER(Table1[Planned Start],(Table1[Category]=$E61)*(Table1[SBU]=$F$5)*(Table1[Execution Year]=$D61)*(Table1[Most curent]=TRUE)),0)-45,0)+1,"")</f>
        <v/>
      </c>
      <c r="CA61" s="60" t="str" cm="1">
        <f t="array" ref="CA61">IFERROR(EOMONTH(_xlfn._xlws.FILTER(Table1[Planned Award],(Table1[Category]=$E61)*(Table1[SBU]=$F$5)*(Table1[Most curent]=TRUE)*(Table1[Execution Year]=$D61)),0),"")</f>
        <v/>
      </c>
      <c r="CB61" s="60" t="str" cm="1">
        <f t="array" ref="CB61">IFERROR(EOMONTH(EOMONTH(_xlfn._xlws.FILTER(Table1[Current Phase End],(Table1[Category]=$E61)*(Table1[SBU]=$F$5)*(Table1[Most curent]=TRUE)*(Table1[Execution Year]=$D61)),0)-45,0)+1,"")</f>
        <v/>
      </c>
      <c r="CC61" s="60" t="str" cm="1">
        <f t="array" ref="CC61">IFERROR(EOMONTH(_xlfn._xlws.FILTER(Table1[Revised Award],(Table1[Category]=$E61)*(Table1[SBU]=$F$5)*(Table1[Most curent]=TRUE)*(Table1[Execution Year]=$D61)),0),"")</f>
        <v/>
      </c>
      <c r="CD61" s="60" t="str">
        <f t="shared" si="45"/>
        <v/>
      </c>
      <c r="CE61" s="60" t="str">
        <f t="shared" si="46"/>
        <v/>
      </c>
    </row>
    <row r="62" spans="2:83" ht="15.6" thickTop="1" thickBot="1">
      <c r="B62" s="123"/>
      <c r="C62" s="71"/>
      <c r="D62" s="35"/>
      <c r="E62" s="35"/>
      <c r="F62" s="35"/>
      <c r="G62" s="35"/>
      <c r="H62" s="36"/>
      <c r="I62" s="36"/>
      <c r="J62" s="35"/>
      <c r="K62" s="71"/>
      <c r="L62" s="71"/>
      <c r="M62" s="71"/>
      <c r="N62" s="34" t="str">
        <f t="shared" si="43"/>
        <v/>
      </c>
      <c r="O62" s="111" t="str">
        <f t="shared" si="44"/>
        <v/>
      </c>
      <c r="P62" s="34" t="str">
        <f t="shared" si="0"/>
        <v/>
      </c>
      <c r="Q62" s="111" t="str">
        <f t="shared" si="1"/>
        <v/>
      </c>
      <c r="R62" s="34" t="str">
        <f t="shared" si="2"/>
        <v/>
      </c>
      <c r="S62" s="111" t="str">
        <f t="shared" si="3"/>
        <v/>
      </c>
      <c r="T62" s="37" t="str">
        <f t="shared" si="4"/>
        <v/>
      </c>
      <c r="U62" s="111" t="str">
        <f t="shared" si="5"/>
        <v/>
      </c>
      <c r="V62" s="37" t="str">
        <f t="shared" si="6"/>
        <v/>
      </c>
      <c r="W62" s="111" t="str">
        <f t="shared" si="7"/>
        <v/>
      </c>
      <c r="X62" s="37" t="str">
        <f t="shared" si="8"/>
        <v/>
      </c>
      <c r="Y62" s="111" t="str">
        <f t="shared" si="9"/>
        <v/>
      </c>
      <c r="Z62" s="37" t="str">
        <f t="shared" si="10"/>
        <v/>
      </c>
      <c r="AA62" s="111" t="str">
        <f t="shared" si="11"/>
        <v/>
      </c>
      <c r="AB62" s="37" t="str">
        <f t="shared" si="12"/>
        <v/>
      </c>
      <c r="AC62" s="111" t="str">
        <f t="shared" si="13"/>
        <v/>
      </c>
      <c r="AD62" s="37" t="str">
        <f t="shared" si="14"/>
        <v/>
      </c>
      <c r="AE62" s="111" t="str">
        <f t="shared" si="15"/>
        <v/>
      </c>
      <c r="AF62" s="37" t="str">
        <f t="shared" si="16"/>
        <v/>
      </c>
      <c r="AG62" s="111" t="str">
        <f t="shared" si="17"/>
        <v/>
      </c>
      <c r="AH62" s="37" t="str">
        <f t="shared" si="18"/>
        <v/>
      </c>
      <c r="AI62" s="111" t="str">
        <f t="shared" si="19"/>
        <v/>
      </c>
      <c r="AJ62" s="37" t="str">
        <f t="shared" si="20"/>
        <v/>
      </c>
      <c r="AK62" s="111" t="str">
        <f t="shared" si="21"/>
        <v/>
      </c>
      <c r="AL62" s="37" t="str">
        <f t="shared" si="22"/>
        <v/>
      </c>
      <c r="AM62" s="111" t="str">
        <f t="shared" si="23"/>
        <v/>
      </c>
      <c r="AN62" s="37" t="str">
        <f t="shared" si="24"/>
        <v/>
      </c>
      <c r="AO62" s="111" t="str">
        <f t="shared" si="25"/>
        <v/>
      </c>
      <c r="AP62" s="37" t="str">
        <f t="shared" si="26"/>
        <v/>
      </c>
      <c r="AQ62" s="111" t="str">
        <f t="shared" si="27"/>
        <v/>
      </c>
      <c r="AR62" s="37" t="str">
        <f t="shared" si="28"/>
        <v/>
      </c>
      <c r="AS62" s="111" t="str">
        <f t="shared" si="29"/>
        <v/>
      </c>
      <c r="AT62" s="37" t="str">
        <f t="shared" si="30"/>
        <v/>
      </c>
      <c r="AU62" s="111" t="str">
        <f t="shared" si="31"/>
        <v/>
      </c>
      <c r="AV62" s="37" t="str">
        <f t="shared" si="32"/>
        <v/>
      </c>
      <c r="AW62" s="111" t="str">
        <f t="shared" si="33"/>
        <v/>
      </c>
      <c r="AX62" s="37" t="str">
        <f t="shared" si="57"/>
        <v/>
      </c>
      <c r="AY62" s="111" t="str">
        <f t="shared" si="47"/>
        <v/>
      </c>
      <c r="AZ62" s="37" t="str">
        <f t="shared" si="57"/>
        <v/>
      </c>
      <c r="BA62" s="111" t="str">
        <f t="shared" si="48"/>
        <v/>
      </c>
      <c r="BB62" s="37" t="str">
        <f t="shared" si="57"/>
        <v/>
      </c>
      <c r="BC62" s="111" t="str">
        <f t="shared" si="49"/>
        <v/>
      </c>
      <c r="BD62" s="37" t="str">
        <f t="shared" si="57"/>
        <v/>
      </c>
      <c r="BE62" s="111" t="str">
        <f t="shared" si="50"/>
        <v/>
      </c>
      <c r="BF62" s="37" t="str">
        <f t="shared" si="57"/>
        <v/>
      </c>
      <c r="BG62" s="111" t="str">
        <f t="shared" si="51"/>
        <v/>
      </c>
      <c r="BH62" s="37" t="str">
        <f t="shared" si="57"/>
        <v/>
      </c>
      <c r="BI62" s="111" t="str">
        <f t="shared" si="52"/>
        <v/>
      </c>
      <c r="BJ62" s="37" t="str">
        <f t="shared" si="57"/>
        <v/>
      </c>
      <c r="BK62" s="111" t="str">
        <f t="shared" si="53"/>
        <v/>
      </c>
      <c r="BL62" s="37" t="str">
        <f t="shared" si="57"/>
        <v/>
      </c>
      <c r="BM62" s="111" t="str">
        <f t="shared" si="54"/>
        <v/>
      </c>
      <c r="BN62" s="37" t="str">
        <f t="shared" si="56"/>
        <v/>
      </c>
      <c r="BO62" s="111" t="str">
        <f t="shared" si="55"/>
        <v/>
      </c>
      <c r="BP62" s="34"/>
      <c r="BQ62" s="23"/>
      <c r="BZ62" s="60" t="str" cm="1">
        <f t="array" ref="BZ62">IFERROR(EOMONTH(EOMONTH(_xlfn._xlws.FILTER(Table1[Planned Start],(Table1[Category]=$E62)*(Table1[SBU]=$F$5)*(Table1[Execution Year]=$D62)*(Table1[Most curent]=TRUE)),0)-45,0)+1,"")</f>
        <v/>
      </c>
      <c r="CA62" s="60" t="str" cm="1">
        <f t="array" ref="CA62">IFERROR(EOMONTH(_xlfn._xlws.FILTER(Table1[Planned Award],(Table1[Category]=$E62)*(Table1[SBU]=$F$5)*(Table1[Most curent]=TRUE)*(Table1[Execution Year]=$D62)),0),"")</f>
        <v/>
      </c>
      <c r="CB62" s="60" t="str" cm="1">
        <f t="array" ref="CB62">IFERROR(EOMONTH(EOMONTH(_xlfn._xlws.FILTER(Table1[Current Phase End],(Table1[Category]=$E62)*(Table1[SBU]=$F$5)*(Table1[Most curent]=TRUE)*(Table1[Execution Year]=$D62)),0)-45,0)+1,"")</f>
        <v/>
      </c>
      <c r="CC62" s="60" t="str" cm="1">
        <f t="array" ref="CC62">IFERROR(EOMONTH(_xlfn._xlws.FILTER(Table1[Revised Award],(Table1[Category]=$E62)*(Table1[SBU]=$F$5)*(Table1[Most curent]=TRUE)*(Table1[Execution Year]=$D62)),0),"")</f>
        <v/>
      </c>
      <c r="CD62" s="60" t="str">
        <f t="shared" si="45"/>
        <v/>
      </c>
      <c r="CE62" s="60" t="str">
        <f t="shared" si="46"/>
        <v/>
      </c>
    </row>
    <row r="63" spans="2:83" ht="15.6" thickTop="1" thickBot="1">
      <c r="B63" s="123"/>
      <c r="C63" s="71"/>
      <c r="D63" s="35"/>
      <c r="E63" s="35"/>
      <c r="F63" s="35"/>
      <c r="G63" s="35"/>
      <c r="H63" s="36"/>
      <c r="I63" s="36"/>
      <c r="J63" s="35"/>
      <c r="K63" s="71"/>
      <c r="L63" s="71"/>
      <c r="M63" s="71"/>
      <c r="N63" s="34" t="str">
        <f t="shared" si="43"/>
        <v/>
      </c>
      <c r="O63" s="111" t="str">
        <f t="shared" si="44"/>
        <v/>
      </c>
      <c r="P63" s="34" t="str">
        <f t="shared" si="0"/>
        <v/>
      </c>
      <c r="Q63" s="111" t="str">
        <f t="shared" si="1"/>
        <v/>
      </c>
      <c r="R63" s="34" t="str">
        <f t="shared" si="2"/>
        <v/>
      </c>
      <c r="S63" s="111" t="str">
        <f t="shared" si="3"/>
        <v/>
      </c>
      <c r="T63" s="37" t="str">
        <f t="shared" si="4"/>
        <v/>
      </c>
      <c r="U63" s="111" t="str">
        <f t="shared" si="5"/>
        <v/>
      </c>
      <c r="V63" s="37" t="str">
        <f t="shared" si="6"/>
        <v/>
      </c>
      <c r="W63" s="111" t="str">
        <f t="shared" si="7"/>
        <v/>
      </c>
      <c r="X63" s="37" t="str">
        <f t="shared" si="8"/>
        <v/>
      </c>
      <c r="Y63" s="111" t="str">
        <f t="shared" si="9"/>
        <v/>
      </c>
      <c r="Z63" s="37" t="str">
        <f t="shared" si="10"/>
        <v/>
      </c>
      <c r="AA63" s="111" t="str">
        <f t="shared" si="11"/>
        <v/>
      </c>
      <c r="AB63" s="37" t="str">
        <f t="shared" si="12"/>
        <v/>
      </c>
      <c r="AC63" s="111" t="str">
        <f t="shared" si="13"/>
        <v/>
      </c>
      <c r="AD63" s="37" t="str">
        <f t="shared" si="14"/>
        <v/>
      </c>
      <c r="AE63" s="111" t="str">
        <f t="shared" si="15"/>
        <v/>
      </c>
      <c r="AF63" s="37" t="str">
        <f t="shared" si="16"/>
        <v/>
      </c>
      <c r="AG63" s="111" t="str">
        <f t="shared" si="17"/>
        <v/>
      </c>
      <c r="AH63" s="37" t="str">
        <f t="shared" si="18"/>
        <v/>
      </c>
      <c r="AI63" s="111" t="str">
        <f t="shared" si="19"/>
        <v/>
      </c>
      <c r="AJ63" s="37" t="str">
        <f t="shared" si="20"/>
        <v/>
      </c>
      <c r="AK63" s="111" t="str">
        <f t="shared" si="21"/>
        <v/>
      </c>
      <c r="AL63" s="37" t="str">
        <f t="shared" si="22"/>
        <v/>
      </c>
      <c r="AM63" s="111" t="str">
        <f t="shared" si="23"/>
        <v/>
      </c>
      <c r="AN63" s="37" t="str">
        <f t="shared" si="24"/>
        <v/>
      </c>
      <c r="AO63" s="111" t="str">
        <f t="shared" si="25"/>
        <v/>
      </c>
      <c r="AP63" s="37" t="str">
        <f t="shared" si="26"/>
        <v/>
      </c>
      <c r="AQ63" s="111" t="str">
        <f t="shared" si="27"/>
        <v/>
      </c>
      <c r="AR63" s="37" t="str">
        <f t="shared" si="28"/>
        <v/>
      </c>
      <c r="AS63" s="111" t="str">
        <f t="shared" si="29"/>
        <v/>
      </c>
      <c r="AT63" s="37" t="str">
        <f t="shared" si="30"/>
        <v/>
      </c>
      <c r="AU63" s="111" t="str">
        <f t="shared" si="31"/>
        <v/>
      </c>
      <c r="AV63" s="37" t="str">
        <f t="shared" si="32"/>
        <v/>
      </c>
      <c r="AW63" s="111" t="str">
        <f t="shared" si="33"/>
        <v/>
      </c>
      <c r="AX63" s="37" t="str">
        <f t="shared" si="57"/>
        <v/>
      </c>
      <c r="AY63" s="111" t="str">
        <f t="shared" si="47"/>
        <v/>
      </c>
      <c r="AZ63" s="37" t="str">
        <f t="shared" si="57"/>
        <v/>
      </c>
      <c r="BA63" s="111" t="str">
        <f t="shared" si="48"/>
        <v/>
      </c>
      <c r="BB63" s="37" t="str">
        <f t="shared" si="57"/>
        <v/>
      </c>
      <c r="BC63" s="111" t="str">
        <f t="shared" si="49"/>
        <v/>
      </c>
      <c r="BD63" s="37" t="str">
        <f t="shared" si="57"/>
        <v/>
      </c>
      <c r="BE63" s="111" t="str">
        <f t="shared" si="50"/>
        <v/>
      </c>
      <c r="BF63" s="37" t="str">
        <f t="shared" si="57"/>
        <v/>
      </c>
      <c r="BG63" s="111" t="str">
        <f t="shared" si="51"/>
        <v/>
      </c>
      <c r="BH63" s="37" t="str">
        <f t="shared" si="57"/>
        <v/>
      </c>
      <c r="BI63" s="111" t="str">
        <f t="shared" si="52"/>
        <v/>
      </c>
      <c r="BJ63" s="37" t="str">
        <f t="shared" si="57"/>
        <v/>
      </c>
      <c r="BK63" s="111" t="str">
        <f t="shared" si="53"/>
        <v/>
      </c>
      <c r="BL63" s="37" t="str">
        <f t="shared" si="57"/>
        <v/>
      </c>
      <c r="BM63" s="111" t="str">
        <f t="shared" si="54"/>
        <v/>
      </c>
      <c r="BN63" s="37" t="str">
        <f t="shared" si="56"/>
        <v/>
      </c>
      <c r="BO63" s="111" t="str">
        <f t="shared" si="55"/>
        <v/>
      </c>
      <c r="BP63" s="34"/>
      <c r="BQ63" s="23"/>
      <c r="BZ63" s="60" t="str" cm="1">
        <f t="array" ref="BZ63">IFERROR(EOMONTH(EOMONTH(_xlfn._xlws.FILTER(Table1[Planned Start],(Table1[Category]=$E63)*(Table1[SBU]=$F$5)*(Table1[Execution Year]=$D63)*(Table1[Most curent]=TRUE)),0)-45,0)+1,"")</f>
        <v/>
      </c>
      <c r="CA63" s="60" t="str" cm="1">
        <f t="array" ref="CA63">IFERROR(EOMONTH(_xlfn._xlws.FILTER(Table1[Planned Award],(Table1[Category]=$E63)*(Table1[SBU]=$F$5)*(Table1[Most curent]=TRUE)*(Table1[Execution Year]=$D63)),0),"")</f>
        <v/>
      </c>
      <c r="CB63" s="60" t="str" cm="1">
        <f t="array" ref="CB63">IFERROR(EOMONTH(EOMONTH(_xlfn._xlws.FILTER(Table1[Current Phase End],(Table1[Category]=$E63)*(Table1[SBU]=$F$5)*(Table1[Most curent]=TRUE)*(Table1[Execution Year]=$D63)),0)-45,0)+1,"")</f>
        <v/>
      </c>
      <c r="CC63" s="60" t="str" cm="1">
        <f t="array" ref="CC63">IFERROR(EOMONTH(_xlfn._xlws.FILTER(Table1[Revised Award],(Table1[Category]=$E63)*(Table1[SBU]=$F$5)*(Table1[Most curent]=TRUE)*(Table1[Execution Year]=$D63)),0),"")</f>
        <v/>
      </c>
      <c r="CD63" s="60" t="str">
        <f t="shared" si="45"/>
        <v/>
      </c>
      <c r="CE63" s="60" t="str">
        <f t="shared" si="46"/>
        <v/>
      </c>
    </row>
    <row r="64" spans="2:83" ht="15.6" thickTop="1" thickBot="1">
      <c r="B64" s="123"/>
      <c r="C64" s="71"/>
      <c r="D64" s="35"/>
      <c r="E64" s="35"/>
      <c r="F64" s="35"/>
      <c r="G64" s="35"/>
      <c r="H64" s="36"/>
      <c r="I64" s="36"/>
      <c r="J64" s="35"/>
      <c r="K64" s="71"/>
      <c r="L64" s="71"/>
      <c r="M64" s="71"/>
      <c r="N64" s="34" t="str">
        <f t="shared" si="43"/>
        <v/>
      </c>
      <c r="O64" s="111" t="str">
        <f t="shared" si="44"/>
        <v/>
      </c>
      <c r="P64" s="34" t="str">
        <f t="shared" si="0"/>
        <v/>
      </c>
      <c r="Q64" s="111" t="str">
        <f t="shared" si="1"/>
        <v/>
      </c>
      <c r="R64" s="34" t="str">
        <f t="shared" si="2"/>
        <v/>
      </c>
      <c r="S64" s="111" t="str">
        <f t="shared" si="3"/>
        <v/>
      </c>
      <c r="T64" s="37" t="str">
        <f t="shared" si="4"/>
        <v/>
      </c>
      <c r="U64" s="111" t="str">
        <f t="shared" si="5"/>
        <v/>
      </c>
      <c r="V64" s="37" t="str">
        <f t="shared" si="6"/>
        <v/>
      </c>
      <c r="W64" s="111" t="str">
        <f t="shared" si="7"/>
        <v/>
      </c>
      <c r="X64" s="37" t="str">
        <f t="shared" si="8"/>
        <v/>
      </c>
      <c r="Y64" s="111" t="str">
        <f t="shared" si="9"/>
        <v/>
      </c>
      <c r="Z64" s="37" t="str">
        <f t="shared" si="10"/>
        <v/>
      </c>
      <c r="AA64" s="111" t="str">
        <f t="shared" si="11"/>
        <v/>
      </c>
      <c r="AB64" s="37" t="str">
        <f t="shared" si="12"/>
        <v/>
      </c>
      <c r="AC64" s="111" t="str">
        <f t="shared" si="13"/>
        <v/>
      </c>
      <c r="AD64" s="37" t="str">
        <f t="shared" si="14"/>
        <v/>
      </c>
      <c r="AE64" s="111" t="str">
        <f t="shared" si="15"/>
        <v/>
      </c>
      <c r="AF64" s="37" t="str">
        <f t="shared" si="16"/>
        <v/>
      </c>
      <c r="AG64" s="111" t="str">
        <f t="shared" si="17"/>
        <v/>
      </c>
      <c r="AH64" s="37" t="str">
        <f t="shared" si="18"/>
        <v/>
      </c>
      <c r="AI64" s="111" t="str">
        <f t="shared" si="19"/>
        <v/>
      </c>
      <c r="AJ64" s="37" t="str">
        <f t="shared" si="20"/>
        <v/>
      </c>
      <c r="AK64" s="111" t="str">
        <f t="shared" si="21"/>
        <v/>
      </c>
      <c r="AL64" s="37" t="str">
        <f t="shared" si="22"/>
        <v/>
      </c>
      <c r="AM64" s="111" t="str">
        <f t="shared" si="23"/>
        <v/>
      </c>
      <c r="AN64" s="37" t="str">
        <f t="shared" si="24"/>
        <v/>
      </c>
      <c r="AO64" s="111" t="str">
        <f t="shared" si="25"/>
        <v/>
      </c>
      <c r="AP64" s="37" t="str">
        <f t="shared" si="26"/>
        <v/>
      </c>
      <c r="AQ64" s="111" t="str">
        <f t="shared" si="27"/>
        <v/>
      </c>
      <c r="AR64" s="37" t="str">
        <f t="shared" si="28"/>
        <v/>
      </c>
      <c r="AS64" s="111" t="str">
        <f t="shared" si="29"/>
        <v/>
      </c>
      <c r="AT64" s="37" t="str">
        <f t="shared" si="30"/>
        <v/>
      </c>
      <c r="AU64" s="111" t="str">
        <f t="shared" si="31"/>
        <v/>
      </c>
      <c r="AV64" s="37" t="str">
        <f t="shared" si="32"/>
        <v/>
      </c>
      <c r="AW64" s="111" t="str">
        <f t="shared" si="33"/>
        <v/>
      </c>
      <c r="AX64" s="37" t="str">
        <f t="shared" si="57"/>
        <v/>
      </c>
      <c r="AY64" s="111" t="str">
        <f t="shared" si="47"/>
        <v/>
      </c>
      <c r="AZ64" s="37" t="str">
        <f t="shared" si="57"/>
        <v/>
      </c>
      <c r="BA64" s="111" t="str">
        <f t="shared" si="48"/>
        <v/>
      </c>
      <c r="BB64" s="37" t="str">
        <f t="shared" si="57"/>
        <v/>
      </c>
      <c r="BC64" s="111" t="str">
        <f t="shared" si="49"/>
        <v/>
      </c>
      <c r="BD64" s="37" t="str">
        <f t="shared" si="57"/>
        <v/>
      </c>
      <c r="BE64" s="111" t="str">
        <f t="shared" si="50"/>
        <v/>
      </c>
      <c r="BF64" s="37" t="str">
        <f t="shared" si="57"/>
        <v/>
      </c>
      <c r="BG64" s="111" t="str">
        <f t="shared" si="51"/>
        <v/>
      </c>
      <c r="BH64" s="37" t="str">
        <f t="shared" si="57"/>
        <v/>
      </c>
      <c r="BI64" s="111" t="str">
        <f t="shared" si="52"/>
        <v/>
      </c>
      <c r="BJ64" s="37" t="str">
        <f t="shared" si="57"/>
        <v/>
      </c>
      <c r="BK64" s="111" t="str">
        <f t="shared" si="53"/>
        <v/>
      </c>
      <c r="BL64" s="37" t="str">
        <f t="shared" si="57"/>
        <v/>
      </c>
      <c r="BM64" s="111" t="str">
        <f t="shared" si="54"/>
        <v/>
      </c>
      <c r="BN64" s="37" t="str">
        <f t="shared" si="56"/>
        <v/>
      </c>
      <c r="BO64" s="111" t="str">
        <f t="shared" si="55"/>
        <v/>
      </c>
      <c r="BP64" s="34"/>
      <c r="BQ64" s="23"/>
      <c r="BZ64" s="60" t="str" cm="1">
        <f t="array" ref="BZ64">IFERROR(EOMONTH(EOMONTH(_xlfn._xlws.FILTER(Table1[Planned Start],(Table1[Category]=$E64)*(Table1[SBU]=$F$5)*(Table1[Execution Year]=$D64)*(Table1[Most curent]=TRUE)),0)-45,0)+1,"")</f>
        <v/>
      </c>
      <c r="CA64" s="60" t="str" cm="1">
        <f t="array" ref="CA64">IFERROR(EOMONTH(_xlfn._xlws.FILTER(Table1[Planned Award],(Table1[Category]=$E64)*(Table1[SBU]=$F$5)*(Table1[Most curent]=TRUE)*(Table1[Execution Year]=$D64)),0),"")</f>
        <v/>
      </c>
      <c r="CB64" s="60" t="str" cm="1">
        <f t="array" ref="CB64">IFERROR(EOMONTH(EOMONTH(_xlfn._xlws.FILTER(Table1[Current Phase End],(Table1[Category]=$E64)*(Table1[SBU]=$F$5)*(Table1[Most curent]=TRUE)*(Table1[Execution Year]=$D64)),0)-45,0)+1,"")</f>
        <v/>
      </c>
      <c r="CC64" s="60" t="str" cm="1">
        <f t="array" ref="CC64">IFERROR(EOMONTH(_xlfn._xlws.FILTER(Table1[Revised Award],(Table1[Category]=$E64)*(Table1[SBU]=$F$5)*(Table1[Most curent]=TRUE)*(Table1[Execution Year]=$D64)),0),"")</f>
        <v/>
      </c>
      <c r="CD64" s="60" t="str">
        <f t="shared" si="45"/>
        <v/>
      </c>
      <c r="CE64" s="60" t="str">
        <f t="shared" si="46"/>
        <v/>
      </c>
    </row>
    <row r="65" spans="2:83" ht="15.6" thickTop="1" thickBot="1">
      <c r="B65" s="123"/>
      <c r="C65" s="71"/>
      <c r="D65" s="35"/>
      <c r="E65" s="35"/>
      <c r="F65" s="35"/>
      <c r="G65" s="35"/>
      <c r="H65" s="36"/>
      <c r="I65" s="36"/>
      <c r="J65" s="35"/>
      <c r="K65" s="71"/>
      <c r="L65" s="71"/>
      <c r="M65" s="71"/>
      <c r="N65" s="34" t="str">
        <f t="shared" si="43"/>
        <v/>
      </c>
      <c r="O65" s="111" t="str">
        <f t="shared" si="44"/>
        <v/>
      </c>
      <c r="P65" s="34" t="str">
        <f t="shared" si="0"/>
        <v/>
      </c>
      <c r="Q65" s="111" t="str">
        <f t="shared" si="1"/>
        <v/>
      </c>
      <c r="R65" s="34" t="str">
        <f t="shared" si="2"/>
        <v/>
      </c>
      <c r="S65" s="111" t="str">
        <f t="shared" si="3"/>
        <v/>
      </c>
      <c r="T65" s="37" t="str">
        <f t="shared" si="4"/>
        <v/>
      </c>
      <c r="U65" s="111" t="str">
        <f t="shared" si="5"/>
        <v/>
      </c>
      <c r="V65" s="37" t="str">
        <f t="shared" si="6"/>
        <v/>
      </c>
      <c r="W65" s="111" t="str">
        <f t="shared" si="7"/>
        <v/>
      </c>
      <c r="X65" s="37" t="str">
        <f t="shared" si="8"/>
        <v/>
      </c>
      <c r="Y65" s="111" t="str">
        <f t="shared" si="9"/>
        <v/>
      </c>
      <c r="Z65" s="37" t="str">
        <f t="shared" si="10"/>
        <v/>
      </c>
      <c r="AA65" s="111" t="str">
        <f t="shared" si="11"/>
        <v/>
      </c>
      <c r="AB65" s="37" t="str">
        <f t="shared" si="12"/>
        <v/>
      </c>
      <c r="AC65" s="111" t="str">
        <f t="shared" si="13"/>
        <v/>
      </c>
      <c r="AD65" s="37" t="str">
        <f t="shared" si="14"/>
        <v/>
      </c>
      <c r="AE65" s="111" t="str">
        <f t="shared" si="15"/>
        <v/>
      </c>
      <c r="AF65" s="37" t="str">
        <f t="shared" si="16"/>
        <v/>
      </c>
      <c r="AG65" s="111" t="str">
        <f t="shared" si="17"/>
        <v/>
      </c>
      <c r="AH65" s="37" t="str">
        <f t="shared" si="18"/>
        <v/>
      </c>
      <c r="AI65" s="111" t="str">
        <f t="shared" si="19"/>
        <v/>
      </c>
      <c r="AJ65" s="37" t="str">
        <f t="shared" si="20"/>
        <v/>
      </c>
      <c r="AK65" s="111" t="str">
        <f t="shared" si="21"/>
        <v/>
      </c>
      <c r="AL65" s="37" t="str">
        <f t="shared" si="22"/>
        <v/>
      </c>
      <c r="AM65" s="111" t="str">
        <f t="shared" si="23"/>
        <v/>
      </c>
      <c r="AN65" s="37" t="str">
        <f t="shared" si="24"/>
        <v/>
      </c>
      <c r="AO65" s="111" t="str">
        <f t="shared" si="25"/>
        <v/>
      </c>
      <c r="AP65" s="37" t="str">
        <f t="shared" si="26"/>
        <v/>
      </c>
      <c r="AQ65" s="111" t="str">
        <f t="shared" si="27"/>
        <v/>
      </c>
      <c r="AR65" s="37" t="str">
        <f t="shared" si="28"/>
        <v/>
      </c>
      <c r="AS65" s="111" t="str">
        <f t="shared" si="29"/>
        <v/>
      </c>
      <c r="AT65" s="37" t="str">
        <f t="shared" si="30"/>
        <v/>
      </c>
      <c r="AU65" s="111" t="str">
        <f t="shared" si="31"/>
        <v/>
      </c>
      <c r="AV65" s="37" t="str">
        <f t="shared" si="32"/>
        <v/>
      </c>
      <c r="AW65" s="111" t="str">
        <f t="shared" si="33"/>
        <v/>
      </c>
      <c r="AX65" s="37" t="str">
        <f t="shared" si="57"/>
        <v/>
      </c>
      <c r="AY65" s="111" t="str">
        <f t="shared" si="47"/>
        <v/>
      </c>
      <c r="AZ65" s="37" t="str">
        <f t="shared" si="57"/>
        <v/>
      </c>
      <c r="BA65" s="111" t="str">
        <f t="shared" si="48"/>
        <v/>
      </c>
      <c r="BB65" s="37" t="str">
        <f t="shared" si="57"/>
        <v/>
      </c>
      <c r="BC65" s="111" t="str">
        <f t="shared" si="49"/>
        <v/>
      </c>
      <c r="BD65" s="37" t="str">
        <f t="shared" si="57"/>
        <v/>
      </c>
      <c r="BE65" s="111" t="str">
        <f t="shared" si="50"/>
        <v/>
      </c>
      <c r="BF65" s="37" t="str">
        <f t="shared" si="57"/>
        <v/>
      </c>
      <c r="BG65" s="111" t="str">
        <f t="shared" si="51"/>
        <v/>
      </c>
      <c r="BH65" s="37" t="str">
        <f t="shared" si="57"/>
        <v/>
      </c>
      <c r="BI65" s="111" t="str">
        <f t="shared" si="52"/>
        <v/>
      </c>
      <c r="BJ65" s="37" t="str">
        <f t="shared" si="57"/>
        <v/>
      </c>
      <c r="BK65" s="111" t="str">
        <f t="shared" si="53"/>
        <v/>
      </c>
      <c r="BL65" s="37" t="str">
        <f t="shared" si="57"/>
        <v/>
      </c>
      <c r="BM65" s="111" t="str">
        <f t="shared" si="54"/>
        <v/>
      </c>
      <c r="BN65" s="37" t="str">
        <f t="shared" si="56"/>
        <v/>
      </c>
      <c r="BO65" s="111" t="str">
        <f t="shared" si="55"/>
        <v/>
      </c>
      <c r="BP65" s="34"/>
      <c r="BQ65" s="23"/>
      <c r="BZ65" s="60" t="str" cm="1">
        <f t="array" ref="BZ65">IFERROR(EOMONTH(EOMONTH(_xlfn._xlws.FILTER(Table1[Planned Start],(Table1[Category]=$E65)*(Table1[SBU]=$F$5)*(Table1[Execution Year]=$D65)*(Table1[Most curent]=TRUE)),0)-45,0)+1,"")</f>
        <v/>
      </c>
      <c r="CA65" s="60" t="str" cm="1">
        <f t="array" ref="CA65">IFERROR(EOMONTH(_xlfn._xlws.FILTER(Table1[Planned Award],(Table1[Category]=$E65)*(Table1[SBU]=$F$5)*(Table1[Most curent]=TRUE)*(Table1[Execution Year]=$D65)),0),"")</f>
        <v/>
      </c>
      <c r="CB65" s="60" t="str" cm="1">
        <f t="array" ref="CB65">IFERROR(EOMONTH(EOMONTH(_xlfn._xlws.FILTER(Table1[Current Phase End],(Table1[Category]=$E65)*(Table1[SBU]=$F$5)*(Table1[Most curent]=TRUE)*(Table1[Execution Year]=$D65)),0)-45,0)+1,"")</f>
        <v/>
      </c>
      <c r="CC65" s="60" t="str" cm="1">
        <f t="array" ref="CC65">IFERROR(EOMONTH(_xlfn._xlws.FILTER(Table1[Revised Award],(Table1[Category]=$E65)*(Table1[SBU]=$F$5)*(Table1[Most curent]=TRUE)*(Table1[Execution Year]=$D65)),0),"")</f>
        <v/>
      </c>
      <c r="CD65" s="60" t="str">
        <f t="shared" si="45"/>
        <v/>
      </c>
      <c r="CE65" s="60" t="str">
        <f t="shared" si="46"/>
        <v/>
      </c>
    </row>
    <row r="66" spans="2:83" ht="15.6" thickTop="1" thickBot="1">
      <c r="B66" s="123"/>
      <c r="C66" s="71"/>
      <c r="D66" s="35"/>
      <c r="E66" s="35"/>
      <c r="F66" s="35"/>
      <c r="G66" s="35"/>
      <c r="H66" s="36"/>
      <c r="I66" s="36"/>
      <c r="J66" s="35"/>
      <c r="K66" s="71"/>
      <c r="L66" s="71"/>
      <c r="M66" s="71"/>
      <c r="N66" s="34" t="str">
        <f t="shared" si="43"/>
        <v/>
      </c>
      <c r="O66" s="111" t="str">
        <f t="shared" si="44"/>
        <v/>
      </c>
      <c r="P66" s="34" t="str">
        <f t="shared" si="0"/>
        <v/>
      </c>
      <c r="Q66" s="111" t="str">
        <f t="shared" si="1"/>
        <v/>
      </c>
      <c r="R66" s="34" t="str">
        <f t="shared" si="2"/>
        <v/>
      </c>
      <c r="S66" s="111" t="str">
        <f t="shared" si="3"/>
        <v/>
      </c>
      <c r="T66" s="37" t="str">
        <f t="shared" si="4"/>
        <v/>
      </c>
      <c r="U66" s="111" t="str">
        <f t="shared" si="5"/>
        <v/>
      </c>
      <c r="V66" s="37" t="str">
        <f t="shared" si="6"/>
        <v/>
      </c>
      <c r="W66" s="111" t="str">
        <f t="shared" si="7"/>
        <v/>
      </c>
      <c r="X66" s="37" t="str">
        <f t="shared" si="8"/>
        <v/>
      </c>
      <c r="Y66" s="111" t="str">
        <f t="shared" si="9"/>
        <v/>
      </c>
      <c r="Z66" s="37" t="str">
        <f t="shared" si="10"/>
        <v/>
      </c>
      <c r="AA66" s="111" t="str">
        <f t="shared" si="11"/>
        <v/>
      </c>
      <c r="AB66" s="37" t="str">
        <f t="shared" si="12"/>
        <v/>
      </c>
      <c r="AC66" s="111" t="str">
        <f t="shared" si="13"/>
        <v/>
      </c>
      <c r="AD66" s="37" t="str">
        <f t="shared" si="14"/>
        <v/>
      </c>
      <c r="AE66" s="111" t="str">
        <f t="shared" si="15"/>
        <v/>
      </c>
      <c r="AF66" s="37" t="str">
        <f t="shared" si="16"/>
        <v/>
      </c>
      <c r="AG66" s="111" t="str">
        <f t="shared" si="17"/>
        <v/>
      </c>
      <c r="AH66" s="37" t="str">
        <f t="shared" si="18"/>
        <v/>
      </c>
      <c r="AI66" s="111" t="str">
        <f t="shared" si="19"/>
        <v/>
      </c>
      <c r="AJ66" s="37" t="str">
        <f t="shared" si="20"/>
        <v/>
      </c>
      <c r="AK66" s="111" t="str">
        <f t="shared" si="21"/>
        <v/>
      </c>
      <c r="AL66" s="37" t="str">
        <f t="shared" si="22"/>
        <v/>
      </c>
      <c r="AM66" s="111" t="str">
        <f t="shared" si="23"/>
        <v/>
      </c>
      <c r="AN66" s="37" t="str">
        <f t="shared" si="24"/>
        <v/>
      </c>
      <c r="AO66" s="111" t="str">
        <f t="shared" si="25"/>
        <v/>
      </c>
      <c r="AP66" s="37" t="str">
        <f t="shared" si="26"/>
        <v/>
      </c>
      <c r="AQ66" s="111" t="str">
        <f t="shared" si="27"/>
        <v/>
      </c>
      <c r="AR66" s="37" t="str">
        <f t="shared" si="28"/>
        <v/>
      </c>
      <c r="AS66" s="111" t="str">
        <f t="shared" si="29"/>
        <v/>
      </c>
      <c r="AT66" s="37" t="str">
        <f t="shared" si="30"/>
        <v/>
      </c>
      <c r="AU66" s="111" t="str">
        <f t="shared" si="31"/>
        <v/>
      </c>
      <c r="AV66" s="37" t="str">
        <f t="shared" si="32"/>
        <v/>
      </c>
      <c r="AW66" s="111" t="str">
        <f t="shared" si="33"/>
        <v/>
      </c>
      <c r="AX66" s="37" t="str">
        <f t="shared" si="57"/>
        <v/>
      </c>
      <c r="AY66" s="111" t="str">
        <f t="shared" si="47"/>
        <v/>
      </c>
      <c r="AZ66" s="37" t="str">
        <f t="shared" si="57"/>
        <v/>
      </c>
      <c r="BA66" s="111" t="str">
        <f t="shared" si="48"/>
        <v/>
      </c>
      <c r="BB66" s="37" t="str">
        <f t="shared" si="57"/>
        <v/>
      </c>
      <c r="BC66" s="111" t="str">
        <f t="shared" si="49"/>
        <v/>
      </c>
      <c r="BD66" s="37" t="str">
        <f t="shared" si="57"/>
        <v/>
      </c>
      <c r="BE66" s="111" t="str">
        <f t="shared" si="50"/>
        <v/>
      </c>
      <c r="BF66" s="37" t="str">
        <f t="shared" si="57"/>
        <v/>
      </c>
      <c r="BG66" s="111" t="str">
        <f t="shared" si="51"/>
        <v/>
      </c>
      <c r="BH66" s="37" t="str">
        <f t="shared" si="57"/>
        <v/>
      </c>
      <c r="BI66" s="111" t="str">
        <f t="shared" si="52"/>
        <v/>
      </c>
      <c r="BJ66" s="37" t="str">
        <f t="shared" si="57"/>
        <v/>
      </c>
      <c r="BK66" s="111" t="str">
        <f t="shared" si="53"/>
        <v/>
      </c>
      <c r="BL66" s="37" t="str">
        <f t="shared" si="57"/>
        <v/>
      </c>
      <c r="BM66" s="111" t="str">
        <f t="shared" si="54"/>
        <v/>
      </c>
      <c r="BN66" s="37" t="str">
        <f t="shared" si="56"/>
        <v/>
      </c>
      <c r="BO66" s="111" t="str">
        <f t="shared" si="55"/>
        <v/>
      </c>
      <c r="BP66" s="34"/>
      <c r="BQ66" s="23"/>
      <c r="BZ66" s="60" t="str" cm="1">
        <f t="array" ref="BZ66">IFERROR(EOMONTH(EOMONTH(_xlfn._xlws.FILTER(Table1[Planned Start],(Table1[Category]=$E66)*(Table1[SBU]=$F$5)*(Table1[Execution Year]=$D66)*(Table1[Most curent]=TRUE)),0)-45,0)+1,"")</f>
        <v/>
      </c>
      <c r="CA66" s="60" t="str" cm="1">
        <f t="array" ref="CA66">IFERROR(EOMONTH(_xlfn._xlws.FILTER(Table1[Planned Award],(Table1[Category]=$E66)*(Table1[SBU]=$F$5)*(Table1[Most curent]=TRUE)*(Table1[Execution Year]=$D66)),0),"")</f>
        <v/>
      </c>
      <c r="CB66" s="60" t="str" cm="1">
        <f t="array" ref="CB66">IFERROR(EOMONTH(EOMONTH(_xlfn._xlws.FILTER(Table1[Current Phase End],(Table1[Category]=$E66)*(Table1[SBU]=$F$5)*(Table1[Most curent]=TRUE)*(Table1[Execution Year]=$D66)),0)-45,0)+1,"")</f>
        <v/>
      </c>
      <c r="CC66" s="60" t="str" cm="1">
        <f t="array" ref="CC66">IFERROR(EOMONTH(_xlfn._xlws.FILTER(Table1[Revised Award],(Table1[Category]=$E66)*(Table1[SBU]=$F$5)*(Table1[Most curent]=TRUE)*(Table1[Execution Year]=$D66)),0),"")</f>
        <v/>
      </c>
      <c r="CD66" s="60" t="str">
        <f t="shared" si="45"/>
        <v/>
      </c>
      <c r="CE66" s="60" t="str">
        <f t="shared" si="46"/>
        <v/>
      </c>
    </row>
    <row r="67" spans="2:83" ht="15.6" thickTop="1" thickBot="1">
      <c r="B67" s="123"/>
      <c r="C67" s="71"/>
      <c r="D67" s="35"/>
      <c r="E67" s="35"/>
      <c r="F67" s="35"/>
      <c r="G67" s="35"/>
      <c r="H67" s="36"/>
      <c r="I67" s="36"/>
      <c r="J67" s="35"/>
      <c r="K67" s="71"/>
      <c r="L67" s="71"/>
      <c r="M67" s="71"/>
      <c r="N67" s="34" t="str">
        <f t="shared" si="43"/>
        <v/>
      </c>
      <c r="O67" s="111" t="str">
        <f t="shared" si="44"/>
        <v/>
      </c>
      <c r="P67" s="34" t="str">
        <f t="shared" si="0"/>
        <v/>
      </c>
      <c r="Q67" s="111" t="str">
        <f t="shared" si="1"/>
        <v/>
      </c>
      <c r="R67" s="34" t="str">
        <f t="shared" si="2"/>
        <v/>
      </c>
      <c r="S67" s="111" t="str">
        <f t="shared" si="3"/>
        <v/>
      </c>
      <c r="T67" s="37" t="str">
        <f t="shared" si="4"/>
        <v/>
      </c>
      <c r="U67" s="111" t="str">
        <f t="shared" si="5"/>
        <v/>
      </c>
      <c r="V67" s="37" t="str">
        <f t="shared" si="6"/>
        <v/>
      </c>
      <c r="W67" s="111" t="str">
        <f t="shared" si="7"/>
        <v/>
      </c>
      <c r="X67" s="37" t="str">
        <f t="shared" si="8"/>
        <v/>
      </c>
      <c r="Y67" s="111" t="str">
        <f t="shared" si="9"/>
        <v/>
      </c>
      <c r="Z67" s="37" t="str">
        <f t="shared" si="10"/>
        <v/>
      </c>
      <c r="AA67" s="111" t="str">
        <f t="shared" si="11"/>
        <v/>
      </c>
      <c r="AB67" s="37" t="str">
        <f t="shared" si="12"/>
        <v/>
      </c>
      <c r="AC67" s="111" t="str">
        <f t="shared" si="13"/>
        <v/>
      </c>
      <c r="AD67" s="37" t="str">
        <f t="shared" si="14"/>
        <v/>
      </c>
      <c r="AE67" s="111" t="str">
        <f t="shared" si="15"/>
        <v/>
      </c>
      <c r="AF67" s="37" t="str">
        <f t="shared" si="16"/>
        <v/>
      </c>
      <c r="AG67" s="111" t="str">
        <f t="shared" si="17"/>
        <v/>
      </c>
      <c r="AH67" s="37" t="str">
        <f t="shared" si="18"/>
        <v/>
      </c>
      <c r="AI67" s="111" t="str">
        <f t="shared" si="19"/>
        <v/>
      </c>
      <c r="AJ67" s="37" t="str">
        <f t="shared" si="20"/>
        <v/>
      </c>
      <c r="AK67" s="111" t="str">
        <f t="shared" si="21"/>
        <v/>
      </c>
      <c r="AL67" s="37" t="str">
        <f t="shared" si="22"/>
        <v/>
      </c>
      <c r="AM67" s="111" t="str">
        <f t="shared" si="23"/>
        <v/>
      </c>
      <c r="AN67" s="37" t="str">
        <f t="shared" si="24"/>
        <v/>
      </c>
      <c r="AO67" s="111" t="str">
        <f t="shared" si="25"/>
        <v/>
      </c>
      <c r="AP67" s="37" t="str">
        <f t="shared" si="26"/>
        <v/>
      </c>
      <c r="AQ67" s="111" t="str">
        <f t="shared" si="27"/>
        <v/>
      </c>
      <c r="AR67" s="37" t="str">
        <f t="shared" si="28"/>
        <v/>
      </c>
      <c r="AS67" s="111" t="str">
        <f t="shared" si="29"/>
        <v/>
      </c>
      <c r="AT67" s="37" t="str">
        <f t="shared" si="30"/>
        <v/>
      </c>
      <c r="AU67" s="111" t="str">
        <f t="shared" si="31"/>
        <v/>
      </c>
      <c r="AV67" s="37" t="str">
        <f t="shared" si="32"/>
        <v/>
      </c>
      <c r="AW67" s="111" t="str">
        <f t="shared" si="33"/>
        <v/>
      </c>
      <c r="AX67" s="37" t="str">
        <f t="shared" si="57"/>
        <v/>
      </c>
      <c r="AY67" s="111" t="str">
        <f t="shared" si="47"/>
        <v/>
      </c>
      <c r="AZ67" s="37" t="str">
        <f t="shared" si="57"/>
        <v/>
      </c>
      <c r="BA67" s="111" t="str">
        <f t="shared" si="48"/>
        <v/>
      </c>
      <c r="BB67" s="37" t="str">
        <f t="shared" si="57"/>
        <v/>
      </c>
      <c r="BC67" s="111" t="str">
        <f t="shared" si="49"/>
        <v/>
      </c>
      <c r="BD67" s="37" t="str">
        <f t="shared" si="57"/>
        <v/>
      </c>
      <c r="BE67" s="111" t="str">
        <f t="shared" si="50"/>
        <v/>
      </c>
      <c r="BF67" s="37" t="str">
        <f t="shared" si="57"/>
        <v/>
      </c>
      <c r="BG67" s="111" t="str">
        <f t="shared" si="51"/>
        <v/>
      </c>
      <c r="BH67" s="37" t="str">
        <f t="shared" si="57"/>
        <v/>
      </c>
      <c r="BI67" s="111" t="str">
        <f t="shared" si="52"/>
        <v/>
      </c>
      <c r="BJ67" s="37" t="str">
        <f t="shared" si="57"/>
        <v/>
      </c>
      <c r="BK67" s="111" t="str">
        <f t="shared" si="53"/>
        <v/>
      </c>
      <c r="BL67" s="37" t="str">
        <f t="shared" si="57"/>
        <v/>
      </c>
      <c r="BM67" s="111" t="str">
        <f t="shared" si="54"/>
        <v/>
      </c>
      <c r="BN67" s="37" t="str">
        <f t="shared" si="56"/>
        <v/>
      </c>
      <c r="BO67" s="111" t="str">
        <f t="shared" si="55"/>
        <v/>
      </c>
      <c r="BP67" s="34"/>
      <c r="BQ67" s="23"/>
      <c r="BZ67" s="60" t="str" cm="1">
        <f t="array" ref="BZ67">IFERROR(EOMONTH(EOMONTH(_xlfn._xlws.FILTER(Table1[Planned Start],(Table1[Category]=$E67)*(Table1[SBU]=$F$5)*(Table1[Execution Year]=$D67)*(Table1[Most curent]=TRUE)),0)-45,0)+1,"")</f>
        <v/>
      </c>
      <c r="CA67" s="60" t="str" cm="1">
        <f t="array" ref="CA67">IFERROR(EOMONTH(_xlfn._xlws.FILTER(Table1[Planned Award],(Table1[Category]=$E67)*(Table1[SBU]=$F$5)*(Table1[Most curent]=TRUE)*(Table1[Execution Year]=$D67)),0),"")</f>
        <v/>
      </c>
      <c r="CB67" s="60" t="str" cm="1">
        <f t="array" ref="CB67">IFERROR(EOMONTH(EOMONTH(_xlfn._xlws.FILTER(Table1[Current Phase End],(Table1[Category]=$E67)*(Table1[SBU]=$F$5)*(Table1[Most curent]=TRUE)*(Table1[Execution Year]=$D67)),0)-45,0)+1,"")</f>
        <v/>
      </c>
      <c r="CC67" s="60" t="str" cm="1">
        <f t="array" ref="CC67">IFERROR(EOMONTH(_xlfn._xlws.FILTER(Table1[Revised Award],(Table1[Category]=$E67)*(Table1[SBU]=$F$5)*(Table1[Most curent]=TRUE)*(Table1[Execution Year]=$D67)),0),"")</f>
        <v/>
      </c>
      <c r="CD67" s="60" t="str">
        <f t="shared" si="45"/>
        <v/>
      </c>
      <c r="CE67" s="60" t="str">
        <f t="shared" si="46"/>
        <v/>
      </c>
    </row>
    <row r="68" spans="2:83" ht="15.6" thickTop="1" thickBot="1">
      <c r="B68" s="123"/>
      <c r="C68" s="71"/>
      <c r="D68" s="35"/>
      <c r="E68" s="35"/>
      <c r="F68" s="35"/>
      <c r="G68" s="35"/>
      <c r="H68" s="36"/>
      <c r="I68" s="36"/>
      <c r="J68" s="35"/>
      <c r="K68" s="71"/>
      <c r="L68" s="71"/>
      <c r="M68" s="71"/>
      <c r="N68" s="34" t="str">
        <f t="shared" si="43"/>
        <v/>
      </c>
      <c r="O68" s="111" t="str">
        <f t="shared" si="44"/>
        <v/>
      </c>
      <c r="P68" s="34" t="str">
        <f t="shared" si="0"/>
        <v/>
      </c>
      <c r="Q68" s="111" t="str">
        <f t="shared" si="1"/>
        <v/>
      </c>
      <c r="R68" s="34" t="str">
        <f t="shared" si="2"/>
        <v/>
      </c>
      <c r="S68" s="111" t="str">
        <f t="shared" si="3"/>
        <v/>
      </c>
      <c r="T68" s="37" t="str">
        <f t="shared" si="4"/>
        <v/>
      </c>
      <c r="U68" s="111" t="str">
        <f t="shared" si="5"/>
        <v/>
      </c>
      <c r="V68" s="37" t="str">
        <f t="shared" si="6"/>
        <v/>
      </c>
      <c r="W68" s="111" t="str">
        <f t="shared" si="7"/>
        <v/>
      </c>
      <c r="X68" s="37" t="str">
        <f t="shared" si="8"/>
        <v/>
      </c>
      <c r="Y68" s="111" t="str">
        <f t="shared" si="9"/>
        <v/>
      </c>
      <c r="Z68" s="37" t="str">
        <f t="shared" si="10"/>
        <v/>
      </c>
      <c r="AA68" s="111" t="str">
        <f t="shared" si="11"/>
        <v/>
      </c>
      <c r="AB68" s="37" t="str">
        <f t="shared" si="12"/>
        <v/>
      </c>
      <c r="AC68" s="111" t="str">
        <f t="shared" si="13"/>
        <v/>
      </c>
      <c r="AD68" s="37" t="str">
        <f t="shared" si="14"/>
        <v/>
      </c>
      <c r="AE68" s="111" t="str">
        <f t="shared" si="15"/>
        <v/>
      </c>
      <c r="AF68" s="37" t="str">
        <f t="shared" si="16"/>
        <v/>
      </c>
      <c r="AG68" s="111" t="str">
        <f t="shared" si="17"/>
        <v/>
      </c>
      <c r="AH68" s="37" t="str">
        <f t="shared" si="18"/>
        <v/>
      </c>
      <c r="AI68" s="111" t="str">
        <f t="shared" si="19"/>
        <v/>
      </c>
      <c r="AJ68" s="37" t="str">
        <f t="shared" si="20"/>
        <v/>
      </c>
      <c r="AK68" s="111" t="str">
        <f t="shared" si="21"/>
        <v/>
      </c>
      <c r="AL68" s="37" t="str">
        <f t="shared" si="22"/>
        <v/>
      </c>
      <c r="AM68" s="111" t="str">
        <f t="shared" si="23"/>
        <v/>
      </c>
      <c r="AN68" s="37" t="str">
        <f t="shared" si="24"/>
        <v/>
      </c>
      <c r="AO68" s="111" t="str">
        <f t="shared" si="25"/>
        <v/>
      </c>
      <c r="AP68" s="37" t="str">
        <f t="shared" si="26"/>
        <v/>
      </c>
      <c r="AQ68" s="111" t="str">
        <f t="shared" si="27"/>
        <v/>
      </c>
      <c r="AR68" s="37" t="str">
        <f t="shared" si="28"/>
        <v/>
      </c>
      <c r="AS68" s="111" t="str">
        <f t="shared" si="29"/>
        <v/>
      </c>
      <c r="AT68" s="37" t="str">
        <f t="shared" si="30"/>
        <v/>
      </c>
      <c r="AU68" s="111" t="str">
        <f t="shared" si="31"/>
        <v/>
      </c>
      <c r="AV68" s="37" t="str">
        <f t="shared" si="32"/>
        <v/>
      </c>
      <c r="AW68" s="111" t="str">
        <f t="shared" si="33"/>
        <v/>
      </c>
      <c r="AX68" s="37" t="str">
        <f t="shared" si="57"/>
        <v/>
      </c>
      <c r="AY68" s="111" t="str">
        <f t="shared" si="47"/>
        <v/>
      </c>
      <c r="AZ68" s="37" t="str">
        <f t="shared" si="57"/>
        <v/>
      </c>
      <c r="BA68" s="111" t="str">
        <f t="shared" si="48"/>
        <v/>
      </c>
      <c r="BB68" s="37" t="str">
        <f t="shared" si="57"/>
        <v/>
      </c>
      <c r="BC68" s="111" t="str">
        <f t="shared" si="49"/>
        <v/>
      </c>
      <c r="BD68" s="37" t="str">
        <f t="shared" si="57"/>
        <v/>
      </c>
      <c r="BE68" s="111" t="str">
        <f t="shared" si="50"/>
        <v/>
      </c>
      <c r="BF68" s="37" t="str">
        <f t="shared" si="57"/>
        <v/>
      </c>
      <c r="BG68" s="111" t="str">
        <f t="shared" si="51"/>
        <v/>
      </c>
      <c r="BH68" s="37" t="str">
        <f t="shared" si="57"/>
        <v/>
      </c>
      <c r="BI68" s="111" t="str">
        <f t="shared" si="52"/>
        <v/>
      </c>
      <c r="BJ68" s="37" t="str">
        <f t="shared" si="57"/>
        <v/>
      </c>
      <c r="BK68" s="111" t="str">
        <f t="shared" si="53"/>
        <v/>
      </c>
      <c r="BL68" s="37" t="str">
        <f t="shared" si="57"/>
        <v/>
      </c>
      <c r="BM68" s="111" t="str">
        <f t="shared" si="54"/>
        <v/>
      </c>
      <c r="BN68" s="37" t="str">
        <f t="shared" si="56"/>
        <v/>
      </c>
      <c r="BO68" s="111" t="str">
        <f t="shared" si="55"/>
        <v/>
      </c>
      <c r="BP68" s="34"/>
      <c r="BQ68" s="23"/>
      <c r="BZ68" s="60" t="str" cm="1">
        <f t="array" ref="BZ68">IFERROR(EOMONTH(EOMONTH(_xlfn._xlws.FILTER(Table1[Planned Start],(Table1[Category]=$E68)*(Table1[SBU]=$F$5)*(Table1[Execution Year]=$D68)*(Table1[Most curent]=TRUE)),0)-45,0)+1,"")</f>
        <v/>
      </c>
      <c r="CA68" s="60" t="str" cm="1">
        <f t="array" ref="CA68">IFERROR(EOMONTH(_xlfn._xlws.FILTER(Table1[Planned Award],(Table1[Category]=$E68)*(Table1[SBU]=$F$5)*(Table1[Most curent]=TRUE)*(Table1[Execution Year]=$D68)),0),"")</f>
        <v/>
      </c>
      <c r="CB68" s="60" t="str" cm="1">
        <f t="array" ref="CB68">IFERROR(EOMONTH(EOMONTH(_xlfn._xlws.FILTER(Table1[Current Phase End],(Table1[Category]=$E68)*(Table1[SBU]=$F$5)*(Table1[Most curent]=TRUE)*(Table1[Execution Year]=$D68)),0)-45,0)+1,"")</f>
        <v/>
      </c>
      <c r="CC68" s="60" t="str" cm="1">
        <f t="array" ref="CC68">IFERROR(EOMONTH(_xlfn._xlws.FILTER(Table1[Revised Award],(Table1[Category]=$E68)*(Table1[SBU]=$F$5)*(Table1[Most curent]=TRUE)*(Table1[Execution Year]=$D68)),0),"")</f>
        <v/>
      </c>
      <c r="CD68" s="60" t="str">
        <f t="shared" si="45"/>
        <v/>
      </c>
      <c r="CE68" s="60" t="str">
        <f t="shared" si="46"/>
        <v/>
      </c>
    </row>
    <row r="69" spans="2:83" ht="15.6" thickTop="1" thickBot="1">
      <c r="B69" s="123"/>
      <c r="C69" s="71"/>
      <c r="D69" s="35"/>
      <c r="E69" s="35"/>
      <c r="F69" s="35"/>
      <c r="G69" s="35"/>
      <c r="H69" s="36"/>
      <c r="I69" s="36"/>
      <c r="J69" s="35"/>
      <c r="K69" s="71"/>
      <c r="L69" s="71"/>
      <c r="M69" s="71"/>
      <c r="N69" s="34" t="str">
        <f t="shared" si="43"/>
        <v/>
      </c>
      <c r="O69" s="111" t="str">
        <f t="shared" si="44"/>
        <v/>
      </c>
      <c r="P69" s="34" t="str">
        <f t="shared" si="0"/>
        <v/>
      </c>
      <c r="Q69" s="111" t="str">
        <f t="shared" si="1"/>
        <v/>
      </c>
      <c r="R69" s="34" t="str">
        <f t="shared" si="2"/>
        <v/>
      </c>
      <c r="S69" s="111" t="str">
        <f t="shared" si="3"/>
        <v/>
      </c>
      <c r="T69" s="37" t="str">
        <f t="shared" si="4"/>
        <v/>
      </c>
      <c r="U69" s="111" t="str">
        <f t="shared" si="5"/>
        <v/>
      </c>
      <c r="V69" s="37" t="str">
        <f t="shared" si="6"/>
        <v/>
      </c>
      <c r="W69" s="111" t="str">
        <f t="shared" si="7"/>
        <v/>
      </c>
      <c r="X69" s="37" t="str">
        <f t="shared" si="8"/>
        <v/>
      </c>
      <c r="Y69" s="111" t="str">
        <f t="shared" si="9"/>
        <v/>
      </c>
      <c r="Z69" s="37" t="str">
        <f t="shared" si="10"/>
        <v/>
      </c>
      <c r="AA69" s="111" t="str">
        <f t="shared" si="11"/>
        <v/>
      </c>
      <c r="AB69" s="37" t="str">
        <f t="shared" si="12"/>
        <v/>
      </c>
      <c r="AC69" s="111" t="str">
        <f t="shared" si="13"/>
        <v/>
      </c>
      <c r="AD69" s="37" t="str">
        <f t="shared" si="14"/>
        <v/>
      </c>
      <c r="AE69" s="111" t="str">
        <f t="shared" si="15"/>
        <v/>
      </c>
      <c r="AF69" s="37" t="str">
        <f t="shared" si="16"/>
        <v/>
      </c>
      <c r="AG69" s="111" t="str">
        <f t="shared" si="17"/>
        <v/>
      </c>
      <c r="AH69" s="37" t="str">
        <f t="shared" si="18"/>
        <v/>
      </c>
      <c r="AI69" s="111" t="str">
        <f t="shared" si="19"/>
        <v/>
      </c>
      <c r="AJ69" s="37" t="str">
        <f t="shared" si="20"/>
        <v/>
      </c>
      <c r="AK69" s="111" t="str">
        <f t="shared" si="21"/>
        <v/>
      </c>
      <c r="AL69" s="37" t="str">
        <f t="shared" si="22"/>
        <v/>
      </c>
      <c r="AM69" s="111" t="str">
        <f t="shared" si="23"/>
        <v/>
      </c>
      <c r="AN69" s="37" t="str">
        <f t="shared" si="24"/>
        <v/>
      </c>
      <c r="AO69" s="111" t="str">
        <f t="shared" si="25"/>
        <v/>
      </c>
      <c r="AP69" s="37" t="str">
        <f t="shared" si="26"/>
        <v/>
      </c>
      <c r="AQ69" s="111" t="str">
        <f t="shared" si="27"/>
        <v/>
      </c>
      <c r="AR69" s="37" t="str">
        <f t="shared" si="28"/>
        <v/>
      </c>
      <c r="AS69" s="111" t="str">
        <f t="shared" si="29"/>
        <v/>
      </c>
      <c r="AT69" s="37" t="str">
        <f t="shared" si="30"/>
        <v/>
      </c>
      <c r="AU69" s="111" t="str">
        <f t="shared" si="31"/>
        <v/>
      </c>
      <c r="AV69" s="37" t="str">
        <f t="shared" si="32"/>
        <v/>
      </c>
      <c r="AW69" s="111" t="str">
        <f t="shared" si="33"/>
        <v/>
      </c>
      <c r="AX69" s="37" t="str">
        <f t="shared" si="57"/>
        <v/>
      </c>
      <c r="AY69" s="111" t="str">
        <f t="shared" si="47"/>
        <v/>
      </c>
      <c r="AZ69" s="37" t="str">
        <f t="shared" si="57"/>
        <v/>
      </c>
      <c r="BA69" s="111" t="str">
        <f t="shared" si="48"/>
        <v/>
      </c>
      <c r="BB69" s="37" t="str">
        <f t="shared" si="57"/>
        <v/>
      </c>
      <c r="BC69" s="111" t="str">
        <f t="shared" si="49"/>
        <v/>
      </c>
      <c r="BD69" s="37" t="str">
        <f t="shared" si="57"/>
        <v/>
      </c>
      <c r="BE69" s="111" t="str">
        <f t="shared" si="50"/>
        <v/>
      </c>
      <c r="BF69" s="37" t="str">
        <f t="shared" si="57"/>
        <v/>
      </c>
      <c r="BG69" s="111" t="str">
        <f t="shared" si="51"/>
        <v/>
      </c>
      <c r="BH69" s="37" t="str">
        <f t="shared" si="57"/>
        <v/>
      </c>
      <c r="BI69" s="111" t="str">
        <f t="shared" si="52"/>
        <v/>
      </c>
      <c r="BJ69" s="37" t="str">
        <f t="shared" si="57"/>
        <v/>
      </c>
      <c r="BK69" s="111" t="str">
        <f t="shared" si="53"/>
        <v/>
      </c>
      <c r="BL69" s="37" t="str">
        <f t="shared" si="57"/>
        <v/>
      </c>
      <c r="BM69" s="111" t="str">
        <f t="shared" si="54"/>
        <v/>
      </c>
      <c r="BN69" s="37" t="str">
        <f t="shared" si="56"/>
        <v/>
      </c>
      <c r="BO69" s="111" t="str">
        <f t="shared" si="55"/>
        <v/>
      </c>
      <c r="BP69" s="34"/>
      <c r="BQ69" s="23"/>
      <c r="BZ69" s="60" t="str" cm="1">
        <f t="array" ref="BZ69">IFERROR(EOMONTH(EOMONTH(_xlfn._xlws.FILTER(Table1[Planned Start],(Table1[Category]=$E69)*(Table1[SBU]=$F$5)*(Table1[Execution Year]=$D69)*(Table1[Most curent]=TRUE)),0)-45,0)+1,"")</f>
        <v/>
      </c>
      <c r="CA69" s="60" t="str" cm="1">
        <f t="array" ref="CA69">IFERROR(EOMONTH(_xlfn._xlws.FILTER(Table1[Planned Award],(Table1[Category]=$E69)*(Table1[SBU]=$F$5)*(Table1[Most curent]=TRUE)*(Table1[Execution Year]=$D69)),0),"")</f>
        <v/>
      </c>
      <c r="CB69" s="60" t="str" cm="1">
        <f t="array" ref="CB69">IFERROR(EOMONTH(EOMONTH(_xlfn._xlws.FILTER(Table1[Current Phase End],(Table1[Category]=$E69)*(Table1[SBU]=$F$5)*(Table1[Most curent]=TRUE)*(Table1[Execution Year]=$D69)),0)-45,0)+1,"")</f>
        <v/>
      </c>
      <c r="CC69" s="60" t="str" cm="1">
        <f t="array" ref="CC69">IFERROR(EOMONTH(_xlfn._xlws.FILTER(Table1[Revised Award],(Table1[Category]=$E69)*(Table1[SBU]=$F$5)*(Table1[Most curent]=TRUE)*(Table1[Execution Year]=$D69)),0),"")</f>
        <v/>
      </c>
      <c r="CD69" s="60" t="str">
        <f t="shared" si="45"/>
        <v/>
      </c>
      <c r="CE69" s="60" t="str">
        <f t="shared" si="46"/>
        <v/>
      </c>
    </row>
    <row r="70" spans="2:83" ht="15.6" thickTop="1" thickBot="1">
      <c r="B70" s="123"/>
      <c r="C70" s="71"/>
      <c r="D70" s="35"/>
      <c r="E70" s="35"/>
      <c r="F70" s="35"/>
      <c r="G70" s="35"/>
      <c r="H70" s="36"/>
      <c r="I70" s="36"/>
      <c r="J70" s="35"/>
      <c r="K70" s="71"/>
      <c r="L70" s="71"/>
      <c r="M70" s="71"/>
      <c r="N70" s="34" t="str">
        <f t="shared" si="43"/>
        <v/>
      </c>
      <c r="O70" s="111" t="str">
        <f t="shared" si="44"/>
        <v/>
      </c>
      <c r="P70" s="34" t="str">
        <f t="shared" si="0"/>
        <v/>
      </c>
      <c r="Q70" s="111" t="str">
        <f t="shared" si="1"/>
        <v/>
      </c>
      <c r="R70" s="34" t="str">
        <f t="shared" si="2"/>
        <v/>
      </c>
      <c r="S70" s="111" t="str">
        <f t="shared" si="3"/>
        <v/>
      </c>
      <c r="T70" s="37" t="str">
        <f t="shared" si="4"/>
        <v/>
      </c>
      <c r="U70" s="111" t="str">
        <f t="shared" si="5"/>
        <v/>
      </c>
      <c r="V70" s="37" t="str">
        <f t="shared" si="6"/>
        <v/>
      </c>
      <c r="W70" s="111" t="str">
        <f t="shared" si="7"/>
        <v/>
      </c>
      <c r="X70" s="37" t="str">
        <f t="shared" si="8"/>
        <v/>
      </c>
      <c r="Y70" s="111" t="str">
        <f t="shared" si="9"/>
        <v/>
      </c>
      <c r="Z70" s="37" t="str">
        <f t="shared" si="10"/>
        <v/>
      </c>
      <c r="AA70" s="111" t="str">
        <f t="shared" si="11"/>
        <v/>
      </c>
      <c r="AB70" s="37" t="str">
        <f t="shared" si="12"/>
        <v/>
      </c>
      <c r="AC70" s="111" t="str">
        <f t="shared" si="13"/>
        <v/>
      </c>
      <c r="AD70" s="37" t="str">
        <f t="shared" si="14"/>
        <v/>
      </c>
      <c r="AE70" s="111" t="str">
        <f t="shared" si="15"/>
        <v/>
      </c>
      <c r="AF70" s="37" t="str">
        <f t="shared" si="16"/>
        <v/>
      </c>
      <c r="AG70" s="111" t="str">
        <f t="shared" si="17"/>
        <v/>
      </c>
      <c r="AH70" s="37" t="str">
        <f t="shared" si="18"/>
        <v/>
      </c>
      <c r="AI70" s="111" t="str">
        <f t="shared" si="19"/>
        <v/>
      </c>
      <c r="AJ70" s="37" t="str">
        <f t="shared" si="20"/>
        <v/>
      </c>
      <c r="AK70" s="111" t="str">
        <f t="shared" si="21"/>
        <v/>
      </c>
      <c r="AL70" s="37" t="str">
        <f t="shared" si="22"/>
        <v/>
      </c>
      <c r="AM70" s="111" t="str">
        <f t="shared" si="23"/>
        <v/>
      </c>
      <c r="AN70" s="37" t="str">
        <f t="shared" si="24"/>
        <v/>
      </c>
      <c r="AO70" s="111" t="str">
        <f t="shared" si="25"/>
        <v/>
      </c>
      <c r="AP70" s="37" t="str">
        <f t="shared" si="26"/>
        <v/>
      </c>
      <c r="AQ70" s="111" t="str">
        <f t="shared" si="27"/>
        <v/>
      </c>
      <c r="AR70" s="37" t="str">
        <f t="shared" si="28"/>
        <v/>
      </c>
      <c r="AS70" s="111" t="str">
        <f t="shared" si="29"/>
        <v/>
      </c>
      <c r="AT70" s="37" t="str">
        <f t="shared" si="30"/>
        <v/>
      </c>
      <c r="AU70" s="111" t="str">
        <f t="shared" si="31"/>
        <v/>
      </c>
      <c r="AV70" s="37" t="str">
        <f t="shared" si="32"/>
        <v/>
      </c>
      <c r="AW70" s="111" t="str">
        <f t="shared" si="33"/>
        <v/>
      </c>
      <c r="AX70" s="37" t="str">
        <f t="shared" si="57"/>
        <v/>
      </c>
      <c r="AY70" s="111" t="str">
        <f t="shared" si="47"/>
        <v/>
      </c>
      <c r="AZ70" s="37" t="str">
        <f t="shared" si="57"/>
        <v/>
      </c>
      <c r="BA70" s="111" t="str">
        <f t="shared" si="48"/>
        <v/>
      </c>
      <c r="BB70" s="37" t="str">
        <f t="shared" si="57"/>
        <v/>
      </c>
      <c r="BC70" s="111" t="str">
        <f t="shared" si="49"/>
        <v/>
      </c>
      <c r="BD70" s="37" t="str">
        <f t="shared" si="57"/>
        <v/>
      </c>
      <c r="BE70" s="111" t="str">
        <f t="shared" si="50"/>
        <v/>
      </c>
      <c r="BF70" s="37" t="str">
        <f t="shared" si="57"/>
        <v/>
      </c>
      <c r="BG70" s="111" t="str">
        <f t="shared" si="51"/>
        <v/>
      </c>
      <c r="BH70" s="37" t="str">
        <f t="shared" si="57"/>
        <v/>
      </c>
      <c r="BI70" s="111" t="str">
        <f t="shared" si="52"/>
        <v/>
      </c>
      <c r="BJ70" s="37" t="str">
        <f t="shared" si="57"/>
        <v/>
      </c>
      <c r="BK70" s="111" t="str">
        <f t="shared" si="53"/>
        <v/>
      </c>
      <c r="BL70" s="37" t="str">
        <f t="shared" si="57"/>
        <v/>
      </c>
      <c r="BM70" s="111" t="str">
        <f t="shared" si="54"/>
        <v/>
      </c>
      <c r="BN70" s="37" t="str">
        <f t="shared" si="56"/>
        <v/>
      </c>
      <c r="BO70" s="111" t="str">
        <f t="shared" si="55"/>
        <v/>
      </c>
      <c r="BP70" s="34"/>
      <c r="BQ70" s="23"/>
      <c r="BZ70" s="60" t="str" cm="1">
        <f t="array" ref="BZ70">IFERROR(EOMONTH(EOMONTH(_xlfn._xlws.FILTER(Table1[Planned Start],(Table1[Category]=$E70)*(Table1[SBU]=$F$5)*(Table1[Execution Year]=$D70)*(Table1[Most curent]=TRUE)),0)-45,0)+1,"")</f>
        <v/>
      </c>
      <c r="CA70" s="60" t="str" cm="1">
        <f t="array" ref="CA70">IFERROR(EOMONTH(_xlfn._xlws.FILTER(Table1[Planned Award],(Table1[Category]=$E70)*(Table1[SBU]=$F$5)*(Table1[Most curent]=TRUE)*(Table1[Execution Year]=$D70)),0),"")</f>
        <v/>
      </c>
      <c r="CB70" s="60" t="str" cm="1">
        <f t="array" ref="CB70">IFERROR(EOMONTH(EOMONTH(_xlfn._xlws.FILTER(Table1[Current Phase End],(Table1[Category]=$E70)*(Table1[SBU]=$F$5)*(Table1[Most curent]=TRUE)*(Table1[Execution Year]=$D70)),0)-45,0)+1,"")</f>
        <v/>
      </c>
      <c r="CC70" s="60" t="str" cm="1">
        <f t="array" ref="CC70">IFERROR(EOMONTH(_xlfn._xlws.FILTER(Table1[Revised Award],(Table1[Category]=$E70)*(Table1[SBU]=$F$5)*(Table1[Most curent]=TRUE)*(Table1[Execution Year]=$D70)),0),"")</f>
        <v/>
      </c>
      <c r="CD70" s="60" t="str">
        <f t="shared" si="45"/>
        <v/>
      </c>
      <c r="CE70" s="60" t="str">
        <f t="shared" si="46"/>
        <v/>
      </c>
    </row>
    <row r="71" spans="2:83" ht="15.6" thickTop="1" thickBot="1">
      <c r="B71" s="123"/>
      <c r="C71" s="71"/>
      <c r="D71" s="35"/>
      <c r="E71" s="35"/>
      <c r="F71" s="35"/>
      <c r="G71" s="35"/>
      <c r="H71" s="36"/>
      <c r="I71" s="36"/>
      <c r="J71" s="35"/>
      <c r="K71" s="71"/>
      <c r="L71" s="71"/>
      <c r="M71" s="71"/>
      <c r="N71" s="34" t="str">
        <f t="shared" si="43"/>
        <v/>
      </c>
      <c r="O71" s="111" t="str">
        <f t="shared" si="44"/>
        <v/>
      </c>
      <c r="P71" s="34" t="str">
        <f t="shared" si="0"/>
        <v/>
      </c>
      <c r="Q71" s="111" t="str">
        <f t="shared" si="1"/>
        <v/>
      </c>
      <c r="R71" s="34" t="str">
        <f t="shared" si="2"/>
        <v/>
      </c>
      <c r="S71" s="111" t="str">
        <f t="shared" si="3"/>
        <v/>
      </c>
      <c r="T71" s="37" t="str">
        <f t="shared" si="4"/>
        <v/>
      </c>
      <c r="U71" s="111" t="str">
        <f t="shared" si="5"/>
        <v/>
      </c>
      <c r="V71" s="37" t="str">
        <f t="shared" si="6"/>
        <v/>
      </c>
      <c r="W71" s="111" t="str">
        <f t="shared" si="7"/>
        <v/>
      </c>
      <c r="X71" s="37" t="str">
        <f t="shared" si="8"/>
        <v/>
      </c>
      <c r="Y71" s="111" t="str">
        <f t="shared" si="9"/>
        <v/>
      </c>
      <c r="Z71" s="37" t="str">
        <f t="shared" si="10"/>
        <v/>
      </c>
      <c r="AA71" s="111" t="str">
        <f t="shared" si="11"/>
        <v/>
      </c>
      <c r="AB71" s="37" t="str">
        <f t="shared" si="12"/>
        <v/>
      </c>
      <c r="AC71" s="111" t="str">
        <f t="shared" si="13"/>
        <v/>
      </c>
      <c r="AD71" s="37" t="str">
        <f t="shared" si="14"/>
        <v/>
      </c>
      <c r="AE71" s="111" t="str">
        <f t="shared" si="15"/>
        <v/>
      </c>
      <c r="AF71" s="37" t="str">
        <f t="shared" si="16"/>
        <v/>
      </c>
      <c r="AG71" s="111" t="str">
        <f t="shared" si="17"/>
        <v/>
      </c>
      <c r="AH71" s="37" t="str">
        <f t="shared" si="18"/>
        <v/>
      </c>
      <c r="AI71" s="111" t="str">
        <f t="shared" si="19"/>
        <v/>
      </c>
      <c r="AJ71" s="37" t="str">
        <f t="shared" si="20"/>
        <v/>
      </c>
      <c r="AK71" s="111" t="str">
        <f t="shared" si="21"/>
        <v/>
      </c>
      <c r="AL71" s="37" t="str">
        <f t="shared" si="22"/>
        <v/>
      </c>
      <c r="AM71" s="111" t="str">
        <f t="shared" si="23"/>
        <v/>
      </c>
      <c r="AN71" s="37" t="str">
        <f t="shared" si="24"/>
        <v/>
      </c>
      <c r="AO71" s="111" t="str">
        <f t="shared" si="25"/>
        <v/>
      </c>
      <c r="AP71" s="37" t="str">
        <f t="shared" si="26"/>
        <v/>
      </c>
      <c r="AQ71" s="111" t="str">
        <f t="shared" si="27"/>
        <v/>
      </c>
      <c r="AR71" s="37" t="str">
        <f t="shared" si="28"/>
        <v/>
      </c>
      <c r="AS71" s="111" t="str">
        <f t="shared" si="29"/>
        <v/>
      </c>
      <c r="AT71" s="37" t="str">
        <f t="shared" si="30"/>
        <v/>
      </c>
      <c r="AU71" s="111" t="str">
        <f t="shared" si="31"/>
        <v/>
      </c>
      <c r="AV71" s="37" t="str">
        <f t="shared" si="32"/>
        <v/>
      </c>
      <c r="AW71" s="111" t="str">
        <f t="shared" si="33"/>
        <v/>
      </c>
      <c r="AX71" s="37" t="str">
        <f t="shared" si="57"/>
        <v/>
      </c>
      <c r="AY71" s="111" t="str">
        <f t="shared" si="47"/>
        <v/>
      </c>
      <c r="AZ71" s="37" t="str">
        <f t="shared" si="57"/>
        <v/>
      </c>
      <c r="BA71" s="111" t="str">
        <f t="shared" si="48"/>
        <v/>
      </c>
      <c r="BB71" s="37" t="str">
        <f t="shared" si="57"/>
        <v/>
      </c>
      <c r="BC71" s="111" t="str">
        <f t="shared" si="49"/>
        <v/>
      </c>
      <c r="BD71" s="37" t="str">
        <f t="shared" si="57"/>
        <v/>
      </c>
      <c r="BE71" s="111" t="str">
        <f t="shared" si="50"/>
        <v/>
      </c>
      <c r="BF71" s="37" t="str">
        <f t="shared" si="57"/>
        <v/>
      </c>
      <c r="BG71" s="111" t="str">
        <f t="shared" si="51"/>
        <v/>
      </c>
      <c r="BH71" s="37" t="str">
        <f t="shared" si="57"/>
        <v/>
      </c>
      <c r="BI71" s="111" t="str">
        <f t="shared" si="52"/>
        <v/>
      </c>
      <c r="BJ71" s="37" t="str">
        <f t="shared" si="57"/>
        <v/>
      </c>
      <c r="BK71" s="111" t="str">
        <f t="shared" si="53"/>
        <v/>
      </c>
      <c r="BL71" s="37" t="str">
        <f t="shared" si="57"/>
        <v/>
      </c>
      <c r="BM71" s="111" t="str">
        <f t="shared" si="54"/>
        <v/>
      </c>
      <c r="BN71" s="37" t="str">
        <f t="shared" si="56"/>
        <v/>
      </c>
      <c r="BO71" s="111" t="str">
        <f t="shared" si="55"/>
        <v/>
      </c>
      <c r="BP71" s="34"/>
      <c r="BQ71" s="23"/>
      <c r="BZ71" s="60" t="str" cm="1">
        <f t="array" ref="BZ71">IFERROR(EOMONTH(EOMONTH(_xlfn._xlws.FILTER(Table1[Planned Start],(Table1[Category]=$E71)*(Table1[SBU]=$F$5)*(Table1[Execution Year]=$D71)*(Table1[Most curent]=TRUE)),0)-45,0)+1,"")</f>
        <v/>
      </c>
      <c r="CA71" s="60" t="str" cm="1">
        <f t="array" ref="CA71">IFERROR(EOMONTH(_xlfn._xlws.FILTER(Table1[Planned Award],(Table1[Category]=$E71)*(Table1[SBU]=$F$5)*(Table1[Most curent]=TRUE)*(Table1[Execution Year]=$D71)),0),"")</f>
        <v/>
      </c>
      <c r="CB71" s="60" t="str" cm="1">
        <f t="array" ref="CB71">IFERROR(EOMONTH(EOMONTH(_xlfn._xlws.FILTER(Table1[Current Phase End],(Table1[Category]=$E71)*(Table1[SBU]=$F$5)*(Table1[Most curent]=TRUE)*(Table1[Execution Year]=$D71)),0)-45,0)+1,"")</f>
        <v/>
      </c>
      <c r="CC71" s="60" t="str" cm="1">
        <f t="array" ref="CC71">IFERROR(EOMONTH(_xlfn._xlws.FILTER(Table1[Revised Award],(Table1[Category]=$E71)*(Table1[SBU]=$F$5)*(Table1[Most curent]=TRUE)*(Table1[Execution Year]=$D71)),0),"")</f>
        <v/>
      </c>
      <c r="CD71" s="60" t="str">
        <f t="shared" si="45"/>
        <v/>
      </c>
      <c r="CE71" s="60" t="str">
        <f t="shared" si="46"/>
        <v/>
      </c>
    </row>
    <row r="72" spans="2:83" ht="15.6" thickTop="1" thickBot="1">
      <c r="B72" s="123"/>
      <c r="C72" s="71"/>
      <c r="D72" s="35"/>
      <c r="E72" s="35"/>
      <c r="F72" s="35"/>
      <c r="G72" s="35"/>
      <c r="H72" s="36"/>
      <c r="I72" s="36"/>
      <c r="J72" s="35"/>
      <c r="K72" s="71"/>
      <c r="L72" s="71"/>
      <c r="M72" s="71"/>
      <c r="N72" s="34" t="str">
        <f t="shared" si="43"/>
        <v/>
      </c>
      <c r="O72" s="111" t="str">
        <f t="shared" si="44"/>
        <v/>
      </c>
      <c r="P72" s="34" t="str">
        <f t="shared" si="0"/>
        <v/>
      </c>
      <c r="Q72" s="111" t="str">
        <f t="shared" si="1"/>
        <v/>
      </c>
      <c r="R72" s="34" t="str">
        <f t="shared" si="2"/>
        <v/>
      </c>
      <c r="S72" s="111" t="str">
        <f t="shared" si="3"/>
        <v/>
      </c>
      <c r="T72" s="37" t="str">
        <f t="shared" si="4"/>
        <v/>
      </c>
      <c r="U72" s="111" t="str">
        <f t="shared" si="5"/>
        <v/>
      </c>
      <c r="V72" s="37" t="str">
        <f t="shared" si="6"/>
        <v/>
      </c>
      <c r="W72" s="111" t="str">
        <f t="shared" si="7"/>
        <v/>
      </c>
      <c r="X72" s="37" t="str">
        <f t="shared" si="8"/>
        <v/>
      </c>
      <c r="Y72" s="111" t="str">
        <f t="shared" si="9"/>
        <v/>
      </c>
      <c r="Z72" s="37" t="str">
        <f t="shared" si="10"/>
        <v/>
      </c>
      <c r="AA72" s="111" t="str">
        <f t="shared" si="11"/>
        <v/>
      </c>
      <c r="AB72" s="37" t="str">
        <f t="shared" si="12"/>
        <v/>
      </c>
      <c r="AC72" s="111" t="str">
        <f t="shared" si="13"/>
        <v/>
      </c>
      <c r="AD72" s="37" t="str">
        <f t="shared" si="14"/>
        <v/>
      </c>
      <c r="AE72" s="111" t="str">
        <f t="shared" si="15"/>
        <v/>
      </c>
      <c r="AF72" s="37" t="str">
        <f t="shared" si="16"/>
        <v/>
      </c>
      <c r="AG72" s="111" t="str">
        <f t="shared" si="17"/>
        <v/>
      </c>
      <c r="AH72" s="37" t="str">
        <f t="shared" si="18"/>
        <v/>
      </c>
      <c r="AI72" s="111" t="str">
        <f t="shared" si="19"/>
        <v/>
      </c>
      <c r="AJ72" s="37" t="str">
        <f t="shared" si="20"/>
        <v/>
      </c>
      <c r="AK72" s="111" t="str">
        <f t="shared" si="21"/>
        <v/>
      </c>
      <c r="AL72" s="37" t="str">
        <f t="shared" si="22"/>
        <v/>
      </c>
      <c r="AM72" s="111" t="str">
        <f t="shared" si="23"/>
        <v/>
      </c>
      <c r="AN72" s="37" t="str">
        <f t="shared" si="24"/>
        <v/>
      </c>
      <c r="AO72" s="111" t="str">
        <f t="shared" si="25"/>
        <v/>
      </c>
      <c r="AP72" s="37" t="str">
        <f t="shared" si="26"/>
        <v/>
      </c>
      <c r="AQ72" s="111" t="str">
        <f t="shared" si="27"/>
        <v/>
      </c>
      <c r="AR72" s="37" t="str">
        <f t="shared" si="28"/>
        <v/>
      </c>
      <c r="AS72" s="111" t="str">
        <f t="shared" si="29"/>
        <v/>
      </c>
      <c r="AT72" s="37" t="str">
        <f t="shared" si="30"/>
        <v/>
      </c>
      <c r="AU72" s="111" t="str">
        <f t="shared" si="31"/>
        <v/>
      </c>
      <c r="AV72" s="37" t="str">
        <f t="shared" si="32"/>
        <v/>
      </c>
      <c r="AW72" s="111" t="str">
        <f t="shared" si="33"/>
        <v/>
      </c>
      <c r="AX72" s="37" t="str">
        <f t="shared" si="57"/>
        <v/>
      </c>
      <c r="AY72" s="111" t="str">
        <f t="shared" si="47"/>
        <v/>
      </c>
      <c r="AZ72" s="37" t="str">
        <f t="shared" si="57"/>
        <v/>
      </c>
      <c r="BA72" s="111" t="str">
        <f t="shared" si="48"/>
        <v/>
      </c>
      <c r="BB72" s="37" t="str">
        <f t="shared" si="57"/>
        <v/>
      </c>
      <c r="BC72" s="111" t="str">
        <f t="shared" si="49"/>
        <v/>
      </c>
      <c r="BD72" s="37" t="str">
        <f t="shared" si="57"/>
        <v/>
      </c>
      <c r="BE72" s="111" t="str">
        <f t="shared" si="50"/>
        <v/>
      </c>
      <c r="BF72" s="37" t="str">
        <f t="shared" si="57"/>
        <v/>
      </c>
      <c r="BG72" s="111" t="str">
        <f t="shared" si="51"/>
        <v/>
      </c>
      <c r="BH72" s="37" t="str">
        <f t="shared" si="57"/>
        <v/>
      </c>
      <c r="BI72" s="111" t="str">
        <f t="shared" si="52"/>
        <v/>
      </c>
      <c r="BJ72" s="37" t="str">
        <f t="shared" si="57"/>
        <v/>
      </c>
      <c r="BK72" s="111" t="str">
        <f t="shared" si="53"/>
        <v/>
      </c>
      <c r="BL72" s="37" t="str">
        <f t="shared" si="57"/>
        <v/>
      </c>
      <c r="BM72" s="111" t="str">
        <f t="shared" si="54"/>
        <v/>
      </c>
      <c r="BN72" s="37" t="str">
        <f t="shared" si="56"/>
        <v/>
      </c>
      <c r="BO72" s="111" t="str">
        <f t="shared" si="55"/>
        <v/>
      </c>
      <c r="BP72" s="34"/>
      <c r="BQ72" s="23"/>
      <c r="BZ72" s="60" t="str" cm="1">
        <f t="array" ref="BZ72">IFERROR(EOMONTH(EOMONTH(_xlfn._xlws.FILTER(Table1[Planned Start],(Table1[Category]=$E72)*(Table1[SBU]=$F$5)*(Table1[Execution Year]=$D72)*(Table1[Most curent]=TRUE)),0)-45,0)+1,"")</f>
        <v/>
      </c>
      <c r="CA72" s="60" t="str" cm="1">
        <f t="array" ref="CA72">IFERROR(EOMONTH(_xlfn._xlws.FILTER(Table1[Planned Award],(Table1[Category]=$E72)*(Table1[SBU]=$F$5)*(Table1[Most curent]=TRUE)*(Table1[Execution Year]=$D72)),0),"")</f>
        <v/>
      </c>
      <c r="CB72" s="60" t="str" cm="1">
        <f t="array" ref="CB72">IFERROR(EOMONTH(EOMONTH(_xlfn._xlws.FILTER(Table1[Current Phase End],(Table1[Category]=$E72)*(Table1[SBU]=$F$5)*(Table1[Most curent]=TRUE)*(Table1[Execution Year]=$D72)),0)-45,0)+1,"")</f>
        <v/>
      </c>
      <c r="CC72" s="60" t="str" cm="1">
        <f t="array" ref="CC72">IFERROR(EOMONTH(_xlfn._xlws.FILTER(Table1[Revised Award],(Table1[Category]=$E72)*(Table1[SBU]=$F$5)*(Table1[Most curent]=TRUE)*(Table1[Execution Year]=$D72)),0),"")</f>
        <v/>
      </c>
      <c r="CD72" s="60" t="str">
        <f t="shared" si="45"/>
        <v/>
      </c>
      <c r="CE72" s="60" t="str">
        <f t="shared" si="46"/>
        <v/>
      </c>
    </row>
    <row r="73" spans="2:83" ht="15.6" thickTop="1" thickBot="1">
      <c r="B73" s="123"/>
      <c r="C73" s="71"/>
      <c r="D73" s="35"/>
      <c r="E73" s="35"/>
      <c r="F73" s="35"/>
      <c r="G73" s="35"/>
      <c r="H73" s="36"/>
      <c r="I73" s="36"/>
      <c r="J73" s="35"/>
      <c r="K73" s="71"/>
      <c r="L73" s="71"/>
      <c r="M73" s="71"/>
      <c r="N73" s="34" t="str">
        <f t="shared" si="43"/>
        <v/>
      </c>
      <c r="O73" s="111" t="str">
        <f t="shared" si="44"/>
        <v/>
      </c>
      <c r="P73" s="34" t="str">
        <f t="shared" si="0"/>
        <v/>
      </c>
      <c r="Q73" s="111" t="str">
        <f t="shared" si="1"/>
        <v/>
      </c>
      <c r="R73" s="34" t="str">
        <f t="shared" si="2"/>
        <v/>
      </c>
      <c r="S73" s="111" t="str">
        <f t="shared" si="3"/>
        <v/>
      </c>
      <c r="T73" s="37" t="str">
        <f t="shared" si="4"/>
        <v/>
      </c>
      <c r="U73" s="111" t="str">
        <f t="shared" si="5"/>
        <v/>
      </c>
      <c r="V73" s="37" t="str">
        <f t="shared" si="6"/>
        <v/>
      </c>
      <c r="W73" s="111" t="str">
        <f t="shared" si="7"/>
        <v/>
      </c>
      <c r="X73" s="37" t="str">
        <f t="shared" si="8"/>
        <v/>
      </c>
      <c r="Y73" s="111" t="str">
        <f t="shared" si="9"/>
        <v/>
      </c>
      <c r="Z73" s="37" t="str">
        <f t="shared" si="10"/>
        <v/>
      </c>
      <c r="AA73" s="111" t="str">
        <f t="shared" si="11"/>
        <v/>
      </c>
      <c r="AB73" s="37" t="str">
        <f t="shared" si="12"/>
        <v/>
      </c>
      <c r="AC73" s="111" t="str">
        <f t="shared" si="13"/>
        <v/>
      </c>
      <c r="AD73" s="37" t="str">
        <f t="shared" si="14"/>
        <v/>
      </c>
      <c r="AE73" s="111" t="str">
        <f t="shared" si="15"/>
        <v/>
      </c>
      <c r="AF73" s="37" t="str">
        <f t="shared" si="16"/>
        <v/>
      </c>
      <c r="AG73" s="111" t="str">
        <f t="shared" si="17"/>
        <v/>
      </c>
      <c r="AH73" s="37" t="str">
        <f t="shared" si="18"/>
        <v/>
      </c>
      <c r="AI73" s="111" t="str">
        <f t="shared" si="19"/>
        <v/>
      </c>
      <c r="AJ73" s="37" t="str">
        <f t="shared" si="20"/>
        <v/>
      </c>
      <c r="AK73" s="111" t="str">
        <f t="shared" si="21"/>
        <v/>
      </c>
      <c r="AL73" s="37" t="str">
        <f t="shared" si="22"/>
        <v/>
      </c>
      <c r="AM73" s="111" t="str">
        <f t="shared" si="23"/>
        <v/>
      </c>
      <c r="AN73" s="37" t="str">
        <f t="shared" si="24"/>
        <v/>
      </c>
      <c r="AO73" s="111" t="str">
        <f t="shared" si="25"/>
        <v/>
      </c>
      <c r="AP73" s="37" t="str">
        <f t="shared" si="26"/>
        <v/>
      </c>
      <c r="AQ73" s="111" t="str">
        <f t="shared" si="27"/>
        <v/>
      </c>
      <c r="AR73" s="37" t="str">
        <f t="shared" si="28"/>
        <v/>
      </c>
      <c r="AS73" s="111" t="str">
        <f t="shared" si="29"/>
        <v/>
      </c>
      <c r="AT73" s="37" t="str">
        <f t="shared" si="30"/>
        <v/>
      </c>
      <c r="AU73" s="111" t="str">
        <f t="shared" si="31"/>
        <v/>
      </c>
      <c r="AV73" s="37" t="str">
        <f t="shared" si="32"/>
        <v/>
      </c>
      <c r="AW73" s="111" t="str">
        <f t="shared" si="33"/>
        <v/>
      </c>
      <c r="AX73" s="37" t="str">
        <f t="shared" si="57"/>
        <v/>
      </c>
      <c r="AY73" s="111" t="str">
        <f t="shared" si="47"/>
        <v/>
      </c>
      <c r="AZ73" s="37" t="str">
        <f t="shared" si="57"/>
        <v/>
      </c>
      <c r="BA73" s="111" t="str">
        <f t="shared" si="48"/>
        <v/>
      </c>
      <c r="BB73" s="37" t="str">
        <f t="shared" si="57"/>
        <v/>
      </c>
      <c r="BC73" s="111" t="str">
        <f t="shared" si="49"/>
        <v/>
      </c>
      <c r="BD73" s="37" t="str">
        <f t="shared" si="57"/>
        <v/>
      </c>
      <c r="BE73" s="111" t="str">
        <f t="shared" si="50"/>
        <v/>
      </c>
      <c r="BF73" s="37" t="str">
        <f t="shared" si="57"/>
        <v/>
      </c>
      <c r="BG73" s="111" t="str">
        <f t="shared" si="51"/>
        <v/>
      </c>
      <c r="BH73" s="37" t="str">
        <f t="shared" si="57"/>
        <v/>
      </c>
      <c r="BI73" s="111" t="str">
        <f t="shared" si="52"/>
        <v/>
      </c>
      <c r="BJ73" s="37" t="str">
        <f t="shared" si="57"/>
        <v/>
      </c>
      <c r="BK73" s="111" t="str">
        <f t="shared" si="53"/>
        <v/>
      </c>
      <c r="BL73" s="37" t="str">
        <f t="shared" si="57"/>
        <v/>
      </c>
      <c r="BM73" s="111" t="str">
        <f t="shared" si="54"/>
        <v/>
      </c>
      <c r="BN73" s="37" t="str">
        <f t="shared" si="56"/>
        <v/>
      </c>
      <c r="BO73" s="111" t="str">
        <f t="shared" si="55"/>
        <v/>
      </c>
      <c r="BP73" s="34"/>
      <c r="BQ73" s="23"/>
      <c r="BZ73" s="60" t="str" cm="1">
        <f t="array" ref="BZ73">IFERROR(EOMONTH(EOMONTH(_xlfn._xlws.FILTER(Table1[Planned Start],(Table1[Category]=$E73)*(Table1[SBU]=$F$5)*(Table1[Execution Year]=$D73)*(Table1[Most curent]=TRUE)),0)-45,0)+1,"")</f>
        <v/>
      </c>
      <c r="CA73" s="60" t="str" cm="1">
        <f t="array" ref="CA73">IFERROR(EOMONTH(_xlfn._xlws.FILTER(Table1[Planned Award],(Table1[Category]=$E73)*(Table1[SBU]=$F$5)*(Table1[Most curent]=TRUE)*(Table1[Execution Year]=$D73)),0),"")</f>
        <v/>
      </c>
      <c r="CB73" s="60" t="str" cm="1">
        <f t="array" ref="CB73">IFERROR(EOMONTH(EOMONTH(_xlfn._xlws.FILTER(Table1[Current Phase End],(Table1[Category]=$E73)*(Table1[SBU]=$F$5)*(Table1[Most curent]=TRUE)*(Table1[Execution Year]=$D73)),0)-45,0)+1,"")</f>
        <v/>
      </c>
      <c r="CC73" s="60" t="str" cm="1">
        <f t="array" ref="CC73">IFERROR(EOMONTH(_xlfn._xlws.FILTER(Table1[Revised Award],(Table1[Category]=$E73)*(Table1[SBU]=$F$5)*(Table1[Most curent]=TRUE)*(Table1[Execution Year]=$D73)),0),"")</f>
        <v/>
      </c>
      <c r="CD73" s="60" t="str">
        <f t="shared" si="45"/>
        <v/>
      </c>
      <c r="CE73" s="60" t="str">
        <f t="shared" si="46"/>
        <v/>
      </c>
    </row>
    <row r="74" spans="2:83" ht="15.6" thickTop="1" thickBot="1">
      <c r="B74" s="123"/>
      <c r="C74" s="71"/>
      <c r="D74" s="35"/>
      <c r="E74" s="35"/>
      <c r="F74" s="35"/>
      <c r="G74" s="36"/>
      <c r="H74" s="36"/>
      <c r="I74" s="36"/>
      <c r="J74" s="35"/>
      <c r="K74" s="71"/>
      <c r="L74" s="71"/>
      <c r="M74" s="71"/>
      <c r="N74" s="34" t="str">
        <f t="shared" si="43"/>
        <v/>
      </c>
      <c r="O74" s="111" t="str">
        <f t="shared" si="44"/>
        <v/>
      </c>
      <c r="P74" s="34" t="str">
        <f t="shared" si="0"/>
        <v/>
      </c>
      <c r="Q74" s="111" t="str">
        <f t="shared" si="1"/>
        <v/>
      </c>
      <c r="R74" s="34" t="str">
        <f t="shared" si="2"/>
        <v/>
      </c>
      <c r="S74" s="111" t="str">
        <f t="shared" si="3"/>
        <v/>
      </c>
      <c r="T74" s="37" t="str">
        <f t="shared" si="4"/>
        <v/>
      </c>
      <c r="U74" s="111" t="str">
        <f t="shared" si="5"/>
        <v/>
      </c>
      <c r="V74" s="37" t="str">
        <f t="shared" si="6"/>
        <v/>
      </c>
      <c r="W74" s="111" t="str">
        <f t="shared" si="7"/>
        <v/>
      </c>
      <c r="X74" s="37" t="str">
        <f t="shared" si="8"/>
        <v/>
      </c>
      <c r="Y74" s="111" t="str">
        <f t="shared" si="9"/>
        <v/>
      </c>
      <c r="Z74" s="37" t="str">
        <f t="shared" si="10"/>
        <v/>
      </c>
      <c r="AA74" s="111" t="str">
        <f t="shared" si="11"/>
        <v/>
      </c>
      <c r="AB74" s="37" t="str">
        <f t="shared" si="12"/>
        <v/>
      </c>
      <c r="AC74" s="111" t="str">
        <f t="shared" si="13"/>
        <v/>
      </c>
      <c r="AD74" s="37" t="str">
        <f t="shared" si="14"/>
        <v/>
      </c>
      <c r="AE74" s="111" t="str">
        <f t="shared" si="15"/>
        <v/>
      </c>
      <c r="AF74" s="37" t="str">
        <f t="shared" si="16"/>
        <v/>
      </c>
      <c r="AG74" s="111" t="str">
        <f t="shared" si="17"/>
        <v/>
      </c>
      <c r="AH74" s="37" t="str">
        <f t="shared" si="18"/>
        <v/>
      </c>
      <c r="AI74" s="111" t="str">
        <f t="shared" si="19"/>
        <v/>
      </c>
      <c r="AJ74" s="37" t="str">
        <f t="shared" si="20"/>
        <v/>
      </c>
      <c r="AK74" s="111" t="str">
        <f t="shared" si="21"/>
        <v/>
      </c>
      <c r="AL74" s="37" t="str">
        <f t="shared" si="22"/>
        <v/>
      </c>
      <c r="AM74" s="111" t="str">
        <f t="shared" si="23"/>
        <v/>
      </c>
      <c r="AN74" s="37" t="str">
        <f t="shared" si="24"/>
        <v/>
      </c>
      <c r="AO74" s="111" t="str">
        <f t="shared" si="25"/>
        <v/>
      </c>
      <c r="AP74" s="37" t="str">
        <f t="shared" si="26"/>
        <v/>
      </c>
      <c r="AQ74" s="111" t="str">
        <f t="shared" si="27"/>
        <v/>
      </c>
      <c r="AR74" s="37" t="str">
        <f t="shared" si="28"/>
        <v/>
      </c>
      <c r="AS74" s="111" t="str">
        <f t="shared" si="29"/>
        <v/>
      </c>
      <c r="AT74" s="37" t="str">
        <f t="shared" si="30"/>
        <v/>
      </c>
      <c r="AU74" s="111" t="str">
        <f t="shared" si="31"/>
        <v/>
      </c>
      <c r="AV74" s="37" t="str">
        <f t="shared" si="32"/>
        <v/>
      </c>
      <c r="AW74" s="111" t="str">
        <f t="shared" si="33"/>
        <v/>
      </c>
      <c r="AX74" s="37" t="str">
        <f t="shared" si="57"/>
        <v/>
      </c>
      <c r="AY74" s="111" t="str">
        <f t="shared" si="47"/>
        <v/>
      </c>
      <c r="AZ74" s="37" t="str">
        <f t="shared" si="57"/>
        <v/>
      </c>
      <c r="BA74" s="111" t="str">
        <f t="shared" si="48"/>
        <v/>
      </c>
      <c r="BB74" s="37" t="str">
        <f t="shared" si="57"/>
        <v/>
      </c>
      <c r="BC74" s="111" t="str">
        <f t="shared" si="49"/>
        <v/>
      </c>
      <c r="BD74" s="37" t="str">
        <f t="shared" si="57"/>
        <v/>
      </c>
      <c r="BE74" s="111" t="str">
        <f t="shared" si="50"/>
        <v/>
      </c>
      <c r="BF74" s="37" t="str">
        <f t="shared" si="57"/>
        <v/>
      </c>
      <c r="BG74" s="111" t="str">
        <f t="shared" si="51"/>
        <v/>
      </c>
      <c r="BH74" s="37" t="str">
        <f t="shared" si="57"/>
        <v/>
      </c>
      <c r="BI74" s="111" t="str">
        <f t="shared" si="52"/>
        <v/>
      </c>
      <c r="BJ74" s="37" t="str">
        <f t="shared" si="57"/>
        <v/>
      </c>
      <c r="BK74" s="111" t="str">
        <f t="shared" si="53"/>
        <v/>
      </c>
      <c r="BL74" s="37" t="str">
        <f t="shared" si="57"/>
        <v/>
      </c>
      <c r="BM74" s="111" t="str">
        <f t="shared" si="54"/>
        <v/>
      </c>
      <c r="BN74" s="37" t="str">
        <f t="shared" si="56"/>
        <v/>
      </c>
      <c r="BO74" s="111" t="str">
        <f t="shared" si="55"/>
        <v/>
      </c>
      <c r="BP74" s="34"/>
      <c r="BQ74" s="23"/>
      <c r="BZ74" s="60" t="str" cm="1">
        <f t="array" ref="BZ74">IFERROR(EOMONTH(EOMONTH(_xlfn._xlws.FILTER(Table1[Planned Start],(Table1[Category]=$E74)*(Table1[SBU]=$F$5)*(Table1[Execution Year]=$D74)*(Table1[Most curent]=TRUE)),0)-45,0)+1,"")</f>
        <v/>
      </c>
      <c r="CA74" s="60" t="str" cm="1">
        <f t="array" ref="CA74">IFERROR(EOMONTH(_xlfn._xlws.FILTER(Table1[Planned Award],(Table1[Category]=$E74)*(Table1[SBU]=$F$5)*(Table1[Most curent]=TRUE)*(Table1[Execution Year]=$D74)),0),"")</f>
        <v/>
      </c>
      <c r="CB74" s="60" t="str" cm="1">
        <f t="array" ref="CB74">IFERROR(EOMONTH(EOMONTH(_xlfn._xlws.FILTER(Table1[Current Phase End],(Table1[Category]=$E74)*(Table1[SBU]=$F$5)*(Table1[Most curent]=TRUE)*(Table1[Execution Year]=$D74)),0)-45,0)+1,"")</f>
        <v/>
      </c>
      <c r="CC74" s="60" t="str" cm="1">
        <f t="array" ref="CC74">IFERROR(EOMONTH(_xlfn._xlws.FILTER(Table1[Revised Award],(Table1[Category]=$E74)*(Table1[SBU]=$F$5)*(Table1[Most curent]=TRUE)*(Table1[Execution Year]=$D74)),0),"")</f>
        <v/>
      </c>
      <c r="CD74" s="60" t="str">
        <f t="shared" si="45"/>
        <v/>
      </c>
      <c r="CE74" s="60" t="str">
        <f t="shared" si="46"/>
        <v/>
      </c>
    </row>
    <row r="75" spans="2:83" ht="15.6" thickTop="1" thickBot="1">
      <c r="B75" s="123"/>
      <c r="C75" s="71"/>
      <c r="D75" s="71"/>
      <c r="E75" s="71"/>
      <c r="F75" s="71"/>
      <c r="G75" s="71"/>
      <c r="H75" s="71"/>
      <c r="I75" s="71"/>
      <c r="J75" s="71"/>
      <c r="K75" s="71"/>
      <c r="L75" s="71"/>
      <c r="M75" s="71"/>
      <c r="N75" s="34"/>
      <c r="O75" s="111"/>
      <c r="P75" s="34"/>
      <c r="Q75" s="111"/>
      <c r="R75" s="34"/>
      <c r="S75" s="111"/>
      <c r="T75" s="34"/>
      <c r="U75" s="111"/>
      <c r="V75" s="34"/>
      <c r="W75" s="111"/>
      <c r="X75" s="34"/>
      <c r="Y75" s="111"/>
      <c r="Z75" s="34"/>
      <c r="AA75" s="111"/>
      <c r="AB75" s="34"/>
      <c r="AC75" s="111"/>
      <c r="AD75" s="34"/>
      <c r="AE75" s="111"/>
      <c r="AF75" s="34"/>
      <c r="AG75" s="111"/>
      <c r="AH75" s="34"/>
      <c r="AI75" s="111"/>
      <c r="AJ75" s="34"/>
      <c r="AK75" s="111"/>
      <c r="AL75" s="34"/>
      <c r="AM75" s="111"/>
      <c r="AN75" s="34"/>
      <c r="AO75" s="111"/>
      <c r="AP75" s="34"/>
      <c r="AQ75" s="111"/>
      <c r="AR75" s="34"/>
      <c r="AS75" s="111"/>
      <c r="AT75" s="34"/>
      <c r="AU75" s="111"/>
      <c r="AV75" s="34"/>
      <c r="AW75" s="111"/>
      <c r="AX75" s="37" t="str">
        <f t="shared" si="57"/>
        <v/>
      </c>
      <c r="AY75" s="111" t="str">
        <f t="shared" si="47"/>
        <v/>
      </c>
      <c r="AZ75" s="37" t="str">
        <f t="shared" si="57"/>
        <v/>
      </c>
      <c r="BA75" s="111" t="str">
        <f t="shared" si="48"/>
        <v/>
      </c>
      <c r="BB75" s="37" t="str">
        <f t="shared" si="57"/>
        <v/>
      </c>
      <c r="BC75" s="111" t="str">
        <f t="shared" si="49"/>
        <v/>
      </c>
      <c r="BD75" s="37" t="str">
        <f t="shared" si="57"/>
        <v/>
      </c>
      <c r="BE75" s="111" t="str">
        <f t="shared" si="50"/>
        <v/>
      </c>
      <c r="BF75" s="37" t="str">
        <f t="shared" si="57"/>
        <v/>
      </c>
      <c r="BG75" s="111" t="str">
        <f t="shared" si="51"/>
        <v/>
      </c>
      <c r="BH75" s="37" t="str">
        <f t="shared" si="57"/>
        <v/>
      </c>
      <c r="BI75" s="111" t="str">
        <f t="shared" si="52"/>
        <v/>
      </c>
      <c r="BJ75" s="37" t="str">
        <f t="shared" si="57"/>
        <v/>
      </c>
      <c r="BK75" s="111" t="str">
        <f t="shared" si="53"/>
        <v/>
      </c>
      <c r="BL75" s="37" t="str">
        <f t="shared" si="57"/>
        <v/>
      </c>
      <c r="BM75" s="111" t="str">
        <f t="shared" si="54"/>
        <v/>
      </c>
      <c r="BN75" s="37" t="str">
        <f t="shared" si="56"/>
        <v/>
      </c>
      <c r="BO75" s="111" t="str">
        <f t="shared" si="55"/>
        <v/>
      </c>
      <c r="BP75" s="34"/>
      <c r="BQ75" s="23"/>
    </row>
    <row r="76" spans="2:83" ht="15" thickTop="1">
      <c r="B76" s="126" t="e">
        <v>#REF!</v>
      </c>
      <c r="C76" s="118" t="e">
        <v>#REF!</v>
      </c>
      <c r="D76" s="118" t="e">
        <v>#REF!</v>
      </c>
      <c r="E76" s="118" t="e">
        <v>#REF!</v>
      </c>
      <c r="F76" s="118"/>
      <c r="G76" s="118"/>
      <c r="H76" s="118"/>
      <c r="I76" s="118"/>
      <c r="J76" s="118"/>
      <c r="K76" s="118"/>
      <c r="L76" s="118"/>
      <c r="M76" s="118"/>
      <c r="N76" s="118"/>
      <c r="O76" s="118"/>
      <c r="P76" s="118"/>
      <c r="Q76" s="118"/>
      <c r="R76" s="118"/>
      <c r="S76" s="118"/>
      <c r="T76" s="118"/>
      <c r="U76" s="118"/>
      <c r="V76" s="118"/>
      <c r="W76" s="118"/>
      <c r="X76" s="118"/>
      <c r="Y76" s="118"/>
      <c r="Z76" s="118"/>
      <c r="AA76" s="118"/>
      <c r="AB76" s="118"/>
      <c r="AC76" s="118"/>
      <c r="AD76" s="118"/>
      <c r="AE76" s="118"/>
      <c r="AF76" s="118"/>
      <c r="AG76" s="118"/>
      <c r="AH76" s="118"/>
      <c r="AI76" s="118"/>
      <c r="AJ76" s="118"/>
      <c r="AK76" s="118"/>
      <c r="AL76" s="118"/>
      <c r="AM76" s="118"/>
      <c r="AN76" s="118"/>
      <c r="AO76" s="118"/>
      <c r="AP76" s="118"/>
      <c r="AQ76" s="118"/>
      <c r="AR76" s="118"/>
      <c r="AS76" s="118"/>
      <c r="AT76" s="118"/>
      <c r="AU76" s="118"/>
      <c r="AV76" s="118"/>
      <c r="AW76" s="118"/>
      <c r="AX76" s="118"/>
      <c r="AY76" s="118"/>
      <c r="AZ76" s="118"/>
      <c r="BA76" s="118"/>
      <c r="BB76" s="118"/>
      <c r="BC76" s="118"/>
      <c r="BD76" s="118"/>
      <c r="BE76" s="118"/>
      <c r="BF76" s="118"/>
      <c r="BG76" s="118"/>
      <c r="BH76" s="118"/>
      <c r="BI76" s="118"/>
      <c r="BJ76" s="118"/>
      <c r="BK76" s="118"/>
      <c r="BL76" s="118"/>
      <c r="BM76" s="118"/>
      <c r="BN76" s="118"/>
      <c r="BO76" s="118"/>
      <c r="BP76" s="118"/>
      <c r="BQ76" s="23"/>
    </row>
    <row r="77" spans="2:83">
      <c r="B77" s="24"/>
      <c r="D77" s="127"/>
      <c r="E77" s="127"/>
      <c r="F77" s="127"/>
      <c r="G77" s="127"/>
      <c r="H77" s="127"/>
      <c r="I77" s="127"/>
      <c r="J77" s="127"/>
      <c r="K77" s="127"/>
      <c r="L77" s="127"/>
      <c r="M77" s="127"/>
      <c r="N77" s="127"/>
      <c r="O77" s="127"/>
      <c r="P77" s="127"/>
      <c r="Q77" s="127"/>
      <c r="R77" s="127"/>
      <c r="S77" s="127"/>
      <c r="T77" s="127"/>
      <c r="U77" s="127"/>
      <c r="V77" s="127"/>
      <c r="W77" s="128"/>
      <c r="X77" s="127"/>
      <c r="Y77" s="127"/>
      <c r="Z77" s="127"/>
      <c r="AA77" s="127"/>
      <c r="AB77" s="127"/>
      <c r="AC77" s="127"/>
      <c r="AD77" s="127"/>
      <c r="AE77" s="127"/>
      <c r="AF77" s="128" t="s">
        <v>369</v>
      </c>
      <c r="AG77" s="127"/>
      <c r="AH77" s="127"/>
      <c r="AI77" s="127"/>
      <c r="AJ77" s="127"/>
      <c r="AK77" s="127"/>
      <c r="AL77" s="127"/>
      <c r="AM77" s="127"/>
      <c r="AN77" s="127"/>
      <c r="AO77" s="127"/>
      <c r="AP77" s="127"/>
      <c r="AQ77" s="127"/>
      <c r="AR77" s="127"/>
      <c r="AS77" s="127"/>
      <c r="AT77" s="127"/>
      <c r="AU77" s="127"/>
      <c r="AV77" s="127"/>
      <c r="AW77" s="127"/>
      <c r="AX77" s="127"/>
      <c r="AY77" s="127"/>
      <c r="AZ77" s="127"/>
      <c r="BA77" s="127"/>
      <c r="BB77" s="127"/>
      <c r="BC77" s="127"/>
      <c r="BD77" s="127"/>
      <c r="BE77" s="127"/>
      <c r="BF77" s="127"/>
      <c r="BG77" s="127"/>
      <c r="BH77" s="127"/>
      <c r="BI77" s="127"/>
      <c r="BJ77" s="127"/>
      <c r="BK77" s="127"/>
      <c r="BL77" s="127"/>
      <c r="BM77" s="127"/>
      <c r="BN77" s="127"/>
      <c r="BO77" s="127"/>
      <c r="BP77" s="127"/>
      <c r="BQ77" s="23"/>
    </row>
    <row r="78" spans="2:83">
      <c r="B78" s="24"/>
      <c r="G78" s="18"/>
      <c r="H78" s="18"/>
      <c r="I78" s="18"/>
      <c r="K78" s="18"/>
      <c r="L78" s="18"/>
      <c r="N78" s="129"/>
      <c r="O78" s="18"/>
      <c r="P78" s="129"/>
      <c r="Q78" s="18"/>
      <c r="R78" s="129"/>
      <c r="S78" s="18"/>
      <c r="T78" s="129"/>
      <c r="U78" s="18"/>
      <c r="V78" s="129"/>
      <c r="W78" s="18"/>
      <c r="X78" s="129"/>
      <c r="Y78" s="18"/>
      <c r="Z78" s="129"/>
      <c r="AA78" s="18"/>
      <c r="AB78" s="129"/>
      <c r="AC78" s="18"/>
      <c r="AD78" s="129"/>
      <c r="AE78" s="18"/>
      <c r="AF78" s="129"/>
      <c r="AG78" s="18"/>
      <c r="AH78" s="129"/>
      <c r="AI78" s="18"/>
      <c r="AJ78" s="129"/>
      <c r="AK78" s="18"/>
      <c r="AL78" s="129"/>
      <c r="AM78" s="18"/>
      <c r="AN78" s="129"/>
      <c r="AO78" s="18"/>
      <c r="AP78" s="129"/>
      <c r="AQ78" s="18"/>
      <c r="AR78" s="129"/>
      <c r="AS78" s="18"/>
      <c r="AT78" s="129"/>
      <c r="AU78" s="18"/>
      <c r="AV78" s="129"/>
      <c r="AW78" s="18"/>
      <c r="AX78" s="18"/>
      <c r="AY78" s="18"/>
      <c r="AZ78" s="18"/>
      <c r="BA78" s="18"/>
      <c r="BB78" s="18"/>
      <c r="BC78" s="18"/>
      <c r="BD78" s="18"/>
      <c r="BE78" s="18"/>
      <c r="BF78" s="18"/>
      <c r="BG78" s="18"/>
      <c r="BH78" s="18"/>
      <c r="BI78" s="18"/>
      <c r="BJ78" s="18"/>
      <c r="BK78" s="18"/>
      <c r="BL78" s="18"/>
      <c r="BM78" s="18"/>
      <c r="BN78" s="18"/>
      <c r="BO78" s="18"/>
      <c r="BP78" s="18"/>
      <c r="BQ78" s="23"/>
    </row>
    <row r="79" spans="2:83">
      <c r="B79" s="24"/>
      <c r="E79" s="38"/>
      <c r="F79" s="39"/>
      <c r="G79" s="40"/>
      <c r="H79" s="40"/>
      <c r="I79" s="40"/>
      <c r="J79" s="39"/>
      <c r="K79" s="40"/>
      <c r="L79" s="40"/>
      <c r="M79" s="39"/>
      <c r="N79" s="41"/>
      <c r="O79" s="40"/>
      <c r="P79" s="41"/>
      <c r="Q79" s="40"/>
      <c r="R79" s="41"/>
      <c r="S79" s="40"/>
      <c r="T79" s="41"/>
      <c r="U79" s="40"/>
      <c r="V79" s="41"/>
      <c r="W79" s="40"/>
      <c r="X79" s="41"/>
      <c r="Y79" s="40"/>
      <c r="Z79" s="41"/>
      <c r="AA79" s="40"/>
      <c r="AB79" s="41"/>
      <c r="AC79" s="40"/>
      <c r="AD79" s="41"/>
      <c r="AE79" s="40"/>
      <c r="AF79" s="39"/>
      <c r="AG79" s="39"/>
      <c r="AH79" s="39"/>
      <c r="AI79" s="39"/>
      <c r="AJ79" s="39"/>
      <c r="AK79" s="39"/>
      <c r="AL79" s="39"/>
      <c r="AM79" s="39"/>
      <c r="AN79" s="39"/>
      <c r="AO79" s="39"/>
      <c r="AP79" s="39"/>
      <c r="AQ79" s="39"/>
      <c r="AR79" s="39"/>
      <c r="AS79" s="39"/>
      <c r="AT79" s="39"/>
      <c r="AU79" s="39"/>
      <c r="AV79" s="39"/>
      <c r="AW79" s="39"/>
      <c r="AX79" s="39"/>
      <c r="AY79" s="39"/>
      <c r="AZ79" s="39"/>
      <c r="BA79" s="39"/>
      <c r="BB79" s="39"/>
      <c r="BC79" s="39"/>
      <c r="BD79" s="39"/>
      <c r="BE79" s="39"/>
      <c r="BF79" s="39"/>
      <c r="BG79" s="39"/>
      <c r="BH79" s="39"/>
      <c r="BI79" s="39"/>
      <c r="BJ79" s="39"/>
      <c r="BK79" s="39"/>
      <c r="BL79" s="39"/>
      <c r="BM79" s="39"/>
      <c r="BN79" s="39"/>
      <c r="BO79" s="39"/>
      <c r="BP79" s="42"/>
      <c r="BQ79" s="23"/>
    </row>
    <row r="80" spans="2:83">
      <c r="B80" s="24"/>
      <c r="E80" s="43"/>
      <c r="F80" s="130"/>
      <c r="G80" s="130"/>
      <c r="H80" s="44">
        <f ca="1">SUM(H10:H74)</f>
        <v>608513541.97000003</v>
      </c>
      <c r="I80" s="44">
        <f ca="1">SUM(I10:I74)</f>
        <v>3996471845.6900001</v>
      </c>
      <c r="J80" s="44">
        <f ca="1">SUM(J10:J74)</f>
        <v>0</v>
      </c>
      <c r="K80" s="132"/>
      <c r="L80" s="132"/>
      <c r="M80" s="132"/>
      <c r="N80" s="132"/>
      <c r="O80" s="131"/>
      <c r="P80" s="132"/>
      <c r="Q80" s="131"/>
      <c r="R80" s="130" t="s">
        <v>370</v>
      </c>
      <c r="S80" s="131"/>
      <c r="T80" s="132"/>
      <c r="U80" s="131"/>
      <c r="V80" s="132"/>
      <c r="W80" s="131"/>
      <c r="X80" s="132"/>
      <c r="Y80" s="131"/>
      <c r="Z80" s="130"/>
      <c r="AA80" s="131"/>
      <c r="AB80" s="132"/>
      <c r="AC80" s="131"/>
      <c r="AD80" s="132"/>
      <c r="AE80" s="131"/>
      <c r="AF80" s="131"/>
      <c r="AG80" s="131"/>
      <c r="AH80" s="131"/>
      <c r="AI80" s="131"/>
      <c r="AJ80" s="131"/>
      <c r="AK80" s="131"/>
      <c r="AL80" s="131"/>
      <c r="AM80" s="131"/>
      <c r="AN80" s="131"/>
      <c r="AO80" s="131"/>
      <c r="AP80" s="131"/>
      <c r="AQ80" s="131"/>
      <c r="AR80" s="131"/>
      <c r="AS80" s="131"/>
      <c r="AT80" s="131"/>
      <c r="AU80" s="131"/>
      <c r="AV80" s="133"/>
      <c r="AW80" s="131"/>
      <c r="AX80" s="131"/>
      <c r="AY80" s="131"/>
      <c r="AZ80" s="131"/>
      <c r="BA80" s="131"/>
      <c r="BB80" s="131"/>
      <c r="BC80" s="131"/>
      <c r="BD80" s="131"/>
      <c r="BE80" s="131"/>
      <c r="BF80" s="131"/>
      <c r="BG80" s="131"/>
      <c r="BH80" s="131"/>
      <c r="BI80" s="131"/>
      <c r="BJ80" s="131"/>
      <c r="BK80" s="131"/>
      <c r="BL80" s="131"/>
      <c r="BM80" s="131"/>
      <c r="BN80" s="131"/>
      <c r="BO80" s="131"/>
      <c r="BP80" s="45"/>
      <c r="BQ80" s="23"/>
    </row>
    <row r="81" spans="2:69">
      <c r="B81" s="24"/>
      <c r="E81" s="46"/>
      <c r="F81" s="47"/>
      <c r="G81" s="48"/>
      <c r="H81" s="48"/>
      <c r="I81" s="48"/>
      <c r="J81" s="47"/>
      <c r="K81" s="48"/>
      <c r="L81" s="48"/>
      <c r="M81" s="47"/>
      <c r="N81" s="49"/>
      <c r="O81" s="48"/>
      <c r="P81" s="49"/>
      <c r="Q81" s="48"/>
      <c r="R81" s="49"/>
      <c r="S81" s="48"/>
      <c r="T81" s="49"/>
      <c r="U81" s="48"/>
      <c r="V81" s="49"/>
      <c r="W81" s="48"/>
      <c r="X81" s="49"/>
      <c r="Y81" s="48"/>
      <c r="Z81" s="49"/>
      <c r="AA81" s="48"/>
      <c r="AB81" s="49"/>
      <c r="AC81" s="48"/>
      <c r="AD81" s="49"/>
      <c r="AE81" s="48"/>
      <c r="AF81" s="47"/>
      <c r="AG81" s="47"/>
      <c r="AH81" s="47"/>
      <c r="AI81" s="47"/>
      <c r="AJ81" s="47"/>
      <c r="AK81" s="47"/>
      <c r="AL81" s="47"/>
      <c r="AM81" s="47"/>
      <c r="AN81" s="47"/>
      <c r="AO81" s="47"/>
      <c r="AP81" s="47"/>
      <c r="AQ81" s="47"/>
      <c r="AR81" s="47"/>
      <c r="AS81" s="47"/>
      <c r="AT81" s="47"/>
      <c r="AU81" s="47"/>
      <c r="AV81" s="47"/>
      <c r="AW81" s="47"/>
      <c r="AX81" s="47"/>
      <c r="AY81" s="47"/>
      <c r="AZ81" s="47"/>
      <c r="BA81" s="47"/>
      <c r="BB81" s="47"/>
      <c r="BC81" s="47"/>
      <c r="BD81" s="47"/>
      <c r="BE81" s="47"/>
      <c r="BF81" s="47"/>
      <c r="BG81" s="47"/>
      <c r="BH81" s="47"/>
      <c r="BI81" s="47"/>
      <c r="BJ81" s="47"/>
      <c r="BK81" s="47"/>
      <c r="BL81" s="47"/>
      <c r="BM81" s="47"/>
      <c r="BN81" s="47"/>
      <c r="BO81" s="47"/>
      <c r="BP81" s="50"/>
      <c r="BQ81" s="23"/>
    </row>
    <row r="82" spans="2:69">
      <c r="B82" s="24"/>
      <c r="G82" s="18"/>
      <c r="H82" s="18"/>
      <c r="I82" s="18"/>
      <c r="K82" s="18"/>
      <c r="L82" s="18"/>
      <c r="N82" s="129"/>
      <c r="O82" s="18"/>
      <c r="P82" s="129"/>
      <c r="Q82" s="18"/>
      <c r="R82" s="129"/>
      <c r="S82" s="18"/>
      <c r="T82" s="129"/>
      <c r="U82" s="18"/>
      <c r="V82" s="129"/>
      <c r="W82" s="18"/>
      <c r="X82" s="129"/>
      <c r="Y82" s="18"/>
      <c r="Z82" s="129"/>
      <c r="AA82" s="18"/>
      <c r="AB82" s="129"/>
      <c r="AC82" s="18"/>
      <c r="AD82" s="129"/>
      <c r="AE82" s="18"/>
      <c r="BQ82" s="23"/>
    </row>
    <row r="83" spans="2:69" ht="15" thickBot="1">
      <c r="B83" s="25"/>
      <c r="C83" s="26"/>
      <c r="D83" s="26"/>
      <c r="E83" s="26"/>
      <c r="F83" s="26"/>
      <c r="G83" s="26"/>
      <c r="H83" s="26"/>
      <c r="I83" s="26"/>
      <c r="J83" s="26"/>
      <c r="K83" s="26"/>
      <c r="L83" s="26"/>
      <c r="M83" s="26"/>
      <c r="N83" s="51"/>
      <c r="O83" s="26"/>
      <c r="P83" s="51"/>
      <c r="Q83" s="26"/>
      <c r="R83" s="51"/>
      <c r="S83" s="26"/>
      <c r="T83" s="51"/>
      <c r="U83" s="26"/>
      <c r="V83" s="51"/>
      <c r="W83" s="26"/>
      <c r="X83" s="51"/>
      <c r="Y83" s="26"/>
      <c r="Z83" s="51"/>
      <c r="AA83" s="26"/>
      <c r="AB83" s="51"/>
      <c r="AC83" s="26"/>
      <c r="AD83" s="51"/>
      <c r="AE83" s="26"/>
      <c r="AF83" s="26"/>
      <c r="AG83" s="26"/>
      <c r="AH83" s="26"/>
      <c r="AI83" s="26"/>
      <c r="AJ83" s="26"/>
      <c r="AK83" s="26"/>
      <c r="AL83" s="26"/>
      <c r="AM83" s="26"/>
      <c r="AN83" s="26"/>
      <c r="AO83" s="26"/>
      <c r="AP83" s="26"/>
      <c r="AQ83" s="26"/>
      <c r="AR83" s="26"/>
      <c r="AS83" s="26"/>
      <c r="AT83" s="26"/>
      <c r="AU83" s="26"/>
      <c r="AV83" s="26"/>
      <c r="AW83" s="26"/>
      <c r="AX83" s="26"/>
      <c r="AY83" s="26"/>
      <c r="AZ83" s="26"/>
      <c r="BA83" s="26"/>
      <c r="BB83" s="26"/>
      <c r="BC83" s="26"/>
      <c r="BD83" s="26"/>
      <c r="BE83" s="26"/>
      <c r="BF83" s="26"/>
      <c r="BG83" s="26"/>
      <c r="BH83" s="26"/>
      <c r="BI83" s="26"/>
      <c r="BJ83" s="26"/>
      <c r="BK83" s="26"/>
      <c r="BL83" s="26"/>
      <c r="BM83" s="26"/>
      <c r="BN83" s="26"/>
      <c r="BO83" s="26"/>
      <c r="BP83" s="26"/>
      <c r="BQ83" s="27"/>
    </row>
  </sheetData>
  <conditionalFormatting sqref="M9:AV75 BP9:BP75">
    <cfRule type="cellIs" dxfId="309" priority="167" stopIfTrue="1" operator="between">
      <formula>1</formula>
      <formula>1</formula>
    </cfRule>
    <cfRule type="cellIs" dxfId="308" priority="168" stopIfTrue="1" operator="between">
      <formula>3</formula>
      <formula>3</formula>
    </cfRule>
    <cfRule type="cellIs" dxfId="307" priority="169" stopIfTrue="1" operator="between">
      <formula>2</formula>
      <formula>2</formula>
    </cfRule>
    <cfRule type="expression" dxfId="306" priority="170">
      <formula>M$3=1</formula>
    </cfRule>
  </conditionalFormatting>
  <conditionalFormatting sqref="G10:G74">
    <cfRule type="cellIs" dxfId="305" priority="166" operator="equal">
      <formula>0</formula>
    </cfRule>
  </conditionalFormatting>
  <conditionalFormatting sqref="J10:J74">
    <cfRule type="cellIs" dxfId="304" priority="165" operator="equal">
      <formula>0</formula>
    </cfRule>
  </conditionalFormatting>
  <conditionalFormatting sqref="G10">
    <cfRule type="iconSet" priority="164">
      <iconSet>
        <cfvo type="percent" val="0"/>
        <cfvo type="percent" val="33"/>
        <cfvo type="percent" val="67"/>
      </iconSet>
    </cfRule>
  </conditionalFormatting>
  <conditionalFormatting sqref="A10">
    <cfRule type="iconSet" priority="163">
      <iconSet iconSet="4TrafficLights" showValue="0">
        <cfvo type="percent" val="0"/>
        <cfvo type="percent" val="25"/>
        <cfvo type="percent" val="50"/>
        <cfvo type="percent" val="75"/>
      </iconSet>
    </cfRule>
  </conditionalFormatting>
  <conditionalFormatting sqref="AW9:AW75">
    <cfRule type="cellIs" dxfId="303" priority="157" stopIfTrue="1" operator="between">
      <formula>1</formula>
      <formula>1</formula>
    </cfRule>
    <cfRule type="cellIs" dxfId="302" priority="158" stopIfTrue="1" operator="between">
      <formula>3</formula>
      <formula>3</formula>
    </cfRule>
    <cfRule type="cellIs" dxfId="301" priority="159" stopIfTrue="1" operator="between">
      <formula>2</formula>
      <formula>2</formula>
    </cfRule>
    <cfRule type="expression" dxfId="300" priority="160">
      <formula>AW$3=1</formula>
    </cfRule>
  </conditionalFormatting>
  <conditionalFormatting sqref="AX9">
    <cfRule type="cellIs" dxfId="299" priority="153" stopIfTrue="1" operator="between">
      <formula>1</formula>
      <formula>1</formula>
    </cfRule>
    <cfRule type="cellIs" dxfId="298" priority="154" stopIfTrue="1" operator="between">
      <formula>3</formula>
      <formula>3</formula>
    </cfRule>
    <cfRule type="cellIs" dxfId="297" priority="155" stopIfTrue="1" operator="between">
      <formula>2</formula>
      <formula>2</formula>
    </cfRule>
    <cfRule type="expression" dxfId="296" priority="156">
      <formula>AX$3=1</formula>
    </cfRule>
  </conditionalFormatting>
  <conditionalFormatting sqref="AY9">
    <cfRule type="cellIs" dxfId="295" priority="149" stopIfTrue="1" operator="between">
      <formula>1</formula>
      <formula>1</formula>
    </cfRule>
    <cfRule type="cellIs" dxfId="294" priority="150" stopIfTrue="1" operator="between">
      <formula>3</formula>
      <formula>3</formula>
    </cfRule>
    <cfRule type="cellIs" dxfId="293" priority="151" stopIfTrue="1" operator="between">
      <formula>2</formula>
      <formula>2</formula>
    </cfRule>
    <cfRule type="expression" dxfId="292" priority="152">
      <formula>AY$3=1</formula>
    </cfRule>
  </conditionalFormatting>
  <conditionalFormatting sqref="AZ9">
    <cfRule type="cellIs" dxfId="291" priority="145" stopIfTrue="1" operator="between">
      <formula>1</formula>
      <formula>1</formula>
    </cfRule>
    <cfRule type="cellIs" dxfId="290" priority="146" stopIfTrue="1" operator="between">
      <formula>3</formula>
      <formula>3</formula>
    </cfRule>
    <cfRule type="cellIs" dxfId="289" priority="147" stopIfTrue="1" operator="between">
      <formula>2</formula>
      <formula>2</formula>
    </cfRule>
    <cfRule type="expression" dxfId="288" priority="148">
      <formula>AZ$3=1</formula>
    </cfRule>
  </conditionalFormatting>
  <conditionalFormatting sqref="BA9">
    <cfRule type="cellIs" dxfId="287" priority="141" stopIfTrue="1" operator="between">
      <formula>1</formula>
      <formula>1</formula>
    </cfRule>
    <cfRule type="cellIs" dxfId="286" priority="142" stopIfTrue="1" operator="between">
      <formula>3</formula>
      <formula>3</formula>
    </cfRule>
    <cfRule type="cellIs" dxfId="285" priority="143" stopIfTrue="1" operator="between">
      <formula>2</formula>
      <formula>2</formula>
    </cfRule>
    <cfRule type="expression" dxfId="284" priority="144">
      <formula>BA$3=1</formula>
    </cfRule>
  </conditionalFormatting>
  <conditionalFormatting sqref="BB9">
    <cfRule type="cellIs" dxfId="283" priority="137" stopIfTrue="1" operator="between">
      <formula>1</formula>
      <formula>1</formula>
    </cfRule>
    <cfRule type="cellIs" dxfId="282" priority="138" stopIfTrue="1" operator="between">
      <formula>3</formula>
      <formula>3</formula>
    </cfRule>
    <cfRule type="cellIs" dxfId="281" priority="139" stopIfTrue="1" operator="between">
      <formula>2</formula>
      <formula>2</formula>
    </cfRule>
    <cfRule type="expression" dxfId="280" priority="140">
      <formula>BB$3=1</formula>
    </cfRule>
  </conditionalFormatting>
  <conditionalFormatting sqref="BC9">
    <cfRule type="cellIs" dxfId="279" priority="133" stopIfTrue="1" operator="between">
      <formula>1</formula>
      <formula>1</formula>
    </cfRule>
    <cfRule type="cellIs" dxfId="278" priority="134" stopIfTrue="1" operator="between">
      <formula>3</formula>
      <formula>3</formula>
    </cfRule>
    <cfRule type="cellIs" dxfId="277" priority="135" stopIfTrue="1" operator="between">
      <formula>2</formula>
      <formula>2</formula>
    </cfRule>
    <cfRule type="expression" dxfId="276" priority="136">
      <formula>BC$3=1</formula>
    </cfRule>
  </conditionalFormatting>
  <conditionalFormatting sqref="BD9">
    <cfRule type="cellIs" dxfId="275" priority="129" stopIfTrue="1" operator="between">
      <formula>1</formula>
      <formula>1</formula>
    </cfRule>
    <cfRule type="cellIs" dxfId="274" priority="130" stopIfTrue="1" operator="between">
      <formula>3</formula>
      <formula>3</formula>
    </cfRule>
    <cfRule type="cellIs" dxfId="273" priority="131" stopIfTrue="1" operator="between">
      <formula>2</formula>
      <formula>2</formula>
    </cfRule>
    <cfRule type="expression" dxfId="272" priority="132">
      <formula>BD$3=1</formula>
    </cfRule>
  </conditionalFormatting>
  <conditionalFormatting sqref="BE9">
    <cfRule type="cellIs" dxfId="271" priority="125" stopIfTrue="1" operator="between">
      <formula>1</formula>
      <formula>1</formula>
    </cfRule>
    <cfRule type="cellIs" dxfId="270" priority="126" stopIfTrue="1" operator="between">
      <formula>3</formula>
      <formula>3</formula>
    </cfRule>
    <cfRule type="cellIs" dxfId="269" priority="127" stopIfTrue="1" operator="between">
      <formula>2</formula>
      <formula>2</formula>
    </cfRule>
    <cfRule type="expression" dxfId="268" priority="128">
      <formula>BE$3=1</formula>
    </cfRule>
  </conditionalFormatting>
  <conditionalFormatting sqref="BF9">
    <cfRule type="cellIs" dxfId="267" priority="121" stopIfTrue="1" operator="between">
      <formula>1</formula>
      <formula>1</formula>
    </cfRule>
    <cfRule type="cellIs" dxfId="266" priority="122" stopIfTrue="1" operator="between">
      <formula>3</formula>
      <formula>3</formula>
    </cfRule>
    <cfRule type="cellIs" dxfId="265" priority="123" stopIfTrue="1" operator="between">
      <formula>2</formula>
      <formula>2</formula>
    </cfRule>
    <cfRule type="expression" dxfId="264" priority="124">
      <formula>BF$3=1</formula>
    </cfRule>
  </conditionalFormatting>
  <conditionalFormatting sqref="BG9">
    <cfRule type="cellIs" dxfId="263" priority="117" stopIfTrue="1" operator="between">
      <formula>1</formula>
      <formula>1</formula>
    </cfRule>
    <cfRule type="cellIs" dxfId="262" priority="118" stopIfTrue="1" operator="between">
      <formula>3</formula>
      <formula>3</formula>
    </cfRule>
    <cfRule type="cellIs" dxfId="261" priority="119" stopIfTrue="1" operator="between">
      <formula>2</formula>
      <formula>2</formula>
    </cfRule>
    <cfRule type="expression" dxfId="260" priority="120">
      <formula>BG$3=1</formula>
    </cfRule>
  </conditionalFormatting>
  <conditionalFormatting sqref="BH9">
    <cfRule type="cellIs" dxfId="259" priority="113" stopIfTrue="1" operator="between">
      <formula>1</formula>
      <formula>1</formula>
    </cfRule>
    <cfRule type="cellIs" dxfId="258" priority="114" stopIfTrue="1" operator="between">
      <formula>3</formula>
      <formula>3</formula>
    </cfRule>
    <cfRule type="cellIs" dxfId="257" priority="115" stopIfTrue="1" operator="between">
      <formula>2</formula>
      <formula>2</formula>
    </cfRule>
    <cfRule type="expression" dxfId="256" priority="116">
      <formula>BH$3=1</formula>
    </cfRule>
  </conditionalFormatting>
  <conditionalFormatting sqref="BI9">
    <cfRule type="cellIs" dxfId="255" priority="109" stopIfTrue="1" operator="between">
      <formula>1</formula>
      <formula>1</formula>
    </cfRule>
    <cfRule type="cellIs" dxfId="254" priority="110" stopIfTrue="1" operator="between">
      <formula>3</formula>
      <formula>3</formula>
    </cfRule>
    <cfRule type="cellIs" dxfId="253" priority="111" stopIfTrue="1" operator="between">
      <formula>2</formula>
      <formula>2</formula>
    </cfRule>
    <cfRule type="expression" dxfId="252" priority="112">
      <formula>BI$3=1</formula>
    </cfRule>
  </conditionalFormatting>
  <conditionalFormatting sqref="BJ9">
    <cfRule type="cellIs" dxfId="251" priority="105" stopIfTrue="1" operator="between">
      <formula>1</formula>
      <formula>1</formula>
    </cfRule>
    <cfRule type="cellIs" dxfId="250" priority="106" stopIfTrue="1" operator="between">
      <formula>3</formula>
      <formula>3</formula>
    </cfRule>
    <cfRule type="cellIs" dxfId="249" priority="107" stopIfTrue="1" operator="between">
      <formula>2</formula>
      <formula>2</formula>
    </cfRule>
    <cfRule type="expression" dxfId="248" priority="108">
      <formula>BJ$3=1</formula>
    </cfRule>
  </conditionalFormatting>
  <conditionalFormatting sqref="BK9">
    <cfRule type="cellIs" dxfId="247" priority="101" stopIfTrue="1" operator="between">
      <formula>1</formula>
      <formula>1</formula>
    </cfRule>
    <cfRule type="cellIs" dxfId="246" priority="102" stopIfTrue="1" operator="between">
      <formula>3</formula>
      <formula>3</formula>
    </cfRule>
    <cfRule type="cellIs" dxfId="245" priority="103" stopIfTrue="1" operator="between">
      <formula>2</formula>
      <formula>2</formula>
    </cfRule>
    <cfRule type="expression" dxfId="244" priority="104">
      <formula>BK$3=1</formula>
    </cfRule>
  </conditionalFormatting>
  <conditionalFormatting sqref="BN10:BN75">
    <cfRule type="cellIs" dxfId="243" priority="1" stopIfTrue="1" operator="between">
      <formula>1</formula>
      <formula>1</formula>
    </cfRule>
    <cfRule type="cellIs" dxfId="242" priority="2" stopIfTrue="1" operator="between">
      <formula>3</formula>
      <formula>3</formula>
    </cfRule>
    <cfRule type="cellIs" dxfId="241" priority="3" stopIfTrue="1" operator="between">
      <formula>2</formula>
      <formula>2</formula>
    </cfRule>
    <cfRule type="expression" dxfId="240" priority="4">
      <formula>BN$3=1</formula>
    </cfRule>
  </conditionalFormatting>
  <conditionalFormatting sqref="BL9">
    <cfRule type="cellIs" dxfId="239" priority="97" stopIfTrue="1" operator="between">
      <formula>1</formula>
      <formula>1</formula>
    </cfRule>
    <cfRule type="cellIs" dxfId="238" priority="98" stopIfTrue="1" operator="between">
      <formula>3</formula>
      <formula>3</formula>
    </cfRule>
    <cfRule type="cellIs" dxfId="237" priority="99" stopIfTrue="1" operator="between">
      <formula>2</formula>
      <formula>2</formula>
    </cfRule>
    <cfRule type="expression" dxfId="236" priority="100">
      <formula>BL$3=1</formula>
    </cfRule>
  </conditionalFormatting>
  <conditionalFormatting sqref="BM9">
    <cfRule type="cellIs" dxfId="235" priority="93" stopIfTrue="1" operator="between">
      <formula>1</formula>
      <formula>1</formula>
    </cfRule>
    <cfRule type="cellIs" dxfId="234" priority="94" stopIfTrue="1" operator="between">
      <formula>3</formula>
      <formula>3</formula>
    </cfRule>
    <cfRule type="cellIs" dxfId="233" priority="95" stopIfTrue="1" operator="between">
      <formula>2</formula>
      <formula>2</formula>
    </cfRule>
    <cfRule type="expression" dxfId="232" priority="96">
      <formula>BM$3=1</formula>
    </cfRule>
  </conditionalFormatting>
  <conditionalFormatting sqref="BN9">
    <cfRule type="cellIs" dxfId="231" priority="89" stopIfTrue="1" operator="between">
      <formula>1</formula>
      <formula>1</formula>
    </cfRule>
    <cfRule type="cellIs" dxfId="230" priority="90" stopIfTrue="1" operator="between">
      <formula>3</formula>
      <formula>3</formula>
    </cfRule>
    <cfRule type="cellIs" dxfId="229" priority="91" stopIfTrue="1" operator="between">
      <formula>2</formula>
      <formula>2</formula>
    </cfRule>
    <cfRule type="expression" dxfId="228" priority="92">
      <formula>BN$3=1</formula>
    </cfRule>
  </conditionalFormatting>
  <conditionalFormatting sqref="BO9">
    <cfRule type="cellIs" dxfId="227" priority="85" stopIfTrue="1" operator="between">
      <formula>1</formula>
      <formula>1</formula>
    </cfRule>
    <cfRule type="cellIs" dxfId="226" priority="86" stopIfTrue="1" operator="between">
      <formula>3</formula>
      <formula>3</formula>
    </cfRule>
    <cfRule type="cellIs" dxfId="225" priority="87" stopIfTrue="1" operator="between">
      <formula>2</formula>
      <formula>2</formula>
    </cfRule>
    <cfRule type="expression" dxfId="224" priority="88">
      <formula>BO$3=1</formula>
    </cfRule>
  </conditionalFormatting>
  <conditionalFormatting sqref="AX10:AX75">
    <cfRule type="cellIs" dxfId="223" priority="81" stopIfTrue="1" operator="between">
      <formula>1</formula>
      <formula>1</formula>
    </cfRule>
    <cfRule type="cellIs" dxfId="222" priority="82" stopIfTrue="1" operator="between">
      <formula>3</formula>
      <formula>3</formula>
    </cfRule>
    <cfRule type="cellIs" dxfId="221" priority="83" stopIfTrue="1" operator="between">
      <formula>2</formula>
      <formula>2</formula>
    </cfRule>
    <cfRule type="expression" dxfId="220" priority="84">
      <formula>AX$3=1</formula>
    </cfRule>
  </conditionalFormatting>
  <conditionalFormatting sqref="BL10:BL75">
    <cfRule type="cellIs" dxfId="219" priority="5" stopIfTrue="1" operator="between">
      <formula>1</formula>
      <formula>1</formula>
    </cfRule>
    <cfRule type="cellIs" dxfId="218" priority="6" stopIfTrue="1" operator="between">
      <formula>3</formula>
      <formula>3</formula>
    </cfRule>
    <cfRule type="cellIs" dxfId="217" priority="7" stopIfTrue="1" operator="between">
      <formula>2</formula>
      <formula>2</formula>
    </cfRule>
    <cfRule type="expression" dxfId="216" priority="8">
      <formula>BL$3=1</formula>
    </cfRule>
  </conditionalFormatting>
  <conditionalFormatting sqref="AZ10:AZ75">
    <cfRule type="cellIs" dxfId="215" priority="73" stopIfTrue="1" operator="between">
      <formula>1</formula>
      <formula>1</formula>
    </cfRule>
    <cfRule type="cellIs" dxfId="214" priority="74" stopIfTrue="1" operator="between">
      <formula>3</formula>
      <formula>3</formula>
    </cfRule>
    <cfRule type="cellIs" dxfId="213" priority="75" stopIfTrue="1" operator="between">
      <formula>2</formula>
      <formula>2</formula>
    </cfRule>
    <cfRule type="expression" dxfId="212" priority="76">
      <formula>AZ$3=1</formula>
    </cfRule>
  </conditionalFormatting>
  <conditionalFormatting sqref="BJ10:BJ75">
    <cfRule type="cellIs" dxfId="211" priority="9" stopIfTrue="1" operator="between">
      <formula>1</formula>
      <formula>1</formula>
    </cfRule>
    <cfRule type="cellIs" dxfId="210" priority="10" stopIfTrue="1" operator="between">
      <formula>3</formula>
      <formula>3</formula>
    </cfRule>
    <cfRule type="cellIs" dxfId="209" priority="11" stopIfTrue="1" operator="between">
      <formula>2</formula>
      <formula>2</formula>
    </cfRule>
    <cfRule type="expression" dxfId="208" priority="12">
      <formula>BJ$3=1</formula>
    </cfRule>
  </conditionalFormatting>
  <conditionalFormatting sqref="BB10:BB75">
    <cfRule type="cellIs" dxfId="207" priority="61" stopIfTrue="1" operator="between">
      <formula>1</formula>
      <formula>1</formula>
    </cfRule>
    <cfRule type="cellIs" dxfId="206" priority="62" stopIfTrue="1" operator="between">
      <formula>3</formula>
      <formula>3</formula>
    </cfRule>
    <cfRule type="cellIs" dxfId="205" priority="63" stopIfTrue="1" operator="between">
      <formula>2</formula>
      <formula>2</formula>
    </cfRule>
    <cfRule type="expression" dxfId="204" priority="64">
      <formula>BB$3=1</formula>
    </cfRule>
  </conditionalFormatting>
  <conditionalFormatting sqref="AY10:AY75">
    <cfRule type="cellIs" dxfId="203" priority="57" stopIfTrue="1" operator="between">
      <formula>1</formula>
      <formula>1</formula>
    </cfRule>
    <cfRule type="cellIs" dxfId="202" priority="58" stopIfTrue="1" operator="between">
      <formula>3</formula>
      <formula>3</formula>
    </cfRule>
    <cfRule type="cellIs" dxfId="201" priority="59" stopIfTrue="1" operator="between">
      <formula>2</formula>
      <formula>2</formula>
    </cfRule>
    <cfRule type="expression" dxfId="200" priority="60">
      <formula>AY$3=1</formula>
    </cfRule>
  </conditionalFormatting>
  <conditionalFormatting sqref="BA10:BA75">
    <cfRule type="cellIs" dxfId="199" priority="53" stopIfTrue="1" operator="between">
      <formula>1</formula>
      <formula>1</formula>
    </cfRule>
    <cfRule type="cellIs" dxfId="198" priority="54" stopIfTrue="1" operator="between">
      <formula>3</formula>
      <formula>3</formula>
    </cfRule>
    <cfRule type="cellIs" dxfId="197" priority="55" stopIfTrue="1" operator="between">
      <formula>2</formula>
      <formula>2</formula>
    </cfRule>
    <cfRule type="expression" dxfId="196" priority="56">
      <formula>BA$3=1</formula>
    </cfRule>
  </conditionalFormatting>
  <conditionalFormatting sqref="BC10:BC75">
    <cfRule type="cellIs" dxfId="195" priority="49" stopIfTrue="1" operator="between">
      <formula>1</formula>
      <formula>1</formula>
    </cfRule>
    <cfRule type="cellIs" dxfId="194" priority="50" stopIfTrue="1" operator="between">
      <formula>3</formula>
      <formula>3</formula>
    </cfRule>
    <cfRule type="cellIs" dxfId="193" priority="51" stopIfTrue="1" operator="between">
      <formula>2</formula>
      <formula>2</formula>
    </cfRule>
    <cfRule type="expression" dxfId="192" priority="52">
      <formula>BC$3=1</formula>
    </cfRule>
  </conditionalFormatting>
  <conditionalFormatting sqref="BE10:BE75">
    <cfRule type="cellIs" dxfId="191" priority="45" stopIfTrue="1" operator="between">
      <formula>1</formula>
      <formula>1</formula>
    </cfRule>
    <cfRule type="cellIs" dxfId="190" priority="46" stopIfTrue="1" operator="between">
      <formula>3</formula>
      <formula>3</formula>
    </cfRule>
    <cfRule type="cellIs" dxfId="189" priority="47" stopIfTrue="1" operator="between">
      <formula>2</formula>
      <formula>2</formula>
    </cfRule>
    <cfRule type="expression" dxfId="188" priority="48">
      <formula>BE$3=1</formula>
    </cfRule>
  </conditionalFormatting>
  <conditionalFormatting sqref="BG10:BG75">
    <cfRule type="cellIs" dxfId="187" priority="41" stopIfTrue="1" operator="between">
      <formula>1</formula>
      <formula>1</formula>
    </cfRule>
    <cfRule type="cellIs" dxfId="186" priority="42" stopIfTrue="1" operator="between">
      <formula>3</formula>
      <formula>3</formula>
    </cfRule>
    <cfRule type="cellIs" dxfId="185" priority="43" stopIfTrue="1" operator="between">
      <formula>2</formula>
      <formula>2</formula>
    </cfRule>
    <cfRule type="expression" dxfId="184" priority="44">
      <formula>BG$3=1</formula>
    </cfRule>
  </conditionalFormatting>
  <conditionalFormatting sqref="BI10:BI75">
    <cfRule type="cellIs" dxfId="183" priority="37" stopIfTrue="1" operator="between">
      <formula>1</formula>
      <formula>1</formula>
    </cfRule>
    <cfRule type="cellIs" dxfId="182" priority="38" stopIfTrue="1" operator="between">
      <formula>3</formula>
      <formula>3</formula>
    </cfRule>
    <cfRule type="cellIs" dxfId="181" priority="39" stopIfTrue="1" operator="between">
      <formula>2</formula>
      <formula>2</formula>
    </cfRule>
    <cfRule type="expression" dxfId="180" priority="40">
      <formula>BI$3=1</formula>
    </cfRule>
  </conditionalFormatting>
  <conditionalFormatting sqref="BK10:BK75">
    <cfRule type="cellIs" dxfId="179" priority="33" stopIfTrue="1" operator="between">
      <formula>1</formula>
      <formula>1</formula>
    </cfRule>
    <cfRule type="cellIs" dxfId="178" priority="34" stopIfTrue="1" operator="between">
      <formula>3</formula>
      <formula>3</formula>
    </cfRule>
    <cfRule type="cellIs" dxfId="177" priority="35" stopIfTrue="1" operator="between">
      <formula>2</formula>
      <formula>2</formula>
    </cfRule>
    <cfRule type="expression" dxfId="176" priority="36">
      <formula>BK$3=1</formula>
    </cfRule>
  </conditionalFormatting>
  <conditionalFormatting sqref="BM10:BM75">
    <cfRule type="cellIs" dxfId="175" priority="29" stopIfTrue="1" operator="between">
      <formula>1</formula>
      <formula>1</formula>
    </cfRule>
    <cfRule type="cellIs" dxfId="174" priority="30" stopIfTrue="1" operator="between">
      <formula>3</formula>
      <formula>3</formula>
    </cfRule>
    <cfRule type="cellIs" dxfId="173" priority="31" stopIfTrue="1" operator="between">
      <formula>2</formula>
      <formula>2</formula>
    </cfRule>
    <cfRule type="expression" dxfId="172" priority="32">
      <formula>BM$3=1</formula>
    </cfRule>
  </conditionalFormatting>
  <conditionalFormatting sqref="BO10:BO75">
    <cfRule type="cellIs" dxfId="171" priority="25" stopIfTrue="1" operator="between">
      <formula>1</formula>
      <formula>1</formula>
    </cfRule>
    <cfRule type="cellIs" dxfId="170" priority="26" stopIfTrue="1" operator="between">
      <formula>3</formula>
      <formula>3</formula>
    </cfRule>
    <cfRule type="cellIs" dxfId="169" priority="27" stopIfTrue="1" operator="between">
      <formula>2</formula>
      <formula>2</formula>
    </cfRule>
    <cfRule type="expression" dxfId="168" priority="28">
      <formula>BO$3=1</formula>
    </cfRule>
  </conditionalFormatting>
  <conditionalFormatting sqref="BD10:BD75">
    <cfRule type="cellIs" dxfId="167" priority="21" stopIfTrue="1" operator="between">
      <formula>1</formula>
      <formula>1</formula>
    </cfRule>
    <cfRule type="cellIs" dxfId="166" priority="22" stopIfTrue="1" operator="between">
      <formula>3</formula>
      <formula>3</formula>
    </cfRule>
    <cfRule type="cellIs" dxfId="165" priority="23" stopIfTrue="1" operator="between">
      <formula>2</formula>
      <formula>2</formula>
    </cfRule>
    <cfRule type="expression" dxfId="164" priority="24">
      <formula>BD$3=1</formula>
    </cfRule>
  </conditionalFormatting>
  <conditionalFormatting sqref="BF10:BF75">
    <cfRule type="cellIs" dxfId="163" priority="17" stopIfTrue="1" operator="between">
      <formula>1</formula>
      <formula>1</formula>
    </cfRule>
    <cfRule type="cellIs" dxfId="162" priority="18" stopIfTrue="1" operator="between">
      <formula>3</formula>
      <formula>3</formula>
    </cfRule>
    <cfRule type="cellIs" dxfId="161" priority="19" stopIfTrue="1" operator="between">
      <formula>2</formula>
      <formula>2</formula>
    </cfRule>
    <cfRule type="expression" dxfId="160" priority="20">
      <formula>BF$3=1</formula>
    </cfRule>
  </conditionalFormatting>
  <conditionalFormatting sqref="BH10:BH75">
    <cfRule type="cellIs" dxfId="159" priority="13" stopIfTrue="1" operator="between">
      <formula>1</formula>
      <formula>1</formula>
    </cfRule>
    <cfRule type="cellIs" dxfId="158" priority="14" stopIfTrue="1" operator="between">
      <formula>3</formula>
      <formula>3</formula>
    </cfRule>
    <cfRule type="cellIs" dxfId="157" priority="15" stopIfTrue="1" operator="between">
      <formula>2</formula>
      <formula>2</formula>
    </cfRule>
    <cfRule type="expression" dxfId="156" priority="16">
      <formula>BH$3=1</formula>
    </cfRule>
  </conditionalFormatting>
  <dataValidations count="1">
    <dataValidation type="list" allowBlank="1" showInputMessage="1" showErrorMessage="1" sqref="G5" xr:uid="{D0692799-BB94-47BC-B4C7-6942A15587D0}">
      <formula1>"ALL,ACTIVE"</formula1>
    </dataValidation>
  </dataValidations>
  <hyperlinks>
    <hyperlink ref="E2" location="MENU!A1" display="Back to Menu" xr:uid="{7CDF5311-93ED-485D-BB68-17A23640519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9937" r:id="rId3" name="Button 1">
              <controlPr defaultSize="0" print="0" autoFill="0" autoPict="0" macro="[0]!calculate_sheet">
                <anchor moveWithCells="1" sizeWithCells="1">
                  <from>
                    <xdr:col>4</xdr:col>
                    <xdr:colOff>1181100</xdr:colOff>
                    <xdr:row>1</xdr:row>
                    <xdr:rowOff>76200</xdr:rowOff>
                  </from>
                  <to>
                    <xdr:col>4</xdr:col>
                    <xdr:colOff>2247900</xdr:colOff>
                    <xdr:row>2</xdr:row>
                    <xdr:rowOff>114300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162" id="{0D10E58D-394D-4903-87AB-84F536E6D622}">
            <x14:iconSet iconSet="4TrafficLights" custom="1">
              <x14:cfvo type="percent">
                <xm:f>0</xm:f>
              </x14:cfvo>
              <x14:cfvo type="num">
                <xm:f>0.25</xm:f>
              </x14:cfvo>
              <x14:cfvo type="num">
                <xm:f>0.5</xm:f>
              </x14:cfvo>
              <x14:cfvo type="num">
                <xm:f>0.75</xm:f>
              </x14:cfvo>
              <x14:cfIcon iconSet="4TrafficLights" iconId="0"/>
              <x14:cfIcon iconSet="3TrafficLights1" iconId="2"/>
              <x14:cfIcon iconSet="3TrafficLights1" iconId="1"/>
              <x14:cfIcon iconSet="3TrafficLights1" iconId="0"/>
            </x14:iconSet>
          </x14:cfRule>
          <xm:sqref>K10</xm:sqref>
        </x14:conditionalFormatting>
        <x14:conditionalFormatting xmlns:xm="http://schemas.microsoft.com/office/excel/2006/main">
          <x14:cfRule type="iconSet" priority="161" id="{B62207DB-EBA9-46D8-88DB-F24A336A470B}">
            <x14:iconSet iconSet="4TrafficLights" custom="1">
              <x14:cfvo type="percent">
                <xm:f>0</xm:f>
              </x14:cfvo>
              <x14:cfvo type="num">
                <xm:f>0.25</xm:f>
              </x14:cfvo>
              <x14:cfvo type="num">
                <xm:f>0.5</xm:f>
              </x14:cfvo>
              <x14:cfvo type="num">
                <xm:f>0.75</xm:f>
              </x14:cfvo>
              <x14:cfIcon iconSet="4TrafficLights" iconId="0"/>
              <x14:cfIcon iconSet="3TrafficLights1" iconId="2"/>
              <x14:cfIcon iconSet="3TrafficLights1" iconId="1"/>
              <x14:cfIcon iconSet="3TrafficLights1" iconId="0"/>
            </x14:iconSet>
          </x14:cfRule>
          <xm:sqref>K11:K74</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13A1A0C-CCE2-449A-ACFF-5CD482495240}">
          <x14:formula1>
            <xm:f>'Lookup tables'!$N$2:$N$4</xm:f>
          </x14:formula1>
          <xm:sqref>E5</xm:sqref>
        </x14:dataValidation>
        <x14:dataValidation type="list" allowBlank="1" showInputMessage="1" showErrorMessage="1" xr:uid="{97ADB3F9-196D-48C6-A10B-712E129C6A22}">
          <x14:formula1>
            <xm:f>'Lookup tables'!$I$2:$I$5</xm:f>
          </x14:formula1>
          <xm:sqref>F5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C5375-714D-4057-8A06-1AE361FE8B77}">
  <sheetPr codeName="Sheet19"/>
  <dimension ref="A1:Y229"/>
  <sheetViews>
    <sheetView showGridLines="0" zoomScaleNormal="100" workbookViewId="0"/>
  </sheetViews>
  <sheetFormatPr defaultRowHeight="14.45"/>
  <cols>
    <col min="1" max="1" width="2.42578125" customWidth="1"/>
    <col min="2" max="2" width="13.42578125" customWidth="1"/>
    <col min="3" max="3" width="15.7109375" customWidth="1"/>
    <col min="4" max="4" width="36.28515625" customWidth="1"/>
    <col min="5" max="5" width="12.42578125" customWidth="1"/>
    <col min="6" max="6" width="19.42578125" customWidth="1"/>
    <col min="7" max="7" width="13.42578125" customWidth="1"/>
    <col min="8" max="8" width="17.5703125" customWidth="1"/>
    <col min="9" max="9" width="53.5703125" customWidth="1"/>
    <col min="10" max="10" width="10.7109375" customWidth="1"/>
    <col min="11" max="12" width="3.42578125" customWidth="1"/>
    <col min="13" max="15" width="17.42578125" customWidth="1"/>
    <col min="16" max="16" width="20.42578125" customWidth="1"/>
    <col min="22" max="22" width="34.7109375" customWidth="1"/>
    <col min="23" max="23" width="13.28515625" customWidth="1"/>
  </cols>
  <sheetData>
    <row r="1" spans="1:25">
      <c r="A1" s="202"/>
      <c r="C1" s="289" t="s">
        <v>377</v>
      </c>
      <c r="D1" s="289"/>
      <c r="F1" s="188" t="s">
        <v>193</v>
      </c>
      <c r="H1" s="188" t="s">
        <v>127</v>
      </c>
      <c r="P1" s="1" t="s">
        <v>378</v>
      </c>
    </row>
    <row r="2" spans="1:25">
      <c r="C2" s="7"/>
      <c r="D2" s="7"/>
      <c r="F2" s="1" t="s">
        <v>379</v>
      </c>
      <c r="P2" cm="1">
        <f t="array" ref="P2:W2">TRANSPOSE(_xlfn._xlws.FILTER(_xlfn.UNIQUE(Q10:Q19),_xlfn.UNIQUE(Q10:Q19)&lt;&gt;0))</f>
        <v>1</v>
      </c>
      <c r="Q2">
        <v>2</v>
      </c>
      <c r="R2">
        <v>25</v>
      </c>
      <c r="S2">
        <v>24</v>
      </c>
      <c r="T2">
        <v>26</v>
      </c>
      <c r="U2">
        <v>7</v>
      </c>
      <c r="V2">
        <v>27</v>
      </c>
      <c r="W2">
        <v>10</v>
      </c>
    </row>
    <row r="3" spans="1:25">
      <c r="B3" s="1" t="s">
        <v>380</v>
      </c>
      <c r="C3" s="247"/>
      <c r="D3" s="7"/>
      <c r="E3" s="155"/>
      <c r="F3" s="204">
        <f ca="1">NOW()</f>
        <v>44748.472848726851</v>
      </c>
      <c r="H3" s="205"/>
      <c r="P3" s="1" t="s">
        <v>381</v>
      </c>
    </row>
    <row r="4" spans="1:25" ht="15" thickBot="1">
      <c r="B4" t="s">
        <v>4</v>
      </c>
      <c r="C4" s="247"/>
      <c r="P4" t="str" cm="1">
        <f t="array" ref="P4:W4">TRANSPOSE(_xlfn._xlws.FILTER(_xlfn.UNIQUE($P$10:$P$19),_xlfn.UNIQUE($P$10:$P$19)&lt;&gt;0))</f>
        <v>Sl No</v>
      </c>
      <c r="Q4" t="str">
        <v>Category</v>
      </c>
      <c r="R4" t="str">
        <v>Update Time</v>
      </c>
      <c r="S4" t="str">
        <v>Updated by</v>
      </c>
      <c r="T4" t="str">
        <v>Current Phase</v>
      </c>
      <c r="U4" t="str">
        <v>Current Phase End</v>
      </c>
      <c r="V4" t="str">
        <v>Remarks</v>
      </c>
      <c r="W4" t="str">
        <v>Status</v>
      </c>
    </row>
    <row r="5" spans="1:25" ht="15" thickBot="1">
      <c r="B5" s="1" t="s">
        <v>382</v>
      </c>
      <c r="C5" s="206">
        <f ca="1">NOW()</f>
        <v>44748.472848726851</v>
      </c>
      <c r="E5" s="1"/>
    </row>
    <row r="6" spans="1:25" ht="15" thickBot="1">
      <c r="B6" s="1" t="s">
        <v>383</v>
      </c>
      <c r="C6" s="247"/>
      <c r="D6" s="7"/>
      <c r="E6" s="1"/>
      <c r="P6" s="1" t="s">
        <v>384</v>
      </c>
      <c r="Q6" s="1" t="s">
        <v>4</v>
      </c>
      <c r="R6" s="1" t="s">
        <v>326</v>
      </c>
      <c r="S6" s="1" t="s">
        <v>385</v>
      </c>
    </row>
    <row r="7" spans="1:25">
      <c r="B7" s="1" t="s">
        <v>386</v>
      </c>
      <c r="C7" s="207">
        <f>IF(C11="Select Assignee and Season", 0, ROWS(_xlfn.ANCHORARRAY(C11)))</f>
        <v>1</v>
      </c>
      <c r="D7" s="155" t="s">
        <v>387</v>
      </c>
      <c r="E7" s="207"/>
      <c r="P7">
        <f>C6</f>
        <v>0</v>
      </c>
      <c r="Q7" t="b">
        <f>_xlfn.XLOOKUP(P7,Table1[Category],Table1[SBU],FALSE)</f>
        <v>0</v>
      </c>
      <c r="R7" t="b">
        <f>IF(Q7=FALSE,FALSE,TRUE)</f>
        <v>0</v>
      </c>
      <c r="S7" t="b" cm="1">
        <f t="array" ref="S7">_xlfn._xlws.FILTER(Table1[US Lead],(Table1[Category]=P7)*(Table1[Execution Year]=C3)*(Table1[Most curent]=TRUE),FALSE)</f>
        <v>0</v>
      </c>
    </row>
    <row r="8" spans="1:25" ht="60" customHeight="1">
      <c r="B8" s="1"/>
      <c r="F8" s="209"/>
      <c r="H8" s="209" t="s">
        <v>388</v>
      </c>
      <c r="I8" s="221"/>
      <c r="P8" s="219" t="s">
        <v>389</v>
      </c>
    </row>
    <row r="9" spans="1:25" s="58" customFormat="1" ht="30" customHeight="1">
      <c r="C9" s="210" t="s">
        <v>390</v>
      </c>
      <c r="D9" s="211"/>
      <c r="E9" s="211"/>
      <c r="F9" s="211"/>
      <c r="G9" s="211"/>
      <c r="H9" s="211"/>
      <c r="I9" s="211"/>
      <c r="J9" s="211"/>
      <c r="K9" s="211"/>
      <c r="L9" s="211"/>
      <c r="P9" s="7" t="s">
        <v>391</v>
      </c>
      <c r="Q9" s="19"/>
      <c r="V9" s="218" t="s">
        <v>392</v>
      </c>
      <c r="W9" s="218" t="s">
        <v>393</v>
      </c>
      <c r="X9" s="218" t="s">
        <v>394</v>
      </c>
      <c r="Y9" s="218" t="s">
        <v>395</v>
      </c>
    </row>
    <row r="10" spans="1:25" s="58" customFormat="1" ht="30" customHeight="1">
      <c r="C10" s="249" t="str" cm="1">
        <f t="array" ref="C10:J10">_xlfn.ANCHORARRAY(P4)</f>
        <v>Sl No</v>
      </c>
      <c r="D10" s="249" t="str">
        <v>Category</v>
      </c>
      <c r="E10" s="249" t="str">
        <v>Update Time</v>
      </c>
      <c r="F10" s="249" t="str">
        <v>Updated by</v>
      </c>
      <c r="G10" s="249" t="str">
        <v>Current Phase</v>
      </c>
      <c r="H10" s="249" t="str">
        <v>Current Phase End</v>
      </c>
      <c r="I10" s="249" t="str">
        <v>Remarks</v>
      </c>
      <c r="J10" s="249" t="str">
        <v>Status</v>
      </c>
      <c r="K10" s="249"/>
      <c r="L10" s="249"/>
      <c r="M10" s="212"/>
      <c r="N10" s="212"/>
      <c r="O10" s="212"/>
      <c r="P10" s="203" t="s">
        <v>0</v>
      </c>
      <c r="Q10" s="19" cm="1">
        <f t="array" ref="Q10">_xlfn.XLOOKUP(P10,_xlfn.ANCHORARRAY($V$10),_xlfn.ANCHORARRAY($W$10),0)</f>
        <v>1</v>
      </c>
      <c r="R10" s="212"/>
      <c r="S10" s="212"/>
      <c r="T10" s="212"/>
      <c r="U10" s="212"/>
      <c r="V10" t="str" cm="1">
        <f t="array" ref="V10:V91">TRANSPOSE(Table1[#Headers])</f>
        <v>Sl No</v>
      </c>
      <c r="W10" cm="1">
        <f t="array" ref="W10:W91">_xlfn.SEQUENCE(ROWS(_xlfn.ANCHORARRAY(V10)))</f>
        <v>1</v>
      </c>
      <c r="X10" s="58" t="str" cm="1">
        <f t="array" ref="X10:X11">_xlfn.UNIQUE(_xlfn._xlws.FILTER(Table1[SBU],Table1[Execution Year]=$C$3,"Select Year"))</f>
        <v>Consumables</v>
      </c>
      <c r="Y10" s="58" t="str" cm="1">
        <f t="array" ref="Y10">_xlfn.UNIQUE(_xlfn._xlws.FILTER(Table1[Category],(Table1[Execution Year]=$C$3)*(Table1[SBU]=$C$4),"Select Year"))</f>
        <v>Select Year</v>
      </c>
    </row>
    <row r="11" spans="1:25" s="58" customFormat="1">
      <c r="C11" s="215" t="str" cm="1">
        <f t="array" ref="C11">IF(C6="","",_xlfn._xlws.SORT(_xlfn._xlws.FILTER(INDEX(Table1[#Data],_xlfn.SEQUENCE(ROWS(Table1[#Data])),_xlfn.ANCHORARRAY(P2)),(Table1[Execution Year]=$C$3)*(Table1[Category]=$C$6),"No Data"),1,-1))</f>
        <v/>
      </c>
      <c r="D11" s="214"/>
      <c r="E11" s="250"/>
      <c r="F11" s="252"/>
      <c r="G11" s="250"/>
      <c r="H11" s="251"/>
      <c r="I11" s="220"/>
      <c r="J11" s="220"/>
      <c r="K11" s="220"/>
      <c r="L11" s="214"/>
      <c r="P11" s="203" t="s">
        <v>1</v>
      </c>
      <c r="Q11" s="19" cm="1">
        <f t="array" ref="Q11">_xlfn.XLOOKUP(P11,_xlfn.ANCHORARRAY($V$10),_xlfn.ANCHORARRAY($W$10),0)</f>
        <v>2</v>
      </c>
      <c r="V11" s="58" t="str">
        <v>Category</v>
      </c>
      <c r="W11" s="58">
        <v>2</v>
      </c>
      <c r="X11" s="58" t="str">
        <v>Food</v>
      </c>
    </row>
    <row r="12" spans="1:25" s="58" customFormat="1">
      <c r="C12" s="213"/>
      <c r="D12" s="214"/>
      <c r="E12" s="250"/>
      <c r="F12" s="252"/>
      <c r="G12" s="250"/>
      <c r="H12" s="251"/>
      <c r="I12" s="220"/>
      <c r="J12" s="220"/>
      <c r="K12" s="220"/>
      <c r="L12" s="214"/>
      <c r="P12" s="203" t="s">
        <v>29</v>
      </c>
      <c r="Q12" s="19" cm="1">
        <f t="array" ref="Q12">_xlfn.XLOOKUP(P12,_xlfn.ANCHORARRAY($V$10),_xlfn.ANCHORARRAY($W$10),0)</f>
        <v>25</v>
      </c>
      <c r="V12" s="58" t="str">
        <v>SBU</v>
      </c>
      <c r="W12" s="58">
        <v>3</v>
      </c>
    </row>
    <row r="13" spans="1:25" s="58" customFormat="1">
      <c r="C13" s="213"/>
      <c r="D13" s="214"/>
      <c r="E13" s="250"/>
      <c r="F13" s="252"/>
      <c r="G13" s="250"/>
      <c r="H13" s="251"/>
      <c r="I13" s="220"/>
      <c r="J13" s="220"/>
      <c r="K13" s="220"/>
      <c r="L13" s="214"/>
      <c r="P13" s="203" t="s">
        <v>28</v>
      </c>
      <c r="Q13" s="19" cm="1">
        <f t="array" ref="Q13">_xlfn.XLOOKUP(P13,_xlfn.ANCHORARRAY($V$10),_xlfn.ANCHORARRAY($W$10),0)</f>
        <v>24</v>
      </c>
      <c r="V13" s="58" t="str">
        <v>Execution Year</v>
      </c>
      <c r="W13" s="58">
        <v>4</v>
      </c>
    </row>
    <row r="14" spans="1:25" s="58" customFormat="1">
      <c r="C14" s="213"/>
      <c r="E14" s="250"/>
      <c r="F14" s="252"/>
      <c r="G14" s="250"/>
      <c r="H14" s="251"/>
      <c r="I14" s="220"/>
      <c r="J14" s="220"/>
      <c r="K14" s="220"/>
      <c r="L14" s="214"/>
      <c r="P14" s="203" t="s">
        <v>220</v>
      </c>
      <c r="Q14" s="19" cm="1">
        <f t="array" ref="Q14">_xlfn.XLOOKUP(P14,_xlfn.ANCHORARRAY($V$10),_xlfn.ANCHORARRAY($W$10),0)</f>
        <v>26</v>
      </c>
      <c r="V14" s="58" t="str">
        <v>Planned Start</v>
      </c>
      <c r="W14" s="58">
        <v>5</v>
      </c>
    </row>
    <row r="15" spans="1:25" s="58" customFormat="1">
      <c r="C15" s="213"/>
      <c r="E15" s="250"/>
      <c r="F15" s="252"/>
      <c r="G15" s="250"/>
      <c r="H15" s="251"/>
      <c r="I15" s="220"/>
      <c r="J15" s="220"/>
      <c r="K15" s="220"/>
      <c r="L15" s="214"/>
      <c r="P15" s="203" t="s">
        <v>218</v>
      </c>
      <c r="Q15" s="19" cm="1">
        <f t="array" ref="Q15">_xlfn.XLOOKUP(P15,_xlfn.ANCHORARRAY($V$10),_xlfn.ANCHORARRAY($W$10),0)</f>
        <v>7</v>
      </c>
      <c r="V15" s="58" t="str">
        <v>Planned Award</v>
      </c>
      <c r="W15" s="58">
        <v>6</v>
      </c>
    </row>
    <row r="16" spans="1:25">
      <c r="C16" s="213"/>
      <c r="D16" s="58"/>
      <c r="E16" s="250"/>
      <c r="F16" s="252"/>
      <c r="G16" s="250"/>
      <c r="H16" s="251"/>
      <c r="I16" s="220"/>
      <c r="J16" s="220"/>
      <c r="K16" s="220"/>
      <c r="L16" s="214"/>
      <c r="P16" s="203" t="s">
        <v>146</v>
      </c>
      <c r="Q16" s="19" cm="1">
        <f t="array" ref="Q16">_xlfn.XLOOKUP(P16,_xlfn.ANCHORARRAY($V$10),_xlfn.ANCHORARRAY($W$10),0)</f>
        <v>27</v>
      </c>
      <c r="R16" s="58"/>
      <c r="S16" s="58"/>
      <c r="T16" s="58"/>
      <c r="U16" s="58"/>
      <c r="V16" s="58" t="str">
        <v>Current Phase End</v>
      </c>
      <c r="W16" s="58">
        <v>7</v>
      </c>
      <c r="X16" s="58"/>
    </row>
    <row r="17" spans="3:23">
      <c r="C17" s="213"/>
      <c r="D17" s="58"/>
      <c r="E17" s="250"/>
      <c r="F17" s="252"/>
      <c r="G17" s="250"/>
      <c r="H17" s="251"/>
      <c r="I17" s="220"/>
      <c r="J17" s="220"/>
      <c r="K17" s="220"/>
      <c r="L17" s="214"/>
      <c r="P17" s="203" t="s">
        <v>166</v>
      </c>
      <c r="Q17" s="19" cm="1">
        <f t="array" ref="Q17">_xlfn.XLOOKUP(P17,_xlfn.ANCHORARRAY($V$10),_xlfn.ANCHORARRAY($W$10),0)</f>
        <v>10</v>
      </c>
      <c r="V17" t="str">
        <v>Revised Award</v>
      </c>
      <c r="W17">
        <v>8</v>
      </c>
    </row>
    <row r="18" spans="3:23">
      <c r="C18" s="213"/>
      <c r="D18" s="58"/>
      <c r="E18" s="250"/>
      <c r="F18" s="252"/>
      <c r="G18" s="250"/>
      <c r="H18" s="251"/>
      <c r="I18" s="220"/>
      <c r="J18" s="220"/>
      <c r="K18" s="220"/>
      <c r="L18" s="214"/>
      <c r="P18" s="203"/>
      <c r="Q18" s="19" cm="1">
        <f t="array" ref="Q18">_xlfn.XLOOKUP(P18,_xlfn.ANCHORARRAY($V$10),_xlfn.ANCHORARRAY($W$10),0)</f>
        <v>0</v>
      </c>
      <c r="V18" t="str">
        <v>Phase</v>
      </c>
      <c r="W18">
        <v>9</v>
      </c>
    </row>
    <row r="19" spans="3:23">
      <c r="C19" s="213"/>
      <c r="D19" s="58"/>
      <c r="E19" s="250"/>
      <c r="F19" s="252"/>
      <c r="G19" s="250"/>
      <c r="H19" s="251"/>
      <c r="I19" s="220"/>
      <c r="J19" s="220"/>
      <c r="K19" s="220"/>
      <c r="L19" s="214"/>
      <c r="P19" s="203"/>
      <c r="Q19" s="19" cm="1">
        <f t="array" ref="Q19">_xlfn.XLOOKUP(P19,_xlfn.ANCHORARRAY($V$10),_xlfn.ANCHORARRAY($W$10),0)</f>
        <v>0</v>
      </c>
      <c r="V19" t="str">
        <v>Status</v>
      </c>
      <c r="W19">
        <v>10</v>
      </c>
    </row>
    <row r="20" spans="3:23">
      <c r="C20" s="213"/>
      <c r="D20" s="58"/>
      <c r="E20" s="250"/>
      <c r="F20" s="252"/>
      <c r="G20" s="250"/>
      <c r="H20" s="251"/>
      <c r="I20" s="214"/>
      <c r="J20" s="220"/>
      <c r="K20" s="220"/>
      <c r="L20" s="214"/>
      <c r="V20" t="str">
        <v>US Lead</v>
      </c>
      <c r="W20">
        <v>11</v>
      </c>
    </row>
    <row r="21" spans="3:23">
      <c r="C21" s="213"/>
      <c r="D21" s="58"/>
      <c r="E21" s="250"/>
      <c r="F21" s="252"/>
      <c r="G21" s="250"/>
      <c r="H21" s="251"/>
      <c r="I21" s="214"/>
      <c r="J21" s="220"/>
      <c r="K21" s="220"/>
      <c r="L21" s="214"/>
      <c r="V21" t="str">
        <v>Primary Market Merchant</v>
      </c>
      <c r="W21">
        <v>12</v>
      </c>
    </row>
    <row r="22" spans="3:23">
      <c r="C22" s="213"/>
      <c r="D22" s="58"/>
      <c r="E22" s="250"/>
      <c r="F22" s="252"/>
      <c r="G22" s="250"/>
      <c r="H22" s="251"/>
      <c r="I22" s="214"/>
      <c r="J22" s="220"/>
      <c r="K22" s="220"/>
      <c r="L22" s="214"/>
      <c r="V22" t="str">
        <v>Spend - CAN</v>
      </c>
      <c r="W22">
        <v>13</v>
      </c>
    </row>
    <row r="23" spans="3:23">
      <c r="C23" s="213"/>
      <c r="D23" s="58"/>
      <c r="E23" s="250"/>
      <c r="F23" s="252"/>
      <c r="G23" s="250"/>
      <c r="H23" s="251"/>
      <c r="I23" s="214"/>
      <c r="J23" s="220"/>
      <c r="K23" s="220"/>
      <c r="L23" s="214"/>
      <c r="V23" t="str">
        <v>Spend - MEX</v>
      </c>
      <c r="W23">
        <v>14</v>
      </c>
    </row>
    <row r="24" spans="3:23">
      <c r="C24" s="213"/>
      <c r="D24" s="58"/>
      <c r="E24" s="250"/>
      <c r="F24" s="252"/>
      <c r="G24" s="250"/>
      <c r="H24" s="251"/>
      <c r="I24" s="214"/>
      <c r="J24" s="220"/>
      <c r="K24" s="220"/>
      <c r="L24" s="214"/>
      <c r="V24" t="str">
        <v>Spend - CAM</v>
      </c>
      <c r="W24">
        <v>15</v>
      </c>
    </row>
    <row r="25" spans="3:23">
      <c r="C25" s="213"/>
      <c r="D25" s="58"/>
      <c r="E25" s="250"/>
      <c r="F25" s="252"/>
      <c r="G25" s="250"/>
      <c r="H25" s="251"/>
      <c r="I25" s="214"/>
      <c r="J25" s="220"/>
      <c r="K25" s="220"/>
      <c r="L25" s="214"/>
      <c r="V25" t="str">
        <v>Spend - CHL</v>
      </c>
      <c r="W25">
        <v>16</v>
      </c>
    </row>
    <row r="26" spans="3:23">
      <c r="C26" s="213"/>
      <c r="D26" s="58"/>
      <c r="E26" s="250"/>
      <c r="F26" s="252"/>
      <c r="G26" s="250"/>
      <c r="H26" s="251"/>
      <c r="I26" s="214"/>
      <c r="J26" s="220"/>
      <c r="K26" s="220"/>
      <c r="L26" s="214"/>
      <c r="V26" t="str">
        <v>Spend - ARG</v>
      </c>
      <c r="W26">
        <v>17</v>
      </c>
    </row>
    <row r="27" spans="3:23">
      <c r="C27" s="213"/>
      <c r="D27" s="58"/>
      <c r="E27" s="250"/>
      <c r="F27" s="252"/>
      <c r="G27" s="250"/>
      <c r="H27" s="251"/>
      <c r="I27" s="214"/>
      <c r="J27" s="220"/>
      <c r="K27" s="220"/>
      <c r="L27" s="214"/>
      <c r="V27" t="str">
        <v>Spend - CHN</v>
      </c>
      <c r="W27">
        <v>18</v>
      </c>
    </row>
    <row r="28" spans="3:23">
      <c r="C28" s="213"/>
      <c r="D28" s="58"/>
      <c r="E28" s="250"/>
      <c r="F28" s="252"/>
      <c r="G28" s="250"/>
      <c r="H28" s="251"/>
      <c r="I28" s="214"/>
      <c r="J28" s="220"/>
      <c r="K28" s="220"/>
      <c r="L28" s="214"/>
      <c r="V28" t="str">
        <v>Spend - JAP</v>
      </c>
      <c r="W28">
        <v>19</v>
      </c>
    </row>
    <row r="29" spans="3:23">
      <c r="C29" s="213"/>
      <c r="D29" s="58"/>
      <c r="E29" s="250"/>
      <c r="F29" s="252"/>
      <c r="G29" s="250"/>
      <c r="H29" s="251"/>
      <c r="I29" s="214"/>
      <c r="J29" s="220"/>
      <c r="K29" s="220"/>
      <c r="L29" s="214"/>
      <c r="V29" t="str">
        <v>Spend - UKN</v>
      </c>
      <c r="W29">
        <v>20</v>
      </c>
    </row>
    <row r="30" spans="3:23">
      <c r="C30" s="213"/>
      <c r="D30" s="58"/>
      <c r="E30" s="250"/>
      <c r="F30" s="252"/>
      <c r="G30" s="250"/>
      <c r="H30" s="251"/>
      <c r="I30" s="214"/>
      <c r="J30" s="220"/>
      <c r="K30" s="220"/>
      <c r="L30" s="214"/>
      <c r="V30" t="str">
        <v>Spend - SAF</v>
      </c>
      <c r="W30">
        <v>21</v>
      </c>
    </row>
    <row r="31" spans="3:23">
      <c r="C31" s="213"/>
      <c r="D31" s="58"/>
      <c r="E31" s="250"/>
      <c r="F31" s="217"/>
      <c r="G31" s="250"/>
      <c r="H31" s="251"/>
      <c r="I31" s="214"/>
      <c r="J31" s="220"/>
      <c r="K31" s="220"/>
      <c r="L31" s="214"/>
      <c r="V31" t="str">
        <v>Spend - US</v>
      </c>
      <c r="W31">
        <v>22</v>
      </c>
    </row>
    <row r="32" spans="3:23">
      <c r="C32" s="213"/>
      <c r="D32" s="58"/>
      <c r="E32" s="250"/>
      <c r="F32" s="217"/>
      <c r="G32" s="250"/>
      <c r="H32" s="251"/>
      <c r="I32" s="214"/>
      <c r="J32" s="220"/>
      <c r="K32" s="220"/>
      <c r="L32" s="214"/>
      <c r="V32" t="str">
        <v>Spend - Sams</v>
      </c>
      <c r="W32">
        <v>23</v>
      </c>
    </row>
    <row r="33" spans="3:23">
      <c r="C33" s="213"/>
      <c r="D33" s="58"/>
      <c r="E33" s="222"/>
      <c r="F33" s="217"/>
      <c r="G33" s="250"/>
      <c r="H33" s="251"/>
      <c r="I33" s="214"/>
      <c r="J33" s="220"/>
      <c r="K33" s="220"/>
      <c r="L33" s="214"/>
      <c r="V33" t="str">
        <v>Updated by</v>
      </c>
      <c r="W33">
        <v>24</v>
      </c>
    </row>
    <row r="34" spans="3:23">
      <c r="C34" s="213"/>
      <c r="D34" s="58"/>
      <c r="E34" s="222"/>
      <c r="F34" s="217"/>
      <c r="G34" s="222"/>
      <c r="H34" s="251"/>
      <c r="I34" s="214"/>
      <c r="J34" s="220"/>
      <c r="K34" s="220"/>
      <c r="L34" s="214"/>
      <c r="V34" t="str">
        <v>Update Time</v>
      </c>
      <c r="W34">
        <v>25</v>
      </c>
    </row>
    <row r="35" spans="3:23">
      <c r="C35" s="213"/>
      <c r="D35" s="58"/>
      <c r="E35" s="222"/>
      <c r="F35" s="217"/>
      <c r="G35" s="222"/>
      <c r="H35" s="251"/>
      <c r="I35" s="214"/>
      <c r="J35" s="220"/>
      <c r="K35" s="220"/>
      <c r="L35" s="214"/>
      <c r="V35" t="str">
        <v>Current Phase</v>
      </c>
      <c r="W35">
        <v>26</v>
      </c>
    </row>
    <row r="36" spans="3:23">
      <c r="C36" s="213"/>
      <c r="D36" s="58"/>
      <c r="E36" s="222"/>
      <c r="F36" s="217"/>
      <c r="G36" s="222"/>
      <c r="H36" s="251"/>
      <c r="I36" s="214"/>
      <c r="J36" s="220"/>
      <c r="K36" s="220"/>
      <c r="L36" s="214"/>
      <c r="V36" t="str">
        <v>Remarks</v>
      </c>
      <c r="W36">
        <v>27</v>
      </c>
    </row>
    <row r="37" spans="3:23">
      <c r="C37" s="213"/>
      <c r="D37" s="58"/>
      <c r="E37" s="222"/>
      <c r="F37" s="217"/>
      <c r="G37" s="222"/>
      <c r="H37" s="251"/>
      <c r="I37" s="214"/>
      <c r="J37" s="220"/>
      <c r="K37" s="220"/>
      <c r="L37" s="214"/>
      <c r="V37" t="str">
        <v>Savings - CAN</v>
      </c>
      <c r="W37">
        <v>28</v>
      </c>
    </row>
    <row r="38" spans="3:23">
      <c r="C38" s="213"/>
      <c r="D38" s="58"/>
      <c r="E38" s="222"/>
      <c r="F38" s="217"/>
      <c r="G38" s="222"/>
      <c r="H38" s="251"/>
      <c r="I38" s="214"/>
      <c r="J38" s="220"/>
      <c r="K38" s="220"/>
      <c r="L38" s="214"/>
      <c r="V38" t="str">
        <v>Savings - MEX</v>
      </c>
      <c r="W38">
        <v>29</v>
      </c>
    </row>
    <row r="39" spans="3:23">
      <c r="C39" s="213"/>
      <c r="D39" s="58"/>
      <c r="E39" s="222"/>
      <c r="F39" s="217"/>
      <c r="G39" s="222"/>
      <c r="H39" s="214"/>
      <c r="I39" s="214"/>
      <c r="K39" s="220"/>
      <c r="L39" s="214"/>
      <c r="V39" t="str">
        <v>Savings - CAM</v>
      </c>
      <c r="W39">
        <v>30</v>
      </c>
    </row>
    <row r="40" spans="3:23">
      <c r="C40" s="213"/>
      <c r="D40" s="58"/>
      <c r="E40" s="222"/>
      <c r="F40" s="217"/>
      <c r="G40" s="222"/>
      <c r="H40" s="214"/>
      <c r="I40" s="214"/>
      <c r="K40" s="220"/>
      <c r="L40" s="214"/>
      <c r="V40" t="str">
        <v>Savings - CHL</v>
      </c>
      <c r="W40">
        <v>31</v>
      </c>
    </row>
    <row r="41" spans="3:23">
      <c r="C41" s="213"/>
      <c r="D41" s="58"/>
      <c r="E41" s="222"/>
      <c r="F41" s="217"/>
      <c r="G41" s="222"/>
      <c r="H41" s="214"/>
      <c r="I41" s="214"/>
      <c r="K41" s="220"/>
      <c r="L41" s="214"/>
      <c r="V41" t="str">
        <v>Savings - ARG</v>
      </c>
      <c r="W41">
        <v>32</v>
      </c>
    </row>
    <row r="42" spans="3:23">
      <c r="C42" s="213"/>
      <c r="D42" s="58"/>
      <c r="E42" s="222"/>
      <c r="F42" s="217"/>
      <c r="G42" s="222"/>
      <c r="H42" s="214"/>
      <c r="I42" s="214"/>
      <c r="K42" s="220"/>
      <c r="L42" s="214"/>
      <c r="V42" t="str">
        <v>Savings - CHN</v>
      </c>
      <c r="W42">
        <v>33</v>
      </c>
    </row>
    <row r="43" spans="3:23">
      <c r="C43" s="213"/>
      <c r="D43" s="58"/>
      <c r="E43" s="222"/>
      <c r="F43" s="217"/>
      <c r="G43" s="222"/>
      <c r="H43" s="214"/>
      <c r="I43" s="214"/>
      <c r="L43" s="214"/>
      <c r="V43" t="str">
        <v>Savings - JAP</v>
      </c>
      <c r="W43">
        <v>34</v>
      </c>
    </row>
    <row r="44" spans="3:23">
      <c r="C44" s="213"/>
      <c r="D44" s="58"/>
      <c r="E44" s="222"/>
      <c r="F44" s="217"/>
      <c r="G44" s="222"/>
      <c r="H44" s="214"/>
      <c r="I44" s="214"/>
      <c r="L44" s="214"/>
      <c r="V44" t="str">
        <v>Savings - UKN</v>
      </c>
      <c r="W44">
        <v>35</v>
      </c>
    </row>
    <row r="45" spans="3:23">
      <c r="C45" s="213"/>
      <c r="D45" s="58"/>
      <c r="E45" s="222"/>
      <c r="F45" s="217"/>
      <c r="G45" s="222"/>
      <c r="H45" s="214"/>
      <c r="I45" s="214"/>
      <c r="L45" s="214"/>
      <c r="V45" t="str">
        <v>Savings - SAF</v>
      </c>
      <c r="W45">
        <v>36</v>
      </c>
    </row>
    <row r="46" spans="3:23">
      <c r="C46" s="213"/>
      <c r="D46" s="58"/>
      <c r="E46" s="222"/>
      <c r="F46" s="217"/>
      <c r="G46" s="222"/>
      <c r="H46" s="214"/>
      <c r="I46" s="214"/>
      <c r="L46" s="214"/>
      <c r="V46" t="str">
        <v>Savings - US</v>
      </c>
      <c r="W46">
        <v>37</v>
      </c>
    </row>
    <row r="47" spans="3:23">
      <c r="C47" s="213"/>
      <c r="D47" s="58"/>
      <c r="E47" s="222"/>
      <c r="F47" s="217"/>
      <c r="G47" s="222"/>
      <c r="H47" s="214"/>
      <c r="I47" s="214"/>
      <c r="L47" s="214"/>
      <c r="V47" t="str">
        <v>Savings - Sams</v>
      </c>
      <c r="W47">
        <v>38</v>
      </c>
    </row>
    <row r="48" spans="3:23">
      <c r="C48" s="213"/>
      <c r="D48" s="58"/>
      <c r="E48" s="222"/>
      <c r="F48" s="217"/>
      <c r="G48" s="222"/>
      <c r="H48" s="214"/>
      <c r="I48" s="214"/>
      <c r="L48" s="214"/>
      <c r="V48" t="str">
        <v>Cost Avoidance - CAN2</v>
      </c>
      <c r="W48">
        <v>39</v>
      </c>
    </row>
    <row r="49" spans="3:23">
      <c r="C49" s="213"/>
      <c r="D49" s="58"/>
      <c r="E49" s="222"/>
      <c r="F49" s="217"/>
      <c r="G49" s="222"/>
      <c r="H49" s="214"/>
      <c r="I49" s="214"/>
      <c r="L49" s="214"/>
      <c r="V49" t="str">
        <v>Cost Avoidance - MEX3</v>
      </c>
      <c r="W49">
        <v>40</v>
      </c>
    </row>
    <row r="50" spans="3:23">
      <c r="C50" s="213"/>
      <c r="D50" s="58"/>
      <c r="E50" s="222"/>
      <c r="F50" s="217"/>
      <c r="G50" s="222"/>
      <c r="H50" s="214"/>
      <c r="I50" s="214"/>
      <c r="L50" s="214"/>
      <c r="V50" t="str">
        <v>Cost Avoidance - CAM4</v>
      </c>
      <c r="W50">
        <v>41</v>
      </c>
    </row>
    <row r="51" spans="3:23">
      <c r="C51" s="213"/>
      <c r="D51" s="58"/>
      <c r="E51" s="222"/>
      <c r="F51" s="217"/>
      <c r="G51" s="222"/>
      <c r="H51" s="214"/>
      <c r="I51" s="214"/>
      <c r="L51" s="214"/>
      <c r="V51" t="str">
        <v>Cost Avoidance - CHL5</v>
      </c>
      <c r="W51">
        <v>42</v>
      </c>
    </row>
    <row r="52" spans="3:23">
      <c r="C52" s="213"/>
      <c r="D52" s="58"/>
      <c r="E52" s="217"/>
      <c r="F52" s="217"/>
      <c r="G52" s="58"/>
      <c r="H52" s="214"/>
      <c r="I52" s="214"/>
      <c r="L52" s="214"/>
      <c r="V52" t="str">
        <v>Cost Avoidance - ARG6</v>
      </c>
      <c r="W52">
        <v>43</v>
      </c>
    </row>
    <row r="53" spans="3:23">
      <c r="C53" s="213"/>
      <c r="D53" s="58"/>
      <c r="E53" s="217"/>
      <c r="F53" s="217"/>
      <c r="G53" s="58"/>
      <c r="H53" s="214"/>
      <c r="I53" s="214"/>
      <c r="L53" s="214"/>
      <c r="V53" t="str">
        <v>Cost Avoidance - CHN7</v>
      </c>
      <c r="W53">
        <v>44</v>
      </c>
    </row>
    <row r="54" spans="3:23">
      <c r="C54" s="213"/>
      <c r="D54" s="58"/>
      <c r="E54" s="217"/>
      <c r="F54" s="217"/>
      <c r="G54" s="58"/>
      <c r="H54" s="214"/>
      <c r="I54" s="214"/>
      <c r="L54" s="214"/>
      <c r="V54" t="str">
        <v>Cost Avoidance - JAP8</v>
      </c>
      <c r="W54">
        <v>45</v>
      </c>
    </row>
    <row r="55" spans="3:23">
      <c r="C55" s="213"/>
      <c r="D55" s="58"/>
      <c r="E55" s="217"/>
      <c r="F55" s="217"/>
      <c r="G55" s="58"/>
      <c r="H55" s="214"/>
      <c r="I55" s="214"/>
      <c r="L55" s="214"/>
      <c r="V55" t="str">
        <v>Cost Avoidance - UKN9</v>
      </c>
      <c r="W55">
        <v>46</v>
      </c>
    </row>
    <row r="56" spans="3:23">
      <c r="C56" s="213"/>
      <c r="D56" s="58"/>
      <c r="E56" s="217"/>
      <c r="F56" s="217"/>
      <c r="G56" s="58"/>
      <c r="H56" s="214"/>
      <c r="I56" s="214"/>
      <c r="L56" s="214"/>
      <c r="V56" t="str">
        <v>Cost Avoidance - SAF10</v>
      </c>
      <c r="W56">
        <v>47</v>
      </c>
    </row>
    <row r="57" spans="3:23">
      <c r="C57" s="213"/>
      <c r="D57" s="58"/>
      <c r="E57" s="217"/>
      <c r="F57" s="217"/>
      <c r="G57" s="58"/>
      <c r="H57" s="214"/>
      <c r="I57" s="214"/>
      <c r="L57" s="214"/>
      <c r="V57" t="str">
        <v>Cost Avoidance - US11</v>
      </c>
      <c r="W57">
        <v>48</v>
      </c>
    </row>
    <row r="58" spans="3:23">
      <c r="C58" s="213"/>
      <c r="D58" s="58"/>
      <c r="E58" s="217"/>
      <c r="F58" s="217"/>
      <c r="G58" s="58"/>
      <c r="H58" s="214"/>
      <c r="I58" s="214"/>
      <c r="L58" s="214"/>
      <c r="V58" t="str">
        <v>Cost Avoidance - Sams12</v>
      </c>
      <c r="W58">
        <v>49</v>
      </c>
    </row>
    <row r="59" spans="3:23">
      <c r="C59" s="213"/>
      <c r="D59" s="58"/>
      <c r="E59" s="217"/>
      <c r="F59" s="217"/>
      <c r="G59" s="58"/>
      <c r="H59" s="214"/>
      <c r="I59" s="214"/>
      <c r="L59" s="214"/>
      <c r="V59" t="str">
        <v>Spend - Sams Mexico</v>
      </c>
      <c r="W59">
        <v>50</v>
      </c>
    </row>
    <row r="60" spans="3:23">
      <c r="C60" s="213"/>
      <c r="D60" s="58"/>
      <c r="E60" s="217"/>
      <c r="F60" s="217"/>
      <c r="G60" s="58"/>
      <c r="H60" s="214"/>
      <c r="I60" s="214"/>
      <c r="L60" s="214"/>
      <c r="V60" t="str">
        <v>Spend - Sams China</v>
      </c>
      <c r="W60">
        <v>51</v>
      </c>
    </row>
    <row r="61" spans="3:23">
      <c r="C61" s="213"/>
      <c r="D61" s="58"/>
      <c r="E61" s="217"/>
      <c r="F61" s="217"/>
      <c r="G61" s="58"/>
      <c r="H61" s="214"/>
      <c r="I61" s="214"/>
      <c r="L61" s="214"/>
      <c r="V61" t="str">
        <v>Savings - Sams Mexico</v>
      </c>
      <c r="W61">
        <v>52</v>
      </c>
    </row>
    <row r="62" spans="3:23">
      <c r="C62" s="213"/>
      <c r="D62" s="58"/>
      <c r="E62" s="217"/>
      <c r="F62" s="217"/>
      <c r="G62" s="58"/>
      <c r="H62" s="214"/>
      <c r="I62" s="214"/>
      <c r="L62" s="214"/>
      <c r="V62" t="str">
        <v>Savings - Sams China</v>
      </c>
      <c r="W62">
        <v>53</v>
      </c>
    </row>
    <row r="63" spans="3:23">
      <c r="C63" s="213"/>
      <c r="D63" s="58"/>
      <c r="E63" s="217"/>
      <c r="F63" s="217"/>
      <c r="G63" s="58"/>
      <c r="H63" s="214"/>
      <c r="I63" s="214"/>
      <c r="L63" s="214"/>
      <c r="V63" t="str">
        <v>Cost Avoidance - Sams Mexico</v>
      </c>
      <c r="W63">
        <v>54</v>
      </c>
    </row>
    <row r="64" spans="3:23">
      <c r="C64" s="213"/>
      <c r="D64" s="58"/>
      <c r="E64" s="217"/>
      <c r="F64" s="217"/>
      <c r="G64" s="58"/>
      <c r="H64" s="214"/>
      <c r="I64" s="214"/>
      <c r="L64" s="214"/>
      <c r="V64" t="str">
        <v>Cost Avoidance - Sams China</v>
      </c>
      <c r="W64">
        <v>55</v>
      </c>
    </row>
    <row r="65" spans="3:23">
      <c r="C65" s="213"/>
      <c r="D65" s="58"/>
      <c r="E65" s="217"/>
      <c r="F65" s="217"/>
      <c r="G65" s="58"/>
      <c r="H65" s="214"/>
      <c r="I65" s="214"/>
      <c r="L65" s="214"/>
      <c r="V65" t="str">
        <v>Spend - IND</v>
      </c>
      <c r="W65">
        <v>56</v>
      </c>
    </row>
    <row r="66" spans="3:23">
      <c r="C66" s="213"/>
      <c r="D66" s="58"/>
      <c r="E66" s="217"/>
      <c r="F66" s="217"/>
      <c r="G66" s="58"/>
      <c r="H66" s="214"/>
      <c r="I66" s="214"/>
      <c r="L66" s="214"/>
      <c r="V66" t="str">
        <v>Savings - IND</v>
      </c>
      <c r="W66">
        <v>57</v>
      </c>
    </row>
    <row r="67" spans="3:23">
      <c r="C67" s="213"/>
      <c r="D67" s="58"/>
      <c r="E67" s="217"/>
      <c r="F67" s="217"/>
      <c r="G67" s="58"/>
      <c r="H67" s="214"/>
      <c r="I67" s="214"/>
      <c r="L67" s="214"/>
      <c r="V67" t="str">
        <v>Cost Avoidance - IND</v>
      </c>
      <c r="W67">
        <v>58</v>
      </c>
    </row>
    <row r="68" spans="3:23">
      <c r="C68" s="213"/>
      <c r="D68" s="58"/>
      <c r="E68" s="217"/>
      <c r="F68" s="217"/>
      <c r="G68" s="58"/>
      <c r="H68" s="214"/>
      <c r="I68" s="214"/>
      <c r="L68" s="214"/>
      <c r="V68" t="str">
        <v>Start Date - CAN</v>
      </c>
      <c r="W68">
        <v>59</v>
      </c>
    </row>
    <row r="69" spans="3:23">
      <c r="C69" s="213"/>
      <c r="D69" s="58"/>
      <c r="E69" s="217"/>
      <c r="F69" s="217"/>
      <c r="G69" s="58"/>
      <c r="H69" s="214"/>
      <c r="I69" s="214"/>
      <c r="L69" s="214"/>
      <c r="V69" t="str">
        <v>Start Date - MEX</v>
      </c>
      <c r="W69">
        <v>60</v>
      </c>
    </row>
    <row r="70" spans="3:23">
      <c r="C70" s="213"/>
      <c r="D70" s="58"/>
      <c r="E70" s="217"/>
      <c r="F70" s="217"/>
      <c r="G70" s="58"/>
      <c r="H70" s="214"/>
      <c r="I70" s="214"/>
      <c r="L70" s="214"/>
      <c r="V70" t="str">
        <v>Start Date - CAM</v>
      </c>
      <c r="W70">
        <v>61</v>
      </c>
    </row>
    <row r="71" spans="3:23">
      <c r="C71" s="213"/>
      <c r="D71" s="58"/>
      <c r="E71" s="217"/>
      <c r="F71" s="217"/>
      <c r="G71" s="58"/>
      <c r="H71" s="214"/>
      <c r="I71" s="214"/>
      <c r="L71" s="214"/>
      <c r="V71" t="str">
        <v>Start Date - CHL</v>
      </c>
      <c r="W71">
        <v>62</v>
      </c>
    </row>
    <row r="72" spans="3:23">
      <c r="C72" s="213"/>
      <c r="D72" s="58"/>
      <c r="E72" s="217"/>
      <c r="F72" s="217"/>
      <c r="G72" s="58"/>
      <c r="H72" s="214"/>
      <c r="I72" s="214"/>
      <c r="L72" s="214"/>
      <c r="V72" t="str">
        <v>Start Date - ARG</v>
      </c>
      <c r="W72">
        <v>63</v>
      </c>
    </row>
    <row r="73" spans="3:23">
      <c r="C73" s="213"/>
      <c r="D73" s="58"/>
      <c r="E73" s="217"/>
      <c r="F73" s="217"/>
      <c r="G73" s="58"/>
      <c r="H73" s="214"/>
      <c r="I73" s="214"/>
      <c r="L73" s="214"/>
      <c r="V73" t="str">
        <v>Start Date - CHN</v>
      </c>
      <c r="W73">
        <v>64</v>
      </c>
    </row>
    <row r="74" spans="3:23">
      <c r="C74" s="213"/>
      <c r="D74" s="58"/>
      <c r="E74" s="217"/>
      <c r="F74" s="217"/>
      <c r="G74" s="58"/>
      <c r="H74" s="214"/>
      <c r="I74" s="214"/>
      <c r="L74" s="214"/>
      <c r="V74" t="str">
        <v>Start Date - JAP</v>
      </c>
      <c r="W74">
        <v>65</v>
      </c>
    </row>
    <row r="75" spans="3:23">
      <c r="C75" s="213"/>
      <c r="D75" s="58"/>
      <c r="E75" s="217"/>
      <c r="F75" s="217"/>
      <c r="G75" s="58"/>
      <c r="H75" s="214"/>
      <c r="I75" s="214"/>
      <c r="L75" s="214"/>
      <c r="V75" t="str">
        <v>Start Date - UKN</v>
      </c>
      <c r="W75">
        <v>66</v>
      </c>
    </row>
    <row r="76" spans="3:23">
      <c r="C76" s="213"/>
      <c r="D76" s="58"/>
      <c r="E76" s="217"/>
      <c r="F76" s="217"/>
      <c r="G76" s="58"/>
      <c r="H76" s="214"/>
      <c r="I76" s="214"/>
      <c r="L76" s="214"/>
      <c r="V76" t="str">
        <v>Start Date - SAF</v>
      </c>
      <c r="W76">
        <v>67</v>
      </c>
    </row>
    <row r="77" spans="3:23">
      <c r="C77" s="213"/>
      <c r="D77" s="58"/>
      <c r="E77" s="217"/>
      <c r="F77" s="217"/>
      <c r="G77" s="58"/>
      <c r="H77" s="214"/>
      <c r="I77" s="214"/>
      <c r="L77" s="214"/>
      <c r="V77" t="str">
        <v>Start Date - US</v>
      </c>
      <c r="W77">
        <v>68</v>
      </c>
    </row>
    <row r="78" spans="3:23">
      <c r="C78" s="213"/>
      <c r="D78" s="58"/>
      <c r="E78" s="217"/>
      <c r="F78" s="217"/>
      <c r="G78" s="58"/>
      <c r="H78" s="214"/>
      <c r="I78" s="214"/>
      <c r="L78" s="214"/>
      <c r="V78" t="str">
        <v>Start Date - Sams</v>
      </c>
      <c r="W78">
        <v>69</v>
      </c>
    </row>
    <row r="79" spans="3:23">
      <c r="C79" s="213"/>
      <c r="D79" s="58"/>
      <c r="E79" s="217"/>
      <c r="F79" s="217"/>
      <c r="G79" s="58"/>
      <c r="H79" s="214"/>
      <c r="I79" s="214"/>
      <c r="L79" s="214"/>
      <c r="V79" t="str">
        <v>Start Date - Sams Mexico</v>
      </c>
      <c r="W79">
        <v>70</v>
      </c>
    </row>
    <row r="80" spans="3:23">
      <c r="C80" s="213"/>
      <c r="D80" s="58"/>
      <c r="E80" s="216"/>
      <c r="F80" s="217"/>
      <c r="G80" s="58"/>
      <c r="H80" s="214"/>
      <c r="I80" s="214"/>
      <c r="L80" s="214"/>
      <c r="V80" t="str">
        <v>Start Date - Sams China</v>
      </c>
      <c r="W80">
        <v>71</v>
      </c>
    </row>
    <row r="81" spans="3:23">
      <c r="C81" s="213"/>
      <c r="D81" s="58"/>
      <c r="E81" s="216"/>
      <c r="F81" s="217"/>
      <c r="G81" s="58"/>
      <c r="H81" s="214"/>
      <c r="I81" s="214"/>
      <c r="L81" s="214"/>
      <c r="V81" t="str">
        <v>Start Date - IND</v>
      </c>
      <c r="W81">
        <v>72</v>
      </c>
    </row>
    <row r="82" spans="3:23">
      <c r="C82" s="213"/>
      <c r="D82" s="58"/>
      <c r="E82" s="216"/>
      <c r="F82" s="217"/>
      <c r="G82" s="58"/>
      <c r="H82" s="214"/>
      <c r="I82" s="214"/>
      <c r="L82" s="214"/>
      <c r="V82" t="str">
        <v>Most curent</v>
      </c>
      <c r="W82">
        <v>73</v>
      </c>
    </row>
    <row r="83" spans="3:23">
      <c r="C83" s="213"/>
      <c r="D83" s="58"/>
      <c r="E83" s="216"/>
      <c r="F83" s="217"/>
      <c r="G83" s="58"/>
      <c r="H83" s="214"/>
      <c r="I83" s="214"/>
      <c r="L83" s="214"/>
      <c r="V83" t="str">
        <v>Spend - ALL</v>
      </c>
      <c r="W83">
        <v>74</v>
      </c>
    </row>
    <row r="84" spans="3:23">
      <c r="I84" s="214"/>
      <c r="L84" s="214"/>
      <c r="V84" t="str">
        <v>Savings - All</v>
      </c>
      <c r="W84">
        <v>75</v>
      </c>
    </row>
    <row r="85" spans="3:23">
      <c r="I85" s="214"/>
      <c r="L85" s="214"/>
      <c r="V85" t="str">
        <v>Spend - INTL</v>
      </c>
      <c r="W85">
        <v>76</v>
      </c>
    </row>
    <row r="86" spans="3:23">
      <c r="I86" s="214"/>
      <c r="L86" s="214"/>
      <c r="V86" t="str">
        <v>Savings - INTL</v>
      </c>
      <c r="W86">
        <v>77</v>
      </c>
    </row>
    <row r="87" spans="3:23">
      <c r="I87" s="214"/>
      <c r="L87" s="214"/>
      <c r="V87" t="str">
        <v>Spend - WMUS-Sams</v>
      </c>
      <c r="W87">
        <v>78</v>
      </c>
    </row>
    <row r="88" spans="3:23">
      <c r="I88" s="214"/>
      <c r="L88" s="214"/>
      <c r="V88" t="str">
        <v>Savings - WMUs-Sams</v>
      </c>
      <c r="W88">
        <v>79</v>
      </c>
    </row>
    <row r="89" spans="3:23">
      <c r="I89" s="214"/>
      <c r="L89" s="214"/>
      <c r="V89" t="str">
        <v>Cost Avoidance INTL</v>
      </c>
      <c r="W89">
        <v>80</v>
      </c>
    </row>
    <row r="90" spans="3:23">
      <c r="I90" s="214"/>
      <c r="L90" s="214"/>
      <c r="V90" t="str">
        <v>Cost Avoidance US</v>
      </c>
      <c r="W90">
        <v>81</v>
      </c>
    </row>
    <row r="91" spans="3:23">
      <c r="I91" s="214"/>
      <c r="L91" s="214"/>
      <c r="V91" t="str">
        <v>Status Value</v>
      </c>
      <c r="W91">
        <v>82</v>
      </c>
    </row>
    <row r="92" spans="3:23">
      <c r="I92" s="214"/>
      <c r="L92" s="214"/>
    </row>
    <row r="93" spans="3:23">
      <c r="I93" s="214"/>
      <c r="L93" s="214"/>
    </row>
    <row r="94" spans="3:23">
      <c r="I94" s="214"/>
      <c r="L94" s="214"/>
    </row>
    <row r="95" spans="3:23">
      <c r="I95" s="214"/>
      <c r="L95" s="214"/>
    </row>
    <row r="96" spans="3:23">
      <c r="I96" s="214"/>
      <c r="L96" s="214"/>
    </row>
    <row r="97" spans="9:12">
      <c r="I97" s="214"/>
      <c r="L97" s="214"/>
    </row>
    <row r="98" spans="9:12">
      <c r="I98" s="214"/>
      <c r="L98" s="214"/>
    </row>
    <row r="99" spans="9:12">
      <c r="I99" s="214"/>
      <c r="L99" s="214"/>
    </row>
    <row r="100" spans="9:12">
      <c r="I100" s="214"/>
      <c r="L100" s="214"/>
    </row>
    <row r="101" spans="9:12">
      <c r="I101" s="214"/>
      <c r="L101" s="214"/>
    </row>
    <row r="102" spans="9:12">
      <c r="I102" s="214"/>
      <c r="L102" s="214"/>
    </row>
    <row r="103" spans="9:12">
      <c r="I103" s="214"/>
      <c r="L103" s="214"/>
    </row>
    <row r="104" spans="9:12">
      <c r="I104" s="214"/>
      <c r="L104" s="214"/>
    </row>
    <row r="105" spans="9:12">
      <c r="I105" s="214"/>
      <c r="L105" s="214"/>
    </row>
    <row r="106" spans="9:12">
      <c r="I106" s="214"/>
      <c r="L106" s="214"/>
    </row>
    <row r="107" spans="9:12">
      <c r="I107" s="214"/>
      <c r="L107" s="214"/>
    </row>
    <row r="108" spans="9:12">
      <c r="I108" s="214"/>
      <c r="L108" s="214"/>
    </row>
    <row r="109" spans="9:12">
      <c r="I109" s="214"/>
      <c r="L109" s="214"/>
    </row>
    <row r="110" spans="9:12">
      <c r="I110" s="214"/>
      <c r="L110" s="214"/>
    </row>
    <row r="111" spans="9:12">
      <c r="I111" s="214"/>
      <c r="L111" s="214"/>
    </row>
    <row r="112" spans="9:12">
      <c r="I112" s="214"/>
      <c r="L112" s="214"/>
    </row>
    <row r="113" spans="9:12">
      <c r="I113" s="214"/>
      <c r="L113" s="214"/>
    </row>
    <row r="114" spans="9:12">
      <c r="I114" s="214"/>
      <c r="L114" s="214"/>
    </row>
    <row r="115" spans="9:12">
      <c r="I115" s="214"/>
      <c r="L115" s="214"/>
    </row>
    <row r="116" spans="9:12">
      <c r="I116" s="214"/>
      <c r="L116" s="214"/>
    </row>
    <row r="117" spans="9:12">
      <c r="I117" s="214"/>
      <c r="L117" s="214"/>
    </row>
    <row r="118" spans="9:12">
      <c r="I118" s="214"/>
      <c r="L118" s="214"/>
    </row>
    <row r="119" spans="9:12">
      <c r="I119" s="214"/>
      <c r="L119" s="214"/>
    </row>
    <row r="120" spans="9:12">
      <c r="I120" s="214"/>
      <c r="L120" s="214"/>
    </row>
    <row r="121" spans="9:12">
      <c r="I121" s="214"/>
      <c r="L121" s="214"/>
    </row>
    <row r="122" spans="9:12">
      <c r="I122" s="214"/>
      <c r="L122" s="214"/>
    </row>
    <row r="123" spans="9:12">
      <c r="I123" s="214"/>
      <c r="L123" s="214"/>
    </row>
    <row r="124" spans="9:12">
      <c r="I124" s="214"/>
      <c r="L124" s="214"/>
    </row>
    <row r="125" spans="9:12">
      <c r="I125" s="214"/>
      <c r="L125" s="214"/>
    </row>
    <row r="126" spans="9:12">
      <c r="I126" s="214"/>
      <c r="L126" s="214"/>
    </row>
    <row r="127" spans="9:12">
      <c r="I127" s="214"/>
      <c r="L127" s="214"/>
    </row>
    <row r="128" spans="9:12">
      <c r="I128" s="214"/>
      <c r="L128" s="214"/>
    </row>
    <row r="129" spans="9:12">
      <c r="I129" s="214"/>
      <c r="L129" s="214"/>
    </row>
    <row r="130" spans="9:12">
      <c r="I130" s="214"/>
      <c r="L130" s="214"/>
    </row>
    <row r="131" spans="9:12">
      <c r="I131" s="214"/>
      <c r="L131" s="214"/>
    </row>
    <row r="132" spans="9:12">
      <c r="I132" s="214"/>
      <c r="L132" s="214"/>
    </row>
    <row r="133" spans="9:12">
      <c r="I133" s="214"/>
      <c r="L133" s="214"/>
    </row>
    <row r="134" spans="9:12">
      <c r="I134" s="214"/>
      <c r="L134" s="214"/>
    </row>
    <row r="135" spans="9:12">
      <c r="I135" s="214"/>
      <c r="L135" s="214"/>
    </row>
    <row r="136" spans="9:12">
      <c r="I136" s="214"/>
      <c r="L136" s="214"/>
    </row>
    <row r="137" spans="9:12">
      <c r="I137" s="214"/>
      <c r="L137" s="214"/>
    </row>
    <row r="138" spans="9:12">
      <c r="I138" s="214"/>
    </row>
    <row r="139" spans="9:12">
      <c r="I139" s="214"/>
    </row>
    <row r="140" spans="9:12">
      <c r="I140" s="214"/>
    </row>
    <row r="141" spans="9:12">
      <c r="I141" s="214"/>
    </row>
    <row r="142" spans="9:12">
      <c r="I142" s="214"/>
    </row>
    <row r="143" spans="9:12">
      <c r="I143" s="214"/>
    </row>
    <row r="144" spans="9:12">
      <c r="I144" s="214"/>
    </row>
    <row r="145" spans="9:9">
      <c r="I145" s="214"/>
    </row>
    <row r="146" spans="9:9">
      <c r="I146" s="214"/>
    </row>
    <row r="147" spans="9:9">
      <c r="I147" s="214"/>
    </row>
    <row r="148" spans="9:9">
      <c r="I148" s="214"/>
    </row>
    <row r="149" spans="9:9">
      <c r="I149" s="214"/>
    </row>
    <row r="150" spans="9:9">
      <c r="I150" s="214"/>
    </row>
    <row r="151" spans="9:9">
      <c r="I151" s="214"/>
    </row>
    <row r="152" spans="9:9">
      <c r="I152" s="214"/>
    </row>
    <row r="153" spans="9:9">
      <c r="I153" s="214"/>
    </row>
    <row r="154" spans="9:9">
      <c r="I154" s="214"/>
    </row>
    <row r="155" spans="9:9">
      <c r="I155" s="214"/>
    </row>
    <row r="156" spans="9:9">
      <c r="I156" s="214"/>
    </row>
    <row r="157" spans="9:9">
      <c r="I157" s="214"/>
    </row>
    <row r="158" spans="9:9">
      <c r="I158" s="214"/>
    </row>
    <row r="159" spans="9:9">
      <c r="I159" s="214"/>
    </row>
    <row r="160" spans="9:9">
      <c r="I160" s="214"/>
    </row>
    <row r="161" spans="9:9">
      <c r="I161" s="214"/>
    </row>
    <row r="162" spans="9:9">
      <c r="I162" s="214"/>
    </row>
    <row r="163" spans="9:9">
      <c r="I163" s="214"/>
    </row>
    <row r="164" spans="9:9">
      <c r="I164" s="214"/>
    </row>
    <row r="165" spans="9:9">
      <c r="I165" s="214"/>
    </row>
    <row r="166" spans="9:9">
      <c r="I166" s="214"/>
    </row>
    <row r="167" spans="9:9">
      <c r="I167" s="214"/>
    </row>
    <row r="168" spans="9:9">
      <c r="I168" s="214"/>
    </row>
    <row r="169" spans="9:9">
      <c r="I169" s="214"/>
    </row>
    <row r="170" spans="9:9">
      <c r="I170" s="214"/>
    </row>
    <row r="171" spans="9:9">
      <c r="I171" s="214"/>
    </row>
    <row r="172" spans="9:9">
      <c r="I172" s="214"/>
    </row>
    <row r="173" spans="9:9">
      <c r="I173" s="214"/>
    </row>
    <row r="174" spans="9:9">
      <c r="I174" s="214"/>
    </row>
    <row r="175" spans="9:9">
      <c r="I175" s="214"/>
    </row>
    <row r="176" spans="9:9">
      <c r="I176" s="214"/>
    </row>
    <row r="177" spans="9:9">
      <c r="I177" s="214"/>
    </row>
    <row r="178" spans="9:9">
      <c r="I178" s="214"/>
    </row>
    <row r="179" spans="9:9">
      <c r="I179" s="214"/>
    </row>
    <row r="180" spans="9:9">
      <c r="I180" s="214"/>
    </row>
    <row r="181" spans="9:9">
      <c r="I181" s="214"/>
    </row>
    <row r="182" spans="9:9">
      <c r="I182" s="214"/>
    </row>
    <row r="183" spans="9:9">
      <c r="I183" s="214"/>
    </row>
    <row r="184" spans="9:9">
      <c r="I184" s="214"/>
    </row>
    <row r="185" spans="9:9">
      <c r="I185" s="214"/>
    </row>
    <row r="186" spans="9:9">
      <c r="I186" s="214"/>
    </row>
    <row r="187" spans="9:9">
      <c r="I187" s="214"/>
    </row>
    <row r="188" spans="9:9">
      <c r="I188" s="214"/>
    </row>
    <row r="189" spans="9:9">
      <c r="I189" s="214"/>
    </row>
    <row r="190" spans="9:9">
      <c r="I190" s="214"/>
    </row>
    <row r="191" spans="9:9">
      <c r="I191" s="214"/>
    </row>
    <row r="192" spans="9:9">
      <c r="I192" s="214"/>
    </row>
    <row r="193" spans="9:9">
      <c r="I193" s="214"/>
    </row>
    <row r="194" spans="9:9">
      <c r="I194" s="214"/>
    </row>
    <row r="195" spans="9:9">
      <c r="I195" s="214"/>
    </row>
    <row r="196" spans="9:9">
      <c r="I196" s="214"/>
    </row>
    <row r="197" spans="9:9">
      <c r="I197" s="214"/>
    </row>
    <row r="198" spans="9:9">
      <c r="I198" s="214"/>
    </row>
    <row r="199" spans="9:9">
      <c r="I199" s="214"/>
    </row>
    <row r="200" spans="9:9">
      <c r="I200" s="214"/>
    </row>
    <row r="201" spans="9:9">
      <c r="I201" s="214"/>
    </row>
    <row r="202" spans="9:9">
      <c r="I202" s="214"/>
    </row>
    <row r="203" spans="9:9">
      <c r="I203" s="214"/>
    </row>
    <row r="204" spans="9:9">
      <c r="I204" s="214"/>
    </row>
    <row r="205" spans="9:9">
      <c r="I205" s="214"/>
    </row>
    <row r="206" spans="9:9">
      <c r="I206" s="214"/>
    </row>
    <row r="207" spans="9:9">
      <c r="I207" s="214"/>
    </row>
    <row r="208" spans="9:9">
      <c r="I208" s="214"/>
    </row>
    <row r="209" spans="9:9">
      <c r="I209" s="214"/>
    </row>
    <row r="210" spans="9:9">
      <c r="I210" s="214"/>
    </row>
    <row r="211" spans="9:9">
      <c r="I211" s="214"/>
    </row>
    <row r="212" spans="9:9">
      <c r="I212" s="214"/>
    </row>
    <row r="213" spans="9:9">
      <c r="I213" s="214"/>
    </row>
    <row r="214" spans="9:9">
      <c r="I214" s="214"/>
    </row>
    <row r="215" spans="9:9">
      <c r="I215" s="214"/>
    </row>
    <row r="216" spans="9:9">
      <c r="I216" s="214"/>
    </row>
    <row r="217" spans="9:9">
      <c r="I217" s="214"/>
    </row>
    <row r="218" spans="9:9">
      <c r="I218" s="214"/>
    </row>
    <row r="219" spans="9:9">
      <c r="I219" s="214"/>
    </row>
    <row r="220" spans="9:9">
      <c r="I220" s="214"/>
    </row>
    <row r="221" spans="9:9">
      <c r="I221" s="214"/>
    </row>
    <row r="222" spans="9:9">
      <c r="I222" s="214"/>
    </row>
    <row r="223" spans="9:9">
      <c r="I223" s="214"/>
    </row>
    <row r="224" spans="9:9">
      <c r="I224" s="214"/>
    </row>
    <row r="225" spans="9:9">
      <c r="I225" s="214"/>
    </row>
    <row r="226" spans="9:9">
      <c r="I226" s="214"/>
    </row>
    <row r="227" spans="9:9">
      <c r="I227" s="214"/>
    </row>
    <row r="228" spans="9:9">
      <c r="I228" s="214"/>
    </row>
    <row r="229" spans="9:9">
      <c r="I229" s="214"/>
    </row>
  </sheetData>
  <sheetProtection sheet="1" objects="1" scenarios="1"/>
  <mergeCells count="1">
    <mergeCell ref="C1:D1"/>
  </mergeCells>
  <conditionalFormatting sqref="M11:O11 R11:U16 X11:X16 C11:H83">
    <cfRule type="notContainsBlanks" dxfId="155" priority="16">
      <formula>LEN(TRIM(C11))&gt;0</formula>
    </cfRule>
  </conditionalFormatting>
  <conditionalFormatting sqref="K10:O10 C10:D10 H10">
    <cfRule type="notContainsBlanks" dxfId="154" priority="15">
      <formula>LEN(TRIM(C10))&gt;0</formula>
    </cfRule>
  </conditionalFormatting>
  <conditionalFormatting sqref="D11:D13 G11:H83">
    <cfRule type="cellIs" dxfId="153" priority="14" operator="equal">
      <formula>0</formula>
    </cfRule>
  </conditionalFormatting>
  <conditionalFormatting sqref="R10:U10">
    <cfRule type="notContainsBlanks" dxfId="152" priority="13">
      <formula>LEN(TRIM(R10))&gt;0</formula>
    </cfRule>
  </conditionalFormatting>
  <conditionalFormatting sqref="E10:G10">
    <cfRule type="notContainsBlanks" dxfId="151" priority="12">
      <formula>LEN(TRIM(E10))&gt;0</formula>
    </cfRule>
  </conditionalFormatting>
  <conditionalFormatting sqref="I10">
    <cfRule type="notContainsBlanks" dxfId="150" priority="11">
      <formula>LEN(TRIM(I10))&gt;0</formula>
    </cfRule>
  </conditionalFormatting>
  <conditionalFormatting sqref="I11:I229">
    <cfRule type="notContainsBlanks" dxfId="149" priority="10">
      <formula>LEN(TRIM(I11))&gt;0</formula>
    </cfRule>
  </conditionalFormatting>
  <conditionalFormatting sqref="I11:I229">
    <cfRule type="cellIs" dxfId="148" priority="9" operator="equal">
      <formula>0</formula>
    </cfRule>
  </conditionalFormatting>
  <conditionalFormatting sqref="J10">
    <cfRule type="notContainsBlanks" dxfId="147" priority="8">
      <formula>LEN(TRIM(J10))&gt;0</formula>
    </cfRule>
  </conditionalFormatting>
  <conditionalFormatting sqref="J11:J38">
    <cfRule type="notContainsBlanks" dxfId="146" priority="7">
      <formula>LEN(TRIM(J11))&gt;0</formula>
    </cfRule>
  </conditionalFormatting>
  <conditionalFormatting sqref="J11:J38">
    <cfRule type="cellIs" dxfId="145" priority="6" operator="equal">
      <formula>0</formula>
    </cfRule>
  </conditionalFormatting>
  <conditionalFormatting sqref="K11:K42">
    <cfRule type="notContainsBlanks" dxfId="144" priority="5">
      <formula>LEN(TRIM(K11))&gt;0</formula>
    </cfRule>
  </conditionalFormatting>
  <conditionalFormatting sqref="K11:K42">
    <cfRule type="cellIs" dxfId="143" priority="4" operator="equal">
      <formula>0</formula>
    </cfRule>
  </conditionalFormatting>
  <conditionalFormatting sqref="E11:E51">
    <cfRule type="cellIs" dxfId="142" priority="3" operator="equal">
      <formula>0</formula>
    </cfRule>
  </conditionalFormatting>
  <conditionalFormatting sqref="L11:L137">
    <cfRule type="notContainsBlanks" dxfId="141" priority="2">
      <formula>LEN(TRIM(L11))&gt;0</formula>
    </cfRule>
  </conditionalFormatting>
  <conditionalFormatting sqref="L11:L137">
    <cfRule type="cellIs" dxfId="140" priority="1" operator="equal">
      <formula>0</formula>
    </cfRule>
  </conditionalFormatting>
  <dataValidations count="3">
    <dataValidation type="list" allowBlank="1" showInputMessage="1" showErrorMessage="1" sqref="C6" xr:uid="{2BA45709-A48D-4F3F-A676-450FDC895CD5}">
      <formula1>_xlfn.ANCHORARRAY($Y$10)</formula1>
    </dataValidation>
    <dataValidation type="list" allowBlank="1" showInputMessage="1" showErrorMessage="1" sqref="P10:P19" xr:uid="{D32E8885-5474-4D57-9348-C45C32D48491}">
      <formula1>_xlfn.ANCHORARRAY($V$10)</formula1>
    </dataValidation>
    <dataValidation type="list" allowBlank="1" showInputMessage="1" showErrorMessage="1" sqref="C4" xr:uid="{FB5B2720-21D4-4E76-AC67-36930A632DEF}">
      <formula1>_xlfn.ANCHORARRAY($X$10)</formula1>
    </dataValidation>
  </dataValidations>
  <hyperlinks>
    <hyperlink ref="F1" location="Menu!A1" display="Back to Menu" xr:uid="{F877DC31-DF00-4E6B-95DF-284B2096DBA0}"/>
    <hyperlink ref="H1" location="MyTasks!A1" display="My Tasks" xr:uid="{8631B89D-E6D3-486F-81A7-759A38BA2174}"/>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6017" r:id="rId4" name="Button 1">
              <controlPr defaultSize="0" print="0" autoFill="0" autoPict="0" macro="[0]!From_HistoryView_Goto_Update">
                <anchor moveWithCells="1">
                  <from>
                    <xdr:col>7</xdr:col>
                    <xdr:colOff>76200</xdr:colOff>
                    <xdr:row>4</xdr:row>
                    <xdr:rowOff>165100</xdr:rowOff>
                  </from>
                  <to>
                    <xdr:col>7</xdr:col>
                    <xdr:colOff>1022350</xdr:colOff>
                    <xdr:row>6</xdr:row>
                    <xdr:rowOff>69850</xdr:rowOff>
                  </to>
                </anchor>
              </controlPr>
            </control>
          </mc:Choice>
        </mc:AlternateContent>
        <mc:AlternateContent xmlns:mc="http://schemas.openxmlformats.org/markup-compatibility/2006">
          <mc:Choice Requires="x14">
            <control shapeId="86019" r:id="rId5" name="Button 3">
              <controlPr defaultSize="0" print="0" autoFill="0" autoPict="0" macro="[0]!Clear_HistoryView_All">
                <anchor moveWithCells="1">
                  <from>
                    <xdr:col>5</xdr:col>
                    <xdr:colOff>755650</xdr:colOff>
                    <xdr:row>4</xdr:row>
                    <xdr:rowOff>146050</xdr:rowOff>
                  </from>
                  <to>
                    <xdr:col>6</xdr:col>
                    <xdr:colOff>355600</xdr:colOff>
                    <xdr:row>6</xdr:row>
                    <xdr:rowOff>50800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1B5F42BC-67A9-4910-99E2-34F3112C2EC5}">
          <x14:formula1>
            <xm:f>'Lookup tables'!$N$2:$N$5</xm:f>
          </x14:formula1>
          <xm:sqref>C3</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34A8D9-6641-4381-A92E-11A88014041B}">
  <sheetPr codeName="Sheet18"/>
  <dimension ref="A1:Y229"/>
  <sheetViews>
    <sheetView showGridLines="0" zoomScaleNormal="100" workbookViewId="0">
      <selection activeCell="C3" sqref="C3"/>
    </sheetView>
  </sheetViews>
  <sheetFormatPr defaultRowHeight="14.45"/>
  <cols>
    <col min="1" max="1" width="2.42578125" customWidth="1"/>
    <col min="2" max="2" width="13.42578125" customWidth="1"/>
    <col min="3" max="3" width="15.7109375" customWidth="1"/>
    <col min="4" max="4" width="36.28515625" customWidth="1"/>
    <col min="5" max="5" width="12.42578125" customWidth="1"/>
    <col min="6" max="6" width="19.42578125" customWidth="1"/>
    <col min="7" max="7" width="13.42578125" customWidth="1"/>
    <col min="8" max="8" width="21.42578125" customWidth="1"/>
    <col min="9" max="9" width="19.42578125" customWidth="1"/>
    <col min="10" max="15" width="17.42578125" customWidth="1"/>
    <col min="16" max="16" width="20.42578125" customWidth="1"/>
    <col min="22" max="22" width="15.42578125" customWidth="1"/>
    <col min="23" max="23" width="13.28515625" customWidth="1"/>
  </cols>
  <sheetData>
    <row r="1" spans="1:25">
      <c r="A1" s="202"/>
      <c r="C1" s="289" t="s">
        <v>377</v>
      </c>
      <c r="D1" s="289"/>
      <c r="F1" s="188" t="s">
        <v>193</v>
      </c>
      <c r="P1" s="1" t="s">
        <v>378</v>
      </c>
    </row>
    <row r="2" spans="1:25">
      <c r="C2" s="7"/>
      <c r="D2" s="7"/>
      <c r="F2" s="1" t="s">
        <v>379</v>
      </c>
      <c r="P2" cm="1">
        <f t="array" ref="P2:Y2">TRANSPOSE(_xlfn._xlws.FILTER(_xlfn.UNIQUE(Q10:Q19),_xlfn.UNIQUE(Q10:Q19)&lt;&gt;0))</f>
        <v>3</v>
      </c>
      <c r="Q2">
        <v>2</v>
      </c>
      <c r="R2">
        <v>8</v>
      </c>
      <c r="S2">
        <v>26</v>
      </c>
      <c r="T2">
        <v>7</v>
      </c>
      <c r="U2">
        <v>10</v>
      </c>
      <c r="V2">
        <v>74</v>
      </c>
      <c r="W2">
        <v>76</v>
      </c>
      <c r="X2">
        <v>78</v>
      </c>
      <c r="Y2">
        <v>12</v>
      </c>
    </row>
    <row r="3" spans="1:25">
      <c r="B3" s="1" t="s">
        <v>380</v>
      </c>
      <c r="C3" s="247" t="s">
        <v>39</v>
      </c>
      <c r="D3" s="7"/>
      <c r="E3" s="155"/>
      <c r="F3" s="204">
        <f ca="1">NOW()</f>
        <v>44748.472848726851</v>
      </c>
      <c r="H3" s="205"/>
      <c r="P3" s="1" t="s">
        <v>381</v>
      </c>
    </row>
    <row r="4" spans="1:25" ht="15" thickBot="1">
      <c r="C4" s="30"/>
      <c r="P4" t="str" cm="1">
        <f t="array" ref="P4:Y4">TRANSPOSE(_xlfn._xlws.FILTER(_xlfn.UNIQUE($P$10:$P$19),_xlfn.UNIQUE($P$10:$P$19)&lt;&gt;0))</f>
        <v>SBU</v>
      </c>
      <c r="Q4" t="str">
        <v>Category</v>
      </c>
      <c r="R4" t="str">
        <v>Revised Award</v>
      </c>
      <c r="S4" t="str">
        <v>Current Phase</v>
      </c>
      <c r="T4" t="str">
        <v>Current Phase End</v>
      </c>
      <c r="U4" t="str">
        <v>Status</v>
      </c>
      <c r="V4" t="str">
        <v>Spend - ALL</v>
      </c>
      <c r="W4" t="str">
        <v>Spend - INTL</v>
      </c>
      <c r="X4" t="str">
        <v>Spend - WMUS-Sams</v>
      </c>
      <c r="Y4" t="str">
        <v>Primary Market Merchant</v>
      </c>
    </row>
    <row r="5" spans="1:25" ht="15" thickBot="1">
      <c r="B5" s="1" t="s">
        <v>382</v>
      </c>
      <c r="C5" s="206">
        <f ca="1">NOW()</f>
        <v>44748.472848726851</v>
      </c>
      <c r="E5" s="1"/>
    </row>
    <row r="6" spans="1:25" ht="15" thickBot="1">
      <c r="B6" s="1" t="s">
        <v>385</v>
      </c>
      <c r="C6" s="247" t="s">
        <v>396</v>
      </c>
      <c r="D6" s="7"/>
      <c r="E6" s="1"/>
      <c r="P6" s="1" t="s">
        <v>384</v>
      </c>
      <c r="Q6" s="1" t="s">
        <v>4</v>
      </c>
      <c r="R6" s="1" t="s">
        <v>326</v>
      </c>
    </row>
    <row r="7" spans="1:25">
      <c r="B7" s="1" t="s">
        <v>386</v>
      </c>
      <c r="C7" s="207">
        <f>IF(C11="Select Assignee and Season", 0, ROWS(_xlfn.ANCHORARRAY(C11)))</f>
        <v>1</v>
      </c>
      <c r="E7" s="208"/>
      <c r="P7" s="260" t="s">
        <v>397</v>
      </c>
      <c r="Q7" t="str">
        <f>_xlfn.XLOOKUP(P7,Table1[Category],Table1[SBU],FALSE)</f>
        <v>Food</v>
      </c>
      <c r="R7" t="b">
        <f>IF(Q7=FALSE,FALSE,TRUE)</f>
        <v>1</v>
      </c>
    </row>
    <row r="8" spans="1:25" ht="60" customHeight="1">
      <c r="B8" s="1"/>
      <c r="F8" s="209"/>
      <c r="H8" s="209" t="s">
        <v>388</v>
      </c>
      <c r="I8" s="209" t="s">
        <v>398</v>
      </c>
      <c r="P8" s="219" t="s">
        <v>389</v>
      </c>
    </row>
    <row r="9" spans="1:25" s="58" customFormat="1" ht="30" customHeight="1">
      <c r="C9" s="210" t="s">
        <v>390</v>
      </c>
      <c r="D9" s="211"/>
      <c r="E9" s="211"/>
      <c r="F9" s="211"/>
      <c r="G9" s="211"/>
      <c r="H9" s="211"/>
      <c r="I9" s="211"/>
      <c r="J9" s="211"/>
      <c r="K9" s="211"/>
      <c r="L9" s="211"/>
      <c r="P9" s="7" t="s">
        <v>391</v>
      </c>
      <c r="Q9" s="19"/>
      <c r="V9" s="218" t="s">
        <v>392</v>
      </c>
      <c r="W9" s="218" t="s">
        <v>393</v>
      </c>
    </row>
    <row r="10" spans="1:25" s="58" customFormat="1" ht="30" customHeight="1">
      <c r="C10" s="249" t="str" cm="1">
        <f t="array" ref="C10:L10">_xlfn.ANCHORARRAY(P4)</f>
        <v>SBU</v>
      </c>
      <c r="D10" s="249" t="str">
        <v>Category</v>
      </c>
      <c r="E10" s="249" t="str">
        <v>Revised Award</v>
      </c>
      <c r="F10" s="249" t="str">
        <v>Current Phase</v>
      </c>
      <c r="G10" s="249" t="str">
        <v>Current Phase End</v>
      </c>
      <c r="H10" s="249" t="str">
        <v>Status</v>
      </c>
      <c r="I10" s="249" t="str">
        <v>Spend - ALL</v>
      </c>
      <c r="J10" s="249" t="str">
        <v>Spend - INTL</v>
      </c>
      <c r="K10" s="249" t="str">
        <v>Spend - WMUS-Sams</v>
      </c>
      <c r="L10" s="249" t="str">
        <v>Primary Market Merchant</v>
      </c>
      <c r="M10" s="212"/>
      <c r="N10" s="212"/>
      <c r="O10" s="212"/>
      <c r="P10" s="203" t="s">
        <v>4</v>
      </c>
      <c r="Q10" s="19" cm="1">
        <f t="array" ref="Q10">_xlfn.XLOOKUP(P10,_xlfn.ANCHORARRAY($V$10),_xlfn.ANCHORARRAY($W$10),0)</f>
        <v>3</v>
      </c>
      <c r="R10" s="212"/>
      <c r="S10" s="212"/>
      <c r="T10" s="212"/>
      <c r="U10" s="212"/>
      <c r="V10" t="str" cm="1">
        <f t="array" ref="V10:V91">TRANSPOSE(Table1[#Headers])</f>
        <v>Sl No</v>
      </c>
      <c r="W10" cm="1">
        <f t="array" ref="W10:W91">_xlfn.SEQUENCE(ROWS(_xlfn.ANCHORARRAY(V10)))</f>
        <v>1</v>
      </c>
      <c r="X10" s="212"/>
    </row>
    <row r="11" spans="1:25" s="58" customFormat="1">
      <c r="C11" s="213" t="str" cm="1">
        <f t="array" ref="C11">IF(C6="","",_xlfn._xlws.FILTER(INDEX(Table1[#Data],_xlfn.SEQUENCE(ROWS(Table1[#Data])),_xlfn.ANCHORARRAY(P2)),(Table1[Execution Year]=$C$3)*(Table1[Most curent]=TRUE)*(Table1[US Lead]=$C$6)*(Table1[Status]&lt;&gt;"Cancelled"),"No Data"))</f>
        <v>No Data</v>
      </c>
      <c r="D11" s="214"/>
      <c r="E11" s="250"/>
      <c r="F11" s="252"/>
      <c r="G11" s="250"/>
      <c r="H11" s="251"/>
      <c r="I11" s="220"/>
      <c r="J11" s="220"/>
      <c r="K11" s="220"/>
      <c r="L11" s="214"/>
      <c r="P11" s="203" t="s">
        <v>1</v>
      </c>
      <c r="Q11" s="19" cm="1">
        <f t="array" ref="Q11">_xlfn.XLOOKUP(P11,_xlfn.ANCHORARRAY($V$10),_xlfn.ANCHORARRAY($W$10),0)</f>
        <v>2</v>
      </c>
      <c r="V11" s="58" t="str">
        <v>Category</v>
      </c>
      <c r="W11" s="58">
        <v>2</v>
      </c>
    </row>
    <row r="12" spans="1:25" s="58" customFormat="1">
      <c r="C12" s="213"/>
      <c r="D12" s="214"/>
      <c r="E12" s="250"/>
      <c r="F12" s="252"/>
      <c r="G12" s="250"/>
      <c r="H12" s="251"/>
      <c r="I12" s="220"/>
      <c r="J12" s="220"/>
      <c r="K12" s="220"/>
      <c r="L12" s="214"/>
      <c r="P12" s="203" t="s">
        <v>219</v>
      </c>
      <c r="Q12" s="19" cm="1">
        <f t="array" ref="Q12">_xlfn.XLOOKUP(P12,_xlfn.ANCHORARRAY($V$10),_xlfn.ANCHORARRAY($W$10),0)</f>
        <v>8</v>
      </c>
      <c r="V12" s="58" t="str">
        <v>SBU</v>
      </c>
      <c r="W12" s="58">
        <v>3</v>
      </c>
    </row>
    <row r="13" spans="1:25" s="58" customFormat="1">
      <c r="C13" s="213"/>
      <c r="D13" s="214"/>
      <c r="E13" s="250"/>
      <c r="F13" s="252"/>
      <c r="G13" s="250"/>
      <c r="H13" s="251"/>
      <c r="I13" s="220"/>
      <c r="J13" s="220"/>
      <c r="K13" s="220"/>
      <c r="L13" s="214"/>
      <c r="P13" s="203" t="s">
        <v>220</v>
      </c>
      <c r="Q13" s="19" cm="1">
        <f t="array" ref="Q13">_xlfn.XLOOKUP(P13,_xlfn.ANCHORARRAY($V$10),_xlfn.ANCHORARRAY($W$10),0)</f>
        <v>26</v>
      </c>
      <c r="V13" s="58" t="str">
        <v>Execution Year</v>
      </c>
      <c r="W13" s="58">
        <v>4</v>
      </c>
    </row>
    <row r="14" spans="1:25" s="58" customFormat="1">
      <c r="C14" s="213"/>
      <c r="E14" s="250"/>
      <c r="F14" s="252"/>
      <c r="G14" s="250"/>
      <c r="H14" s="251"/>
      <c r="I14" s="220"/>
      <c r="J14" s="220"/>
      <c r="K14" s="220"/>
      <c r="L14" s="214"/>
      <c r="P14" s="203" t="s">
        <v>218</v>
      </c>
      <c r="Q14" s="19" cm="1">
        <f t="array" ref="Q14">_xlfn.XLOOKUP(P14,_xlfn.ANCHORARRAY($V$10),_xlfn.ANCHORARRAY($W$10),0)</f>
        <v>7</v>
      </c>
      <c r="V14" s="58" t="str">
        <v>Planned Start</v>
      </c>
      <c r="W14" s="58">
        <v>5</v>
      </c>
    </row>
    <row r="15" spans="1:25" s="58" customFormat="1">
      <c r="C15" s="213"/>
      <c r="E15" s="250"/>
      <c r="F15" s="252"/>
      <c r="G15" s="250"/>
      <c r="H15" s="251"/>
      <c r="I15" s="220"/>
      <c r="J15" s="220"/>
      <c r="K15" s="220"/>
      <c r="L15" s="214"/>
      <c r="P15" s="203" t="s">
        <v>166</v>
      </c>
      <c r="Q15" s="19" cm="1">
        <f t="array" ref="Q15">_xlfn.XLOOKUP(P15,_xlfn.ANCHORARRAY($V$10),_xlfn.ANCHORARRAY($W$10),0)</f>
        <v>10</v>
      </c>
      <c r="V15" s="58" t="str">
        <v>Planned Award</v>
      </c>
      <c r="W15" s="58">
        <v>6</v>
      </c>
    </row>
    <row r="16" spans="1:25" ht="29.1">
      <c r="C16" s="213"/>
      <c r="D16" s="58"/>
      <c r="E16" s="250"/>
      <c r="F16" s="252"/>
      <c r="G16" s="250"/>
      <c r="H16" s="251"/>
      <c r="I16" s="220"/>
      <c r="J16" s="220"/>
      <c r="K16" s="220"/>
      <c r="L16" s="214"/>
      <c r="P16" s="203" t="s">
        <v>399</v>
      </c>
      <c r="Q16" s="19" cm="1">
        <f t="array" ref="Q16">_xlfn.XLOOKUP(P16,_xlfn.ANCHORARRAY($V$10),_xlfn.ANCHORARRAY($W$10),0)</f>
        <v>74</v>
      </c>
      <c r="R16" s="58"/>
      <c r="S16" s="58"/>
      <c r="T16" s="58"/>
      <c r="U16" s="58"/>
      <c r="V16" s="58" t="str">
        <v>Current Phase End</v>
      </c>
      <c r="W16" s="58">
        <v>7</v>
      </c>
      <c r="X16" s="58"/>
    </row>
    <row r="17" spans="3:23">
      <c r="C17" s="213"/>
      <c r="D17" s="58"/>
      <c r="E17" s="250"/>
      <c r="F17" s="252"/>
      <c r="G17" s="250"/>
      <c r="H17" s="251"/>
      <c r="I17" s="220"/>
      <c r="J17" s="220"/>
      <c r="K17" s="220"/>
      <c r="L17" s="214"/>
      <c r="P17" s="203" t="s">
        <v>400</v>
      </c>
      <c r="Q17" s="19" cm="1">
        <f t="array" ref="Q17">_xlfn.XLOOKUP(P17,_xlfn.ANCHORARRAY($V$10),_xlfn.ANCHORARRAY($W$10),0)</f>
        <v>76</v>
      </c>
      <c r="V17" t="str">
        <v>Revised Award</v>
      </c>
      <c r="W17">
        <v>8</v>
      </c>
    </row>
    <row r="18" spans="3:23">
      <c r="C18" s="213"/>
      <c r="D18" s="58"/>
      <c r="E18" s="250"/>
      <c r="F18" s="252"/>
      <c r="G18" s="250"/>
      <c r="H18" s="251"/>
      <c r="I18" s="220"/>
      <c r="J18" s="220"/>
      <c r="K18" s="220"/>
      <c r="L18" s="214"/>
      <c r="P18" s="203" t="s">
        <v>401</v>
      </c>
      <c r="Q18" s="19" cm="1">
        <f t="array" ref="Q18">_xlfn.XLOOKUP(P18,_xlfn.ANCHORARRAY($V$10),_xlfn.ANCHORARRAY($W$10),0)</f>
        <v>78</v>
      </c>
      <c r="V18" t="str">
        <v>Phase</v>
      </c>
      <c r="W18">
        <v>9</v>
      </c>
    </row>
    <row r="19" spans="3:23">
      <c r="C19" s="213"/>
      <c r="D19" s="58"/>
      <c r="E19" s="250"/>
      <c r="F19" s="252"/>
      <c r="G19" s="250"/>
      <c r="H19" s="251"/>
      <c r="I19" s="220"/>
      <c r="J19" s="220"/>
      <c r="K19" s="220"/>
      <c r="L19" s="214"/>
      <c r="P19" s="203" t="s">
        <v>209</v>
      </c>
      <c r="Q19" s="19" cm="1">
        <f t="array" ref="Q19">_xlfn.XLOOKUP(P19,_xlfn.ANCHORARRAY($V$10),_xlfn.ANCHORARRAY($W$10),0)</f>
        <v>12</v>
      </c>
      <c r="V19" t="str">
        <v>Status</v>
      </c>
      <c r="W19">
        <v>10</v>
      </c>
    </row>
    <row r="20" spans="3:23">
      <c r="C20" s="213"/>
      <c r="D20" s="58"/>
      <c r="E20" s="250"/>
      <c r="F20" s="252"/>
      <c r="G20" s="250"/>
      <c r="H20" s="251"/>
      <c r="I20" s="214"/>
      <c r="J20" s="220"/>
      <c r="K20" s="220"/>
      <c r="L20" s="214"/>
      <c r="V20" t="str">
        <v>US Lead</v>
      </c>
      <c r="W20">
        <v>11</v>
      </c>
    </row>
    <row r="21" spans="3:23">
      <c r="C21" s="213"/>
      <c r="D21" s="58"/>
      <c r="E21" s="250"/>
      <c r="F21" s="252"/>
      <c r="G21" s="250"/>
      <c r="H21" s="251"/>
      <c r="I21" s="214"/>
      <c r="J21" s="220"/>
      <c r="K21" s="220"/>
      <c r="L21" s="214"/>
      <c r="V21" t="str">
        <v>Primary Market Merchant</v>
      </c>
      <c r="W21">
        <v>12</v>
      </c>
    </row>
    <row r="22" spans="3:23">
      <c r="C22" s="213"/>
      <c r="D22" s="58"/>
      <c r="E22" s="250"/>
      <c r="F22" s="252"/>
      <c r="G22" s="250"/>
      <c r="H22" s="251"/>
      <c r="I22" s="214"/>
      <c r="J22" s="220"/>
      <c r="K22" s="220"/>
      <c r="L22" s="214"/>
      <c r="V22" t="str">
        <v>Spend - CAN</v>
      </c>
      <c r="W22">
        <v>13</v>
      </c>
    </row>
    <row r="23" spans="3:23">
      <c r="C23" s="213"/>
      <c r="D23" s="58"/>
      <c r="E23" s="250"/>
      <c r="F23" s="252"/>
      <c r="G23" s="250"/>
      <c r="H23" s="251"/>
      <c r="I23" s="214"/>
      <c r="J23" s="220"/>
      <c r="K23" s="220"/>
      <c r="L23" s="214"/>
      <c r="V23" t="str">
        <v>Spend - MEX</v>
      </c>
      <c r="W23">
        <v>14</v>
      </c>
    </row>
    <row r="24" spans="3:23">
      <c r="C24" s="213"/>
      <c r="D24" s="58"/>
      <c r="E24" s="250"/>
      <c r="F24" s="252"/>
      <c r="G24" s="250"/>
      <c r="H24" s="251"/>
      <c r="I24" s="214"/>
      <c r="J24" s="220"/>
      <c r="K24" s="220"/>
      <c r="L24" s="214"/>
      <c r="V24" t="str">
        <v>Spend - CAM</v>
      </c>
      <c r="W24">
        <v>15</v>
      </c>
    </row>
    <row r="25" spans="3:23">
      <c r="C25" s="213"/>
      <c r="D25" s="58"/>
      <c r="E25" s="250"/>
      <c r="F25" s="252"/>
      <c r="G25" s="250"/>
      <c r="H25" s="251"/>
      <c r="I25" s="214"/>
      <c r="J25" s="220"/>
      <c r="K25" s="220"/>
      <c r="L25" s="214"/>
      <c r="V25" t="str">
        <v>Spend - CHL</v>
      </c>
      <c r="W25">
        <v>16</v>
      </c>
    </row>
    <row r="26" spans="3:23">
      <c r="C26" s="213"/>
      <c r="D26" s="58"/>
      <c r="E26" s="250"/>
      <c r="F26" s="252"/>
      <c r="G26" s="250"/>
      <c r="H26" s="251"/>
      <c r="I26" s="214"/>
      <c r="J26" s="220"/>
      <c r="K26" s="220"/>
      <c r="L26" s="214"/>
      <c r="V26" t="str">
        <v>Spend - ARG</v>
      </c>
      <c r="W26">
        <v>17</v>
      </c>
    </row>
    <row r="27" spans="3:23">
      <c r="C27" s="213"/>
      <c r="D27" s="58"/>
      <c r="E27" s="250"/>
      <c r="F27" s="252"/>
      <c r="G27" s="250"/>
      <c r="H27" s="251"/>
      <c r="I27" s="214"/>
      <c r="J27" s="220"/>
      <c r="K27" s="220"/>
      <c r="L27" s="214"/>
      <c r="V27" t="str">
        <v>Spend - CHN</v>
      </c>
      <c r="W27">
        <v>18</v>
      </c>
    </row>
    <row r="28" spans="3:23">
      <c r="C28" s="213"/>
      <c r="D28" s="58"/>
      <c r="E28" s="250"/>
      <c r="F28" s="252"/>
      <c r="G28" s="250"/>
      <c r="H28" s="251"/>
      <c r="I28" s="214"/>
      <c r="J28" s="220"/>
      <c r="K28" s="220"/>
      <c r="L28" s="214"/>
      <c r="V28" t="str">
        <v>Spend - JAP</v>
      </c>
      <c r="W28">
        <v>19</v>
      </c>
    </row>
    <row r="29" spans="3:23">
      <c r="C29" s="213"/>
      <c r="D29" s="58"/>
      <c r="E29" s="250"/>
      <c r="F29" s="252"/>
      <c r="G29" s="250"/>
      <c r="H29" s="251"/>
      <c r="I29" s="214"/>
      <c r="J29" s="220"/>
      <c r="K29" s="220"/>
      <c r="L29" s="214"/>
      <c r="V29" t="str">
        <v>Spend - UKN</v>
      </c>
      <c r="W29">
        <v>20</v>
      </c>
    </row>
    <row r="30" spans="3:23">
      <c r="C30" s="213"/>
      <c r="D30" s="58"/>
      <c r="E30" s="250"/>
      <c r="F30" s="252"/>
      <c r="G30" s="250"/>
      <c r="H30" s="251"/>
      <c r="I30" s="214"/>
      <c r="J30" s="220"/>
      <c r="K30" s="220"/>
      <c r="L30" s="214"/>
      <c r="V30" t="str">
        <v>Spend - SAF</v>
      </c>
      <c r="W30">
        <v>21</v>
      </c>
    </row>
    <row r="31" spans="3:23">
      <c r="C31" s="213"/>
      <c r="D31" s="58"/>
      <c r="E31" s="250"/>
      <c r="F31" s="217"/>
      <c r="G31" s="250"/>
      <c r="H31" s="251"/>
      <c r="I31" s="214"/>
      <c r="J31" s="220"/>
      <c r="K31" s="220"/>
      <c r="L31" s="214"/>
      <c r="V31" t="str">
        <v>Spend - US</v>
      </c>
      <c r="W31">
        <v>22</v>
      </c>
    </row>
    <row r="32" spans="3:23">
      <c r="C32" s="213"/>
      <c r="D32" s="58"/>
      <c r="E32" s="250"/>
      <c r="F32" s="217"/>
      <c r="G32" s="250"/>
      <c r="H32" s="251"/>
      <c r="I32" s="214"/>
      <c r="J32" s="220"/>
      <c r="K32" s="220"/>
      <c r="L32" s="214"/>
      <c r="V32" t="str">
        <v>Spend - Sams</v>
      </c>
      <c r="W32">
        <v>23</v>
      </c>
    </row>
    <row r="33" spans="3:23">
      <c r="C33" s="213"/>
      <c r="D33" s="58"/>
      <c r="E33" s="222"/>
      <c r="F33" s="217"/>
      <c r="G33" s="250"/>
      <c r="H33" s="251"/>
      <c r="I33" s="214"/>
      <c r="J33" s="220"/>
      <c r="K33" s="220"/>
      <c r="L33" s="214"/>
      <c r="V33" t="str">
        <v>Updated by</v>
      </c>
      <c r="W33">
        <v>24</v>
      </c>
    </row>
    <row r="34" spans="3:23">
      <c r="C34" s="213"/>
      <c r="D34" s="58"/>
      <c r="E34" s="222"/>
      <c r="F34" s="217"/>
      <c r="G34" s="222"/>
      <c r="H34" s="251"/>
      <c r="I34" s="214"/>
      <c r="J34" s="220"/>
      <c r="K34" s="220"/>
      <c r="L34" s="214"/>
      <c r="V34" t="str">
        <v>Update Time</v>
      </c>
      <c r="W34">
        <v>25</v>
      </c>
    </row>
    <row r="35" spans="3:23">
      <c r="C35" s="213"/>
      <c r="D35" s="58"/>
      <c r="E35" s="222"/>
      <c r="F35" s="217"/>
      <c r="G35" s="222"/>
      <c r="H35" s="251"/>
      <c r="I35" s="214"/>
      <c r="J35" s="220"/>
      <c r="K35" s="220"/>
      <c r="L35" s="214"/>
      <c r="V35" t="str">
        <v>Current Phase</v>
      </c>
      <c r="W35">
        <v>26</v>
      </c>
    </row>
    <row r="36" spans="3:23">
      <c r="C36" s="213"/>
      <c r="D36" s="58"/>
      <c r="E36" s="222"/>
      <c r="F36" s="217"/>
      <c r="G36" s="222"/>
      <c r="H36" s="251"/>
      <c r="I36" s="214"/>
      <c r="J36" s="220"/>
      <c r="K36" s="220"/>
      <c r="L36" s="214"/>
      <c r="V36" t="str">
        <v>Remarks</v>
      </c>
      <c r="W36">
        <v>27</v>
      </c>
    </row>
    <row r="37" spans="3:23">
      <c r="C37" s="213"/>
      <c r="D37" s="58"/>
      <c r="E37" s="222"/>
      <c r="F37" s="217"/>
      <c r="G37" s="222"/>
      <c r="H37" s="251"/>
      <c r="I37" s="214"/>
      <c r="J37" s="220"/>
      <c r="K37" s="220"/>
      <c r="L37" s="214"/>
      <c r="V37" t="str">
        <v>Savings - CAN</v>
      </c>
      <c r="W37">
        <v>28</v>
      </c>
    </row>
    <row r="38" spans="3:23">
      <c r="C38" s="213"/>
      <c r="D38" s="58"/>
      <c r="E38" s="222"/>
      <c r="F38" s="217"/>
      <c r="G38" s="222"/>
      <c r="H38" s="251"/>
      <c r="I38" s="214"/>
      <c r="J38" s="220"/>
      <c r="K38" s="220"/>
      <c r="L38" s="214"/>
      <c r="V38" t="str">
        <v>Savings - MEX</v>
      </c>
      <c r="W38">
        <v>29</v>
      </c>
    </row>
    <row r="39" spans="3:23">
      <c r="C39" s="213"/>
      <c r="D39" s="58"/>
      <c r="E39" s="222"/>
      <c r="F39" s="217"/>
      <c r="G39" s="222"/>
      <c r="H39" s="214"/>
      <c r="I39" s="214"/>
      <c r="K39" s="220"/>
      <c r="L39" s="214"/>
      <c r="V39" t="str">
        <v>Savings - CAM</v>
      </c>
      <c r="W39">
        <v>30</v>
      </c>
    </row>
    <row r="40" spans="3:23">
      <c r="C40" s="213"/>
      <c r="D40" s="58"/>
      <c r="E40" s="222"/>
      <c r="F40" s="217"/>
      <c r="G40" s="222"/>
      <c r="H40" s="214"/>
      <c r="I40" s="214"/>
      <c r="K40" s="220"/>
      <c r="L40" s="214"/>
      <c r="V40" t="str">
        <v>Savings - CHL</v>
      </c>
      <c r="W40">
        <v>31</v>
      </c>
    </row>
    <row r="41" spans="3:23">
      <c r="C41" s="213"/>
      <c r="D41" s="58"/>
      <c r="E41" s="222"/>
      <c r="F41" s="217"/>
      <c r="G41" s="222"/>
      <c r="H41" s="214"/>
      <c r="I41" s="214"/>
      <c r="K41" s="220"/>
      <c r="L41" s="214"/>
      <c r="V41" t="str">
        <v>Savings - ARG</v>
      </c>
      <c r="W41">
        <v>32</v>
      </c>
    </row>
    <row r="42" spans="3:23">
      <c r="C42" s="213"/>
      <c r="D42" s="58"/>
      <c r="E42" s="222"/>
      <c r="F42" s="217"/>
      <c r="G42" s="222"/>
      <c r="H42" s="214"/>
      <c r="I42" s="214"/>
      <c r="K42" s="220"/>
      <c r="L42" s="214"/>
      <c r="V42" t="str">
        <v>Savings - CHN</v>
      </c>
      <c r="W42">
        <v>33</v>
      </c>
    </row>
    <row r="43" spans="3:23">
      <c r="C43" s="213"/>
      <c r="D43" s="58"/>
      <c r="E43" s="222"/>
      <c r="F43" s="217"/>
      <c r="G43" s="222"/>
      <c r="H43" s="214"/>
      <c r="I43" s="214"/>
      <c r="L43" s="214"/>
      <c r="V43" t="str">
        <v>Savings - JAP</v>
      </c>
      <c r="W43">
        <v>34</v>
      </c>
    </row>
    <row r="44" spans="3:23">
      <c r="C44" s="213"/>
      <c r="D44" s="58"/>
      <c r="E44" s="222"/>
      <c r="F44" s="217"/>
      <c r="G44" s="222"/>
      <c r="H44" s="214"/>
      <c r="I44" s="214"/>
      <c r="L44" s="214"/>
      <c r="V44" t="str">
        <v>Savings - UKN</v>
      </c>
      <c r="W44">
        <v>35</v>
      </c>
    </row>
    <row r="45" spans="3:23">
      <c r="C45" s="213"/>
      <c r="D45" s="58"/>
      <c r="E45" s="222"/>
      <c r="F45" s="217"/>
      <c r="G45" s="222"/>
      <c r="H45" s="214"/>
      <c r="I45" s="214"/>
      <c r="L45" s="214"/>
      <c r="V45" t="str">
        <v>Savings - SAF</v>
      </c>
      <c r="W45">
        <v>36</v>
      </c>
    </row>
    <row r="46" spans="3:23">
      <c r="C46" s="213"/>
      <c r="D46" s="58"/>
      <c r="E46" s="222"/>
      <c r="F46" s="217"/>
      <c r="G46" s="222"/>
      <c r="H46" s="214"/>
      <c r="I46" s="214"/>
      <c r="L46" s="214"/>
      <c r="V46" t="str">
        <v>Savings - US</v>
      </c>
      <c r="W46">
        <v>37</v>
      </c>
    </row>
    <row r="47" spans="3:23">
      <c r="C47" s="213"/>
      <c r="D47" s="58"/>
      <c r="E47" s="222"/>
      <c r="F47" s="217"/>
      <c r="G47" s="222"/>
      <c r="H47" s="214"/>
      <c r="I47" s="214"/>
      <c r="L47" s="214"/>
      <c r="V47" t="str">
        <v>Savings - Sams</v>
      </c>
      <c r="W47">
        <v>38</v>
      </c>
    </row>
    <row r="48" spans="3:23">
      <c r="C48" s="213"/>
      <c r="D48" s="58"/>
      <c r="E48" s="222"/>
      <c r="F48" s="217"/>
      <c r="G48" s="222"/>
      <c r="H48" s="214"/>
      <c r="I48" s="214"/>
      <c r="L48" s="214"/>
      <c r="V48" t="str">
        <v>Cost Avoidance - CAN2</v>
      </c>
      <c r="W48">
        <v>39</v>
      </c>
    </row>
    <row r="49" spans="3:23">
      <c r="C49" s="213"/>
      <c r="D49" s="58"/>
      <c r="E49" s="222"/>
      <c r="F49" s="217"/>
      <c r="G49" s="222"/>
      <c r="H49" s="214"/>
      <c r="I49" s="214"/>
      <c r="L49" s="214"/>
      <c r="V49" t="str">
        <v>Cost Avoidance - MEX3</v>
      </c>
      <c r="W49">
        <v>40</v>
      </c>
    </row>
    <row r="50" spans="3:23">
      <c r="C50" s="213"/>
      <c r="D50" s="58"/>
      <c r="E50" s="222"/>
      <c r="F50" s="217"/>
      <c r="G50" s="222"/>
      <c r="H50" s="214"/>
      <c r="I50" s="214"/>
      <c r="L50" s="214"/>
      <c r="V50" t="str">
        <v>Cost Avoidance - CAM4</v>
      </c>
      <c r="W50">
        <v>41</v>
      </c>
    </row>
    <row r="51" spans="3:23">
      <c r="C51" s="213"/>
      <c r="D51" s="58"/>
      <c r="E51" s="222"/>
      <c r="F51" s="217"/>
      <c r="G51" s="222"/>
      <c r="H51" s="214"/>
      <c r="I51" s="214"/>
      <c r="L51" s="214"/>
      <c r="V51" t="str">
        <v>Cost Avoidance - CHL5</v>
      </c>
      <c r="W51">
        <v>42</v>
      </c>
    </row>
    <row r="52" spans="3:23">
      <c r="C52" s="213"/>
      <c r="D52" s="58"/>
      <c r="E52" s="217"/>
      <c r="F52" s="217"/>
      <c r="G52" s="58"/>
      <c r="H52" s="214"/>
      <c r="I52" s="214"/>
      <c r="L52" s="214"/>
      <c r="V52" t="str">
        <v>Cost Avoidance - ARG6</v>
      </c>
      <c r="W52">
        <v>43</v>
      </c>
    </row>
    <row r="53" spans="3:23">
      <c r="C53" s="213"/>
      <c r="D53" s="58"/>
      <c r="E53" s="217"/>
      <c r="F53" s="217"/>
      <c r="G53" s="58"/>
      <c r="H53" s="214"/>
      <c r="I53" s="214"/>
      <c r="L53" s="214"/>
      <c r="V53" t="str">
        <v>Cost Avoidance - CHN7</v>
      </c>
      <c r="W53">
        <v>44</v>
      </c>
    </row>
    <row r="54" spans="3:23">
      <c r="C54" s="213"/>
      <c r="D54" s="58"/>
      <c r="E54" s="217"/>
      <c r="F54" s="217"/>
      <c r="G54" s="58"/>
      <c r="H54" s="214"/>
      <c r="I54" s="214"/>
      <c r="L54" s="214"/>
      <c r="V54" t="str">
        <v>Cost Avoidance - JAP8</v>
      </c>
      <c r="W54">
        <v>45</v>
      </c>
    </row>
    <row r="55" spans="3:23">
      <c r="C55" s="213"/>
      <c r="D55" s="58"/>
      <c r="E55" s="217"/>
      <c r="F55" s="217"/>
      <c r="G55" s="58"/>
      <c r="H55" s="214"/>
      <c r="I55" s="214"/>
      <c r="L55" s="214"/>
      <c r="V55" t="str">
        <v>Cost Avoidance - UKN9</v>
      </c>
      <c r="W55">
        <v>46</v>
      </c>
    </row>
    <row r="56" spans="3:23">
      <c r="C56" s="213"/>
      <c r="D56" s="58"/>
      <c r="E56" s="217"/>
      <c r="F56" s="217"/>
      <c r="G56" s="58"/>
      <c r="H56" s="214"/>
      <c r="I56" s="214"/>
      <c r="L56" s="214"/>
      <c r="V56" t="str">
        <v>Cost Avoidance - SAF10</v>
      </c>
      <c r="W56">
        <v>47</v>
      </c>
    </row>
    <row r="57" spans="3:23">
      <c r="C57" s="213"/>
      <c r="D57" s="58"/>
      <c r="E57" s="217"/>
      <c r="F57" s="217"/>
      <c r="G57" s="58"/>
      <c r="H57" s="214"/>
      <c r="I57" s="214"/>
      <c r="L57" s="214"/>
      <c r="V57" t="str">
        <v>Cost Avoidance - US11</v>
      </c>
      <c r="W57">
        <v>48</v>
      </c>
    </row>
    <row r="58" spans="3:23">
      <c r="C58" s="213"/>
      <c r="D58" s="58"/>
      <c r="E58" s="217"/>
      <c r="F58" s="217"/>
      <c r="G58" s="58"/>
      <c r="H58" s="214"/>
      <c r="I58" s="214"/>
      <c r="L58" s="214"/>
      <c r="V58" t="str">
        <v>Cost Avoidance - Sams12</v>
      </c>
      <c r="W58">
        <v>49</v>
      </c>
    </row>
    <row r="59" spans="3:23">
      <c r="C59" s="213"/>
      <c r="D59" s="58"/>
      <c r="E59" s="217"/>
      <c r="F59" s="217"/>
      <c r="G59" s="58"/>
      <c r="H59" s="214"/>
      <c r="I59" s="214"/>
      <c r="L59" s="214"/>
      <c r="V59" t="str">
        <v>Spend - Sams Mexico</v>
      </c>
      <c r="W59">
        <v>50</v>
      </c>
    </row>
    <row r="60" spans="3:23">
      <c r="C60" s="213"/>
      <c r="D60" s="58"/>
      <c r="E60" s="217"/>
      <c r="F60" s="217"/>
      <c r="G60" s="58"/>
      <c r="H60" s="214"/>
      <c r="I60" s="214"/>
      <c r="L60" s="214"/>
      <c r="V60" t="str">
        <v>Spend - Sams China</v>
      </c>
      <c r="W60">
        <v>51</v>
      </c>
    </row>
    <row r="61" spans="3:23">
      <c r="C61" s="213"/>
      <c r="D61" s="58"/>
      <c r="E61" s="217"/>
      <c r="F61" s="217"/>
      <c r="G61" s="58"/>
      <c r="H61" s="214"/>
      <c r="I61" s="214"/>
      <c r="L61" s="214"/>
      <c r="V61" t="str">
        <v>Savings - Sams Mexico</v>
      </c>
      <c r="W61">
        <v>52</v>
      </c>
    </row>
    <row r="62" spans="3:23">
      <c r="C62" s="213"/>
      <c r="D62" s="58"/>
      <c r="E62" s="217"/>
      <c r="F62" s="217"/>
      <c r="G62" s="58"/>
      <c r="H62" s="214"/>
      <c r="I62" s="214"/>
      <c r="L62" s="214"/>
      <c r="V62" t="str">
        <v>Savings - Sams China</v>
      </c>
      <c r="W62">
        <v>53</v>
      </c>
    </row>
    <row r="63" spans="3:23">
      <c r="C63" s="213"/>
      <c r="D63" s="58"/>
      <c r="E63" s="217"/>
      <c r="F63" s="217"/>
      <c r="G63" s="58"/>
      <c r="H63" s="214"/>
      <c r="I63" s="214"/>
      <c r="L63" s="214"/>
      <c r="V63" t="str">
        <v>Cost Avoidance - Sams Mexico</v>
      </c>
      <c r="W63">
        <v>54</v>
      </c>
    </row>
    <row r="64" spans="3:23">
      <c r="C64" s="213"/>
      <c r="D64" s="58"/>
      <c r="E64" s="217"/>
      <c r="F64" s="217"/>
      <c r="G64" s="58"/>
      <c r="H64" s="214"/>
      <c r="I64" s="214"/>
      <c r="L64" s="214"/>
      <c r="V64" t="str">
        <v>Cost Avoidance - Sams China</v>
      </c>
      <c r="W64">
        <v>55</v>
      </c>
    </row>
    <row r="65" spans="3:23">
      <c r="C65" s="213"/>
      <c r="D65" s="58"/>
      <c r="E65" s="217"/>
      <c r="F65" s="217"/>
      <c r="G65" s="58"/>
      <c r="H65" s="214"/>
      <c r="I65" s="214"/>
      <c r="L65" s="214"/>
      <c r="V65" t="str">
        <v>Spend - IND</v>
      </c>
      <c r="W65">
        <v>56</v>
      </c>
    </row>
    <row r="66" spans="3:23">
      <c r="C66" s="213"/>
      <c r="D66" s="58"/>
      <c r="E66" s="217"/>
      <c r="F66" s="217"/>
      <c r="G66" s="58"/>
      <c r="H66" s="214"/>
      <c r="I66" s="214"/>
      <c r="L66" s="214"/>
      <c r="V66" t="str">
        <v>Savings - IND</v>
      </c>
      <c r="W66">
        <v>57</v>
      </c>
    </row>
    <row r="67" spans="3:23">
      <c r="C67" s="213"/>
      <c r="D67" s="58"/>
      <c r="E67" s="217"/>
      <c r="F67" s="217"/>
      <c r="G67" s="58"/>
      <c r="H67" s="214"/>
      <c r="I67" s="214"/>
      <c r="L67" s="214"/>
      <c r="V67" t="str">
        <v>Cost Avoidance - IND</v>
      </c>
      <c r="W67">
        <v>58</v>
      </c>
    </row>
    <row r="68" spans="3:23">
      <c r="C68" s="213"/>
      <c r="D68" s="58"/>
      <c r="E68" s="217"/>
      <c r="F68" s="217"/>
      <c r="G68" s="58"/>
      <c r="H68" s="214"/>
      <c r="I68" s="214"/>
      <c r="L68" s="214"/>
      <c r="V68" t="str">
        <v>Start Date - CAN</v>
      </c>
      <c r="W68">
        <v>59</v>
      </c>
    </row>
    <row r="69" spans="3:23">
      <c r="C69" s="213"/>
      <c r="D69" s="58"/>
      <c r="E69" s="217"/>
      <c r="F69" s="217"/>
      <c r="G69" s="58"/>
      <c r="H69" s="214"/>
      <c r="I69" s="214"/>
      <c r="L69" s="214"/>
      <c r="V69" t="str">
        <v>Start Date - MEX</v>
      </c>
      <c r="W69">
        <v>60</v>
      </c>
    </row>
    <row r="70" spans="3:23">
      <c r="C70" s="213"/>
      <c r="D70" s="58"/>
      <c r="E70" s="217"/>
      <c r="F70" s="217"/>
      <c r="G70" s="58"/>
      <c r="H70" s="214"/>
      <c r="I70" s="214"/>
      <c r="L70" s="214"/>
      <c r="V70" t="str">
        <v>Start Date - CAM</v>
      </c>
      <c r="W70">
        <v>61</v>
      </c>
    </row>
    <row r="71" spans="3:23">
      <c r="C71" s="213"/>
      <c r="D71" s="58"/>
      <c r="E71" s="217"/>
      <c r="F71" s="217"/>
      <c r="G71" s="58"/>
      <c r="H71" s="214"/>
      <c r="I71" s="214"/>
      <c r="L71" s="214"/>
      <c r="V71" t="str">
        <v>Start Date - CHL</v>
      </c>
      <c r="W71">
        <v>62</v>
      </c>
    </row>
    <row r="72" spans="3:23">
      <c r="C72" s="213"/>
      <c r="D72" s="58"/>
      <c r="E72" s="217"/>
      <c r="F72" s="217"/>
      <c r="G72" s="58"/>
      <c r="H72" s="214"/>
      <c r="I72" s="214"/>
      <c r="L72" s="214"/>
      <c r="V72" t="str">
        <v>Start Date - ARG</v>
      </c>
      <c r="W72">
        <v>63</v>
      </c>
    </row>
    <row r="73" spans="3:23">
      <c r="C73" s="213"/>
      <c r="D73" s="58"/>
      <c r="E73" s="217"/>
      <c r="F73" s="217"/>
      <c r="G73" s="58"/>
      <c r="H73" s="214"/>
      <c r="I73" s="214"/>
      <c r="L73" s="214"/>
      <c r="V73" t="str">
        <v>Start Date - CHN</v>
      </c>
      <c r="W73">
        <v>64</v>
      </c>
    </row>
    <row r="74" spans="3:23">
      <c r="C74" s="213"/>
      <c r="D74" s="58"/>
      <c r="E74" s="217"/>
      <c r="F74" s="217"/>
      <c r="G74" s="58"/>
      <c r="H74" s="214"/>
      <c r="I74" s="214"/>
      <c r="L74" s="214"/>
      <c r="V74" t="str">
        <v>Start Date - JAP</v>
      </c>
      <c r="W74">
        <v>65</v>
      </c>
    </row>
    <row r="75" spans="3:23">
      <c r="C75" s="213"/>
      <c r="D75" s="58"/>
      <c r="E75" s="217"/>
      <c r="F75" s="217"/>
      <c r="G75" s="58"/>
      <c r="H75" s="214"/>
      <c r="I75" s="214"/>
      <c r="L75" s="214"/>
      <c r="V75" t="str">
        <v>Start Date - UKN</v>
      </c>
      <c r="W75">
        <v>66</v>
      </c>
    </row>
    <row r="76" spans="3:23">
      <c r="C76" s="213"/>
      <c r="D76" s="58"/>
      <c r="E76" s="217"/>
      <c r="F76" s="217"/>
      <c r="G76" s="58"/>
      <c r="H76" s="214"/>
      <c r="I76" s="214"/>
      <c r="L76" s="214"/>
      <c r="V76" t="str">
        <v>Start Date - SAF</v>
      </c>
      <c r="W76">
        <v>67</v>
      </c>
    </row>
    <row r="77" spans="3:23">
      <c r="C77" s="213"/>
      <c r="D77" s="58"/>
      <c r="E77" s="217"/>
      <c r="F77" s="217"/>
      <c r="G77" s="58"/>
      <c r="H77" s="214"/>
      <c r="I77" s="214"/>
      <c r="L77" s="214"/>
      <c r="V77" t="str">
        <v>Start Date - US</v>
      </c>
      <c r="W77">
        <v>68</v>
      </c>
    </row>
    <row r="78" spans="3:23">
      <c r="C78" s="213"/>
      <c r="D78" s="58"/>
      <c r="E78" s="217"/>
      <c r="F78" s="217"/>
      <c r="G78" s="58"/>
      <c r="H78" s="214"/>
      <c r="I78" s="214"/>
      <c r="L78" s="214"/>
      <c r="V78" t="str">
        <v>Start Date - Sams</v>
      </c>
      <c r="W78">
        <v>69</v>
      </c>
    </row>
    <row r="79" spans="3:23">
      <c r="C79" s="213"/>
      <c r="D79" s="58"/>
      <c r="E79" s="217"/>
      <c r="F79" s="217"/>
      <c r="G79" s="58"/>
      <c r="H79" s="214"/>
      <c r="I79" s="214"/>
      <c r="L79" s="214"/>
      <c r="V79" t="str">
        <v>Start Date - Sams Mexico</v>
      </c>
      <c r="W79">
        <v>70</v>
      </c>
    </row>
    <row r="80" spans="3:23">
      <c r="C80" s="213"/>
      <c r="D80" s="58"/>
      <c r="E80" s="216"/>
      <c r="F80" s="217"/>
      <c r="G80" s="58"/>
      <c r="H80" s="214"/>
      <c r="I80" s="214"/>
      <c r="L80" s="214"/>
      <c r="V80" t="str">
        <v>Start Date - Sams China</v>
      </c>
      <c r="W80">
        <v>71</v>
      </c>
    </row>
    <row r="81" spans="3:23">
      <c r="C81" s="213"/>
      <c r="D81" s="58"/>
      <c r="E81" s="216"/>
      <c r="F81" s="217"/>
      <c r="G81" s="58"/>
      <c r="H81" s="214"/>
      <c r="I81" s="214"/>
      <c r="L81" s="214"/>
      <c r="V81" t="str">
        <v>Start Date - IND</v>
      </c>
      <c r="W81">
        <v>72</v>
      </c>
    </row>
    <row r="82" spans="3:23">
      <c r="C82" s="213"/>
      <c r="D82" s="58"/>
      <c r="E82" s="216"/>
      <c r="F82" s="217"/>
      <c r="G82" s="58"/>
      <c r="H82" s="214"/>
      <c r="I82" s="214"/>
      <c r="L82" s="214"/>
      <c r="V82" t="str">
        <v>Most curent</v>
      </c>
      <c r="W82">
        <v>73</v>
      </c>
    </row>
    <row r="83" spans="3:23">
      <c r="C83" s="213"/>
      <c r="D83" s="58"/>
      <c r="E83" s="216"/>
      <c r="F83" s="217"/>
      <c r="G83" s="58"/>
      <c r="H83" s="214"/>
      <c r="I83" s="214"/>
      <c r="L83" s="214"/>
      <c r="V83" t="str">
        <v>Spend - ALL</v>
      </c>
      <c r="W83">
        <v>74</v>
      </c>
    </row>
    <row r="84" spans="3:23">
      <c r="I84" s="214"/>
      <c r="L84" s="214"/>
      <c r="V84" t="str">
        <v>Savings - All</v>
      </c>
      <c r="W84">
        <v>75</v>
      </c>
    </row>
    <row r="85" spans="3:23">
      <c r="I85" s="214"/>
      <c r="L85" s="214"/>
      <c r="V85" t="str">
        <v>Spend - INTL</v>
      </c>
      <c r="W85">
        <v>76</v>
      </c>
    </row>
    <row r="86" spans="3:23">
      <c r="I86" s="214"/>
      <c r="L86" s="214"/>
      <c r="V86" t="str">
        <v>Savings - INTL</v>
      </c>
      <c r="W86">
        <v>77</v>
      </c>
    </row>
    <row r="87" spans="3:23">
      <c r="I87" s="214"/>
      <c r="L87" s="214"/>
      <c r="V87" t="str">
        <v>Spend - WMUS-Sams</v>
      </c>
      <c r="W87">
        <v>78</v>
      </c>
    </row>
    <row r="88" spans="3:23">
      <c r="I88" s="214"/>
      <c r="L88" s="214"/>
      <c r="V88" t="str">
        <v>Savings - WMUs-Sams</v>
      </c>
      <c r="W88">
        <v>79</v>
      </c>
    </row>
    <row r="89" spans="3:23">
      <c r="I89" s="214"/>
      <c r="L89" s="214"/>
      <c r="V89" t="str">
        <v>Cost Avoidance INTL</v>
      </c>
      <c r="W89">
        <v>80</v>
      </c>
    </row>
    <row r="90" spans="3:23">
      <c r="I90" s="214"/>
      <c r="L90" s="214"/>
      <c r="V90" t="str">
        <v>Cost Avoidance US</v>
      </c>
      <c r="W90">
        <v>81</v>
      </c>
    </row>
    <row r="91" spans="3:23">
      <c r="I91" s="214"/>
      <c r="L91" s="214"/>
      <c r="V91" t="str">
        <v>Status Value</v>
      </c>
      <c r="W91">
        <v>82</v>
      </c>
    </row>
    <row r="92" spans="3:23">
      <c r="I92" s="214"/>
      <c r="L92" s="214"/>
    </row>
    <row r="93" spans="3:23">
      <c r="I93" s="214"/>
      <c r="L93" s="214"/>
    </row>
    <row r="94" spans="3:23">
      <c r="I94" s="214"/>
      <c r="L94" s="214"/>
    </row>
    <row r="95" spans="3:23">
      <c r="I95" s="214"/>
      <c r="L95" s="214"/>
    </row>
    <row r="96" spans="3:23">
      <c r="I96" s="214"/>
      <c r="L96" s="214"/>
    </row>
    <row r="97" spans="9:12">
      <c r="I97" s="214"/>
      <c r="L97" s="214"/>
    </row>
    <row r="98" spans="9:12">
      <c r="I98" s="214"/>
      <c r="L98" s="214"/>
    </row>
    <row r="99" spans="9:12">
      <c r="I99" s="214"/>
      <c r="L99" s="214"/>
    </row>
    <row r="100" spans="9:12">
      <c r="I100" s="214"/>
      <c r="L100" s="214"/>
    </row>
    <row r="101" spans="9:12">
      <c r="I101" s="214"/>
      <c r="L101" s="214"/>
    </row>
    <row r="102" spans="9:12">
      <c r="I102" s="214"/>
      <c r="L102" s="214"/>
    </row>
    <row r="103" spans="9:12">
      <c r="I103" s="214"/>
      <c r="L103" s="214"/>
    </row>
    <row r="104" spans="9:12">
      <c r="I104" s="214"/>
      <c r="L104" s="214"/>
    </row>
    <row r="105" spans="9:12">
      <c r="I105" s="214"/>
      <c r="L105" s="214"/>
    </row>
    <row r="106" spans="9:12">
      <c r="I106" s="214"/>
      <c r="L106" s="214"/>
    </row>
    <row r="107" spans="9:12">
      <c r="I107" s="214"/>
      <c r="L107" s="214"/>
    </row>
    <row r="108" spans="9:12">
      <c r="I108" s="214"/>
      <c r="L108" s="214"/>
    </row>
    <row r="109" spans="9:12">
      <c r="I109" s="214"/>
      <c r="L109" s="214"/>
    </row>
    <row r="110" spans="9:12">
      <c r="I110" s="214"/>
      <c r="L110" s="214"/>
    </row>
    <row r="111" spans="9:12">
      <c r="I111" s="214"/>
      <c r="L111" s="214"/>
    </row>
    <row r="112" spans="9:12">
      <c r="I112" s="214"/>
      <c r="L112" s="214"/>
    </row>
    <row r="113" spans="9:12">
      <c r="I113" s="214"/>
      <c r="L113" s="214"/>
    </row>
    <row r="114" spans="9:12">
      <c r="I114" s="214"/>
      <c r="L114" s="214"/>
    </row>
    <row r="115" spans="9:12">
      <c r="I115" s="214"/>
      <c r="L115" s="214"/>
    </row>
    <row r="116" spans="9:12">
      <c r="I116" s="214"/>
      <c r="L116" s="214"/>
    </row>
    <row r="117" spans="9:12">
      <c r="I117" s="214"/>
      <c r="L117" s="214"/>
    </row>
    <row r="118" spans="9:12">
      <c r="I118" s="214"/>
      <c r="L118" s="214"/>
    </row>
    <row r="119" spans="9:12">
      <c r="I119" s="214"/>
      <c r="L119" s="214"/>
    </row>
    <row r="120" spans="9:12">
      <c r="I120" s="214"/>
      <c r="L120" s="214"/>
    </row>
    <row r="121" spans="9:12">
      <c r="I121" s="214"/>
      <c r="L121" s="214"/>
    </row>
    <row r="122" spans="9:12">
      <c r="I122" s="214"/>
      <c r="L122" s="214"/>
    </row>
    <row r="123" spans="9:12">
      <c r="I123" s="214"/>
      <c r="L123" s="214"/>
    </row>
    <row r="124" spans="9:12">
      <c r="I124" s="214"/>
      <c r="L124" s="214"/>
    </row>
    <row r="125" spans="9:12">
      <c r="I125" s="214"/>
      <c r="L125" s="214"/>
    </row>
    <row r="126" spans="9:12">
      <c r="I126" s="214"/>
      <c r="L126" s="214"/>
    </row>
    <row r="127" spans="9:12">
      <c r="I127" s="214"/>
      <c r="L127" s="214"/>
    </row>
    <row r="128" spans="9:12">
      <c r="I128" s="214"/>
      <c r="L128" s="214"/>
    </row>
    <row r="129" spans="9:12">
      <c r="I129" s="214"/>
      <c r="L129" s="214"/>
    </row>
    <row r="130" spans="9:12">
      <c r="I130" s="214"/>
      <c r="L130" s="214"/>
    </row>
    <row r="131" spans="9:12">
      <c r="I131" s="214"/>
      <c r="L131" s="214"/>
    </row>
    <row r="132" spans="9:12">
      <c r="I132" s="214"/>
      <c r="L132" s="214"/>
    </row>
    <row r="133" spans="9:12">
      <c r="I133" s="214"/>
      <c r="L133" s="214"/>
    </row>
    <row r="134" spans="9:12">
      <c r="I134" s="214"/>
      <c r="L134" s="214"/>
    </row>
    <row r="135" spans="9:12">
      <c r="I135" s="214"/>
      <c r="L135" s="214"/>
    </row>
    <row r="136" spans="9:12">
      <c r="I136" s="214"/>
      <c r="L136" s="214"/>
    </row>
    <row r="137" spans="9:12">
      <c r="I137" s="214"/>
      <c r="L137" s="214"/>
    </row>
    <row r="138" spans="9:12">
      <c r="I138" s="214"/>
    </row>
    <row r="139" spans="9:12">
      <c r="I139" s="214"/>
    </row>
    <row r="140" spans="9:12">
      <c r="I140" s="214"/>
    </row>
    <row r="141" spans="9:12">
      <c r="I141" s="214"/>
    </row>
    <row r="142" spans="9:12">
      <c r="I142" s="214"/>
    </row>
    <row r="143" spans="9:12">
      <c r="I143" s="214"/>
    </row>
    <row r="144" spans="9:12">
      <c r="I144" s="214"/>
    </row>
    <row r="145" spans="9:9">
      <c r="I145" s="214"/>
    </row>
    <row r="146" spans="9:9">
      <c r="I146" s="214"/>
    </row>
    <row r="147" spans="9:9">
      <c r="I147" s="214"/>
    </row>
    <row r="148" spans="9:9">
      <c r="I148" s="214"/>
    </row>
    <row r="149" spans="9:9">
      <c r="I149" s="214"/>
    </row>
    <row r="150" spans="9:9">
      <c r="I150" s="214"/>
    </row>
    <row r="151" spans="9:9">
      <c r="I151" s="214"/>
    </row>
    <row r="152" spans="9:9">
      <c r="I152" s="214"/>
    </row>
    <row r="153" spans="9:9">
      <c r="I153" s="214"/>
    </row>
    <row r="154" spans="9:9">
      <c r="I154" s="214"/>
    </row>
    <row r="155" spans="9:9">
      <c r="I155" s="214"/>
    </row>
    <row r="156" spans="9:9">
      <c r="I156" s="214"/>
    </row>
    <row r="157" spans="9:9">
      <c r="I157" s="214"/>
    </row>
    <row r="158" spans="9:9">
      <c r="I158" s="214"/>
    </row>
    <row r="159" spans="9:9">
      <c r="I159" s="214"/>
    </row>
    <row r="160" spans="9:9">
      <c r="I160" s="214"/>
    </row>
    <row r="161" spans="9:9">
      <c r="I161" s="214"/>
    </row>
    <row r="162" spans="9:9">
      <c r="I162" s="214"/>
    </row>
    <row r="163" spans="9:9">
      <c r="I163" s="214"/>
    </row>
    <row r="164" spans="9:9">
      <c r="I164" s="214"/>
    </row>
    <row r="165" spans="9:9">
      <c r="I165" s="214"/>
    </row>
    <row r="166" spans="9:9">
      <c r="I166" s="214"/>
    </row>
    <row r="167" spans="9:9">
      <c r="I167" s="214"/>
    </row>
    <row r="168" spans="9:9">
      <c r="I168" s="214"/>
    </row>
    <row r="169" spans="9:9">
      <c r="I169" s="214"/>
    </row>
    <row r="170" spans="9:9">
      <c r="I170" s="214"/>
    </row>
    <row r="171" spans="9:9">
      <c r="I171" s="214"/>
    </row>
    <row r="172" spans="9:9">
      <c r="I172" s="214"/>
    </row>
    <row r="173" spans="9:9">
      <c r="I173" s="214"/>
    </row>
    <row r="174" spans="9:9">
      <c r="I174" s="214"/>
    </row>
    <row r="175" spans="9:9">
      <c r="I175" s="214"/>
    </row>
    <row r="176" spans="9:9">
      <c r="I176" s="214"/>
    </row>
    <row r="177" spans="9:9">
      <c r="I177" s="214"/>
    </row>
    <row r="178" spans="9:9">
      <c r="I178" s="214"/>
    </row>
    <row r="179" spans="9:9">
      <c r="I179" s="214"/>
    </row>
    <row r="180" spans="9:9">
      <c r="I180" s="214"/>
    </row>
    <row r="181" spans="9:9">
      <c r="I181" s="214"/>
    </row>
    <row r="182" spans="9:9">
      <c r="I182" s="214"/>
    </row>
    <row r="183" spans="9:9">
      <c r="I183" s="214"/>
    </row>
    <row r="184" spans="9:9">
      <c r="I184" s="214"/>
    </row>
    <row r="185" spans="9:9">
      <c r="I185" s="214"/>
    </row>
    <row r="186" spans="9:9">
      <c r="I186" s="214"/>
    </row>
    <row r="187" spans="9:9">
      <c r="I187" s="214"/>
    </row>
    <row r="188" spans="9:9">
      <c r="I188" s="214"/>
    </row>
    <row r="189" spans="9:9">
      <c r="I189" s="214"/>
    </row>
    <row r="190" spans="9:9">
      <c r="I190" s="214"/>
    </row>
    <row r="191" spans="9:9">
      <c r="I191" s="214"/>
    </row>
    <row r="192" spans="9:9">
      <c r="I192" s="214"/>
    </row>
    <row r="193" spans="9:9">
      <c r="I193" s="214"/>
    </row>
    <row r="194" spans="9:9">
      <c r="I194" s="214"/>
    </row>
    <row r="195" spans="9:9">
      <c r="I195" s="214"/>
    </row>
    <row r="196" spans="9:9">
      <c r="I196" s="214"/>
    </row>
    <row r="197" spans="9:9">
      <c r="I197" s="214"/>
    </row>
    <row r="198" spans="9:9">
      <c r="I198" s="214"/>
    </row>
    <row r="199" spans="9:9">
      <c r="I199" s="214"/>
    </row>
    <row r="200" spans="9:9">
      <c r="I200" s="214"/>
    </row>
    <row r="201" spans="9:9">
      <c r="I201" s="214"/>
    </row>
    <row r="202" spans="9:9">
      <c r="I202" s="214"/>
    </row>
    <row r="203" spans="9:9">
      <c r="I203" s="214"/>
    </row>
    <row r="204" spans="9:9">
      <c r="I204" s="214"/>
    </row>
    <row r="205" spans="9:9">
      <c r="I205" s="214"/>
    </row>
    <row r="206" spans="9:9">
      <c r="I206" s="214"/>
    </row>
    <row r="207" spans="9:9">
      <c r="I207" s="214"/>
    </row>
    <row r="208" spans="9:9">
      <c r="I208" s="214"/>
    </row>
    <row r="209" spans="9:9">
      <c r="I209" s="214"/>
    </row>
    <row r="210" spans="9:9">
      <c r="I210" s="214"/>
    </row>
    <row r="211" spans="9:9">
      <c r="I211" s="214"/>
    </row>
    <row r="212" spans="9:9">
      <c r="I212" s="214"/>
    </row>
    <row r="213" spans="9:9">
      <c r="I213" s="214"/>
    </row>
    <row r="214" spans="9:9">
      <c r="I214" s="214"/>
    </row>
    <row r="215" spans="9:9">
      <c r="I215" s="214"/>
    </row>
    <row r="216" spans="9:9">
      <c r="I216" s="214"/>
    </row>
    <row r="217" spans="9:9">
      <c r="I217" s="214"/>
    </row>
    <row r="218" spans="9:9">
      <c r="I218" s="214"/>
    </row>
    <row r="219" spans="9:9">
      <c r="I219" s="214"/>
    </row>
    <row r="220" spans="9:9">
      <c r="I220" s="214"/>
    </row>
    <row r="221" spans="9:9">
      <c r="I221" s="214"/>
    </row>
    <row r="222" spans="9:9">
      <c r="I222" s="214"/>
    </row>
    <row r="223" spans="9:9">
      <c r="I223" s="214"/>
    </row>
    <row r="224" spans="9:9">
      <c r="I224" s="214"/>
    </row>
    <row r="225" spans="9:9">
      <c r="I225" s="214"/>
    </row>
    <row r="226" spans="9:9">
      <c r="I226" s="214"/>
    </row>
    <row r="227" spans="9:9">
      <c r="I227" s="214"/>
    </row>
    <row r="228" spans="9:9">
      <c r="I228" s="214"/>
    </row>
    <row r="229" spans="9:9">
      <c r="I229" s="214"/>
    </row>
  </sheetData>
  <sheetProtection sheet="1" objects="1" scenarios="1"/>
  <mergeCells count="1">
    <mergeCell ref="C1:D1"/>
  </mergeCells>
  <conditionalFormatting sqref="M11:O11 R11:U16 X11:X16 C11:H83">
    <cfRule type="notContainsBlanks" dxfId="139" priority="16">
      <formula>LEN(TRIM(C11))&gt;0</formula>
    </cfRule>
  </conditionalFormatting>
  <conditionalFormatting sqref="K10:O10 C10:D10 H10">
    <cfRule type="notContainsBlanks" dxfId="138" priority="15">
      <formula>LEN(TRIM(C10))&gt;0</formula>
    </cfRule>
  </conditionalFormatting>
  <conditionalFormatting sqref="D11:D13 G11:H83">
    <cfRule type="cellIs" dxfId="137" priority="14" operator="equal">
      <formula>0</formula>
    </cfRule>
  </conditionalFormatting>
  <conditionalFormatting sqref="R10:U10 X10">
    <cfRule type="notContainsBlanks" dxfId="136" priority="13">
      <formula>LEN(TRIM(R10))&gt;0</formula>
    </cfRule>
  </conditionalFormatting>
  <conditionalFormatting sqref="E10:G10">
    <cfRule type="notContainsBlanks" dxfId="135" priority="12">
      <formula>LEN(TRIM(E10))&gt;0</formula>
    </cfRule>
  </conditionalFormatting>
  <conditionalFormatting sqref="I10">
    <cfRule type="notContainsBlanks" dxfId="134" priority="11">
      <formula>LEN(TRIM(I10))&gt;0</formula>
    </cfRule>
  </conditionalFormatting>
  <conditionalFormatting sqref="I11:I229">
    <cfRule type="notContainsBlanks" dxfId="133" priority="10">
      <formula>LEN(TRIM(I11))&gt;0</formula>
    </cfRule>
  </conditionalFormatting>
  <conditionalFormatting sqref="I11:I229">
    <cfRule type="cellIs" dxfId="132" priority="9" operator="equal">
      <formula>0</formula>
    </cfRule>
  </conditionalFormatting>
  <conditionalFormatting sqref="J10">
    <cfRule type="notContainsBlanks" dxfId="131" priority="8">
      <formula>LEN(TRIM(J10))&gt;0</formula>
    </cfRule>
  </conditionalFormatting>
  <conditionalFormatting sqref="J11:J38">
    <cfRule type="notContainsBlanks" dxfId="130" priority="7">
      <formula>LEN(TRIM(J11))&gt;0</formula>
    </cfRule>
  </conditionalFormatting>
  <conditionalFormatting sqref="J11:J38">
    <cfRule type="cellIs" dxfId="129" priority="6" operator="equal">
      <formula>0</formula>
    </cfRule>
  </conditionalFormatting>
  <conditionalFormatting sqref="K11:K42">
    <cfRule type="notContainsBlanks" dxfId="128" priority="5">
      <formula>LEN(TRIM(K11))&gt;0</formula>
    </cfRule>
  </conditionalFormatting>
  <conditionalFormatting sqref="K11:K42">
    <cfRule type="cellIs" dxfId="127" priority="4" operator="equal">
      <formula>0</formula>
    </cfRule>
  </conditionalFormatting>
  <conditionalFormatting sqref="E11:E51">
    <cfRule type="cellIs" dxfId="126" priority="3" operator="equal">
      <formula>0</formula>
    </cfRule>
  </conditionalFormatting>
  <conditionalFormatting sqref="L11:L137">
    <cfRule type="notContainsBlanks" dxfId="125" priority="2">
      <formula>LEN(TRIM(L11))&gt;0</formula>
    </cfRule>
  </conditionalFormatting>
  <conditionalFormatting sqref="L11:L137">
    <cfRule type="cellIs" dxfId="124" priority="1" operator="equal">
      <formula>0</formula>
    </cfRule>
  </conditionalFormatting>
  <dataValidations count="1">
    <dataValidation type="list" allowBlank="1" showInputMessage="1" showErrorMessage="1" sqref="P10:P19" xr:uid="{0CCD00F6-621F-4BBF-9F83-F3963B7B1AAF}">
      <formula1>_xlfn.ANCHORARRAY($V$10)</formula1>
    </dataValidation>
  </dataValidations>
  <hyperlinks>
    <hyperlink ref="F1" location="Menu!A1" display="Back to Menu" xr:uid="{E62CE819-004E-4170-BC59-B55013FA11A9}"/>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801" r:id="rId4" name="Button 1">
              <controlPr defaultSize="0" print="0" autoFill="0" autoPict="0" macro="[0]!From_MyTask_Goto_Update">
                <anchor moveWithCells="1">
                  <from>
                    <xdr:col>7</xdr:col>
                    <xdr:colOff>76200</xdr:colOff>
                    <xdr:row>4</xdr:row>
                    <xdr:rowOff>146050</xdr:rowOff>
                  </from>
                  <to>
                    <xdr:col>7</xdr:col>
                    <xdr:colOff>1022350</xdr:colOff>
                    <xdr:row>6</xdr:row>
                    <xdr:rowOff>31750</xdr:rowOff>
                  </to>
                </anchor>
              </controlPr>
            </control>
          </mc:Choice>
        </mc:AlternateContent>
        <mc:AlternateContent xmlns:mc="http://schemas.openxmlformats.org/markup-compatibility/2006">
          <mc:Choice Requires="x14">
            <control shapeId="76802" r:id="rId5" name="Button 2">
              <controlPr defaultSize="0" print="0" autoFill="0" autoPict="0" macro="[0]!Clear_MyTasks">
                <anchor moveWithCells="1">
                  <from>
                    <xdr:col>4</xdr:col>
                    <xdr:colOff>336550</xdr:colOff>
                    <xdr:row>4</xdr:row>
                    <xdr:rowOff>146050</xdr:rowOff>
                  </from>
                  <to>
                    <xdr:col>5</xdr:col>
                    <xdr:colOff>374650</xdr:colOff>
                    <xdr:row>6</xdr:row>
                    <xdr:rowOff>31750</xdr:rowOff>
                  </to>
                </anchor>
              </controlPr>
            </control>
          </mc:Choice>
        </mc:AlternateContent>
        <mc:AlternateContent xmlns:mc="http://schemas.openxmlformats.org/markup-compatibility/2006">
          <mc:Choice Requires="x14">
            <control shapeId="76803" r:id="rId6" name="Button 3">
              <controlPr defaultSize="0" print="0" autoFill="0" autoPict="0" macro="[0]!Clear_MyTasks_All">
                <anchor moveWithCells="1">
                  <from>
                    <xdr:col>5</xdr:col>
                    <xdr:colOff>755650</xdr:colOff>
                    <xdr:row>4</xdr:row>
                    <xdr:rowOff>146050</xdr:rowOff>
                  </from>
                  <to>
                    <xdr:col>6</xdr:col>
                    <xdr:colOff>355600</xdr:colOff>
                    <xdr:row>6</xdr:row>
                    <xdr:rowOff>31750</xdr:rowOff>
                  </to>
                </anchor>
              </controlPr>
            </control>
          </mc:Choice>
        </mc:AlternateContent>
        <mc:AlternateContent xmlns:mc="http://schemas.openxmlformats.org/markup-compatibility/2006">
          <mc:Choice Requires="x14">
            <control shapeId="76805" r:id="rId7" name="Button 5">
              <controlPr defaultSize="0" print="0" autoFill="0" autoPict="0" macro="[0]!From_MyTasks_Goto_HistoryView">
                <anchor moveWithCells="1">
                  <from>
                    <xdr:col>8</xdr:col>
                    <xdr:colOff>190500</xdr:colOff>
                    <xdr:row>4</xdr:row>
                    <xdr:rowOff>146050</xdr:rowOff>
                  </from>
                  <to>
                    <xdr:col>8</xdr:col>
                    <xdr:colOff>1136650</xdr:colOff>
                    <xdr:row>6</xdr:row>
                    <xdr:rowOff>31750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C26902FC-D1F9-4CF2-B1A3-697A9BAE1A4A}">
          <x14:formula1>
            <xm:f>_xlfn.ANCHORARRAY('Lookup tables'!$Q$2)</xm:f>
          </x14:formula1>
          <xm:sqref>C6</xm:sqref>
        </x14:dataValidation>
        <x14:dataValidation type="list" allowBlank="1" showInputMessage="1" showErrorMessage="1" xr:uid="{BC5E1952-6311-4D20-A327-CD57325FA525}">
          <x14:formula1>
            <xm:f>'Lookup tables'!$N$2:$N$5</xm:f>
          </x14:formula1>
          <xm:sqref>C3</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7E398-FFB3-461C-8288-E6BFFEE8638F}">
  <sheetPr codeName="Sheet13"/>
  <dimension ref="A1:CC68"/>
  <sheetViews>
    <sheetView showGridLines="0" zoomScale="90" zoomScaleNormal="90" workbookViewId="0">
      <selection activeCell="E5" sqref="E5:H5"/>
    </sheetView>
  </sheetViews>
  <sheetFormatPr defaultColWidth="8.5703125" defaultRowHeight="14.45"/>
  <cols>
    <col min="1" max="2" width="4.42578125" customWidth="1"/>
    <col min="3" max="4" width="0.5703125" customWidth="1"/>
    <col min="5" max="5" width="30.42578125" customWidth="1"/>
    <col min="6" max="6" width="14.28515625" bestFit="1" customWidth="1"/>
    <col min="7" max="7" width="15.5703125" bestFit="1" customWidth="1"/>
    <col min="8" max="11" width="9.42578125" customWidth="1"/>
    <col min="12" max="12" width="1.5703125" customWidth="1"/>
    <col min="13" max="13" width="0.5703125" customWidth="1"/>
    <col min="14" max="14" width="5.5703125" customWidth="1"/>
    <col min="15" max="15" width="0.5703125" customWidth="1"/>
    <col min="16" max="16" width="5.5703125" customWidth="1"/>
    <col min="17" max="17" width="0.5703125" customWidth="1"/>
    <col min="18" max="18" width="5.5703125" customWidth="1"/>
    <col min="19" max="19" width="0.5703125" customWidth="1"/>
    <col min="20" max="20" width="5.5703125" customWidth="1"/>
    <col min="21" max="21" width="0.5703125" customWidth="1"/>
    <col min="22" max="22" width="5.5703125" customWidth="1"/>
    <col min="23" max="23" width="0.5703125" customWidth="1"/>
    <col min="24" max="24" width="5.5703125" customWidth="1"/>
    <col min="25" max="25" width="0.5703125" customWidth="1"/>
    <col min="26" max="26" width="5.5703125" customWidth="1"/>
    <col min="27" max="27" width="0.5703125" customWidth="1"/>
    <col min="28" max="28" width="5.5703125" customWidth="1"/>
    <col min="29" max="29" width="0.5703125" customWidth="1"/>
    <col min="30" max="30" width="5.5703125" customWidth="1"/>
    <col min="31" max="31" width="0.5703125" customWidth="1"/>
    <col min="32" max="32" width="5.5703125" customWidth="1"/>
    <col min="33" max="33" width="0.5703125" customWidth="1"/>
    <col min="34" max="34" width="5.5703125" customWidth="1"/>
    <col min="35" max="35" width="0.5703125" customWidth="1"/>
    <col min="36" max="36" width="5.5703125" customWidth="1"/>
    <col min="37" max="37" width="0.5703125" customWidth="1"/>
    <col min="38" max="38" width="5.5703125" customWidth="1"/>
    <col min="39" max="39" width="0.5703125" customWidth="1"/>
    <col min="40" max="40" width="5.5703125" customWidth="1"/>
    <col min="41" max="41" width="0.5703125" customWidth="1"/>
    <col min="42" max="42" width="5.5703125" customWidth="1"/>
    <col min="43" max="43" width="0.5703125" customWidth="1"/>
    <col min="44" max="44" width="5.5703125" customWidth="1"/>
    <col min="45" max="45" width="0.5703125" customWidth="1"/>
    <col min="46" max="46" width="5.5703125" customWidth="1"/>
    <col min="47" max="47" width="0.5703125" customWidth="1"/>
    <col min="48" max="48" width="5.5703125" customWidth="1"/>
    <col min="49" max="49" width="0.5703125" customWidth="1"/>
    <col min="50" max="50" width="5.5703125" customWidth="1"/>
    <col min="51" max="51" width="0.5703125" customWidth="1"/>
    <col min="52" max="52" width="5.5703125" customWidth="1"/>
    <col min="53" max="53" width="0.5703125" customWidth="1"/>
    <col min="54" max="54" width="5.5703125" customWidth="1"/>
    <col min="55" max="55" width="0.5703125" customWidth="1"/>
    <col min="56" max="56" width="5.5703125" customWidth="1"/>
    <col min="57" max="57" width="0.5703125" customWidth="1"/>
    <col min="58" max="58" width="5.5703125" customWidth="1"/>
    <col min="59" max="59" width="0.5703125" customWidth="1"/>
    <col min="60" max="60" width="5.5703125" customWidth="1"/>
    <col min="61" max="61" width="0.5703125" customWidth="1"/>
    <col min="62" max="62" width="5.5703125" customWidth="1"/>
    <col min="63" max="63" width="0.5703125" customWidth="1"/>
    <col min="64" max="64" width="5.5703125" customWidth="1"/>
    <col min="65" max="65" width="0.5703125" customWidth="1"/>
    <col min="66" max="66" width="5.5703125" customWidth="1"/>
    <col min="67" max="67" width="0.5703125" customWidth="1"/>
    <col min="68" max="72" width="1.42578125" customWidth="1"/>
    <col min="73" max="73" width="1" customWidth="1"/>
    <col min="74" max="79" width="12.5703125" customWidth="1"/>
    <col min="80" max="80" width="12" customWidth="1"/>
  </cols>
  <sheetData>
    <row r="1" spans="1:81" ht="15" thickBot="1">
      <c r="B1" s="83"/>
      <c r="C1" s="83"/>
      <c r="D1" s="83"/>
      <c r="E1" s="259" t="s">
        <v>402</v>
      </c>
      <c r="F1" s="83"/>
      <c r="G1" s="83"/>
      <c r="H1" s="83"/>
      <c r="I1" s="83"/>
      <c r="J1" s="83"/>
      <c r="K1" s="83"/>
    </row>
    <row r="2" spans="1:81">
      <c r="B2" s="20"/>
      <c r="C2" s="21"/>
      <c r="D2" s="21"/>
      <c r="E2" s="137" t="s">
        <v>193</v>
      </c>
      <c r="F2" s="21"/>
      <c r="G2" s="138"/>
      <c r="H2" s="138"/>
      <c r="I2" s="138"/>
      <c r="J2" s="21"/>
      <c r="K2" s="21"/>
      <c r="L2" s="21"/>
      <c r="M2" s="21"/>
      <c r="N2" s="21"/>
      <c r="O2" s="21"/>
      <c r="P2" s="21"/>
      <c r="Q2" s="21"/>
      <c r="R2" s="21"/>
      <c r="S2" s="21"/>
      <c r="T2" s="21"/>
      <c r="U2" s="21"/>
      <c r="V2" s="21"/>
      <c r="W2" s="21"/>
      <c r="X2" s="32"/>
      <c r="Y2" s="21"/>
      <c r="Z2" s="21"/>
      <c r="AA2" s="21"/>
      <c r="AB2" s="21"/>
      <c r="AC2" s="21"/>
      <c r="AD2" s="21"/>
      <c r="AE2" s="21"/>
      <c r="AF2" s="21"/>
      <c r="AG2" s="21"/>
      <c r="AH2" s="21"/>
      <c r="AI2" s="21"/>
      <c r="AJ2" s="21"/>
      <c r="AK2" s="21"/>
      <c r="AL2" s="21"/>
      <c r="AM2" s="21"/>
      <c r="AN2" s="21"/>
      <c r="AO2" s="21"/>
      <c r="AP2" s="21"/>
      <c r="AQ2" s="21"/>
      <c r="AR2" s="21"/>
      <c r="AS2" s="21"/>
      <c r="AT2" s="21"/>
      <c r="AU2" s="21"/>
      <c r="AV2" s="21"/>
      <c r="AW2" s="21"/>
      <c r="AX2" s="21"/>
      <c r="AY2" s="21"/>
      <c r="AZ2" s="21"/>
      <c r="BA2" s="21"/>
      <c r="BB2" s="21"/>
      <c r="BC2" s="21"/>
      <c r="BD2" s="21"/>
      <c r="BE2" s="21"/>
      <c r="BF2" s="21"/>
      <c r="BG2" s="21"/>
      <c r="BH2" s="21"/>
      <c r="BI2" s="21"/>
      <c r="BJ2" s="21"/>
      <c r="BK2" s="21"/>
      <c r="BL2" s="21"/>
      <c r="BM2" s="21"/>
      <c r="BN2" s="21"/>
      <c r="BO2" s="22"/>
      <c r="BV2" t="s">
        <v>353</v>
      </c>
    </row>
    <row r="3" spans="1:81">
      <c r="B3" s="24"/>
      <c r="E3" s="30"/>
      <c r="M3" t="e">
        <f ca="1">IF(AND(N7-TODAY()&gt;-16,N7-TODAY()&lt;0),1,"")</f>
        <v>#VALUE!</v>
      </c>
      <c r="N3" s="135"/>
      <c r="O3" t="str">
        <f ca="1">IF(AND(P7-TODAY()&gt;-16,P7-TODAY()&lt;0),1,"")</f>
        <v/>
      </c>
      <c r="P3" s="136"/>
      <c r="Q3" t="str">
        <f ca="1">IF(AND(R7-TODAY()&gt;-16,R7-TODAY()&lt;0),1,"")</f>
        <v/>
      </c>
      <c r="R3" s="31"/>
      <c r="S3" s="19"/>
      <c r="T3" s="31"/>
      <c r="U3" s="19"/>
      <c r="V3" s="141"/>
      <c r="W3" s="141"/>
      <c r="X3" s="141"/>
      <c r="Y3" s="141"/>
      <c r="Z3" s="141"/>
      <c r="AA3" s="19"/>
      <c r="AB3" s="31"/>
      <c r="AC3" s="19"/>
      <c r="AD3" s="1"/>
      <c r="AE3" s="19"/>
      <c r="AF3" s="141"/>
      <c r="AG3" s="19"/>
      <c r="AH3" s="19"/>
      <c r="AI3" s="19"/>
      <c r="AJ3" s="19"/>
      <c r="AK3" s="19"/>
      <c r="AM3" s="19"/>
      <c r="AN3" s="141"/>
      <c r="AO3" s="19"/>
      <c r="AP3" s="19"/>
      <c r="AQ3" s="19"/>
      <c r="AR3" s="19"/>
      <c r="AS3" s="19"/>
      <c r="AT3" s="19"/>
      <c r="AU3" s="19"/>
      <c r="AV3" s="19"/>
      <c r="AW3" s="19"/>
      <c r="AX3" s="19"/>
      <c r="AY3" s="19"/>
      <c r="AZ3" s="19"/>
      <c r="BA3" s="19"/>
      <c r="BB3" s="19"/>
      <c r="BO3" s="23"/>
      <c r="BX3" s="61"/>
    </row>
    <row r="4" spans="1:81" ht="15" thickBot="1">
      <c r="B4" s="24"/>
      <c r="E4" s="134" t="s">
        <v>357</v>
      </c>
      <c r="F4" s="134" t="s">
        <v>203</v>
      </c>
      <c r="G4" s="1" t="s">
        <v>358</v>
      </c>
      <c r="H4" s="1" t="s">
        <v>403</v>
      </c>
      <c r="N4" s="1"/>
      <c r="P4" s="1"/>
      <c r="R4" s="1"/>
      <c r="T4" s="1"/>
      <c r="V4" s="1"/>
      <c r="X4" s="1"/>
      <c r="Z4" s="1"/>
      <c r="AB4" s="1"/>
      <c r="AD4" s="1"/>
      <c r="BO4" s="23"/>
      <c r="BX4" s="61"/>
      <c r="CB4" s="1" t="s">
        <v>404</v>
      </c>
    </row>
    <row r="5" spans="1:81" ht="15.6" thickTop="1" thickBot="1">
      <c r="B5" s="24"/>
      <c r="D5" s="67"/>
      <c r="E5" s="68"/>
      <c r="F5" s="69"/>
      <c r="G5" s="69"/>
      <c r="H5" s="69"/>
      <c r="J5" s="112">
        <f>IF(G5="Date",0,1)</f>
        <v>1</v>
      </c>
      <c r="N5" s="1" t="str">
        <f>_xlfn.XLOOKUP(N7,'Lookup tables'!$AM$2:$AM$10,'Lookup tables'!$AN$2:$AN$10,"Not found")</f>
        <v>Not found</v>
      </c>
      <c r="O5" s="1"/>
      <c r="P5" s="1"/>
      <c r="Q5" s="1"/>
      <c r="R5" s="1"/>
      <c r="S5" s="113"/>
      <c r="T5" s="1" t="str">
        <f>_xlfn.XLOOKUP(T7,'Lookup tables'!$AM$2:$AM$10,'Lookup tables'!$AN$2:$AN$10,"Not found")</f>
        <v>Not found</v>
      </c>
      <c r="U5" s="114"/>
      <c r="V5" s="1"/>
      <c r="X5" s="1"/>
      <c r="Y5" s="1"/>
      <c r="Z5" s="1"/>
      <c r="AA5" s="1"/>
      <c r="AB5" s="1"/>
      <c r="AD5" s="1"/>
      <c r="AE5" s="1"/>
      <c r="AF5" s="1"/>
      <c r="AG5" s="1"/>
      <c r="AH5" s="1"/>
      <c r="AI5" s="1"/>
      <c r="AJ5" s="1"/>
      <c r="AK5" s="114"/>
      <c r="AL5" s="1"/>
      <c r="AM5" s="1"/>
      <c r="AN5" s="1"/>
      <c r="AO5" s="1"/>
      <c r="AP5" s="1"/>
      <c r="AQ5" s="113"/>
      <c r="AR5" s="1" t="str">
        <f>_xlfn.XLOOKUP(AR7,'Lookup tables'!$AM$2:$AM$10,'Lookup tables'!$AN$2:$AN$10,"Not found")</f>
        <v>Not found</v>
      </c>
      <c r="AS5" s="115"/>
      <c r="AT5" s="1"/>
      <c r="AV5" s="1"/>
      <c r="BO5" s="23"/>
      <c r="BV5" s="1" t="s">
        <v>359</v>
      </c>
      <c r="CB5" s="175">
        <v>3</v>
      </c>
    </row>
    <row r="6" spans="1:81" ht="15" thickTop="1">
      <c r="B6" s="24"/>
      <c r="E6" s="116"/>
      <c r="H6" s="150" t="s">
        <v>367</v>
      </c>
      <c r="N6" s="113"/>
      <c r="O6" s="113"/>
      <c r="P6" s="117">
        <f>YEAR(P7)</f>
        <v>1900</v>
      </c>
      <c r="Q6" s="113"/>
      <c r="R6" s="117">
        <f>YEAR(R7)</f>
        <v>1900</v>
      </c>
      <c r="S6" s="113"/>
      <c r="T6" s="113"/>
      <c r="U6" s="113"/>
      <c r="V6" s="113"/>
      <c r="W6" s="113"/>
      <c r="X6" s="113"/>
      <c r="Y6" s="113"/>
      <c r="Z6" s="113"/>
      <c r="AA6" s="113"/>
      <c r="AB6" s="113"/>
      <c r="AC6" s="118"/>
      <c r="AD6" s="117"/>
      <c r="AE6" s="113"/>
      <c r="AF6" s="113"/>
      <c r="AG6" s="113"/>
      <c r="AH6" s="113"/>
      <c r="AI6" s="113"/>
      <c r="AJ6" s="113"/>
      <c r="AK6" s="113"/>
      <c r="AL6" s="113"/>
      <c r="AM6" s="113"/>
      <c r="AN6" s="117">
        <f>YEAR(AN7)</f>
        <v>1900</v>
      </c>
      <c r="AO6" s="113"/>
      <c r="AP6" s="117">
        <f>YEAR(AP7)</f>
        <v>1900</v>
      </c>
      <c r="AQ6" s="113"/>
      <c r="AR6" s="113"/>
      <c r="AS6" s="113"/>
      <c r="AT6" s="113"/>
      <c r="AU6" s="113"/>
      <c r="AV6" s="113"/>
      <c r="AW6" s="118"/>
      <c r="AX6" s="118"/>
      <c r="AY6" s="118"/>
      <c r="AZ6" s="118"/>
      <c r="BA6" s="118"/>
      <c r="BB6" s="118"/>
      <c r="BC6" s="118"/>
      <c r="BD6" s="118"/>
      <c r="BE6" s="118"/>
      <c r="BF6" s="118"/>
      <c r="BG6" s="118"/>
      <c r="BH6" s="118"/>
      <c r="BI6" s="118"/>
      <c r="BJ6" s="118"/>
      <c r="BK6" s="118"/>
      <c r="BL6" s="117">
        <f>YEAR(BL7)</f>
        <v>1900</v>
      </c>
      <c r="BM6" s="118"/>
      <c r="BN6" s="117">
        <f>YEAR(BN7)</f>
        <v>1900</v>
      </c>
      <c r="BO6" s="23"/>
    </row>
    <row r="7" spans="1:81" ht="43.5">
      <c r="B7" s="119" t="s">
        <v>360</v>
      </c>
      <c r="E7" s="33" t="s">
        <v>1</v>
      </c>
      <c r="F7" s="33" t="s">
        <v>297</v>
      </c>
      <c r="G7" s="120" t="s">
        <v>405</v>
      </c>
      <c r="H7" s="120" t="s">
        <v>406</v>
      </c>
      <c r="I7" s="120" t="s">
        <v>407</v>
      </c>
      <c r="J7" s="120" t="str">
        <f>"In "&amp;E5</f>
        <v xml:space="preserve">In </v>
      </c>
      <c r="K7" s="120" t="str">
        <f>"In "&amp;AR5</f>
        <v>In Not found</v>
      </c>
      <c r="L7" s="120"/>
      <c r="N7" s="122" t="str" cm="1">
        <f t="array" ref="N7">IF(E5="FY21",TRANSPOSE('Lookup tables'!AK2:AK54),IF(E5="FY22",TRANSPOSE('Lookup tables'!AJ2:AJ54),IF(E5="FY23",TRANSPOSE('Lookup tables'!AI2:AI54),"Error")))</f>
        <v>Error</v>
      </c>
      <c r="O7" s="107"/>
      <c r="P7" s="122"/>
      <c r="Q7" s="107"/>
      <c r="R7" s="122"/>
      <c r="S7" s="109"/>
      <c r="T7" s="122"/>
      <c r="U7" s="107"/>
      <c r="V7" s="122"/>
      <c r="W7" s="107"/>
      <c r="X7" s="122"/>
      <c r="Y7" s="107"/>
      <c r="Z7" s="122"/>
      <c r="AA7" s="107"/>
      <c r="AB7" s="122"/>
      <c r="AC7" s="107"/>
      <c r="AD7" s="122"/>
      <c r="AE7" s="107"/>
      <c r="AF7" s="122"/>
      <c r="AG7" s="107"/>
      <c r="AH7" s="122"/>
      <c r="AI7" s="107"/>
      <c r="AJ7" s="122"/>
      <c r="AK7" s="107"/>
      <c r="AL7" s="122"/>
      <c r="AM7" s="107"/>
      <c r="AN7" s="122"/>
      <c r="AO7" s="107"/>
      <c r="AP7" s="122"/>
      <c r="AQ7" s="109"/>
      <c r="AR7" s="122"/>
      <c r="AS7" s="107"/>
      <c r="AT7" s="122"/>
      <c r="AU7" s="107"/>
      <c r="AV7" s="122"/>
      <c r="AW7" s="107"/>
      <c r="AX7" s="122"/>
      <c r="AY7" s="107"/>
      <c r="AZ7" s="122"/>
      <c r="BA7" s="107"/>
      <c r="BB7" s="122"/>
      <c r="BC7" s="107"/>
      <c r="BD7" s="122"/>
      <c r="BE7" s="107"/>
      <c r="BF7" s="122"/>
      <c r="BG7" s="107"/>
      <c r="BH7" s="122"/>
      <c r="BI7" s="107"/>
      <c r="BJ7" s="122"/>
      <c r="BK7" s="107"/>
      <c r="BL7" s="122"/>
      <c r="BM7" s="107"/>
      <c r="BN7" s="122"/>
      <c r="BO7" s="176"/>
      <c r="BV7" s="52" t="s">
        <v>216</v>
      </c>
      <c r="BW7" s="52" t="s">
        <v>217</v>
      </c>
      <c r="BX7" s="52" t="s">
        <v>218</v>
      </c>
      <c r="BY7" s="52" t="s">
        <v>364</v>
      </c>
      <c r="BZ7" s="52" t="s">
        <v>365</v>
      </c>
      <c r="CA7" s="52" t="s">
        <v>366</v>
      </c>
      <c r="CB7" s="52" t="s">
        <v>408</v>
      </c>
      <c r="CC7" s="52" t="s">
        <v>409</v>
      </c>
    </row>
    <row r="8" spans="1:81" ht="15" thickBot="1">
      <c r="B8" s="24"/>
      <c r="C8" s="19">
        <f>IF(J5=1,2,1)</f>
        <v>2</v>
      </c>
      <c r="D8" s="19">
        <f>IF(C8=1,-1,1)</f>
        <v>1</v>
      </c>
      <c r="G8" s="177">
        <f>SUM(G10:G59)</f>
        <v>0</v>
      </c>
      <c r="H8" s="177">
        <f>SUM(H10:H59)</f>
        <v>0</v>
      </c>
      <c r="I8" s="177">
        <f>SUM(I10:I59)</f>
        <v>0</v>
      </c>
      <c r="J8" s="177">
        <f>SUM(J10:J59)</f>
        <v>0</v>
      </c>
      <c r="K8" s="177">
        <f>SUM(K10:K59)</f>
        <v>0</v>
      </c>
      <c r="O8" s="77"/>
      <c r="Q8" s="77"/>
      <c r="S8" s="110"/>
      <c r="U8" s="77"/>
      <c r="W8" s="77"/>
      <c r="Y8" s="77"/>
      <c r="AA8" s="108"/>
      <c r="AC8" s="77"/>
      <c r="AE8" s="77"/>
      <c r="AG8" s="77"/>
      <c r="AI8" s="77"/>
      <c r="AK8" s="77"/>
      <c r="AM8" s="77"/>
      <c r="AO8" s="77"/>
      <c r="AQ8" s="110"/>
      <c r="AS8" s="77"/>
      <c r="AU8" s="77"/>
      <c r="AW8" s="77"/>
      <c r="AY8" s="77"/>
      <c r="BA8" s="77"/>
      <c r="BC8" s="77"/>
      <c r="BE8" s="77"/>
      <c r="BG8" s="77"/>
      <c r="BI8" s="77"/>
      <c r="BK8" s="77"/>
      <c r="BM8" s="77"/>
      <c r="BO8" s="23"/>
    </row>
    <row r="9" spans="1:81" ht="6" customHeight="1" thickTop="1" thickBot="1">
      <c r="B9" s="123"/>
      <c r="C9" s="71"/>
      <c r="D9" s="71"/>
      <c r="E9" s="124" t="str">
        <f>IF(D10="N","No data available","")</f>
        <v/>
      </c>
      <c r="F9" s="71"/>
      <c r="G9" s="71"/>
      <c r="H9" s="71"/>
      <c r="I9" s="71"/>
      <c r="J9" s="71"/>
      <c r="K9" s="71"/>
      <c r="L9" s="71"/>
      <c r="M9" s="71"/>
      <c r="N9" s="34"/>
      <c r="O9" s="111"/>
      <c r="P9" s="34"/>
      <c r="Q9" s="111"/>
      <c r="R9" s="34"/>
      <c r="S9" s="111"/>
      <c r="T9" s="34"/>
      <c r="U9" s="111"/>
      <c r="V9" s="34"/>
      <c r="W9" s="111"/>
      <c r="X9" s="34"/>
      <c r="Y9" s="111"/>
      <c r="Z9" s="34"/>
      <c r="AA9" s="111"/>
      <c r="AB9" s="34"/>
      <c r="AC9" s="111"/>
      <c r="AD9" s="34"/>
      <c r="AE9" s="111"/>
      <c r="AF9" s="34"/>
      <c r="AG9" s="111"/>
      <c r="AH9" s="34"/>
      <c r="AI9" s="111"/>
      <c r="AJ9" s="34"/>
      <c r="AK9" s="111"/>
      <c r="AL9" s="34"/>
      <c r="AM9" s="111"/>
      <c r="AN9" s="34"/>
      <c r="AO9" s="111"/>
      <c r="AP9" s="34"/>
      <c r="AQ9" s="111"/>
      <c r="AR9" s="34"/>
      <c r="AS9" s="111"/>
      <c r="AT9" s="34"/>
      <c r="AU9" s="111"/>
      <c r="AV9" s="34"/>
      <c r="AW9" s="111"/>
      <c r="AX9" s="34"/>
      <c r="AY9" s="111"/>
      <c r="AZ9" s="34"/>
      <c r="BA9" s="111"/>
      <c r="BB9" s="34"/>
      <c r="BC9" s="111"/>
      <c r="BD9" s="34"/>
      <c r="BE9" s="111"/>
      <c r="BF9" s="34"/>
      <c r="BG9" s="111"/>
      <c r="BH9" s="34"/>
      <c r="BI9" s="111"/>
      <c r="BJ9" s="34"/>
      <c r="BK9" s="111"/>
      <c r="BL9" s="34"/>
      <c r="BM9" s="111"/>
      <c r="BN9" s="34"/>
      <c r="BO9" s="72"/>
    </row>
    <row r="10" spans="1:81" ht="20.25" customHeight="1" thickTop="1" thickBot="1">
      <c r="A10" s="19"/>
      <c r="B10" s="123" t="e" cm="1" vm="1">
        <f t="array" ref="B10">_xlfn.SEQUENCE(COUNTA(E10:E59))</f>
        <v>#VALUE!</v>
      </c>
      <c r="C10" s="71" t="e" cm="1">
        <f t="array" ref="C10">_xlfn._xlws.SORT(_xlfn._xlws.FILTER(INDEX(Table1[#Data],_xlfn.SEQUENCE(ROWS(Table1[#Data])),{5,9,2,26,74,76,78}),(Table1[Most curent]=TRUE)*(Table1[SBU]=$F$5)*(Table1[Execution Year]=$E$5)*(Table1[Current Phase]&lt;&gt;"Cancelled"),"N"),C8,-D8)</f>
        <v>#VALUE!</v>
      </c>
      <c r="D10" s="125"/>
      <c r="E10" s="35"/>
      <c r="F10" s="35"/>
      <c r="G10" s="36"/>
      <c r="H10" s="36"/>
      <c r="I10" s="36"/>
      <c r="J10" s="36">
        <f>SUM(T10:AP10)</f>
        <v>0</v>
      </c>
      <c r="K10" s="36">
        <f>SUM(AR10:BN10)</f>
        <v>0</v>
      </c>
      <c r="L10" s="71"/>
      <c r="M10" s="71"/>
      <c r="N10" s="36" t="b">
        <f>IF($H$5="ALL",IFERROR(IF(AND(N$7&gt;=$CB10,N$7&lt;$CB10+365),SUM($H10:$I10)/12,0),""),IF($H$5="INTL",IFERROR(IF(AND(N$7&gt;=$CB10,N$7&lt;$CB10+365),$H10/12,0),""),IF($H$5="US",IFERROR(IF(AND(N$7&gt;=$CB10,N$7&lt;$CB10+365),$I10/12,0),""))))</f>
        <v>0</v>
      </c>
      <c r="O10" s="111"/>
      <c r="P10" s="36" t="b">
        <f t="shared" ref="P10:P25" si="0">IF($H$5="ALL",IFERROR(IF(AND(P$7&gt;=$CB10,P$7&lt;$CB10+365),SUM($H10:$I10)/12,0),""),IF($H$5="INTL",IFERROR(IF(AND(P$7&gt;=$CB10,P$7&lt;$CB10+365),$H10/12,0),""),IF($H$5="US",IFERROR(IF(AND(P$7&gt;=$CB10,P$7&lt;$CB10+365),$I10/12,0),""))))</f>
        <v>0</v>
      </c>
      <c r="Q10" s="111"/>
      <c r="R10" s="36" t="b">
        <f t="shared" ref="R10:R25" si="1">IF($H$5="ALL",IFERROR(IF(AND(R$7&gt;=$CB10,R$7&lt;$CB10+365),SUM($H10:$I10)/12,0),""),IF($H$5="INTL",IFERROR(IF(AND(R$7&gt;=$CB10,R$7&lt;$CB10+365),$H10/12,0),""),IF($H$5="US",IFERROR(IF(AND(R$7&gt;=$CB10,R$7&lt;$CB10+365),$I10/12,0),""))))</f>
        <v>0</v>
      </c>
      <c r="S10" s="111"/>
      <c r="T10" s="36" t="b">
        <f t="shared" ref="T10:T25" si="2">IF($H$5="ALL",IFERROR(IF(AND(T$7&gt;=$CB10,T$7&lt;$CB10+365),SUM($H10:$I10)/12,0),""),IF($H$5="INTL",IFERROR(IF(AND(T$7&gt;=$CB10,T$7&lt;$CB10+365),$H10/12,0),""),IF($H$5="US",IFERROR(IF(AND(T$7&gt;=$CB10,T$7&lt;$CB10+365),$I10/12,0),""))))</f>
        <v>0</v>
      </c>
      <c r="U10" s="111"/>
      <c r="V10" s="36" t="b">
        <f t="shared" ref="V10:V25" si="3">IF($H$5="ALL",IFERROR(IF(AND(V$7&gt;=$CB10,V$7&lt;$CB10+365),SUM($H10:$I10)/12,0),""),IF($H$5="INTL",IFERROR(IF(AND(V$7&gt;=$CB10,V$7&lt;$CB10+365),$H10/12,0),""),IF($H$5="US",IFERROR(IF(AND(V$7&gt;=$CB10,V$7&lt;$CB10+365),$I10/12,0),""))))</f>
        <v>0</v>
      </c>
      <c r="W10" s="111"/>
      <c r="X10" s="36" t="b">
        <f t="shared" ref="X10:X25" si="4">IF($H$5="ALL",IFERROR(IF(AND(X$7&gt;=$CB10,X$7&lt;$CB10+365),SUM($H10:$I10)/12,0),""),IF($H$5="INTL",IFERROR(IF(AND(X$7&gt;=$CB10,X$7&lt;$CB10+365),$H10/12,0),""),IF($H$5="US",IFERROR(IF(AND(X$7&gt;=$CB10,X$7&lt;$CB10+365),$I10/12,0),""))))</f>
        <v>0</v>
      </c>
      <c r="Y10" s="111"/>
      <c r="Z10" s="36" t="b">
        <f t="shared" ref="Z10:Z25" si="5">IF($H$5="ALL",IFERROR(IF(AND(Z$7&gt;=$CB10,Z$7&lt;$CB10+365),SUM($H10:$I10)/12,0),""),IF($H$5="INTL",IFERROR(IF(AND(Z$7&gt;=$CB10,Z$7&lt;$CB10+365),$H10/12,0),""),IF($H$5="US",IFERROR(IF(AND(Z$7&gt;=$CB10,Z$7&lt;$CB10+365),$I10/12,0),""))))</f>
        <v>0</v>
      </c>
      <c r="AA10" s="111"/>
      <c r="AB10" s="36" t="b">
        <f t="shared" ref="AB10:AB25" si="6">IF($H$5="ALL",IFERROR(IF(AND(AB$7&gt;=$CB10,AB$7&lt;$CB10+365),SUM($H10:$I10)/12,0),""),IF($H$5="INTL",IFERROR(IF(AND(AB$7&gt;=$CB10,AB$7&lt;$CB10+365),$H10/12,0),""),IF($H$5="US",IFERROR(IF(AND(AB$7&gt;=$CB10,AB$7&lt;$CB10+365),$I10/12,0),""))))</f>
        <v>0</v>
      </c>
      <c r="AC10" s="111"/>
      <c r="AD10" s="36" t="b">
        <f t="shared" ref="AD10:AD25" si="7">IF($H$5="ALL",IFERROR(IF(AND(AD$7&gt;=$CB10,AD$7&lt;$CB10+365),SUM($H10:$I10)/12,0),""),IF($H$5="INTL",IFERROR(IF(AND(AD$7&gt;=$CB10,AD$7&lt;$CB10+365),$H10/12,0),""),IF($H$5="US",IFERROR(IF(AND(AD$7&gt;=$CB10,AD$7&lt;$CB10+365),$I10/12,0),""))))</f>
        <v>0</v>
      </c>
      <c r="AE10" s="111"/>
      <c r="AF10" s="36" t="b">
        <f t="shared" ref="AF10:AF25" si="8">IF($H$5="ALL",IFERROR(IF(AND(AF$7&gt;=$CB10,AF$7&lt;$CB10+365),SUM($H10:$I10)/12,0),""),IF($H$5="INTL",IFERROR(IF(AND(AF$7&gt;=$CB10,AF$7&lt;$CB10+365),$H10/12,0),""),IF($H$5="US",IFERROR(IF(AND(AF$7&gt;=$CB10,AF$7&lt;$CB10+365),$I10/12,0),""))))</f>
        <v>0</v>
      </c>
      <c r="AG10" s="111"/>
      <c r="AH10" s="36" t="b">
        <f t="shared" ref="AH10:AH25" si="9">IF($H$5="ALL",IFERROR(IF(AND(AH$7&gt;=$CB10,AH$7&lt;$CB10+365),SUM($H10:$I10)/12,0),""),IF($H$5="INTL",IFERROR(IF(AND(AH$7&gt;=$CB10,AH$7&lt;$CB10+365),$H10/12,0),""),IF($H$5="US",IFERROR(IF(AND(AH$7&gt;=$CB10,AH$7&lt;$CB10+365),$I10/12,0),""))))</f>
        <v>0</v>
      </c>
      <c r="AI10" s="111"/>
      <c r="AJ10" s="36" t="b">
        <f t="shared" ref="AJ10:AJ25" si="10">IF($H$5="ALL",IFERROR(IF(AND(AJ$7&gt;=$CB10,AJ$7&lt;$CB10+365),SUM($H10:$I10)/12,0),""),IF($H$5="INTL",IFERROR(IF(AND(AJ$7&gt;=$CB10,AJ$7&lt;$CB10+365),$H10/12,0),""),IF($H$5="US",IFERROR(IF(AND(AJ$7&gt;=$CB10,AJ$7&lt;$CB10+365),$I10/12,0),""))))</f>
        <v>0</v>
      </c>
      <c r="AK10" s="111"/>
      <c r="AL10" s="36" t="b">
        <f t="shared" ref="AL10:AL25" si="11">IF($H$5="ALL",IFERROR(IF(AND(AL$7&gt;=$CB10,AL$7&lt;$CB10+365),SUM($H10:$I10)/12,0),""),IF($H$5="INTL",IFERROR(IF(AND(AL$7&gt;=$CB10,AL$7&lt;$CB10+365),$H10/12,0),""),IF($H$5="US",IFERROR(IF(AND(AL$7&gt;=$CB10,AL$7&lt;$CB10+365),$I10/12,0),""))))</f>
        <v>0</v>
      </c>
      <c r="AM10" s="111"/>
      <c r="AN10" s="36" t="b">
        <f t="shared" ref="AN10:AN25" si="12">IF($H$5="ALL",IFERROR(IF(AND(AN$7&gt;=$CB10,AN$7&lt;$CB10+365),SUM($H10:$I10)/12,0),""),IF($H$5="INTL",IFERROR(IF(AND(AN$7&gt;=$CB10,AN$7&lt;$CB10+365),$H10/12,0),""),IF($H$5="US",IFERROR(IF(AND(AN$7&gt;=$CB10,AN$7&lt;$CB10+365),$I10/12,0),""))))</f>
        <v>0</v>
      </c>
      <c r="AO10" s="111"/>
      <c r="AP10" s="36" t="b">
        <f t="shared" ref="AP10:AP25" si="13">IF($H$5="ALL",IFERROR(IF(AND(AP$7&gt;=$CB10,AP$7&lt;$CB10+365),SUM($H10:$I10)/12,0),""),IF($H$5="INTL",IFERROR(IF(AND(AP$7&gt;=$CB10,AP$7&lt;$CB10+365),$H10/12,0),""),IF($H$5="US",IFERROR(IF(AND(AP$7&gt;=$CB10,AP$7&lt;$CB10+365),$I10/12,0),""))))</f>
        <v>0</v>
      </c>
      <c r="AQ10" s="111"/>
      <c r="AR10" s="36" t="b">
        <f t="shared" ref="AR10:AR25" si="14">IF($H$5="ALL",IFERROR(IF(AND(AR$7&gt;=$CB10,AR$7&lt;$CB10+365),SUM($H10:$I10)/12,0),""),IF($H$5="INTL",IFERROR(IF(AND(AR$7&gt;=$CB10,AR$7&lt;$CB10+365),$H10/12,0),""),IF($H$5="US",IFERROR(IF(AND(AR$7&gt;=$CB10,AR$7&lt;$CB10+365),$I10/12,0),""))))</f>
        <v>0</v>
      </c>
      <c r="AS10" s="111"/>
      <c r="AT10" s="36" t="b">
        <f t="shared" ref="AT10:AT25" si="15">IF($H$5="ALL",IFERROR(IF(AND(AT$7&gt;=$CB10,AT$7&lt;$CB10+365),SUM($H10:$I10)/12,0),""),IF($H$5="INTL",IFERROR(IF(AND(AT$7&gt;=$CB10,AT$7&lt;$CB10+365),$H10/12,0),""),IF($H$5="US",IFERROR(IF(AND(AT$7&gt;=$CB10,AT$7&lt;$CB10+365),$I10/12,0),""))))</f>
        <v>0</v>
      </c>
      <c r="AU10" s="111"/>
      <c r="AV10" s="36" t="b">
        <f t="shared" ref="AV10:AV25" si="16">IF($H$5="ALL",IFERROR(IF(AND(AV$7&gt;=$CB10,AV$7&lt;$CB10+365),SUM($H10:$I10)/12,0),""),IF($H$5="INTL",IFERROR(IF(AND(AV$7&gt;=$CB10,AV$7&lt;$CB10+365),$H10/12,0),""),IF($H$5="US",IFERROR(IF(AND(AV$7&gt;=$CB10,AV$7&lt;$CB10+365),$I10/12,0),""))))</f>
        <v>0</v>
      </c>
      <c r="AW10" s="111"/>
      <c r="AX10" s="36" t="b">
        <f t="shared" ref="AX10:AX25" si="17">IF($H$5="ALL",IFERROR(IF(AND(AX$7&gt;=$CB10,AX$7&lt;$CB10+365),SUM($H10:$I10)/12,0),""),IF($H$5="INTL",IFERROR(IF(AND(AX$7&gt;=$CB10,AX$7&lt;$CB10+365),$H10/12,0),""),IF($H$5="US",IFERROR(IF(AND(AX$7&gt;=$CB10,AX$7&lt;$CB10+365),$I10/12,0),""))))</f>
        <v>0</v>
      </c>
      <c r="AY10" s="111"/>
      <c r="AZ10" s="36" t="b">
        <f t="shared" ref="AZ10:AZ25" si="18">IF($H$5="ALL",IFERROR(IF(AND(AZ$7&gt;=$CB10,AZ$7&lt;$CB10+365),SUM($H10:$I10)/12,0),""),IF($H$5="INTL",IFERROR(IF(AND(AZ$7&gt;=$CB10,AZ$7&lt;$CB10+365),$H10/12,0),""),IF($H$5="US",IFERROR(IF(AND(AZ$7&gt;=$CB10,AZ$7&lt;$CB10+365),$I10/12,0),""))))</f>
        <v>0</v>
      </c>
      <c r="BA10" s="111"/>
      <c r="BB10" s="36" t="b">
        <f t="shared" ref="BB10:BB25" si="19">IF($H$5="ALL",IFERROR(IF(AND(BB$7&gt;=$CB10,BB$7&lt;$CB10+365),SUM($H10:$I10)/12,0),""),IF($H$5="INTL",IFERROR(IF(AND(BB$7&gt;=$CB10,BB$7&lt;$CB10+365),$H10/12,0),""),IF($H$5="US",IFERROR(IF(AND(BB$7&gt;=$CB10,BB$7&lt;$CB10+365),$I10/12,0),""))))</f>
        <v>0</v>
      </c>
      <c r="BC10" s="111"/>
      <c r="BD10" s="36" t="b">
        <f t="shared" ref="BD10:BD25" si="20">IF($H$5="ALL",IFERROR(IF(AND(BD$7&gt;=$CB10,BD$7&lt;$CB10+365),SUM($H10:$I10)/12,0),""),IF($H$5="INTL",IFERROR(IF(AND(BD$7&gt;=$CB10,BD$7&lt;$CB10+365),$H10/12,0),""),IF($H$5="US",IFERROR(IF(AND(BD$7&gt;=$CB10,BD$7&lt;$CB10+365),$I10/12,0),""))))</f>
        <v>0</v>
      </c>
      <c r="BE10" s="111"/>
      <c r="BF10" s="36" t="b">
        <f t="shared" ref="BF10:BF25" si="21">IF($H$5="ALL",IFERROR(IF(AND(BF$7&gt;=$CB10,BF$7&lt;$CB10+365),SUM($H10:$I10)/12,0),""),IF($H$5="INTL",IFERROR(IF(AND(BF$7&gt;=$CB10,BF$7&lt;$CB10+365),$H10/12,0),""),IF($H$5="US",IFERROR(IF(AND(BF$7&gt;=$CB10,BF$7&lt;$CB10+365),$I10/12,0),""))))</f>
        <v>0</v>
      </c>
      <c r="BG10" s="111"/>
      <c r="BH10" s="36" t="b">
        <f t="shared" ref="BH10:BH25" si="22">IF($H$5="ALL",IFERROR(IF(AND(BH$7&gt;=$CB10,BH$7&lt;$CB10+365),SUM($H10:$I10)/12,0),""),IF($H$5="INTL",IFERROR(IF(AND(BH$7&gt;=$CB10,BH$7&lt;$CB10+365),$H10/12,0),""),IF($H$5="US",IFERROR(IF(AND(BH$7&gt;=$CB10,BH$7&lt;$CB10+365),$I10/12,0),""))))</f>
        <v>0</v>
      </c>
      <c r="BI10" s="111"/>
      <c r="BJ10" s="36" t="b">
        <f t="shared" ref="BJ10:BJ25" si="23">IF($H$5="ALL",IFERROR(IF(AND(BJ$7&gt;=$CB10,BJ$7&lt;$CB10+365),SUM($H10:$I10)/12,0),""),IF($H$5="INTL",IFERROR(IF(AND(BJ$7&gt;=$CB10,BJ$7&lt;$CB10+365),$H10/12,0),""),IF($H$5="US",IFERROR(IF(AND(BJ$7&gt;=$CB10,BJ$7&lt;$CB10+365),$I10/12,0),""))))</f>
        <v>0</v>
      </c>
      <c r="BK10" s="111"/>
      <c r="BL10" s="36" t="b">
        <f t="shared" ref="BL10:BN25" si="24">IF($H$5="ALL",IFERROR(IF(AND(BL$7&gt;=$CB10,BL$7&lt;$CB10+365),SUM($H10:$I10)/12,0),""),IF($H$5="INTL",IFERROR(IF(AND(BL$7&gt;=$CB10,BL$7&lt;$CB10+365),$H10/12,0),""),IF($H$5="US",IFERROR(IF(AND(BL$7&gt;=$CB10,BL$7&lt;$CB10+365),$I10/12,0),""))))</f>
        <v>0</v>
      </c>
      <c r="BM10" s="111"/>
      <c r="BN10" s="36" t="b">
        <f t="shared" si="24"/>
        <v>0</v>
      </c>
      <c r="BO10" s="72"/>
      <c r="BV10" s="60" t="str" cm="1">
        <f t="array" ref="BV10">IFERROR(EOMONTH(EOMONTH(_xlfn._xlws.FILTER(Table1[Planned Start],(Table1[Category]=$E10)*(Table1[SBU]=$F$5)*(Table1[Execution Year]=$E$5)*(Table1[Most curent]=TRUE)),0)-45,0)+1,"")</f>
        <v/>
      </c>
      <c r="BW10" s="60" t="str" cm="1">
        <f t="array" ref="BW10">IFERROR(EOMONTH(_xlfn._xlws.FILTER(Table1[Planned Award],(Table1[Category]=$E10)*(Table1[SBU]=$F$5)*(Table1[Execution Year]=$E$5)*(Table1[Most curent]=TRUE)),0),"")</f>
        <v/>
      </c>
      <c r="BX10" s="60" t="str" cm="1">
        <f t="array" ref="BX10">IFERROR(EOMONTH(EOMONTH(_xlfn._xlws.FILTER(Table1[Current Phase End],(Table1[Category]=$E10)*(Table1[SBU]=$F$5)*(Table1[Execution Year]=$E$5)*(Table1[Most curent]=TRUE)),0)-45,0)+1,"")</f>
        <v/>
      </c>
      <c r="BY10" s="60" t="str" cm="1">
        <f t="array" ref="BY10">IFERROR(IF(EOMONTH(_xlfn._xlws.FILTER(Table1[Revised Award],(Table1[Category]=$E10)*(Table1[SBU]=$F$5)*(Table1[Execution Year]=$E$5)*(Table1[Most curent]=TRUE)),0)=31,"",EOMONTH(_xlfn._xlws.FILTER(Table1[Revised Award],(Table1[Category]=$E10)*(Table1[SBU]=$F$5)*(Table1[Execution Year]=$E$5)*(Table1[Most curent]=TRUE)),0)),"")</f>
        <v/>
      </c>
      <c r="BZ10" s="60" t="str">
        <f>IFERROR(EOMONTH(BV10-65,0)+1,"")</f>
        <v/>
      </c>
      <c r="CA10" s="60" t="str">
        <f>IFERROR(BV10-1,"")</f>
        <v/>
      </c>
      <c r="CB10" s="60" t="str">
        <f t="shared" ref="CB10:CB41" si="25">IF(BW10="","",IF(BY10="",EOMONTH(BW10,$CB$5)+1,EOMONTH(BY10,$CB$5)+1))</f>
        <v/>
      </c>
    </row>
    <row r="11" spans="1:81" ht="20.25" customHeight="1" thickTop="1" thickBot="1">
      <c r="B11" s="123"/>
      <c r="C11" s="71"/>
      <c r="D11" s="125"/>
      <c r="E11" s="35"/>
      <c r="F11" s="35"/>
      <c r="G11" s="36"/>
      <c r="H11" s="36"/>
      <c r="I11" s="36"/>
      <c r="J11" s="36">
        <f t="shared" ref="J11:J24" si="26">SUM(T11:AP11)</f>
        <v>0</v>
      </c>
      <c r="K11" s="36">
        <f t="shared" ref="K11:K59" si="27">SUM(AR11:BN11)</f>
        <v>0</v>
      </c>
      <c r="L11" s="71"/>
      <c r="M11" s="71"/>
      <c r="N11" s="36" t="b">
        <f t="shared" ref="N11:N59" si="28">IF($H$5="ALL",IFERROR(IF(AND(N$7&gt;=$CB11,N$7&lt;$CB11+365),SUM($H11:$I11)/12,0),""),IF($H$5="INTL",IFERROR(IF(AND(N$7&gt;=$CB11,N$7&lt;$CB11+365),$H11/12,0),""),IF($H$5="US",IFERROR(IF(AND(N$7&gt;=$CB11,N$7&lt;$CB11+365),$I11/12,0),""))))</f>
        <v>0</v>
      </c>
      <c r="O11" s="111"/>
      <c r="P11" s="36" t="b">
        <f t="shared" si="0"/>
        <v>0</v>
      </c>
      <c r="Q11" s="111"/>
      <c r="R11" s="36" t="b">
        <f t="shared" si="1"/>
        <v>0</v>
      </c>
      <c r="S11" s="111"/>
      <c r="T11" s="36" t="b">
        <f t="shared" si="2"/>
        <v>0</v>
      </c>
      <c r="U11" s="111"/>
      <c r="V11" s="36" t="b">
        <f t="shared" si="3"/>
        <v>0</v>
      </c>
      <c r="W11" s="111"/>
      <c r="X11" s="36" t="b">
        <f t="shared" si="4"/>
        <v>0</v>
      </c>
      <c r="Y11" s="111"/>
      <c r="Z11" s="36" t="b">
        <f t="shared" si="5"/>
        <v>0</v>
      </c>
      <c r="AA11" s="111"/>
      <c r="AB11" s="36" t="b">
        <f t="shared" si="6"/>
        <v>0</v>
      </c>
      <c r="AC11" s="111"/>
      <c r="AD11" s="36" t="b">
        <f t="shared" si="7"/>
        <v>0</v>
      </c>
      <c r="AE11" s="111"/>
      <c r="AF11" s="36" t="b">
        <f t="shared" si="8"/>
        <v>0</v>
      </c>
      <c r="AG11" s="111"/>
      <c r="AH11" s="36" t="b">
        <f t="shared" si="9"/>
        <v>0</v>
      </c>
      <c r="AI11" s="111"/>
      <c r="AJ11" s="36" t="b">
        <f t="shared" si="10"/>
        <v>0</v>
      </c>
      <c r="AK11" s="111"/>
      <c r="AL11" s="36" t="b">
        <f t="shared" si="11"/>
        <v>0</v>
      </c>
      <c r="AM11" s="111"/>
      <c r="AN11" s="36" t="b">
        <f t="shared" si="12"/>
        <v>0</v>
      </c>
      <c r="AO11" s="111"/>
      <c r="AP11" s="36" t="b">
        <f t="shared" si="13"/>
        <v>0</v>
      </c>
      <c r="AQ11" s="111"/>
      <c r="AR11" s="36" t="b">
        <f t="shared" si="14"/>
        <v>0</v>
      </c>
      <c r="AS11" s="111"/>
      <c r="AT11" s="36" t="b">
        <f t="shared" si="15"/>
        <v>0</v>
      </c>
      <c r="AU11" s="111"/>
      <c r="AV11" s="36" t="b">
        <f t="shared" si="16"/>
        <v>0</v>
      </c>
      <c r="AW11" s="111"/>
      <c r="AX11" s="36" t="b">
        <f t="shared" si="17"/>
        <v>0</v>
      </c>
      <c r="AY11" s="111"/>
      <c r="AZ11" s="36" t="b">
        <f t="shared" si="18"/>
        <v>0</v>
      </c>
      <c r="BA11" s="111"/>
      <c r="BB11" s="36" t="b">
        <f t="shared" si="19"/>
        <v>0</v>
      </c>
      <c r="BC11" s="111"/>
      <c r="BD11" s="36" t="b">
        <f t="shared" si="20"/>
        <v>0</v>
      </c>
      <c r="BE11" s="111"/>
      <c r="BF11" s="36" t="b">
        <f t="shared" si="21"/>
        <v>0</v>
      </c>
      <c r="BG11" s="111"/>
      <c r="BH11" s="36" t="b">
        <f t="shared" si="22"/>
        <v>0</v>
      </c>
      <c r="BI11" s="111"/>
      <c r="BJ11" s="36" t="b">
        <f t="shared" si="23"/>
        <v>0</v>
      </c>
      <c r="BK11" s="111"/>
      <c r="BL11" s="36" t="b">
        <f t="shared" si="24"/>
        <v>0</v>
      </c>
      <c r="BM11" s="111"/>
      <c r="BN11" s="36" t="b">
        <f t="shared" si="24"/>
        <v>0</v>
      </c>
      <c r="BO11" s="72"/>
      <c r="BV11" s="60" t="str" cm="1">
        <f t="array" ref="BV11">IFERROR(EOMONTH(EOMONTH(_xlfn._xlws.FILTER(Table1[Planned Start],(Table1[Category]=$E11)*(Table1[SBU]=$F$5)*(Table1[Execution Year]=$E$5)*(Table1[Most curent]=TRUE)),0)-45,0)+1,"")</f>
        <v/>
      </c>
      <c r="BW11" s="60" t="str" cm="1">
        <f t="array" ref="BW11">IFERROR(EOMONTH(_xlfn._xlws.FILTER(Table1[Planned Award],(Table1[Category]=$E11)*(Table1[SBU]=$F$5)*(Table1[Execution Year]=$E$5)*(Table1[Most curent]=TRUE)),0),"")</f>
        <v/>
      </c>
      <c r="BX11" s="60" t="str" cm="1">
        <f t="array" ref="BX11">IFERROR(EOMONTH(EOMONTH(_xlfn._xlws.FILTER(Table1[Current Phase End],(Table1[Category]=$E11)*(Table1[SBU]=$F$5)*(Table1[Execution Year]=$E$5)*(Table1[Most curent]=TRUE)),0)-45,0)+1,"")</f>
        <v/>
      </c>
      <c r="BY11" s="60" t="str" cm="1">
        <f t="array" ref="BY11">IFERROR(IF(EOMONTH(_xlfn._xlws.FILTER(Table1[Revised Award],(Table1[Category]=$E11)*(Table1[SBU]=$F$5)*(Table1[Execution Year]=$E$5)*(Table1[Most curent]=TRUE)),0)=31,"",EOMONTH(_xlfn._xlws.FILTER(Table1[Revised Award],(Table1[Category]=$E11)*(Table1[SBU]=$F$5)*(Table1[Execution Year]=$E$5)*(Table1[Most curent]=TRUE)),0)),"")</f>
        <v/>
      </c>
      <c r="BZ11" s="60" t="str">
        <f t="shared" ref="BZ11:BZ59" si="29">IFERROR(EOMONTH(BV11-65,0)+1,"")</f>
        <v/>
      </c>
      <c r="CA11" s="60" t="str">
        <f t="shared" ref="CA11:CA59" si="30">IFERROR(BV11-1,"")</f>
        <v/>
      </c>
      <c r="CB11" s="60" t="str">
        <f t="shared" si="25"/>
        <v/>
      </c>
    </row>
    <row r="12" spans="1:81" ht="20.25" customHeight="1" thickTop="1" thickBot="1">
      <c r="B12" s="123"/>
      <c r="C12" s="71"/>
      <c r="D12" s="125"/>
      <c r="E12" s="35"/>
      <c r="F12" s="35"/>
      <c r="G12" s="36"/>
      <c r="H12" s="36"/>
      <c r="I12" s="36"/>
      <c r="J12" s="36">
        <f t="shared" si="26"/>
        <v>0</v>
      </c>
      <c r="K12" s="36">
        <f t="shared" si="27"/>
        <v>0</v>
      </c>
      <c r="L12" s="71"/>
      <c r="M12" s="71"/>
      <c r="N12" s="36" t="b">
        <f t="shared" si="28"/>
        <v>0</v>
      </c>
      <c r="O12" s="111"/>
      <c r="P12" s="36" t="b">
        <f t="shared" si="0"/>
        <v>0</v>
      </c>
      <c r="Q12" s="111"/>
      <c r="R12" s="36" t="b">
        <f t="shared" si="1"/>
        <v>0</v>
      </c>
      <c r="S12" s="111"/>
      <c r="T12" s="36" t="b">
        <f t="shared" si="2"/>
        <v>0</v>
      </c>
      <c r="U12" s="111"/>
      <c r="V12" s="36" t="b">
        <f t="shared" si="3"/>
        <v>0</v>
      </c>
      <c r="W12" s="111"/>
      <c r="X12" s="36" t="b">
        <f t="shared" si="4"/>
        <v>0</v>
      </c>
      <c r="Y12" s="111"/>
      <c r="Z12" s="36" t="b">
        <f t="shared" si="5"/>
        <v>0</v>
      </c>
      <c r="AA12" s="111"/>
      <c r="AB12" s="36" t="b">
        <f t="shared" si="6"/>
        <v>0</v>
      </c>
      <c r="AC12" s="111"/>
      <c r="AD12" s="36" t="b">
        <f t="shared" si="7"/>
        <v>0</v>
      </c>
      <c r="AE12" s="111"/>
      <c r="AF12" s="36" t="b">
        <f t="shared" si="8"/>
        <v>0</v>
      </c>
      <c r="AG12" s="111"/>
      <c r="AH12" s="36" t="b">
        <f t="shared" si="9"/>
        <v>0</v>
      </c>
      <c r="AI12" s="111"/>
      <c r="AJ12" s="36" t="b">
        <f t="shared" si="10"/>
        <v>0</v>
      </c>
      <c r="AK12" s="111"/>
      <c r="AL12" s="36" t="b">
        <f t="shared" si="11"/>
        <v>0</v>
      </c>
      <c r="AM12" s="111"/>
      <c r="AN12" s="36" t="b">
        <f t="shared" si="12"/>
        <v>0</v>
      </c>
      <c r="AO12" s="111"/>
      <c r="AP12" s="36" t="b">
        <f t="shared" si="13"/>
        <v>0</v>
      </c>
      <c r="AQ12" s="111"/>
      <c r="AR12" s="36" t="b">
        <f t="shared" si="14"/>
        <v>0</v>
      </c>
      <c r="AS12" s="111"/>
      <c r="AT12" s="36" t="b">
        <f t="shared" si="15"/>
        <v>0</v>
      </c>
      <c r="AU12" s="111"/>
      <c r="AV12" s="36" t="b">
        <f t="shared" si="16"/>
        <v>0</v>
      </c>
      <c r="AW12" s="111"/>
      <c r="AX12" s="36" t="b">
        <f t="shared" si="17"/>
        <v>0</v>
      </c>
      <c r="AY12" s="111"/>
      <c r="AZ12" s="36" t="b">
        <f t="shared" si="18"/>
        <v>0</v>
      </c>
      <c r="BA12" s="111"/>
      <c r="BB12" s="36" t="b">
        <f t="shared" si="19"/>
        <v>0</v>
      </c>
      <c r="BC12" s="111"/>
      <c r="BD12" s="36" t="b">
        <f t="shared" si="20"/>
        <v>0</v>
      </c>
      <c r="BE12" s="111"/>
      <c r="BF12" s="36" t="b">
        <f t="shared" si="21"/>
        <v>0</v>
      </c>
      <c r="BG12" s="111"/>
      <c r="BH12" s="36" t="b">
        <f t="shared" si="22"/>
        <v>0</v>
      </c>
      <c r="BI12" s="111"/>
      <c r="BJ12" s="36" t="b">
        <f t="shared" si="23"/>
        <v>0</v>
      </c>
      <c r="BK12" s="111"/>
      <c r="BL12" s="36" t="b">
        <f t="shared" si="24"/>
        <v>0</v>
      </c>
      <c r="BM12" s="111"/>
      <c r="BN12" s="36" t="b">
        <f t="shared" si="24"/>
        <v>0</v>
      </c>
      <c r="BO12" s="72"/>
      <c r="BV12" s="60" t="str" cm="1">
        <f t="array" ref="BV12">IFERROR(EOMONTH(EOMONTH(_xlfn._xlws.FILTER(Table1[Planned Start],(Table1[Category]=$E12)*(Table1[SBU]=$F$5)*(Table1[Execution Year]=$E$5)*(Table1[Most curent]=TRUE)),0)-45,0)+1,"")</f>
        <v/>
      </c>
      <c r="BW12" s="60" t="str" cm="1">
        <f t="array" ref="BW12">IFERROR(EOMONTH(_xlfn._xlws.FILTER(Table1[Planned Award],(Table1[Category]=$E12)*(Table1[SBU]=$F$5)*(Table1[Execution Year]=$E$5)*(Table1[Most curent]=TRUE)),0),"")</f>
        <v/>
      </c>
      <c r="BX12" s="60" t="str" cm="1">
        <f t="array" ref="BX12">IFERROR(EOMONTH(EOMONTH(_xlfn._xlws.FILTER(Table1[Current Phase End],(Table1[Category]=$E12)*(Table1[SBU]=$F$5)*(Table1[Execution Year]=$E$5)*(Table1[Most curent]=TRUE)),0)-45,0)+1,"")</f>
        <v/>
      </c>
      <c r="BY12" s="60" t="str" cm="1">
        <f t="array" ref="BY12">IFERROR(IF(EOMONTH(_xlfn._xlws.FILTER(Table1[Revised Award],(Table1[Category]=$E12)*(Table1[SBU]=$F$5)*(Table1[Execution Year]=$E$5)*(Table1[Most curent]=TRUE)),0)=31,"",EOMONTH(_xlfn._xlws.FILTER(Table1[Revised Award],(Table1[Category]=$E12)*(Table1[SBU]=$F$5)*(Table1[Execution Year]=$E$5)*(Table1[Most curent]=TRUE)),0)),"")</f>
        <v/>
      </c>
      <c r="BZ12" s="60" t="str">
        <f t="shared" si="29"/>
        <v/>
      </c>
      <c r="CA12" s="60" t="str">
        <f t="shared" si="30"/>
        <v/>
      </c>
      <c r="CB12" s="60" t="str">
        <f t="shared" si="25"/>
        <v/>
      </c>
    </row>
    <row r="13" spans="1:81" ht="20.25" customHeight="1" thickTop="1" thickBot="1">
      <c r="B13" s="123"/>
      <c r="C13" s="71"/>
      <c r="D13" s="125"/>
      <c r="E13" s="35"/>
      <c r="F13" s="35"/>
      <c r="G13" s="36"/>
      <c r="H13" s="36"/>
      <c r="I13" s="36"/>
      <c r="J13" s="36">
        <f t="shared" si="26"/>
        <v>0</v>
      </c>
      <c r="K13" s="36">
        <f t="shared" si="27"/>
        <v>0</v>
      </c>
      <c r="L13" s="71"/>
      <c r="M13" s="71"/>
      <c r="N13" s="36" t="b">
        <f t="shared" si="28"/>
        <v>0</v>
      </c>
      <c r="O13" s="111"/>
      <c r="P13" s="36" t="b">
        <f t="shared" si="0"/>
        <v>0</v>
      </c>
      <c r="Q13" s="111"/>
      <c r="R13" s="36" t="b">
        <f t="shared" si="1"/>
        <v>0</v>
      </c>
      <c r="S13" s="111"/>
      <c r="T13" s="36" t="b">
        <f t="shared" si="2"/>
        <v>0</v>
      </c>
      <c r="U13" s="111"/>
      <c r="V13" s="36" t="b">
        <f t="shared" si="3"/>
        <v>0</v>
      </c>
      <c r="W13" s="111"/>
      <c r="X13" s="36" t="b">
        <f t="shared" si="4"/>
        <v>0</v>
      </c>
      <c r="Y13" s="111"/>
      <c r="Z13" s="36" t="b">
        <f t="shared" si="5"/>
        <v>0</v>
      </c>
      <c r="AA13" s="111"/>
      <c r="AB13" s="36" t="b">
        <f t="shared" si="6"/>
        <v>0</v>
      </c>
      <c r="AC13" s="111"/>
      <c r="AD13" s="36" t="b">
        <f t="shared" si="7"/>
        <v>0</v>
      </c>
      <c r="AE13" s="111"/>
      <c r="AF13" s="36" t="b">
        <f t="shared" si="8"/>
        <v>0</v>
      </c>
      <c r="AG13" s="111"/>
      <c r="AH13" s="36" t="b">
        <f t="shared" si="9"/>
        <v>0</v>
      </c>
      <c r="AI13" s="111"/>
      <c r="AJ13" s="36" t="b">
        <f t="shared" si="10"/>
        <v>0</v>
      </c>
      <c r="AK13" s="111"/>
      <c r="AL13" s="36" t="b">
        <f t="shared" si="11"/>
        <v>0</v>
      </c>
      <c r="AM13" s="111"/>
      <c r="AN13" s="36" t="b">
        <f t="shared" si="12"/>
        <v>0</v>
      </c>
      <c r="AO13" s="111"/>
      <c r="AP13" s="36" t="b">
        <f t="shared" si="13"/>
        <v>0</v>
      </c>
      <c r="AQ13" s="111"/>
      <c r="AR13" s="36" t="b">
        <f t="shared" si="14"/>
        <v>0</v>
      </c>
      <c r="AS13" s="111"/>
      <c r="AT13" s="36" t="b">
        <f t="shared" si="15"/>
        <v>0</v>
      </c>
      <c r="AU13" s="111"/>
      <c r="AV13" s="36" t="b">
        <f t="shared" si="16"/>
        <v>0</v>
      </c>
      <c r="AW13" s="111"/>
      <c r="AX13" s="36" t="b">
        <f t="shared" si="17"/>
        <v>0</v>
      </c>
      <c r="AY13" s="111"/>
      <c r="AZ13" s="36" t="b">
        <f t="shared" si="18"/>
        <v>0</v>
      </c>
      <c r="BA13" s="111"/>
      <c r="BB13" s="36" t="b">
        <f t="shared" si="19"/>
        <v>0</v>
      </c>
      <c r="BC13" s="111"/>
      <c r="BD13" s="36" t="b">
        <f t="shared" si="20"/>
        <v>0</v>
      </c>
      <c r="BE13" s="111"/>
      <c r="BF13" s="36" t="b">
        <f t="shared" si="21"/>
        <v>0</v>
      </c>
      <c r="BG13" s="111"/>
      <c r="BH13" s="36" t="b">
        <f t="shared" si="22"/>
        <v>0</v>
      </c>
      <c r="BI13" s="111"/>
      <c r="BJ13" s="36" t="b">
        <f t="shared" si="23"/>
        <v>0</v>
      </c>
      <c r="BK13" s="111"/>
      <c r="BL13" s="36" t="b">
        <f t="shared" si="24"/>
        <v>0</v>
      </c>
      <c r="BM13" s="111"/>
      <c r="BN13" s="36" t="b">
        <f t="shared" si="24"/>
        <v>0</v>
      </c>
      <c r="BO13" s="72"/>
      <c r="BV13" s="60" t="str" cm="1">
        <f t="array" ref="BV13">IFERROR(EOMONTH(EOMONTH(_xlfn._xlws.FILTER(Table1[Planned Start],(Table1[Category]=$E13)*(Table1[SBU]=$F$5)*(Table1[Execution Year]=$E$5)*(Table1[Most curent]=TRUE)),0)-45,0)+1,"")</f>
        <v/>
      </c>
      <c r="BW13" s="60" t="str" cm="1">
        <f t="array" ref="BW13">IFERROR(EOMONTH(_xlfn._xlws.FILTER(Table1[Planned Award],(Table1[Category]=$E13)*(Table1[SBU]=$F$5)*(Table1[Execution Year]=$E$5)*(Table1[Most curent]=TRUE)),0),"")</f>
        <v/>
      </c>
      <c r="BX13" s="60" t="str" cm="1">
        <f t="array" ref="BX13">IFERROR(EOMONTH(EOMONTH(_xlfn._xlws.FILTER(Table1[Current Phase End],(Table1[Category]=$E13)*(Table1[SBU]=$F$5)*(Table1[Execution Year]=$E$5)*(Table1[Most curent]=TRUE)),0)-45,0)+1,"")</f>
        <v/>
      </c>
      <c r="BY13" s="60" t="str" cm="1">
        <f t="array" ref="BY13">IFERROR(IF(EOMONTH(_xlfn._xlws.FILTER(Table1[Revised Award],(Table1[Category]=$E13)*(Table1[SBU]=$F$5)*(Table1[Execution Year]=$E$5)*(Table1[Most curent]=TRUE)),0)=31,"",EOMONTH(_xlfn._xlws.FILTER(Table1[Revised Award],(Table1[Category]=$E13)*(Table1[SBU]=$F$5)*(Table1[Execution Year]=$E$5)*(Table1[Most curent]=TRUE)),0)),"")</f>
        <v/>
      </c>
      <c r="BZ13" s="60" t="str">
        <f t="shared" si="29"/>
        <v/>
      </c>
      <c r="CA13" s="60" t="str">
        <f t="shared" si="30"/>
        <v/>
      </c>
      <c r="CB13" s="60" t="str">
        <f t="shared" si="25"/>
        <v/>
      </c>
    </row>
    <row r="14" spans="1:81" ht="20.25" customHeight="1" thickTop="1" thickBot="1">
      <c r="B14" s="123"/>
      <c r="C14" s="71"/>
      <c r="D14" s="125"/>
      <c r="E14" s="35"/>
      <c r="F14" s="35"/>
      <c r="G14" s="36"/>
      <c r="H14" s="36"/>
      <c r="I14" s="36"/>
      <c r="J14" s="36">
        <f t="shared" si="26"/>
        <v>0</v>
      </c>
      <c r="K14" s="36">
        <f t="shared" si="27"/>
        <v>0</v>
      </c>
      <c r="L14" s="71"/>
      <c r="M14" s="71"/>
      <c r="N14" s="36" t="b">
        <f t="shared" si="28"/>
        <v>0</v>
      </c>
      <c r="O14" s="111"/>
      <c r="P14" s="36" t="b">
        <f t="shared" si="0"/>
        <v>0</v>
      </c>
      <c r="Q14" s="111"/>
      <c r="R14" s="36" t="b">
        <f t="shared" si="1"/>
        <v>0</v>
      </c>
      <c r="S14" s="111"/>
      <c r="T14" s="36" t="b">
        <f t="shared" si="2"/>
        <v>0</v>
      </c>
      <c r="U14" s="111"/>
      <c r="V14" s="36" t="b">
        <f t="shared" si="3"/>
        <v>0</v>
      </c>
      <c r="W14" s="111"/>
      <c r="X14" s="36" t="b">
        <f t="shared" si="4"/>
        <v>0</v>
      </c>
      <c r="Y14" s="111"/>
      <c r="Z14" s="36" t="b">
        <f t="shared" si="5"/>
        <v>0</v>
      </c>
      <c r="AA14" s="111"/>
      <c r="AB14" s="36" t="b">
        <f t="shared" si="6"/>
        <v>0</v>
      </c>
      <c r="AC14" s="111"/>
      <c r="AD14" s="36" t="b">
        <f t="shared" si="7"/>
        <v>0</v>
      </c>
      <c r="AE14" s="111"/>
      <c r="AF14" s="36" t="b">
        <f t="shared" si="8"/>
        <v>0</v>
      </c>
      <c r="AG14" s="111"/>
      <c r="AH14" s="36" t="b">
        <f t="shared" si="9"/>
        <v>0</v>
      </c>
      <c r="AI14" s="111"/>
      <c r="AJ14" s="36" t="b">
        <f t="shared" si="10"/>
        <v>0</v>
      </c>
      <c r="AK14" s="111"/>
      <c r="AL14" s="36" t="b">
        <f t="shared" si="11"/>
        <v>0</v>
      </c>
      <c r="AM14" s="111"/>
      <c r="AN14" s="36" t="b">
        <f t="shared" si="12"/>
        <v>0</v>
      </c>
      <c r="AO14" s="111"/>
      <c r="AP14" s="36" t="b">
        <f t="shared" si="13"/>
        <v>0</v>
      </c>
      <c r="AQ14" s="111"/>
      <c r="AR14" s="36" t="b">
        <f t="shared" si="14"/>
        <v>0</v>
      </c>
      <c r="AS14" s="111"/>
      <c r="AT14" s="36" t="b">
        <f t="shared" si="15"/>
        <v>0</v>
      </c>
      <c r="AU14" s="111"/>
      <c r="AV14" s="36" t="b">
        <f t="shared" si="16"/>
        <v>0</v>
      </c>
      <c r="AW14" s="111"/>
      <c r="AX14" s="36" t="b">
        <f t="shared" si="17"/>
        <v>0</v>
      </c>
      <c r="AY14" s="111"/>
      <c r="AZ14" s="36" t="b">
        <f t="shared" si="18"/>
        <v>0</v>
      </c>
      <c r="BA14" s="111"/>
      <c r="BB14" s="36" t="b">
        <f t="shared" si="19"/>
        <v>0</v>
      </c>
      <c r="BC14" s="111"/>
      <c r="BD14" s="36" t="b">
        <f t="shared" si="20"/>
        <v>0</v>
      </c>
      <c r="BE14" s="111"/>
      <c r="BF14" s="36" t="b">
        <f t="shared" si="21"/>
        <v>0</v>
      </c>
      <c r="BG14" s="111"/>
      <c r="BH14" s="36" t="b">
        <f t="shared" si="22"/>
        <v>0</v>
      </c>
      <c r="BI14" s="111"/>
      <c r="BJ14" s="36" t="b">
        <f t="shared" si="23"/>
        <v>0</v>
      </c>
      <c r="BK14" s="111"/>
      <c r="BL14" s="36" t="b">
        <f t="shared" si="24"/>
        <v>0</v>
      </c>
      <c r="BM14" s="111"/>
      <c r="BN14" s="36" t="b">
        <f t="shared" si="24"/>
        <v>0</v>
      </c>
      <c r="BO14" s="72"/>
      <c r="BV14" s="60" t="str" cm="1">
        <f t="array" ref="BV14">IFERROR(EOMONTH(EOMONTH(_xlfn._xlws.FILTER(Table1[Planned Start],(Table1[Category]=$E14)*(Table1[SBU]=$F$5)*(Table1[Execution Year]=$E$5)*(Table1[Most curent]=TRUE)),0)-45,0)+1,"")</f>
        <v/>
      </c>
      <c r="BW14" s="60" t="str" cm="1">
        <f t="array" ref="BW14">IFERROR(EOMONTH(_xlfn._xlws.FILTER(Table1[Planned Award],(Table1[Category]=$E14)*(Table1[SBU]=$F$5)*(Table1[Execution Year]=$E$5)*(Table1[Most curent]=TRUE)),0),"")</f>
        <v/>
      </c>
      <c r="BX14" s="60" t="str" cm="1">
        <f t="array" ref="BX14">IFERROR(EOMONTH(EOMONTH(_xlfn._xlws.FILTER(Table1[Current Phase End],(Table1[Category]=$E14)*(Table1[SBU]=$F$5)*(Table1[Execution Year]=$E$5)*(Table1[Most curent]=TRUE)),0)-45,0)+1,"")</f>
        <v/>
      </c>
      <c r="BY14" s="60" t="str" cm="1">
        <f t="array" ref="BY14">IFERROR(IF(EOMONTH(_xlfn._xlws.FILTER(Table1[Revised Award],(Table1[Category]=$E14)*(Table1[SBU]=$F$5)*(Table1[Execution Year]=$E$5)*(Table1[Most curent]=TRUE)),0)=31,"",EOMONTH(_xlfn._xlws.FILTER(Table1[Revised Award],(Table1[Category]=$E14)*(Table1[SBU]=$F$5)*(Table1[Execution Year]=$E$5)*(Table1[Most curent]=TRUE)),0)),"")</f>
        <v/>
      </c>
      <c r="BZ14" s="60" t="str">
        <f t="shared" si="29"/>
        <v/>
      </c>
      <c r="CA14" s="60" t="str">
        <f t="shared" si="30"/>
        <v/>
      </c>
      <c r="CB14" s="60" t="str">
        <f t="shared" si="25"/>
        <v/>
      </c>
    </row>
    <row r="15" spans="1:81" ht="20.25" customHeight="1" thickTop="1" thickBot="1">
      <c r="B15" s="123"/>
      <c r="C15" s="71"/>
      <c r="D15" s="125"/>
      <c r="E15" s="35"/>
      <c r="F15" s="35"/>
      <c r="G15" s="36"/>
      <c r="H15" s="36"/>
      <c r="I15" s="36"/>
      <c r="J15" s="36">
        <f t="shared" si="26"/>
        <v>0</v>
      </c>
      <c r="K15" s="36">
        <f t="shared" si="27"/>
        <v>0</v>
      </c>
      <c r="L15" s="71"/>
      <c r="M15" s="71"/>
      <c r="N15" s="36" t="b">
        <f t="shared" si="28"/>
        <v>0</v>
      </c>
      <c r="O15" s="111"/>
      <c r="P15" s="36" t="b">
        <f t="shared" si="0"/>
        <v>0</v>
      </c>
      <c r="Q15" s="111"/>
      <c r="R15" s="36" t="b">
        <f t="shared" si="1"/>
        <v>0</v>
      </c>
      <c r="S15" s="111"/>
      <c r="T15" s="36" t="b">
        <f t="shared" si="2"/>
        <v>0</v>
      </c>
      <c r="U15" s="111"/>
      <c r="V15" s="36" t="b">
        <f t="shared" si="3"/>
        <v>0</v>
      </c>
      <c r="W15" s="111"/>
      <c r="X15" s="36" t="b">
        <f t="shared" si="4"/>
        <v>0</v>
      </c>
      <c r="Y15" s="111"/>
      <c r="Z15" s="36" t="b">
        <f t="shared" si="5"/>
        <v>0</v>
      </c>
      <c r="AA15" s="111"/>
      <c r="AB15" s="36" t="b">
        <f t="shared" si="6"/>
        <v>0</v>
      </c>
      <c r="AC15" s="111"/>
      <c r="AD15" s="36" t="b">
        <f t="shared" si="7"/>
        <v>0</v>
      </c>
      <c r="AE15" s="111"/>
      <c r="AF15" s="36" t="b">
        <f t="shared" si="8"/>
        <v>0</v>
      </c>
      <c r="AG15" s="111"/>
      <c r="AH15" s="36" t="b">
        <f t="shared" si="9"/>
        <v>0</v>
      </c>
      <c r="AI15" s="111"/>
      <c r="AJ15" s="36" t="b">
        <f t="shared" si="10"/>
        <v>0</v>
      </c>
      <c r="AK15" s="111"/>
      <c r="AL15" s="36" t="b">
        <f t="shared" si="11"/>
        <v>0</v>
      </c>
      <c r="AM15" s="111"/>
      <c r="AN15" s="36" t="b">
        <f t="shared" si="12"/>
        <v>0</v>
      </c>
      <c r="AO15" s="111"/>
      <c r="AP15" s="36" t="b">
        <f t="shared" si="13"/>
        <v>0</v>
      </c>
      <c r="AQ15" s="111"/>
      <c r="AR15" s="36" t="b">
        <f t="shared" si="14"/>
        <v>0</v>
      </c>
      <c r="AS15" s="111"/>
      <c r="AT15" s="36" t="b">
        <f t="shared" si="15"/>
        <v>0</v>
      </c>
      <c r="AU15" s="111"/>
      <c r="AV15" s="36" t="b">
        <f t="shared" si="16"/>
        <v>0</v>
      </c>
      <c r="AW15" s="111"/>
      <c r="AX15" s="36" t="b">
        <f t="shared" si="17"/>
        <v>0</v>
      </c>
      <c r="AY15" s="111"/>
      <c r="AZ15" s="36" t="b">
        <f t="shared" si="18"/>
        <v>0</v>
      </c>
      <c r="BA15" s="111"/>
      <c r="BB15" s="36" t="b">
        <f t="shared" si="19"/>
        <v>0</v>
      </c>
      <c r="BC15" s="111"/>
      <c r="BD15" s="36" t="b">
        <f t="shared" si="20"/>
        <v>0</v>
      </c>
      <c r="BE15" s="111"/>
      <c r="BF15" s="36" t="b">
        <f t="shared" si="21"/>
        <v>0</v>
      </c>
      <c r="BG15" s="111"/>
      <c r="BH15" s="36" t="b">
        <f t="shared" si="22"/>
        <v>0</v>
      </c>
      <c r="BI15" s="111"/>
      <c r="BJ15" s="36" t="b">
        <f t="shared" si="23"/>
        <v>0</v>
      </c>
      <c r="BK15" s="111"/>
      <c r="BL15" s="36" t="b">
        <f t="shared" si="24"/>
        <v>0</v>
      </c>
      <c r="BM15" s="111"/>
      <c r="BN15" s="36" t="b">
        <f t="shared" si="24"/>
        <v>0</v>
      </c>
      <c r="BO15" s="72"/>
      <c r="BV15" s="60" t="str" cm="1">
        <f t="array" ref="BV15">IFERROR(EOMONTH(EOMONTH(_xlfn._xlws.FILTER(Table1[Planned Start],(Table1[Category]=$E15)*(Table1[SBU]=$F$5)*(Table1[Execution Year]=$E$5)*(Table1[Most curent]=TRUE)),0)-45,0)+1,"")</f>
        <v/>
      </c>
      <c r="BW15" s="60" t="str" cm="1">
        <f t="array" ref="BW15">IFERROR(EOMONTH(_xlfn._xlws.FILTER(Table1[Planned Award],(Table1[Category]=$E15)*(Table1[SBU]=$F$5)*(Table1[Execution Year]=$E$5)*(Table1[Most curent]=TRUE)),0),"")</f>
        <v/>
      </c>
      <c r="BX15" s="60" t="str" cm="1">
        <f t="array" ref="BX15">IFERROR(EOMONTH(EOMONTH(_xlfn._xlws.FILTER(Table1[Current Phase End],(Table1[Category]=$E15)*(Table1[SBU]=$F$5)*(Table1[Execution Year]=$E$5)*(Table1[Most curent]=TRUE)),0)-45,0)+1,"")</f>
        <v/>
      </c>
      <c r="BY15" s="60" t="str" cm="1">
        <f t="array" ref="BY15">IFERROR(IF(EOMONTH(_xlfn._xlws.FILTER(Table1[Revised Award],(Table1[Category]=$E15)*(Table1[SBU]=$F$5)*(Table1[Execution Year]=$E$5)*(Table1[Most curent]=TRUE)),0)=31,"",EOMONTH(_xlfn._xlws.FILTER(Table1[Revised Award],(Table1[Category]=$E15)*(Table1[SBU]=$F$5)*(Table1[Execution Year]=$E$5)*(Table1[Most curent]=TRUE)),0)),"")</f>
        <v/>
      </c>
      <c r="BZ15" s="60" t="str">
        <f t="shared" si="29"/>
        <v/>
      </c>
      <c r="CA15" s="60" t="str">
        <f t="shared" si="30"/>
        <v/>
      </c>
      <c r="CB15" s="60" t="str">
        <f t="shared" si="25"/>
        <v/>
      </c>
    </row>
    <row r="16" spans="1:81" ht="20.25" customHeight="1" thickTop="1" thickBot="1">
      <c r="B16" s="123"/>
      <c r="C16" s="71"/>
      <c r="D16" s="125"/>
      <c r="E16" s="35"/>
      <c r="F16" s="35"/>
      <c r="G16" s="36"/>
      <c r="H16" s="36"/>
      <c r="I16" s="36"/>
      <c r="J16" s="36">
        <f t="shared" si="26"/>
        <v>0</v>
      </c>
      <c r="K16" s="36">
        <f t="shared" si="27"/>
        <v>0</v>
      </c>
      <c r="L16" s="71"/>
      <c r="M16" s="71"/>
      <c r="N16" s="36" t="b">
        <f t="shared" si="28"/>
        <v>0</v>
      </c>
      <c r="O16" s="111"/>
      <c r="P16" s="36" t="b">
        <f t="shared" si="0"/>
        <v>0</v>
      </c>
      <c r="Q16" s="111"/>
      <c r="R16" s="36" t="b">
        <f t="shared" si="1"/>
        <v>0</v>
      </c>
      <c r="S16" s="111"/>
      <c r="T16" s="36" t="b">
        <f t="shared" si="2"/>
        <v>0</v>
      </c>
      <c r="U16" s="111"/>
      <c r="V16" s="36" t="b">
        <f t="shared" si="3"/>
        <v>0</v>
      </c>
      <c r="W16" s="111"/>
      <c r="X16" s="36" t="b">
        <f t="shared" si="4"/>
        <v>0</v>
      </c>
      <c r="Y16" s="111"/>
      <c r="Z16" s="36" t="b">
        <f t="shared" si="5"/>
        <v>0</v>
      </c>
      <c r="AA16" s="111"/>
      <c r="AB16" s="36" t="b">
        <f t="shared" si="6"/>
        <v>0</v>
      </c>
      <c r="AC16" s="111"/>
      <c r="AD16" s="36" t="b">
        <f t="shared" si="7"/>
        <v>0</v>
      </c>
      <c r="AE16" s="111"/>
      <c r="AF16" s="36" t="b">
        <f t="shared" si="8"/>
        <v>0</v>
      </c>
      <c r="AG16" s="111"/>
      <c r="AH16" s="36" t="b">
        <f t="shared" si="9"/>
        <v>0</v>
      </c>
      <c r="AI16" s="111"/>
      <c r="AJ16" s="36" t="b">
        <f t="shared" si="10"/>
        <v>0</v>
      </c>
      <c r="AK16" s="111"/>
      <c r="AL16" s="36" t="b">
        <f t="shared" si="11"/>
        <v>0</v>
      </c>
      <c r="AM16" s="111"/>
      <c r="AN16" s="36" t="b">
        <f t="shared" si="12"/>
        <v>0</v>
      </c>
      <c r="AO16" s="111"/>
      <c r="AP16" s="36" t="b">
        <f t="shared" si="13"/>
        <v>0</v>
      </c>
      <c r="AQ16" s="111"/>
      <c r="AR16" s="36" t="b">
        <f t="shared" si="14"/>
        <v>0</v>
      </c>
      <c r="AS16" s="111"/>
      <c r="AT16" s="36" t="b">
        <f t="shared" si="15"/>
        <v>0</v>
      </c>
      <c r="AU16" s="111"/>
      <c r="AV16" s="36" t="b">
        <f t="shared" si="16"/>
        <v>0</v>
      </c>
      <c r="AW16" s="111"/>
      <c r="AX16" s="36" t="b">
        <f t="shared" si="17"/>
        <v>0</v>
      </c>
      <c r="AY16" s="111"/>
      <c r="AZ16" s="36" t="b">
        <f t="shared" si="18"/>
        <v>0</v>
      </c>
      <c r="BA16" s="111"/>
      <c r="BB16" s="36" t="b">
        <f t="shared" si="19"/>
        <v>0</v>
      </c>
      <c r="BC16" s="111"/>
      <c r="BD16" s="36" t="b">
        <f t="shared" si="20"/>
        <v>0</v>
      </c>
      <c r="BE16" s="111"/>
      <c r="BF16" s="36" t="b">
        <f t="shared" si="21"/>
        <v>0</v>
      </c>
      <c r="BG16" s="111"/>
      <c r="BH16" s="36" t="b">
        <f t="shared" si="22"/>
        <v>0</v>
      </c>
      <c r="BI16" s="111"/>
      <c r="BJ16" s="36" t="b">
        <f t="shared" si="23"/>
        <v>0</v>
      </c>
      <c r="BK16" s="111"/>
      <c r="BL16" s="36" t="b">
        <f t="shared" si="24"/>
        <v>0</v>
      </c>
      <c r="BM16" s="111"/>
      <c r="BN16" s="36" t="b">
        <f t="shared" si="24"/>
        <v>0</v>
      </c>
      <c r="BO16" s="72"/>
      <c r="BV16" s="60" t="str" cm="1">
        <f t="array" ref="BV16">IFERROR(EOMONTH(EOMONTH(_xlfn._xlws.FILTER(Table1[Planned Start],(Table1[Category]=$E16)*(Table1[SBU]=$F$5)*(Table1[Execution Year]=$E$5)*(Table1[Most curent]=TRUE)),0)-45,0)+1,"")</f>
        <v/>
      </c>
      <c r="BW16" s="60" t="str" cm="1">
        <f t="array" ref="BW16">IFERROR(EOMONTH(_xlfn._xlws.FILTER(Table1[Planned Award],(Table1[Category]=$E16)*(Table1[SBU]=$F$5)*(Table1[Execution Year]=$E$5)*(Table1[Most curent]=TRUE)),0),"")</f>
        <v/>
      </c>
      <c r="BX16" s="60" t="str" cm="1">
        <f t="array" ref="BX16">IFERROR(EOMONTH(EOMONTH(_xlfn._xlws.FILTER(Table1[Current Phase End],(Table1[Category]=$E16)*(Table1[SBU]=$F$5)*(Table1[Execution Year]=$E$5)*(Table1[Most curent]=TRUE)),0)-45,0)+1,"")</f>
        <v/>
      </c>
      <c r="BY16" s="60" t="str" cm="1">
        <f t="array" ref="BY16">IFERROR(IF(EOMONTH(_xlfn._xlws.FILTER(Table1[Revised Award],(Table1[Category]=$E16)*(Table1[SBU]=$F$5)*(Table1[Execution Year]=$E$5)*(Table1[Most curent]=TRUE)),0)=31,"",EOMONTH(_xlfn._xlws.FILTER(Table1[Revised Award],(Table1[Category]=$E16)*(Table1[SBU]=$F$5)*(Table1[Execution Year]=$E$5)*(Table1[Most curent]=TRUE)),0)),"")</f>
        <v/>
      </c>
      <c r="BZ16" s="60" t="str">
        <f t="shared" si="29"/>
        <v/>
      </c>
      <c r="CA16" s="60" t="str">
        <f t="shared" si="30"/>
        <v/>
      </c>
      <c r="CB16" s="60" t="str">
        <f t="shared" si="25"/>
        <v/>
      </c>
    </row>
    <row r="17" spans="2:80" ht="20.25" customHeight="1" thickTop="1" thickBot="1">
      <c r="B17" s="123"/>
      <c r="C17" s="71"/>
      <c r="D17" s="125"/>
      <c r="E17" s="35"/>
      <c r="F17" s="35"/>
      <c r="G17" s="36"/>
      <c r="H17" s="36"/>
      <c r="I17" s="36"/>
      <c r="J17" s="36">
        <f t="shared" si="26"/>
        <v>0</v>
      </c>
      <c r="K17" s="36">
        <f t="shared" si="27"/>
        <v>0</v>
      </c>
      <c r="L17" s="71"/>
      <c r="M17" s="71"/>
      <c r="N17" s="36" t="b">
        <f t="shared" si="28"/>
        <v>0</v>
      </c>
      <c r="O17" s="111"/>
      <c r="P17" s="36" t="b">
        <f t="shared" si="0"/>
        <v>0</v>
      </c>
      <c r="Q17" s="111"/>
      <c r="R17" s="36" t="b">
        <f t="shared" si="1"/>
        <v>0</v>
      </c>
      <c r="S17" s="111"/>
      <c r="T17" s="36" t="b">
        <f t="shared" si="2"/>
        <v>0</v>
      </c>
      <c r="U17" s="111"/>
      <c r="V17" s="36" t="b">
        <f t="shared" si="3"/>
        <v>0</v>
      </c>
      <c r="W17" s="111"/>
      <c r="X17" s="36" t="b">
        <f t="shared" si="4"/>
        <v>0</v>
      </c>
      <c r="Y17" s="111"/>
      <c r="Z17" s="36" t="b">
        <f t="shared" si="5"/>
        <v>0</v>
      </c>
      <c r="AA17" s="111"/>
      <c r="AB17" s="36" t="b">
        <f t="shared" si="6"/>
        <v>0</v>
      </c>
      <c r="AC17" s="111"/>
      <c r="AD17" s="36" t="b">
        <f t="shared" si="7"/>
        <v>0</v>
      </c>
      <c r="AE17" s="111"/>
      <c r="AF17" s="36" t="b">
        <f t="shared" si="8"/>
        <v>0</v>
      </c>
      <c r="AG17" s="111"/>
      <c r="AH17" s="36" t="b">
        <f t="shared" si="9"/>
        <v>0</v>
      </c>
      <c r="AI17" s="111"/>
      <c r="AJ17" s="36" t="b">
        <f t="shared" si="10"/>
        <v>0</v>
      </c>
      <c r="AK17" s="111"/>
      <c r="AL17" s="36" t="b">
        <f t="shared" si="11"/>
        <v>0</v>
      </c>
      <c r="AM17" s="111"/>
      <c r="AN17" s="36" t="b">
        <f t="shared" si="12"/>
        <v>0</v>
      </c>
      <c r="AO17" s="111"/>
      <c r="AP17" s="36" t="b">
        <f t="shared" si="13"/>
        <v>0</v>
      </c>
      <c r="AQ17" s="111"/>
      <c r="AR17" s="36" t="b">
        <f t="shared" si="14"/>
        <v>0</v>
      </c>
      <c r="AS17" s="111"/>
      <c r="AT17" s="36" t="b">
        <f t="shared" si="15"/>
        <v>0</v>
      </c>
      <c r="AU17" s="111"/>
      <c r="AV17" s="36" t="b">
        <f t="shared" si="16"/>
        <v>0</v>
      </c>
      <c r="AW17" s="111"/>
      <c r="AX17" s="36" t="b">
        <f t="shared" si="17"/>
        <v>0</v>
      </c>
      <c r="AY17" s="111"/>
      <c r="AZ17" s="36" t="b">
        <f t="shared" si="18"/>
        <v>0</v>
      </c>
      <c r="BA17" s="111"/>
      <c r="BB17" s="36" t="b">
        <f t="shared" si="19"/>
        <v>0</v>
      </c>
      <c r="BC17" s="111"/>
      <c r="BD17" s="36" t="b">
        <f t="shared" si="20"/>
        <v>0</v>
      </c>
      <c r="BE17" s="111"/>
      <c r="BF17" s="36" t="b">
        <f t="shared" si="21"/>
        <v>0</v>
      </c>
      <c r="BG17" s="111"/>
      <c r="BH17" s="36" t="b">
        <f t="shared" si="22"/>
        <v>0</v>
      </c>
      <c r="BI17" s="111"/>
      <c r="BJ17" s="36" t="b">
        <f t="shared" si="23"/>
        <v>0</v>
      </c>
      <c r="BK17" s="111"/>
      <c r="BL17" s="36" t="b">
        <f t="shared" si="24"/>
        <v>0</v>
      </c>
      <c r="BM17" s="111"/>
      <c r="BN17" s="36" t="b">
        <f t="shared" si="24"/>
        <v>0</v>
      </c>
      <c r="BO17" s="72"/>
      <c r="BV17" s="60" t="str" cm="1">
        <f t="array" ref="BV17">IFERROR(EOMONTH(EOMONTH(_xlfn._xlws.FILTER(Table1[Planned Start],(Table1[Category]=$E17)*(Table1[SBU]=$F$5)*(Table1[Execution Year]=$E$5)*(Table1[Most curent]=TRUE)),0)-45,0)+1,"")</f>
        <v/>
      </c>
      <c r="BW17" s="60" t="str" cm="1">
        <f t="array" ref="BW17">IFERROR(EOMONTH(_xlfn._xlws.FILTER(Table1[Planned Award],(Table1[Category]=$E17)*(Table1[SBU]=$F$5)*(Table1[Execution Year]=$E$5)*(Table1[Most curent]=TRUE)),0),"")</f>
        <v/>
      </c>
      <c r="BX17" s="60" t="str" cm="1">
        <f t="array" ref="BX17">IFERROR(EOMONTH(EOMONTH(_xlfn._xlws.FILTER(Table1[Current Phase End],(Table1[Category]=$E17)*(Table1[SBU]=$F$5)*(Table1[Execution Year]=$E$5)*(Table1[Most curent]=TRUE)),0)-45,0)+1,"")</f>
        <v/>
      </c>
      <c r="BY17" s="60" t="str" cm="1">
        <f t="array" ref="BY17">IFERROR(IF(EOMONTH(_xlfn._xlws.FILTER(Table1[Revised Award],(Table1[Category]=$E17)*(Table1[SBU]=$F$5)*(Table1[Execution Year]=$E$5)*(Table1[Most curent]=TRUE)),0)=31,"",EOMONTH(_xlfn._xlws.FILTER(Table1[Revised Award],(Table1[Category]=$E17)*(Table1[SBU]=$F$5)*(Table1[Execution Year]=$E$5)*(Table1[Most curent]=TRUE)),0)),"")</f>
        <v/>
      </c>
      <c r="BZ17" s="60" t="str">
        <f t="shared" si="29"/>
        <v/>
      </c>
      <c r="CA17" s="60" t="str">
        <f t="shared" si="30"/>
        <v/>
      </c>
      <c r="CB17" s="60" t="str">
        <f t="shared" si="25"/>
        <v/>
      </c>
    </row>
    <row r="18" spans="2:80" ht="20.25" customHeight="1" thickTop="1" thickBot="1">
      <c r="B18" s="123"/>
      <c r="C18" s="71"/>
      <c r="D18" s="125"/>
      <c r="E18" s="35"/>
      <c r="F18" s="35"/>
      <c r="G18" s="36"/>
      <c r="H18" s="36"/>
      <c r="I18" s="36"/>
      <c r="J18" s="36">
        <f t="shared" si="26"/>
        <v>0</v>
      </c>
      <c r="K18" s="36">
        <f t="shared" si="27"/>
        <v>0</v>
      </c>
      <c r="L18" s="71"/>
      <c r="M18" s="71"/>
      <c r="N18" s="36" t="b">
        <f t="shared" si="28"/>
        <v>0</v>
      </c>
      <c r="O18" s="111"/>
      <c r="P18" s="36" t="b">
        <f t="shared" si="0"/>
        <v>0</v>
      </c>
      <c r="Q18" s="111"/>
      <c r="R18" s="36" t="b">
        <f t="shared" si="1"/>
        <v>0</v>
      </c>
      <c r="S18" s="111"/>
      <c r="T18" s="36" t="b">
        <f t="shared" si="2"/>
        <v>0</v>
      </c>
      <c r="U18" s="111"/>
      <c r="V18" s="36" t="b">
        <f t="shared" si="3"/>
        <v>0</v>
      </c>
      <c r="W18" s="111"/>
      <c r="X18" s="36" t="b">
        <f t="shared" si="4"/>
        <v>0</v>
      </c>
      <c r="Y18" s="111"/>
      <c r="Z18" s="36" t="b">
        <f t="shared" si="5"/>
        <v>0</v>
      </c>
      <c r="AA18" s="111"/>
      <c r="AB18" s="36" t="b">
        <f t="shared" si="6"/>
        <v>0</v>
      </c>
      <c r="AC18" s="111"/>
      <c r="AD18" s="36" t="b">
        <f t="shared" si="7"/>
        <v>0</v>
      </c>
      <c r="AE18" s="111"/>
      <c r="AF18" s="36" t="b">
        <f t="shared" si="8"/>
        <v>0</v>
      </c>
      <c r="AG18" s="111"/>
      <c r="AH18" s="36" t="b">
        <f t="shared" si="9"/>
        <v>0</v>
      </c>
      <c r="AI18" s="111"/>
      <c r="AJ18" s="36" t="b">
        <f t="shared" si="10"/>
        <v>0</v>
      </c>
      <c r="AK18" s="111"/>
      <c r="AL18" s="36" t="b">
        <f t="shared" si="11"/>
        <v>0</v>
      </c>
      <c r="AM18" s="111"/>
      <c r="AN18" s="36" t="b">
        <f t="shared" si="12"/>
        <v>0</v>
      </c>
      <c r="AO18" s="111"/>
      <c r="AP18" s="36" t="b">
        <f t="shared" si="13"/>
        <v>0</v>
      </c>
      <c r="AQ18" s="111"/>
      <c r="AR18" s="36" t="b">
        <f t="shared" si="14"/>
        <v>0</v>
      </c>
      <c r="AS18" s="111"/>
      <c r="AT18" s="36" t="b">
        <f t="shared" si="15"/>
        <v>0</v>
      </c>
      <c r="AU18" s="111"/>
      <c r="AV18" s="36" t="b">
        <f t="shared" si="16"/>
        <v>0</v>
      </c>
      <c r="AW18" s="111"/>
      <c r="AX18" s="36" t="b">
        <f t="shared" si="17"/>
        <v>0</v>
      </c>
      <c r="AY18" s="111"/>
      <c r="AZ18" s="36" t="b">
        <f t="shared" si="18"/>
        <v>0</v>
      </c>
      <c r="BA18" s="111"/>
      <c r="BB18" s="36" t="b">
        <f t="shared" si="19"/>
        <v>0</v>
      </c>
      <c r="BC18" s="111"/>
      <c r="BD18" s="36" t="b">
        <f t="shared" si="20"/>
        <v>0</v>
      </c>
      <c r="BE18" s="111"/>
      <c r="BF18" s="36" t="b">
        <f t="shared" si="21"/>
        <v>0</v>
      </c>
      <c r="BG18" s="111"/>
      <c r="BH18" s="36" t="b">
        <f t="shared" si="22"/>
        <v>0</v>
      </c>
      <c r="BI18" s="111"/>
      <c r="BJ18" s="36" t="b">
        <f t="shared" si="23"/>
        <v>0</v>
      </c>
      <c r="BK18" s="111"/>
      <c r="BL18" s="36" t="b">
        <f t="shared" si="24"/>
        <v>0</v>
      </c>
      <c r="BM18" s="111"/>
      <c r="BN18" s="36" t="b">
        <f t="shared" si="24"/>
        <v>0</v>
      </c>
      <c r="BO18" s="72"/>
      <c r="BV18" s="60" t="str" cm="1">
        <f t="array" ref="BV18">IFERROR(EOMONTH(EOMONTH(_xlfn._xlws.FILTER(Table1[Planned Start],(Table1[Category]=$E18)*(Table1[SBU]=$F$5)*(Table1[Execution Year]=$E$5)*(Table1[Most curent]=TRUE)),0)-45,0)+1,"")</f>
        <v/>
      </c>
      <c r="BW18" s="60" t="str" cm="1">
        <f t="array" ref="BW18">IFERROR(EOMONTH(_xlfn._xlws.FILTER(Table1[Planned Award],(Table1[Category]=$E18)*(Table1[SBU]=$F$5)*(Table1[Execution Year]=$E$5)*(Table1[Most curent]=TRUE)),0),"")</f>
        <v/>
      </c>
      <c r="BX18" s="60" t="str" cm="1">
        <f t="array" ref="BX18">IFERROR(EOMONTH(EOMONTH(_xlfn._xlws.FILTER(Table1[Current Phase End],(Table1[Category]=$E18)*(Table1[SBU]=$F$5)*(Table1[Execution Year]=$E$5)*(Table1[Most curent]=TRUE)),0)-45,0)+1,"")</f>
        <v/>
      </c>
      <c r="BY18" s="60" t="str" cm="1">
        <f t="array" ref="BY18">IFERROR(IF(EOMONTH(_xlfn._xlws.FILTER(Table1[Revised Award],(Table1[Category]=$E18)*(Table1[SBU]=$F$5)*(Table1[Execution Year]=$E$5)*(Table1[Most curent]=TRUE)),0)=31,"",EOMONTH(_xlfn._xlws.FILTER(Table1[Revised Award],(Table1[Category]=$E18)*(Table1[SBU]=$F$5)*(Table1[Execution Year]=$E$5)*(Table1[Most curent]=TRUE)),0)),"")</f>
        <v/>
      </c>
      <c r="BZ18" s="60" t="str">
        <f t="shared" si="29"/>
        <v/>
      </c>
      <c r="CA18" s="60" t="str">
        <f t="shared" si="30"/>
        <v/>
      </c>
      <c r="CB18" s="60" t="str">
        <f t="shared" si="25"/>
        <v/>
      </c>
    </row>
    <row r="19" spans="2:80" ht="20.25" customHeight="1" thickTop="1" thickBot="1">
      <c r="B19" s="123"/>
      <c r="C19" s="71"/>
      <c r="D19" s="125"/>
      <c r="E19" s="35"/>
      <c r="F19" s="35"/>
      <c r="G19" s="36"/>
      <c r="H19" s="36"/>
      <c r="I19" s="36"/>
      <c r="J19" s="36">
        <f t="shared" si="26"/>
        <v>0</v>
      </c>
      <c r="K19" s="36">
        <f t="shared" si="27"/>
        <v>0</v>
      </c>
      <c r="L19" s="71"/>
      <c r="M19" s="71"/>
      <c r="N19" s="36" t="b">
        <f t="shared" si="28"/>
        <v>0</v>
      </c>
      <c r="O19" s="111"/>
      <c r="P19" s="36" t="b">
        <f t="shared" si="0"/>
        <v>0</v>
      </c>
      <c r="Q19" s="111"/>
      <c r="R19" s="36" t="b">
        <f t="shared" si="1"/>
        <v>0</v>
      </c>
      <c r="S19" s="111"/>
      <c r="T19" s="36" t="b">
        <f t="shared" si="2"/>
        <v>0</v>
      </c>
      <c r="U19" s="111"/>
      <c r="V19" s="36" t="b">
        <f t="shared" si="3"/>
        <v>0</v>
      </c>
      <c r="W19" s="111"/>
      <c r="X19" s="36" t="b">
        <f t="shared" si="4"/>
        <v>0</v>
      </c>
      <c r="Y19" s="111"/>
      <c r="Z19" s="36" t="b">
        <f t="shared" si="5"/>
        <v>0</v>
      </c>
      <c r="AA19" s="111"/>
      <c r="AB19" s="36" t="b">
        <f t="shared" si="6"/>
        <v>0</v>
      </c>
      <c r="AC19" s="111"/>
      <c r="AD19" s="36" t="b">
        <f t="shared" si="7"/>
        <v>0</v>
      </c>
      <c r="AE19" s="111"/>
      <c r="AF19" s="36" t="b">
        <f t="shared" si="8"/>
        <v>0</v>
      </c>
      <c r="AG19" s="111"/>
      <c r="AH19" s="36" t="b">
        <f t="shared" si="9"/>
        <v>0</v>
      </c>
      <c r="AI19" s="111"/>
      <c r="AJ19" s="36" t="b">
        <f t="shared" si="10"/>
        <v>0</v>
      </c>
      <c r="AK19" s="111"/>
      <c r="AL19" s="36" t="b">
        <f t="shared" si="11"/>
        <v>0</v>
      </c>
      <c r="AM19" s="111"/>
      <c r="AN19" s="36" t="b">
        <f t="shared" si="12"/>
        <v>0</v>
      </c>
      <c r="AO19" s="111"/>
      <c r="AP19" s="36" t="b">
        <f t="shared" si="13"/>
        <v>0</v>
      </c>
      <c r="AQ19" s="111"/>
      <c r="AR19" s="36" t="b">
        <f t="shared" si="14"/>
        <v>0</v>
      </c>
      <c r="AS19" s="111"/>
      <c r="AT19" s="36" t="b">
        <f t="shared" si="15"/>
        <v>0</v>
      </c>
      <c r="AU19" s="111"/>
      <c r="AV19" s="36" t="b">
        <f t="shared" si="16"/>
        <v>0</v>
      </c>
      <c r="AW19" s="111"/>
      <c r="AX19" s="36" t="b">
        <f t="shared" si="17"/>
        <v>0</v>
      </c>
      <c r="AY19" s="111"/>
      <c r="AZ19" s="36" t="b">
        <f t="shared" si="18"/>
        <v>0</v>
      </c>
      <c r="BA19" s="111"/>
      <c r="BB19" s="36" t="b">
        <f t="shared" si="19"/>
        <v>0</v>
      </c>
      <c r="BC19" s="111"/>
      <c r="BD19" s="36" t="b">
        <f t="shared" si="20"/>
        <v>0</v>
      </c>
      <c r="BE19" s="111"/>
      <c r="BF19" s="36" t="b">
        <f t="shared" si="21"/>
        <v>0</v>
      </c>
      <c r="BG19" s="111"/>
      <c r="BH19" s="36" t="b">
        <f t="shared" si="22"/>
        <v>0</v>
      </c>
      <c r="BI19" s="111"/>
      <c r="BJ19" s="36" t="b">
        <f t="shared" si="23"/>
        <v>0</v>
      </c>
      <c r="BK19" s="111"/>
      <c r="BL19" s="36" t="b">
        <f t="shared" si="24"/>
        <v>0</v>
      </c>
      <c r="BM19" s="111"/>
      <c r="BN19" s="36" t="b">
        <f t="shared" si="24"/>
        <v>0</v>
      </c>
      <c r="BO19" s="72"/>
      <c r="BV19" s="60" t="str" cm="1">
        <f t="array" ref="BV19">IFERROR(EOMONTH(EOMONTH(_xlfn._xlws.FILTER(Table1[Planned Start],(Table1[Category]=$E19)*(Table1[SBU]=$F$5)*(Table1[Execution Year]=$E$5)*(Table1[Most curent]=TRUE)),0)-45,0)+1,"")</f>
        <v/>
      </c>
      <c r="BW19" s="60" t="str" cm="1">
        <f t="array" ref="BW19">IFERROR(EOMONTH(_xlfn._xlws.FILTER(Table1[Planned Award],(Table1[Category]=$E19)*(Table1[SBU]=$F$5)*(Table1[Execution Year]=$E$5)*(Table1[Most curent]=TRUE)),0),"")</f>
        <v/>
      </c>
      <c r="BX19" s="60" t="str" cm="1">
        <f t="array" ref="BX19">IFERROR(EOMONTH(EOMONTH(_xlfn._xlws.FILTER(Table1[Current Phase End],(Table1[Category]=$E19)*(Table1[SBU]=$F$5)*(Table1[Execution Year]=$E$5)*(Table1[Most curent]=TRUE)),0)-45,0)+1,"")</f>
        <v/>
      </c>
      <c r="BY19" s="60" t="str" cm="1">
        <f t="array" ref="BY19">IFERROR(IF(EOMONTH(_xlfn._xlws.FILTER(Table1[Revised Award],(Table1[Category]=$E19)*(Table1[SBU]=$F$5)*(Table1[Execution Year]=$E$5)*(Table1[Most curent]=TRUE)),0)=31,"",EOMONTH(_xlfn._xlws.FILTER(Table1[Revised Award],(Table1[Category]=$E19)*(Table1[SBU]=$F$5)*(Table1[Execution Year]=$E$5)*(Table1[Most curent]=TRUE)),0)),"")</f>
        <v/>
      </c>
      <c r="BZ19" s="60" t="str">
        <f t="shared" si="29"/>
        <v/>
      </c>
      <c r="CA19" s="60" t="str">
        <f t="shared" si="30"/>
        <v/>
      </c>
      <c r="CB19" s="60" t="str">
        <f t="shared" si="25"/>
        <v/>
      </c>
    </row>
    <row r="20" spans="2:80" ht="20.25" customHeight="1" thickTop="1" thickBot="1">
      <c r="B20" s="123"/>
      <c r="C20" s="71"/>
      <c r="D20" s="125"/>
      <c r="E20" s="35"/>
      <c r="F20" s="35"/>
      <c r="G20" s="36"/>
      <c r="H20" s="36"/>
      <c r="I20" s="36"/>
      <c r="J20" s="36">
        <f t="shared" si="26"/>
        <v>0</v>
      </c>
      <c r="K20" s="36">
        <f t="shared" si="27"/>
        <v>0</v>
      </c>
      <c r="L20" s="71"/>
      <c r="M20" s="71"/>
      <c r="N20" s="36" t="b">
        <f t="shared" si="28"/>
        <v>0</v>
      </c>
      <c r="O20" s="111"/>
      <c r="P20" s="36" t="b">
        <f t="shared" si="0"/>
        <v>0</v>
      </c>
      <c r="Q20" s="111"/>
      <c r="R20" s="36" t="b">
        <f t="shared" si="1"/>
        <v>0</v>
      </c>
      <c r="S20" s="111"/>
      <c r="T20" s="36" t="b">
        <f t="shared" si="2"/>
        <v>0</v>
      </c>
      <c r="U20" s="111"/>
      <c r="V20" s="36" t="b">
        <f t="shared" si="3"/>
        <v>0</v>
      </c>
      <c r="W20" s="111"/>
      <c r="X20" s="36" t="b">
        <f t="shared" si="4"/>
        <v>0</v>
      </c>
      <c r="Y20" s="111"/>
      <c r="Z20" s="36" t="b">
        <f t="shared" si="5"/>
        <v>0</v>
      </c>
      <c r="AA20" s="111"/>
      <c r="AB20" s="36" t="b">
        <f t="shared" si="6"/>
        <v>0</v>
      </c>
      <c r="AC20" s="111"/>
      <c r="AD20" s="36" t="b">
        <f t="shared" si="7"/>
        <v>0</v>
      </c>
      <c r="AE20" s="111"/>
      <c r="AF20" s="36" t="b">
        <f t="shared" si="8"/>
        <v>0</v>
      </c>
      <c r="AG20" s="111"/>
      <c r="AH20" s="36" t="b">
        <f t="shared" si="9"/>
        <v>0</v>
      </c>
      <c r="AI20" s="111"/>
      <c r="AJ20" s="36" t="b">
        <f t="shared" si="10"/>
        <v>0</v>
      </c>
      <c r="AK20" s="111"/>
      <c r="AL20" s="36" t="b">
        <f t="shared" si="11"/>
        <v>0</v>
      </c>
      <c r="AM20" s="111"/>
      <c r="AN20" s="36" t="b">
        <f t="shared" si="12"/>
        <v>0</v>
      </c>
      <c r="AO20" s="111"/>
      <c r="AP20" s="36" t="b">
        <f t="shared" si="13"/>
        <v>0</v>
      </c>
      <c r="AQ20" s="111"/>
      <c r="AR20" s="36" t="b">
        <f t="shared" si="14"/>
        <v>0</v>
      </c>
      <c r="AS20" s="111"/>
      <c r="AT20" s="36" t="b">
        <f t="shared" si="15"/>
        <v>0</v>
      </c>
      <c r="AU20" s="111"/>
      <c r="AV20" s="36" t="b">
        <f t="shared" si="16"/>
        <v>0</v>
      </c>
      <c r="AW20" s="111"/>
      <c r="AX20" s="36" t="b">
        <f t="shared" si="17"/>
        <v>0</v>
      </c>
      <c r="AY20" s="111"/>
      <c r="AZ20" s="36" t="b">
        <f t="shared" si="18"/>
        <v>0</v>
      </c>
      <c r="BA20" s="111"/>
      <c r="BB20" s="36" t="b">
        <f t="shared" si="19"/>
        <v>0</v>
      </c>
      <c r="BC20" s="111"/>
      <c r="BD20" s="36" t="b">
        <f t="shared" si="20"/>
        <v>0</v>
      </c>
      <c r="BE20" s="111"/>
      <c r="BF20" s="36" t="b">
        <f t="shared" si="21"/>
        <v>0</v>
      </c>
      <c r="BG20" s="111"/>
      <c r="BH20" s="36" t="b">
        <f t="shared" si="22"/>
        <v>0</v>
      </c>
      <c r="BI20" s="111"/>
      <c r="BJ20" s="36" t="b">
        <f t="shared" si="23"/>
        <v>0</v>
      </c>
      <c r="BK20" s="111"/>
      <c r="BL20" s="36" t="b">
        <f t="shared" si="24"/>
        <v>0</v>
      </c>
      <c r="BM20" s="111"/>
      <c r="BN20" s="36" t="b">
        <f t="shared" si="24"/>
        <v>0</v>
      </c>
      <c r="BO20" s="72"/>
      <c r="BV20" s="60" t="str" cm="1">
        <f t="array" ref="BV20">IFERROR(EOMONTH(EOMONTH(_xlfn._xlws.FILTER(Table1[Planned Start],(Table1[Category]=$E20)*(Table1[SBU]=$F$5)*(Table1[Execution Year]=$E$5)*(Table1[Most curent]=TRUE)),0)-45,0)+1,"")</f>
        <v/>
      </c>
      <c r="BW20" s="60" t="str" cm="1">
        <f t="array" ref="BW20">IFERROR(EOMONTH(_xlfn._xlws.FILTER(Table1[Planned Award],(Table1[Category]=$E20)*(Table1[SBU]=$F$5)*(Table1[Execution Year]=$E$5)*(Table1[Most curent]=TRUE)),0),"")</f>
        <v/>
      </c>
      <c r="BX20" s="60" t="str" cm="1">
        <f t="array" ref="BX20">IFERROR(EOMONTH(EOMONTH(_xlfn._xlws.FILTER(Table1[Current Phase End],(Table1[Category]=$E20)*(Table1[SBU]=$F$5)*(Table1[Execution Year]=$E$5)*(Table1[Most curent]=TRUE)),0)-45,0)+1,"")</f>
        <v/>
      </c>
      <c r="BY20" s="60" t="str" cm="1">
        <f t="array" ref="BY20">IFERROR(IF(EOMONTH(_xlfn._xlws.FILTER(Table1[Revised Award],(Table1[Category]=$E20)*(Table1[SBU]=$F$5)*(Table1[Execution Year]=$E$5)*(Table1[Most curent]=TRUE)),0)=31,"",EOMONTH(_xlfn._xlws.FILTER(Table1[Revised Award],(Table1[Category]=$E20)*(Table1[SBU]=$F$5)*(Table1[Execution Year]=$E$5)*(Table1[Most curent]=TRUE)),0)),"")</f>
        <v/>
      </c>
      <c r="BZ20" s="60" t="str">
        <f t="shared" si="29"/>
        <v/>
      </c>
      <c r="CA20" s="60" t="str">
        <f t="shared" si="30"/>
        <v/>
      </c>
      <c r="CB20" s="60" t="str">
        <f t="shared" si="25"/>
        <v/>
      </c>
    </row>
    <row r="21" spans="2:80" ht="20.25" customHeight="1" thickTop="1" thickBot="1">
      <c r="B21" s="123"/>
      <c r="C21" s="71"/>
      <c r="D21" s="125"/>
      <c r="E21" s="35"/>
      <c r="F21" s="35"/>
      <c r="G21" s="36"/>
      <c r="H21" s="36"/>
      <c r="I21" s="36"/>
      <c r="J21" s="36">
        <f t="shared" si="26"/>
        <v>0</v>
      </c>
      <c r="K21" s="36">
        <f t="shared" si="27"/>
        <v>0</v>
      </c>
      <c r="L21" s="71"/>
      <c r="M21" s="71"/>
      <c r="N21" s="36" t="b">
        <f t="shared" si="28"/>
        <v>0</v>
      </c>
      <c r="O21" s="111"/>
      <c r="P21" s="36" t="b">
        <f t="shared" si="0"/>
        <v>0</v>
      </c>
      <c r="Q21" s="111"/>
      <c r="R21" s="36" t="b">
        <f t="shared" si="1"/>
        <v>0</v>
      </c>
      <c r="S21" s="111"/>
      <c r="T21" s="36" t="b">
        <f t="shared" si="2"/>
        <v>0</v>
      </c>
      <c r="U21" s="111"/>
      <c r="V21" s="36" t="b">
        <f t="shared" si="3"/>
        <v>0</v>
      </c>
      <c r="W21" s="111"/>
      <c r="X21" s="36" t="b">
        <f t="shared" si="4"/>
        <v>0</v>
      </c>
      <c r="Y21" s="111"/>
      <c r="Z21" s="36" t="b">
        <f t="shared" si="5"/>
        <v>0</v>
      </c>
      <c r="AA21" s="111"/>
      <c r="AB21" s="36" t="b">
        <f t="shared" si="6"/>
        <v>0</v>
      </c>
      <c r="AC21" s="111"/>
      <c r="AD21" s="36" t="b">
        <f t="shared" si="7"/>
        <v>0</v>
      </c>
      <c r="AE21" s="111"/>
      <c r="AF21" s="36" t="b">
        <f t="shared" si="8"/>
        <v>0</v>
      </c>
      <c r="AG21" s="111"/>
      <c r="AH21" s="36" t="b">
        <f t="shared" si="9"/>
        <v>0</v>
      </c>
      <c r="AI21" s="111"/>
      <c r="AJ21" s="36" t="b">
        <f t="shared" si="10"/>
        <v>0</v>
      </c>
      <c r="AK21" s="111"/>
      <c r="AL21" s="36" t="b">
        <f t="shared" si="11"/>
        <v>0</v>
      </c>
      <c r="AM21" s="111"/>
      <c r="AN21" s="36" t="b">
        <f t="shared" si="12"/>
        <v>0</v>
      </c>
      <c r="AO21" s="111"/>
      <c r="AP21" s="36" t="b">
        <f t="shared" si="13"/>
        <v>0</v>
      </c>
      <c r="AQ21" s="111"/>
      <c r="AR21" s="36" t="b">
        <f t="shared" si="14"/>
        <v>0</v>
      </c>
      <c r="AS21" s="111"/>
      <c r="AT21" s="36" t="b">
        <f t="shared" si="15"/>
        <v>0</v>
      </c>
      <c r="AU21" s="111"/>
      <c r="AV21" s="36" t="b">
        <f t="shared" si="16"/>
        <v>0</v>
      </c>
      <c r="AW21" s="111"/>
      <c r="AX21" s="36" t="b">
        <f t="shared" si="17"/>
        <v>0</v>
      </c>
      <c r="AY21" s="111"/>
      <c r="AZ21" s="36" t="b">
        <f t="shared" si="18"/>
        <v>0</v>
      </c>
      <c r="BA21" s="111"/>
      <c r="BB21" s="36" t="b">
        <f t="shared" si="19"/>
        <v>0</v>
      </c>
      <c r="BC21" s="111"/>
      <c r="BD21" s="36" t="b">
        <f t="shared" si="20"/>
        <v>0</v>
      </c>
      <c r="BE21" s="111"/>
      <c r="BF21" s="36" t="b">
        <f t="shared" si="21"/>
        <v>0</v>
      </c>
      <c r="BG21" s="111"/>
      <c r="BH21" s="36" t="b">
        <f t="shared" si="22"/>
        <v>0</v>
      </c>
      <c r="BI21" s="111"/>
      <c r="BJ21" s="36" t="b">
        <f t="shared" si="23"/>
        <v>0</v>
      </c>
      <c r="BK21" s="111"/>
      <c r="BL21" s="36" t="b">
        <f t="shared" si="24"/>
        <v>0</v>
      </c>
      <c r="BM21" s="111"/>
      <c r="BN21" s="36" t="b">
        <f t="shared" si="24"/>
        <v>0</v>
      </c>
      <c r="BO21" s="72"/>
      <c r="BV21" s="60" t="str" cm="1">
        <f t="array" ref="BV21">IFERROR(EOMONTH(EOMONTH(_xlfn._xlws.FILTER(Table1[Planned Start],(Table1[Category]=$E21)*(Table1[SBU]=$F$5)*(Table1[Execution Year]=$E$5)*(Table1[Most curent]=TRUE)),0)-45,0)+1,"")</f>
        <v/>
      </c>
      <c r="BW21" s="60" t="str" cm="1">
        <f t="array" ref="BW21">IFERROR(EOMONTH(_xlfn._xlws.FILTER(Table1[Planned Award],(Table1[Category]=$E21)*(Table1[SBU]=$F$5)*(Table1[Execution Year]=$E$5)*(Table1[Most curent]=TRUE)),0),"")</f>
        <v/>
      </c>
      <c r="BX21" s="60" t="str" cm="1">
        <f t="array" ref="BX21">IFERROR(EOMONTH(EOMONTH(_xlfn._xlws.FILTER(Table1[Current Phase End],(Table1[Category]=$E21)*(Table1[SBU]=$F$5)*(Table1[Execution Year]=$E$5)*(Table1[Most curent]=TRUE)),0)-45,0)+1,"")</f>
        <v/>
      </c>
      <c r="BY21" s="60" t="str" cm="1">
        <f t="array" ref="BY21">IFERROR(IF(EOMONTH(_xlfn._xlws.FILTER(Table1[Revised Award],(Table1[Category]=$E21)*(Table1[SBU]=$F$5)*(Table1[Execution Year]=$E$5)*(Table1[Most curent]=TRUE)),0)=31,"",EOMONTH(_xlfn._xlws.FILTER(Table1[Revised Award],(Table1[Category]=$E21)*(Table1[SBU]=$F$5)*(Table1[Execution Year]=$E$5)*(Table1[Most curent]=TRUE)),0)),"")</f>
        <v/>
      </c>
      <c r="BZ21" s="60" t="str">
        <f t="shared" si="29"/>
        <v/>
      </c>
      <c r="CA21" s="60" t="str">
        <f t="shared" si="30"/>
        <v/>
      </c>
      <c r="CB21" s="60" t="str">
        <f t="shared" si="25"/>
        <v/>
      </c>
    </row>
    <row r="22" spans="2:80" ht="18" customHeight="1" thickTop="1" thickBot="1">
      <c r="B22" s="123"/>
      <c r="C22" s="71"/>
      <c r="D22" s="125"/>
      <c r="E22" s="35"/>
      <c r="F22" s="35"/>
      <c r="G22" s="36"/>
      <c r="H22" s="36"/>
      <c r="I22" s="36"/>
      <c r="J22" s="36">
        <f t="shared" si="26"/>
        <v>0</v>
      </c>
      <c r="K22" s="36">
        <f t="shared" si="27"/>
        <v>0</v>
      </c>
      <c r="L22" s="71"/>
      <c r="M22" s="71"/>
      <c r="N22" s="36" t="b">
        <f t="shared" si="28"/>
        <v>0</v>
      </c>
      <c r="O22" s="111"/>
      <c r="P22" s="36" t="b">
        <f t="shared" si="0"/>
        <v>0</v>
      </c>
      <c r="Q22" s="111"/>
      <c r="R22" s="36" t="b">
        <f t="shared" si="1"/>
        <v>0</v>
      </c>
      <c r="S22" s="111"/>
      <c r="T22" s="36" t="b">
        <f t="shared" si="2"/>
        <v>0</v>
      </c>
      <c r="U22" s="111"/>
      <c r="V22" s="36" t="b">
        <f t="shared" si="3"/>
        <v>0</v>
      </c>
      <c r="W22" s="111"/>
      <c r="X22" s="36" t="b">
        <f t="shared" si="4"/>
        <v>0</v>
      </c>
      <c r="Y22" s="111"/>
      <c r="Z22" s="36" t="b">
        <f t="shared" si="5"/>
        <v>0</v>
      </c>
      <c r="AA22" s="111"/>
      <c r="AB22" s="36" t="b">
        <f t="shared" si="6"/>
        <v>0</v>
      </c>
      <c r="AC22" s="111"/>
      <c r="AD22" s="36" t="b">
        <f t="shared" si="7"/>
        <v>0</v>
      </c>
      <c r="AE22" s="111"/>
      <c r="AF22" s="36" t="b">
        <f t="shared" si="8"/>
        <v>0</v>
      </c>
      <c r="AG22" s="111"/>
      <c r="AH22" s="36" t="b">
        <f t="shared" si="9"/>
        <v>0</v>
      </c>
      <c r="AI22" s="111"/>
      <c r="AJ22" s="36" t="b">
        <f t="shared" si="10"/>
        <v>0</v>
      </c>
      <c r="AK22" s="111"/>
      <c r="AL22" s="36" t="b">
        <f t="shared" si="11"/>
        <v>0</v>
      </c>
      <c r="AM22" s="111"/>
      <c r="AN22" s="36" t="b">
        <f t="shared" si="12"/>
        <v>0</v>
      </c>
      <c r="AO22" s="111"/>
      <c r="AP22" s="36" t="b">
        <f t="shared" si="13"/>
        <v>0</v>
      </c>
      <c r="AQ22" s="111"/>
      <c r="AR22" s="36" t="b">
        <f t="shared" si="14"/>
        <v>0</v>
      </c>
      <c r="AS22" s="111"/>
      <c r="AT22" s="36" t="b">
        <f t="shared" si="15"/>
        <v>0</v>
      </c>
      <c r="AU22" s="111"/>
      <c r="AV22" s="36" t="b">
        <f t="shared" si="16"/>
        <v>0</v>
      </c>
      <c r="AW22" s="111"/>
      <c r="AX22" s="36" t="b">
        <f t="shared" si="17"/>
        <v>0</v>
      </c>
      <c r="AY22" s="111"/>
      <c r="AZ22" s="36" t="b">
        <f t="shared" si="18"/>
        <v>0</v>
      </c>
      <c r="BA22" s="111"/>
      <c r="BB22" s="36" t="b">
        <f t="shared" si="19"/>
        <v>0</v>
      </c>
      <c r="BC22" s="111"/>
      <c r="BD22" s="36" t="b">
        <f t="shared" si="20"/>
        <v>0</v>
      </c>
      <c r="BE22" s="111"/>
      <c r="BF22" s="36" t="b">
        <f t="shared" si="21"/>
        <v>0</v>
      </c>
      <c r="BG22" s="111"/>
      <c r="BH22" s="36" t="b">
        <f t="shared" si="22"/>
        <v>0</v>
      </c>
      <c r="BI22" s="111"/>
      <c r="BJ22" s="36" t="b">
        <f t="shared" si="23"/>
        <v>0</v>
      </c>
      <c r="BK22" s="111"/>
      <c r="BL22" s="36" t="b">
        <f t="shared" si="24"/>
        <v>0</v>
      </c>
      <c r="BM22" s="111"/>
      <c r="BN22" s="36" t="b">
        <f t="shared" si="24"/>
        <v>0</v>
      </c>
      <c r="BO22" s="72"/>
      <c r="BV22" s="60" t="str" cm="1">
        <f t="array" ref="BV22">IFERROR(EOMONTH(EOMONTH(_xlfn._xlws.FILTER(Table1[Planned Start],(Table1[Category]=$E22)*(Table1[SBU]=$F$5)*(Table1[Execution Year]=$E$5)*(Table1[Most curent]=TRUE)),0)-45,0)+1,"")</f>
        <v/>
      </c>
      <c r="BW22" s="60" t="str" cm="1">
        <f t="array" ref="BW22">IFERROR(EOMONTH(_xlfn._xlws.FILTER(Table1[Planned Award],(Table1[Category]=$E22)*(Table1[SBU]=$F$5)*(Table1[Execution Year]=$E$5)*(Table1[Most curent]=TRUE)),0),"")</f>
        <v/>
      </c>
      <c r="BX22" s="60" t="str" cm="1">
        <f t="array" ref="BX22">IFERROR(EOMONTH(EOMONTH(_xlfn._xlws.FILTER(Table1[Current Phase End],(Table1[Category]=$E22)*(Table1[SBU]=$F$5)*(Table1[Execution Year]=$E$5)*(Table1[Most curent]=TRUE)),0)-45,0)+1,"")</f>
        <v/>
      </c>
      <c r="BY22" s="60" t="str" cm="1">
        <f t="array" ref="BY22">IFERROR(IF(EOMONTH(_xlfn._xlws.FILTER(Table1[Revised Award],(Table1[Category]=$E22)*(Table1[SBU]=$F$5)*(Table1[Execution Year]=$E$5)*(Table1[Most curent]=TRUE)),0)=31,"",EOMONTH(_xlfn._xlws.FILTER(Table1[Revised Award],(Table1[Category]=$E22)*(Table1[SBU]=$F$5)*(Table1[Execution Year]=$E$5)*(Table1[Most curent]=TRUE)),0)),"")</f>
        <v/>
      </c>
      <c r="BZ22" s="60" t="str">
        <f t="shared" si="29"/>
        <v/>
      </c>
      <c r="CA22" s="60" t="str">
        <f t="shared" si="30"/>
        <v/>
      </c>
      <c r="CB22" s="60" t="str">
        <f t="shared" si="25"/>
        <v/>
      </c>
    </row>
    <row r="23" spans="2:80" ht="15.6" thickTop="1" thickBot="1">
      <c r="B23" s="123"/>
      <c r="C23" s="71"/>
      <c r="D23" s="125"/>
      <c r="E23" s="35"/>
      <c r="F23" s="35"/>
      <c r="G23" s="36"/>
      <c r="H23" s="36"/>
      <c r="I23" s="36"/>
      <c r="J23" s="36">
        <f t="shared" si="26"/>
        <v>0</v>
      </c>
      <c r="K23" s="36">
        <f t="shared" si="27"/>
        <v>0</v>
      </c>
      <c r="L23" s="71"/>
      <c r="M23" s="71"/>
      <c r="N23" s="36" t="b">
        <f t="shared" si="28"/>
        <v>0</v>
      </c>
      <c r="O23" s="111"/>
      <c r="P23" s="36" t="b">
        <f t="shared" si="0"/>
        <v>0</v>
      </c>
      <c r="Q23" s="111"/>
      <c r="R23" s="36" t="b">
        <f t="shared" si="1"/>
        <v>0</v>
      </c>
      <c r="S23" s="111"/>
      <c r="T23" s="36" t="b">
        <f t="shared" si="2"/>
        <v>0</v>
      </c>
      <c r="U23" s="111"/>
      <c r="V23" s="36" t="b">
        <f t="shared" si="3"/>
        <v>0</v>
      </c>
      <c r="W23" s="111"/>
      <c r="X23" s="36" t="b">
        <f t="shared" si="4"/>
        <v>0</v>
      </c>
      <c r="Y23" s="111"/>
      <c r="Z23" s="36" t="b">
        <f t="shared" si="5"/>
        <v>0</v>
      </c>
      <c r="AA23" s="111"/>
      <c r="AB23" s="36" t="b">
        <f t="shared" si="6"/>
        <v>0</v>
      </c>
      <c r="AC23" s="111"/>
      <c r="AD23" s="36" t="b">
        <f t="shared" si="7"/>
        <v>0</v>
      </c>
      <c r="AE23" s="111"/>
      <c r="AF23" s="36" t="b">
        <f t="shared" si="8"/>
        <v>0</v>
      </c>
      <c r="AG23" s="111"/>
      <c r="AH23" s="36" t="b">
        <f t="shared" si="9"/>
        <v>0</v>
      </c>
      <c r="AI23" s="111"/>
      <c r="AJ23" s="36" t="b">
        <f t="shared" si="10"/>
        <v>0</v>
      </c>
      <c r="AK23" s="111"/>
      <c r="AL23" s="36" t="b">
        <f t="shared" si="11"/>
        <v>0</v>
      </c>
      <c r="AM23" s="111"/>
      <c r="AN23" s="36" t="b">
        <f t="shared" si="12"/>
        <v>0</v>
      </c>
      <c r="AO23" s="111"/>
      <c r="AP23" s="36" t="b">
        <f t="shared" si="13"/>
        <v>0</v>
      </c>
      <c r="AQ23" s="111"/>
      <c r="AR23" s="36" t="b">
        <f t="shared" si="14"/>
        <v>0</v>
      </c>
      <c r="AS23" s="111"/>
      <c r="AT23" s="36" t="b">
        <f t="shared" si="15"/>
        <v>0</v>
      </c>
      <c r="AU23" s="111"/>
      <c r="AV23" s="36" t="b">
        <f t="shared" si="16"/>
        <v>0</v>
      </c>
      <c r="AW23" s="111"/>
      <c r="AX23" s="36" t="b">
        <f t="shared" si="17"/>
        <v>0</v>
      </c>
      <c r="AY23" s="111"/>
      <c r="AZ23" s="36" t="b">
        <f t="shared" si="18"/>
        <v>0</v>
      </c>
      <c r="BA23" s="111"/>
      <c r="BB23" s="36" t="b">
        <f t="shared" si="19"/>
        <v>0</v>
      </c>
      <c r="BC23" s="111"/>
      <c r="BD23" s="36" t="b">
        <f t="shared" si="20"/>
        <v>0</v>
      </c>
      <c r="BE23" s="111"/>
      <c r="BF23" s="36" t="b">
        <f t="shared" si="21"/>
        <v>0</v>
      </c>
      <c r="BG23" s="111"/>
      <c r="BH23" s="36" t="b">
        <f t="shared" si="22"/>
        <v>0</v>
      </c>
      <c r="BI23" s="111"/>
      <c r="BJ23" s="36" t="b">
        <f t="shared" si="23"/>
        <v>0</v>
      </c>
      <c r="BK23" s="111"/>
      <c r="BL23" s="36" t="b">
        <f t="shared" si="24"/>
        <v>0</v>
      </c>
      <c r="BM23" s="111"/>
      <c r="BN23" s="36" t="b">
        <f t="shared" si="24"/>
        <v>0</v>
      </c>
      <c r="BO23" s="72"/>
      <c r="BV23" s="60" t="str" cm="1">
        <f t="array" ref="BV23">IFERROR(EOMONTH(EOMONTH(_xlfn._xlws.FILTER(Table1[Planned Start],(Table1[Category]=$E23)*(Table1[SBU]=$F$5)*(Table1[Execution Year]=$E$5)*(Table1[Most curent]=TRUE)),0)-45,0)+1,"")</f>
        <v/>
      </c>
      <c r="BW23" s="60" t="str" cm="1">
        <f t="array" ref="BW23">IFERROR(EOMONTH(_xlfn._xlws.FILTER(Table1[Planned Award],(Table1[Category]=$E23)*(Table1[SBU]=$F$5)*(Table1[Execution Year]=$E$5)*(Table1[Most curent]=TRUE)),0),"")</f>
        <v/>
      </c>
      <c r="BX23" s="60" t="str" cm="1">
        <f t="array" ref="BX23">IFERROR(EOMONTH(EOMONTH(_xlfn._xlws.FILTER(Table1[Current Phase End],(Table1[Category]=$E23)*(Table1[SBU]=$F$5)*(Table1[Execution Year]=$E$5)*(Table1[Most curent]=TRUE)),0)-45,0)+1,"")</f>
        <v/>
      </c>
      <c r="BY23" s="60" t="str" cm="1">
        <f t="array" ref="BY23">IFERROR(IF(EOMONTH(_xlfn._xlws.FILTER(Table1[Revised Award],(Table1[Category]=$E23)*(Table1[SBU]=$F$5)*(Table1[Execution Year]=$E$5)*(Table1[Most curent]=TRUE)),0)=31,"",EOMONTH(_xlfn._xlws.FILTER(Table1[Revised Award],(Table1[Category]=$E23)*(Table1[SBU]=$F$5)*(Table1[Execution Year]=$E$5)*(Table1[Most curent]=TRUE)),0)),"")</f>
        <v/>
      </c>
      <c r="BZ23" s="60" t="str">
        <f t="shared" si="29"/>
        <v/>
      </c>
      <c r="CA23" s="60" t="str">
        <f t="shared" si="30"/>
        <v/>
      </c>
      <c r="CB23" s="60" t="str">
        <f t="shared" si="25"/>
        <v/>
      </c>
    </row>
    <row r="24" spans="2:80" ht="15.6" thickTop="1" thickBot="1">
      <c r="B24" s="123"/>
      <c r="C24" s="71"/>
      <c r="D24" s="125"/>
      <c r="E24" s="35"/>
      <c r="F24" s="35"/>
      <c r="G24" s="36"/>
      <c r="H24" s="36"/>
      <c r="I24" s="36"/>
      <c r="J24" s="36">
        <f t="shared" si="26"/>
        <v>0</v>
      </c>
      <c r="K24" s="36">
        <f t="shared" si="27"/>
        <v>0</v>
      </c>
      <c r="L24" s="71"/>
      <c r="M24" s="71"/>
      <c r="N24" s="36" t="b">
        <f t="shared" si="28"/>
        <v>0</v>
      </c>
      <c r="O24" s="111"/>
      <c r="P24" s="36" t="b">
        <f t="shared" si="0"/>
        <v>0</v>
      </c>
      <c r="Q24" s="111"/>
      <c r="R24" s="36" t="b">
        <f t="shared" si="1"/>
        <v>0</v>
      </c>
      <c r="S24" s="111"/>
      <c r="T24" s="36" t="b">
        <f t="shared" si="2"/>
        <v>0</v>
      </c>
      <c r="U24" s="111"/>
      <c r="V24" s="36" t="b">
        <f t="shared" si="3"/>
        <v>0</v>
      </c>
      <c r="W24" s="111"/>
      <c r="X24" s="36" t="b">
        <f t="shared" si="4"/>
        <v>0</v>
      </c>
      <c r="Y24" s="111"/>
      <c r="Z24" s="36" t="b">
        <f t="shared" si="5"/>
        <v>0</v>
      </c>
      <c r="AA24" s="111"/>
      <c r="AB24" s="36" t="b">
        <f t="shared" si="6"/>
        <v>0</v>
      </c>
      <c r="AC24" s="111"/>
      <c r="AD24" s="36" t="b">
        <f t="shared" si="7"/>
        <v>0</v>
      </c>
      <c r="AE24" s="111"/>
      <c r="AF24" s="36" t="b">
        <f t="shared" si="8"/>
        <v>0</v>
      </c>
      <c r="AG24" s="111"/>
      <c r="AH24" s="36" t="b">
        <f t="shared" si="9"/>
        <v>0</v>
      </c>
      <c r="AI24" s="111"/>
      <c r="AJ24" s="36" t="b">
        <f t="shared" si="10"/>
        <v>0</v>
      </c>
      <c r="AK24" s="111"/>
      <c r="AL24" s="36" t="b">
        <f t="shared" si="11"/>
        <v>0</v>
      </c>
      <c r="AM24" s="111"/>
      <c r="AN24" s="36" t="b">
        <f t="shared" si="12"/>
        <v>0</v>
      </c>
      <c r="AO24" s="111"/>
      <c r="AP24" s="36" t="b">
        <f t="shared" si="13"/>
        <v>0</v>
      </c>
      <c r="AQ24" s="111"/>
      <c r="AR24" s="36" t="b">
        <f t="shared" si="14"/>
        <v>0</v>
      </c>
      <c r="AS24" s="111"/>
      <c r="AT24" s="36" t="b">
        <f t="shared" si="15"/>
        <v>0</v>
      </c>
      <c r="AU24" s="111"/>
      <c r="AV24" s="36" t="b">
        <f t="shared" si="16"/>
        <v>0</v>
      </c>
      <c r="AW24" s="111"/>
      <c r="AX24" s="36" t="b">
        <f t="shared" si="17"/>
        <v>0</v>
      </c>
      <c r="AY24" s="111"/>
      <c r="AZ24" s="36" t="b">
        <f t="shared" si="18"/>
        <v>0</v>
      </c>
      <c r="BA24" s="111"/>
      <c r="BB24" s="36" t="b">
        <f t="shared" si="19"/>
        <v>0</v>
      </c>
      <c r="BC24" s="111"/>
      <c r="BD24" s="36" t="b">
        <f t="shared" si="20"/>
        <v>0</v>
      </c>
      <c r="BE24" s="111"/>
      <c r="BF24" s="36" t="b">
        <f t="shared" si="21"/>
        <v>0</v>
      </c>
      <c r="BG24" s="111"/>
      <c r="BH24" s="36" t="b">
        <f t="shared" si="22"/>
        <v>0</v>
      </c>
      <c r="BI24" s="111"/>
      <c r="BJ24" s="36" t="b">
        <f t="shared" si="23"/>
        <v>0</v>
      </c>
      <c r="BK24" s="111"/>
      <c r="BL24" s="36" t="b">
        <f t="shared" si="24"/>
        <v>0</v>
      </c>
      <c r="BM24" s="111"/>
      <c r="BN24" s="36" t="b">
        <f t="shared" si="24"/>
        <v>0</v>
      </c>
      <c r="BO24" s="72"/>
      <c r="BV24" s="60" t="str" cm="1">
        <f t="array" ref="BV24">IFERROR(EOMONTH(EOMONTH(_xlfn._xlws.FILTER(Table1[Planned Start],(Table1[Category]=$E24)*(Table1[SBU]=$F$5)*(Table1[Execution Year]=$E$5)*(Table1[Most curent]=TRUE)),0)-45,0)+1,"")</f>
        <v/>
      </c>
      <c r="BW24" s="60" t="str" cm="1">
        <f t="array" ref="BW24">IFERROR(EOMONTH(_xlfn._xlws.FILTER(Table1[Planned Award],(Table1[Category]=$E24)*(Table1[SBU]=$F$5)*(Table1[Execution Year]=$E$5)*(Table1[Most curent]=TRUE)),0),"")</f>
        <v/>
      </c>
      <c r="BX24" s="60" t="str" cm="1">
        <f t="array" ref="BX24">IFERROR(EOMONTH(EOMONTH(_xlfn._xlws.FILTER(Table1[Current Phase End],(Table1[Category]=$E24)*(Table1[SBU]=$F$5)*(Table1[Execution Year]=$E$5)*(Table1[Most curent]=TRUE)),0)-45,0)+1,"")</f>
        <v/>
      </c>
      <c r="BY24" s="60" t="str" cm="1">
        <f t="array" ref="BY24">IFERROR(IF(EOMONTH(_xlfn._xlws.FILTER(Table1[Revised Award],(Table1[Category]=$E24)*(Table1[SBU]=$F$5)*(Table1[Execution Year]=$E$5)*(Table1[Most curent]=TRUE)),0)=31,"",EOMONTH(_xlfn._xlws.FILTER(Table1[Revised Award],(Table1[Category]=$E24)*(Table1[SBU]=$F$5)*(Table1[Execution Year]=$E$5)*(Table1[Most curent]=TRUE)),0)),"")</f>
        <v/>
      </c>
      <c r="BZ24" s="60" t="str">
        <f t="shared" si="29"/>
        <v/>
      </c>
      <c r="CA24" s="60" t="str">
        <f t="shared" si="30"/>
        <v/>
      </c>
      <c r="CB24" s="60" t="str">
        <f t="shared" si="25"/>
        <v/>
      </c>
    </row>
    <row r="25" spans="2:80" ht="15.6" thickTop="1" thickBot="1">
      <c r="B25" s="123"/>
      <c r="C25" s="71"/>
      <c r="D25" s="125"/>
      <c r="E25" s="35"/>
      <c r="F25" s="35"/>
      <c r="G25" s="36"/>
      <c r="H25" s="36"/>
      <c r="I25" s="36"/>
      <c r="J25" s="36">
        <f t="shared" ref="J25:J59" si="31">SUM(T25:AP25)</f>
        <v>0</v>
      </c>
      <c r="K25" s="36">
        <f t="shared" si="27"/>
        <v>0</v>
      </c>
      <c r="L25" s="71"/>
      <c r="M25" s="71"/>
      <c r="N25" s="36" t="b">
        <f t="shared" si="28"/>
        <v>0</v>
      </c>
      <c r="O25" s="111"/>
      <c r="P25" s="36" t="b">
        <f t="shared" si="0"/>
        <v>0</v>
      </c>
      <c r="Q25" s="111"/>
      <c r="R25" s="36" t="b">
        <f t="shared" si="1"/>
        <v>0</v>
      </c>
      <c r="S25" s="111"/>
      <c r="T25" s="36" t="b">
        <f t="shared" si="2"/>
        <v>0</v>
      </c>
      <c r="U25" s="111"/>
      <c r="V25" s="36" t="b">
        <f t="shared" si="3"/>
        <v>0</v>
      </c>
      <c r="W25" s="111"/>
      <c r="X25" s="36" t="b">
        <f t="shared" si="4"/>
        <v>0</v>
      </c>
      <c r="Y25" s="111"/>
      <c r="Z25" s="36" t="b">
        <f t="shared" si="5"/>
        <v>0</v>
      </c>
      <c r="AA25" s="111"/>
      <c r="AB25" s="36" t="b">
        <f t="shared" si="6"/>
        <v>0</v>
      </c>
      <c r="AC25" s="111"/>
      <c r="AD25" s="36" t="b">
        <f t="shared" si="7"/>
        <v>0</v>
      </c>
      <c r="AE25" s="111"/>
      <c r="AF25" s="36" t="b">
        <f t="shared" si="8"/>
        <v>0</v>
      </c>
      <c r="AG25" s="111"/>
      <c r="AH25" s="36" t="b">
        <f t="shared" si="9"/>
        <v>0</v>
      </c>
      <c r="AI25" s="111"/>
      <c r="AJ25" s="36" t="b">
        <f t="shared" si="10"/>
        <v>0</v>
      </c>
      <c r="AK25" s="111"/>
      <c r="AL25" s="36" t="b">
        <f t="shared" si="11"/>
        <v>0</v>
      </c>
      <c r="AM25" s="111"/>
      <c r="AN25" s="36" t="b">
        <f t="shared" si="12"/>
        <v>0</v>
      </c>
      <c r="AO25" s="111"/>
      <c r="AP25" s="36" t="b">
        <f t="shared" si="13"/>
        <v>0</v>
      </c>
      <c r="AQ25" s="111"/>
      <c r="AR25" s="36" t="b">
        <f t="shared" si="14"/>
        <v>0</v>
      </c>
      <c r="AS25" s="111"/>
      <c r="AT25" s="36" t="b">
        <f t="shared" si="15"/>
        <v>0</v>
      </c>
      <c r="AU25" s="111"/>
      <c r="AV25" s="36" t="b">
        <f t="shared" si="16"/>
        <v>0</v>
      </c>
      <c r="AW25" s="111"/>
      <c r="AX25" s="36" t="b">
        <f t="shared" si="17"/>
        <v>0</v>
      </c>
      <c r="AY25" s="111"/>
      <c r="AZ25" s="36" t="b">
        <f t="shared" si="18"/>
        <v>0</v>
      </c>
      <c r="BA25" s="111"/>
      <c r="BB25" s="36" t="b">
        <f t="shared" si="19"/>
        <v>0</v>
      </c>
      <c r="BC25" s="111"/>
      <c r="BD25" s="36" t="b">
        <f t="shared" si="20"/>
        <v>0</v>
      </c>
      <c r="BE25" s="111"/>
      <c r="BF25" s="36" t="b">
        <f t="shared" si="21"/>
        <v>0</v>
      </c>
      <c r="BG25" s="111"/>
      <c r="BH25" s="36" t="b">
        <f t="shared" si="22"/>
        <v>0</v>
      </c>
      <c r="BI25" s="111"/>
      <c r="BJ25" s="36" t="b">
        <f t="shared" si="23"/>
        <v>0</v>
      </c>
      <c r="BK25" s="111"/>
      <c r="BL25" s="36" t="b">
        <f t="shared" si="24"/>
        <v>0</v>
      </c>
      <c r="BM25" s="111"/>
      <c r="BN25" s="36" t="b">
        <f t="shared" si="24"/>
        <v>0</v>
      </c>
      <c r="BO25" s="72"/>
      <c r="BV25" s="60" t="str" cm="1">
        <f t="array" ref="BV25">IFERROR(EOMONTH(EOMONTH(_xlfn._xlws.FILTER(Table1[Planned Start],(Table1[Category]=$E25)*(Table1[SBU]=$F$5)*(Table1[Execution Year]=$E$5)*(Table1[Most curent]=TRUE)),0)-45,0)+1,"")</f>
        <v/>
      </c>
      <c r="BW25" s="60" t="str" cm="1">
        <f t="array" ref="BW25">IFERROR(EOMONTH(_xlfn._xlws.FILTER(Table1[Planned Award],(Table1[Category]=$E25)*(Table1[SBU]=$F$5)*(Table1[Execution Year]=$E$5)*(Table1[Most curent]=TRUE)),0),"")</f>
        <v/>
      </c>
      <c r="BX25" s="60" t="str" cm="1">
        <f t="array" ref="BX25">IFERROR(EOMONTH(EOMONTH(_xlfn._xlws.FILTER(Table1[Current Phase End],(Table1[Category]=$E25)*(Table1[SBU]=$F$5)*(Table1[Execution Year]=$E$5)*(Table1[Most curent]=TRUE)),0)-45,0)+1,"")</f>
        <v/>
      </c>
      <c r="BY25" s="60" t="str" cm="1">
        <f t="array" ref="BY25">IFERROR(IF(EOMONTH(_xlfn._xlws.FILTER(Table1[Revised Award],(Table1[Category]=$E25)*(Table1[SBU]=$F$5)*(Table1[Execution Year]=$E$5)*(Table1[Most curent]=TRUE)),0)=31,"",EOMONTH(_xlfn._xlws.FILTER(Table1[Revised Award],(Table1[Category]=$E25)*(Table1[SBU]=$F$5)*(Table1[Execution Year]=$E$5)*(Table1[Most curent]=TRUE)),0)),"")</f>
        <v/>
      </c>
      <c r="BZ25" s="60" t="str">
        <f t="shared" si="29"/>
        <v/>
      </c>
      <c r="CA25" s="60" t="str">
        <f t="shared" si="30"/>
        <v/>
      </c>
      <c r="CB25" s="60" t="str">
        <f t="shared" si="25"/>
        <v/>
      </c>
    </row>
    <row r="26" spans="2:80" ht="15.6" thickTop="1" thickBot="1">
      <c r="B26" s="123"/>
      <c r="C26" s="71"/>
      <c r="D26" s="125"/>
      <c r="E26" s="35"/>
      <c r="F26" s="35"/>
      <c r="G26" s="36"/>
      <c r="H26" s="36"/>
      <c r="I26" s="36"/>
      <c r="J26" s="36">
        <f t="shared" si="31"/>
        <v>0</v>
      </c>
      <c r="K26" s="36">
        <f t="shared" si="27"/>
        <v>0</v>
      </c>
      <c r="L26" s="71"/>
      <c r="M26" s="71"/>
      <c r="N26" s="36" t="b">
        <f t="shared" si="28"/>
        <v>0</v>
      </c>
      <c r="O26" s="111"/>
      <c r="P26" s="36" t="b">
        <f t="shared" ref="P26:P59" si="32">IF($H$5="ALL",IFERROR(IF(AND(P$7&gt;=$CB26,P$7&lt;$CB26+365),SUM($H26:$I26)/12,0),""),IF($H$5="INTL",IFERROR(IF(AND(P$7&gt;=$CB26,P$7&lt;$CB26+365),$H26/12,0),""),IF($H$5="US",IFERROR(IF(AND(P$7&gt;=$CB26,P$7&lt;$CB26+365),$I26/12,0),""))))</f>
        <v>0</v>
      </c>
      <c r="Q26" s="111"/>
      <c r="R26" s="36" t="b">
        <f t="shared" ref="R26:R59" si="33">IF($H$5="ALL",IFERROR(IF(AND(R$7&gt;=$CB26,R$7&lt;$CB26+365),SUM($H26:$I26)/12,0),""),IF($H$5="INTL",IFERROR(IF(AND(R$7&gt;=$CB26,R$7&lt;$CB26+365),$H26/12,0),""),IF($H$5="US",IFERROR(IF(AND(R$7&gt;=$CB26,R$7&lt;$CB26+365),$I26/12,0),""))))</f>
        <v>0</v>
      </c>
      <c r="S26" s="111"/>
      <c r="T26" s="36" t="b">
        <f t="shared" ref="T26:T59" si="34">IF($H$5="ALL",IFERROR(IF(AND(T$7&gt;=$CB26,T$7&lt;$CB26+365),SUM($H26:$I26)/12,0),""),IF($H$5="INTL",IFERROR(IF(AND(T$7&gt;=$CB26,T$7&lt;$CB26+365),$H26/12,0),""),IF($H$5="US",IFERROR(IF(AND(T$7&gt;=$CB26,T$7&lt;$CB26+365),$I26/12,0),""))))</f>
        <v>0</v>
      </c>
      <c r="U26" s="111"/>
      <c r="V26" s="36" t="b">
        <f t="shared" ref="V26:V59" si="35">IF($H$5="ALL",IFERROR(IF(AND(V$7&gt;=$CB26,V$7&lt;$CB26+365),SUM($H26:$I26)/12,0),""),IF($H$5="INTL",IFERROR(IF(AND(V$7&gt;=$CB26,V$7&lt;$CB26+365),$H26/12,0),""),IF($H$5="US",IFERROR(IF(AND(V$7&gt;=$CB26,V$7&lt;$CB26+365),$I26/12,0),""))))</f>
        <v>0</v>
      </c>
      <c r="W26" s="111"/>
      <c r="X26" s="36" t="b">
        <f t="shared" ref="X26:X59" si="36">IF($H$5="ALL",IFERROR(IF(AND(X$7&gt;=$CB26,X$7&lt;$CB26+365),SUM($H26:$I26)/12,0),""),IF($H$5="INTL",IFERROR(IF(AND(X$7&gt;=$CB26,X$7&lt;$CB26+365),$H26/12,0),""),IF($H$5="US",IFERROR(IF(AND(X$7&gt;=$CB26,X$7&lt;$CB26+365),$I26/12,0),""))))</f>
        <v>0</v>
      </c>
      <c r="Y26" s="111"/>
      <c r="Z26" s="36" t="b">
        <f t="shared" ref="Z26:Z59" si="37">IF($H$5="ALL",IFERROR(IF(AND(Z$7&gt;=$CB26,Z$7&lt;$CB26+365),SUM($H26:$I26)/12,0),""),IF($H$5="INTL",IFERROR(IF(AND(Z$7&gt;=$CB26,Z$7&lt;$CB26+365),$H26/12,0),""),IF($H$5="US",IFERROR(IF(AND(Z$7&gt;=$CB26,Z$7&lt;$CB26+365),$I26/12,0),""))))</f>
        <v>0</v>
      </c>
      <c r="AA26" s="111"/>
      <c r="AB26" s="36" t="b">
        <f t="shared" ref="AB26:AB59" si="38">IF($H$5="ALL",IFERROR(IF(AND(AB$7&gt;=$CB26,AB$7&lt;$CB26+365),SUM($H26:$I26)/12,0),""),IF($H$5="INTL",IFERROR(IF(AND(AB$7&gt;=$CB26,AB$7&lt;$CB26+365),$H26/12,0),""),IF($H$5="US",IFERROR(IF(AND(AB$7&gt;=$CB26,AB$7&lt;$CB26+365),$I26/12,0),""))))</f>
        <v>0</v>
      </c>
      <c r="AC26" s="111"/>
      <c r="AD26" s="36" t="b">
        <f t="shared" ref="AD26:AD59" si="39">IF($H$5="ALL",IFERROR(IF(AND(AD$7&gt;=$CB26,AD$7&lt;$CB26+365),SUM($H26:$I26)/12,0),""),IF($H$5="INTL",IFERROR(IF(AND(AD$7&gt;=$CB26,AD$7&lt;$CB26+365),$H26/12,0),""),IF($H$5="US",IFERROR(IF(AND(AD$7&gt;=$CB26,AD$7&lt;$CB26+365),$I26/12,0),""))))</f>
        <v>0</v>
      </c>
      <c r="AE26" s="111"/>
      <c r="AF26" s="36" t="b">
        <f t="shared" ref="AF26:AF59" si="40">IF($H$5="ALL",IFERROR(IF(AND(AF$7&gt;=$CB26,AF$7&lt;$CB26+365),SUM($H26:$I26)/12,0),""),IF($H$5="INTL",IFERROR(IF(AND(AF$7&gt;=$CB26,AF$7&lt;$CB26+365),$H26/12,0),""),IF($H$5="US",IFERROR(IF(AND(AF$7&gt;=$CB26,AF$7&lt;$CB26+365),$I26/12,0),""))))</f>
        <v>0</v>
      </c>
      <c r="AG26" s="111"/>
      <c r="AH26" s="36" t="b">
        <f t="shared" ref="AH26:AH59" si="41">IF($H$5="ALL",IFERROR(IF(AND(AH$7&gt;=$CB26,AH$7&lt;$CB26+365),SUM($H26:$I26)/12,0),""),IF($H$5="INTL",IFERROR(IF(AND(AH$7&gt;=$CB26,AH$7&lt;$CB26+365),$H26/12,0),""),IF($H$5="US",IFERROR(IF(AND(AH$7&gt;=$CB26,AH$7&lt;$CB26+365),$I26/12,0),""))))</f>
        <v>0</v>
      </c>
      <c r="AI26" s="111"/>
      <c r="AJ26" s="36" t="b">
        <f t="shared" ref="AJ26:AJ59" si="42">IF($H$5="ALL",IFERROR(IF(AND(AJ$7&gt;=$CB26,AJ$7&lt;$CB26+365),SUM($H26:$I26)/12,0),""),IF($H$5="INTL",IFERROR(IF(AND(AJ$7&gt;=$CB26,AJ$7&lt;$CB26+365),$H26/12,0),""),IF($H$5="US",IFERROR(IF(AND(AJ$7&gt;=$CB26,AJ$7&lt;$CB26+365),$I26/12,0),""))))</f>
        <v>0</v>
      </c>
      <c r="AK26" s="111"/>
      <c r="AL26" s="36" t="b">
        <f t="shared" ref="AL26:AL59" si="43">IF($H$5="ALL",IFERROR(IF(AND(AL$7&gt;=$CB26,AL$7&lt;$CB26+365),SUM($H26:$I26)/12,0),""),IF($H$5="INTL",IFERROR(IF(AND(AL$7&gt;=$CB26,AL$7&lt;$CB26+365),$H26/12,0),""),IF($H$5="US",IFERROR(IF(AND(AL$7&gt;=$CB26,AL$7&lt;$CB26+365),$I26/12,0),""))))</f>
        <v>0</v>
      </c>
      <c r="AM26" s="111"/>
      <c r="AN26" s="36" t="b">
        <f t="shared" ref="AN26:AN59" si="44">IF($H$5="ALL",IFERROR(IF(AND(AN$7&gt;=$CB26,AN$7&lt;$CB26+365),SUM($H26:$I26)/12,0),""),IF($H$5="INTL",IFERROR(IF(AND(AN$7&gt;=$CB26,AN$7&lt;$CB26+365),$H26/12,0),""),IF($H$5="US",IFERROR(IF(AND(AN$7&gt;=$CB26,AN$7&lt;$CB26+365),$I26/12,0),""))))</f>
        <v>0</v>
      </c>
      <c r="AO26" s="111"/>
      <c r="AP26" s="36" t="b">
        <f t="shared" ref="AP26:AP59" si="45">IF($H$5="ALL",IFERROR(IF(AND(AP$7&gt;=$CB26,AP$7&lt;$CB26+365),SUM($H26:$I26)/12,0),""),IF($H$5="INTL",IFERROR(IF(AND(AP$7&gt;=$CB26,AP$7&lt;$CB26+365),$H26/12,0),""),IF($H$5="US",IFERROR(IF(AND(AP$7&gt;=$CB26,AP$7&lt;$CB26+365),$I26/12,0),""))))</f>
        <v>0</v>
      </c>
      <c r="AQ26" s="111"/>
      <c r="AR26" s="36" t="b">
        <f t="shared" ref="AR26:AR59" si="46">IF($H$5="ALL",IFERROR(IF(AND(AR$7&gt;=$CB26,AR$7&lt;$CB26+365),SUM($H26:$I26)/12,0),""),IF($H$5="INTL",IFERROR(IF(AND(AR$7&gt;=$CB26,AR$7&lt;$CB26+365),$H26/12,0),""),IF($H$5="US",IFERROR(IF(AND(AR$7&gt;=$CB26,AR$7&lt;$CB26+365),$I26/12,0),""))))</f>
        <v>0</v>
      </c>
      <c r="AS26" s="111"/>
      <c r="AT26" s="36" t="b">
        <f t="shared" ref="AT26:AT59" si="47">IF($H$5="ALL",IFERROR(IF(AND(AT$7&gt;=$CB26,AT$7&lt;$CB26+365),SUM($H26:$I26)/12,0),""),IF($H$5="INTL",IFERROR(IF(AND(AT$7&gt;=$CB26,AT$7&lt;$CB26+365),$H26/12,0),""),IF($H$5="US",IFERROR(IF(AND(AT$7&gt;=$CB26,AT$7&lt;$CB26+365),$I26/12,0),""))))</f>
        <v>0</v>
      </c>
      <c r="AU26" s="111"/>
      <c r="AV26" s="36" t="b">
        <f t="shared" ref="AV26:AV59" si="48">IF($H$5="ALL",IFERROR(IF(AND(AV$7&gt;=$CB26,AV$7&lt;$CB26+365),SUM($H26:$I26)/12,0),""),IF($H$5="INTL",IFERROR(IF(AND(AV$7&gt;=$CB26,AV$7&lt;$CB26+365),$H26/12,0),""),IF($H$5="US",IFERROR(IF(AND(AV$7&gt;=$CB26,AV$7&lt;$CB26+365),$I26/12,0),""))))</f>
        <v>0</v>
      </c>
      <c r="AW26" s="111"/>
      <c r="AX26" s="36" t="b">
        <f t="shared" ref="AX26:AX59" si="49">IF($H$5="ALL",IFERROR(IF(AND(AX$7&gt;=$CB26,AX$7&lt;$CB26+365),SUM($H26:$I26)/12,0),""),IF($H$5="INTL",IFERROR(IF(AND(AX$7&gt;=$CB26,AX$7&lt;$CB26+365),$H26/12,0),""),IF($H$5="US",IFERROR(IF(AND(AX$7&gt;=$CB26,AX$7&lt;$CB26+365),$I26/12,0),""))))</f>
        <v>0</v>
      </c>
      <c r="AY26" s="111"/>
      <c r="AZ26" s="36" t="b">
        <f t="shared" ref="AZ26:AZ59" si="50">IF($H$5="ALL",IFERROR(IF(AND(AZ$7&gt;=$CB26,AZ$7&lt;$CB26+365),SUM($H26:$I26)/12,0),""),IF($H$5="INTL",IFERROR(IF(AND(AZ$7&gt;=$CB26,AZ$7&lt;$CB26+365),$H26/12,0),""),IF($H$5="US",IFERROR(IF(AND(AZ$7&gt;=$CB26,AZ$7&lt;$CB26+365),$I26/12,0),""))))</f>
        <v>0</v>
      </c>
      <c r="BA26" s="111"/>
      <c r="BB26" s="36" t="b">
        <f t="shared" ref="BB26:BB59" si="51">IF($H$5="ALL",IFERROR(IF(AND(BB$7&gt;=$CB26,BB$7&lt;$CB26+365),SUM($H26:$I26)/12,0),""),IF($H$5="INTL",IFERROR(IF(AND(BB$7&gt;=$CB26,BB$7&lt;$CB26+365),$H26/12,0),""),IF($H$5="US",IFERROR(IF(AND(BB$7&gt;=$CB26,BB$7&lt;$CB26+365),$I26/12,0),""))))</f>
        <v>0</v>
      </c>
      <c r="BC26" s="111"/>
      <c r="BD26" s="36" t="b">
        <f t="shared" ref="BD26:BD59" si="52">IF($H$5="ALL",IFERROR(IF(AND(BD$7&gt;=$CB26,BD$7&lt;$CB26+365),SUM($H26:$I26)/12,0),""),IF($H$5="INTL",IFERROR(IF(AND(BD$7&gt;=$CB26,BD$7&lt;$CB26+365),$H26/12,0),""),IF($H$5="US",IFERROR(IF(AND(BD$7&gt;=$CB26,BD$7&lt;$CB26+365),$I26/12,0),""))))</f>
        <v>0</v>
      </c>
      <c r="BE26" s="111"/>
      <c r="BF26" s="36" t="b">
        <f t="shared" ref="BF26:BF59" si="53">IF($H$5="ALL",IFERROR(IF(AND(BF$7&gt;=$CB26,BF$7&lt;$CB26+365),SUM($H26:$I26)/12,0),""),IF($H$5="INTL",IFERROR(IF(AND(BF$7&gt;=$CB26,BF$7&lt;$CB26+365),$H26/12,0),""),IF($H$5="US",IFERROR(IF(AND(BF$7&gt;=$CB26,BF$7&lt;$CB26+365),$I26/12,0),""))))</f>
        <v>0</v>
      </c>
      <c r="BG26" s="111"/>
      <c r="BH26" s="36" t="b">
        <f t="shared" ref="BH26:BH59" si="54">IF($H$5="ALL",IFERROR(IF(AND(BH$7&gt;=$CB26,BH$7&lt;$CB26+365),SUM($H26:$I26)/12,0),""),IF($H$5="INTL",IFERROR(IF(AND(BH$7&gt;=$CB26,BH$7&lt;$CB26+365),$H26/12,0),""),IF($H$5="US",IFERROR(IF(AND(BH$7&gt;=$CB26,BH$7&lt;$CB26+365),$I26/12,0),""))))</f>
        <v>0</v>
      </c>
      <c r="BI26" s="111"/>
      <c r="BJ26" s="36" t="b">
        <f t="shared" ref="BJ26:BJ59" si="55">IF($H$5="ALL",IFERROR(IF(AND(BJ$7&gt;=$CB26,BJ$7&lt;$CB26+365),SUM($H26:$I26)/12,0),""),IF($H$5="INTL",IFERROR(IF(AND(BJ$7&gt;=$CB26,BJ$7&lt;$CB26+365),$H26/12,0),""),IF($H$5="US",IFERROR(IF(AND(BJ$7&gt;=$CB26,BJ$7&lt;$CB26+365),$I26/12,0),""))))</f>
        <v>0</v>
      </c>
      <c r="BK26" s="111"/>
      <c r="BL26" s="36" t="b">
        <f t="shared" ref="BL26:BN59" si="56">IF($H$5="ALL",IFERROR(IF(AND(BL$7&gt;=$CB26,BL$7&lt;$CB26+365),SUM($H26:$I26)/12,0),""),IF($H$5="INTL",IFERROR(IF(AND(BL$7&gt;=$CB26,BL$7&lt;$CB26+365),$H26/12,0),""),IF($H$5="US",IFERROR(IF(AND(BL$7&gt;=$CB26,BL$7&lt;$CB26+365),$I26/12,0),""))))</f>
        <v>0</v>
      </c>
      <c r="BM26" s="111"/>
      <c r="BN26" s="36" t="b">
        <f t="shared" si="56"/>
        <v>0</v>
      </c>
      <c r="BO26" s="72"/>
      <c r="BV26" s="60" t="str" cm="1">
        <f t="array" ref="BV26">IFERROR(EOMONTH(EOMONTH(_xlfn._xlws.FILTER(Table1[Planned Start],(Table1[Category]=$E26)*(Table1[SBU]=$F$5)*(Table1[Execution Year]=$E$5)*(Table1[Most curent]=TRUE)),0)-45,0)+1,"")</f>
        <v/>
      </c>
      <c r="BW26" s="60" t="str" cm="1">
        <f t="array" ref="BW26">IFERROR(EOMONTH(_xlfn._xlws.FILTER(Table1[Planned Award],(Table1[Category]=$E26)*(Table1[SBU]=$F$5)*(Table1[Execution Year]=$E$5)*(Table1[Most curent]=TRUE)),0),"")</f>
        <v/>
      </c>
      <c r="BX26" s="60" t="str" cm="1">
        <f t="array" ref="BX26">IFERROR(EOMONTH(EOMONTH(_xlfn._xlws.FILTER(Table1[Current Phase End],(Table1[Category]=$E26)*(Table1[SBU]=$F$5)*(Table1[Execution Year]=$E$5)*(Table1[Most curent]=TRUE)),0)-45,0)+1,"")</f>
        <v/>
      </c>
      <c r="BY26" s="60" t="str" cm="1">
        <f t="array" ref="BY26">IFERROR(IF(EOMONTH(_xlfn._xlws.FILTER(Table1[Revised Award],(Table1[Category]=$E26)*(Table1[SBU]=$F$5)*(Table1[Execution Year]=$E$5)*(Table1[Most curent]=TRUE)),0)=31,"",EOMONTH(_xlfn._xlws.FILTER(Table1[Revised Award],(Table1[Category]=$E26)*(Table1[SBU]=$F$5)*(Table1[Execution Year]=$E$5)*(Table1[Most curent]=TRUE)),0)),"")</f>
        <v/>
      </c>
      <c r="BZ26" s="60" t="str">
        <f t="shared" si="29"/>
        <v/>
      </c>
      <c r="CA26" s="60" t="str">
        <f t="shared" si="30"/>
        <v/>
      </c>
      <c r="CB26" s="60" t="str">
        <f t="shared" si="25"/>
        <v/>
      </c>
    </row>
    <row r="27" spans="2:80" ht="15.6" thickTop="1" thickBot="1">
      <c r="B27" s="123"/>
      <c r="C27" s="71"/>
      <c r="D27" s="125"/>
      <c r="E27" s="35"/>
      <c r="F27" s="35"/>
      <c r="G27" s="36"/>
      <c r="H27" s="36"/>
      <c r="I27" s="36"/>
      <c r="J27" s="36">
        <f t="shared" si="31"/>
        <v>0</v>
      </c>
      <c r="K27" s="36">
        <f t="shared" si="27"/>
        <v>0</v>
      </c>
      <c r="L27" s="71"/>
      <c r="M27" s="71"/>
      <c r="N27" s="36" t="b">
        <f t="shared" si="28"/>
        <v>0</v>
      </c>
      <c r="O27" s="111"/>
      <c r="P27" s="36" t="b">
        <f t="shared" si="32"/>
        <v>0</v>
      </c>
      <c r="Q27" s="111"/>
      <c r="R27" s="36" t="b">
        <f t="shared" si="33"/>
        <v>0</v>
      </c>
      <c r="S27" s="111"/>
      <c r="T27" s="36" t="b">
        <f t="shared" si="34"/>
        <v>0</v>
      </c>
      <c r="U27" s="111"/>
      <c r="V27" s="36" t="b">
        <f t="shared" si="35"/>
        <v>0</v>
      </c>
      <c r="W27" s="111"/>
      <c r="X27" s="36" t="b">
        <f t="shared" si="36"/>
        <v>0</v>
      </c>
      <c r="Y27" s="111"/>
      <c r="Z27" s="36" t="b">
        <f t="shared" si="37"/>
        <v>0</v>
      </c>
      <c r="AA27" s="111"/>
      <c r="AB27" s="36" t="b">
        <f t="shared" si="38"/>
        <v>0</v>
      </c>
      <c r="AC27" s="111"/>
      <c r="AD27" s="36" t="b">
        <f t="shared" si="39"/>
        <v>0</v>
      </c>
      <c r="AE27" s="111"/>
      <c r="AF27" s="36" t="b">
        <f t="shared" si="40"/>
        <v>0</v>
      </c>
      <c r="AG27" s="111"/>
      <c r="AH27" s="36" t="b">
        <f t="shared" si="41"/>
        <v>0</v>
      </c>
      <c r="AI27" s="111"/>
      <c r="AJ27" s="36" t="b">
        <f t="shared" si="42"/>
        <v>0</v>
      </c>
      <c r="AK27" s="111"/>
      <c r="AL27" s="36" t="b">
        <f t="shared" si="43"/>
        <v>0</v>
      </c>
      <c r="AM27" s="111"/>
      <c r="AN27" s="36" t="b">
        <f t="shared" si="44"/>
        <v>0</v>
      </c>
      <c r="AO27" s="111"/>
      <c r="AP27" s="36" t="b">
        <f t="shared" si="45"/>
        <v>0</v>
      </c>
      <c r="AQ27" s="111"/>
      <c r="AR27" s="36" t="b">
        <f t="shared" si="46"/>
        <v>0</v>
      </c>
      <c r="AS27" s="111"/>
      <c r="AT27" s="36" t="b">
        <f t="shared" si="47"/>
        <v>0</v>
      </c>
      <c r="AU27" s="111"/>
      <c r="AV27" s="36" t="b">
        <f t="shared" si="48"/>
        <v>0</v>
      </c>
      <c r="AW27" s="111"/>
      <c r="AX27" s="36" t="b">
        <f t="shared" si="49"/>
        <v>0</v>
      </c>
      <c r="AY27" s="111"/>
      <c r="AZ27" s="36" t="b">
        <f t="shared" si="50"/>
        <v>0</v>
      </c>
      <c r="BA27" s="111"/>
      <c r="BB27" s="36" t="b">
        <f t="shared" si="51"/>
        <v>0</v>
      </c>
      <c r="BC27" s="111"/>
      <c r="BD27" s="36" t="b">
        <f t="shared" si="52"/>
        <v>0</v>
      </c>
      <c r="BE27" s="111"/>
      <c r="BF27" s="36" t="b">
        <f t="shared" si="53"/>
        <v>0</v>
      </c>
      <c r="BG27" s="111"/>
      <c r="BH27" s="36" t="b">
        <f t="shared" si="54"/>
        <v>0</v>
      </c>
      <c r="BI27" s="111"/>
      <c r="BJ27" s="36" t="b">
        <f t="shared" si="55"/>
        <v>0</v>
      </c>
      <c r="BK27" s="111"/>
      <c r="BL27" s="36" t="b">
        <f t="shared" si="56"/>
        <v>0</v>
      </c>
      <c r="BM27" s="111"/>
      <c r="BN27" s="36" t="b">
        <f t="shared" si="56"/>
        <v>0</v>
      </c>
      <c r="BO27" s="72"/>
      <c r="BV27" s="60" t="str" cm="1">
        <f t="array" ref="BV27">IFERROR(EOMONTH(EOMONTH(_xlfn._xlws.FILTER(Table1[Planned Start],(Table1[Category]=$E27)*(Table1[SBU]=$F$5)*(Table1[Execution Year]=$E$5)*(Table1[Most curent]=TRUE)),0)-45,0)+1,"")</f>
        <v/>
      </c>
      <c r="BW27" s="60" t="str" cm="1">
        <f t="array" ref="BW27">IFERROR(EOMONTH(_xlfn._xlws.FILTER(Table1[Planned Award],(Table1[Category]=$E27)*(Table1[SBU]=$F$5)*(Table1[Execution Year]=$E$5)*(Table1[Most curent]=TRUE)),0),"")</f>
        <v/>
      </c>
      <c r="BX27" s="60" t="str" cm="1">
        <f t="array" ref="BX27">IFERROR(EOMONTH(EOMONTH(_xlfn._xlws.FILTER(Table1[Current Phase End],(Table1[Category]=$E27)*(Table1[SBU]=$F$5)*(Table1[Execution Year]=$E$5)*(Table1[Most curent]=TRUE)),0)-45,0)+1,"")</f>
        <v/>
      </c>
      <c r="BY27" s="60" t="str" cm="1">
        <f t="array" ref="BY27">IFERROR(IF(EOMONTH(_xlfn._xlws.FILTER(Table1[Revised Award],(Table1[Category]=$E27)*(Table1[SBU]=$F$5)*(Table1[Execution Year]=$E$5)*(Table1[Most curent]=TRUE)),0)=31,"",EOMONTH(_xlfn._xlws.FILTER(Table1[Revised Award],(Table1[Category]=$E27)*(Table1[SBU]=$F$5)*(Table1[Execution Year]=$E$5)*(Table1[Most curent]=TRUE)),0)),"")</f>
        <v/>
      </c>
      <c r="BZ27" s="60" t="str">
        <f t="shared" si="29"/>
        <v/>
      </c>
      <c r="CA27" s="60" t="str">
        <f t="shared" si="30"/>
        <v/>
      </c>
      <c r="CB27" s="60" t="str">
        <f t="shared" si="25"/>
        <v/>
      </c>
    </row>
    <row r="28" spans="2:80" ht="15.6" thickTop="1" thickBot="1">
      <c r="B28" s="123"/>
      <c r="C28" s="71"/>
      <c r="D28" s="125"/>
      <c r="E28" s="35"/>
      <c r="F28" s="35"/>
      <c r="G28" s="36"/>
      <c r="H28" s="36"/>
      <c r="I28" s="36"/>
      <c r="J28" s="36">
        <f t="shared" si="31"/>
        <v>0</v>
      </c>
      <c r="K28" s="36">
        <f t="shared" si="27"/>
        <v>0</v>
      </c>
      <c r="L28" s="71"/>
      <c r="M28" s="71"/>
      <c r="N28" s="36" t="b">
        <f t="shared" si="28"/>
        <v>0</v>
      </c>
      <c r="O28" s="111"/>
      <c r="P28" s="36" t="b">
        <f t="shared" si="32"/>
        <v>0</v>
      </c>
      <c r="Q28" s="111"/>
      <c r="R28" s="36" t="b">
        <f t="shared" si="33"/>
        <v>0</v>
      </c>
      <c r="S28" s="111"/>
      <c r="T28" s="36" t="b">
        <f t="shared" si="34"/>
        <v>0</v>
      </c>
      <c r="U28" s="111"/>
      <c r="V28" s="36" t="b">
        <f t="shared" si="35"/>
        <v>0</v>
      </c>
      <c r="W28" s="111"/>
      <c r="X28" s="36" t="b">
        <f t="shared" si="36"/>
        <v>0</v>
      </c>
      <c r="Y28" s="111"/>
      <c r="Z28" s="36" t="b">
        <f t="shared" si="37"/>
        <v>0</v>
      </c>
      <c r="AA28" s="111"/>
      <c r="AB28" s="36" t="b">
        <f t="shared" si="38"/>
        <v>0</v>
      </c>
      <c r="AC28" s="111"/>
      <c r="AD28" s="36" t="b">
        <f t="shared" si="39"/>
        <v>0</v>
      </c>
      <c r="AE28" s="111"/>
      <c r="AF28" s="36" t="b">
        <f t="shared" si="40"/>
        <v>0</v>
      </c>
      <c r="AG28" s="111"/>
      <c r="AH28" s="36" t="b">
        <f t="shared" si="41"/>
        <v>0</v>
      </c>
      <c r="AI28" s="111"/>
      <c r="AJ28" s="36" t="b">
        <f t="shared" si="42"/>
        <v>0</v>
      </c>
      <c r="AK28" s="111"/>
      <c r="AL28" s="36" t="b">
        <f t="shared" si="43"/>
        <v>0</v>
      </c>
      <c r="AM28" s="111"/>
      <c r="AN28" s="36" t="b">
        <f t="shared" si="44"/>
        <v>0</v>
      </c>
      <c r="AO28" s="111"/>
      <c r="AP28" s="36" t="b">
        <f t="shared" si="45"/>
        <v>0</v>
      </c>
      <c r="AQ28" s="111"/>
      <c r="AR28" s="36" t="b">
        <f t="shared" si="46"/>
        <v>0</v>
      </c>
      <c r="AS28" s="111"/>
      <c r="AT28" s="36" t="b">
        <f t="shared" si="47"/>
        <v>0</v>
      </c>
      <c r="AU28" s="111"/>
      <c r="AV28" s="36" t="b">
        <f t="shared" si="48"/>
        <v>0</v>
      </c>
      <c r="AW28" s="111"/>
      <c r="AX28" s="36" t="b">
        <f t="shared" si="49"/>
        <v>0</v>
      </c>
      <c r="AY28" s="111"/>
      <c r="AZ28" s="36" t="b">
        <f t="shared" si="50"/>
        <v>0</v>
      </c>
      <c r="BA28" s="111"/>
      <c r="BB28" s="36" t="b">
        <f t="shared" si="51"/>
        <v>0</v>
      </c>
      <c r="BC28" s="111"/>
      <c r="BD28" s="36" t="b">
        <f t="shared" si="52"/>
        <v>0</v>
      </c>
      <c r="BE28" s="111"/>
      <c r="BF28" s="36" t="b">
        <f t="shared" si="53"/>
        <v>0</v>
      </c>
      <c r="BG28" s="111"/>
      <c r="BH28" s="36" t="b">
        <f t="shared" si="54"/>
        <v>0</v>
      </c>
      <c r="BI28" s="111"/>
      <c r="BJ28" s="36" t="b">
        <f t="shared" si="55"/>
        <v>0</v>
      </c>
      <c r="BK28" s="111"/>
      <c r="BL28" s="36" t="b">
        <f t="shared" si="56"/>
        <v>0</v>
      </c>
      <c r="BM28" s="111"/>
      <c r="BN28" s="36" t="b">
        <f t="shared" si="56"/>
        <v>0</v>
      </c>
      <c r="BO28" s="72"/>
      <c r="BV28" s="60" t="str" cm="1">
        <f t="array" ref="BV28">IFERROR(EOMONTH(EOMONTH(_xlfn._xlws.FILTER(Table1[Planned Start],(Table1[Category]=$E28)*(Table1[SBU]=$F$5)*(Table1[Execution Year]=$E$5)*(Table1[Most curent]=TRUE)),0)-45,0)+1,"")</f>
        <v/>
      </c>
      <c r="BW28" s="60" t="str" cm="1">
        <f t="array" ref="BW28">IFERROR(EOMONTH(_xlfn._xlws.FILTER(Table1[Planned Award],(Table1[Category]=$E28)*(Table1[SBU]=$F$5)*(Table1[Execution Year]=$E$5)*(Table1[Most curent]=TRUE)),0),"")</f>
        <v/>
      </c>
      <c r="BX28" s="60" t="str" cm="1">
        <f t="array" ref="BX28">IFERROR(EOMONTH(EOMONTH(_xlfn._xlws.FILTER(Table1[Current Phase End],(Table1[Category]=$E28)*(Table1[SBU]=$F$5)*(Table1[Execution Year]=$E$5)*(Table1[Most curent]=TRUE)),0)-45,0)+1,"")</f>
        <v/>
      </c>
      <c r="BY28" s="60" t="str" cm="1">
        <f t="array" ref="BY28">IFERROR(IF(EOMONTH(_xlfn._xlws.FILTER(Table1[Revised Award],(Table1[Category]=$E28)*(Table1[SBU]=$F$5)*(Table1[Execution Year]=$E$5)*(Table1[Most curent]=TRUE)),0)=31,"",EOMONTH(_xlfn._xlws.FILTER(Table1[Revised Award],(Table1[Category]=$E28)*(Table1[SBU]=$F$5)*(Table1[Execution Year]=$E$5)*(Table1[Most curent]=TRUE)),0)),"")</f>
        <v/>
      </c>
      <c r="BZ28" s="60" t="str">
        <f t="shared" si="29"/>
        <v/>
      </c>
      <c r="CA28" s="60" t="str">
        <f t="shared" si="30"/>
        <v/>
      </c>
      <c r="CB28" s="60" t="str">
        <f t="shared" si="25"/>
        <v/>
      </c>
    </row>
    <row r="29" spans="2:80" ht="15.6" thickTop="1" thickBot="1">
      <c r="B29" s="123"/>
      <c r="C29" s="71"/>
      <c r="D29" s="125"/>
      <c r="E29" s="35"/>
      <c r="F29" s="35"/>
      <c r="G29" s="36"/>
      <c r="H29" s="36"/>
      <c r="I29" s="36"/>
      <c r="J29" s="36">
        <f t="shared" si="31"/>
        <v>0</v>
      </c>
      <c r="K29" s="36">
        <f t="shared" si="27"/>
        <v>0</v>
      </c>
      <c r="L29" s="71"/>
      <c r="M29" s="71"/>
      <c r="N29" s="36" t="b">
        <f t="shared" si="28"/>
        <v>0</v>
      </c>
      <c r="O29" s="111"/>
      <c r="P29" s="36" t="b">
        <f t="shared" si="32"/>
        <v>0</v>
      </c>
      <c r="Q29" s="111"/>
      <c r="R29" s="36" t="b">
        <f t="shared" si="33"/>
        <v>0</v>
      </c>
      <c r="S29" s="111"/>
      <c r="T29" s="36" t="b">
        <f t="shared" si="34"/>
        <v>0</v>
      </c>
      <c r="U29" s="111"/>
      <c r="V29" s="36" t="b">
        <f t="shared" si="35"/>
        <v>0</v>
      </c>
      <c r="W29" s="111"/>
      <c r="X29" s="36" t="b">
        <f t="shared" si="36"/>
        <v>0</v>
      </c>
      <c r="Y29" s="111"/>
      <c r="Z29" s="36" t="b">
        <f t="shared" si="37"/>
        <v>0</v>
      </c>
      <c r="AA29" s="111"/>
      <c r="AB29" s="36" t="b">
        <f t="shared" si="38"/>
        <v>0</v>
      </c>
      <c r="AC29" s="111"/>
      <c r="AD29" s="36" t="b">
        <f t="shared" si="39"/>
        <v>0</v>
      </c>
      <c r="AE29" s="111"/>
      <c r="AF29" s="36" t="b">
        <f t="shared" si="40"/>
        <v>0</v>
      </c>
      <c r="AG29" s="111"/>
      <c r="AH29" s="36" t="b">
        <f t="shared" si="41"/>
        <v>0</v>
      </c>
      <c r="AI29" s="111"/>
      <c r="AJ29" s="36" t="b">
        <f t="shared" si="42"/>
        <v>0</v>
      </c>
      <c r="AK29" s="111"/>
      <c r="AL29" s="36" t="b">
        <f t="shared" si="43"/>
        <v>0</v>
      </c>
      <c r="AM29" s="111"/>
      <c r="AN29" s="36" t="b">
        <f t="shared" si="44"/>
        <v>0</v>
      </c>
      <c r="AO29" s="111"/>
      <c r="AP29" s="36" t="b">
        <f t="shared" si="45"/>
        <v>0</v>
      </c>
      <c r="AQ29" s="111"/>
      <c r="AR29" s="36" t="b">
        <f t="shared" si="46"/>
        <v>0</v>
      </c>
      <c r="AS29" s="111"/>
      <c r="AT29" s="36" t="b">
        <f t="shared" si="47"/>
        <v>0</v>
      </c>
      <c r="AU29" s="111"/>
      <c r="AV29" s="36" t="b">
        <f t="shared" si="48"/>
        <v>0</v>
      </c>
      <c r="AW29" s="111"/>
      <c r="AX29" s="36" t="b">
        <f t="shared" si="49"/>
        <v>0</v>
      </c>
      <c r="AY29" s="111"/>
      <c r="AZ29" s="36" t="b">
        <f t="shared" si="50"/>
        <v>0</v>
      </c>
      <c r="BA29" s="111"/>
      <c r="BB29" s="36" t="b">
        <f t="shared" si="51"/>
        <v>0</v>
      </c>
      <c r="BC29" s="111"/>
      <c r="BD29" s="36" t="b">
        <f t="shared" si="52"/>
        <v>0</v>
      </c>
      <c r="BE29" s="111"/>
      <c r="BF29" s="36" t="b">
        <f t="shared" si="53"/>
        <v>0</v>
      </c>
      <c r="BG29" s="111"/>
      <c r="BH29" s="36" t="b">
        <f t="shared" si="54"/>
        <v>0</v>
      </c>
      <c r="BI29" s="111"/>
      <c r="BJ29" s="36" t="b">
        <f t="shared" si="55"/>
        <v>0</v>
      </c>
      <c r="BK29" s="111"/>
      <c r="BL29" s="36" t="b">
        <f t="shared" si="56"/>
        <v>0</v>
      </c>
      <c r="BM29" s="111"/>
      <c r="BN29" s="36" t="b">
        <f t="shared" si="56"/>
        <v>0</v>
      </c>
      <c r="BO29" s="72"/>
      <c r="BV29" s="60" t="str" cm="1">
        <f t="array" ref="BV29">IFERROR(EOMONTH(EOMONTH(_xlfn._xlws.FILTER(Table1[Planned Start],(Table1[Category]=$E29)*(Table1[SBU]=$F$5)*(Table1[Execution Year]=$E$5)*(Table1[Most curent]=TRUE)),0)-45,0)+1,"")</f>
        <v/>
      </c>
      <c r="BW29" s="60" t="str" cm="1">
        <f t="array" ref="BW29">IFERROR(EOMONTH(_xlfn._xlws.FILTER(Table1[Planned Award],(Table1[Category]=$E29)*(Table1[SBU]=$F$5)*(Table1[Execution Year]=$E$5)*(Table1[Most curent]=TRUE)),0),"")</f>
        <v/>
      </c>
      <c r="BX29" s="60" t="str" cm="1">
        <f t="array" ref="BX29">IFERROR(EOMONTH(EOMONTH(_xlfn._xlws.FILTER(Table1[Current Phase End],(Table1[Category]=$E29)*(Table1[SBU]=$F$5)*(Table1[Execution Year]=$E$5)*(Table1[Most curent]=TRUE)),0)-45,0)+1,"")</f>
        <v/>
      </c>
      <c r="BY29" s="60" t="str" cm="1">
        <f t="array" ref="BY29">IFERROR(IF(EOMONTH(_xlfn._xlws.FILTER(Table1[Revised Award],(Table1[Category]=$E29)*(Table1[SBU]=$F$5)*(Table1[Execution Year]=$E$5)*(Table1[Most curent]=TRUE)),0)=31,"",EOMONTH(_xlfn._xlws.FILTER(Table1[Revised Award],(Table1[Category]=$E29)*(Table1[SBU]=$F$5)*(Table1[Execution Year]=$E$5)*(Table1[Most curent]=TRUE)),0)),"")</f>
        <v/>
      </c>
      <c r="BZ29" s="60" t="str">
        <f t="shared" si="29"/>
        <v/>
      </c>
      <c r="CA29" s="60" t="str">
        <f t="shared" si="30"/>
        <v/>
      </c>
      <c r="CB29" s="60" t="str">
        <f t="shared" si="25"/>
        <v/>
      </c>
    </row>
    <row r="30" spans="2:80" ht="15.6" thickTop="1" thickBot="1">
      <c r="B30" s="123"/>
      <c r="C30" s="71"/>
      <c r="D30" s="125"/>
      <c r="E30" s="35"/>
      <c r="F30" s="35"/>
      <c r="G30" s="36"/>
      <c r="H30" s="36"/>
      <c r="I30" s="36"/>
      <c r="J30" s="36">
        <f t="shared" si="31"/>
        <v>0</v>
      </c>
      <c r="K30" s="36">
        <f t="shared" si="27"/>
        <v>0</v>
      </c>
      <c r="L30" s="71"/>
      <c r="M30" s="71"/>
      <c r="N30" s="36" t="b">
        <f t="shared" si="28"/>
        <v>0</v>
      </c>
      <c r="O30" s="111"/>
      <c r="P30" s="36" t="b">
        <f t="shared" si="32"/>
        <v>0</v>
      </c>
      <c r="Q30" s="111"/>
      <c r="R30" s="36" t="b">
        <f t="shared" si="33"/>
        <v>0</v>
      </c>
      <c r="S30" s="111"/>
      <c r="T30" s="36" t="b">
        <f t="shared" si="34"/>
        <v>0</v>
      </c>
      <c r="U30" s="111"/>
      <c r="V30" s="36" t="b">
        <f t="shared" si="35"/>
        <v>0</v>
      </c>
      <c r="W30" s="111"/>
      <c r="X30" s="36" t="b">
        <f t="shared" si="36"/>
        <v>0</v>
      </c>
      <c r="Y30" s="111"/>
      <c r="Z30" s="36" t="b">
        <f t="shared" si="37"/>
        <v>0</v>
      </c>
      <c r="AA30" s="111"/>
      <c r="AB30" s="36" t="b">
        <f t="shared" si="38"/>
        <v>0</v>
      </c>
      <c r="AC30" s="111"/>
      <c r="AD30" s="36" t="b">
        <f t="shared" si="39"/>
        <v>0</v>
      </c>
      <c r="AE30" s="111"/>
      <c r="AF30" s="36" t="b">
        <f t="shared" si="40"/>
        <v>0</v>
      </c>
      <c r="AG30" s="111"/>
      <c r="AH30" s="36" t="b">
        <f t="shared" si="41"/>
        <v>0</v>
      </c>
      <c r="AI30" s="111"/>
      <c r="AJ30" s="36" t="b">
        <f t="shared" si="42"/>
        <v>0</v>
      </c>
      <c r="AK30" s="111"/>
      <c r="AL30" s="36" t="b">
        <f t="shared" si="43"/>
        <v>0</v>
      </c>
      <c r="AM30" s="111"/>
      <c r="AN30" s="36" t="b">
        <f t="shared" si="44"/>
        <v>0</v>
      </c>
      <c r="AO30" s="111"/>
      <c r="AP30" s="36" t="b">
        <f t="shared" si="45"/>
        <v>0</v>
      </c>
      <c r="AQ30" s="111"/>
      <c r="AR30" s="36" t="b">
        <f t="shared" si="46"/>
        <v>0</v>
      </c>
      <c r="AS30" s="111"/>
      <c r="AT30" s="36" t="b">
        <f t="shared" si="47"/>
        <v>0</v>
      </c>
      <c r="AU30" s="111"/>
      <c r="AV30" s="36" t="b">
        <f t="shared" si="48"/>
        <v>0</v>
      </c>
      <c r="AW30" s="111"/>
      <c r="AX30" s="36" t="b">
        <f t="shared" si="49"/>
        <v>0</v>
      </c>
      <c r="AY30" s="111"/>
      <c r="AZ30" s="36" t="b">
        <f t="shared" si="50"/>
        <v>0</v>
      </c>
      <c r="BA30" s="111"/>
      <c r="BB30" s="36" t="b">
        <f t="shared" si="51"/>
        <v>0</v>
      </c>
      <c r="BC30" s="111"/>
      <c r="BD30" s="36" t="b">
        <f t="shared" si="52"/>
        <v>0</v>
      </c>
      <c r="BE30" s="111"/>
      <c r="BF30" s="36" t="b">
        <f t="shared" si="53"/>
        <v>0</v>
      </c>
      <c r="BG30" s="111"/>
      <c r="BH30" s="36" t="b">
        <f t="shared" si="54"/>
        <v>0</v>
      </c>
      <c r="BI30" s="111"/>
      <c r="BJ30" s="36" t="b">
        <f t="shared" si="55"/>
        <v>0</v>
      </c>
      <c r="BK30" s="111"/>
      <c r="BL30" s="36" t="b">
        <f t="shared" si="56"/>
        <v>0</v>
      </c>
      <c r="BM30" s="111"/>
      <c r="BN30" s="36" t="b">
        <f t="shared" si="56"/>
        <v>0</v>
      </c>
      <c r="BO30" s="72"/>
      <c r="BV30" s="60" t="str" cm="1">
        <f t="array" ref="BV30">IFERROR(EOMONTH(EOMONTH(_xlfn._xlws.FILTER(Table1[Planned Start],(Table1[Category]=$E30)*(Table1[SBU]=$F$5)*(Table1[Execution Year]=$E$5)*(Table1[Most curent]=TRUE)),0)-45,0)+1,"")</f>
        <v/>
      </c>
      <c r="BW30" s="60" t="str" cm="1">
        <f t="array" ref="BW30">IFERROR(EOMONTH(_xlfn._xlws.FILTER(Table1[Planned Award],(Table1[Category]=$E30)*(Table1[SBU]=$F$5)*(Table1[Execution Year]=$E$5)*(Table1[Most curent]=TRUE)),0),"")</f>
        <v/>
      </c>
      <c r="BX30" s="60" t="str" cm="1">
        <f t="array" ref="BX30">IFERROR(EOMONTH(EOMONTH(_xlfn._xlws.FILTER(Table1[Current Phase End],(Table1[Category]=$E30)*(Table1[SBU]=$F$5)*(Table1[Execution Year]=$E$5)*(Table1[Most curent]=TRUE)),0)-45,0)+1,"")</f>
        <v/>
      </c>
      <c r="BY30" s="60" t="str" cm="1">
        <f t="array" ref="BY30">IFERROR(IF(EOMONTH(_xlfn._xlws.FILTER(Table1[Revised Award],(Table1[Category]=$E30)*(Table1[SBU]=$F$5)*(Table1[Execution Year]=$E$5)*(Table1[Most curent]=TRUE)),0)=31,"",EOMONTH(_xlfn._xlws.FILTER(Table1[Revised Award],(Table1[Category]=$E30)*(Table1[SBU]=$F$5)*(Table1[Execution Year]=$E$5)*(Table1[Most curent]=TRUE)),0)),"")</f>
        <v/>
      </c>
      <c r="BZ30" s="60" t="str">
        <f t="shared" si="29"/>
        <v/>
      </c>
      <c r="CA30" s="60" t="str">
        <f t="shared" si="30"/>
        <v/>
      </c>
      <c r="CB30" s="60" t="str">
        <f t="shared" si="25"/>
        <v/>
      </c>
    </row>
    <row r="31" spans="2:80" ht="15.6" thickTop="1" thickBot="1">
      <c r="B31" s="123"/>
      <c r="C31" s="71"/>
      <c r="D31" s="125"/>
      <c r="E31" s="35"/>
      <c r="F31" s="35"/>
      <c r="G31" s="36"/>
      <c r="H31" s="36"/>
      <c r="I31" s="36"/>
      <c r="J31" s="36">
        <f t="shared" si="31"/>
        <v>0</v>
      </c>
      <c r="K31" s="36">
        <f t="shared" si="27"/>
        <v>0</v>
      </c>
      <c r="L31" s="71"/>
      <c r="M31" s="71"/>
      <c r="N31" s="36" t="b">
        <f t="shared" si="28"/>
        <v>0</v>
      </c>
      <c r="O31" s="111"/>
      <c r="P31" s="36" t="b">
        <f t="shared" si="32"/>
        <v>0</v>
      </c>
      <c r="Q31" s="111"/>
      <c r="R31" s="36" t="b">
        <f t="shared" si="33"/>
        <v>0</v>
      </c>
      <c r="S31" s="111"/>
      <c r="T31" s="36" t="b">
        <f t="shared" si="34"/>
        <v>0</v>
      </c>
      <c r="U31" s="111"/>
      <c r="V31" s="36" t="b">
        <f t="shared" si="35"/>
        <v>0</v>
      </c>
      <c r="W31" s="111"/>
      <c r="X31" s="36" t="b">
        <f t="shared" si="36"/>
        <v>0</v>
      </c>
      <c r="Y31" s="111"/>
      <c r="Z31" s="36" t="b">
        <f t="shared" si="37"/>
        <v>0</v>
      </c>
      <c r="AA31" s="111"/>
      <c r="AB31" s="36" t="b">
        <f t="shared" si="38"/>
        <v>0</v>
      </c>
      <c r="AC31" s="111"/>
      <c r="AD31" s="36" t="b">
        <f t="shared" si="39"/>
        <v>0</v>
      </c>
      <c r="AE31" s="111"/>
      <c r="AF31" s="36" t="b">
        <f t="shared" si="40"/>
        <v>0</v>
      </c>
      <c r="AG31" s="111"/>
      <c r="AH31" s="36" t="b">
        <f t="shared" si="41"/>
        <v>0</v>
      </c>
      <c r="AI31" s="111"/>
      <c r="AJ31" s="36" t="b">
        <f t="shared" si="42"/>
        <v>0</v>
      </c>
      <c r="AK31" s="111"/>
      <c r="AL31" s="36" t="b">
        <f t="shared" si="43"/>
        <v>0</v>
      </c>
      <c r="AM31" s="111"/>
      <c r="AN31" s="36" t="b">
        <f t="shared" si="44"/>
        <v>0</v>
      </c>
      <c r="AO31" s="111"/>
      <c r="AP31" s="36" t="b">
        <f t="shared" si="45"/>
        <v>0</v>
      </c>
      <c r="AQ31" s="111"/>
      <c r="AR31" s="36" t="b">
        <f t="shared" si="46"/>
        <v>0</v>
      </c>
      <c r="AS31" s="111"/>
      <c r="AT31" s="36" t="b">
        <f t="shared" si="47"/>
        <v>0</v>
      </c>
      <c r="AU31" s="111"/>
      <c r="AV31" s="36" t="b">
        <f t="shared" si="48"/>
        <v>0</v>
      </c>
      <c r="AW31" s="111"/>
      <c r="AX31" s="36" t="b">
        <f t="shared" si="49"/>
        <v>0</v>
      </c>
      <c r="AY31" s="111"/>
      <c r="AZ31" s="36" t="b">
        <f t="shared" si="50"/>
        <v>0</v>
      </c>
      <c r="BA31" s="111"/>
      <c r="BB31" s="36" t="b">
        <f t="shared" si="51"/>
        <v>0</v>
      </c>
      <c r="BC31" s="111"/>
      <c r="BD31" s="36" t="b">
        <f t="shared" si="52"/>
        <v>0</v>
      </c>
      <c r="BE31" s="111"/>
      <c r="BF31" s="36" t="b">
        <f t="shared" si="53"/>
        <v>0</v>
      </c>
      <c r="BG31" s="111"/>
      <c r="BH31" s="36" t="b">
        <f t="shared" si="54"/>
        <v>0</v>
      </c>
      <c r="BI31" s="111"/>
      <c r="BJ31" s="36" t="b">
        <f t="shared" si="55"/>
        <v>0</v>
      </c>
      <c r="BK31" s="111"/>
      <c r="BL31" s="36" t="b">
        <f t="shared" si="56"/>
        <v>0</v>
      </c>
      <c r="BM31" s="111"/>
      <c r="BN31" s="36" t="b">
        <f t="shared" si="56"/>
        <v>0</v>
      </c>
      <c r="BO31" s="72"/>
      <c r="BV31" s="60" t="str" cm="1">
        <f t="array" ref="BV31">IFERROR(EOMONTH(EOMONTH(_xlfn._xlws.FILTER(Table1[Planned Start],(Table1[Category]=$E31)*(Table1[SBU]=$F$5)*(Table1[Execution Year]=$E$5)*(Table1[Most curent]=TRUE)),0)-45,0)+1,"")</f>
        <v/>
      </c>
      <c r="BW31" s="60" t="str" cm="1">
        <f t="array" ref="BW31">IFERROR(EOMONTH(_xlfn._xlws.FILTER(Table1[Planned Award],(Table1[Category]=$E31)*(Table1[SBU]=$F$5)*(Table1[Execution Year]=$E$5)*(Table1[Most curent]=TRUE)),0),"")</f>
        <v/>
      </c>
      <c r="BX31" s="60" t="str" cm="1">
        <f t="array" ref="BX31">IFERROR(EOMONTH(EOMONTH(_xlfn._xlws.FILTER(Table1[Current Phase End],(Table1[Category]=$E31)*(Table1[SBU]=$F$5)*(Table1[Execution Year]=$E$5)*(Table1[Most curent]=TRUE)),0)-45,0)+1,"")</f>
        <v/>
      </c>
      <c r="BY31" s="60" t="str" cm="1">
        <f t="array" ref="BY31">IFERROR(IF(EOMONTH(_xlfn._xlws.FILTER(Table1[Revised Award],(Table1[Category]=$E31)*(Table1[SBU]=$F$5)*(Table1[Execution Year]=$E$5)*(Table1[Most curent]=TRUE)),0)=31,"",EOMONTH(_xlfn._xlws.FILTER(Table1[Revised Award],(Table1[Category]=$E31)*(Table1[SBU]=$F$5)*(Table1[Execution Year]=$E$5)*(Table1[Most curent]=TRUE)),0)),"")</f>
        <v/>
      </c>
      <c r="BZ31" s="60" t="str">
        <f t="shared" si="29"/>
        <v/>
      </c>
      <c r="CA31" s="60" t="str">
        <f t="shared" si="30"/>
        <v/>
      </c>
      <c r="CB31" s="60" t="str">
        <f t="shared" si="25"/>
        <v/>
      </c>
    </row>
    <row r="32" spans="2:80" ht="15.6" thickTop="1" thickBot="1">
      <c r="B32" s="123"/>
      <c r="C32" s="71"/>
      <c r="D32" s="125"/>
      <c r="E32" s="35"/>
      <c r="F32" s="35"/>
      <c r="G32" s="36"/>
      <c r="H32" s="36"/>
      <c r="I32" s="36"/>
      <c r="J32" s="36">
        <f t="shared" si="31"/>
        <v>0</v>
      </c>
      <c r="K32" s="36">
        <f t="shared" si="27"/>
        <v>0</v>
      </c>
      <c r="L32" s="71"/>
      <c r="M32" s="71"/>
      <c r="N32" s="36" t="b">
        <f t="shared" si="28"/>
        <v>0</v>
      </c>
      <c r="O32" s="111"/>
      <c r="P32" s="36" t="b">
        <f t="shared" si="32"/>
        <v>0</v>
      </c>
      <c r="Q32" s="111"/>
      <c r="R32" s="36" t="b">
        <f t="shared" si="33"/>
        <v>0</v>
      </c>
      <c r="S32" s="111"/>
      <c r="T32" s="36" t="b">
        <f t="shared" si="34"/>
        <v>0</v>
      </c>
      <c r="U32" s="111"/>
      <c r="V32" s="36" t="b">
        <f t="shared" si="35"/>
        <v>0</v>
      </c>
      <c r="W32" s="111"/>
      <c r="X32" s="36" t="b">
        <f t="shared" si="36"/>
        <v>0</v>
      </c>
      <c r="Y32" s="111"/>
      <c r="Z32" s="36" t="b">
        <f t="shared" si="37"/>
        <v>0</v>
      </c>
      <c r="AA32" s="111"/>
      <c r="AB32" s="36" t="b">
        <f t="shared" si="38"/>
        <v>0</v>
      </c>
      <c r="AC32" s="111"/>
      <c r="AD32" s="36" t="b">
        <f t="shared" si="39"/>
        <v>0</v>
      </c>
      <c r="AE32" s="111"/>
      <c r="AF32" s="36" t="b">
        <f t="shared" si="40"/>
        <v>0</v>
      </c>
      <c r="AG32" s="111"/>
      <c r="AH32" s="36" t="b">
        <f t="shared" si="41"/>
        <v>0</v>
      </c>
      <c r="AI32" s="111"/>
      <c r="AJ32" s="36" t="b">
        <f t="shared" si="42"/>
        <v>0</v>
      </c>
      <c r="AK32" s="111"/>
      <c r="AL32" s="36" t="b">
        <f t="shared" si="43"/>
        <v>0</v>
      </c>
      <c r="AM32" s="111"/>
      <c r="AN32" s="36" t="b">
        <f t="shared" si="44"/>
        <v>0</v>
      </c>
      <c r="AO32" s="111"/>
      <c r="AP32" s="36" t="b">
        <f t="shared" si="45"/>
        <v>0</v>
      </c>
      <c r="AQ32" s="111"/>
      <c r="AR32" s="36" t="b">
        <f t="shared" si="46"/>
        <v>0</v>
      </c>
      <c r="AS32" s="111"/>
      <c r="AT32" s="36" t="b">
        <f t="shared" si="47"/>
        <v>0</v>
      </c>
      <c r="AU32" s="111"/>
      <c r="AV32" s="36" t="b">
        <f t="shared" si="48"/>
        <v>0</v>
      </c>
      <c r="AW32" s="111"/>
      <c r="AX32" s="36" t="b">
        <f t="shared" si="49"/>
        <v>0</v>
      </c>
      <c r="AY32" s="111"/>
      <c r="AZ32" s="36" t="b">
        <f t="shared" si="50"/>
        <v>0</v>
      </c>
      <c r="BA32" s="111"/>
      <c r="BB32" s="36" t="b">
        <f t="shared" si="51"/>
        <v>0</v>
      </c>
      <c r="BC32" s="111"/>
      <c r="BD32" s="36" t="b">
        <f t="shared" si="52"/>
        <v>0</v>
      </c>
      <c r="BE32" s="111"/>
      <c r="BF32" s="36" t="b">
        <f t="shared" si="53"/>
        <v>0</v>
      </c>
      <c r="BG32" s="111"/>
      <c r="BH32" s="36" t="b">
        <f t="shared" si="54"/>
        <v>0</v>
      </c>
      <c r="BI32" s="111"/>
      <c r="BJ32" s="36" t="b">
        <f t="shared" si="55"/>
        <v>0</v>
      </c>
      <c r="BK32" s="111"/>
      <c r="BL32" s="36" t="b">
        <f t="shared" si="56"/>
        <v>0</v>
      </c>
      <c r="BM32" s="111"/>
      <c r="BN32" s="36" t="b">
        <f t="shared" si="56"/>
        <v>0</v>
      </c>
      <c r="BO32" s="72"/>
      <c r="BV32" s="60" t="str" cm="1">
        <f t="array" ref="BV32">IFERROR(EOMONTH(EOMONTH(_xlfn._xlws.FILTER(Table1[Planned Start],(Table1[Category]=$E32)*(Table1[SBU]=$F$5)*(Table1[Execution Year]=$E$5)*(Table1[Most curent]=TRUE)),0)-45,0)+1,"")</f>
        <v/>
      </c>
      <c r="BW32" s="60" t="str" cm="1">
        <f t="array" ref="BW32">IFERROR(EOMONTH(_xlfn._xlws.FILTER(Table1[Planned Award],(Table1[Category]=$E32)*(Table1[SBU]=$F$5)*(Table1[Execution Year]=$E$5)*(Table1[Most curent]=TRUE)),0),"")</f>
        <v/>
      </c>
      <c r="BX32" s="60" t="str" cm="1">
        <f t="array" ref="BX32">IFERROR(EOMONTH(EOMONTH(_xlfn._xlws.FILTER(Table1[Current Phase End],(Table1[Category]=$E32)*(Table1[SBU]=$F$5)*(Table1[Execution Year]=$E$5)*(Table1[Most curent]=TRUE)),0)-45,0)+1,"")</f>
        <v/>
      </c>
      <c r="BY32" s="60" t="str" cm="1">
        <f t="array" ref="BY32">IFERROR(IF(EOMONTH(_xlfn._xlws.FILTER(Table1[Revised Award],(Table1[Category]=$E32)*(Table1[SBU]=$F$5)*(Table1[Execution Year]=$E$5)*(Table1[Most curent]=TRUE)),0)=31,"",EOMONTH(_xlfn._xlws.FILTER(Table1[Revised Award],(Table1[Category]=$E32)*(Table1[SBU]=$F$5)*(Table1[Execution Year]=$E$5)*(Table1[Most curent]=TRUE)),0)),"")</f>
        <v/>
      </c>
      <c r="BZ32" s="60" t="str">
        <f t="shared" si="29"/>
        <v/>
      </c>
      <c r="CA32" s="60" t="str">
        <f t="shared" si="30"/>
        <v/>
      </c>
      <c r="CB32" s="60" t="str">
        <f t="shared" si="25"/>
        <v/>
      </c>
    </row>
    <row r="33" spans="2:80" ht="15.6" thickTop="1" thickBot="1">
      <c r="B33" s="123"/>
      <c r="C33" s="71"/>
      <c r="D33" s="125"/>
      <c r="E33" s="35"/>
      <c r="F33" s="35"/>
      <c r="G33" s="36"/>
      <c r="H33" s="36"/>
      <c r="I33" s="36"/>
      <c r="J33" s="36">
        <f t="shared" si="31"/>
        <v>0</v>
      </c>
      <c r="K33" s="36">
        <f t="shared" si="27"/>
        <v>0</v>
      </c>
      <c r="L33" s="71"/>
      <c r="M33" s="71"/>
      <c r="N33" s="36" t="b">
        <f t="shared" si="28"/>
        <v>0</v>
      </c>
      <c r="O33" s="111"/>
      <c r="P33" s="36" t="b">
        <f t="shared" si="32"/>
        <v>0</v>
      </c>
      <c r="Q33" s="111"/>
      <c r="R33" s="36" t="b">
        <f t="shared" si="33"/>
        <v>0</v>
      </c>
      <c r="S33" s="111"/>
      <c r="T33" s="36" t="b">
        <f t="shared" si="34"/>
        <v>0</v>
      </c>
      <c r="U33" s="111"/>
      <c r="V33" s="36" t="b">
        <f t="shared" si="35"/>
        <v>0</v>
      </c>
      <c r="W33" s="111"/>
      <c r="X33" s="36" t="b">
        <f t="shared" si="36"/>
        <v>0</v>
      </c>
      <c r="Y33" s="111"/>
      <c r="Z33" s="36" t="b">
        <f t="shared" si="37"/>
        <v>0</v>
      </c>
      <c r="AA33" s="111"/>
      <c r="AB33" s="36" t="b">
        <f t="shared" si="38"/>
        <v>0</v>
      </c>
      <c r="AC33" s="111"/>
      <c r="AD33" s="36" t="b">
        <f t="shared" si="39"/>
        <v>0</v>
      </c>
      <c r="AE33" s="111"/>
      <c r="AF33" s="36" t="b">
        <f t="shared" si="40"/>
        <v>0</v>
      </c>
      <c r="AG33" s="111"/>
      <c r="AH33" s="36" t="b">
        <f t="shared" si="41"/>
        <v>0</v>
      </c>
      <c r="AI33" s="111"/>
      <c r="AJ33" s="36" t="b">
        <f t="shared" si="42"/>
        <v>0</v>
      </c>
      <c r="AK33" s="111"/>
      <c r="AL33" s="36" t="b">
        <f t="shared" si="43"/>
        <v>0</v>
      </c>
      <c r="AM33" s="111"/>
      <c r="AN33" s="36" t="b">
        <f t="shared" si="44"/>
        <v>0</v>
      </c>
      <c r="AO33" s="111"/>
      <c r="AP33" s="36" t="b">
        <f t="shared" si="45"/>
        <v>0</v>
      </c>
      <c r="AQ33" s="111"/>
      <c r="AR33" s="36" t="b">
        <f t="shared" si="46"/>
        <v>0</v>
      </c>
      <c r="AS33" s="111"/>
      <c r="AT33" s="36" t="b">
        <f t="shared" si="47"/>
        <v>0</v>
      </c>
      <c r="AU33" s="111"/>
      <c r="AV33" s="36" t="b">
        <f t="shared" si="48"/>
        <v>0</v>
      </c>
      <c r="AW33" s="111"/>
      <c r="AX33" s="36" t="b">
        <f t="shared" si="49"/>
        <v>0</v>
      </c>
      <c r="AY33" s="111"/>
      <c r="AZ33" s="36" t="b">
        <f t="shared" si="50"/>
        <v>0</v>
      </c>
      <c r="BA33" s="111"/>
      <c r="BB33" s="36" t="b">
        <f t="shared" si="51"/>
        <v>0</v>
      </c>
      <c r="BC33" s="111"/>
      <c r="BD33" s="36" t="b">
        <f t="shared" si="52"/>
        <v>0</v>
      </c>
      <c r="BE33" s="111"/>
      <c r="BF33" s="36" t="b">
        <f t="shared" si="53"/>
        <v>0</v>
      </c>
      <c r="BG33" s="111"/>
      <c r="BH33" s="36" t="b">
        <f t="shared" si="54"/>
        <v>0</v>
      </c>
      <c r="BI33" s="111"/>
      <c r="BJ33" s="36" t="b">
        <f t="shared" si="55"/>
        <v>0</v>
      </c>
      <c r="BK33" s="111"/>
      <c r="BL33" s="36" t="b">
        <f t="shared" si="56"/>
        <v>0</v>
      </c>
      <c r="BM33" s="111"/>
      <c r="BN33" s="36" t="b">
        <f t="shared" si="56"/>
        <v>0</v>
      </c>
      <c r="BO33" s="72"/>
      <c r="BV33" s="60" t="str" cm="1">
        <f t="array" ref="BV33">IFERROR(EOMONTH(EOMONTH(_xlfn._xlws.FILTER(Table1[Planned Start],(Table1[Category]=$E33)*(Table1[SBU]=$F$5)*(Table1[Execution Year]=$E$5)*(Table1[Most curent]=TRUE)),0)-45,0)+1,"")</f>
        <v/>
      </c>
      <c r="BW33" s="60" t="str" cm="1">
        <f t="array" ref="BW33">IFERROR(EOMONTH(_xlfn._xlws.FILTER(Table1[Planned Award],(Table1[Category]=$E33)*(Table1[SBU]=$F$5)*(Table1[Execution Year]=$E$5)*(Table1[Most curent]=TRUE)),0),"")</f>
        <v/>
      </c>
      <c r="BX33" s="60" t="str" cm="1">
        <f t="array" ref="BX33">IFERROR(EOMONTH(EOMONTH(_xlfn._xlws.FILTER(Table1[Current Phase End],(Table1[Category]=$E33)*(Table1[SBU]=$F$5)*(Table1[Execution Year]=$E$5)*(Table1[Most curent]=TRUE)),0)-45,0)+1,"")</f>
        <v/>
      </c>
      <c r="BY33" s="60" t="str" cm="1">
        <f t="array" ref="BY33">IFERROR(IF(EOMONTH(_xlfn._xlws.FILTER(Table1[Revised Award],(Table1[Category]=$E33)*(Table1[SBU]=$F$5)*(Table1[Execution Year]=$E$5)*(Table1[Most curent]=TRUE)),0)=31,"",EOMONTH(_xlfn._xlws.FILTER(Table1[Revised Award],(Table1[Category]=$E33)*(Table1[SBU]=$F$5)*(Table1[Execution Year]=$E$5)*(Table1[Most curent]=TRUE)),0)),"")</f>
        <v/>
      </c>
      <c r="BZ33" s="60" t="str">
        <f t="shared" si="29"/>
        <v/>
      </c>
      <c r="CA33" s="60" t="str">
        <f t="shared" si="30"/>
        <v/>
      </c>
      <c r="CB33" s="60" t="str">
        <f t="shared" si="25"/>
        <v/>
      </c>
    </row>
    <row r="34" spans="2:80" ht="15.6" thickTop="1" thickBot="1">
      <c r="B34" s="123"/>
      <c r="C34" s="71"/>
      <c r="D34" s="125"/>
      <c r="E34" s="35"/>
      <c r="F34" s="35"/>
      <c r="G34" s="36"/>
      <c r="H34" s="36"/>
      <c r="I34" s="36"/>
      <c r="J34" s="36">
        <f t="shared" si="31"/>
        <v>0</v>
      </c>
      <c r="K34" s="36">
        <f t="shared" si="27"/>
        <v>0</v>
      </c>
      <c r="L34" s="71"/>
      <c r="M34" s="71"/>
      <c r="N34" s="36" t="b">
        <f t="shared" si="28"/>
        <v>0</v>
      </c>
      <c r="O34" s="111"/>
      <c r="P34" s="36" t="b">
        <f t="shared" si="32"/>
        <v>0</v>
      </c>
      <c r="Q34" s="111"/>
      <c r="R34" s="36" t="b">
        <f t="shared" si="33"/>
        <v>0</v>
      </c>
      <c r="S34" s="111"/>
      <c r="T34" s="36" t="b">
        <f t="shared" si="34"/>
        <v>0</v>
      </c>
      <c r="U34" s="111"/>
      <c r="V34" s="36" t="b">
        <f t="shared" si="35"/>
        <v>0</v>
      </c>
      <c r="W34" s="111"/>
      <c r="X34" s="36" t="b">
        <f t="shared" si="36"/>
        <v>0</v>
      </c>
      <c r="Y34" s="111"/>
      <c r="Z34" s="36" t="b">
        <f t="shared" si="37"/>
        <v>0</v>
      </c>
      <c r="AA34" s="111"/>
      <c r="AB34" s="36" t="b">
        <f t="shared" si="38"/>
        <v>0</v>
      </c>
      <c r="AC34" s="111"/>
      <c r="AD34" s="36" t="b">
        <f t="shared" si="39"/>
        <v>0</v>
      </c>
      <c r="AE34" s="111"/>
      <c r="AF34" s="36" t="b">
        <f t="shared" si="40"/>
        <v>0</v>
      </c>
      <c r="AG34" s="111"/>
      <c r="AH34" s="36" t="b">
        <f t="shared" si="41"/>
        <v>0</v>
      </c>
      <c r="AI34" s="111"/>
      <c r="AJ34" s="36" t="b">
        <f t="shared" si="42"/>
        <v>0</v>
      </c>
      <c r="AK34" s="111"/>
      <c r="AL34" s="36" t="b">
        <f t="shared" si="43"/>
        <v>0</v>
      </c>
      <c r="AM34" s="111"/>
      <c r="AN34" s="36" t="b">
        <f t="shared" si="44"/>
        <v>0</v>
      </c>
      <c r="AO34" s="111"/>
      <c r="AP34" s="36" t="b">
        <f t="shared" si="45"/>
        <v>0</v>
      </c>
      <c r="AQ34" s="111"/>
      <c r="AR34" s="36" t="b">
        <f t="shared" si="46"/>
        <v>0</v>
      </c>
      <c r="AS34" s="111"/>
      <c r="AT34" s="36" t="b">
        <f t="shared" si="47"/>
        <v>0</v>
      </c>
      <c r="AU34" s="111"/>
      <c r="AV34" s="36" t="b">
        <f t="shared" si="48"/>
        <v>0</v>
      </c>
      <c r="AW34" s="111"/>
      <c r="AX34" s="36" t="b">
        <f t="shared" si="49"/>
        <v>0</v>
      </c>
      <c r="AY34" s="111"/>
      <c r="AZ34" s="36" t="b">
        <f t="shared" si="50"/>
        <v>0</v>
      </c>
      <c r="BA34" s="111"/>
      <c r="BB34" s="36" t="b">
        <f t="shared" si="51"/>
        <v>0</v>
      </c>
      <c r="BC34" s="111"/>
      <c r="BD34" s="36" t="b">
        <f t="shared" si="52"/>
        <v>0</v>
      </c>
      <c r="BE34" s="111"/>
      <c r="BF34" s="36" t="b">
        <f t="shared" si="53"/>
        <v>0</v>
      </c>
      <c r="BG34" s="111"/>
      <c r="BH34" s="36" t="b">
        <f t="shared" si="54"/>
        <v>0</v>
      </c>
      <c r="BI34" s="111"/>
      <c r="BJ34" s="36" t="b">
        <f t="shared" si="55"/>
        <v>0</v>
      </c>
      <c r="BK34" s="111"/>
      <c r="BL34" s="36" t="b">
        <f t="shared" si="56"/>
        <v>0</v>
      </c>
      <c r="BM34" s="111"/>
      <c r="BN34" s="36" t="b">
        <f t="shared" si="56"/>
        <v>0</v>
      </c>
      <c r="BO34" s="72"/>
      <c r="BV34" s="60" t="str" cm="1">
        <f t="array" ref="BV34">IFERROR(EOMONTH(EOMONTH(_xlfn._xlws.FILTER(Table1[Planned Start],(Table1[Category]=$E34)*(Table1[SBU]=$F$5)*(Table1[Execution Year]=$E$5)*(Table1[Most curent]=TRUE)),0)-45,0)+1,"")</f>
        <v/>
      </c>
      <c r="BW34" s="60" t="str" cm="1">
        <f t="array" ref="BW34">IFERROR(EOMONTH(_xlfn._xlws.FILTER(Table1[Planned Award],(Table1[Category]=$E34)*(Table1[SBU]=$F$5)*(Table1[Execution Year]=$E$5)*(Table1[Most curent]=TRUE)),0),"")</f>
        <v/>
      </c>
      <c r="BX34" s="60" t="str" cm="1">
        <f t="array" ref="BX34">IFERROR(EOMONTH(EOMONTH(_xlfn._xlws.FILTER(Table1[Current Phase End],(Table1[Category]=$E34)*(Table1[SBU]=$F$5)*(Table1[Execution Year]=$E$5)*(Table1[Most curent]=TRUE)),0)-45,0)+1,"")</f>
        <v/>
      </c>
      <c r="BY34" s="60" t="str" cm="1">
        <f t="array" ref="BY34">IFERROR(IF(EOMONTH(_xlfn._xlws.FILTER(Table1[Revised Award],(Table1[Category]=$E34)*(Table1[SBU]=$F$5)*(Table1[Execution Year]=$E$5)*(Table1[Most curent]=TRUE)),0)=31,"",EOMONTH(_xlfn._xlws.FILTER(Table1[Revised Award],(Table1[Category]=$E34)*(Table1[SBU]=$F$5)*(Table1[Execution Year]=$E$5)*(Table1[Most curent]=TRUE)),0)),"")</f>
        <v/>
      </c>
      <c r="BZ34" s="60" t="str">
        <f t="shared" si="29"/>
        <v/>
      </c>
      <c r="CA34" s="60" t="str">
        <f t="shared" si="30"/>
        <v/>
      </c>
      <c r="CB34" s="60" t="str">
        <f t="shared" si="25"/>
        <v/>
      </c>
    </row>
    <row r="35" spans="2:80" ht="15.6" thickTop="1" thickBot="1">
      <c r="B35" s="123"/>
      <c r="C35" s="71"/>
      <c r="D35" s="125"/>
      <c r="E35" s="35"/>
      <c r="F35" s="35"/>
      <c r="G35" s="36"/>
      <c r="H35" s="36"/>
      <c r="I35" s="36"/>
      <c r="J35" s="36">
        <f t="shared" si="31"/>
        <v>0</v>
      </c>
      <c r="K35" s="36">
        <f t="shared" si="27"/>
        <v>0</v>
      </c>
      <c r="L35" s="71"/>
      <c r="M35" s="71"/>
      <c r="N35" s="36" t="b">
        <f t="shared" si="28"/>
        <v>0</v>
      </c>
      <c r="O35" s="111"/>
      <c r="P35" s="36" t="b">
        <f t="shared" si="32"/>
        <v>0</v>
      </c>
      <c r="Q35" s="111"/>
      <c r="R35" s="36" t="b">
        <f t="shared" si="33"/>
        <v>0</v>
      </c>
      <c r="S35" s="111"/>
      <c r="T35" s="36" t="b">
        <f t="shared" si="34"/>
        <v>0</v>
      </c>
      <c r="U35" s="111"/>
      <c r="V35" s="36" t="b">
        <f t="shared" si="35"/>
        <v>0</v>
      </c>
      <c r="W35" s="111"/>
      <c r="X35" s="36" t="b">
        <f t="shared" si="36"/>
        <v>0</v>
      </c>
      <c r="Y35" s="111"/>
      <c r="Z35" s="36" t="b">
        <f t="shared" si="37"/>
        <v>0</v>
      </c>
      <c r="AA35" s="111"/>
      <c r="AB35" s="36" t="b">
        <f t="shared" si="38"/>
        <v>0</v>
      </c>
      <c r="AC35" s="111"/>
      <c r="AD35" s="36" t="b">
        <f t="shared" si="39"/>
        <v>0</v>
      </c>
      <c r="AE35" s="111"/>
      <c r="AF35" s="36" t="b">
        <f t="shared" si="40"/>
        <v>0</v>
      </c>
      <c r="AG35" s="111"/>
      <c r="AH35" s="36" t="b">
        <f t="shared" si="41"/>
        <v>0</v>
      </c>
      <c r="AI35" s="111"/>
      <c r="AJ35" s="36" t="b">
        <f t="shared" si="42"/>
        <v>0</v>
      </c>
      <c r="AK35" s="111"/>
      <c r="AL35" s="36" t="b">
        <f t="shared" si="43"/>
        <v>0</v>
      </c>
      <c r="AM35" s="111"/>
      <c r="AN35" s="36" t="b">
        <f t="shared" si="44"/>
        <v>0</v>
      </c>
      <c r="AO35" s="111"/>
      <c r="AP35" s="36" t="b">
        <f t="shared" si="45"/>
        <v>0</v>
      </c>
      <c r="AQ35" s="111"/>
      <c r="AR35" s="36" t="b">
        <f t="shared" si="46"/>
        <v>0</v>
      </c>
      <c r="AS35" s="111"/>
      <c r="AT35" s="36" t="b">
        <f t="shared" si="47"/>
        <v>0</v>
      </c>
      <c r="AU35" s="111"/>
      <c r="AV35" s="36" t="b">
        <f t="shared" si="48"/>
        <v>0</v>
      </c>
      <c r="AW35" s="111"/>
      <c r="AX35" s="36" t="b">
        <f t="shared" si="49"/>
        <v>0</v>
      </c>
      <c r="AY35" s="111"/>
      <c r="AZ35" s="36" t="b">
        <f t="shared" si="50"/>
        <v>0</v>
      </c>
      <c r="BA35" s="111"/>
      <c r="BB35" s="36" t="b">
        <f t="shared" si="51"/>
        <v>0</v>
      </c>
      <c r="BC35" s="111"/>
      <c r="BD35" s="36" t="b">
        <f t="shared" si="52"/>
        <v>0</v>
      </c>
      <c r="BE35" s="111"/>
      <c r="BF35" s="36" t="b">
        <f t="shared" si="53"/>
        <v>0</v>
      </c>
      <c r="BG35" s="111"/>
      <c r="BH35" s="36" t="b">
        <f t="shared" si="54"/>
        <v>0</v>
      </c>
      <c r="BI35" s="111"/>
      <c r="BJ35" s="36" t="b">
        <f t="shared" si="55"/>
        <v>0</v>
      </c>
      <c r="BK35" s="111"/>
      <c r="BL35" s="36" t="b">
        <f t="shared" si="56"/>
        <v>0</v>
      </c>
      <c r="BM35" s="111"/>
      <c r="BN35" s="36" t="b">
        <f t="shared" si="56"/>
        <v>0</v>
      </c>
      <c r="BO35" s="72"/>
      <c r="BV35" s="60" t="str" cm="1">
        <f t="array" ref="BV35">IFERROR(EOMONTH(EOMONTH(_xlfn._xlws.FILTER(Table1[Planned Start],(Table1[Category]=$E35)*(Table1[SBU]=$F$5)*(Table1[Execution Year]=$E$5)*(Table1[Most curent]=TRUE)),0)-45,0)+1,"")</f>
        <v/>
      </c>
      <c r="BW35" s="60" t="str" cm="1">
        <f t="array" ref="BW35">IFERROR(EOMONTH(_xlfn._xlws.FILTER(Table1[Planned Award],(Table1[Category]=$E35)*(Table1[SBU]=$F$5)*(Table1[Execution Year]=$E$5)*(Table1[Most curent]=TRUE)),0),"")</f>
        <v/>
      </c>
      <c r="BX35" s="60" t="str" cm="1">
        <f t="array" ref="BX35">IFERROR(EOMONTH(EOMONTH(_xlfn._xlws.FILTER(Table1[Current Phase End],(Table1[Category]=$E35)*(Table1[SBU]=$F$5)*(Table1[Execution Year]=$E$5)*(Table1[Most curent]=TRUE)),0)-45,0)+1,"")</f>
        <v/>
      </c>
      <c r="BY35" s="60" t="str" cm="1">
        <f t="array" ref="BY35">IFERROR(IF(EOMONTH(_xlfn._xlws.FILTER(Table1[Revised Award],(Table1[Category]=$E35)*(Table1[SBU]=$F$5)*(Table1[Execution Year]=$E$5)*(Table1[Most curent]=TRUE)),0)=31,"",EOMONTH(_xlfn._xlws.FILTER(Table1[Revised Award],(Table1[Category]=$E35)*(Table1[SBU]=$F$5)*(Table1[Execution Year]=$E$5)*(Table1[Most curent]=TRUE)),0)),"")</f>
        <v/>
      </c>
      <c r="BZ35" s="60" t="str">
        <f t="shared" si="29"/>
        <v/>
      </c>
      <c r="CA35" s="60" t="str">
        <f t="shared" si="30"/>
        <v/>
      </c>
      <c r="CB35" s="60" t="str">
        <f t="shared" si="25"/>
        <v/>
      </c>
    </row>
    <row r="36" spans="2:80" ht="15.6" thickTop="1" thickBot="1">
      <c r="B36" s="123"/>
      <c r="C36" s="71"/>
      <c r="D36" s="125"/>
      <c r="E36" s="35"/>
      <c r="F36" s="35"/>
      <c r="G36" s="36"/>
      <c r="H36" s="36"/>
      <c r="I36" s="36"/>
      <c r="J36" s="36">
        <f t="shared" si="31"/>
        <v>0</v>
      </c>
      <c r="K36" s="36">
        <f t="shared" si="27"/>
        <v>0</v>
      </c>
      <c r="L36" s="71"/>
      <c r="M36" s="71"/>
      <c r="N36" s="36" t="b">
        <f t="shared" si="28"/>
        <v>0</v>
      </c>
      <c r="O36" s="111"/>
      <c r="P36" s="36" t="b">
        <f t="shared" si="32"/>
        <v>0</v>
      </c>
      <c r="Q36" s="111"/>
      <c r="R36" s="36" t="b">
        <f t="shared" si="33"/>
        <v>0</v>
      </c>
      <c r="S36" s="111"/>
      <c r="T36" s="36" t="b">
        <f t="shared" si="34"/>
        <v>0</v>
      </c>
      <c r="U36" s="111"/>
      <c r="V36" s="36" t="b">
        <f t="shared" si="35"/>
        <v>0</v>
      </c>
      <c r="W36" s="111"/>
      <c r="X36" s="36" t="b">
        <f t="shared" si="36"/>
        <v>0</v>
      </c>
      <c r="Y36" s="111"/>
      <c r="Z36" s="36" t="b">
        <f t="shared" si="37"/>
        <v>0</v>
      </c>
      <c r="AA36" s="111"/>
      <c r="AB36" s="36" t="b">
        <f t="shared" si="38"/>
        <v>0</v>
      </c>
      <c r="AC36" s="111"/>
      <c r="AD36" s="36" t="b">
        <f t="shared" si="39"/>
        <v>0</v>
      </c>
      <c r="AE36" s="111"/>
      <c r="AF36" s="36" t="b">
        <f t="shared" si="40"/>
        <v>0</v>
      </c>
      <c r="AG36" s="111"/>
      <c r="AH36" s="36" t="b">
        <f t="shared" si="41"/>
        <v>0</v>
      </c>
      <c r="AI36" s="111"/>
      <c r="AJ36" s="36" t="b">
        <f t="shared" si="42"/>
        <v>0</v>
      </c>
      <c r="AK36" s="111"/>
      <c r="AL36" s="36" t="b">
        <f t="shared" si="43"/>
        <v>0</v>
      </c>
      <c r="AM36" s="111"/>
      <c r="AN36" s="36" t="b">
        <f t="shared" si="44"/>
        <v>0</v>
      </c>
      <c r="AO36" s="111"/>
      <c r="AP36" s="36" t="b">
        <f t="shared" si="45"/>
        <v>0</v>
      </c>
      <c r="AQ36" s="111"/>
      <c r="AR36" s="36" t="b">
        <f t="shared" si="46"/>
        <v>0</v>
      </c>
      <c r="AS36" s="111"/>
      <c r="AT36" s="36" t="b">
        <f t="shared" si="47"/>
        <v>0</v>
      </c>
      <c r="AU36" s="111"/>
      <c r="AV36" s="36" t="b">
        <f t="shared" si="48"/>
        <v>0</v>
      </c>
      <c r="AW36" s="111"/>
      <c r="AX36" s="36" t="b">
        <f t="shared" si="49"/>
        <v>0</v>
      </c>
      <c r="AY36" s="111"/>
      <c r="AZ36" s="36" t="b">
        <f t="shared" si="50"/>
        <v>0</v>
      </c>
      <c r="BA36" s="111"/>
      <c r="BB36" s="36" t="b">
        <f t="shared" si="51"/>
        <v>0</v>
      </c>
      <c r="BC36" s="111"/>
      <c r="BD36" s="36" t="b">
        <f t="shared" si="52"/>
        <v>0</v>
      </c>
      <c r="BE36" s="111"/>
      <c r="BF36" s="36" t="b">
        <f t="shared" si="53"/>
        <v>0</v>
      </c>
      <c r="BG36" s="111"/>
      <c r="BH36" s="36" t="b">
        <f t="shared" si="54"/>
        <v>0</v>
      </c>
      <c r="BI36" s="111"/>
      <c r="BJ36" s="36" t="b">
        <f t="shared" si="55"/>
        <v>0</v>
      </c>
      <c r="BK36" s="111"/>
      <c r="BL36" s="36" t="b">
        <f t="shared" si="56"/>
        <v>0</v>
      </c>
      <c r="BM36" s="111"/>
      <c r="BN36" s="36" t="b">
        <f t="shared" si="56"/>
        <v>0</v>
      </c>
      <c r="BO36" s="72"/>
      <c r="BV36" s="60" t="str" cm="1">
        <f t="array" ref="BV36">IFERROR(EOMONTH(EOMONTH(_xlfn._xlws.FILTER(Table1[Planned Start],(Table1[Category]=$E36)*(Table1[SBU]=$F$5)*(Table1[Execution Year]=$E$5)*(Table1[Most curent]=TRUE)),0)-45,0)+1,"")</f>
        <v/>
      </c>
      <c r="BW36" s="60" t="str" cm="1">
        <f t="array" ref="BW36">IFERROR(EOMONTH(_xlfn._xlws.FILTER(Table1[Planned Award],(Table1[Category]=$E36)*(Table1[SBU]=$F$5)*(Table1[Execution Year]=$E$5)*(Table1[Most curent]=TRUE)),0),"")</f>
        <v/>
      </c>
      <c r="BX36" s="60" t="str" cm="1">
        <f t="array" ref="BX36">IFERROR(EOMONTH(EOMONTH(_xlfn._xlws.FILTER(Table1[Current Phase End],(Table1[Category]=$E36)*(Table1[SBU]=$F$5)*(Table1[Execution Year]=$E$5)*(Table1[Most curent]=TRUE)),0)-45,0)+1,"")</f>
        <v/>
      </c>
      <c r="BY36" s="60" t="str" cm="1">
        <f t="array" ref="BY36">IFERROR(IF(EOMONTH(_xlfn._xlws.FILTER(Table1[Revised Award],(Table1[Category]=$E36)*(Table1[SBU]=$F$5)*(Table1[Execution Year]=$E$5)*(Table1[Most curent]=TRUE)),0)=31,"",EOMONTH(_xlfn._xlws.FILTER(Table1[Revised Award],(Table1[Category]=$E36)*(Table1[SBU]=$F$5)*(Table1[Execution Year]=$E$5)*(Table1[Most curent]=TRUE)),0)),"")</f>
        <v/>
      </c>
      <c r="BZ36" s="60" t="str">
        <f t="shared" si="29"/>
        <v/>
      </c>
      <c r="CA36" s="60" t="str">
        <f t="shared" si="30"/>
        <v/>
      </c>
      <c r="CB36" s="60" t="str">
        <f t="shared" si="25"/>
        <v/>
      </c>
    </row>
    <row r="37" spans="2:80" ht="15.6" thickTop="1" thickBot="1">
      <c r="B37" s="123"/>
      <c r="C37" s="71"/>
      <c r="D37" s="125"/>
      <c r="E37" s="35"/>
      <c r="F37" s="35"/>
      <c r="G37" s="36"/>
      <c r="H37" s="36"/>
      <c r="I37" s="36"/>
      <c r="J37" s="36">
        <f t="shared" si="31"/>
        <v>0</v>
      </c>
      <c r="K37" s="36">
        <f t="shared" si="27"/>
        <v>0</v>
      </c>
      <c r="L37" s="71"/>
      <c r="M37" s="71"/>
      <c r="N37" s="36" t="b">
        <f t="shared" si="28"/>
        <v>0</v>
      </c>
      <c r="O37" s="111"/>
      <c r="P37" s="36" t="b">
        <f t="shared" si="32"/>
        <v>0</v>
      </c>
      <c r="Q37" s="111"/>
      <c r="R37" s="36" t="b">
        <f t="shared" si="33"/>
        <v>0</v>
      </c>
      <c r="S37" s="111"/>
      <c r="T37" s="36" t="b">
        <f t="shared" si="34"/>
        <v>0</v>
      </c>
      <c r="U37" s="111"/>
      <c r="V37" s="36" t="b">
        <f t="shared" si="35"/>
        <v>0</v>
      </c>
      <c r="W37" s="111"/>
      <c r="X37" s="36" t="b">
        <f t="shared" si="36"/>
        <v>0</v>
      </c>
      <c r="Y37" s="111"/>
      <c r="Z37" s="36" t="b">
        <f t="shared" si="37"/>
        <v>0</v>
      </c>
      <c r="AA37" s="111"/>
      <c r="AB37" s="36" t="b">
        <f t="shared" si="38"/>
        <v>0</v>
      </c>
      <c r="AC37" s="111"/>
      <c r="AD37" s="36" t="b">
        <f t="shared" si="39"/>
        <v>0</v>
      </c>
      <c r="AE37" s="111"/>
      <c r="AF37" s="36" t="b">
        <f t="shared" si="40"/>
        <v>0</v>
      </c>
      <c r="AG37" s="111"/>
      <c r="AH37" s="36" t="b">
        <f t="shared" si="41"/>
        <v>0</v>
      </c>
      <c r="AI37" s="111"/>
      <c r="AJ37" s="36" t="b">
        <f t="shared" si="42"/>
        <v>0</v>
      </c>
      <c r="AK37" s="111"/>
      <c r="AL37" s="36" t="b">
        <f t="shared" si="43"/>
        <v>0</v>
      </c>
      <c r="AM37" s="111"/>
      <c r="AN37" s="36" t="b">
        <f t="shared" si="44"/>
        <v>0</v>
      </c>
      <c r="AO37" s="111"/>
      <c r="AP37" s="36" t="b">
        <f t="shared" si="45"/>
        <v>0</v>
      </c>
      <c r="AQ37" s="111"/>
      <c r="AR37" s="36" t="b">
        <f t="shared" si="46"/>
        <v>0</v>
      </c>
      <c r="AS37" s="111"/>
      <c r="AT37" s="36" t="b">
        <f t="shared" si="47"/>
        <v>0</v>
      </c>
      <c r="AU37" s="111"/>
      <c r="AV37" s="36" t="b">
        <f t="shared" si="48"/>
        <v>0</v>
      </c>
      <c r="AW37" s="111"/>
      <c r="AX37" s="36" t="b">
        <f t="shared" si="49"/>
        <v>0</v>
      </c>
      <c r="AY37" s="111"/>
      <c r="AZ37" s="36" t="b">
        <f t="shared" si="50"/>
        <v>0</v>
      </c>
      <c r="BA37" s="111"/>
      <c r="BB37" s="36" t="b">
        <f t="shared" si="51"/>
        <v>0</v>
      </c>
      <c r="BC37" s="111"/>
      <c r="BD37" s="36" t="b">
        <f t="shared" si="52"/>
        <v>0</v>
      </c>
      <c r="BE37" s="111"/>
      <c r="BF37" s="36" t="b">
        <f t="shared" si="53"/>
        <v>0</v>
      </c>
      <c r="BG37" s="111"/>
      <c r="BH37" s="36" t="b">
        <f t="shared" si="54"/>
        <v>0</v>
      </c>
      <c r="BI37" s="111"/>
      <c r="BJ37" s="36" t="b">
        <f t="shared" si="55"/>
        <v>0</v>
      </c>
      <c r="BK37" s="111"/>
      <c r="BL37" s="36" t="b">
        <f t="shared" si="56"/>
        <v>0</v>
      </c>
      <c r="BM37" s="111"/>
      <c r="BN37" s="36" t="b">
        <f t="shared" si="56"/>
        <v>0</v>
      </c>
      <c r="BO37" s="72"/>
      <c r="BV37" s="60" t="str" cm="1">
        <f t="array" ref="BV37">IFERROR(EOMONTH(EOMONTH(_xlfn._xlws.FILTER(Table1[Planned Start],(Table1[Category]=$E37)*(Table1[SBU]=$F$5)*(Table1[Execution Year]=$E$5)*(Table1[Most curent]=TRUE)),0)-45,0)+1,"")</f>
        <v/>
      </c>
      <c r="BW37" s="60" t="str" cm="1">
        <f t="array" ref="BW37">IFERROR(EOMONTH(_xlfn._xlws.FILTER(Table1[Planned Award],(Table1[Category]=$E37)*(Table1[SBU]=$F$5)*(Table1[Execution Year]=$E$5)*(Table1[Most curent]=TRUE)),0),"")</f>
        <v/>
      </c>
      <c r="BX37" s="60" t="str" cm="1">
        <f t="array" ref="BX37">IFERROR(EOMONTH(EOMONTH(_xlfn._xlws.FILTER(Table1[Current Phase End],(Table1[Category]=$E37)*(Table1[SBU]=$F$5)*(Table1[Execution Year]=$E$5)*(Table1[Most curent]=TRUE)),0)-45,0)+1,"")</f>
        <v/>
      </c>
      <c r="BY37" s="60" t="str" cm="1">
        <f t="array" ref="BY37">IFERROR(IF(EOMONTH(_xlfn._xlws.FILTER(Table1[Revised Award],(Table1[Category]=$E37)*(Table1[SBU]=$F$5)*(Table1[Execution Year]=$E$5)*(Table1[Most curent]=TRUE)),0)=31,"",EOMONTH(_xlfn._xlws.FILTER(Table1[Revised Award],(Table1[Category]=$E37)*(Table1[SBU]=$F$5)*(Table1[Execution Year]=$E$5)*(Table1[Most curent]=TRUE)),0)),"")</f>
        <v/>
      </c>
      <c r="BZ37" s="60" t="str">
        <f t="shared" si="29"/>
        <v/>
      </c>
      <c r="CA37" s="60" t="str">
        <f t="shared" si="30"/>
        <v/>
      </c>
      <c r="CB37" s="60" t="str">
        <f t="shared" si="25"/>
        <v/>
      </c>
    </row>
    <row r="38" spans="2:80" ht="15.6" thickTop="1" thickBot="1">
      <c r="B38" s="123"/>
      <c r="C38" s="71"/>
      <c r="D38" s="125"/>
      <c r="E38" s="35"/>
      <c r="F38" s="35"/>
      <c r="G38" s="36"/>
      <c r="H38" s="36"/>
      <c r="I38" s="36"/>
      <c r="J38" s="36">
        <f t="shared" si="31"/>
        <v>0</v>
      </c>
      <c r="K38" s="36">
        <f t="shared" si="27"/>
        <v>0</v>
      </c>
      <c r="L38" s="71"/>
      <c r="M38" s="71"/>
      <c r="N38" s="36" t="b">
        <f t="shared" si="28"/>
        <v>0</v>
      </c>
      <c r="O38" s="111"/>
      <c r="P38" s="36" t="b">
        <f t="shared" si="32"/>
        <v>0</v>
      </c>
      <c r="Q38" s="111"/>
      <c r="R38" s="36" t="b">
        <f t="shared" si="33"/>
        <v>0</v>
      </c>
      <c r="S38" s="111"/>
      <c r="T38" s="36" t="b">
        <f t="shared" si="34"/>
        <v>0</v>
      </c>
      <c r="U38" s="111"/>
      <c r="V38" s="36" t="b">
        <f t="shared" si="35"/>
        <v>0</v>
      </c>
      <c r="W38" s="111"/>
      <c r="X38" s="36" t="b">
        <f t="shared" si="36"/>
        <v>0</v>
      </c>
      <c r="Y38" s="111"/>
      <c r="Z38" s="36" t="b">
        <f t="shared" si="37"/>
        <v>0</v>
      </c>
      <c r="AA38" s="111"/>
      <c r="AB38" s="36" t="b">
        <f t="shared" si="38"/>
        <v>0</v>
      </c>
      <c r="AC38" s="111"/>
      <c r="AD38" s="36" t="b">
        <f t="shared" si="39"/>
        <v>0</v>
      </c>
      <c r="AE38" s="111"/>
      <c r="AF38" s="36" t="b">
        <f t="shared" si="40"/>
        <v>0</v>
      </c>
      <c r="AG38" s="111"/>
      <c r="AH38" s="36" t="b">
        <f t="shared" si="41"/>
        <v>0</v>
      </c>
      <c r="AI38" s="111"/>
      <c r="AJ38" s="36" t="b">
        <f t="shared" si="42"/>
        <v>0</v>
      </c>
      <c r="AK38" s="111"/>
      <c r="AL38" s="36" t="b">
        <f t="shared" si="43"/>
        <v>0</v>
      </c>
      <c r="AM38" s="111"/>
      <c r="AN38" s="36" t="b">
        <f t="shared" si="44"/>
        <v>0</v>
      </c>
      <c r="AO38" s="111"/>
      <c r="AP38" s="36" t="b">
        <f t="shared" si="45"/>
        <v>0</v>
      </c>
      <c r="AQ38" s="111"/>
      <c r="AR38" s="36" t="b">
        <f t="shared" si="46"/>
        <v>0</v>
      </c>
      <c r="AS38" s="111"/>
      <c r="AT38" s="36" t="b">
        <f t="shared" si="47"/>
        <v>0</v>
      </c>
      <c r="AU38" s="111"/>
      <c r="AV38" s="36" t="b">
        <f t="shared" si="48"/>
        <v>0</v>
      </c>
      <c r="AW38" s="111"/>
      <c r="AX38" s="36" t="b">
        <f t="shared" si="49"/>
        <v>0</v>
      </c>
      <c r="AY38" s="111"/>
      <c r="AZ38" s="36" t="b">
        <f t="shared" si="50"/>
        <v>0</v>
      </c>
      <c r="BA38" s="111"/>
      <c r="BB38" s="36" t="b">
        <f t="shared" si="51"/>
        <v>0</v>
      </c>
      <c r="BC38" s="111"/>
      <c r="BD38" s="36" t="b">
        <f t="shared" si="52"/>
        <v>0</v>
      </c>
      <c r="BE38" s="111"/>
      <c r="BF38" s="36" t="b">
        <f t="shared" si="53"/>
        <v>0</v>
      </c>
      <c r="BG38" s="111"/>
      <c r="BH38" s="36" t="b">
        <f t="shared" si="54"/>
        <v>0</v>
      </c>
      <c r="BI38" s="111"/>
      <c r="BJ38" s="36" t="b">
        <f t="shared" si="55"/>
        <v>0</v>
      </c>
      <c r="BK38" s="111"/>
      <c r="BL38" s="36" t="b">
        <f t="shared" si="56"/>
        <v>0</v>
      </c>
      <c r="BM38" s="111"/>
      <c r="BN38" s="36" t="b">
        <f t="shared" si="56"/>
        <v>0</v>
      </c>
      <c r="BO38" s="72"/>
      <c r="BV38" s="60" t="str" cm="1">
        <f t="array" ref="BV38">IFERROR(EOMONTH(EOMONTH(_xlfn._xlws.FILTER(Table1[Planned Start],(Table1[Category]=$E38)*(Table1[SBU]=$F$5)*(Table1[Execution Year]=$E$5)*(Table1[Most curent]=TRUE)),0)-45,0)+1,"")</f>
        <v/>
      </c>
      <c r="BW38" s="60" t="str" cm="1">
        <f t="array" ref="BW38">IFERROR(EOMONTH(_xlfn._xlws.FILTER(Table1[Planned Award],(Table1[Category]=$E38)*(Table1[SBU]=$F$5)*(Table1[Execution Year]=$E$5)*(Table1[Most curent]=TRUE)),0),"")</f>
        <v/>
      </c>
      <c r="BX38" s="60" t="str" cm="1">
        <f t="array" ref="BX38">IFERROR(EOMONTH(EOMONTH(_xlfn._xlws.FILTER(Table1[Current Phase End],(Table1[Category]=$E38)*(Table1[SBU]=$F$5)*(Table1[Execution Year]=$E$5)*(Table1[Most curent]=TRUE)),0)-45,0)+1,"")</f>
        <v/>
      </c>
      <c r="BY38" s="60" t="str" cm="1">
        <f t="array" ref="BY38">IFERROR(IF(EOMONTH(_xlfn._xlws.FILTER(Table1[Revised Award],(Table1[Category]=$E38)*(Table1[SBU]=$F$5)*(Table1[Execution Year]=$E$5)*(Table1[Most curent]=TRUE)),0)=31,"",EOMONTH(_xlfn._xlws.FILTER(Table1[Revised Award],(Table1[Category]=$E38)*(Table1[SBU]=$F$5)*(Table1[Execution Year]=$E$5)*(Table1[Most curent]=TRUE)),0)),"")</f>
        <v/>
      </c>
      <c r="BZ38" s="60" t="str">
        <f t="shared" si="29"/>
        <v/>
      </c>
      <c r="CA38" s="60" t="str">
        <f t="shared" si="30"/>
        <v/>
      </c>
      <c r="CB38" s="60" t="str">
        <f t="shared" si="25"/>
        <v/>
      </c>
    </row>
    <row r="39" spans="2:80" ht="15.6" thickTop="1" thickBot="1">
      <c r="B39" s="123"/>
      <c r="C39" s="71"/>
      <c r="D39" s="125"/>
      <c r="E39" s="35"/>
      <c r="F39" s="35"/>
      <c r="G39" s="36"/>
      <c r="H39" s="36"/>
      <c r="I39" s="36"/>
      <c r="J39" s="36">
        <f t="shared" si="31"/>
        <v>0</v>
      </c>
      <c r="K39" s="36">
        <f t="shared" si="27"/>
        <v>0</v>
      </c>
      <c r="L39" s="71"/>
      <c r="M39" s="71"/>
      <c r="N39" s="36" t="b">
        <f t="shared" si="28"/>
        <v>0</v>
      </c>
      <c r="O39" s="111"/>
      <c r="P39" s="36" t="b">
        <f t="shared" si="32"/>
        <v>0</v>
      </c>
      <c r="Q39" s="111"/>
      <c r="R39" s="36" t="b">
        <f t="shared" si="33"/>
        <v>0</v>
      </c>
      <c r="S39" s="111"/>
      <c r="T39" s="36" t="b">
        <f t="shared" si="34"/>
        <v>0</v>
      </c>
      <c r="U39" s="111"/>
      <c r="V39" s="36" t="b">
        <f t="shared" si="35"/>
        <v>0</v>
      </c>
      <c r="W39" s="111"/>
      <c r="X39" s="36" t="b">
        <f t="shared" si="36"/>
        <v>0</v>
      </c>
      <c r="Y39" s="111"/>
      <c r="Z39" s="36" t="b">
        <f t="shared" si="37"/>
        <v>0</v>
      </c>
      <c r="AA39" s="111"/>
      <c r="AB39" s="36" t="b">
        <f t="shared" si="38"/>
        <v>0</v>
      </c>
      <c r="AC39" s="111"/>
      <c r="AD39" s="36" t="b">
        <f t="shared" si="39"/>
        <v>0</v>
      </c>
      <c r="AE39" s="111"/>
      <c r="AF39" s="36" t="b">
        <f t="shared" si="40"/>
        <v>0</v>
      </c>
      <c r="AG39" s="111"/>
      <c r="AH39" s="36" t="b">
        <f t="shared" si="41"/>
        <v>0</v>
      </c>
      <c r="AI39" s="111"/>
      <c r="AJ39" s="36" t="b">
        <f t="shared" si="42"/>
        <v>0</v>
      </c>
      <c r="AK39" s="111"/>
      <c r="AL39" s="36" t="b">
        <f t="shared" si="43"/>
        <v>0</v>
      </c>
      <c r="AM39" s="111"/>
      <c r="AN39" s="36" t="b">
        <f t="shared" si="44"/>
        <v>0</v>
      </c>
      <c r="AO39" s="111"/>
      <c r="AP39" s="36" t="b">
        <f t="shared" si="45"/>
        <v>0</v>
      </c>
      <c r="AQ39" s="111"/>
      <c r="AR39" s="36" t="b">
        <f t="shared" si="46"/>
        <v>0</v>
      </c>
      <c r="AS39" s="111"/>
      <c r="AT39" s="36" t="b">
        <f t="shared" si="47"/>
        <v>0</v>
      </c>
      <c r="AU39" s="111"/>
      <c r="AV39" s="36" t="b">
        <f t="shared" si="48"/>
        <v>0</v>
      </c>
      <c r="AW39" s="111"/>
      <c r="AX39" s="36" t="b">
        <f t="shared" si="49"/>
        <v>0</v>
      </c>
      <c r="AY39" s="111"/>
      <c r="AZ39" s="36" t="b">
        <f t="shared" si="50"/>
        <v>0</v>
      </c>
      <c r="BA39" s="111"/>
      <c r="BB39" s="36" t="b">
        <f t="shared" si="51"/>
        <v>0</v>
      </c>
      <c r="BC39" s="111"/>
      <c r="BD39" s="36" t="b">
        <f t="shared" si="52"/>
        <v>0</v>
      </c>
      <c r="BE39" s="111"/>
      <c r="BF39" s="36" t="b">
        <f t="shared" si="53"/>
        <v>0</v>
      </c>
      <c r="BG39" s="111"/>
      <c r="BH39" s="36" t="b">
        <f t="shared" si="54"/>
        <v>0</v>
      </c>
      <c r="BI39" s="111"/>
      <c r="BJ39" s="36" t="b">
        <f t="shared" si="55"/>
        <v>0</v>
      </c>
      <c r="BK39" s="111"/>
      <c r="BL39" s="36" t="b">
        <f t="shared" si="56"/>
        <v>0</v>
      </c>
      <c r="BM39" s="111"/>
      <c r="BN39" s="36" t="b">
        <f t="shared" si="56"/>
        <v>0</v>
      </c>
      <c r="BO39" s="72"/>
      <c r="BV39" s="60" t="str" cm="1">
        <f t="array" ref="BV39">IFERROR(EOMONTH(EOMONTH(_xlfn._xlws.FILTER(Table1[Planned Start],(Table1[Category]=$E39)*(Table1[SBU]=$F$5)*(Table1[Execution Year]=$E$5)*(Table1[Most curent]=TRUE)),0)-45,0)+1,"")</f>
        <v/>
      </c>
      <c r="BW39" s="60" t="str" cm="1">
        <f t="array" ref="BW39">IFERROR(EOMONTH(_xlfn._xlws.FILTER(Table1[Planned Award],(Table1[Category]=$E39)*(Table1[SBU]=$F$5)*(Table1[Execution Year]=$E$5)*(Table1[Most curent]=TRUE)),0),"")</f>
        <v/>
      </c>
      <c r="BX39" s="60" t="str" cm="1">
        <f t="array" ref="BX39">IFERROR(EOMONTH(EOMONTH(_xlfn._xlws.FILTER(Table1[Current Phase End],(Table1[Category]=$E39)*(Table1[SBU]=$F$5)*(Table1[Execution Year]=$E$5)*(Table1[Most curent]=TRUE)),0)-45,0)+1,"")</f>
        <v/>
      </c>
      <c r="BY39" s="60" t="str" cm="1">
        <f t="array" ref="BY39">IFERROR(IF(EOMONTH(_xlfn._xlws.FILTER(Table1[Revised Award],(Table1[Category]=$E39)*(Table1[SBU]=$F$5)*(Table1[Execution Year]=$E$5)*(Table1[Most curent]=TRUE)),0)=31,"",EOMONTH(_xlfn._xlws.FILTER(Table1[Revised Award],(Table1[Category]=$E39)*(Table1[SBU]=$F$5)*(Table1[Execution Year]=$E$5)*(Table1[Most curent]=TRUE)),0)),"")</f>
        <v/>
      </c>
      <c r="BZ39" s="60" t="str">
        <f t="shared" si="29"/>
        <v/>
      </c>
      <c r="CA39" s="60" t="str">
        <f t="shared" si="30"/>
        <v/>
      </c>
      <c r="CB39" s="60" t="str">
        <f t="shared" si="25"/>
        <v/>
      </c>
    </row>
    <row r="40" spans="2:80" ht="15.6" thickTop="1" thickBot="1">
      <c r="B40" s="123"/>
      <c r="C40" s="71"/>
      <c r="D40" s="125"/>
      <c r="E40" s="35"/>
      <c r="F40" s="35"/>
      <c r="G40" s="36"/>
      <c r="H40" s="36"/>
      <c r="I40" s="36"/>
      <c r="J40" s="36">
        <f t="shared" si="31"/>
        <v>0</v>
      </c>
      <c r="K40" s="36">
        <f t="shared" si="27"/>
        <v>0</v>
      </c>
      <c r="L40" s="71"/>
      <c r="M40" s="71"/>
      <c r="N40" s="36" t="b">
        <f t="shared" si="28"/>
        <v>0</v>
      </c>
      <c r="O40" s="111"/>
      <c r="P40" s="36" t="b">
        <f t="shared" si="32"/>
        <v>0</v>
      </c>
      <c r="Q40" s="111"/>
      <c r="R40" s="36" t="b">
        <f t="shared" si="33"/>
        <v>0</v>
      </c>
      <c r="S40" s="111"/>
      <c r="T40" s="36" t="b">
        <f t="shared" si="34"/>
        <v>0</v>
      </c>
      <c r="U40" s="111"/>
      <c r="V40" s="36" t="b">
        <f t="shared" si="35"/>
        <v>0</v>
      </c>
      <c r="W40" s="111"/>
      <c r="X40" s="36" t="b">
        <f t="shared" si="36"/>
        <v>0</v>
      </c>
      <c r="Y40" s="111"/>
      <c r="Z40" s="36" t="b">
        <f t="shared" si="37"/>
        <v>0</v>
      </c>
      <c r="AA40" s="111"/>
      <c r="AB40" s="36" t="b">
        <f t="shared" si="38"/>
        <v>0</v>
      </c>
      <c r="AC40" s="111"/>
      <c r="AD40" s="36" t="b">
        <f t="shared" si="39"/>
        <v>0</v>
      </c>
      <c r="AE40" s="111"/>
      <c r="AF40" s="36" t="b">
        <f t="shared" si="40"/>
        <v>0</v>
      </c>
      <c r="AG40" s="111"/>
      <c r="AH40" s="36" t="b">
        <f t="shared" si="41"/>
        <v>0</v>
      </c>
      <c r="AI40" s="111"/>
      <c r="AJ40" s="36" t="b">
        <f t="shared" si="42"/>
        <v>0</v>
      </c>
      <c r="AK40" s="111"/>
      <c r="AL40" s="36" t="b">
        <f t="shared" si="43"/>
        <v>0</v>
      </c>
      <c r="AM40" s="111"/>
      <c r="AN40" s="36" t="b">
        <f t="shared" si="44"/>
        <v>0</v>
      </c>
      <c r="AO40" s="111"/>
      <c r="AP40" s="36" t="b">
        <f t="shared" si="45"/>
        <v>0</v>
      </c>
      <c r="AQ40" s="111"/>
      <c r="AR40" s="36" t="b">
        <f t="shared" si="46"/>
        <v>0</v>
      </c>
      <c r="AS40" s="111"/>
      <c r="AT40" s="36" t="b">
        <f t="shared" si="47"/>
        <v>0</v>
      </c>
      <c r="AU40" s="111"/>
      <c r="AV40" s="36" t="b">
        <f t="shared" si="48"/>
        <v>0</v>
      </c>
      <c r="AW40" s="111"/>
      <c r="AX40" s="36" t="b">
        <f t="shared" si="49"/>
        <v>0</v>
      </c>
      <c r="AY40" s="111"/>
      <c r="AZ40" s="36" t="b">
        <f t="shared" si="50"/>
        <v>0</v>
      </c>
      <c r="BA40" s="111"/>
      <c r="BB40" s="36" t="b">
        <f t="shared" si="51"/>
        <v>0</v>
      </c>
      <c r="BC40" s="111"/>
      <c r="BD40" s="36" t="b">
        <f t="shared" si="52"/>
        <v>0</v>
      </c>
      <c r="BE40" s="111"/>
      <c r="BF40" s="36" t="b">
        <f t="shared" si="53"/>
        <v>0</v>
      </c>
      <c r="BG40" s="111"/>
      <c r="BH40" s="36" t="b">
        <f t="shared" si="54"/>
        <v>0</v>
      </c>
      <c r="BI40" s="111"/>
      <c r="BJ40" s="36" t="b">
        <f t="shared" si="55"/>
        <v>0</v>
      </c>
      <c r="BK40" s="111"/>
      <c r="BL40" s="36" t="b">
        <f t="shared" si="56"/>
        <v>0</v>
      </c>
      <c r="BM40" s="111"/>
      <c r="BN40" s="36" t="b">
        <f t="shared" si="56"/>
        <v>0</v>
      </c>
      <c r="BO40" s="72"/>
      <c r="BV40" s="60" t="str" cm="1">
        <f t="array" ref="BV40">IFERROR(EOMONTH(EOMONTH(_xlfn._xlws.FILTER(Table1[Planned Start],(Table1[Category]=$E40)*(Table1[SBU]=$F$5)*(Table1[Execution Year]=$E$5)*(Table1[Most curent]=TRUE)),0)-45,0)+1,"")</f>
        <v/>
      </c>
      <c r="BW40" s="60" t="str" cm="1">
        <f t="array" ref="BW40">IFERROR(EOMONTH(_xlfn._xlws.FILTER(Table1[Planned Award],(Table1[Category]=$E40)*(Table1[SBU]=$F$5)*(Table1[Execution Year]=$E$5)*(Table1[Most curent]=TRUE)),0),"")</f>
        <v/>
      </c>
      <c r="BX40" s="60" t="str" cm="1">
        <f t="array" ref="BX40">IFERROR(EOMONTH(EOMONTH(_xlfn._xlws.FILTER(Table1[Current Phase End],(Table1[Category]=$E40)*(Table1[SBU]=$F$5)*(Table1[Execution Year]=$E$5)*(Table1[Most curent]=TRUE)),0)-45,0)+1,"")</f>
        <v/>
      </c>
      <c r="BY40" s="60" t="str" cm="1">
        <f t="array" ref="BY40">IFERROR(IF(EOMONTH(_xlfn._xlws.FILTER(Table1[Revised Award],(Table1[Category]=$E40)*(Table1[SBU]=$F$5)*(Table1[Execution Year]=$E$5)*(Table1[Most curent]=TRUE)),0)=31,"",EOMONTH(_xlfn._xlws.FILTER(Table1[Revised Award],(Table1[Category]=$E40)*(Table1[SBU]=$F$5)*(Table1[Execution Year]=$E$5)*(Table1[Most curent]=TRUE)),0)),"")</f>
        <v/>
      </c>
      <c r="BZ40" s="60" t="str">
        <f t="shared" si="29"/>
        <v/>
      </c>
      <c r="CA40" s="60" t="str">
        <f t="shared" si="30"/>
        <v/>
      </c>
      <c r="CB40" s="60" t="str">
        <f t="shared" si="25"/>
        <v/>
      </c>
    </row>
    <row r="41" spans="2:80" ht="15.6" thickTop="1" thickBot="1">
      <c r="B41" s="123"/>
      <c r="C41" s="71"/>
      <c r="D41" s="125"/>
      <c r="E41" s="35"/>
      <c r="F41" s="35"/>
      <c r="G41" s="36"/>
      <c r="H41" s="36"/>
      <c r="I41" s="36"/>
      <c r="J41" s="36">
        <f t="shared" si="31"/>
        <v>0</v>
      </c>
      <c r="K41" s="36">
        <f t="shared" si="27"/>
        <v>0</v>
      </c>
      <c r="L41" s="71"/>
      <c r="M41" s="71"/>
      <c r="N41" s="36" t="b">
        <f t="shared" si="28"/>
        <v>0</v>
      </c>
      <c r="O41" s="111"/>
      <c r="P41" s="36" t="b">
        <f t="shared" si="32"/>
        <v>0</v>
      </c>
      <c r="Q41" s="111"/>
      <c r="R41" s="36" t="b">
        <f t="shared" si="33"/>
        <v>0</v>
      </c>
      <c r="S41" s="111"/>
      <c r="T41" s="36" t="b">
        <f t="shared" si="34"/>
        <v>0</v>
      </c>
      <c r="U41" s="111"/>
      <c r="V41" s="36" t="b">
        <f t="shared" si="35"/>
        <v>0</v>
      </c>
      <c r="W41" s="111"/>
      <c r="X41" s="36" t="b">
        <f t="shared" si="36"/>
        <v>0</v>
      </c>
      <c r="Y41" s="111"/>
      <c r="Z41" s="36" t="b">
        <f t="shared" si="37"/>
        <v>0</v>
      </c>
      <c r="AA41" s="111"/>
      <c r="AB41" s="36" t="b">
        <f t="shared" si="38"/>
        <v>0</v>
      </c>
      <c r="AC41" s="111"/>
      <c r="AD41" s="36" t="b">
        <f t="shared" si="39"/>
        <v>0</v>
      </c>
      <c r="AE41" s="111"/>
      <c r="AF41" s="36" t="b">
        <f t="shared" si="40"/>
        <v>0</v>
      </c>
      <c r="AG41" s="111"/>
      <c r="AH41" s="36" t="b">
        <f t="shared" si="41"/>
        <v>0</v>
      </c>
      <c r="AI41" s="111"/>
      <c r="AJ41" s="36" t="b">
        <f t="shared" si="42"/>
        <v>0</v>
      </c>
      <c r="AK41" s="111"/>
      <c r="AL41" s="36" t="b">
        <f t="shared" si="43"/>
        <v>0</v>
      </c>
      <c r="AM41" s="111"/>
      <c r="AN41" s="36" t="b">
        <f t="shared" si="44"/>
        <v>0</v>
      </c>
      <c r="AO41" s="111"/>
      <c r="AP41" s="36" t="b">
        <f t="shared" si="45"/>
        <v>0</v>
      </c>
      <c r="AQ41" s="111"/>
      <c r="AR41" s="36" t="b">
        <f t="shared" si="46"/>
        <v>0</v>
      </c>
      <c r="AS41" s="111"/>
      <c r="AT41" s="36" t="b">
        <f t="shared" si="47"/>
        <v>0</v>
      </c>
      <c r="AU41" s="111"/>
      <c r="AV41" s="36" t="b">
        <f t="shared" si="48"/>
        <v>0</v>
      </c>
      <c r="AW41" s="111"/>
      <c r="AX41" s="36" t="b">
        <f t="shared" si="49"/>
        <v>0</v>
      </c>
      <c r="AY41" s="111"/>
      <c r="AZ41" s="36" t="b">
        <f t="shared" si="50"/>
        <v>0</v>
      </c>
      <c r="BA41" s="111"/>
      <c r="BB41" s="36" t="b">
        <f t="shared" si="51"/>
        <v>0</v>
      </c>
      <c r="BC41" s="111"/>
      <c r="BD41" s="36" t="b">
        <f t="shared" si="52"/>
        <v>0</v>
      </c>
      <c r="BE41" s="111"/>
      <c r="BF41" s="36" t="b">
        <f t="shared" si="53"/>
        <v>0</v>
      </c>
      <c r="BG41" s="111"/>
      <c r="BH41" s="36" t="b">
        <f t="shared" si="54"/>
        <v>0</v>
      </c>
      <c r="BI41" s="111"/>
      <c r="BJ41" s="36" t="b">
        <f t="shared" si="55"/>
        <v>0</v>
      </c>
      <c r="BK41" s="111"/>
      <c r="BL41" s="36" t="b">
        <f t="shared" si="56"/>
        <v>0</v>
      </c>
      <c r="BM41" s="111"/>
      <c r="BN41" s="36" t="b">
        <f t="shared" si="56"/>
        <v>0</v>
      </c>
      <c r="BO41" s="72"/>
      <c r="BV41" s="60" t="str" cm="1">
        <f t="array" ref="BV41">IFERROR(EOMONTH(EOMONTH(_xlfn._xlws.FILTER(Table1[Planned Start],(Table1[Category]=$E41)*(Table1[SBU]=$F$5)*(Table1[Execution Year]=$E$5)*(Table1[Most curent]=TRUE)),0)-45,0)+1,"")</f>
        <v/>
      </c>
      <c r="BW41" s="60" t="str" cm="1">
        <f t="array" ref="BW41">IFERROR(EOMONTH(_xlfn._xlws.FILTER(Table1[Planned Award],(Table1[Category]=$E41)*(Table1[SBU]=$F$5)*(Table1[Execution Year]=$E$5)*(Table1[Most curent]=TRUE)),0),"")</f>
        <v/>
      </c>
      <c r="BX41" s="60" t="str" cm="1">
        <f t="array" ref="BX41">IFERROR(EOMONTH(EOMONTH(_xlfn._xlws.FILTER(Table1[Current Phase End],(Table1[Category]=$E41)*(Table1[SBU]=$F$5)*(Table1[Execution Year]=$E$5)*(Table1[Most curent]=TRUE)),0)-45,0)+1,"")</f>
        <v/>
      </c>
      <c r="BY41" s="60" t="str" cm="1">
        <f t="array" ref="BY41">IFERROR(IF(EOMONTH(_xlfn._xlws.FILTER(Table1[Revised Award],(Table1[Category]=$E41)*(Table1[SBU]=$F$5)*(Table1[Execution Year]=$E$5)*(Table1[Most curent]=TRUE)),0)=31,"",EOMONTH(_xlfn._xlws.FILTER(Table1[Revised Award],(Table1[Category]=$E41)*(Table1[SBU]=$F$5)*(Table1[Execution Year]=$E$5)*(Table1[Most curent]=TRUE)),0)),"")</f>
        <v/>
      </c>
      <c r="BZ41" s="60" t="str">
        <f t="shared" si="29"/>
        <v/>
      </c>
      <c r="CA41" s="60" t="str">
        <f t="shared" si="30"/>
        <v/>
      </c>
      <c r="CB41" s="60" t="str">
        <f t="shared" si="25"/>
        <v/>
      </c>
    </row>
    <row r="42" spans="2:80" ht="15.6" thickTop="1" thickBot="1">
      <c r="B42" s="123"/>
      <c r="C42" s="71"/>
      <c r="D42" s="125"/>
      <c r="E42" s="35"/>
      <c r="F42" s="35"/>
      <c r="G42" s="36"/>
      <c r="H42" s="36"/>
      <c r="I42" s="36"/>
      <c r="J42" s="36">
        <f t="shared" si="31"/>
        <v>0</v>
      </c>
      <c r="K42" s="36">
        <f t="shared" si="27"/>
        <v>0</v>
      </c>
      <c r="L42" s="71"/>
      <c r="M42" s="71"/>
      <c r="N42" s="36" t="b">
        <f t="shared" si="28"/>
        <v>0</v>
      </c>
      <c r="O42" s="111"/>
      <c r="P42" s="36" t="b">
        <f t="shared" si="32"/>
        <v>0</v>
      </c>
      <c r="Q42" s="111"/>
      <c r="R42" s="36" t="b">
        <f t="shared" si="33"/>
        <v>0</v>
      </c>
      <c r="S42" s="111"/>
      <c r="T42" s="36" t="b">
        <f t="shared" si="34"/>
        <v>0</v>
      </c>
      <c r="U42" s="111"/>
      <c r="V42" s="36" t="b">
        <f t="shared" si="35"/>
        <v>0</v>
      </c>
      <c r="W42" s="111"/>
      <c r="X42" s="36" t="b">
        <f t="shared" si="36"/>
        <v>0</v>
      </c>
      <c r="Y42" s="111"/>
      <c r="Z42" s="36" t="b">
        <f t="shared" si="37"/>
        <v>0</v>
      </c>
      <c r="AA42" s="111"/>
      <c r="AB42" s="36" t="b">
        <f t="shared" si="38"/>
        <v>0</v>
      </c>
      <c r="AC42" s="111"/>
      <c r="AD42" s="36" t="b">
        <f t="shared" si="39"/>
        <v>0</v>
      </c>
      <c r="AE42" s="111"/>
      <c r="AF42" s="36" t="b">
        <f t="shared" si="40"/>
        <v>0</v>
      </c>
      <c r="AG42" s="111"/>
      <c r="AH42" s="36" t="b">
        <f t="shared" si="41"/>
        <v>0</v>
      </c>
      <c r="AI42" s="111"/>
      <c r="AJ42" s="36" t="b">
        <f t="shared" si="42"/>
        <v>0</v>
      </c>
      <c r="AK42" s="111"/>
      <c r="AL42" s="36" t="b">
        <f t="shared" si="43"/>
        <v>0</v>
      </c>
      <c r="AM42" s="111"/>
      <c r="AN42" s="36" t="b">
        <f t="shared" si="44"/>
        <v>0</v>
      </c>
      <c r="AO42" s="111"/>
      <c r="AP42" s="36" t="b">
        <f t="shared" si="45"/>
        <v>0</v>
      </c>
      <c r="AQ42" s="111"/>
      <c r="AR42" s="36" t="b">
        <f t="shared" si="46"/>
        <v>0</v>
      </c>
      <c r="AS42" s="111"/>
      <c r="AT42" s="36" t="b">
        <f t="shared" si="47"/>
        <v>0</v>
      </c>
      <c r="AU42" s="111"/>
      <c r="AV42" s="36" t="b">
        <f t="shared" si="48"/>
        <v>0</v>
      </c>
      <c r="AW42" s="111"/>
      <c r="AX42" s="36" t="b">
        <f t="shared" si="49"/>
        <v>0</v>
      </c>
      <c r="AY42" s="111"/>
      <c r="AZ42" s="36" t="b">
        <f t="shared" si="50"/>
        <v>0</v>
      </c>
      <c r="BA42" s="111"/>
      <c r="BB42" s="36" t="b">
        <f t="shared" si="51"/>
        <v>0</v>
      </c>
      <c r="BC42" s="111"/>
      <c r="BD42" s="36" t="b">
        <f t="shared" si="52"/>
        <v>0</v>
      </c>
      <c r="BE42" s="111"/>
      <c r="BF42" s="36" t="b">
        <f t="shared" si="53"/>
        <v>0</v>
      </c>
      <c r="BG42" s="111"/>
      <c r="BH42" s="36" t="b">
        <f t="shared" si="54"/>
        <v>0</v>
      </c>
      <c r="BI42" s="111"/>
      <c r="BJ42" s="36" t="b">
        <f t="shared" si="55"/>
        <v>0</v>
      </c>
      <c r="BK42" s="111"/>
      <c r="BL42" s="36" t="b">
        <f t="shared" si="56"/>
        <v>0</v>
      </c>
      <c r="BM42" s="111"/>
      <c r="BN42" s="36" t="b">
        <f t="shared" si="56"/>
        <v>0</v>
      </c>
      <c r="BO42" s="72"/>
      <c r="BV42" s="60" t="str" cm="1">
        <f t="array" ref="BV42">IFERROR(EOMONTH(EOMONTH(_xlfn._xlws.FILTER(Table1[Planned Start],(Table1[Category]=$E42)*(Table1[SBU]=$F$5)*(Table1[Execution Year]=$E$5)*(Table1[Most curent]=TRUE)),0)-45,0)+1,"")</f>
        <v/>
      </c>
      <c r="BW42" s="60" t="str" cm="1">
        <f t="array" ref="BW42">IFERROR(EOMONTH(_xlfn._xlws.FILTER(Table1[Planned Award],(Table1[Category]=$E42)*(Table1[SBU]=$F$5)*(Table1[Execution Year]=$E$5)*(Table1[Most curent]=TRUE)),0),"")</f>
        <v/>
      </c>
      <c r="BX42" s="60" t="str" cm="1">
        <f t="array" ref="BX42">IFERROR(EOMONTH(EOMONTH(_xlfn._xlws.FILTER(Table1[Current Phase End],(Table1[Category]=$E42)*(Table1[SBU]=$F$5)*(Table1[Execution Year]=$E$5)*(Table1[Most curent]=TRUE)),0)-45,0)+1,"")</f>
        <v/>
      </c>
      <c r="BY42" s="60" t="str" cm="1">
        <f t="array" ref="BY42">IFERROR(IF(EOMONTH(_xlfn._xlws.FILTER(Table1[Revised Award],(Table1[Category]=$E42)*(Table1[SBU]=$F$5)*(Table1[Execution Year]=$E$5)*(Table1[Most curent]=TRUE)),0)=31,"",EOMONTH(_xlfn._xlws.FILTER(Table1[Revised Award],(Table1[Category]=$E42)*(Table1[SBU]=$F$5)*(Table1[Execution Year]=$E$5)*(Table1[Most curent]=TRUE)),0)),"")</f>
        <v/>
      </c>
      <c r="BZ42" s="60" t="str">
        <f t="shared" si="29"/>
        <v/>
      </c>
      <c r="CA42" s="60" t="str">
        <f t="shared" si="30"/>
        <v/>
      </c>
      <c r="CB42" s="60" t="str">
        <f t="shared" ref="CB42:CB59" si="57">IF(BW42="","",IF(BY42="",EOMONTH(BW42,$CB$5)+1,EOMONTH(BY42,$CB$5)+1))</f>
        <v/>
      </c>
    </row>
    <row r="43" spans="2:80" ht="15.6" thickTop="1" thickBot="1">
      <c r="B43" s="123"/>
      <c r="C43" s="71"/>
      <c r="D43" s="125"/>
      <c r="E43" s="35"/>
      <c r="F43" s="35"/>
      <c r="G43" s="36"/>
      <c r="H43" s="36"/>
      <c r="I43" s="36"/>
      <c r="J43" s="36">
        <f t="shared" si="31"/>
        <v>0</v>
      </c>
      <c r="K43" s="36">
        <f t="shared" si="27"/>
        <v>0</v>
      </c>
      <c r="L43" s="71"/>
      <c r="M43" s="71"/>
      <c r="N43" s="36" t="b">
        <f t="shared" si="28"/>
        <v>0</v>
      </c>
      <c r="O43" s="111"/>
      <c r="P43" s="36" t="b">
        <f t="shared" si="32"/>
        <v>0</v>
      </c>
      <c r="Q43" s="111"/>
      <c r="R43" s="36" t="b">
        <f t="shared" si="33"/>
        <v>0</v>
      </c>
      <c r="S43" s="111"/>
      <c r="T43" s="36" t="b">
        <f t="shared" si="34"/>
        <v>0</v>
      </c>
      <c r="U43" s="111"/>
      <c r="V43" s="36" t="b">
        <f t="shared" si="35"/>
        <v>0</v>
      </c>
      <c r="W43" s="111"/>
      <c r="X43" s="36" t="b">
        <f t="shared" si="36"/>
        <v>0</v>
      </c>
      <c r="Y43" s="111"/>
      <c r="Z43" s="36" t="b">
        <f t="shared" si="37"/>
        <v>0</v>
      </c>
      <c r="AA43" s="111"/>
      <c r="AB43" s="36" t="b">
        <f t="shared" si="38"/>
        <v>0</v>
      </c>
      <c r="AC43" s="111"/>
      <c r="AD43" s="36" t="b">
        <f t="shared" si="39"/>
        <v>0</v>
      </c>
      <c r="AE43" s="111"/>
      <c r="AF43" s="36" t="b">
        <f t="shared" si="40"/>
        <v>0</v>
      </c>
      <c r="AG43" s="111"/>
      <c r="AH43" s="36" t="b">
        <f t="shared" si="41"/>
        <v>0</v>
      </c>
      <c r="AI43" s="111"/>
      <c r="AJ43" s="36" t="b">
        <f t="shared" si="42"/>
        <v>0</v>
      </c>
      <c r="AK43" s="111"/>
      <c r="AL43" s="36" t="b">
        <f t="shared" si="43"/>
        <v>0</v>
      </c>
      <c r="AM43" s="111"/>
      <c r="AN43" s="36" t="b">
        <f t="shared" si="44"/>
        <v>0</v>
      </c>
      <c r="AO43" s="111"/>
      <c r="AP43" s="36" t="b">
        <f t="shared" si="45"/>
        <v>0</v>
      </c>
      <c r="AQ43" s="111"/>
      <c r="AR43" s="36" t="b">
        <f t="shared" si="46"/>
        <v>0</v>
      </c>
      <c r="AS43" s="111"/>
      <c r="AT43" s="36" t="b">
        <f t="shared" si="47"/>
        <v>0</v>
      </c>
      <c r="AU43" s="111"/>
      <c r="AV43" s="36" t="b">
        <f t="shared" si="48"/>
        <v>0</v>
      </c>
      <c r="AW43" s="111"/>
      <c r="AX43" s="36" t="b">
        <f t="shared" si="49"/>
        <v>0</v>
      </c>
      <c r="AY43" s="111"/>
      <c r="AZ43" s="36" t="b">
        <f t="shared" si="50"/>
        <v>0</v>
      </c>
      <c r="BA43" s="111"/>
      <c r="BB43" s="36" t="b">
        <f t="shared" si="51"/>
        <v>0</v>
      </c>
      <c r="BC43" s="111"/>
      <c r="BD43" s="36" t="b">
        <f t="shared" si="52"/>
        <v>0</v>
      </c>
      <c r="BE43" s="111"/>
      <c r="BF43" s="36" t="b">
        <f t="shared" si="53"/>
        <v>0</v>
      </c>
      <c r="BG43" s="111"/>
      <c r="BH43" s="36" t="b">
        <f t="shared" si="54"/>
        <v>0</v>
      </c>
      <c r="BI43" s="111"/>
      <c r="BJ43" s="36" t="b">
        <f t="shared" si="55"/>
        <v>0</v>
      </c>
      <c r="BK43" s="111"/>
      <c r="BL43" s="36" t="b">
        <f t="shared" si="56"/>
        <v>0</v>
      </c>
      <c r="BM43" s="111"/>
      <c r="BN43" s="36" t="b">
        <f t="shared" si="56"/>
        <v>0</v>
      </c>
      <c r="BO43" s="72"/>
      <c r="BV43" s="60" t="str" cm="1">
        <f t="array" ref="BV43">IFERROR(EOMONTH(EOMONTH(_xlfn._xlws.FILTER(Table1[Planned Start],(Table1[Category]=$E43)*(Table1[SBU]=$F$5)*(Table1[Execution Year]=$E$5)*(Table1[Most curent]=TRUE)),0)-45,0)+1,"")</f>
        <v/>
      </c>
      <c r="BW43" s="60" t="str" cm="1">
        <f t="array" ref="BW43">IFERROR(EOMONTH(_xlfn._xlws.FILTER(Table1[Planned Award],(Table1[Category]=$E43)*(Table1[SBU]=$F$5)*(Table1[Execution Year]=$E$5)*(Table1[Most curent]=TRUE)),0),"")</f>
        <v/>
      </c>
      <c r="BX43" s="60" t="str" cm="1">
        <f t="array" ref="BX43">IFERROR(EOMONTH(EOMONTH(_xlfn._xlws.FILTER(Table1[Current Phase End],(Table1[Category]=$E43)*(Table1[SBU]=$F$5)*(Table1[Execution Year]=$E$5)*(Table1[Most curent]=TRUE)),0)-45,0)+1,"")</f>
        <v/>
      </c>
      <c r="BY43" s="60" t="str" cm="1">
        <f t="array" ref="BY43">IFERROR(IF(EOMONTH(_xlfn._xlws.FILTER(Table1[Revised Award],(Table1[Category]=$E43)*(Table1[SBU]=$F$5)*(Table1[Execution Year]=$E$5)*(Table1[Most curent]=TRUE)),0)=31,"",EOMONTH(_xlfn._xlws.FILTER(Table1[Revised Award],(Table1[Category]=$E43)*(Table1[SBU]=$F$5)*(Table1[Execution Year]=$E$5)*(Table1[Most curent]=TRUE)),0)),"")</f>
        <v/>
      </c>
      <c r="BZ43" s="60" t="str">
        <f t="shared" si="29"/>
        <v/>
      </c>
      <c r="CA43" s="60" t="str">
        <f t="shared" si="30"/>
        <v/>
      </c>
      <c r="CB43" s="60" t="str">
        <f t="shared" si="57"/>
        <v/>
      </c>
    </row>
    <row r="44" spans="2:80" ht="15.6" thickTop="1" thickBot="1">
      <c r="B44" s="123"/>
      <c r="C44" s="71"/>
      <c r="D44" s="125"/>
      <c r="E44" s="35"/>
      <c r="F44" s="35"/>
      <c r="G44" s="36"/>
      <c r="H44" s="36"/>
      <c r="I44" s="36"/>
      <c r="J44" s="36">
        <f t="shared" si="31"/>
        <v>0</v>
      </c>
      <c r="K44" s="36">
        <f t="shared" si="27"/>
        <v>0</v>
      </c>
      <c r="L44" s="71"/>
      <c r="M44" s="71"/>
      <c r="N44" s="36" t="b">
        <f t="shared" si="28"/>
        <v>0</v>
      </c>
      <c r="O44" s="111"/>
      <c r="P44" s="36" t="b">
        <f t="shared" si="32"/>
        <v>0</v>
      </c>
      <c r="Q44" s="111"/>
      <c r="R44" s="36" t="b">
        <f t="shared" si="33"/>
        <v>0</v>
      </c>
      <c r="S44" s="111"/>
      <c r="T44" s="36" t="b">
        <f t="shared" si="34"/>
        <v>0</v>
      </c>
      <c r="U44" s="111"/>
      <c r="V44" s="36" t="b">
        <f t="shared" si="35"/>
        <v>0</v>
      </c>
      <c r="W44" s="111"/>
      <c r="X44" s="36" t="b">
        <f t="shared" si="36"/>
        <v>0</v>
      </c>
      <c r="Y44" s="111"/>
      <c r="Z44" s="36" t="b">
        <f t="shared" si="37"/>
        <v>0</v>
      </c>
      <c r="AA44" s="111"/>
      <c r="AB44" s="36" t="b">
        <f t="shared" si="38"/>
        <v>0</v>
      </c>
      <c r="AC44" s="111"/>
      <c r="AD44" s="36" t="b">
        <f t="shared" si="39"/>
        <v>0</v>
      </c>
      <c r="AE44" s="111"/>
      <c r="AF44" s="36" t="b">
        <f t="shared" si="40"/>
        <v>0</v>
      </c>
      <c r="AG44" s="111"/>
      <c r="AH44" s="36" t="b">
        <f t="shared" si="41"/>
        <v>0</v>
      </c>
      <c r="AI44" s="111"/>
      <c r="AJ44" s="36" t="b">
        <f t="shared" si="42"/>
        <v>0</v>
      </c>
      <c r="AK44" s="111"/>
      <c r="AL44" s="36" t="b">
        <f t="shared" si="43"/>
        <v>0</v>
      </c>
      <c r="AM44" s="111"/>
      <c r="AN44" s="36" t="b">
        <f t="shared" si="44"/>
        <v>0</v>
      </c>
      <c r="AO44" s="111"/>
      <c r="AP44" s="36" t="b">
        <f t="shared" si="45"/>
        <v>0</v>
      </c>
      <c r="AQ44" s="111"/>
      <c r="AR44" s="36" t="b">
        <f t="shared" si="46"/>
        <v>0</v>
      </c>
      <c r="AS44" s="111"/>
      <c r="AT44" s="36" t="b">
        <f t="shared" si="47"/>
        <v>0</v>
      </c>
      <c r="AU44" s="111"/>
      <c r="AV44" s="36" t="b">
        <f t="shared" si="48"/>
        <v>0</v>
      </c>
      <c r="AW44" s="111"/>
      <c r="AX44" s="36" t="b">
        <f t="shared" si="49"/>
        <v>0</v>
      </c>
      <c r="AY44" s="111"/>
      <c r="AZ44" s="36" t="b">
        <f t="shared" si="50"/>
        <v>0</v>
      </c>
      <c r="BA44" s="111"/>
      <c r="BB44" s="36" t="b">
        <f t="shared" si="51"/>
        <v>0</v>
      </c>
      <c r="BC44" s="111"/>
      <c r="BD44" s="36" t="b">
        <f t="shared" si="52"/>
        <v>0</v>
      </c>
      <c r="BE44" s="111"/>
      <c r="BF44" s="36" t="b">
        <f t="shared" si="53"/>
        <v>0</v>
      </c>
      <c r="BG44" s="111"/>
      <c r="BH44" s="36" t="b">
        <f t="shared" si="54"/>
        <v>0</v>
      </c>
      <c r="BI44" s="111"/>
      <c r="BJ44" s="36" t="b">
        <f t="shared" si="55"/>
        <v>0</v>
      </c>
      <c r="BK44" s="111"/>
      <c r="BL44" s="36" t="b">
        <f t="shared" si="56"/>
        <v>0</v>
      </c>
      <c r="BM44" s="111"/>
      <c r="BN44" s="36" t="b">
        <f t="shared" si="56"/>
        <v>0</v>
      </c>
      <c r="BO44" s="72"/>
      <c r="BV44" s="60" t="str" cm="1">
        <f t="array" ref="BV44">IFERROR(EOMONTH(EOMONTH(_xlfn._xlws.FILTER(Table1[Planned Start],(Table1[Category]=$E44)*(Table1[SBU]=$F$5)*(Table1[Execution Year]=$E$5)*(Table1[Most curent]=TRUE)),0)-45,0)+1,"")</f>
        <v/>
      </c>
      <c r="BW44" s="60" t="str" cm="1">
        <f t="array" ref="BW44">IFERROR(EOMONTH(_xlfn._xlws.FILTER(Table1[Planned Award],(Table1[Category]=$E44)*(Table1[SBU]=$F$5)*(Table1[Execution Year]=$E$5)*(Table1[Most curent]=TRUE)),0),"")</f>
        <v/>
      </c>
      <c r="BX44" s="60" t="str" cm="1">
        <f t="array" ref="BX44">IFERROR(EOMONTH(EOMONTH(_xlfn._xlws.FILTER(Table1[Current Phase End],(Table1[Category]=$E44)*(Table1[SBU]=$F$5)*(Table1[Execution Year]=$E$5)*(Table1[Most curent]=TRUE)),0)-45,0)+1,"")</f>
        <v/>
      </c>
      <c r="BY44" s="60" t="str" cm="1">
        <f t="array" ref="BY44">IFERROR(IF(EOMONTH(_xlfn._xlws.FILTER(Table1[Revised Award],(Table1[Category]=$E44)*(Table1[SBU]=$F$5)*(Table1[Execution Year]=$E$5)*(Table1[Most curent]=TRUE)),0)=31,"",EOMONTH(_xlfn._xlws.FILTER(Table1[Revised Award],(Table1[Category]=$E44)*(Table1[SBU]=$F$5)*(Table1[Execution Year]=$E$5)*(Table1[Most curent]=TRUE)),0)),"")</f>
        <v/>
      </c>
      <c r="BZ44" s="60" t="str">
        <f t="shared" si="29"/>
        <v/>
      </c>
      <c r="CA44" s="60" t="str">
        <f t="shared" si="30"/>
        <v/>
      </c>
      <c r="CB44" s="60" t="str">
        <f t="shared" si="57"/>
        <v/>
      </c>
    </row>
    <row r="45" spans="2:80" ht="15.6" thickTop="1" thickBot="1">
      <c r="B45" s="123"/>
      <c r="C45" s="71"/>
      <c r="D45" s="125"/>
      <c r="E45" s="35"/>
      <c r="F45" s="35"/>
      <c r="G45" s="36"/>
      <c r="H45" s="36"/>
      <c r="I45" s="36"/>
      <c r="J45" s="36">
        <f t="shared" si="31"/>
        <v>0</v>
      </c>
      <c r="K45" s="36">
        <f t="shared" si="27"/>
        <v>0</v>
      </c>
      <c r="L45" s="71"/>
      <c r="M45" s="71"/>
      <c r="N45" s="36" t="b">
        <f t="shared" si="28"/>
        <v>0</v>
      </c>
      <c r="O45" s="111"/>
      <c r="P45" s="36" t="b">
        <f t="shared" si="32"/>
        <v>0</v>
      </c>
      <c r="Q45" s="111"/>
      <c r="R45" s="36" t="b">
        <f t="shared" si="33"/>
        <v>0</v>
      </c>
      <c r="S45" s="111"/>
      <c r="T45" s="36" t="b">
        <f t="shared" si="34"/>
        <v>0</v>
      </c>
      <c r="U45" s="111"/>
      <c r="V45" s="36" t="b">
        <f t="shared" si="35"/>
        <v>0</v>
      </c>
      <c r="W45" s="111"/>
      <c r="X45" s="36" t="b">
        <f t="shared" si="36"/>
        <v>0</v>
      </c>
      <c r="Y45" s="111"/>
      <c r="Z45" s="36" t="b">
        <f t="shared" si="37"/>
        <v>0</v>
      </c>
      <c r="AA45" s="111"/>
      <c r="AB45" s="36" t="b">
        <f t="shared" si="38"/>
        <v>0</v>
      </c>
      <c r="AC45" s="111"/>
      <c r="AD45" s="36" t="b">
        <f t="shared" si="39"/>
        <v>0</v>
      </c>
      <c r="AE45" s="111"/>
      <c r="AF45" s="36" t="b">
        <f t="shared" si="40"/>
        <v>0</v>
      </c>
      <c r="AG45" s="111"/>
      <c r="AH45" s="36" t="b">
        <f t="shared" si="41"/>
        <v>0</v>
      </c>
      <c r="AI45" s="111"/>
      <c r="AJ45" s="36" t="b">
        <f t="shared" si="42"/>
        <v>0</v>
      </c>
      <c r="AK45" s="111"/>
      <c r="AL45" s="36" t="b">
        <f t="shared" si="43"/>
        <v>0</v>
      </c>
      <c r="AM45" s="111"/>
      <c r="AN45" s="36" t="b">
        <f t="shared" si="44"/>
        <v>0</v>
      </c>
      <c r="AO45" s="111"/>
      <c r="AP45" s="36" t="b">
        <f t="shared" si="45"/>
        <v>0</v>
      </c>
      <c r="AQ45" s="111"/>
      <c r="AR45" s="36" t="b">
        <f t="shared" si="46"/>
        <v>0</v>
      </c>
      <c r="AS45" s="111"/>
      <c r="AT45" s="36" t="b">
        <f t="shared" si="47"/>
        <v>0</v>
      </c>
      <c r="AU45" s="111"/>
      <c r="AV45" s="36" t="b">
        <f t="shared" si="48"/>
        <v>0</v>
      </c>
      <c r="AW45" s="111"/>
      <c r="AX45" s="36" t="b">
        <f t="shared" si="49"/>
        <v>0</v>
      </c>
      <c r="AY45" s="111"/>
      <c r="AZ45" s="36" t="b">
        <f t="shared" si="50"/>
        <v>0</v>
      </c>
      <c r="BA45" s="111"/>
      <c r="BB45" s="36" t="b">
        <f t="shared" si="51"/>
        <v>0</v>
      </c>
      <c r="BC45" s="111"/>
      <c r="BD45" s="36" t="b">
        <f t="shared" si="52"/>
        <v>0</v>
      </c>
      <c r="BE45" s="111"/>
      <c r="BF45" s="36" t="b">
        <f t="shared" si="53"/>
        <v>0</v>
      </c>
      <c r="BG45" s="111"/>
      <c r="BH45" s="36" t="b">
        <f t="shared" si="54"/>
        <v>0</v>
      </c>
      <c r="BI45" s="111"/>
      <c r="BJ45" s="36" t="b">
        <f t="shared" si="55"/>
        <v>0</v>
      </c>
      <c r="BK45" s="111"/>
      <c r="BL45" s="36" t="b">
        <f t="shared" si="56"/>
        <v>0</v>
      </c>
      <c r="BM45" s="111"/>
      <c r="BN45" s="36" t="b">
        <f t="shared" si="56"/>
        <v>0</v>
      </c>
      <c r="BO45" s="72"/>
      <c r="BV45" s="60" t="str" cm="1">
        <f t="array" ref="BV45">IFERROR(EOMONTH(EOMONTH(_xlfn._xlws.FILTER(Table1[Planned Start],(Table1[Category]=$E45)*(Table1[SBU]=$F$5)*(Table1[Execution Year]=$E$5)*(Table1[Most curent]=TRUE)),0)-45,0)+1,"")</f>
        <v/>
      </c>
      <c r="BW45" s="60" t="str" cm="1">
        <f t="array" ref="BW45">IFERROR(EOMONTH(_xlfn._xlws.FILTER(Table1[Planned Award],(Table1[Category]=$E45)*(Table1[SBU]=$F$5)*(Table1[Execution Year]=$E$5)*(Table1[Most curent]=TRUE)),0),"")</f>
        <v/>
      </c>
      <c r="BX45" s="60" t="str" cm="1">
        <f t="array" ref="BX45">IFERROR(EOMONTH(EOMONTH(_xlfn._xlws.FILTER(Table1[Current Phase End],(Table1[Category]=$E45)*(Table1[SBU]=$F$5)*(Table1[Execution Year]=$E$5)*(Table1[Most curent]=TRUE)),0)-45,0)+1,"")</f>
        <v/>
      </c>
      <c r="BY45" s="60" t="str" cm="1">
        <f t="array" ref="BY45">IFERROR(IF(EOMONTH(_xlfn._xlws.FILTER(Table1[Revised Award],(Table1[Category]=$E45)*(Table1[SBU]=$F$5)*(Table1[Execution Year]=$E$5)*(Table1[Most curent]=TRUE)),0)=31,"",EOMONTH(_xlfn._xlws.FILTER(Table1[Revised Award],(Table1[Category]=$E45)*(Table1[SBU]=$F$5)*(Table1[Execution Year]=$E$5)*(Table1[Most curent]=TRUE)),0)),"")</f>
        <v/>
      </c>
      <c r="BZ45" s="60" t="str">
        <f t="shared" si="29"/>
        <v/>
      </c>
      <c r="CA45" s="60" t="str">
        <f t="shared" si="30"/>
        <v/>
      </c>
      <c r="CB45" s="60" t="str">
        <f t="shared" si="57"/>
        <v/>
      </c>
    </row>
    <row r="46" spans="2:80" ht="15.6" thickTop="1" thickBot="1">
      <c r="B46" s="123"/>
      <c r="C46" s="71"/>
      <c r="D46" s="125"/>
      <c r="E46" s="35"/>
      <c r="F46" s="35"/>
      <c r="G46" s="36"/>
      <c r="H46" s="36"/>
      <c r="I46" s="36"/>
      <c r="J46" s="36">
        <f t="shared" si="31"/>
        <v>0</v>
      </c>
      <c r="K46" s="36">
        <f t="shared" si="27"/>
        <v>0</v>
      </c>
      <c r="L46" s="71"/>
      <c r="M46" s="71"/>
      <c r="N46" s="36" t="b">
        <f t="shared" si="28"/>
        <v>0</v>
      </c>
      <c r="O46" s="111"/>
      <c r="P46" s="36" t="b">
        <f t="shared" si="32"/>
        <v>0</v>
      </c>
      <c r="Q46" s="111"/>
      <c r="R46" s="36" t="b">
        <f t="shared" si="33"/>
        <v>0</v>
      </c>
      <c r="S46" s="111"/>
      <c r="T46" s="36" t="b">
        <f t="shared" si="34"/>
        <v>0</v>
      </c>
      <c r="U46" s="111"/>
      <c r="V46" s="36" t="b">
        <f t="shared" si="35"/>
        <v>0</v>
      </c>
      <c r="W46" s="111"/>
      <c r="X46" s="36" t="b">
        <f t="shared" si="36"/>
        <v>0</v>
      </c>
      <c r="Y46" s="111"/>
      <c r="Z46" s="36" t="b">
        <f t="shared" si="37"/>
        <v>0</v>
      </c>
      <c r="AA46" s="111"/>
      <c r="AB46" s="36" t="b">
        <f t="shared" si="38"/>
        <v>0</v>
      </c>
      <c r="AC46" s="111"/>
      <c r="AD46" s="36" t="b">
        <f t="shared" si="39"/>
        <v>0</v>
      </c>
      <c r="AE46" s="111"/>
      <c r="AF46" s="36" t="b">
        <f t="shared" si="40"/>
        <v>0</v>
      </c>
      <c r="AG46" s="111"/>
      <c r="AH46" s="36" t="b">
        <f t="shared" si="41"/>
        <v>0</v>
      </c>
      <c r="AI46" s="111"/>
      <c r="AJ46" s="36" t="b">
        <f t="shared" si="42"/>
        <v>0</v>
      </c>
      <c r="AK46" s="111"/>
      <c r="AL46" s="36" t="b">
        <f t="shared" si="43"/>
        <v>0</v>
      </c>
      <c r="AM46" s="111"/>
      <c r="AN46" s="36" t="b">
        <f t="shared" si="44"/>
        <v>0</v>
      </c>
      <c r="AO46" s="111"/>
      <c r="AP46" s="36" t="b">
        <f t="shared" si="45"/>
        <v>0</v>
      </c>
      <c r="AQ46" s="111"/>
      <c r="AR46" s="36" t="b">
        <f t="shared" si="46"/>
        <v>0</v>
      </c>
      <c r="AS46" s="111"/>
      <c r="AT46" s="36" t="b">
        <f t="shared" si="47"/>
        <v>0</v>
      </c>
      <c r="AU46" s="111"/>
      <c r="AV46" s="36" t="b">
        <f t="shared" si="48"/>
        <v>0</v>
      </c>
      <c r="AW46" s="111"/>
      <c r="AX46" s="36" t="b">
        <f t="shared" si="49"/>
        <v>0</v>
      </c>
      <c r="AY46" s="111"/>
      <c r="AZ46" s="36" t="b">
        <f t="shared" si="50"/>
        <v>0</v>
      </c>
      <c r="BA46" s="111"/>
      <c r="BB46" s="36" t="b">
        <f t="shared" si="51"/>
        <v>0</v>
      </c>
      <c r="BC46" s="111"/>
      <c r="BD46" s="36" t="b">
        <f t="shared" si="52"/>
        <v>0</v>
      </c>
      <c r="BE46" s="111"/>
      <c r="BF46" s="36" t="b">
        <f t="shared" si="53"/>
        <v>0</v>
      </c>
      <c r="BG46" s="111"/>
      <c r="BH46" s="36" t="b">
        <f t="shared" si="54"/>
        <v>0</v>
      </c>
      <c r="BI46" s="111"/>
      <c r="BJ46" s="36" t="b">
        <f t="shared" si="55"/>
        <v>0</v>
      </c>
      <c r="BK46" s="111"/>
      <c r="BL46" s="36" t="b">
        <f t="shared" si="56"/>
        <v>0</v>
      </c>
      <c r="BM46" s="111"/>
      <c r="BN46" s="36" t="b">
        <f t="shared" si="56"/>
        <v>0</v>
      </c>
      <c r="BO46" s="72"/>
      <c r="BV46" s="60" t="str" cm="1">
        <f t="array" ref="BV46">IFERROR(EOMONTH(EOMONTH(_xlfn._xlws.FILTER(Table1[Planned Start],(Table1[Category]=$E46)*(Table1[SBU]=$F$5)*(Table1[Execution Year]=$E$5)*(Table1[Most curent]=TRUE)),0)-45,0)+1,"")</f>
        <v/>
      </c>
      <c r="BW46" s="60" t="str" cm="1">
        <f t="array" ref="BW46">IFERROR(EOMONTH(_xlfn._xlws.FILTER(Table1[Planned Award],(Table1[Category]=$E46)*(Table1[SBU]=$F$5)*(Table1[Execution Year]=$E$5)*(Table1[Most curent]=TRUE)),0),"")</f>
        <v/>
      </c>
      <c r="BX46" s="60" t="str" cm="1">
        <f t="array" ref="BX46">IFERROR(EOMONTH(EOMONTH(_xlfn._xlws.FILTER(Table1[Current Phase End],(Table1[Category]=$E46)*(Table1[SBU]=$F$5)*(Table1[Execution Year]=$E$5)*(Table1[Most curent]=TRUE)),0)-45,0)+1,"")</f>
        <v/>
      </c>
      <c r="BY46" s="60" t="str" cm="1">
        <f t="array" ref="BY46">IFERROR(IF(EOMONTH(_xlfn._xlws.FILTER(Table1[Revised Award],(Table1[Category]=$E46)*(Table1[SBU]=$F$5)*(Table1[Execution Year]=$E$5)*(Table1[Most curent]=TRUE)),0)=31,"",EOMONTH(_xlfn._xlws.FILTER(Table1[Revised Award],(Table1[Category]=$E46)*(Table1[SBU]=$F$5)*(Table1[Execution Year]=$E$5)*(Table1[Most curent]=TRUE)),0)),"")</f>
        <v/>
      </c>
      <c r="BZ46" s="60" t="str">
        <f t="shared" si="29"/>
        <v/>
      </c>
      <c r="CA46" s="60" t="str">
        <f t="shared" si="30"/>
        <v/>
      </c>
      <c r="CB46" s="60" t="str">
        <f t="shared" si="57"/>
        <v/>
      </c>
    </row>
    <row r="47" spans="2:80" ht="15.6" thickTop="1" thickBot="1">
      <c r="B47" s="123"/>
      <c r="C47" s="71"/>
      <c r="D47" s="125"/>
      <c r="E47" s="35"/>
      <c r="F47" s="35"/>
      <c r="G47" s="36"/>
      <c r="H47" s="36"/>
      <c r="I47" s="36"/>
      <c r="J47" s="36">
        <f t="shared" si="31"/>
        <v>0</v>
      </c>
      <c r="K47" s="36">
        <f t="shared" si="27"/>
        <v>0</v>
      </c>
      <c r="L47" s="71"/>
      <c r="M47" s="71"/>
      <c r="N47" s="36" t="b">
        <f t="shared" si="28"/>
        <v>0</v>
      </c>
      <c r="O47" s="111"/>
      <c r="P47" s="36" t="b">
        <f t="shared" si="32"/>
        <v>0</v>
      </c>
      <c r="Q47" s="111"/>
      <c r="R47" s="36" t="b">
        <f t="shared" si="33"/>
        <v>0</v>
      </c>
      <c r="S47" s="111"/>
      <c r="T47" s="36" t="b">
        <f t="shared" si="34"/>
        <v>0</v>
      </c>
      <c r="U47" s="111"/>
      <c r="V47" s="36" t="b">
        <f t="shared" si="35"/>
        <v>0</v>
      </c>
      <c r="W47" s="111"/>
      <c r="X47" s="36" t="b">
        <f t="shared" si="36"/>
        <v>0</v>
      </c>
      <c r="Y47" s="111"/>
      <c r="Z47" s="36" t="b">
        <f t="shared" si="37"/>
        <v>0</v>
      </c>
      <c r="AA47" s="111"/>
      <c r="AB47" s="36" t="b">
        <f t="shared" si="38"/>
        <v>0</v>
      </c>
      <c r="AC47" s="111"/>
      <c r="AD47" s="36" t="b">
        <f t="shared" si="39"/>
        <v>0</v>
      </c>
      <c r="AE47" s="111"/>
      <c r="AF47" s="36" t="b">
        <f t="shared" si="40"/>
        <v>0</v>
      </c>
      <c r="AG47" s="111"/>
      <c r="AH47" s="36" t="b">
        <f t="shared" si="41"/>
        <v>0</v>
      </c>
      <c r="AI47" s="111"/>
      <c r="AJ47" s="36" t="b">
        <f t="shared" si="42"/>
        <v>0</v>
      </c>
      <c r="AK47" s="111"/>
      <c r="AL47" s="36" t="b">
        <f t="shared" si="43"/>
        <v>0</v>
      </c>
      <c r="AM47" s="111"/>
      <c r="AN47" s="36" t="b">
        <f t="shared" si="44"/>
        <v>0</v>
      </c>
      <c r="AO47" s="111"/>
      <c r="AP47" s="36" t="b">
        <f t="shared" si="45"/>
        <v>0</v>
      </c>
      <c r="AQ47" s="111"/>
      <c r="AR47" s="36" t="b">
        <f t="shared" si="46"/>
        <v>0</v>
      </c>
      <c r="AS47" s="111"/>
      <c r="AT47" s="36" t="b">
        <f t="shared" si="47"/>
        <v>0</v>
      </c>
      <c r="AU47" s="111"/>
      <c r="AV47" s="36" t="b">
        <f t="shared" si="48"/>
        <v>0</v>
      </c>
      <c r="AW47" s="111"/>
      <c r="AX47" s="36" t="b">
        <f t="shared" si="49"/>
        <v>0</v>
      </c>
      <c r="AY47" s="111"/>
      <c r="AZ47" s="36" t="b">
        <f t="shared" si="50"/>
        <v>0</v>
      </c>
      <c r="BA47" s="111"/>
      <c r="BB47" s="36" t="b">
        <f t="shared" si="51"/>
        <v>0</v>
      </c>
      <c r="BC47" s="111"/>
      <c r="BD47" s="36" t="b">
        <f t="shared" si="52"/>
        <v>0</v>
      </c>
      <c r="BE47" s="111"/>
      <c r="BF47" s="36" t="b">
        <f t="shared" si="53"/>
        <v>0</v>
      </c>
      <c r="BG47" s="111"/>
      <c r="BH47" s="36" t="b">
        <f t="shared" si="54"/>
        <v>0</v>
      </c>
      <c r="BI47" s="111"/>
      <c r="BJ47" s="36" t="b">
        <f t="shared" si="55"/>
        <v>0</v>
      </c>
      <c r="BK47" s="111"/>
      <c r="BL47" s="36" t="b">
        <f t="shared" si="56"/>
        <v>0</v>
      </c>
      <c r="BM47" s="111"/>
      <c r="BN47" s="36" t="b">
        <f t="shared" si="56"/>
        <v>0</v>
      </c>
      <c r="BO47" s="72"/>
      <c r="BV47" s="60" t="str" cm="1">
        <f t="array" ref="BV47">IFERROR(EOMONTH(EOMONTH(_xlfn._xlws.FILTER(Table1[Planned Start],(Table1[Category]=$E47)*(Table1[SBU]=$F$5)*(Table1[Execution Year]=$E$5)*(Table1[Most curent]=TRUE)),0)-45,0)+1,"")</f>
        <v/>
      </c>
      <c r="BW47" s="60" t="str" cm="1">
        <f t="array" ref="BW47">IFERROR(EOMONTH(_xlfn._xlws.FILTER(Table1[Planned Award],(Table1[Category]=$E47)*(Table1[SBU]=$F$5)*(Table1[Execution Year]=$E$5)*(Table1[Most curent]=TRUE)),0),"")</f>
        <v/>
      </c>
      <c r="BX47" s="60" t="str" cm="1">
        <f t="array" ref="BX47">IFERROR(EOMONTH(EOMONTH(_xlfn._xlws.FILTER(Table1[Current Phase End],(Table1[Category]=$E47)*(Table1[SBU]=$F$5)*(Table1[Execution Year]=$E$5)*(Table1[Most curent]=TRUE)),0)-45,0)+1,"")</f>
        <v/>
      </c>
      <c r="BY47" s="60" t="str" cm="1">
        <f t="array" ref="BY47">IFERROR(IF(EOMONTH(_xlfn._xlws.FILTER(Table1[Revised Award],(Table1[Category]=$E47)*(Table1[SBU]=$F$5)*(Table1[Execution Year]=$E$5)*(Table1[Most curent]=TRUE)),0)=31,"",EOMONTH(_xlfn._xlws.FILTER(Table1[Revised Award],(Table1[Category]=$E47)*(Table1[SBU]=$F$5)*(Table1[Execution Year]=$E$5)*(Table1[Most curent]=TRUE)),0)),"")</f>
        <v/>
      </c>
      <c r="BZ47" s="60" t="str">
        <f t="shared" si="29"/>
        <v/>
      </c>
      <c r="CA47" s="60" t="str">
        <f t="shared" si="30"/>
        <v/>
      </c>
      <c r="CB47" s="60" t="str">
        <f t="shared" si="57"/>
        <v/>
      </c>
    </row>
    <row r="48" spans="2:80" ht="15.6" thickTop="1" thickBot="1">
      <c r="B48" s="123"/>
      <c r="C48" s="71"/>
      <c r="D48" s="125"/>
      <c r="E48" s="35"/>
      <c r="F48" s="35"/>
      <c r="G48" s="36"/>
      <c r="H48" s="36"/>
      <c r="I48" s="36"/>
      <c r="J48" s="36">
        <f t="shared" si="31"/>
        <v>0</v>
      </c>
      <c r="K48" s="36">
        <f t="shared" si="27"/>
        <v>0</v>
      </c>
      <c r="L48" s="71"/>
      <c r="M48" s="71"/>
      <c r="N48" s="36" t="b">
        <f t="shared" si="28"/>
        <v>0</v>
      </c>
      <c r="O48" s="111"/>
      <c r="P48" s="36" t="b">
        <f t="shared" si="32"/>
        <v>0</v>
      </c>
      <c r="Q48" s="111"/>
      <c r="R48" s="36" t="b">
        <f t="shared" si="33"/>
        <v>0</v>
      </c>
      <c r="S48" s="111"/>
      <c r="T48" s="36" t="b">
        <f t="shared" si="34"/>
        <v>0</v>
      </c>
      <c r="U48" s="111"/>
      <c r="V48" s="36" t="b">
        <f t="shared" si="35"/>
        <v>0</v>
      </c>
      <c r="W48" s="111"/>
      <c r="X48" s="36" t="b">
        <f t="shared" si="36"/>
        <v>0</v>
      </c>
      <c r="Y48" s="111"/>
      <c r="Z48" s="36" t="b">
        <f t="shared" si="37"/>
        <v>0</v>
      </c>
      <c r="AA48" s="111"/>
      <c r="AB48" s="36" t="b">
        <f t="shared" si="38"/>
        <v>0</v>
      </c>
      <c r="AC48" s="111"/>
      <c r="AD48" s="36" t="b">
        <f t="shared" si="39"/>
        <v>0</v>
      </c>
      <c r="AE48" s="111"/>
      <c r="AF48" s="36" t="b">
        <f t="shared" si="40"/>
        <v>0</v>
      </c>
      <c r="AG48" s="111"/>
      <c r="AH48" s="36" t="b">
        <f t="shared" si="41"/>
        <v>0</v>
      </c>
      <c r="AI48" s="111"/>
      <c r="AJ48" s="36" t="b">
        <f t="shared" si="42"/>
        <v>0</v>
      </c>
      <c r="AK48" s="111"/>
      <c r="AL48" s="36" t="b">
        <f t="shared" si="43"/>
        <v>0</v>
      </c>
      <c r="AM48" s="111"/>
      <c r="AN48" s="36" t="b">
        <f t="shared" si="44"/>
        <v>0</v>
      </c>
      <c r="AO48" s="111"/>
      <c r="AP48" s="36" t="b">
        <f t="shared" si="45"/>
        <v>0</v>
      </c>
      <c r="AQ48" s="111"/>
      <c r="AR48" s="36" t="b">
        <f t="shared" si="46"/>
        <v>0</v>
      </c>
      <c r="AS48" s="111"/>
      <c r="AT48" s="36" t="b">
        <f t="shared" si="47"/>
        <v>0</v>
      </c>
      <c r="AU48" s="111"/>
      <c r="AV48" s="36" t="b">
        <f t="shared" si="48"/>
        <v>0</v>
      </c>
      <c r="AW48" s="111"/>
      <c r="AX48" s="36" t="b">
        <f t="shared" si="49"/>
        <v>0</v>
      </c>
      <c r="AY48" s="111"/>
      <c r="AZ48" s="36" t="b">
        <f t="shared" si="50"/>
        <v>0</v>
      </c>
      <c r="BA48" s="111"/>
      <c r="BB48" s="36" t="b">
        <f t="shared" si="51"/>
        <v>0</v>
      </c>
      <c r="BC48" s="111"/>
      <c r="BD48" s="36" t="b">
        <f t="shared" si="52"/>
        <v>0</v>
      </c>
      <c r="BE48" s="111"/>
      <c r="BF48" s="36" t="b">
        <f t="shared" si="53"/>
        <v>0</v>
      </c>
      <c r="BG48" s="111"/>
      <c r="BH48" s="36" t="b">
        <f t="shared" si="54"/>
        <v>0</v>
      </c>
      <c r="BI48" s="111"/>
      <c r="BJ48" s="36" t="b">
        <f t="shared" si="55"/>
        <v>0</v>
      </c>
      <c r="BK48" s="111"/>
      <c r="BL48" s="36" t="b">
        <f t="shared" si="56"/>
        <v>0</v>
      </c>
      <c r="BM48" s="111"/>
      <c r="BN48" s="36" t="b">
        <f t="shared" si="56"/>
        <v>0</v>
      </c>
      <c r="BO48" s="72"/>
      <c r="BV48" s="60" t="str" cm="1">
        <f t="array" ref="BV48">IFERROR(EOMONTH(EOMONTH(_xlfn._xlws.FILTER(Table1[Planned Start],(Table1[Category]=$E48)*(Table1[SBU]=$F$5)*(Table1[Execution Year]=$E$5)*(Table1[Most curent]=TRUE)),0)-45,0)+1,"")</f>
        <v/>
      </c>
      <c r="BW48" s="60" t="str" cm="1">
        <f t="array" ref="BW48">IFERROR(EOMONTH(_xlfn._xlws.FILTER(Table1[Planned Award],(Table1[Category]=$E48)*(Table1[SBU]=$F$5)*(Table1[Execution Year]=$E$5)*(Table1[Most curent]=TRUE)),0),"")</f>
        <v/>
      </c>
      <c r="BX48" s="60" t="str" cm="1">
        <f t="array" ref="BX48">IFERROR(EOMONTH(EOMONTH(_xlfn._xlws.FILTER(Table1[Current Phase End],(Table1[Category]=$E48)*(Table1[SBU]=$F$5)*(Table1[Execution Year]=$E$5)*(Table1[Most curent]=TRUE)),0)-45,0)+1,"")</f>
        <v/>
      </c>
      <c r="BY48" s="60" t="str" cm="1">
        <f t="array" ref="BY48">IFERROR(IF(EOMONTH(_xlfn._xlws.FILTER(Table1[Revised Award],(Table1[Category]=$E48)*(Table1[SBU]=$F$5)*(Table1[Execution Year]=$E$5)*(Table1[Most curent]=TRUE)),0)=31,"",EOMONTH(_xlfn._xlws.FILTER(Table1[Revised Award],(Table1[Category]=$E48)*(Table1[SBU]=$F$5)*(Table1[Execution Year]=$E$5)*(Table1[Most curent]=TRUE)),0)),"")</f>
        <v/>
      </c>
      <c r="BZ48" s="60" t="str">
        <f t="shared" si="29"/>
        <v/>
      </c>
      <c r="CA48" s="60" t="str">
        <f t="shared" si="30"/>
        <v/>
      </c>
      <c r="CB48" s="60" t="str">
        <f t="shared" si="57"/>
        <v/>
      </c>
    </row>
    <row r="49" spans="2:80" ht="15.6" thickTop="1" thickBot="1">
      <c r="B49" s="123"/>
      <c r="C49" s="71"/>
      <c r="D49" s="125"/>
      <c r="E49" s="35"/>
      <c r="F49" s="35"/>
      <c r="G49" s="36"/>
      <c r="H49" s="36"/>
      <c r="I49" s="36"/>
      <c r="J49" s="36">
        <f t="shared" si="31"/>
        <v>0</v>
      </c>
      <c r="K49" s="36">
        <f t="shared" si="27"/>
        <v>0</v>
      </c>
      <c r="L49" s="71"/>
      <c r="M49" s="71"/>
      <c r="N49" s="36" t="b">
        <f t="shared" si="28"/>
        <v>0</v>
      </c>
      <c r="O49" s="111"/>
      <c r="P49" s="36" t="b">
        <f t="shared" si="32"/>
        <v>0</v>
      </c>
      <c r="Q49" s="111"/>
      <c r="R49" s="36" t="b">
        <f t="shared" si="33"/>
        <v>0</v>
      </c>
      <c r="S49" s="111"/>
      <c r="T49" s="36" t="b">
        <f t="shared" si="34"/>
        <v>0</v>
      </c>
      <c r="U49" s="111"/>
      <c r="V49" s="36" t="b">
        <f t="shared" si="35"/>
        <v>0</v>
      </c>
      <c r="W49" s="111"/>
      <c r="X49" s="36" t="b">
        <f t="shared" si="36"/>
        <v>0</v>
      </c>
      <c r="Y49" s="111"/>
      <c r="Z49" s="36" t="b">
        <f t="shared" si="37"/>
        <v>0</v>
      </c>
      <c r="AA49" s="111"/>
      <c r="AB49" s="36" t="b">
        <f t="shared" si="38"/>
        <v>0</v>
      </c>
      <c r="AC49" s="111"/>
      <c r="AD49" s="36" t="b">
        <f t="shared" si="39"/>
        <v>0</v>
      </c>
      <c r="AE49" s="111"/>
      <c r="AF49" s="36" t="b">
        <f t="shared" si="40"/>
        <v>0</v>
      </c>
      <c r="AG49" s="111"/>
      <c r="AH49" s="36" t="b">
        <f t="shared" si="41"/>
        <v>0</v>
      </c>
      <c r="AI49" s="111"/>
      <c r="AJ49" s="36" t="b">
        <f t="shared" si="42"/>
        <v>0</v>
      </c>
      <c r="AK49" s="111"/>
      <c r="AL49" s="36" t="b">
        <f t="shared" si="43"/>
        <v>0</v>
      </c>
      <c r="AM49" s="111"/>
      <c r="AN49" s="36" t="b">
        <f t="shared" si="44"/>
        <v>0</v>
      </c>
      <c r="AO49" s="111"/>
      <c r="AP49" s="36" t="b">
        <f t="shared" si="45"/>
        <v>0</v>
      </c>
      <c r="AQ49" s="111"/>
      <c r="AR49" s="36" t="b">
        <f t="shared" si="46"/>
        <v>0</v>
      </c>
      <c r="AS49" s="111"/>
      <c r="AT49" s="36" t="b">
        <f t="shared" si="47"/>
        <v>0</v>
      </c>
      <c r="AU49" s="111"/>
      <c r="AV49" s="36" t="b">
        <f t="shared" si="48"/>
        <v>0</v>
      </c>
      <c r="AW49" s="111"/>
      <c r="AX49" s="36" t="b">
        <f t="shared" si="49"/>
        <v>0</v>
      </c>
      <c r="AY49" s="111"/>
      <c r="AZ49" s="36" t="b">
        <f t="shared" si="50"/>
        <v>0</v>
      </c>
      <c r="BA49" s="111"/>
      <c r="BB49" s="36" t="b">
        <f t="shared" si="51"/>
        <v>0</v>
      </c>
      <c r="BC49" s="111"/>
      <c r="BD49" s="36" t="b">
        <f t="shared" si="52"/>
        <v>0</v>
      </c>
      <c r="BE49" s="111"/>
      <c r="BF49" s="36" t="b">
        <f t="shared" si="53"/>
        <v>0</v>
      </c>
      <c r="BG49" s="111"/>
      <c r="BH49" s="36" t="b">
        <f t="shared" si="54"/>
        <v>0</v>
      </c>
      <c r="BI49" s="111"/>
      <c r="BJ49" s="36" t="b">
        <f t="shared" si="55"/>
        <v>0</v>
      </c>
      <c r="BK49" s="111"/>
      <c r="BL49" s="36" t="b">
        <f t="shared" si="56"/>
        <v>0</v>
      </c>
      <c r="BM49" s="111"/>
      <c r="BN49" s="36" t="b">
        <f t="shared" si="56"/>
        <v>0</v>
      </c>
      <c r="BO49" s="72"/>
      <c r="BV49" s="60" t="str" cm="1">
        <f t="array" ref="BV49">IFERROR(EOMONTH(EOMONTH(_xlfn._xlws.FILTER(Table1[Planned Start],(Table1[Category]=$E49)*(Table1[SBU]=$F$5)*(Table1[Execution Year]=$E$5)*(Table1[Most curent]=TRUE)),0)-45,0)+1,"")</f>
        <v/>
      </c>
      <c r="BW49" s="60" t="str" cm="1">
        <f t="array" ref="BW49">IFERROR(EOMONTH(_xlfn._xlws.FILTER(Table1[Planned Award],(Table1[Category]=$E49)*(Table1[SBU]=$F$5)*(Table1[Execution Year]=$E$5)*(Table1[Most curent]=TRUE)),0),"")</f>
        <v/>
      </c>
      <c r="BX49" s="60" t="str" cm="1">
        <f t="array" ref="BX49">IFERROR(EOMONTH(EOMONTH(_xlfn._xlws.FILTER(Table1[Current Phase End],(Table1[Category]=$E49)*(Table1[SBU]=$F$5)*(Table1[Execution Year]=$E$5)*(Table1[Most curent]=TRUE)),0)-45,0)+1,"")</f>
        <v/>
      </c>
      <c r="BY49" s="60" t="str" cm="1">
        <f t="array" ref="BY49">IFERROR(IF(EOMONTH(_xlfn._xlws.FILTER(Table1[Revised Award],(Table1[Category]=$E49)*(Table1[SBU]=$F$5)*(Table1[Execution Year]=$E$5)*(Table1[Most curent]=TRUE)),0)=31,"",EOMONTH(_xlfn._xlws.FILTER(Table1[Revised Award],(Table1[Category]=$E49)*(Table1[SBU]=$F$5)*(Table1[Execution Year]=$E$5)*(Table1[Most curent]=TRUE)),0)),"")</f>
        <v/>
      </c>
      <c r="BZ49" s="60" t="str">
        <f t="shared" si="29"/>
        <v/>
      </c>
      <c r="CA49" s="60" t="str">
        <f t="shared" si="30"/>
        <v/>
      </c>
      <c r="CB49" s="60" t="str">
        <f t="shared" si="57"/>
        <v/>
      </c>
    </row>
    <row r="50" spans="2:80" ht="15.6" thickTop="1" thickBot="1">
      <c r="B50" s="123"/>
      <c r="C50" s="71"/>
      <c r="D50" s="125"/>
      <c r="E50" s="35"/>
      <c r="F50" s="35"/>
      <c r="G50" s="36"/>
      <c r="H50" s="36"/>
      <c r="I50" s="36"/>
      <c r="J50" s="36">
        <f t="shared" si="31"/>
        <v>0</v>
      </c>
      <c r="K50" s="36">
        <f t="shared" si="27"/>
        <v>0</v>
      </c>
      <c r="L50" s="71"/>
      <c r="M50" s="71"/>
      <c r="N50" s="36" t="b">
        <f t="shared" si="28"/>
        <v>0</v>
      </c>
      <c r="O50" s="111"/>
      <c r="P50" s="36" t="b">
        <f t="shared" si="32"/>
        <v>0</v>
      </c>
      <c r="Q50" s="111"/>
      <c r="R50" s="36" t="b">
        <f t="shared" si="33"/>
        <v>0</v>
      </c>
      <c r="S50" s="111"/>
      <c r="T50" s="36" t="b">
        <f t="shared" si="34"/>
        <v>0</v>
      </c>
      <c r="U50" s="111"/>
      <c r="V50" s="36" t="b">
        <f t="shared" si="35"/>
        <v>0</v>
      </c>
      <c r="W50" s="111"/>
      <c r="X50" s="36" t="b">
        <f t="shared" si="36"/>
        <v>0</v>
      </c>
      <c r="Y50" s="111"/>
      <c r="Z50" s="36" t="b">
        <f t="shared" si="37"/>
        <v>0</v>
      </c>
      <c r="AA50" s="111"/>
      <c r="AB50" s="36" t="b">
        <f t="shared" si="38"/>
        <v>0</v>
      </c>
      <c r="AC50" s="111"/>
      <c r="AD50" s="36" t="b">
        <f t="shared" si="39"/>
        <v>0</v>
      </c>
      <c r="AE50" s="111"/>
      <c r="AF50" s="36" t="b">
        <f t="shared" si="40"/>
        <v>0</v>
      </c>
      <c r="AG50" s="111"/>
      <c r="AH50" s="36" t="b">
        <f t="shared" si="41"/>
        <v>0</v>
      </c>
      <c r="AI50" s="111"/>
      <c r="AJ50" s="36" t="b">
        <f t="shared" si="42"/>
        <v>0</v>
      </c>
      <c r="AK50" s="111"/>
      <c r="AL50" s="36" t="b">
        <f t="shared" si="43"/>
        <v>0</v>
      </c>
      <c r="AM50" s="111"/>
      <c r="AN50" s="36" t="b">
        <f t="shared" si="44"/>
        <v>0</v>
      </c>
      <c r="AO50" s="111"/>
      <c r="AP50" s="36" t="b">
        <f t="shared" si="45"/>
        <v>0</v>
      </c>
      <c r="AQ50" s="111"/>
      <c r="AR50" s="36" t="b">
        <f t="shared" si="46"/>
        <v>0</v>
      </c>
      <c r="AS50" s="111"/>
      <c r="AT50" s="36" t="b">
        <f t="shared" si="47"/>
        <v>0</v>
      </c>
      <c r="AU50" s="111"/>
      <c r="AV50" s="36" t="b">
        <f t="shared" si="48"/>
        <v>0</v>
      </c>
      <c r="AW50" s="111"/>
      <c r="AX50" s="36" t="b">
        <f t="shared" si="49"/>
        <v>0</v>
      </c>
      <c r="AY50" s="111"/>
      <c r="AZ50" s="36" t="b">
        <f t="shared" si="50"/>
        <v>0</v>
      </c>
      <c r="BA50" s="111"/>
      <c r="BB50" s="36" t="b">
        <f t="shared" si="51"/>
        <v>0</v>
      </c>
      <c r="BC50" s="111"/>
      <c r="BD50" s="36" t="b">
        <f t="shared" si="52"/>
        <v>0</v>
      </c>
      <c r="BE50" s="111"/>
      <c r="BF50" s="36" t="b">
        <f t="shared" si="53"/>
        <v>0</v>
      </c>
      <c r="BG50" s="111"/>
      <c r="BH50" s="36" t="b">
        <f t="shared" si="54"/>
        <v>0</v>
      </c>
      <c r="BI50" s="111"/>
      <c r="BJ50" s="36" t="b">
        <f t="shared" si="55"/>
        <v>0</v>
      </c>
      <c r="BK50" s="111"/>
      <c r="BL50" s="36" t="b">
        <f t="shared" si="56"/>
        <v>0</v>
      </c>
      <c r="BM50" s="111"/>
      <c r="BN50" s="36" t="b">
        <f t="shared" si="56"/>
        <v>0</v>
      </c>
      <c r="BO50" s="72"/>
      <c r="BV50" s="60" t="str" cm="1">
        <f t="array" ref="BV50">IFERROR(EOMONTH(EOMONTH(_xlfn._xlws.FILTER(Table1[Planned Start],(Table1[Category]=$E50)*(Table1[SBU]=$F$5)*(Table1[Execution Year]=$E$5)*(Table1[Most curent]=TRUE)),0)-45,0)+1,"")</f>
        <v/>
      </c>
      <c r="BW50" s="60" t="str" cm="1">
        <f t="array" ref="BW50">IFERROR(EOMONTH(_xlfn._xlws.FILTER(Table1[Planned Award],(Table1[Category]=$E50)*(Table1[SBU]=$F$5)*(Table1[Execution Year]=$E$5)*(Table1[Most curent]=TRUE)),0),"")</f>
        <v/>
      </c>
      <c r="BX50" s="60" t="str" cm="1">
        <f t="array" ref="BX50">IFERROR(EOMONTH(EOMONTH(_xlfn._xlws.FILTER(Table1[Current Phase End],(Table1[Category]=$E50)*(Table1[SBU]=$F$5)*(Table1[Execution Year]=$E$5)*(Table1[Most curent]=TRUE)),0)-45,0)+1,"")</f>
        <v/>
      </c>
      <c r="BY50" s="60" t="str" cm="1">
        <f t="array" ref="BY50">IFERROR(IF(EOMONTH(_xlfn._xlws.FILTER(Table1[Revised Award],(Table1[Category]=$E50)*(Table1[SBU]=$F$5)*(Table1[Execution Year]=$E$5)*(Table1[Most curent]=TRUE)),0)=31,"",EOMONTH(_xlfn._xlws.FILTER(Table1[Revised Award],(Table1[Category]=$E50)*(Table1[SBU]=$F$5)*(Table1[Execution Year]=$E$5)*(Table1[Most curent]=TRUE)),0)),"")</f>
        <v/>
      </c>
      <c r="BZ50" s="60" t="str">
        <f t="shared" si="29"/>
        <v/>
      </c>
      <c r="CA50" s="60" t="str">
        <f t="shared" si="30"/>
        <v/>
      </c>
      <c r="CB50" s="60" t="str">
        <f t="shared" si="57"/>
        <v/>
      </c>
    </row>
    <row r="51" spans="2:80" ht="15.6" thickTop="1" thickBot="1">
      <c r="B51" s="123"/>
      <c r="C51" s="71"/>
      <c r="D51" s="125"/>
      <c r="E51" s="35"/>
      <c r="F51" s="35"/>
      <c r="G51" s="36"/>
      <c r="H51" s="36"/>
      <c r="I51" s="36"/>
      <c r="J51" s="36">
        <f t="shared" si="31"/>
        <v>0</v>
      </c>
      <c r="K51" s="36">
        <f t="shared" si="27"/>
        <v>0</v>
      </c>
      <c r="L51" s="71"/>
      <c r="M51" s="71"/>
      <c r="N51" s="36" t="b">
        <f t="shared" si="28"/>
        <v>0</v>
      </c>
      <c r="O51" s="111"/>
      <c r="P51" s="36" t="b">
        <f t="shared" si="32"/>
        <v>0</v>
      </c>
      <c r="Q51" s="111"/>
      <c r="R51" s="36" t="b">
        <f t="shared" si="33"/>
        <v>0</v>
      </c>
      <c r="S51" s="111"/>
      <c r="T51" s="36" t="b">
        <f t="shared" si="34"/>
        <v>0</v>
      </c>
      <c r="U51" s="111"/>
      <c r="V51" s="36" t="b">
        <f t="shared" si="35"/>
        <v>0</v>
      </c>
      <c r="W51" s="111"/>
      <c r="X51" s="36" t="b">
        <f t="shared" si="36"/>
        <v>0</v>
      </c>
      <c r="Y51" s="111"/>
      <c r="Z51" s="36" t="b">
        <f t="shared" si="37"/>
        <v>0</v>
      </c>
      <c r="AA51" s="111"/>
      <c r="AB51" s="36" t="b">
        <f t="shared" si="38"/>
        <v>0</v>
      </c>
      <c r="AC51" s="111"/>
      <c r="AD51" s="36" t="b">
        <f t="shared" si="39"/>
        <v>0</v>
      </c>
      <c r="AE51" s="111"/>
      <c r="AF51" s="36" t="b">
        <f t="shared" si="40"/>
        <v>0</v>
      </c>
      <c r="AG51" s="111"/>
      <c r="AH51" s="36" t="b">
        <f t="shared" si="41"/>
        <v>0</v>
      </c>
      <c r="AI51" s="111"/>
      <c r="AJ51" s="36" t="b">
        <f t="shared" si="42"/>
        <v>0</v>
      </c>
      <c r="AK51" s="111"/>
      <c r="AL51" s="36" t="b">
        <f t="shared" si="43"/>
        <v>0</v>
      </c>
      <c r="AM51" s="111"/>
      <c r="AN51" s="36" t="b">
        <f t="shared" si="44"/>
        <v>0</v>
      </c>
      <c r="AO51" s="111"/>
      <c r="AP51" s="36" t="b">
        <f t="shared" si="45"/>
        <v>0</v>
      </c>
      <c r="AQ51" s="111"/>
      <c r="AR51" s="36" t="b">
        <f t="shared" si="46"/>
        <v>0</v>
      </c>
      <c r="AS51" s="111"/>
      <c r="AT51" s="36" t="b">
        <f t="shared" si="47"/>
        <v>0</v>
      </c>
      <c r="AU51" s="111"/>
      <c r="AV51" s="36" t="b">
        <f t="shared" si="48"/>
        <v>0</v>
      </c>
      <c r="AW51" s="111"/>
      <c r="AX51" s="36" t="b">
        <f t="shared" si="49"/>
        <v>0</v>
      </c>
      <c r="AY51" s="111"/>
      <c r="AZ51" s="36" t="b">
        <f t="shared" si="50"/>
        <v>0</v>
      </c>
      <c r="BA51" s="111"/>
      <c r="BB51" s="36" t="b">
        <f t="shared" si="51"/>
        <v>0</v>
      </c>
      <c r="BC51" s="111"/>
      <c r="BD51" s="36" t="b">
        <f t="shared" si="52"/>
        <v>0</v>
      </c>
      <c r="BE51" s="111"/>
      <c r="BF51" s="36" t="b">
        <f t="shared" si="53"/>
        <v>0</v>
      </c>
      <c r="BG51" s="111"/>
      <c r="BH51" s="36" t="b">
        <f t="shared" si="54"/>
        <v>0</v>
      </c>
      <c r="BI51" s="111"/>
      <c r="BJ51" s="36" t="b">
        <f t="shared" si="55"/>
        <v>0</v>
      </c>
      <c r="BK51" s="111"/>
      <c r="BL51" s="36" t="b">
        <f t="shared" si="56"/>
        <v>0</v>
      </c>
      <c r="BM51" s="111"/>
      <c r="BN51" s="36" t="b">
        <f t="shared" si="56"/>
        <v>0</v>
      </c>
      <c r="BO51" s="72"/>
      <c r="BV51" s="60" t="str" cm="1">
        <f t="array" ref="BV51">IFERROR(EOMONTH(EOMONTH(_xlfn._xlws.FILTER(Table1[Planned Start],(Table1[Category]=$E51)*(Table1[SBU]=$F$5)*(Table1[Execution Year]=$E$5)*(Table1[Most curent]=TRUE)),0)-45,0)+1,"")</f>
        <v/>
      </c>
      <c r="BW51" s="60" t="str" cm="1">
        <f t="array" ref="BW51">IFERROR(EOMONTH(_xlfn._xlws.FILTER(Table1[Planned Award],(Table1[Category]=$E51)*(Table1[SBU]=$F$5)*(Table1[Execution Year]=$E$5)*(Table1[Most curent]=TRUE)),0),"")</f>
        <v/>
      </c>
      <c r="BX51" s="60" t="str" cm="1">
        <f t="array" ref="BX51">IFERROR(EOMONTH(EOMONTH(_xlfn._xlws.FILTER(Table1[Current Phase End],(Table1[Category]=$E51)*(Table1[SBU]=$F$5)*(Table1[Execution Year]=$E$5)*(Table1[Most curent]=TRUE)),0)-45,0)+1,"")</f>
        <v/>
      </c>
      <c r="BY51" s="60" t="str" cm="1">
        <f t="array" ref="BY51">IFERROR(IF(EOMONTH(_xlfn._xlws.FILTER(Table1[Revised Award],(Table1[Category]=$E51)*(Table1[SBU]=$F$5)*(Table1[Execution Year]=$E$5)*(Table1[Most curent]=TRUE)),0)=31,"",EOMONTH(_xlfn._xlws.FILTER(Table1[Revised Award],(Table1[Category]=$E51)*(Table1[SBU]=$F$5)*(Table1[Execution Year]=$E$5)*(Table1[Most curent]=TRUE)),0)),"")</f>
        <v/>
      </c>
      <c r="BZ51" s="60" t="str">
        <f t="shared" si="29"/>
        <v/>
      </c>
      <c r="CA51" s="60" t="str">
        <f t="shared" si="30"/>
        <v/>
      </c>
      <c r="CB51" s="60" t="str">
        <f t="shared" si="57"/>
        <v/>
      </c>
    </row>
    <row r="52" spans="2:80" ht="15.6" thickTop="1" thickBot="1">
      <c r="B52" s="123"/>
      <c r="C52" s="71"/>
      <c r="D52" s="125"/>
      <c r="E52" s="35"/>
      <c r="F52" s="35"/>
      <c r="G52" s="36"/>
      <c r="H52" s="36"/>
      <c r="I52" s="36"/>
      <c r="J52" s="36">
        <f t="shared" si="31"/>
        <v>0</v>
      </c>
      <c r="K52" s="36">
        <f t="shared" si="27"/>
        <v>0</v>
      </c>
      <c r="L52" s="71"/>
      <c r="M52" s="71"/>
      <c r="N52" s="36" t="b">
        <f t="shared" si="28"/>
        <v>0</v>
      </c>
      <c r="O52" s="111"/>
      <c r="P52" s="36" t="b">
        <f t="shared" si="32"/>
        <v>0</v>
      </c>
      <c r="Q52" s="111"/>
      <c r="R52" s="36" t="b">
        <f t="shared" si="33"/>
        <v>0</v>
      </c>
      <c r="S52" s="111"/>
      <c r="T52" s="36" t="b">
        <f t="shared" si="34"/>
        <v>0</v>
      </c>
      <c r="U52" s="111"/>
      <c r="V52" s="36" t="b">
        <f t="shared" si="35"/>
        <v>0</v>
      </c>
      <c r="W52" s="111"/>
      <c r="X52" s="36" t="b">
        <f t="shared" si="36"/>
        <v>0</v>
      </c>
      <c r="Y52" s="111"/>
      <c r="Z52" s="36" t="b">
        <f t="shared" si="37"/>
        <v>0</v>
      </c>
      <c r="AA52" s="111"/>
      <c r="AB52" s="36" t="b">
        <f t="shared" si="38"/>
        <v>0</v>
      </c>
      <c r="AC52" s="111"/>
      <c r="AD52" s="36" t="b">
        <f t="shared" si="39"/>
        <v>0</v>
      </c>
      <c r="AE52" s="111"/>
      <c r="AF52" s="36" t="b">
        <f t="shared" si="40"/>
        <v>0</v>
      </c>
      <c r="AG52" s="111"/>
      <c r="AH52" s="36" t="b">
        <f t="shared" si="41"/>
        <v>0</v>
      </c>
      <c r="AI52" s="111"/>
      <c r="AJ52" s="36" t="b">
        <f t="shared" si="42"/>
        <v>0</v>
      </c>
      <c r="AK52" s="111"/>
      <c r="AL52" s="36" t="b">
        <f t="shared" si="43"/>
        <v>0</v>
      </c>
      <c r="AM52" s="111"/>
      <c r="AN52" s="36" t="b">
        <f t="shared" si="44"/>
        <v>0</v>
      </c>
      <c r="AO52" s="111"/>
      <c r="AP52" s="36" t="b">
        <f t="shared" si="45"/>
        <v>0</v>
      </c>
      <c r="AQ52" s="111"/>
      <c r="AR52" s="36" t="b">
        <f t="shared" si="46"/>
        <v>0</v>
      </c>
      <c r="AS52" s="111"/>
      <c r="AT52" s="36" t="b">
        <f t="shared" si="47"/>
        <v>0</v>
      </c>
      <c r="AU52" s="111"/>
      <c r="AV52" s="36" t="b">
        <f t="shared" si="48"/>
        <v>0</v>
      </c>
      <c r="AW52" s="111"/>
      <c r="AX52" s="36" t="b">
        <f t="shared" si="49"/>
        <v>0</v>
      </c>
      <c r="AY52" s="111"/>
      <c r="AZ52" s="36" t="b">
        <f t="shared" si="50"/>
        <v>0</v>
      </c>
      <c r="BA52" s="111"/>
      <c r="BB52" s="36" t="b">
        <f t="shared" si="51"/>
        <v>0</v>
      </c>
      <c r="BC52" s="111"/>
      <c r="BD52" s="36" t="b">
        <f t="shared" si="52"/>
        <v>0</v>
      </c>
      <c r="BE52" s="111"/>
      <c r="BF52" s="36" t="b">
        <f t="shared" si="53"/>
        <v>0</v>
      </c>
      <c r="BG52" s="111"/>
      <c r="BH52" s="36" t="b">
        <f t="shared" si="54"/>
        <v>0</v>
      </c>
      <c r="BI52" s="111"/>
      <c r="BJ52" s="36" t="b">
        <f t="shared" si="55"/>
        <v>0</v>
      </c>
      <c r="BK52" s="111"/>
      <c r="BL52" s="36" t="b">
        <f t="shared" si="56"/>
        <v>0</v>
      </c>
      <c r="BM52" s="111"/>
      <c r="BN52" s="36" t="b">
        <f t="shared" si="56"/>
        <v>0</v>
      </c>
      <c r="BO52" s="72"/>
      <c r="BV52" s="60" t="str" cm="1">
        <f t="array" ref="BV52">IFERROR(EOMONTH(EOMONTH(_xlfn._xlws.FILTER(Table1[Planned Start],(Table1[Category]=$E52)*(Table1[SBU]=$F$5)*(Table1[Execution Year]=$E$5)*(Table1[Most curent]=TRUE)),0)-45,0)+1,"")</f>
        <v/>
      </c>
      <c r="BW52" s="60" t="str" cm="1">
        <f t="array" ref="BW52">IFERROR(EOMONTH(_xlfn._xlws.FILTER(Table1[Planned Award],(Table1[Category]=$E52)*(Table1[SBU]=$F$5)*(Table1[Execution Year]=$E$5)*(Table1[Most curent]=TRUE)),0),"")</f>
        <v/>
      </c>
      <c r="BX52" s="60" t="str" cm="1">
        <f t="array" ref="BX52">IFERROR(EOMONTH(EOMONTH(_xlfn._xlws.FILTER(Table1[Current Phase End],(Table1[Category]=$E52)*(Table1[SBU]=$F$5)*(Table1[Execution Year]=$E$5)*(Table1[Most curent]=TRUE)),0)-45,0)+1,"")</f>
        <v/>
      </c>
      <c r="BY52" s="60" t="str" cm="1">
        <f t="array" ref="BY52">IFERROR(IF(EOMONTH(_xlfn._xlws.FILTER(Table1[Revised Award],(Table1[Category]=$E52)*(Table1[SBU]=$F$5)*(Table1[Execution Year]=$E$5)*(Table1[Most curent]=TRUE)),0)=31,"",EOMONTH(_xlfn._xlws.FILTER(Table1[Revised Award],(Table1[Category]=$E52)*(Table1[SBU]=$F$5)*(Table1[Execution Year]=$E$5)*(Table1[Most curent]=TRUE)),0)),"")</f>
        <v/>
      </c>
      <c r="BZ52" s="60" t="str">
        <f t="shared" si="29"/>
        <v/>
      </c>
      <c r="CA52" s="60" t="str">
        <f t="shared" si="30"/>
        <v/>
      </c>
      <c r="CB52" s="60" t="str">
        <f t="shared" si="57"/>
        <v/>
      </c>
    </row>
    <row r="53" spans="2:80" ht="15.6" thickTop="1" thickBot="1">
      <c r="B53" s="123"/>
      <c r="C53" s="71"/>
      <c r="D53" s="125"/>
      <c r="E53" s="35"/>
      <c r="F53" s="35"/>
      <c r="G53" s="36"/>
      <c r="H53" s="36"/>
      <c r="I53" s="36"/>
      <c r="J53" s="36">
        <f t="shared" si="31"/>
        <v>0</v>
      </c>
      <c r="K53" s="36">
        <f t="shared" si="27"/>
        <v>0</v>
      </c>
      <c r="L53" s="71"/>
      <c r="M53" s="71"/>
      <c r="N53" s="36" t="b">
        <f t="shared" si="28"/>
        <v>0</v>
      </c>
      <c r="O53" s="111"/>
      <c r="P53" s="36" t="b">
        <f t="shared" si="32"/>
        <v>0</v>
      </c>
      <c r="Q53" s="111"/>
      <c r="R53" s="36" t="b">
        <f t="shared" si="33"/>
        <v>0</v>
      </c>
      <c r="S53" s="111"/>
      <c r="T53" s="36" t="b">
        <f t="shared" si="34"/>
        <v>0</v>
      </c>
      <c r="U53" s="111"/>
      <c r="V53" s="36" t="b">
        <f t="shared" si="35"/>
        <v>0</v>
      </c>
      <c r="W53" s="111"/>
      <c r="X53" s="36" t="b">
        <f t="shared" si="36"/>
        <v>0</v>
      </c>
      <c r="Y53" s="111"/>
      <c r="Z53" s="36" t="b">
        <f t="shared" si="37"/>
        <v>0</v>
      </c>
      <c r="AA53" s="111"/>
      <c r="AB53" s="36" t="b">
        <f t="shared" si="38"/>
        <v>0</v>
      </c>
      <c r="AC53" s="111"/>
      <c r="AD53" s="36" t="b">
        <f t="shared" si="39"/>
        <v>0</v>
      </c>
      <c r="AE53" s="111"/>
      <c r="AF53" s="36" t="b">
        <f t="shared" si="40"/>
        <v>0</v>
      </c>
      <c r="AG53" s="111"/>
      <c r="AH53" s="36" t="b">
        <f t="shared" si="41"/>
        <v>0</v>
      </c>
      <c r="AI53" s="111"/>
      <c r="AJ53" s="36" t="b">
        <f t="shared" si="42"/>
        <v>0</v>
      </c>
      <c r="AK53" s="111"/>
      <c r="AL53" s="36" t="b">
        <f t="shared" si="43"/>
        <v>0</v>
      </c>
      <c r="AM53" s="111"/>
      <c r="AN53" s="36" t="b">
        <f t="shared" si="44"/>
        <v>0</v>
      </c>
      <c r="AO53" s="111"/>
      <c r="AP53" s="36" t="b">
        <f t="shared" si="45"/>
        <v>0</v>
      </c>
      <c r="AQ53" s="111"/>
      <c r="AR53" s="36" t="b">
        <f t="shared" si="46"/>
        <v>0</v>
      </c>
      <c r="AS53" s="111"/>
      <c r="AT53" s="36" t="b">
        <f t="shared" si="47"/>
        <v>0</v>
      </c>
      <c r="AU53" s="111"/>
      <c r="AV53" s="36" t="b">
        <f t="shared" si="48"/>
        <v>0</v>
      </c>
      <c r="AW53" s="111"/>
      <c r="AX53" s="36" t="b">
        <f t="shared" si="49"/>
        <v>0</v>
      </c>
      <c r="AY53" s="111"/>
      <c r="AZ53" s="36" t="b">
        <f t="shared" si="50"/>
        <v>0</v>
      </c>
      <c r="BA53" s="111"/>
      <c r="BB53" s="36" t="b">
        <f t="shared" si="51"/>
        <v>0</v>
      </c>
      <c r="BC53" s="111"/>
      <c r="BD53" s="36" t="b">
        <f t="shared" si="52"/>
        <v>0</v>
      </c>
      <c r="BE53" s="111"/>
      <c r="BF53" s="36" t="b">
        <f t="shared" si="53"/>
        <v>0</v>
      </c>
      <c r="BG53" s="111"/>
      <c r="BH53" s="36" t="b">
        <f t="shared" si="54"/>
        <v>0</v>
      </c>
      <c r="BI53" s="111"/>
      <c r="BJ53" s="36" t="b">
        <f t="shared" si="55"/>
        <v>0</v>
      </c>
      <c r="BK53" s="111"/>
      <c r="BL53" s="36" t="b">
        <f t="shared" si="56"/>
        <v>0</v>
      </c>
      <c r="BM53" s="111"/>
      <c r="BN53" s="36" t="b">
        <f t="shared" si="56"/>
        <v>0</v>
      </c>
      <c r="BO53" s="72"/>
      <c r="BV53" s="60" t="str" cm="1">
        <f t="array" ref="BV53">IFERROR(EOMONTH(EOMONTH(_xlfn._xlws.FILTER(Table1[Planned Start],(Table1[Category]=$E53)*(Table1[SBU]=$F$5)*(Table1[Execution Year]=$E$5)*(Table1[Most curent]=TRUE)),0)-45,0)+1,"")</f>
        <v/>
      </c>
      <c r="BW53" s="60" t="str" cm="1">
        <f t="array" ref="BW53">IFERROR(EOMONTH(_xlfn._xlws.FILTER(Table1[Planned Award],(Table1[Category]=$E53)*(Table1[SBU]=$F$5)*(Table1[Execution Year]=$E$5)*(Table1[Most curent]=TRUE)),0),"")</f>
        <v/>
      </c>
      <c r="BX53" s="60" t="str" cm="1">
        <f t="array" ref="BX53">IFERROR(EOMONTH(EOMONTH(_xlfn._xlws.FILTER(Table1[Current Phase End],(Table1[Category]=$E53)*(Table1[SBU]=$F$5)*(Table1[Execution Year]=$E$5)*(Table1[Most curent]=TRUE)),0)-45,0)+1,"")</f>
        <v/>
      </c>
      <c r="BY53" s="60" t="str" cm="1">
        <f t="array" ref="BY53">IFERROR(IF(EOMONTH(_xlfn._xlws.FILTER(Table1[Revised Award],(Table1[Category]=$E53)*(Table1[SBU]=$F$5)*(Table1[Execution Year]=$E$5)*(Table1[Most curent]=TRUE)),0)=31,"",EOMONTH(_xlfn._xlws.FILTER(Table1[Revised Award],(Table1[Category]=$E53)*(Table1[SBU]=$F$5)*(Table1[Execution Year]=$E$5)*(Table1[Most curent]=TRUE)),0)),"")</f>
        <v/>
      </c>
      <c r="BZ53" s="60" t="str">
        <f t="shared" si="29"/>
        <v/>
      </c>
      <c r="CA53" s="60" t="str">
        <f t="shared" si="30"/>
        <v/>
      </c>
      <c r="CB53" s="60" t="str">
        <f t="shared" si="57"/>
        <v/>
      </c>
    </row>
    <row r="54" spans="2:80" ht="15.6" thickTop="1" thickBot="1">
      <c r="B54" s="123"/>
      <c r="C54" s="71"/>
      <c r="D54" s="125"/>
      <c r="E54" s="35"/>
      <c r="F54" s="35"/>
      <c r="G54" s="36"/>
      <c r="H54" s="36"/>
      <c r="I54" s="36"/>
      <c r="J54" s="36">
        <f t="shared" si="31"/>
        <v>0</v>
      </c>
      <c r="K54" s="36">
        <f t="shared" si="27"/>
        <v>0</v>
      </c>
      <c r="L54" s="71"/>
      <c r="M54" s="71"/>
      <c r="N54" s="36" t="b">
        <f t="shared" si="28"/>
        <v>0</v>
      </c>
      <c r="O54" s="111"/>
      <c r="P54" s="36" t="b">
        <f t="shared" si="32"/>
        <v>0</v>
      </c>
      <c r="Q54" s="111"/>
      <c r="R54" s="36" t="b">
        <f t="shared" si="33"/>
        <v>0</v>
      </c>
      <c r="S54" s="111"/>
      <c r="T54" s="36" t="b">
        <f t="shared" si="34"/>
        <v>0</v>
      </c>
      <c r="U54" s="111"/>
      <c r="V54" s="36" t="b">
        <f t="shared" si="35"/>
        <v>0</v>
      </c>
      <c r="W54" s="111"/>
      <c r="X54" s="36" t="b">
        <f t="shared" si="36"/>
        <v>0</v>
      </c>
      <c r="Y54" s="111"/>
      <c r="Z54" s="36" t="b">
        <f t="shared" si="37"/>
        <v>0</v>
      </c>
      <c r="AA54" s="111"/>
      <c r="AB54" s="36" t="b">
        <f t="shared" si="38"/>
        <v>0</v>
      </c>
      <c r="AC54" s="111"/>
      <c r="AD54" s="36" t="b">
        <f t="shared" si="39"/>
        <v>0</v>
      </c>
      <c r="AE54" s="111"/>
      <c r="AF54" s="36" t="b">
        <f t="shared" si="40"/>
        <v>0</v>
      </c>
      <c r="AG54" s="111"/>
      <c r="AH54" s="36" t="b">
        <f t="shared" si="41"/>
        <v>0</v>
      </c>
      <c r="AI54" s="111"/>
      <c r="AJ54" s="36" t="b">
        <f t="shared" si="42"/>
        <v>0</v>
      </c>
      <c r="AK54" s="111"/>
      <c r="AL54" s="36" t="b">
        <f t="shared" si="43"/>
        <v>0</v>
      </c>
      <c r="AM54" s="111"/>
      <c r="AN54" s="36" t="b">
        <f t="shared" si="44"/>
        <v>0</v>
      </c>
      <c r="AO54" s="111"/>
      <c r="AP54" s="36" t="b">
        <f t="shared" si="45"/>
        <v>0</v>
      </c>
      <c r="AQ54" s="111"/>
      <c r="AR54" s="36" t="b">
        <f t="shared" si="46"/>
        <v>0</v>
      </c>
      <c r="AS54" s="111"/>
      <c r="AT54" s="36" t="b">
        <f t="shared" si="47"/>
        <v>0</v>
      </c>
      <c r="AU54" s="111"/>
      <c r="AV54" s="36" t="b">
        <f t="shared" si="48"/>
        <v>0</v>
      </c>
      <c r="AW54" s="111"/>
      <c r="AX54" s="36" t="b">
        <f t="shared" si="49"/>
        <v>0</v>
      </c>
      <c r="AY54" s="111"/>
      <c r="AZ54" s="36" t="b">
        <f t="shared" si="50"/>
        <v>0</v>
      </c>
      <c r="BA54" s="111"/>
      <c r="BB54" s="36" t="b">
        <f t="shared" si="51"/>
        <v>0</v>
      </c>
      <c r="BC54" s="111"/>
      <c r="BD54" s="36" t="b">
        <f t="shared" si="52"/>
        <v>0</v>
      </c>
      <c r="BE54" s="111"/>
      <c r="BF54" s="36" t="b">
        <f t="shared" si="53"/>
        <v>0</v>
      </c>
      <c r="BG54" s="111"/>
      <c r="BH54" s="36" t="b">
        <f t="shared" si="54"/>
        <v>0</v>
      </c>
      <c r="BI54" s="111"/>
      <c r="BJ54" s="36" t="b">
        <f t="shared" si="55"/>
        <v>0</v>
      </c>
      <c r="BK54" s="111"/>
      <c r="BL54" s="36" t="b">
        <f t="shared" si="56"/>
        <v>0</v>
      </c>
      <c r="BM54" s="111"/>
      <c r="BN54" s="36" t="b">
        <f t="shared" si="56"/>
        <v>0</v>
      </c>
      <c r="BO54" s="72"/>
      <c r="BV54" s="60" t="str" cm="1">
        <f t="array" ref="BV54">IFERROR(EOMONTH(EOMONTH(_xlfn._xlws.FILTER(Table1[Planned Start],(Table1[Category]=$E54)*(Table1[SBU]=$F$5)*(Table1[Execution Year]=$E$5)*(Table1[Most curent]=TRUE)),0)-45,0)+1,"")</f>
        <v/>
      </c>
      <c r="BW54" s="60" t="str" cm="1">
        <f t="array" ref="BW54">IFERROR(EOMONTH(_xlfn._xlws.FILTER(Table1[Planned Award],(Table1[Category]=$E54)*(Table1[SBU]=$F$5)*(Table1[Execution Year]=$E$5)*(Table1[Most curent]=TRUE)),0),"")</f>
        <v/>
      </c>
      <c r="BX54" s="60" t="str" cm="1">
        <f t="array" ref="BX54">IFERROR(EOMONTH(EOMONTH(_xlfn._xlws.FILTER(Table1[Current Phase End],(Table1[Category]=$E54)*(Table1[SBU]=$F$5)*(Table1[Execution Year]=$E$5)*(Table1[Most curent]=TRUE)),0)-45,0)+1,"")</f>
        <v/>
      </c>
      <c r="BY54" s="60" t="str" cm="1">
        <f t="array" ref="BY54">IFERROR(IF(EOMONTH(_xlfn._xlws.FILTER(Table1[Revised Award],(Table1[Category]=$E54)*(Table1[SBU]=$F$5)*(Table1[Execution Year]=$E$5)*(Table1[Most curent]=TRUE)),0)=31,"",EOMONTH(_xlfn._xlws.FILTER(Table1[Revised Award],(Table1[Category]=$E54)*(Table1[SBU]=$F$5)*(Table1[Execution Year]=$E$5)*(Table1[Most curent]=TRUE)),0)),"")</f>
        <v/>
      </c>
      <c r="BZ54" s="60" t="str">
        <f t="shared" si="29"/>
        <v/>
      </c>
      <c r="CA54" s="60" t="str">
        <f t="shared" si="30"/>
        <v/>
      </c>
      <c r="CB54" s="60" t="str">
        <f t="shared" si="57"/>
        <v/>
      </c>
    </row>
    <row r="55" spans="2:80" ht="15.6" thickTop="1" thickBot="1">
      <c r="B55" s="123"/>
      <c r="C55" s="71"/>
      <c r="D55" s="125"/>
      <c r="E55" s="35"/>
      <c r="F55" s="35"/>
      <c r="G55" s="36"/>
      <c r="H55" s="36"/>
      <c r="I55" s="36"/>
      <c r="J55" s="36">
        <f t="shared" si="31"/>
        <v>0</v>
      </c>
      <c r="K55" s="36">
        <f t="shared" si="27"/>
        <v>0</v>
      </c>
      <c r="L55" s="71"/>
      <c r="M55" s="71"/>
      <c r="N55" s="36" t="b">
        <f t="shared" si="28"/>
        <v>0</v>
      </c>
      <c r="O55" s="111"/>
      <c r="P55" s="36" t="b">
        <f t="shared" si="32"/>
        <v>0</v>
      </c>
      <c r="Q55" s="111"/>
      <c r="R55" s="36" t="b">
        <f t="shared" si="33"/>
        <v>0</v>
      </c>
      <c r="S55" s="111"/>
      <c r="T55" s="36" t="b">
        <f t="shared" si="34"/>
        <v>0</v>
      </c>
      <c r="U55" s="111"/>
      <c r="V55" s="36" t="b">
        <f t="shared" si="35"/>
        <v>0</v>
      </c>
      <c r="W55" s="111"/>
      <c r="X55" s="36" t="b">
        <f t="shared" si="36"/>
        <v>0</v>
      </c>
      <c r="Y55" s="111"/>
      <c r="Z55" s="36" t="b">
        <f t="shared" si="37"/>
        <v>0</v>
      </c>
      <c r="AA55" s="111"/>
      <c r="AB55" s="36" t="b">
        <f t="shared" si="38"/>
        <v>0</v>
      </c>
      <c r="AC55" s="111"/>
      <c r="AD55" s="36" t="b">
        <f t="shared" si="39"/>
        <v>0</v>
      </c>
      <c r="AE55" s="111"/>
      <c r="AF55" s="36" t="b">
        <f t="shared" si="40"/>
        <v>0</v>
      </c>
      <c r="AG55" s="111"/>
      <c r="AH55" s="36" t="b">
        <f t="shared" si="41"/>
        <v>0</v>
      </c>
      <c r="AI55" s="111"/>
      <c r="AJ55" s="36" t="b">
        <f t="shared" si="42"/>
        <v>0</v>
      </c>
      <c r="AK55" s="111"/>
      <c r="AL55" s="36" t="b">
        <f t="shared" si="43"/>
        <v>0</v>
      </c>
      <c r="AM55" s="111"/>
      <c r="AN55" s="36" t="b">
        <f t="shared" si="44"/>
        <v>0</v>
      </c>
      <c r="AO55" s="111"/>
      <c r="AP55" s="36" t="b">
        <f t="shared" si="45"/>
        <v>0</v>
      </c>
      <c r="AQ55" s="111"/>
      <c r="AR55" s="36" t="b">
        <f t="shared" si="46"/>
        <v>0</v>
      </c>
      <c r="AS55" s="111"/>
      <c r="AT55" s="36" t="b">
        <f t="shared" si="47"/>
        <v>0</v>
      </c>
      <c r="AU55" s="111"/>
      <c r="AV55" s="36" t="b">
        <f t="shared" si="48"/>
        <v>0</v>
      </c>
      <c r="AW55" s="111"/>
      <c r="AX55" s="36" t="b">
        <f t="shared" si="49"/>
        <v>0</v>
      </c>
      <c r="AY55" s="111"/>
      <c r="AZ55" s="36" t="b">
        <f t="shared" si="50"/>
        <v>0</v>
      </c>
      <c r="BA55" s="111"/>
      <c r="BB55" s="36" t="b">
        <f t="shared" si="51"/>
        <v>0</v>
      </c>
      <c r="BC55" s="111"/>
      <c r="BD55" s="36" t="b">
        <f t="shared" si="52"/>
        <v>0</v>
      </c>
      <c r="BE55" s="111"/>
      <c r="BF55" s="36" t="b">
        <f t="shared" si="53"/>
        <v>0</v>
      </c>
      <c r="BG55" s="111"/>
      <c r="BH55" s="36" t="b">
        <f t="shared" si="54"/>
        <v>0</v>
      </c>
      <c r="BI55" s="111"/>
      <c r="BJ55" s="36" t="b">
        <f t="shared" si="55"/>
        <v>0</v>
      </c>
      <c r="BK55" s="111"/>
      <c r="BL55" s="36" t="b">
        <f t="shared" si="56"/>
        <v>0</v>
      </c>
      <c r="BM55" s="111"/>
      <c r="BN55" s="36" t="b">
        <f t="shared" si="56"/>
        <v>0</v>
      </c>
      <c r="BO55" s="72"/>
      <c r="BV55" s="60" t="str" cm="1">
        <f t="array" ref="BV55">IFERROR(EOMONTH(EOMONTH(_xlfn._xlws.FILTER(Table1[Planned Start],(Table1[Category]=$E55)*(Table1[SBU]=$F$5)*(Table1[Execution Year]=$E$5)*(Table1[Most curent]=TRUE)),0)-45,0)+1,"")</f>
        <v/>
      </c>
      <c r="BW55" s="60" t="str" cm="1">
        <f t="array" ref="BW55">IFERROR(EOMONTH(_xlfn._xlws.FILTER(Table1[Planned Award],(Table1[Category]=$E55)*(Table1[SBU]=$F$5)*(Table1[Execution Year]=$E$5)*(Table1[Most curent]=TRUE)),0),"")</f>
        <v/>
      </c>
      <c r="BX55" s="60" t="str" cm="1">
        <f t="array" ref="BX55">IFERROR(EOMONTH(EOMONTH(_xlfn._xlws.FILTER(Table1[Current Phase End],(Table1[Category]=$E55)*(Table1[SBU]=$F$5)*(Table1[Execution Year]=$E$5)*(Table1[Most curent]=TRUE)),0)-45,0)+1,"")</f>
        <v/>
      </c>
      <c r="BY55" s="60" t="str" cm="1">
        <f t="array" ref="BY55">IFERROR(IF(EOMONTH(_xlfn._xlws.FILTER(Table1[Revised Award],(Table1[Category]=$E55)*(Table1[SBU]=$F$5)*(Table1[Execution Year]=$E$5)*(Table1[Most curent]=TRUE)),0)=31,"",EOMONTH(_xlfn._xlws.FILTER(Table1[Revised Award],(Table1[Category]=$E55)*(Table1[SBU]=$F$5)*(Table1[Execution Year]=$E$5)*(Table1[Most curent]=TRUE)),0)),"")</f>
        <v/>
      </c>
      <c r="BZ55" s="60" t="str">
        <f t="shared" si="29"/>
        <v/>
      </c>
      <c r="CA55" s="60" t="str">
        <f t="shared" si="30"/>
        <v/>
      </c>
      <c r="CB55" s="60" t="str">
        <f t="shared" si="57"/>
        <v/>
      </c>
    </row>
    <row r="56" spans="2:80" ht="15.6" thickTop="1" thickBot="1">
      <c r="B56" s="123"/>
      <c r="C56" s="71"/>
      <c r="D56" s="125"/>
      <c r="E56" s="35"/>
      <c r="F56" s="35"/>
      <c r="G56" s="36"/>
      <c r="H56" s="36"/>
      <c r="I56" s="36"/>
      <c r="J56" s="36">
        <f t="shared" si="31"/>
        <v>0</v>
      </c>
      <c r="K56" s="36">
        <f t="shared" si="27"/>
        <v>0</v>
      </c>
      <c r="L56" s="71"/>
      <c r="M56" s="71"/>
      <c r="N56" s="36" t="b">
        <f t="shared" si="28"/>
        <v>0</v>
      </c>
      <c r="O56" s="111"/>
      <c r="P56" s="36" t="b">
        <f t="shared" si="32"/>
        <v>0</v>
      </c>
      <c r="Q56" s="111"/>
      <c r="R56" s="36" t="b">
        <f t="shared" si="33"/>
        <v>0</v>
      </c>
      <c r="S56" s="111"/>
      <c r="T56" s="36" t="b">
        <f t="shared" si="34"/>
        <v>0</v>
      </c>
      <c r="U56" s="111"/>
      <c r="V56" s="36" t="b">
        <f t="shared" si="35"/>
        <v>0</v>
      </c>
      <c r="W56" s="111"/>
      <c r="X56" s="36" t="b">
        <f t="shared" si="36"/>
        <v>0</v>
      </c>
      <c r="Y56" s="111"/>
      <c r="Z56" s="36" t="b">
        <f t="shared" si="37"/>
        <v>0</v>
      </c>
      <c r="AA56" s="111"/>
      <c r="AB56" s="36" t="b">
        <f t="shared" si="38"/>
        <v>0</v>
      </c>
      <c r="AC56" s="111"/>
      <c r="AD56" s="36" t="b">
        <f t="shared" si="39"/>
        <v>0</v>
      </c>
      <c r="AE56" s="111"/>
      <c r="AF56" s="36" t="b">
        <f t="shared" si="40"/>
        <v>0</v>
      </c>
      <c r="AG56" s="111"/>
      <c r="AH56" s="36" t="b">
        <f t="shared" si="41"/>
        <v>0</v>
      </c>
      <c r="AI56" s="111"/>
      <c r="AJ56" s="36" t="b">
        <f t="shared" si="42"/>
        <v>0</v>
      </c>
      <c r="AK56" s="111"/>
      <c r="AL56" s="36" t="b">
        <f t="shared" si="43"/>
        <v>0</v>
      </c>
      <c r="AM56" s="111"/>
      <c r="AN56" s="36" t="b">
        <f t="shared" si="44"/>
        <v>0</v>
      </c>
      <c r="AO56" s="111"/>
      <c r="AP56" s="36" t="b">
        <f t="shared" si="45"/>
        <v>0</v>
      </c>
      <c r="AQ56" s="111"/>
      <c r="AR56" s="36" t="b">
        <f t="shared" si="46"/>
        <v>0</v>
      </c>
      <c r="AS56" s="111"/>
      <c r="AT56" s="36" t="b">
        <f t="shared" si="47"/>
        <v>0</v>
      </c>
      <c r="AU56" s="111"/>
      <c r="AV56" s="36" t="b">
        <f t="shared" si="48"/>
        <v>0</v>
      </c>
      <c r="AW56" s="111"/>
      <c r="AX56" s="36" t="b">
        <f t="shared" si="49"/>
        <v>0</v>
      </c>
      <c r="AY56" s="111"/>
      <c r="AZ56" s="36" t="b">
        <f t="shared" si="50"/>
        <v>0</v>
      </c>
      <c r="BA56" s="111"/>
      <c r="BB56" s="36" t="b">
        <f t="shared" si="51"/>
        <v>0</v>
      </c>
      <c r="BC56" s="111"/>
      <c r="BD56" s="36" t="b">
        <f t="shared" si="52"/>
        <v>0</v>
      </c>
      <c r="BE56" s="111"/>
      <c r="BF56" s="36" t="b">
        <f t="shared" si="53"/>
        <v>0</v>
      </c>
      <c r="BG56" s="111"/>
      <c r="BH56" s="36" t="b">
        <f t="shared" si="54"/>
        <v>0</v>
      </c>
      <c r="BI56" s="111"/>
      <c r="BJ56" s="36" t="b">
        <f t="shared" si="55"/>
        <v>0</v>
      </c>
      <c r="BK56" s="111"/>
      <c r="BL56" s="36" t="b">
        <f t="shared" si="56"/>
        <v>0</v>
      </c>
      <c r="BM56" s="111"/>
      <c r="BN56" s="36" t="b">
        <f t="shared" si="56"/>
        <v>0</v>
      </c>
      <c r="BO56" s="72"/>
      <c r="BV56" s="60" t="str" cm="1">
        <f t="array" ref="BV56">IFERROR(EOMONTH(EOMONTH(_xlfn._xlws.FILTER(Table1[Planned Start],(Table1[Category]=$E56)*(Table1[SBU]=$F$5)*(Table1[Execution Year]=$E$5)*(Table1[Most curent]=TRUE)),0)-45,0)+1,"")</f>
        <v/>
      </c>
      <c r="BW56" s="60" t="str" cm="1">
        <f t="array" ref="BW56">IFERROR(EOMONTH(_xlfn._xlws.FILTER(Table1[Planned Award],(Table1[Category]=$E56)*(Table1[SBU]=$F$5)*(Table1[Execution Year]=$E$5)*(Table1[Most curent]=TRUE)),0),"")</f>
        <v/>
      </c>
      <c r="BX56" s="60" t="str" cm="1">
        <f t="array" ref="BX56">IFERROR(EOMONTH(EOMONTH(_xlfn._xlws.FILTER(Table1[Current Phase End],(Table1[Category]=$E56)*(Table1[SBU]=$F$5)*(Table1[Execution Year]=$E$5)*(Table1[Most curent]=TRUE)),0)-45,0)+1,"")</f>
        <v/>
      </c>
      <c r="BY56" s="60" t="str" cm="1">
        <f t="array" ref="BY56">IFERROR(IF(EOMONTH(_xlfn._xlws.FILTER(Table1[Revised Award],(Table1[Category]=$E56)*(Table1[SBU]=$F$5)*(Table1[Execution Year]=$E$5)*(Table1[Most curent]=TRUE)),0)=31,"",EOMONTH(_xlfn._xlws.FILTER(Table1[Revised Award],(Table1[Category]=$E56)*(Table1[SBU]=$F$5)*(Table1[Execution Year]=$E$5)*(Table1[Most curent]=TRUE)),0)),"")</f>
        <v/>
      </c>
      <c r="BZ56" s="60" t="str">
        <f t="shared" si="29"/>
        <v/>
      </c>
      <c r="CA56" s="60" t="str">
        <f t="shared" si="30"/>
        <v/>
      </c>
      <c r="CB56" s="60" t="str">
        <f t="shared" si="57"/>
        <v/>
      </c>
    </row>
    <row r="57" spans="2:80" ht="15.6" thickTop="1" thickBot="1">
      <c r="B57" s="123"/>
      <c r="C57" s="71"/>
      <c r="D57" s="125"/>
      <c r="E57" s="35"/>
      <c r="F57" s="35"/>
      <c r="G57" s="36"/>
      <c r="H57" s="36"/>
      <c r="I57" s="36"/>
      <c r="J57" s="36">
        <f t="shared" si="31"/>
        <v>0</v>
      </c>
      <c r="K57" s="36">
        <f t="shared" si="27"/>
        <v>0</v>
      </c>
      <c r="L57" s="71"/>
      <c r="M57" s="71"/>
      <c r="N57" s="36" t="b">
        <f t="shared" si="28"/>
        <v>0</v>
      </c>
      <c r="O57" s="111"/>
      <c r="P57" s="36" t="b">
        <f t="shared" si="32"/>
        <v>0</v>
      </c>
      <c r="Q57" s="111"/>
      <c r="R57" s="36" t="b">
        <f t="shared" si="33"/>
        <v>0</v>
      </c>
      <c r="S57" s="111"/>
      <c r="T57" s="36" t="b">
        <f t="shared" si="34"/>
        <v>0</v>
      </c>
      <c r="U57" s="111"/>
      <c r="V57" s="36" t="b">
        <f t="shared" si="35"/>
        <v>0</v>
      </c>
      <c r="W57" s="111"/>
      <c r="X57" s="36" t="b">
        <f t="shared" si="36"/>
        <v>0</v>
      </c>
      <c r="Y57" s="111"/>
      <c r="Z57" s="36" t="b">
        <f t="shared" si="37"/>
        <v>0</v>
      </c>
      <c r="AA57" s="111"/>
      <c r="AB57" s="36" t="b">
        <f t="shared" si="38"/>
        <v>0</v>
      </c>
      <c r="AC57" s="111"/>
      <c r="AD57" s="36" t="b">
        <f t="shared" si="39"/>
        <v>0</v>
      </c>
      <c r="AE57" s="111"/>
      <c r="AF57" s="36" t="b">
        <f t="shared" si="40"/>
        <v>0</v>
      </c>
      <c r="AG57" s="111"/>
      <c r="AH57" s="36" t="b">
        <f t="shared" si="41"/>
        <v>0</v>
      </c>
      <c r="AI57" s="111"/>
      <c r="AJ57" s="36" t="b">
        <f t="shared" si="42"/>
        <v>0</v>
      </c>
      <c r="AK57" s="111"/>
      <c r="AL57" s="36" t="b">
        <f t="shared" si="43"/>
        <v>0</v>
      </c>
      <c r="AM57" s="111"/>
      <c r="AN57" s="36" t="b">
        <f t="shared" si="44"/>
        <v>0</v>
      </c>
      <c r="AO57" s="111"/>
      <c r="AP57" s="36" t="b">
        <f t="shared" si="45"/>
        <v>0</v>
      </c>
      <c r="AQ57" s="111"/>
      <c r="AR57" s="36" t="b">
        <f t="shared" si="46"/>
        <v>0</v>
      </c>
      <c r="AS57" s="111"/>
      <c r="AT57" s="36" t="b">
        <f t="shared" si="47"/>
        <v>0</v>
      </c>
      <c r="AU57" s="111"/>
      <c r="AV57" s="36" t="b">
        <f t="shared" si="48"/>
        <v>0</v>
      </c>
      <c r="AW57" s="111"/>
      <c r="AX57" s="36" t="b">
        <f t="shared" si="49"/>
        <v>0</v>
      </c>
      <c r="AY57" s="111"/>
      <c r="AZ57" s="36" t="b">
        <f t="shared" si="50"/>
        <v>0</v>
      </c>
      <c r="BA57" s="111"/>
      <c r="BB57" s="36" t="b">
        <f t="shared" si="51"/>
        <v>0</v>
      </c>
      <c r="BC57" s="111"/>
      <c r="BD57" s="36" t="b">
        <f t="shared" si="52"/>
        <v>0</v>
      </c>
      <c r="BE57" s="111"/>
      <c r="BF57" s="36" t="b">
        <f t="shared" si="53"/>
        <v>0</v>
      </c>
      <c r="BG57" s="111"/>
      <c r="BH57" s="36" t="b">
        <f t="shared" si="54"/>
        <v>0</v>
      </c>
      <c r="BI57" s="111"/>
      <c r="BJ57" s="36" t="b">
        <f t="shared" si="55"/>
        <v>0</v>
      </c>
      <c r="BK57" s="111"/>
      <c r="BL57" s="36" t="b">
        <f t="shared" si="56"/>
        <v>0</v>
      </c>
      <c r="BM57" s="111"/>
      <c r="BN57" s="36" t="b">
        <f t="shared" si="56"/>
        <v>0</v>
      </c>
      <c r="BO57" s="72"/>
      <c r="BV57" s="60" t="str" cm="1">
        <f t="array" ref="BV57">IFERROR(EOMONTH(EOMONTH(_xlfn._xlws.FILTER(Table1[Planned Start],(Table1[Category]=$E57)*(Table1[SBU]=$F$5)*(Table1[Execution Year]=$E$5)*(Table1[Most curent]=TRUE)),0)-45,0)+1,"")</f>
        <v/>
      </c>
      <c r="BW57" s="60" t="str" cm="1">
        <f t="array" ref="BW57">IFERROR(EOMONTH(_xlfn._xlws.FILTER(Table1[Planned Award],(Table1[Category]=$E57)*(Table1[SBU]=$F$5)*(Table1[Execution Year]=$E$5)*(Table1[Most curent]=TRUE)),0),"")</f>
        <v/>
      </c>
      <c r="BX57" s="60" t="str" cm="1">
        <f t="array" ref="BX57">IFERROR(EOMONTH(EOMONTH(_xlfn._xlws.FILTER(Table1[Current Phase End],(Table1[Category]=$E57)*(Table1[SBU]=$F$5)*(Table1[Execution Year]=$E$5)*(Table1[Most curent]=TRUE)),0)-45,0)+1,"")</f>
        <v/>
      </c>
      <c r="BY57" s="60" t="str" cm="1">
        <f t="array" ref="BY57">IFERROR(IF(EOMONTH(_xlfn._xlws.FILTER(Table1[Revised Award],(Table1[Category]=$E57)*(Table1[SBU]=$F$5)*(Table1[Execution Year]=$E$5)*(Table1[Most curent]=TRUE)),0)=31,"",EOMONTH(_xlfn._xlws.FILTER(Table1[Revised Award],(Table1[Category]=$E57)*(Table1[SBU]=$F$5)*(Table1[Execution Year]=$E$5)*(Table1[Most curent]=TRUE)),0)),"")</f>
        <v/>
      </c>
      <c r="BZ57" s="60" t="str">
        <f t="shared" si="29"/>
        <v/>
      </c>
      <c r="CA57" s="60" t="str">
        <f t="shared" si="30"/>
        <v/>
      </c>
      <c r="CB57" s="60" t="str">
        <f t="shared" si="57"/>
        <v/>
      </c>
    </row>
    <row r="58" spans="2:80" ht="15.6" thickTop="1" thickBot="1">
      <c r="B58" s="123"/>
      <c r="C58" s="71"/>
      <c r="D58" s="125"/>
      <c r="E58" s="35"/>
      <c r="F58" s="35"/>
      <c r="G58" s="36"/>
      <c r="H58" s="36"/>
      <c r="I58" s="36"/>
      <c r="J58" s="36">
        <f t="shared" si="31"/>
        <v>0</v>
      </c>
      <c r="K58" s="36">
        <f t="shared" si="27"/>
        <v>0</v>
      </c>
      <c r="L58" s="71"/>
      <c r="M58" s="71"/>
      <c r="N58" s="36" t="b">
        <f t="shared" si="28"/>
        <v>0</v>
      </c>
      <c r="O58" s="111"/>
      <c r="P58" s="36" t="b">
        <f t="shared" si="32"/>
        <v>0</v>
      </c>
      <c r="Q58" s="111"/>
      <c r="R58" s="36" t="b">
        <f t="shared" si="33"/>
        <v>0</v>
      </c>
      <c r="S58" s="111"/>
      <c r="T58" s="36" t="b">
        <f t="shared" si="34"/>
        <v>0</v>
      </c>
      <c r="U58" s="111"/>
      <c r="V58" s="36" t="b">
        <f t="shared" si="35"/>
        <v>0</v>
      </c>
      <c r="W58" s="111"/>
      <c r="X58" s="36" t="b">
        <f t="shared" si="36"/>
        <v>0</v>
      </c>
      <c r="Y58" s="111"/>
      <c r="Z58" s="36" t="b">
        <f t="shared" si="37"/>
        <v>0</v>
      </c>
      <c r="AA58" s="111"/>
      <c r="AB58" s="36" t="b">
        <f t="shared" si="38"/>
        <v>0</v>
      </c>
      <c r="AC58" s="111"/>
      <c r="AD58" s="36" t="b">
        <f t="shared" si="39"/>
        <v>0</v>
      </c>
      <c r="AE58" s="111"/>
      <c r="AF58" s="36" t="b">
        <f t="shared" si="40"/>
        <v>0</v>
      </c>
      <c r="AG58" s="111"/>
      <c r="AH58" s="36" t="b">
        <f t="shared" si="41"/>
        <v>0</v>
      </c>
      <c r="AI58" s="111"/>
      <c r="AJ58" s="36" t="b">
        <f t="shared" si="42"/>
        <v>0</v>
      </c>
      <c r="AK58" s="111"/>
      <c r="AL58" s="36" t="b">
        <f t="shared" si="43"/>
        <v>0</v>
      </c>
      <c r="AM58" s="111"/>
      <c r="AN58" s="36" t="b">
        <f t="shared" si="44"/>
        <v>0</v>
      </c>
      <c r="AO58" s="111"/>
      <c r="AP58" s="36" t="b">
        <f t="shared" si="45"/>
        <v>0</v>
      </c>
      <c r="AQ58" s="111"/>
      <c r="AR58" s="36" t="b">
        <f t="shared" si="46"/>
        <v>0</v>
      </c>
      <c r="AS58" s="111"/>
      <c r="AT58" s="36" t="b">
        <f t="shared" si="47"/>
        <v>0</v>
      </c>
      <c r="AU58" s="111"/>
      <c r="AV58" s="36" t="b">
        <f t="shared" si="48"/>
        <v>0</v>
      </c>
      <c r="AW58" s="111"/>
      <c r="AX58" s="36" t="b">
        <f t="shared" si="49"/>
        <v>0</v>
      </c>
      <c r="AY58" s="111"/>
      <c r="AZ58" s="36" t="b">
        <f t="shared" si="50"/>
        <v>0</v>
      </c>
      <c r="BA58" s="111"/>
      <c r="BB58" s="36" t="b">
        <f t="shared" si="51"/>
        <v>0</v>
      </c>
      <c r="BC58" s="111"/>
      <c r="BD58" s="36" t="b">
        <f t="shared" si="52"/>
        <v>0</v>
      </c>
      <c r="BE58" s="111"/>
      <c r="BF58" s="36" t="b">
        <f t="shared" si="53"/>
        <v>0</v>
      </c>
      <c r="BG58" s="111"/>
      <c r="BH58" s="36" t="b">
        <f t="shared" si="54"/>
        <v>0</v>
      </c>
      <c r="BI58" s="111"/>
      <c r="BJ58" s="36" t="b">
        <f t="shared" si="55"/>
        <v>0</v>
      </c>
      <c r="BK58" s="111"/>
      <c r="BL58" s="36" t="b">
        <f t="shared" si="56"/>
        <v>0</v>
      </c>
      <c r="BM58" s="111"/>
      <c r="BN58" s="36" t="b">
        <f t="shared" si="56"/>
        <v>0</v>
      </c>
      <c r="BO58" s="72"/>
      <c r="BV58" s="60" t="str" cm="1">
        <f t="array" ref="BV58">IFERROR(EOMONTH(EOMONTH(_xlfn._xlws.FILTER(Table1[Planned Start],(Table1[Category]=$E58)*(Table1[SBU]=$F$5)*(Table1[Execution Year]=$E$5)*(Table1[Most curent]=TRUE)),0)-45,0)+1,"")</f>
        <v/>
      </c>
      <c r="BW58" s="60" t="str" cm="1">
        <f t="array" ref="BW58">IFERROR(EOMONTH(_xlfn._xlws.FILTER(Table1[Planned Award],(Table1[Category]=$E58)*(Table1[SBU]=$F$5)*(Table1[Execution Year]=$E$5)*(Table1[Most curent]=TRUE)),0),"")</f>
        <v/>
      </c>
      <c r="BX58" s="60" t="str" cm="1">
        <f t="array" ref="BX58">IFERROR(EOMONTH(EOMONTH(_xlfn._xlws.FILTER(Table1[Current Phase End],(Table1[Category]=$E58)*(Table1[SBU]=$F$5)*(Table1[Execution Year]=$E$5)*(Table1[Most curent]=TRUE)),0)-45,0)+1,"")</f>
        <v/>
      </c>
      <c r="BY58" s="60" t="str" cm="1">
        <f t="array" ref="BY58">IFERROR(IF(EOMONTH(_xlfn._xlws.FILTER(Table1[Revised Award],(Table1[Category]=$E58)*(Table1[SBU]=$F$5)*(Table1[Execution Year]=$E$5)*(Table1[Most curent]=TRUE)),0)=31,"",EOMONTH(_xlfn._xlws.FILTER(Table1[Revised Award],(Table1[Category]=$E58)*(Table1[SBU]=$F$5)*(Table1[Execution Year]=$E$5)*(Table1[Most curent]=TRUE)),0)),"")</f>
        <v/>
      </c>
      <c r="BZ58" s="60" t="str">
        <f t="shared" si="29"/>
        <v/>
      </c>
      <c r="CA58" s="60" t="str">
        <f t="shared" si="30"/>
        <v/>
      </c>
      <c r="CB58" s="60" t="str">
        <f t="shared" si="57"/>
        <v/>
      </c>
    </row>
    <row r="59" spans="2:80" ht="15.6" thickTop="1" thickBot="1">
      <c r="B59" s="123"/>
      <c r="C59" s="71"/>
      <c r="D59" s="125"/>
      <c r="E59" s="35"/>
      <c r="F59" s="35"/>
      <c r="G59" s="36"/>
      <c r="H59" s="36"/>
      <c r="I59" s="36"/>
      <c r="J59" s="36">
        <f t="shared" si="31"/>
        <v>0</v>
      </c>
      <c r="K59" s="36">
        <f t="shared" si="27"/>
        <v>0</v>
      </c>
      <c r="L59" s="71"/>
      <c r="M59" s="71"/>
      <c r="N59" s="36" t="b">
        <f t="shared" si="28"/>
        <v>0</v>
      </c>
      <c r="O59" s="111"/>
      <c r="P59" s="36" t="b">
        <f t="shared" si="32"/>
        <v>0</v>
      </c>
      <c r="Q59" s="111"/>
      <c r="R59" s="36" t="b">
        <f t="shared" si="33"/>
        <v>0</v>
      </c>
      <c r="S59" s="111"/>
      <c r="T59" s="36" t="b">
        <f t="shared" si="34"/>
        <v>0</v>
      </c>
      <c r="U59" s="111"/>
      <c r="V59" s="36" t="b">
        <f t="shared" si="35"/>
        <v>0</v>
      </c>
      <c r="W59" s="111"/>
      <c r="X59" s="36" t="b">
        <f t="shared" si="36"/>
        <v>0</v>
      </c>
      <c r="Y59" s="111"/>
      <c r="Z59" s="36" t="b">
        <f t="shared" si="37"/>
        <v>0</v>
      </c>
      <c r="AA59" s="111"/>
      <c r="AB59" s="36" t="b">
        <f t="shared" si="38"/>
        <v>0</v>
      </c>
      <c r="AC59" s="111"/>
      <c r="AD59" s="36" t="b">
        <f t="shared" si="39"/>
        <v>0</v>
      </c>
      <c r="AE59" s="111"/>
      <c r="AF59" s="36" t="b">
        <f t="shared" si="40"/>
        <v>0</v>
      </c>
      <c r="AG59" s="111"/>
      <c r="AH59" s="36" t="b">
        <f t="shared" si="41"/>
        <v>0</v>
      </c>
      <c r="AI59" s="111"/>
      <c r="AJ59" s="36" t="b">
        <f t="shared" si="42"/>
        <v>0</v>
      </c>
      <c r="AK59" s="111"/>
      <c r="AL59" s="36" t="b">
        <f t="shared" si="43"/>
        <v>0</v>
      </c>
      <c r="AM59" s="111"/>
      <c r="AN59" s="36" t="b">
        <f t="shared" si="44"/>
        <v>0</v>
      </c>
      <c r="AO59" s="111"/>
      <c r="AP59" s="36" t="b">
        <f t="shared" si="45"/>
        <v>0</v>
      </c>
      <c r="AQ59" s="111"/>
      <c r="AR59" s="36" t="b">
        <f t="shared" si="46"/>
        <v>0</v>
      </c>
      <c r="AS59" s="111"/>
      <c r="AT59" s="36" t="b">
        <f t="shared" si="47"/>
        <v>0</v>
      </c>
      <c r="AU59" s="111"/>
      <c r="AV59" s="36" t="b">
        <f t="shared" si="48"/>
        <v>0</v>
      </c>
      <c r="AW59" s="111"/>
      <c r="AX59" s="36" t="b">
        <f t="shared" si="49"/>
        <v>0</v>
      </c>
      <c r="AY59" s="111"/>
      <c r="AZ59" s="36" t="b">
        <f t="shared" si="50"/>
        <v>0</v>
      </c>
      <c r="BA59" s="111"/>
      <c r="BB59" s="36" t="b">
        <f t="shared" si="51"/>
        <v>0</v>
      </c>
      <c r="BC59" s="111"/>
      <c r="BD59" s="36" t="b">
        <f t="shared" si="52"/>
        <v>0</v>
      </c>
      <c r="BE59" s="111"/>
      <c r="BF59" s="36" t="b">
        <f t="shared" si="53"/>
        <v>0</v>
      </c>
      <c r="BG59" s="111"/>
      <c r="BH59" s="36" t="b">
        <f t="shared" si="54"/>
        <v>0</v>
      </c>
      <c r="BI59" s="111"/>
      <c r="BJ59" s="36" t="b">
        <f t="shared" si="55"/>
        <v>0</v>
      </c>
      <c r="BK59" s="111"/>
      <c r="BL59" s="36" t="b">
        <f t="shared" si="56"/>
        <v>0</v>
      </c>
      <c r="BM59" s="111"/>
      <c r="BN59" s="36" t="b">
        <f t="shared" si="56"/>
        <v>0</v>
      </c>
      <c r="BO59" s="72"/>
      <c r="BV59" s="60" t="str" cm="1">
        <f t="array" ref="BV59">IFERROR(EOMONTH(EOMONTH(_xlfn._xlws.FILTER(Table1[Planned Start],(Table1[Category]=$E59)*(Table1[SBU]=$F$5)*(Table1[Execution Year]=$E$5)*(Table1[Most curent]=TRUE)),0)-45,0)+1,"")</f>
        <v/>
      </c>
      <c r="BW59" s="60" t="str" cm="1">
        <f t="array" ref="BW59">IFERROR(EOMONTH(_xlfn._xlws.FILTER(Table1[Planned Award],(Table1[Category]=$E59)*(Table1[SBU]=$F$5)*(Table1[Execution Year]=$E$5)*(Table1[Most curent]=TRUE)),0),"")</f>
        <v/>
      </c>
      <c r="BX59" s="60" t="str" cm="1">
        <f t="array" ref="BX59">IFERROR(EOMONTH(EOMONTH(_xlfn._xlws.FILTER(Table1[Current Phase End],(Table1[Category]=$E59)*(Table1[SBU]=$F$5)*(Table1[Execution Year]=$E$5)*(Table1[Most curent]=TRUE)),0)-45,0)+1,"")</f>
        <v/>
      </c>
      <c r="BY59" s="60" t="str" cm="1">
        <f t="array" ref="BY59">IFERROR(IF(EOMONTH(_xlfn._xlws.FILTER(Table1[Revised Award],(Table1[Category]=$E59)*(Table1[SBU]=$F$5)*(Table1[Execution Year]=$E$5)*(Table1[Most curent]=TRUE)),0)=31,"",EOMONTH(_xlfn._xlws.FILTER(Table1[Revised Award],(Table1[Category]=$E59)*(Table1[SBU]=$F$5)*(Table1[Execution Year]=$E$5)*(Table1[Most curent]=TRUE)),0)),"")</f>
        <v/>
      </c>
      <c r="BZ59" s="60" t="str">
        <f t="shared" si="29"/>
        <v/>
      </c>
      <c r="CA59" s="60" t="str">
        <f t="shared" si="30"/>
        <v/>
      </c>
      <c r="CB59" s="60" t="str">
        <f t="shared" si="57"/>
        <v/>
      </c>
    </row>
    <row r="60" spans="2:80" ht="15" thickTop="1">
      <c r="B60" s="123"/>
      <c r="C60" s="71"/>
      <c r="D60" s="71"/>
      <c r="E60" s="71"/>
      <c r="F60" s="71"/>
      <c r="G60" s="71"/>
      <c r="H60" s="71"/>
      <c r="I60" s="71"/>
      <c r="J60" s="71"/>
      <c r="K60" s="71"/>
      <c r="L60" s="71"/>
      <c r="M60" s="71"/>
      <c r="N60" s="71"/>
      <c r="O60" s="71"/>
      <c r="P60" s="71"/>
      <c r="Q60" s="71"/>
      <c r="R60" s="71"/>
      <c r="S60" s="71"/>
      <c r="T60" s="71"/>
      <c r="U60" s="71"/>
      <c r="V60" s="71"/>
      <c r="W60" s="71"/>
      <c r="X60" s="71"/>
      <c r="Y60" s="71"/>
      <c r="Z60" s="71"/>
      <c r="AA60" s="71"/>
      <c r="AB60" s="71"/>
      <c r="AC60" s="71"/>
      <c r="AD60" s="71"/>
      <c r="AE60" s="71"/>
      <c r="AF60" s="71"/>
      <c r="AG60" s="71"/>
      <c r="AH60" s="71"/>
      <c r="AI60" s="71"/>
      <c r="AJ60" s="71"/>
      <c r="AK60" s="71"/>
      <c r="AL60" s="71"/>
      <c r="AM60" s="71"/>
      <c r="AN60" s="71"/>
      <c r="AO60" s="71"/>
      <c r="AP60" s="71"/>
      <c r="AQ60" s="71"/>
      <c r="AR60" s="71"/>
      <c r="AS60" s="71"/>
      <c r="AT60" s="71"/>
      <c r="AU60" s="71"/>
      <c r="AV60" s="71"/>
      <c r="AW60" s="71"/>
      <c r="AX60" s="71"/>
      <c r="AY60" s="71"/>
      <c r="AZ60" s="71"/>
      <c r="BA60" s="71"/>
      <c r="BB60" s="71"/>
      <c r="BC60" s="71"/>
      <c r="BD60" s="71"/>
      <c r="BE60" s="71"/>
      <c r="BF60" s="71"/>
      <c r="BG60" s="71"/>
      <c r="BH60" s="71"/>
      <c r="BI60" s="71"/>
      <c r="BJ60" s="71"/>
      <c r="BK60" s="71"/>
      <c r="BL60" s="71"/>
      <c r="BM60" s="71"/>
      <c r="BN60" s="71"/>
      <c r="BO60" s="72"/>
    </row>
    <row r="61" spans="2:80">
      <c r="B61" s="126" t="e">
        <v>#REF!</v>
      </c>
      <c r="C61" s="118" t="e">
        <v>#REF!</v>
      </c>
      <c r="D61" s="118" t="e">
        <v>#REF!</v>
      </c>
      <c r="E61" s="118" t="e">
        <v>#REF!</v>
      </c>
      <c r="F61" s="118"/>
      <c r="G61" s="118"/>
      <c r="H61" s="118"/>
      <c r="I61" s="118"/>
      <c r="J61" s="118"/>
      <c r="K61" s="118"/>
      <c r="L61" s="118"/>
      <c r="M61" s="118"/>
      <c r="N61" s="118"/>
      <c r="O61" s="118"/>
      <c r="P61" s="118"/>
      <c r="Q61" s="118"/>
      <c r="R61" s="118"/>
      <c r="S61" s="118"/>
      <c r="T61" s="118"/>
      <c r="U61" s="118"/>
      <c r="V61" s="118"/>
      <c r="W61" s="118"/>
      <c r="X61" s="118"/>
      <c r="Y61" s="118"/>
      <c r="Z61" s="118"/>
      <c r="AA61" s="118"/>
      <c r="AB61" s="118"/>
      <c r="AC61" s="118"/>
      <c r="AD61" s="118"/>
      <c r="AE61" s="118"/>
      <c r="AF61" s="118"/>
      <c r="AG61" s="118"/>
      <c r="AH61" s="118"/>
      <c r="AI61" s="118"/>
      <c r="AJ61" s="118"/>
      <c r="AK61" s="118"/>
      <c r="AL61" s="118"/>
      <c r="AM61" s="118"/>
      <c r="AN61" s="118"/>
      <c r="AO61" s="118"/>
      <c r="AP61" s="118"/>
      <c r="AQ61" s="118"/>
      <c r="AR61" s="118"/>
      <c r="AS61" s="118"/>
      <c r="AT61" s="118"/>
      <c r="AU61" s="118"/>
      <c r="AV61" s="118"/>
      <c r="AW61" s="118"/>
      <c r="AX61" s="118"/>
      <c r="AY61" s="118"/>
      <c r="AZ61" s="118"/>
      <c r="BA61" s="118"/>
      <c r="BB61" s="118"/>
      <c r="BO61" s="23"/>
    </row>
    <row r="62" spans="2:80">
      <c r="B62" s="24"/>
      <c r="D62" s="127"/>
      <c r="E62" s="127"/>
      <c r="F62" s="127"/>
      <c r="G62" s="127"/>
      <c r="H62" s="127"/>
      <c r="I62" s="127"/>
      <c r="J62" s="127"/>
      <c r="K62" s="127"/>
      <c r="L62" s="127"/>
      <c r="M62" s="127"/>
      <c r="N62" s="127"/>
      <c r="O62" s="127"/>
      <c r="P62" s="127"/>
      <c r="Q62" s="127"/>
      <c r="R62" s="127"/>
      <c r="S62" s="127"/>
      <c r="T62" s="127"/>
      <c r="U62" s="127"/>
      <c r="V62" s="127"/>
      <c r="W62" s="128"/>
      <c r="X62" s="127"/>
      <c r="Y62" s="127"/>
      <c r="Z62" s="127"/>
      <c r="AA62" s="127"/>
      <c r="AB62" s="127"/>
      <c r="AC62" s="127"/>
      <c r="AD62" s="127"/>
      <c r="AE62" s="127"/>
      <c r="AF62" s="128" t="s">
        <v>369</v>
      </c>
      <c r="AG62" s="127"/>
      <c r="AH62" s="127"/>
      <c r="AI62" s="127"/>
      <c r="AJ62" s="127"/>
      <c r="AK62" s="127"/>
      <c r="AL62" s="127"/>
      <c r="AM62" s="127"/>
      <c r="AN62" s="127"/>
      <c r="AO62" s="127"/>
      <c r="AP62" s="127"/>
      <c r="AQ62" s="127"/>
      <c r="AR62" s="127"/>
      <c r="AS62" s="127"/>
      <c r="AT62" s="127"/>
      <c r="AU62" s="127"/>
      <c r="AV62" s="127"/>
      <c r="AW62" s="127"/>
      <c r="AX62" s="127"/>
      <c r="AY62" s="127"/>
      <c r="AZ62" s="127"/>
      <c r="BA62" s="127"/>
      <c r="BB62" s="127"/>
      <c r="BO62" s="23"/>
    </row>
    <row r="63" spans="2:80">
      <c r="B63" s="24"/>
      <c r="G63" s="18"/>
      <c r="H63" s="18"/>
      <c r="I63" s="18"/>
      <c r="K63" s="18"/>
      <c r="L63" s="18"/>
      <c r="N63" s="129"/>
      <c r="O63" s="18"/>
      <c r="P63" s="129"/>
      <c r="Q63" s="18"/>
      <c r="R63" s="129"/>
      <c r="S63" s="18"/>
      <c r="T63" s="129"/>
      <c r="U63" s="18"/>
      <c r="V63" s="129"/>
      <c r="W63" s="18"/>
      <c r="X63" s="129"/>
      <c r="Y63" s="18"/>
      <c r="Z63" s="129"/>
      <c r="AA63" s="18"/>
      <c r="AB63" s="129"/>
      <c r="AC63" s="18"/>
      <c r="AD63" s="129"/>
      <c r="AE63" s="18"/>
      <c r="AF63" s="129"/>
      <c r="AG63" s="18"/>
      <c r="AH63" s="129"/>
      <c r="AI63" s="18"/>
      <c r="AJ63" s="129"/>
      <c r="AK63" s="18"/>
      <c r="AL63" s="129"/>
      <c r="AM63" s="18"/>
      <c r="AN63" s="129"/>
      <c r="AO63" s="18"/>
      <c r="AP63" s="129"/>
      <c r="AQ63" s="18"/>
      <c r="AR63" s="129"/>
      <c r="AS63" s="18"/>
      <c r="AT63" s="129"/>
      <c r="AU63" s="18"/>
      <c r="AV63" s="129"/>
      <c r="AW63" s="18"/>
      <c r="AX63" s="18"/>
      <c r="AY63" s="18"/>
      <c r="AZ63" s="18"/>
      <c r="BA63" s="18"/>
      <c r="BB63" s="18"/>
      <c r="BO63" s="23"/>
    </row>
    <row r="64" spans="2:80">
      <c r="B64" s="24"/>
      <c r="E64" s="38"/>
      <c r="F64" s="39"/>
      <c r="G64" s="40"/>
      <c r="H64" s="40"/>
      <c r="I64" s="40"/>
      <c r="J64" s="39"/>
      <c r="K64" s="40"/>
      <c r="L64" s="40"/>
      <c r="M64" s="39"/>
      <c r="N64" s="41"/>
      <c r="O64" s="40"/>
      <c r="P64" s="41"/>
      <c r="Q64" s="40"/>
      <c r="R64" s="41"/>
      <c r="S64" s="40"/>
      <c r="T64" s="41"/>
      <c r="U64" s="40"/>
      <c r="V64" s="41"/>
      <c r="W64" s="40"/>
      <c r="X64" s="41"/>
      <c r="Y64" s="40"/>
      <c r="Z64" s="41"/>
      <c r="AA64" s="40"/>
      <c r="AB64" s="41"/>
      <c r="AC64" s="40"/>
      <c r="AD64" s="41"/>
      <c r="AE64" s="40"/>
      <c r="AF64" s="39"/>
      <c r="AG64" s="39"/>
      <c r="AH64" s="39"/>
      <c r="AI64" s="39"/>
      <c r="AJ64" s="39"/>
      <c r="AK64" s="39"/>
      <c r="AL64" s="39"/>
      <c r="AM64" s="39"/>
      <c r="AN64" s="39"/>
      <c r="AO64" s="39"/>
      <c r="AP64" s="39"/>
      <c r="AQ64" s="39"/>
      <c r="AR64" s="39"/>
      <c r="AS64" s="39"/>
      <c r="AT64" s="39"/>
      <c r="AU64" s="39"/>
      <c r="AV64" s="39"/>
      <c r="AW64" s="39"/>
      <c r="AX64" s="39"/>
      <c r="AY64" s="39"/>
      <c r="AZ64" s="39"/>
      <c r="BA64" s="39"/>
      <c r="BB64" s="42"/>
      <c r="BO64" s="23"/>
    </row>
    <row r="65" spans="2:67">
      <c r="B65" s="24"/>
      <c r="E65" s="43"/>
      <c r="F65" s="130"/>
      <c r="G65" s="130"/>
      <c r="H65" s="44">
        <f>SUM(H10:H59)</f>
        <v>0</v>
      </c>
      <c r="I65" s="44">
        <f>SUM(I10:I59)</f>
        <v>0</v>
      </c>
      <c r="J65" s="44">
        <f>SUM(J10:J59)</f>
        <v>0</v>
      </c>
      <c r="K65" s="132"/>
      <c r="L65" s="132"/>
      <c r="M65" s="132"/>
      <c r="N65" s="132"/>
      <c r="O65" s="131"/>
      <c r="P65" s="132"/>
      <c r="Q65" s="131"/>
      <c r="R65" s="130" t="s">
        <v>370</v>
      </c>
      <c r="S65" s="131"/>
      <c r="T65" s="132"/>
      <c r="U65" s="131"/>
      <c r="V65" s="132"/>
      <c r="W65" s="131"/>
      <c r="X65" s="132"/>
      <c r="Y65" s="131"/>
      <c r="Z65" s="130"/>
      <c r="AA65" s="131"/>
      <c r="AB65" s="132"/>
      <c r="AC65" s="131"/>
      <c r="AD65" s="132"/>
      <c r="AE65" s="131"/>
      <c r="AF65" s="131"/>
      <c r="AG65" s="131"/>
      <c r="AH65" s="131"/>
      <c r="AI65" s="131"/>
      <c r="AJ65" s="131"/>
      <c r="AK65" s="131"/>
      <c r="AL65" s="131"/>
      <c r="AM65" s="131"/>
      <c r="AN65" s="131"/>
      <c r="AO65" s="131"/>
      <c r="AP65" s="131"/>
      <c r="AQ65" s="131"/>
      <c r="AR65" s="131"/>
      <c r="AS65" s="131"/>
      <c r="AT65" s="131"/>
      <c r="AU65" s="131"/>
      <c r="AV65" s="133"/>
      <c r="AW65" s="131"/>
      <c r="AX65" s="131"/>
      <c r="AY65" s="131"/>
      <c r="AZ65" s="131"/>
      <c r="BA65" s="131"/>
      <c r="BB65" s="45"/>
      <c r="BO65" s="23"/>
    </row>
    <row r="66" spans="2:67">
      <c r="B66" s="24"/>
      <c r="E66" s="46"/>
      <c r="F66" s="47"/>
      <c r="G66" s="48"/>
      <c r="H66" s="48"/>
      <c r="I66" s="48"/>
      <c r="J66" s="47"/>
      <c r="K66" s="48"/>
      <c r="L66" s="48"/>
      <c r="M66" s="47"/>
      <c r="N66" s="49"/>
      <c r="O66" s="48"/>
      <c r="P66" s="49"/>
      <c r="Q66" s="48"/>
      <c r="R66" s="49"/>
      <c r="S66" s="48"/>
      <c r="T66" s="49"/>
      <c r="U66" s="48"/>
      <c r="V66" s="49"/>
      <c r="W66" s="48"/>
      <c r="X66" s="49"/>
      <c r="Y66" s="48"/>
      <c r="Z66" s="49"/>
      <c r="AA66" s="48"/>
      <c r="AB66" s="49"/>
      <c r="AC66" s="48"/>
      <c r="AD66" s="49"/>
      <c r="AE66" s="48"/>
      <c r="AF66" s="47"/>
      <c r="AG66" s="47"/>
      <c r="AH66" s="47"/>
      <c r="AI66" s="47"/>
      <c r="AJ66" s="47"/>
      <c r="AK66" s="47"/>
      <c r="AL66" s="47"/>
      <c r="AM66" s="47"/>
      <c r="AN66" s="47"/>
      <c r="AO66" s="47"/>
      <c r="AP66" s="47"/>
      <c r="AQ66" s="47"/>
      <c r="AR66" s="47"/>
      <c r="AS66" s="47"/>
      <c r="AT66" s="47"/>
      <c r="AU66" s="47"/>
      <c r="AV66" s="47"/>
      <c r="AW66" s="47"/>
      <c r="AX66" s="47"/>
      <c r="AY66" s="47"/>
      <c r="AZ66" s="47"/>
      <c r="BA66" s="47"/>
      <c r="BB66" s="50"/>
      <c r="BO66" s="23"/>
    </row>
    <row r="67" spans="2:67">
      <c r="B67" s="24"/>
      <c r="G67" s="18"/>
      <c r="H67" s="18"/>
      <c r="I67" s="18"/>
      <c r="K67" s="18"/>
      <c r="L67" s="18"/>
      <c r="N67" s="129"/>
      <c r="O67" s="18"/>
      <c r="P67" s="129"/>
      <c r="Q67" s="18"/>
      <c r="R67" s="129"/>
      <c r="S67" s="18"/>
      <c r="T67" s="129"/>
      <c r="U67" s="18"/>
      <c r="V67" s="129"/>
      <c r="W67" s="18"/>
      <c r="X67" s="129"/>
      <c r="Y67" s="18"/>
      <c r="Z67" s="129"/>
      <c r="AA67" s="18"/>
      <c r="AB67" s="129"/>
      <c r="AC67" s="18"/>
      <c r="AD67" s="129"/>
      <c r="AE67" s="18"/>
      <c r="BO67" s="23"/>
    </row>
    <row r="68" spans="2:67" ht="15" thickBot="1">
      <c r="B68" s="25"/>
      <c r="C68" s="26"/>
      <c r="D68" s="26"/>
      <c r="E68" s="26"/>
      <c r="F68" s="26"/>
      <c r="G68" s="26"/>
      <c r="H68" s="26"/>
      <c r="I68" s="26"/>
      <c r="J68" s="26"/>
      <c r="K68" s="26"/>
      <c r="L68" s="26"/>
      <c r="M68" s="26"/>
      <c r="N68" s="51"/>
      <c r="O68" s="26"/>
      <c r="P68" s="51"/>
      <c r="Q68" s="26"/>
      <c r="R68" s="51"/>
      <c r="S68" s="26"/>
      <c r="T68" s="51"/>
      <c r="U68" s="26"/>
      <c r="V68" s="51"/>
      <c r="W68" s="26"/>
      <c r="X68" s="51"/>
      <c r="Y68" s="26"/>
      <c r="Z68" s="51"/>
      <c r="AA68" s="26"/>
      <c r="AB68" s="51"/>
      <c r="AC68" s="26"/>
      <c r="AD68" s="51"/>
      <c r="AE68" s="26"/>
      <c r="AF68" s="26"/>
      <c r="AG68" s="26"/>
      <c r="AH68" s="26"/>
      <c r="AI68" s="26"/>
      <c r="AJ68" s="26"/>
      <c r="AK68" s="26"/>
      <c r="AL68" s="26"/>
      <c r="AM68" s="26"/>
      <c r="AN68" s="26"/>
      <c r="AO68" s="26"/>
      <c r="AP68" s="26"/>
      <c r="AQ68" s="26"/>
      <c r="AR68" s="26"/>
      <c r="AS68" s="26"/>
      <c r="AT68" s="26"/>
      <c r="AU68" s="26"/>
      <c r="AV68" s="26"/>
      <c r="AW68" s="26"/>
      <c r="AX68" s="26"/>
      <c r="AY68" s="26"/>
      <c r="AZ68" s="26"/>
      <c r="BA68" s="26"/>
      <c r="BB68" s="26"/>
      <c r="BC68" s="26"/>
      <c r="BD68" s="26"/>
      <c r="BE68" s="26"/>
      <c r="BF68" s="26"/>
      <c r="BG68" s="26"/>
      <c r="BH68" s="26"/>
      <c r="BI68" s="26"/>
      <c r="BJ68" s="26"/>
      <c r="BK68" s="26"/>
      <c r="BL68" s="26"/>
      <c r="BM68" s="26"/>
      <c r="BN68" s="26"/>
      <c r="BO68" s="27"/>
    </row>
  </sheetData>
  <conditionalFormatting sqref="M9:AU9 M10:M59">
    <cfRule type="cellIs" dxfId="123" priority="118" stopIfTrue="1" operator="between">
      <formula>1</formula>
      <formula>1</formula>
    </cfRule>
    <cfRule type="cellIs" dxfId="122" priority="119" stopIfTrue="1" operator="between">
      <formula>3</formula>
      <formula>3</formula>
    </cfRule>
    <cfRule type="cellIs" dxfId="121" priority="120" stopIfTrue="1" operator="between">
      <formula>2</formula>
      <formula>2</formula>
    </cfRule>
    <cfRule type="expression" dxfId="120" priority="121">
      <formula>M$3=1</formula>
    </cfRule>
  </conditionalFormatting>
  <conditionalFormatting sqref="J10:J59">
    <cfRule type="cellIs" dxfId="119" priority="116" operator="equal">
      <formula>0</formula>
    </cfRule>
  </conditionalFormatting>
  <conditionalFormatting sqref="A10">
    <cfRule type="iconSet" priority="114">
      <iconSet iconSet="4TrafficLights" showValue="0">
        <cfvo type="percent" val="0"/>
        <cfvo type="percent" val="25"/>
        <cfvo type="percent" val="50"/>
        <cfvo type="percent" val="75"/>
      </iconSet>
    </cfRule>
  </conditionalFormatting>
  <conditionalFormatting sqref="K10:K59">
    <cfRule type="cellIs" dxfId="118" priority="109" operator="equal">
      <formula>0</formula>
    </cfRule>
  </conditionalFormatting>
  <conditionalFormatting sqref="BB9:BC9">
    <cfRule type="cellIs" dxfId="117" priority="41" stopIfTrue="1" operator="between">
      <formula>1</formula>
      <formula>1</formula>
    </cfRule>
    <cfRule type="cellIs" dxfId="116" priority="42" stopIfTrue="1" operator="between">
      <formula>3</formula>
      <formula>3</formula>
    </cfRule>
    <cfRule type="cellIs" dxfId="115" priority="43" stopIfTrue="1" operator="between">
      <formula>2</formula>
      <formula>2</formula>
    </cfRule>
    <cfRule type="expression" dxfId="114" priority="44">
      <formula>BB$3=1</formula>
    </cfRule>
  </conditionalFormatting>
  <conditionalFormatting sqref="BD9:BE9">
    <cfRule type="cellIs" dxfId="113" priority="37" stopIfTrue="1" operator="between">
      <formula>1</formula>
      <formula>1</formula>
    </cfRule>
    <cfRule type="cellIs" dxfId="112" priority="38" stopIfTrue="1" operator="between">
      <formula>3</formula>
      <formula>3</formula>
    </cfRule>
    <cfRule type="cellIs" dxfId="111" priority="39" stopIfTrue="1" operator="between">
      <formula>2</formula>
      <formula>2</formula>
    </cfRule>
    <cfRule type="expression" dxfId="110" priority="40">
      <formula>BD$3=1</formula>
    </cfRule>
  </conditionalFormatting>
  <conditionalFormatting sqref="BF9:BG9">
    <cfRule type="cellIs" dxfId="109" priority="33" stopIfTrue="1" operator="between">
      <formula>1</formula>
      <formula>1</formula>
    </cfRule>
    <cfRule type="cellIs" dxfId="108" priority="34" stopIfTrue="1" operator="between">
      <formula>3</formula>
      <formula>3</formula>
    </cfRule>
    <cfRule type="cellIs" dxfId="107" priority="35" stopIfTrue="1" operator="between">
      <formula>2</formula>
      <formula>2</formula>
    </cfRule>
    <cfRule type="expression" dxfId="106" priority="36">
      <formula>BF$3=1</formula>
    </cfRule>
  </conditionalFormatting>
  <conditionalFormatting sqref="BH9:BI9">
    <cfRule type="cellIs" dxfId="105" priority="29" stopIfTrue="1" operator="between">
      <formula>1</formula>
      <formula>1</formula>
    </cfRule>
    <cfRule type="cellIs" dxfId="104" priority="30" stopIfTrue="1" operator="between">
      <formula>3</formula>
      <formula>3</formula>
    </cfRule>
    <cfRule type="cellIs" dxfId="103" priority="31" stopIfTrue="1" operator="between">
      <formula>2</formula>
      <formula>2</formula>
    </cfRule>
    <cfRule type="expression" dxfId="102" priority="32">
      <formula>BH$3=1</formula>
    </cfRule>
  </conditionalFormatting>
  <conditionalFormatting sqref="BJ9:BK9">
    <cfRule type="cellIs" dxfId="101" priority="25" stopIfTrue="1" operator="between">
      <formula>1</formula>
      <formula>1</formula>
    </cfRule>
    <cfRule type="cellIs" dxfId="100" priority="26" stopIfTrue="1" operator="between">
      <formula>3</formula>
      <formula>3</formula>
    </cfRule>
    <cfRule type="cellIs" dxfId="99" priority="27" stopIfTrue="1" operator="between">
      <formula>2</formula>
      <formula>2</formula>
    </cfRule>
    <cfRule type="expression" dxfId="98" priority="28">
      <formula>BJ$3=1</formula>
    </cfRule>
  </conditionalFormatting>
  <conditionalFormatting sqref="BL9:BM9">
    <cfRule type="cellIs" dxfId="97" priority="21" stopIfTrue="1" operator="between">
      <formula>1</formula>
      <formula>1</formula>
    </cfRule>
    <cfRule type="cellIs" dxfId="96" priority="22" stopIfTrue="1" operator="between">
      <formula>3</formula>
      <formula>3</formula>
    </cfRule>
    <cfRule type="cellIs" dxfId="95" priority="23" stopIfTrue="1" operator="between">
      <formula>2</formula>
      <formula>2</formula>
    </cfRule>
    <cfRule type="expression" dxfId="94" priority="24">
      <formula>BL$3=1</formula>
    </cfRule>
  </conditionalFormatting>
  <conditionalFormatting sqref="BN9">
    <cfRule type="cellIs" dxfId="93" priority="17" stopIfTrue="1" operator="between">
      <formula>1</formula>
      <formula>1</formula>
    </cfRule>
    <cfRule type="cellIs" dxfId="92" priority="18" stopIfTrue="1" operator="between">
      <formula>3</formula>
      <formula>3</formula>
    </cfRule>
    <cfRule type="cellIs" dxfId="91" priority="19" stopIfTrue="1" operator="between">
      <formula>2</formula>
      <formula>2</formula>
    </cfRule>
    <cfRule type="expression" dxfId="90" priority="20">
      <formula>BN$3=1</formula>
    </cfRule>
  </conditionalFormatting>
  <conditionalFormatting sqref="Q11:Q59 S11:S59 U11:U59 W11:W59 Y11:Y59 AA11:AA59 AC11:AC59 AE11:AE59 AG11:AG59 AI11:AI59 AK11:AK59 AM11:AM59 AO11:AO59 AQ11:AQ59 AS11:AS59 AU11:AU59 AW11:AW59 AY11:AY59 BA11:BA59 BC11:BC59 BE11:BE59 BG11:BG59 BI11:BI59 BK11:BK59 BM11:BM59">
    <cfRule type="cellIs" dxfId="89" priority="1" stopIfTrue="1" operator="between">
      <formula>1</formula>
      <formula>1</formula>
    </cfRule>
    <cfRule type="cellIs" dxfId="88" priority="2" stopIfTrue="1" operator="between">
      <formula>3</formula>
      <formula>3</formula>
    </cfRule>
    <cfRule type="cellIs" dxfId="87" priority="3" stopIfTrue="1" operator="between">
      <formula>2</formula>
      <formula>2</formula>
    </cfRule>
    <cfRule type="expression" dxfId="86" priority="4">
      <formula>Q$3=1</formula>
    </cfRule>
  </conditionalFormatting>
  <conditionalFormatting sqref="O10">
    <cfRule type="cellIs" dxfId="85" priority="73" stopIfTrue="1" operator="between">
      <formula>1</formula>
      <formula>1</formula>
    </cfRule>
    <cfRule type="cellIs" dxfId="84" priority="74" stopIfTrue="1" operator="between">
      <formula>3</formula>
      <formula>3</formula>
    </cfRule>
    <cfRule type="cellIs" dxfId="83" priority="75" stopIfTrue="1" operator="between">
      <formula>2</formula>
      <formula>2</formula>
    </cfRule>
    <cfRule type="expression" dxfId="82" priority="76">
      <formula>O$3=1</formula>
    </cfRule>
  </conditionalFormatting>
  <conditionalFormatting sqref="AV9:AW9">
    <cfRule type="cellIs" dxfId="81" priority="53" stopIfTrue="1" operator="between">
      <formula>1</formula>
      <formula>1</formula>
    </cfRule>
    <cfRule type="cellIs" dxfId="80" priority="54" stopIfTrue="1" operator="between">
      <formula>3</formula>
      <formula>3</formula>
    </cfRule>
    <cfRule type="cellIs" dxfId="79" priority="55" stopIfTrue="1" operator="between">
      <formula>2</formula>
      <formula>2</formula>
    </cfRule>
    <cfRule type="expression" dxfId="78" priority="56">
      <formula>AV$3=1</formula>
    </cfRule>
  </conditionalFormatting>
  <conditionalFormatting sqref="O11:O59">
    <cfRule type="cellIs" dxfId="77" priority="5" stopIfTrue="1" operator="between">
      <formula>1</formula>
      <formula>1</formula>
    </cfRule>
    <cfRule type="cellIs" dxfId="76" priority="6" stopIfTrue="1" operator="between">
      <formula>3</formula>
      <formula>3</formula>
    </cfRule>
    <cfRule type="cellIs" dxfId="75" priority="7" stopIfTrue="1" operator="between">
      <formula>2</formula>
      <formula>2</formula>
    </cfRule>
    <cfRule type="expression" dxfId="74" priority="8">
      <formula>O$3=1</formula>
    </cfRule>
  </conditionalFormatting>
  <conditionalFormatting sqref="AX9:AY9">
    <cfRule type="cellIs" dxfId="73" priority="49" stopIfTrue="1" operator="between">
      <formula>1</formula>
      <formula>1</formula>
    </cfRule>
    <cfRule type="cellIs" dxfId="72" priority="50" stopIfTrue="1" operator="between">
      <formula>3</formula>
      <formula>3</formula>
    </cfRule>
    <cfRule type="cellIs" dxfId="71" priority="51" stopIfTrue="1" operator="between">
      <formula>2</formula>
      <formula>2</formula>
    </cfRule>
    <cfRule type="expression" dxfId="70" priority="52">
      <formula>AX$3=1</formula>
    </cfRule>
  </conditionalFormatting>
  <conditionalFormatting sqref="AZ9:BA9">
    <cfRule type="cellIs" dxfId="69" priority="45" stopIfTrue="1" operator="between">
      <formula>1</formula>
      <formula>1</formula>
    </cfRule>
    <cfRule type="cellIs" dxfId="68" priority="46" stopIfTrue="1" operator="between">
      <formula>3</formula>
      <formula>3</formula>
    </cfRule>
    <cfRule type="cellIs" dxfId="67" priority="47" stopIfTrue="1" operator="between">
      <formula>2</formula>
      <formula>2</formula>
    </cfRule>
    <cfRule type="expression" dxfId="66" priority="48">
      <formula>AZ$3=1</formula>
    </cfRule>
  </conditionalFormatting>
  <conditionalFormatting sqref="Q10 S10 U10 W10 Y10 AA10 AC10 AE10 AG10 AI10 AK10 AM10 AO10 AQ10 AS10 AU10 AW10 AY10 BA10 BC10 BE10 BG10 BI10 BK10 BM10">
    <cfRule type="cellIs" dxfId="65" priority="9" stopIfTrue="1" operator="between">
      <formula>1</formula>
      <formula>1</formula>
    </cfRule>
    <cfRule type="cellIs" dxfId="64" priority="10" stopIfTrue="1" operator="between">
      <formula>3</formula>
      <formula>3</formula>
    </cfRule>
    <cfRule type="cellIs" dxfId="63" priority="11" stopIfTrue="1" operator="between">
      <formula>2</formula>
      <formula>2</formula>
    </cfRule>
    <cfRule type="expression" dxfId="62" priority="12">
      <formula>Q$3=1</formula>
    </cfRule>
  </conditionalFormatting>
  <dataValidations count="2">
    <dataValidation type="list" allowBlank="1" showInputMessage="1" showErrorMessage="1" sqref="G5" xr:uid="{8F288F12-D27E-4AF7-838C-F9DD2600185F}">
      <formula1>"Date, Stage"</formula1>
    </dataValidation>
    <dataValidation type="list" allowBlank="1" showInputMessage="1" showErrorMessage="1" sqref="H5" xr:uid="{C6195E84-25A8-40C0-B7F6-7C2C8B801588}">
      <formula1>"ALL,INTL,US"</formula1>
    </dataValidation>
  </dataValidations>
  <hyperlinks>
    <hyperlink ref="E2" location="MENU!A1" display="Back to Menu" xr:uid="{7B461B56-2909-42B1-9448-A8AD580EB1E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3" r:id="rId3" name="Button 1">
              <controlPr defaultSize="0" print="0" autoFill="0" autoPict="0" macro="[0]!calculate_sheet">
                <anchor moveWithCells="1" sizeWithCells="1">
                  <from>
                    <xdr:col>4</xdr:col>
                    <xdr:colOff>1181100</xdr:colOff>
                    <xdr:row>1</xdr:row>
                    <xdr:rowOff>76200</xdr:rowOff>
                  </from>
                  <to>
                    <xdr:col>4</xdr:col>
                    <xdr:colOff>2247900</xdr:colOff>
                    <xdr:row>2</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172298A8-9B80-4E03-80F6-BAC514CD42FB}">
          <x14:formula1>
            <xm:f>'Lookup tables'!$N$2:$N$4</xm:f>
          </x14:formula1>
          <xm:sqref>E5</xm:sqref>
        </x14:dataValidation>
        <x14:dataValidation type="list" allowBlank="1" showInputMessage="1" showErrorMessage="1" xr:uid="{5DDB0053-7158-462F-A8E8-041DBF3B0526}">
          <x14:formula1>
            <xm:f>'Lookup tables'!$I$2:$I$5</xm:f>
          </x14:formula1>
          <xm:sqref>F5</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84762-6405-4DD5-84CE-626686177AE1}">
  <sheetPr codeName="Sheet7"/>
  <dimension ref="B1:L22"/>
  <sheetViews>
    <sheetView showGridLines="0" workbookViewId="0">
      <selection activeCell="B6" sqref="B6"/>
    </sheetView>
  </sheetViews>
  <sheetFormatPr defaultColWidth="8.5703125" defaultRowHeight="14.45"/>
  <cols>
    <col min="2" max="2" width="31" customWidth="1"/>
    <col min="3" max="3" width="13.5703125" bestFit="1" customWidth="1"/>
  </cols>
  <sheetData>
    <row r="1" spans="2:12">
      <c r="B1" s="53" t="s">
        <v>193</v>
      </c>
    </row>
    <row r="3" spans="2:12" ht="21">
      <c r="B3" s="166" t="s">
        <v>318</v>
      </c>
    </row>
    <row r="4" spans="2:12" ht="21">
      <c r="B4" s="167" t="s">
        <v>322</v>
      </c>
    </row>
    <row r="5" spans="2:12" ht="21">
      <c r="B5" s="166" t="s">
        <v>324</v>
      </c>
    </row>
    <row r="6" spans="2:12" ht="21">
      <c r="B6" s="168" t="s">
        <v>33</v>
      </c>
    </row>
    <row r="7" spans="2:12" ht="21">
      <c r="B7" s="166" t="s">
        <v>410</v>
      </c>
    </row>
    <row r="8" spans="2:12" ht="21">
      <c r="B8" s="169">
        <f ca="1">TODAY()</f>
        <v>44748</v>
      </c>
    </row>
    <row r="11" spans="2:12">
      <c r="B11" s="165" t="s">
        <v>297</v>
      </c>
      <c r="C11" s="165" t="s">
        <v>411</v>
      </c>
      <c r="D11" t="s">
        <v>5</v>
      </c>
      <c r="E11" t="s">
        <v>6</v>
      </c>
      <c r="F11" t="s">
        <v>7</v>
      </c>
      <c r="G11" t="s">
        <v>8</v>
      </c>
      <c r="H11" t="s">
        <v>9</v>
      </c>
      <c r="I11" t="s">
        <v>10</v>
      </c>
      <c r="J11" t="s">
        <v>11</v>
      </c>
      <c r="K11" t="s">
        <v>12</v>
      </c>
      <c r="L11" t="s">
        <v>13</v>
      </c>
    </row>
    <row r="12" spans="2:12">
      <c r="B12" s="28" t="s">
        <v>412</v>
      </c>
      <c r="C12" s="164" cm="1">
        <f t="array" ref="C12">IFERROR(SUM(_xlfn._xlws.FILTER(Table1[Spend - INTL],(Table1[Execution Year]=$B$4)*(Table1[SBU]=$B$6)*(Table1[Current Phase]=B12)*(Table1[Most curent]=TRUE))),0)</f>
        <v>0</v>
      </c>
      <c r="D12" s="164" cm="1">
        <f t="array" ref="D12">IFERROR(SUM(_xlfn._xlws.FILTER(Table1[Spend - CAN],(Table1[Execution Year]=$B$4)*(Table1[SBU]=$B$6)*(Table1[Current Phase]=B12)*(Table1[Most curent]=TRUE))),0)</f>
        <v>0</v>
      </c>
      <c r="E12" s="164" cm="1">
        <f t="array" ref="E12">IFERROR(SUM(_xlfn._xlws.FILTER(Table1[Spend - MEX],(Table1[Execution Year]=$B$4)*(Table1[SBU]=$B$6)*(Table1[Current Phase]=B12)*(Table1[Most curent]=TRUE))),0)</f>
        <v>0</v>
      </c>
      <c r="F12" s="164" cm="1">
        <f t="array" ref="F12">IFERROR(SUM(_xlfn._xlws.FILTER(Table1[Spend - CAM],(Table1[Execution Year]=$B$4)*(Table1[SBU]=$B$6)*(Table1[Current Phase]=B12)*(Table1[Most curent]=TRUE))),0)</f>
        <v>0</v>
      </c>
      <c r="G12" s="164" cm="1">
        <f t="array" ref="G12">IFERROR(SUM(_xlfn._xlws.FILTER(Table1[Spend - CHL],(Table1[Execution Year]=$B$4)*(Table1[SBU]=$B$6)*(Table1[Current Phase]=B12)*(Table1[Most curent]=TRUE))),0)</f>
        <v>0</v>
      </c>
      <c r="H12" s="164" cm="1">
        <f t="array" ref="H12">IFERROR(SUM(_xlfn._xlws.FILTER(Table1[Spend - ARG],(Table1[Execution Year]=$B$4)*(Table1[SBU]=$B$6)*(Table1[Current Phase]=B12)*(Table1[Most curent]=TRUE))),0)</f>
        <v>0</v>
      </c>
      <c r="I12" s="164" cm="1">
        <f t="array" ref="I12">IFERROR(SUM(_xlfn._xlws.FILTER(Table1[Spend - CHN],(Table1[Execution Year]=$B$4)*(Table1[SBU]=$B$6)*(Table1[Current Phase]=B12)*(Table1[Most curent]=TRUE))),0)</f>
        <v>0</v>
      </c>
      <c r="J12" s="164" cm="1">
        <f t="array" ref="J12">IFERROR(SUM(_xlfn._xlws.FILTER(Table1[Spend - JAP],(Table1[Execution Year]=$B$4)*(Table1[SBU]=$B$6)*(Table1[Current Phase]=B12)*(Table1[Most curent]=TRUE))),0)</f>
        <v>0</v>
      </c>
      <c r="K12" s="164" cm="1">
        <f t="array" ref="K12">IFERROR(SUM(_xlfn._xlws.FILTER(Table1[Spend - UKN],(Table1[Execution Year]=$B$4)*(Table1[SBU]=$B$6)*(Table1[Current Phase]=B12)*(Table1[Most curent]=TRUE))),0)</f>
        <v>0</v>
      </c>
      <c r="L12" s="164" cm="1">
        <f t="array" ref="L12">IFERROR(SUM(_xlfn._xlws.FILTER(Table1[Spend - SAF],(Table1[Execution Year]=$B$4)*(Table1[SBU]=$B$6)*(Table1[Current Phase]=B12)*(Table1[Most curent]=TRUE))),0)</f>
        <v>0</v>
      </c>
    </row>
    <row r="13" spans="2:12">
      <c r="B13" s="28" t="s">
        <v>413</v>
      </c>
      <c r="C13" s="164" cm="1">
        <f t="array" ref="C13">IFERROR(SUM(_xlfn._xlws.FILTER(Table1[Spend - INTL],(Table1[Execution Year]=$B$4)*(Table1[SBU]=$B$6)*(Table1[Current Phase]=B13)*(Table1[Most curent]=TRUE))),0)</f>
        <v>6000000</v>
      </c>
      <c r="D13" s="164" cm="1">
        <f t="array" ref="D13">IFERROR(SUM(_xlfn._xlws.FILTER(Table1[Spend - CAN],(Table1[Execution Year]=$B$4)*(Table1[SBU]=$B$6)*(Table1[Current Phase]=B13)*(Table1[Most curent]=TRUE))),0)</f>
        <v>0</v>
      </c>
      <c r="E13" s="164" cm="1">
        <f t="array" ref="E13">IFERROR(SUM(_xlfn._xlws.FILTER(Table1[Spend - MEX],(Table1[Execution Year]=$B$4)*(Table1[SBU]=$B$6)*(Table1[Current Phase]=B13)*(Table1[Most curent]=TRUE))),0)</f>
        <v>6000000</v>
      </c>
      <c r="F13" s="164" cm="1">
        <f t="array" ref="F13">IFERROR(SUM(_xlfn._xlws.FILTER(Table1[Spend - CAM],(Table1[Execution Year]=$B$4)*(Table1[SBU]=$B$6)*(Table1[Current Phase]=B13)*(Table1[Most curent]=TRUE))),0)</f>
        <v>0</v>
      </c>
      <c r="G13" s="164" cm="1">
        <f t="array" ref="G13">IFERROR(SUM(_xlfn._xlws.FILTER(Table1[Spend - CHL],(Table1[Execution Year]=$B$4)*(Table1[SBU]=$B$6)*(Table1[Current Phase]=B13)*(Table1[Most curent]=TRUE))),0)</f>
        <v>0</v>
      </c>
      <c r="H13" s="164" cm="1">
        <f t="array" ref="H13">IFERROR(SUM(_xlfn._xlws.FILTER(Table1[Spend - ARG],(Table1[Execution Year]=$B$4)*(Table1[SBU]=$B$6)*(Table1[Current Phase]=B13)*(Table1[Most curent]=TRUE))),0)</f>
        <v>0</v>
      </c>
      <c r="I13" s="164" cm="1">
        <f t="array" ref="I13">IFERROR(SUM(_xlfn._xlws.FILTER(Table1[Spend - CHN],(Table1[Execution Year]=$B$4)*(Table1[SBU]=$B$6)*(Table1[Current Phase]=B13)*(Table1[Most curent]=TRUE))),0)</f>
        <v>0</v>
      </c>
      <c r="J13" s="164" cm="1">
        <f t="array" ref="J13">IFERROR(SUM(_xlfn._xlws.FILTER(Table1[Spend - JAP],(Table1[Execution Year]=$B$4)*(Table1[SBU]=$B$6)*(Table1[Current Phase]=B13)*(Table1[Most curent]=TRUE))),0)</f>
        <v>0</v>
      </c>
      <c r="K13" s="164" cm="1">
        <f t="array" ref="K13">IFERROR(SUM(_xlfn._xlws.FILTER(Table1[Spend - UKN],(Table1[Execution Year]=$B$4)*(Table1[SBU]=$B$6)*(Table1[Current Phase]=B13)*(Table1[Most curent]=TRUE))),0)</f>
        <v>0</v>
      </c>
      <c r="L13" s="164" cm="1">
        <f t="array" ref="L13">IFERROR(SUM(_xlfn._xlws.FILTER(Table1[Spend - SAF],(Table1[Execution Year]=$B$4)*(Table1[SBU]=$B$6)*(Table1[Current Phase]=B13)*(Table1[Most curent]=TRUE))),0)</f>
        <v>0</v>
      </c>
    </row>
    <row r="14" spans="2:12">
      <c r="B14" s="28" t="s">
        <v>104</v>
      </c>
      <c r="C14" s="164" cm="1">
        <f t="array" ref="C14">IFERROR(SUM(_xlfn._xlws.FILTER(Table1[Spend - INTL],(Table1[Execution Year]=$B$4)*(Table1[SBU]=$B$6)*(Table1[Current Phase]=B14)*(Table1[Most curent]=TRUE))),0)</f>
        <v>0</v>
      </c>
      <c r="D14" s="164" cm="1">
        <f t="array" ref="D14">IFERROR(SUM(_xlfn._xlws.FILTER(Table1[Spend - CAN],(Table1[Execution Year]=$B$4)*(Table1[SBU]=$B$6)*(Table1[Current Phase]=B14)*(Table1[Most curent]=TRUE))),0)</f>
        <v>0</v>
      </c>
      <c r="E14" s="164" cm="1">
        <f t="array" ref="E14">IFERROR(SUM(_xlfn._xlws.FILTER(Table1[Spend - MEX],(Table1[Execution Year]=$B$4)*(Table1[SBU]=$B$6)*(Table1[Current Phase]=B14)*(Table1[Most curent]=TRUE))),0)</f>
        <v>0</v>
      </c>
      <c r="F14" s="164" cm="1">
        <f t="array" ref="F14">IFERROR(SUM(_xlfn._xlws.FILTER(Table1[Spend - CAM],(Table1[Execution Year]=$B$4)*(Table1[SBU]=$B$6)*(Table1[Current Phase]=B14)*(Table1[Most curent]=TRUE))),0)</f>
        <v>0</v>
      </c>
      <c r="G14" s="164" cm="1">
        <f t="array" ref="G14">IFERROR(SUM(_xlfn._xlws.FILTER(Table1[Spend - CHL],(Table1[Execution Year]=$B$4)*(Table1[SBU]=$B$6)*(Table1[Current Phase]=B14)*(Table1[Most curent]=TRUE))),0)</f>
        <v>0</v>
      </c>
      <c r="H14" s="164" cm="1">
        <f t="array" ref="H14">IFERROR(SUM(_xlfn._xlws.FILTER(Table1[Spend - ARG],(Table1[Execution Year]=$B$4)*(Table1[SBU]=$B$6)*(Table1[Current Phase]=B14)*(Table1[Most curent]=TRUE))),0)</f>
        <v>0</v>
      </c>
      <c r="I14" s="164" cm="1">
        <f t="array" ref="I14">IFERROR(SUM(_xlfn._xlws.FILTER(Table1[Spend - CHN],(Table1[Execution Year]=$B$4)*(Table1[SBU]=$B$6)*(Table1[Current Phase]=B14)*(Table1[Most curent]=TRUE))),0)</f>
        <v>0</v>
      </c>
      <c r="J14" s="164" cm="1">
        <f t="array" ref="J14">IFERROR(SUM(_xlfn._xlws.FILTER(Table1[Spend - JAP],(Table1[Execution Year]=$B$4)*(Table1[SBU]=$B$6)*(Table1[Current Phase]=B14)*(Table1[Most curent]=TRUE))),0)</f>
        <v>0</v>
      </c>
      <c r="K14" s="164" cm="1">
        <f t="array" ref="K14">IFERROR(SUM(_xlfn._xlws.FILTER(Table1[Spend - UKN],(Table1[Execution Year]=$B$4)*(Table1[SBU]=$B$6)*(Table1[Current Phase]=B14)*(Table1[Most curent]=TRUE))),0)</f>
        <v>0</v>
      </c>
      <c r="L14" s="164" cm="1">
        <f t="array" ref="L14">IFERROR(SUM(_xlfn._xlws.FILTER(Table1[Spend - SAF],(Table1[Execution Year]=$B$4)*(Table1[SBU]=$B$6)*(Table1[Current Phase]=B14)*(Table1[Most curent]=TRUE))),0)</f>
        <v>0</v>
      </c>
    </row>
    <row r="15" spans="2:12">
      <c r="B15" s="28" t="s">
        <v>414</v>
      </c>
      <c r="C15" s="164" cm="1">
        <f t="array" ref="C15">IFERROR(SUM(_xlfn._xlws.FILTER(Table1[Spend - INTL],(Table1[Execution Year]=$B$4)*(Table1[SBU]=$B$6)*(Table1[Current Phase]=B15)*(Table1[Most curent]=TRUE))),0)</f>
        <v>0</v>
      </c>
      <c r="D15" s="164" cm="1">
        <f t="array" ref="D15">IFERROR(SUM(_xlfn._xlws.FILTER(Table1[Spend - CAN],(Table1[Execution Year]=$B$4)*(Table1[SBU]=$B$6)*(Table1[Current Phase]=B15)*(Table1[Most curent]=TRUE))),0)</f>
        <v>0</v>
      </c>
      <c r="E15" s="164" cm="1">
        <f t="array" ref="E15">IFERROR(SUM(_xlfn._xlws.FILTER(Table1[Spend - MEX],(Table1[Execution Year]=$B$4)*(Table1[SBU]=$B$6)*(Table1[Current Phase]=B15)*(Table1[Most curent]=TRUE))),0)</f>
        <v>0</v>
      </c>
      <c r="F15" s="164" cm="1">
        <f t="array" ref="F15">IFERROR(SUM(_xlfn._xlws.FILTER(Table1[Spend - CAM],(Table1[Execution Year]=$B$4)*(Table1[SBU]=$B$6)*(Table1[Current Phase]=B15)*(Table1[Most curent]=TRUE))),0)</f>
        <v>0</v>
      </c>
      <c r="G15" s="164" cm="1">
        <f t="array" ref="G15">IFERROR(SUM(_xlfn._xlws.FILTER(Table1[Spend - CHL],(Table1[Execution Year]=$B$4)*(Table1[SBU]=$B$6)*(Table1[Current Phase]=B15)*(Table1[Most curent]=TRUE))),0)</f>
        <v>0</v>
      </c>
      <c r="H15" s="164" cm="1">
        <f t="array" ref="H15">IFERROR(SUM(_xlfn._xlws.FILTER(Table1[Spend - ARG],(Table1[Execution Year]=$B$4)*(Table1[SBU]=$B$6)*(Table1[Current Phase]=B15)*(Table1[Most curent]=TRUE))),0)</f>
        <v>0</v>
      </c>
      <c r="I15" s="164" cm="1">
        <f t="array" ref="I15">IFERROR(SUM(_xlfn._xlws.FILTER(Table1[Spend - CHN],(Table1[Execution Year]=$B$4)*(Table1[SBU]=$B$6)*(Table1[Current Phase]=B15)*(Table1[Most curent]=TRUE))),0)</f>
        <v>0</v>
      </c>
      <c r="J15" s="164" cm="1">
        <f t="array" ref="J15">IFERROR(SUM(_xlfn._xlws.FILTER(Table1[Spend - JAP],(Table1[Execution Year]=$B$4)*(Table1[SBU]=$B$6)*(Table1[Current Phase]=B15)*(Table1[Most curent]=TRUE))),0)</f>
        <v>0</v>
      </c>
      <c r="K15" s="164" cm="1">
        <f t="array" ref="K15">IFERROR(SUM(_xlfn._xlws.FILTER(Table1[Spend - UKN],(Table1[Execution Year]=$B$4)*(Table1[SBU]=$B$6)*(Table1[Current Phase]=B15)*(Table1[Most curent]=TRUE))),0)</f>
        <v>0</v>
      </c>
      <c r="L15" s="164" cm="1">
        <f t="array" ref="L15">IFERROR(SUM(_xlfn._xlws.FILTER(Table1[Spend - SAF],(Table1[Execution Year]=$B$4)*(Table1[SBU]=$B$6)*(Table1[Current Phase]=B15)*(Table1[Most curent]=TRUE))),0)</f>
        <v>0</v>
      </c>
    </row>
    <row r="16" spans="2:12">
      <c r="B16" s="28" t="s">
        <v>415</v>
      </c>
      <c r="C16" s="164" cm="1">
        <f t="array" ref="C16">IFERROR(SUM(_xlfn._xlws.FILTER(Table1[Spend - INTL],(Table1[Execution Year]=$B$4)*(Table1[SBU]=$B$6)*(Table1[Current Phase]=B16)*(Table1[Most curent]=TRUE))),0)</f>
        <v>28700000</v>
      </c>
      <c r="D16" s="164" cm="1">
        <f t="array" ref="D16">IFERROR(SUM(_xlfn._xlws.FILTER(Table1[Spend - CAN],(Table1[Execution Year]=$B$4)*(Table1[SBU]=$B$6)*(Table1[Current Phase]=B16)*(Table1[Most curent]=TRUE))),0)</f>
        <v>6800000</v>
      </c>
      <c r="E16" s="164" cm="1">
        <f t="array" ref="E16">IFERROR(SUM(_xlfn._xlws.FILTER(Table1[Spend - MEX],(Table1[Execution Year]=$B$4)*(Table1[SBU]=$B$6)*(Table1[Current Phase]=B16)*(Table1[Most curent]=TRUE))),0)</f>
        <v>4800000</v>
      </c>
      <c r="F16" s="164" cm="1">
        <f t="array" ref="F16">IFERROR(SUM(_xlfn._xlws.FILTER(Table1[Spend - CAM],(Table1[Execution Year]=$B$4)*(Table1[SBU]=$B$6)*(Table1[Current Phase]=B16)*(Table1[Most curent]=TRUE))),0)</f>
        <v>2400000</v>
      </c>
      <c r="G16" s="164" cm="1">
        <f t="array" ref="G16">IFERROR(SUM(_xlfn._xlws.FILTER(Table1[Spend - CHL],(Table1[Execution Year]=$B$4)*(Table1[SBU]=$B$6)*(Table1[Current Phase]=B16)*(Table1[Most curent]=TRUE))),0)</f>
        <v>2400000</v>
      </c>
      <c r="H16" s="164" cm="1">
        <f t="array" ref="H16">IFERROR(SUM(_xlfn._xlws.FILTER(Table1[Spend - ARG],(Table1[Execution Year]=$B$4)*(Table1[SBU]=$B$6)*(Table1[Current Phase]=B16)*(Table1[Most curent]=TRUE))),0)</f>
        <v>0</v>
      </c>
      <c r="I16" s="164" cm="1">
        <f t="array" ref="I16">IFERROR(SUM(_xlfn._xlws.FILTER(Table1[Spend - CHN],(Table1[Execution Year]=$B$4)*(Table1[SBU]=$B$6)*(Table1[Current Phase]=B16)*(Table1[Most curent]=TRUE))),0)</f>
        <v>0</v>
      </c>
      <c r="J16" s="164" cm="1">
        <f t="array" ref="J16">IFERROR(SUM(_xlfn._xlws.FILTER(Table1[Spend - JAP],(Table1[Execution Year]=$B$4)*(Table1[SBU]=$B$6)*(Table1[Current Phase]=B16)*(Table1[Most curent]=TRUE))),0)</f>
        <v>0</v>
      </c>
      <c r="K16" s="164" cm="1">
        <f t="array" ref="K16">IFERROR(SUM(_xlfn._xlws.FILTER(Table1[Spend - UKN],(Table1[Execution Year]=$B$4)*(Table1[SBU]=$B$6)*(Table1[Current Phase]=B16)*(Table1[Most curent]=TRUE))),0)</f>
        <v>12300000</v>
      </c>
      <c r="L16" s="164" cm="1">
        <f t="array" ref="L16">IFERROR(SUM(_xlfn._xlws.FILTER(Table1[Spend - SAF],(Table1[Execution Year]=$B$4)*(Table1[SBU]=$B$6)*(Table1[Current Phase]=B16)*(Table1[Most curent]=TRUE))),0)</f>
        <v>0</v>
      </c>
    </row>
    <row r="17" spans="2:12">
      <c r="B17" s="28" t="s">
        <v>416</v>
      </c>
      <c r="C17" s="164" cm="1">
        <f t="array" ref="C17">IFERROR(SUM(_xlfn._xlws.FILTER(Table1[Spend - INTL],(Table1[Execution Year]=$B$4)*(Table1[SBU]=$B$6)*(Table1[Current Phase]=B17)*(Table1[Most curent]=TRUE))),0)</f>
        <v>0</v>
      </c>
      <c r="D17" s="164" cm="1">
        <f t="array" ref="D17">IFERROR(SUM(_xlfn._xlws.FILTER(Table1[Spend - CAN],(Table1[Execution Year]=$B$4)*(Table1[SBU]=$B$6)*(Table1[Current Phase]=B17)*(Table1[Most curent]=TRUE))),0)</f>
        <v>0</v>
      </c>
      <c r="E17" s="164" cm="1">
        <f t="array" ref="E17">IFERROR(SUM(_xlfn._xlws.FILTER(Table1[Spend - MEX],(Table1[Execution Year]=$B$4)*(Table1[SBU]=$B$6)*(Table1[Current Phase]=B17)*(Table1[Most curent]=TRUE))),0)</f>
        <v>0</v>
      </c>
      <c r="F17" s="164" cm="1">
        <f t="array" ref="F17">IFERROR(SUM(_xlfn._xlws.FILTER(Table1[Spend - CAM],(Table1[Execution Year]=$B$4)*(Table1[SBU]=$B$6)*(Table1[Current Phase]=B17)*(Table1[Most curent]=TRUE))),0)</f>
        <v>0</v>
      </c>
      <c r="G17" s="164" cm="1">
        <f t="array" ref="G17">IFERROR(SUM(_xlfn._xlws.FILTER(Table1[Spend - CHL],(Table1[Execution Year]=$B$4)*(Table1[SBU]=$B$6)*(Table1[Current Phase]=B17)*(Table1[Most curent]=TRUE))),0)</f>
        <v>0</v>
      </c>
      <c r="H17" s="164" cm="1">
        <f t="array" ref="H17">IFERROR(SUM(_xlfn._xlws.FILTER(Table1[Spend - ARG],(Table1[Execution Year]=$B$4)*(Table1[SBU]=$B$6)*(Table1[Current Phase]=B17)*(Table1[Most curent]=TRUE))),0)</f>
        <v>0</v>
      </c>
      <c r="I17" s="164" cm="1">
        <f t="array" ref="I17">IFERROR(SUM(_xlfn._xlws.FILTER(Table1[Spend - CHN],(Table1[Execution Year]=$B$4)*(Table1[SBU]=$B$6)*(Table1[Current Phase]=B17)*(Table1[Most curent]=TRUE))),0)</f>
        <v>0</v>
      </c>
      <c r="J17" s="164" cm="1">
        <f t="array" ref="J17">IFERROR(SUM(_xlfn._xlws.FILTER(Table1[Spend - JAP],(Table1[Execution Year]=$B$4)*(Table1[SBU]=$B$6)*(Table1[Current Phase]=B17)*(Table1[Most curent]=TRUE))),0)</f>
        <v>0</v>
      </c>
      <c r="K17" s="164" cm="1">
        <f t="array" ref="K17">IFERROR(SUM(_xlfn._xlws.FILTER(Table1[Spend - UKN],(Table1[Execution Year]=$B$4)*(Table1[SBU]=$B$6)*(Table1[Current Phase]=B17)*(Table1[Most curent]=TRUE))),0)</f>
        <v>0</v>
      </c>
      <c r="L17" s="164" cm="1">
        <f t="array" ref="L17">IFERROR(SUM(_xlfn._xlws.FILTER(Table1[Spend - SAF],(Table1[Execution Year]=$B$4)*(Table1[SBU]=$B$6)*(Table1[Current Phase]=B17)*(Table1[Most curent]=TRUE))),0)</f>
        <v>0</v>
      </c>
    </row>
    <row r="18" spans="2:12">
      <c r="B18" s="28" t="s">
        <v>417</v>
      </c>
      <c r="C18" s="164" cm="1">
        <f t="array" ref="C18">IFERROR(SUM(_xlfn._xlws.FILTER(Table1[Spend - INTL],(Table1[Execution Year]=$B$4)*(Table1[SBU]=$B$6)*(Table1[Current Phase]=B18)*(Table1[Most curent]=TRUE))),0)</f>
        <v>0</v>
      </c>
      <c r="D18" s="164" cm="1">
        <f t="array" ref="D18">IFERROR(SUM(_xlfn._xlws.FILTER(Table1[Spend - CAN],(Table1[Execution Year]=$B$4)*(Table1[SBU]=$B$6)*(Table1[Current Phase]=B18)*(Table1[Most curent]=TRUE))),0)</f>
        <v>0</v>
      </c>
      <c r="E18" s="164" cm="1">
        <f t="array" ref="E18">IFERROR(SUM(_xlfn._xlws.FILTER(Table1[Spend - MEX],(Table1[Execution Year]=$B$4)*(Table1[SBU]=$B$6)*(Table1[Current Phase]=B18)*(Table1[Most curent]=TRUE))),0)</f>
        <v>0</v>
      </c>
      <c r="F18" s="164" cm="1">
        <f t="array" ref="F18">IFERROR(SUM(_xlfn._xlws.FILTER(Table1[Spend - CAM],(Table1[Execution Year]=$B$4)*(Table1[SBU]=$B$6)*(Table1[Current Phase]=B18)*(Table1[Most curent]=TRUE))),0)</f>
        <v>0</v>
      </c>
      <c r="G18" s="164" cm="1">
        <f t="array" ref="G18">IFERROR(SUM(_xlfn._xlws.FILTER(Table1[Spend - CHL],(Table1[Execution Year]=$B$4)*(Table1[SBU]=$B$6)*(Table1[Current Phase]=B18)*(Table1[Most curent]=TRUE))),0)</f>
        <v>0</v>
      </c>
      <c r="H18" s="164" cm="1">
        <f t="array" ref="H18">IFERROR(SUM(_xlfn._xlws.FILTER(Table1[Spend - ARG],(Table1[Execution Year]=$B$4)*(Table1[SBU]=$B$6)*(Table1[Current Phase]=B18)*(Table1[Most curent]=TRUE))),0)</f>
        <v>0</v>
      </c>
      <c r="I18" s="164" cm="1">
        <f t="array" ref="I18">IFERROR(SUM(_xlfn._xlws.FILTER(Table1[Spend - CHN],(Table1[Execution Year]=$B$4)*(Table1[SBU]=$B$6)*(Table1[Current Phase]=B18)*(Table1[Most curent]=TRUE))),0)</f>
        <v>0</v>
      </c>
      <c r="J18" s="164" cm="1">
        <f t="array" ref="J18">IFERROR(SUM(_xlfn._xlws.FILTER(Table1[Spend - JAP],(Table1[Execution Year]=$B$4)*(Table1[SBU]=$B$6)*(Table1[Current Phase]=B18)*(Table1[Most curent]=TRUE))),0)</f>
        <v>0</v>
      </c>
      <c r="K18" s="164" cm="1">
        <f t="array" ref="K18">IFERROR(SUM(_xlfn._xlws.FILTER(Table1[Spend - UKN],(Table1[Execution Year]=$B$4)*(Table1[SBU]=$B$6)*(Table1[Current Phase]=B18)*(Table1[Most curent]=TRUE))),0)</f>
        <v>0</v>
      </c>
      <c r="L18" s="164" cm="1">
        <f t="array" ref="L18">IFERROR(SUM(_xlfn._xlws.FILTER(Table1[Spend - SAF],(Table1[Execution Year]=$B$4)*(Table1[SBU]=$B$6)*(Table1[Current Phase]=B18)*(Table1[Most curent]=TRUE))),0)</f>
        <v>0</v>
      </c>
    </row>
    <row r="20" spans="2:12">
      <c r="B20" s="70"/>
      <c r="C20" s="70"/>
    </row>
    <row r="21" spans="2:12" ht="21">
      <c r="B21" s="170" t="s">
        <v>418</v>
      </c>
      <c r="C21" s="171">
        <f>SUM(C13:C17)</f>
        <v>34700000</v>
      </c>
      <c r="D21">
        <f t="shared" ref="D21:L21" si="0">SUM(D12:D17)</f>
        <v>6800000</v>
      </c>
      <c r="E21">
        <f t="shared" si="0"/>
        <v>10800000</v>
      </c>
      <c r="F21">
        <f t="shared" si="0"/>
        <v>2400000</v>
      </c>
      <c r="G21">
        <f t="shared" si="0"/>
        <v>2400000</v>
      </c>
      <c r="H21">
        <f t="shared" si="0"/>
        <v>0</v>
      </c>
      <c r="I21">
        <f t="shared" si="0"/>
        <v>0</v>
      </c>
      <c r="J21">
        <f t="shared" si="0"/>
        <v>0</v>
      </c>
      <c r="K21">
        <f t="shared" si="0"/>
        <v>12300000</v>
      </c>
      <c r="L21">
        <f t="shared" si="0"/>
        <v>0</v>
      </c>
    </row>
    <row r="22" spans="2:12">
      <c r="B22" s="70"/>
      <c r="C22" s="70"/>
    </row>
  </sheetData>
  <hyperlinks>
    <hyperlink ref="B1" location="MENU!A1" display="Back to Menu" xr:uid="{C9C5E989-14D5-4D13-AF3D-83B96EE6746D}"/>
  </hyperlink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ECC602B-8619-4F51-88A6-07A5612B102A}">
          <x14:formula1>
            <xm:f>'Lookup tables'!$I$2:$I$4</xm:f>
          </x14:formula1>
          <xm:sqref>B6</xm:sqref>
        </x14:dataValidation>
        <x14:dataValidation type="list" allowBlank="1" showInputMessage="1" showErrorMessage="1" xr:uid="{87EB0497-CD35-451E-9A75-3E8BAE53BD08}">
          <x14:formula1>
            <xm:f>'Lookup tables'!$N$2:$N$5</xm:f>
          </x14:formula1>
          <xm:sqref>B4</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FEE2E7-58F0-4858-B8DE-B51622F99B43}">
  <sheetPr codeName="Sheet4"/>
  <dimension ref="B2:AT297"/>
  <sheetViews>
    <sheetView showGridLines="0" workbookViewId="0">
      <selection activeCell="I17" sqref="I17"/>
    </sheetView>
  </sheetViews>
  <sheetFormatPr defaultRowHeight="14.45"/>
  <cols>
    <col min="1" max="1" width="11.28515625" customWidth="1"/>
    <col min="2" max="2" width="8.140625" customWidth="1"/>
    <col min="3" max="3" width="22.28515625" customWidth="1"/>
    <col min="4" max="4" width="26.28515625" customWidth="1"/>
    <col min="5" max="5" width="14.7109375" customWidth="1"/>
    <col min="6" max="11" width="11" customWidth="1"/>
    <col min="12" max="12" width="48.140625" customWidth="1"/>
    <col min="13" max="13" width="13.140625" customWidth="1"/>
  </cols>
  <sheetData>
    <row r="2" spans="2:46" ht="30.75" customHeight="1">
      <c r="B2" s="210" t="s">
        <v>419</v>
      </c>
      <c r="C2" s="211"/>
      <c r="D2" s="211"/>
      <c r="E2" s="211"/>
      <c r="F2" s="211"/>
      <c r="G2" s="211"/>
      <c r="H2" s="211"/>
      <c r="I2" s="211"/>
      <c r="J2" s="211"/>
      <c r="K2" s="211"/>
      <c r="L2" s="211"/>
      <c r="M2" s="211"/>
    </row>
    <row r="3" spans="2:46">
      <c r="B3" s="269"/>
      <c r="AP3" t="str" cm="1">
        <f t="array" ref="AP3:AP40">TRANSPOSE(Table2[#Headers])</f>
        <v>Identifier</v>
      </c>
      <c r="AQ3" cm="1">
        <f t="array" ref="AQ3:AQ40">_xlfn.SEQUENCE(ROWS(_xlfn.ANCHORARRAY(AP3)))</f>
        <v>1</v>
      </c>
    </row>
    <row r="4" spans="2:46" ht="15" thickBot="1">
      <c r="B4" s="155" t="s">
        <v>199</v>
      </c>
      <c r="C4" s="276">
        <f>ROWS(_xlfn.ANCHORARRAY(C10))</f>
        <v>16</v>
      </c>
      <c r="AP4" t="str">
        <v>Category</v>
      </c>
      <c r="AQ4">
        <v>2</v>
      </c>
      <c r="AR4">
        <v>1</v>
      </c>
      <c r="AS4">
        <v>1</v>
      </c>
      <c r="AT4" s="1" t="s">
        <v>331</v>
      </c>
    </row>
    <row r="5" spans="2:46" ht="15" thickBot="1">
      <c r="B5" s="155" t="s">
        <v>382</v>
      </c>
      <c r="C5" s="206">
        <f ca="1">NOW()</f>
        <v>44748.472848726851</v>
      </c>
      <c r="AP5" t="str">
        <v>SBU</v>
      </c>
      <c r="AQ5">
        <v>3</v>
      </c>
      <c r="AT5" s="1"/>
    </row>
    <row r="6" spans="2:46">
      <c r="C6" s="1"/>
      <c r="AP6" t="str">
        <v>Execution Year</v>
      </c>
      <c r="AQ6">
        <v>4</v>
      </c>
      <c r="AT6" s="1"/>
    </row>
    <row r="7" spans="2:46">
      <c r="C7" s="1"/>
      <c r="AP7" t="str">
        <v>Planned Start</v>
      </c>
      <c r="AQ7">
        <v>5</v>
      </c>
      <c r="AT7" s="1"/>
    </row>
    <row r="8" spans="2:46" ht="28.9" customHeight="1">
      <c r="B8" s="210"/>
      <c r="C8" s="211"/>
      <c r="D8" s="211"/>
      <c r="E8" s="211"/>
      <c r="F8" s="211"/>
      <c r="G8" s="211"/>
      <c r="H8" s="211"/>
      <c r="I8" s="211"/>
      <c r="J8" s="211"/>
      <c r="K8" s="211"/>
      <c r="L8" s="211"/>
      <c r="M8" s="211"/>
      <c r="AP8" t="str">
        <v>Planned Award</v>
      </c>
      <c r="AQ8">
        <v>6</v>
      </c>
      <c r="AS8">
        <v>2</v>
      </c>
      <c r="AT8" s="1" t="s">
        <v>420</v>
      </c>
    </row>
    <row r="9" spans="2:46" ht="29.1">
      <c r="B9" s="249" t="s">
        <v>0</v>
      </c>
      <c r="C9" s="249" t="s">
        <v>331</v>
      </c>
      <c r="D9" s="249" t="s">
        <v>329</v>
      </c>
      <c r="E9" s="249" t="s">
        <v>421</v>
      </c>
      <c r="F9" s="249" t="s">
        <v>252</v>
      </c>
      <c r="G9" s="249" t="s">
        <v>422</v>
      </c>
      <c r="H9" s="249" t="s">
        <v>423</v>
      </c>
      <c r="I9" s="249" t="s">
        <v>228</v>
      </c>
      <c r="J9" s="249" t="s">
        <v>229</v>
      </c>
      <c r="K9" s="249" t="s">
        <v>424</v>
      </c>
      <c r="L9" s="249" t="s">
        <v>425</v>
      </c>
      <c r="M9" s="249" t="s">
        <v>426</v>
      </c>
      <c r="AP9" t="str">
        <v>Current Phase End</v>
      </c>
      <c r="AQ9">
        <v>7</v>
      </c>
      <c r="AS9">
        <v>3</v>
      </c>
      <c r="AT9" s="1" t="s">
        <v>427</v>
      </c>
    </row>
    <row r="10" spans="2:46">
      <c r="B10" s="277" cm="1">
        <f t="array" ref="B10:B25">_xlfn.SEQUENCE(ROWS(_xlfn.ANCHORARRAY(C10)))</f>
        <v>1</v>
      </c>
      <c r="C10" s="277" t="str" cm="1">
        <f t="array" ref="C10:K25">_xlfn._xlws.FILTER(INDEX(Table2[#Data],_xlfn.SEQUENCE(ROWS(Table2[])),{2,17,16,9,11,18,19,20,21}),(Table2[Sams]=1)*(Table2[SBU]&lt;&gt;"Hardlines")*(Table2[Status]&lt;&gt;"Closed")*(Table2[Status]&lt;&gt;"Cancelled"))</f>
        <v>DTT - Plastic</v>
      </c>
      <c r="D10" s="277" t="str">
        <v>HOUSEHOLD PAPER</v>
      </c>
      <c r="E10" s="277" t="str">
        <v>Global Bid</v>
      </c>
      <c r="F10" s="277" t="str">
        <v>1_Exploratory</v>
      </c>
      <c r="G10" s="277" t="str">
        <v>Luis</v>
      </c>
      <c r="H10" s="277" t="str">
        <v/>
      </c>
      <c r="I10" s="277" t="str">
        <v>Dawn</v>
      </c>
      <c r="J10" s="277">
        <v>0</v>
      </c>
      <c r="K10" s="278">
        <v>0</v>
      </c>
      <c r="L10" s="279" t="str" cm="1">
        <f t="array" ref="L10">IFERROR(IF(_xlfn._xlws.FILTER(Table1[Remarks],(Table1[Category]=C10)*(Table1[Execution Year]=$C$4)*(Table1[Most curent]=TRUE))=0,"",_xlfn._xlws.FILTER(Table1[Remarks],(Table1[Category]=C10)*(Table1[Execution Year]=$C$4)*(Table1[Most curent]=TRUE))),"")</f>
        <v/>
      </c>
      <c r="M10" s="280" t="str" cm="1">
        <f t="array" ref="M10">IFERROR(_xlfn._xlws.FILTER(Table1[Start Date - US],(Table1[Category]=C10)*(Table1[Execution Year]=$C$4)*(Table1[Most curent]=TRUE)),"")</f>
        <v/>
      </c>
      <c r="AP10" t="str">
        <v>Revised Award</v>
      </c>
      <c r="AQ10">
        <v>8</v>
      </c>
      <c r="AS10">
        <v>4</v>
      </c>
      <c r="AT10" s="1" t="s">
        <v>428</v>
      </c>
    </row>
    <row r="11" spans="2:46">
      <c r="B11" s="277">
        <v>2</v>
      </c>
      <c r="C11" s="277" t="str">
        <v>Liquid Handsoap &amp; Bodywash</v>
      </c>
      <c r="D11" s="277" t="str">
        <v>PERSONAL CARE</v>
      </c>
      <c r="E11" s="277" t="str">
        <v>Global Bid</v>
      </c>
      <c r="F11" s="277" t="str">
        <v>Pending PB/Merchant approval</v>
      </c>
      <c r="G11" s="277" t="str">
        <v>Jason</v>
      </c>
      <c r="H11" s="277" t="str">
        <v/>
      </c>
      <c r="I11" s="277" t="str">
        <v>Yao</v>
      </c>
      <c r="J11" s="277" t="str">
        <v>Award</v>
      </c>
      <c r="K11" s="278">
        <v>0</v>
      </c>
      <c r="L11" s="279" t="str" cm="1">
        <f t="array" ref="L11">IFERROR(IF(_xlfn._xlws.FILTER(Table1[Remarks],(Table1[Category]=C11)*(Table1[Execution Year]=$C$4)*(Table1[Most curent]=TRUE))=0,"",_xlfn._xlws.FILTER(Table1[Remarks],(Table1[Category]=C11)*(Table1[Execution Year]=$C$4)*(Table1[Most curent]=TRUE))),"")</f>
        <v/>
      </c>
      <c r="M11" s="280" t="str" cm="1">
        <f t="array" ref="M11">IFERROR(_xlfn._xlws.FILTER(Table1[Start Date - US],(Table1[Category]=C11)*(Table1[Execution Year]=$C$4)*(Table1[Most curent]=TRUE)),"")</f>
        <v/>
      </c>
      <c r="AP11" t="str">
        <v>Milestone</v>
      </c>
      <c r="AQ11">
        <v>9</v>
      </c>
      <c r="AS11">
        <v>5</v>
      </c>
      <c r="AT11" s="1" t="s">
        <v>225</v>
      </c>
    </row>
    <row r="12" spans="2:46">
      <c r="B12" s="277">
        <v>3</v>
      </c>
      <c r="C12" s="277" t="str">
        <v>Paper Products II</v>
      </c>
      <c r="D12" s="277" t="str">
        <v>HOUSEHOLD PAPER</v>
      </c>
      <c r="E12" s="277" t="str">
        <v>Global Bid</v>
      </c>
      <c r="F12" s="277" t="str">
        <v>1_Exploratory</v>
      </c>
      <c r="G12" s="277" t="str">
        <v>Yoshi</v>
      </c>
      <c r="H12" s="277" t="str">
        <v/>
      </c>
      <c r="I12" s="277" t="str">
        <v>Yao</v>
      </c>
      <c r="J12" s="277">
        <v>0</v>
      </c>
      <c r="K12" s="278">
        <v>0</v>
      </c>
      <c r="L12" s="279" t="str" cm="1">
        <f t="array" ref="L12">IFERROR(IF(_xlfn._xlws.FILTER(Table1[Remarks],(Table1[Category]=C12)*(Table1[Execution Year]=$C$4)*(Table1[Most curent]=TRUE))=0,"",_xlfn._xlws.FILTER(Table1[Remarks],(Table1[Category]=C12)*(Table1[Execution Year]=$C$4)*(Table1[Most curent]=TRUE))),"")</f>
        <v/>
      </c>
      <c r="M12" s="280" t="str" cm="1">
        <f t="array" ref="M12">IFERROR(_xlfn._xlws.FILTER(Table1[Start Date - US],(Table1[Category]=C12)*(Table1[Execution Year]=$C$4)*(Table1[Most curent]=TRUE)),"")</f>
        <v/>
      </c>
      <c r="AP12" t="str">
        <v>Status</v>
      </c>
      <c r="AQ12">
        <v>10</v>
      </c>
      <c r="AS12">
        <v>6</v>
      </c>
      <c r="AT12" s="1" t="s">
        <v>429</v>
      </c>
    </row>
    <row r="13" spans="2:46">
      <c r="B13" s="277">
        <v>4</v>
      </c>
      <c r="C13" s="277" t="str">
        <v>DTT - Plastic</v>
      </c>
      <c r="D13" s="277" t="str">
        <v>HOUSEHOLD PAPER</v>
      </c>
      <c r="E13" s="277" t="str">
        <v>Global Bid</v>
      </c>
      <c r="F13" s="277" t="str">
        <v>1_Exploratory</v>
      </c>
      <c r="G13" s="277" t="str">
        <v>Luis</v>
      </c>
      <c r="H13" s="277" t="str">
        <v/>
      </c>
      <c r="I13" s="277" t="str">
        <v>Dawn</v>
      </c>
      <c r="J13" s="277">
        <v>0</v>
      </c>
      <c r="K13" s="278">
        <v>0</v>
      </c>
      <c r="L13" s="279" t="str" cm="1">
        <f t="array" ref="L13">IFERROR(IF(_xlfn._xlws.FILTER(Table1[Remarks],(Table1[Category]=C13)*(Table1[Execution Year]=$C$4)*(Table1[Most curent]=TRUE))=0,"",_xlfn._xlws.FILTER(Table1[Remarks],(Table1[Category]=C13)*(Table1[Execution Year]=$C$4)*(Table1[Most curent]=TRUE))),"")</f>
        <v/>
      </c>
      <c r="M13" s="280" t="str" cm="1">
        <f t="array" ref="M13">IFERROR(_xlfn._xlws.FILTER(Table1[Start Date - US],(Table1[Category]=C13)*(Table1[Execution Year]=$C$4)*(Table1[Most curent]=TRUE)),"")</f>
        <v/>
      </c>
      <c r="AP13" t="str">
        <v>US Lead</v>
      </c>
      <c r="AQ13">
        <v>11</v>
      </c>
      <c r="AS13">
        <v>7</v>
      </c>
      <c r="AT13" s="1" t="s">
        <v>423</v>
      </c>
    </row>
    <row r="14" spans="2:46">
      <c r="B14" s="277">
        <v>5</v>
      </c>
      <c r="C14" s="277" t="str">
        <v>Shave Gel/Foam</v>
      </c>
      <c r="D14" s="277" t="str">
        <v>PERSONAL CARE</v>
      </c>
      <c r="E14" s="277" t="str">
        <v>DI Bid</v>
      </c>
      <c r="F14" s="277" t="str">
        <v>RFP1 SCO Analysis</v>
      </c>
      <c r="G14" s="277" t="str">
        <v>Kendra</v>
      </c>
      <c r="H14" s="277" t="str">
        <v/>
      </c>
      <c r="I14" s="277" t="str">
        <v>Yao</v>
      </c>
      <c r="J14" s="277" t="str">
        <v>RFP1 Supplier Negotiation</v>
      </c>
      <c r="K14" s="278">
        <v>0</v>
      </c>
      <c r="L14" s="279" t="str" cm="1">
        <f t="array" ref="L14">IFERROR(IF(_xlfn._xlws.FILTER(Table1[Remarks],(Table1[Category]=C14)*(Table1[Execution Year]=$C$4)*(Table1[Most curent]=TRUE))=0,"",_xlfn._xlws.FILTER(Table1[Remarks],(Table1[Category]=C14)*(Table1[Execution Year]=$C$4)*(Table1[Most curent]=TRUE))),"")</f>
        <v/>
      </c>
      <c r="M14" s="280" t="str" cm="1">
        <f t="array" ref="M14">IFERROR(_xlfn._xlws.FILTER(Table1[Start Date - US],(Table1[Category]=C14)*(Table1[Execution Year]=$C$4)*(Table1[Most curent]=TRUE)),"")</f>
        <v/>
      </c>
      <c r="AP14" t="str">
        <v>Primary Market Merchant</v>
      </c>
      <c r="AQ14">
        <v>12</v>
      </c>
      <c r="AR14">
        <v>1</v>
      </c>
      <c r="AS14">
        <v>8</v>
      </c>
      <c r="AT14" s="1" t="s">
        <v>430</v>
      </c>
    </row>
    <row r="15" spans="2:46">
      <c r="B15" s="277">
        <v>6</v>
      </c>
      <c r="C15" s="277" t="str">
        <v>Dog treats and rawhides</v>
      </c>
      <c r="D15" s="277" t="str">
        <v>PETS AND SUPPLIES</v>
      </c>
      <c r="E15" s="277" t="str">
        <v>Global Bid</v>
      </c>
      <c r="F15" s="277" t="str">
        <v>1_Exploratory</v>
      </c>
      <c r="G15" s="277">
        <v>0</v>
      </c>
      <c r="H15" s="277" t="str">
        <v/>
      </c>
      <c r="I15" s="277" t="str">
        <v>Dawn</v>
      </c>
      <c r="J15" s="277">
        <v>0</v>
      </c>
      <c r="K15" s="278">
        <v>0</v>
      </c>
      <c r="L15" s="279" t="str" cm="1">
        <f t="array" ref="L15">IFERROR(IF(_xlfn._xlws.FILTER(Table1[Remarks],(Table1[Category]=C15)*(Table1[Execution Year]=$C$4)*(Table1[Most curent]=TRUE))=0,"",_xlfn._xlws.FILTER(Table1[Remarks],(Table1[Category]=C15)*(Table1[Execution Year]=$C$4)*(Table1[Most curent]=TRUE))),"")</f>
        <v/>
      </c>
      <c r="M15" s="280" t="str" cm="1">
        <f t="array" ref="M15">IFERROR(_xlfn._xlws.FILTER(Table1[Start Date - US],(Table1[Category]=C15)*(Table1[Execution Year]=$C$4)*(Table1[Most curent]=TRUE)),"")</f>
        <v/>
      </c>
      <c r="AP15" t="str">
        <v>Spend Start Date</v>
      </c>
      <c r="AQ15">
        <v>13</v>
      </c>
      <c r="AS15">
        <v>9</v>
      </c>
      <c r="AT15" s="1" t="s">
        <v>228</v>
      </c>
    </row>
    <row r="16" spans="2:46">
      <c r="B16" s="277">
        <v>7</v>
      </c>
      <c r="C16" s="277" t="str">
        <v>Diapers II</v>
      </c>
      <c r="D16" s="277" t="str">
        <v>BABY CONSUMABLES HARDLINES</v>
      </c>
      <c r="E16" s="277" t="str">
        <v>Global Bid</v>
      </c>
      <c r="F16" s="277">
        <v>0</v>
      </c>
      <c r="G16" s="277">
        <v>0</v>
      </c>
      <c r="H16" s="277">
        <v>0</v>
      </c>
      <c r="I16" s="277" t="str">
        <v>Yao</v>
      </c>
      <c r="J16" s="277">
        <v>0</v>
      </c>
      <c r="K16" s="278">
        <v>0</v>
      </c>
      <c r="L16" s="279" t="str" cm="1">
        <f t="array" ref="L16">IFERROR(IF(_xlfn._xlws.FILTER(Table1[Remarks],(Table1[Category]=C16)*(Table1[Execution Year]=$C$4)*(Table1[Most curent]=TRUE))=0,"",_xlfn._xlws.FILTER(Table1[Remarks],(Table1[Category]=C16)*(Table1[Execution Year]=$C$4)*(Table1[Most curent]=TRUE))),"")</f>
        <v/>
      </c>
      <c r="M16" s="280" t="str" cm="1">
        <f t="array" ref="M16">IFERROR(_xlfn._xlws.FILTER(Table1[Start Date - US],(Table1[Category]=C16)*(Table1[Execution Year]=$C$4)*(Table1[Most curent]=TRUE)),"")</f>
        <v/>
      </c>
      <c r="AP16" t="str">
        <v>Updated By</v>
      </c>
      <c r="AQ16">
        <v>14</v>
      </c>
      <c r="AR16">
        <v>1</v>
      </c>
      <c r="AS16">
        <v>10</v>
      </c>
      <c r="AT16" s="1" t="s">
        <v>431</v>
      </c>
    </row>
    <row r="17" spans="2:46">
      <c r="B17" s="277">
        <v>8</v>
      </c>
      <c r="C17" s="277" t="str">
        <v>Baby Wipes</v>
      </c>
      <c r="D17" s="277" t="str">
        <v>BABY CONSUMABLES HARDLINES</v>
      </c>
      <c r="E17" s="277" t="str">
        <v>Global Bid</v>
      </c>
      <c r="F17" s="277" t="str">
        <v>1_Exploratory</v>
      </c>
      <c r="G17" s="277" t="str">
        <v>Kendra</v>
      </c>
      <c r="H17" s="277" t="str">
        <v/>
      </c>
      <c r="I17" s="277" t="str">
        <v>Yao</v>
      </c>
      <c r="J17" s="277">
        <v>0</v>
      </c>
      <c r="K17" s="278">
        <v>0</v>
      </c>
      <c r="L17" s="279" t="str" cm="1">
        <f t="array" ref="L17">IFERROR(IF(_xlfn._xlws.FILTER(Table1[Remarks],(Table1[Category]=C17)*(Table1[Execution Year]=$C$4)*(Table1[Most curent]=TRUE))=0,"",_xlfn._xlws.FILTER(Table1[Remarks],(Table1[Category]=C17)*(Table1[Execution Year]=$C$4)*(Table1[Most curent]=TRUE))),"")</f>
        <v/>
      </c>
      <c r="M17" s="280" t="str" cm="1">
        <f t="array" ref="M17">IFERROR(_xlfn._xlws.FILTER(Table1[Start Date - US],(Table1[Category]=C17)*(Table1[Execution Year]=$C$4)*(Table1[Most curent]=TRUE)),"")</f>
        <v/>
      </c>
      <c r="AP17" t="str">
        <v>Update time</v>
      </c>
      <c r="AQ17">
        <v>15</v>
      </c>
      <c r="AS17">
        <v>11</v>
      </c>
      <c r="AT17" s="1" t="s">
        <v>432</v>
      </c>
    </row>
    <row r="18" spans="2:46">
      <c r="B18" s="277">
        <v>9</v>
      </c>
      <c r="C18" s="277" t="str">
        <v>Dairy Creamers and Half n Half</v>
      </c>
      <c r="D18" s="277" t="str">
        <v>DAIRY</v>
      </c>
      <c r="E18" s="277" t="str">
        <v>Domestic Bid</v>
      </c>
      <c r="F18" s="277" t="str">
        <v>Award</v>
      </c>
      <c r="G18" s="277" t="str">
        <v>Aime Snowden</v>
      </c>
      <c r="H18" s="277" t="str">
        <v/>
      </c>
      <c r="I18" s="277" t="str">
        <v>David L. / Luis D.</v>
      </c>
      <c r="J18" s="277">
        <v>0</v>
      </c>
      <c r="K18" s="278">
        <v>0</v>
      </c>
      <c r="L18" s="279" t="str" cm="1">
        <f t="array" ref="L18">IFERROR(IF(_xlfn._xlws.FILTER(Table1[Remarks],(Table1[Category]=C18)*(Table1[Execution Year]=$C$4)*(Table1[Most curent]=TRUE))=0,"",_xlfn._xlws.FILTER(Table1[Remarks],(Table1[Category]=C18)*(Table1[Execution Year]=$C$4)*(Table1[Most curent]=TRUE))),"")</f>
        <v/>
      </c>
      <c r="M18" s="280" t="str" cm="1">
        <f t="array" ref="M18">IFERROR(_xlfn._xlws.FILTER(Table1[Start Date - US],(Table1[Category]=C18)*(Table1[Execution Year]=$C$4)*(Table1[Most curent]=TRUE)),"")</f>
        <v/>
      </c>
      <c r="AP18" t="str">
        <v>Project Type</v>
      </c>
      <c r="AQ18">
        <v>16</v>
      </c>
      <c r="AS18">
        <v>12</v>
      </c>
      <c r="AT18" s="1" t="s">
        <v>433</v>
      </c>
    </row>
    <row r="19" spans="2:46">
      <c r="B19" s="277">
        <v>10</v>
      </c>
      <c r="C19" s="277" t="str">
        <v>Coffee</v>
      </c>
      <c r="D19" s="277" t="str">
        <v>GROCERY</v>
      </c>
      <c r="E19" s="277" t="str">
        <v>Global Bid</v>
      </c>
      <c r="F19" s="277" t="str">
        <v>RFP1</v>
      </c>
      <c r="G19" s="277" t="str">
        <v>Aime Snowden</v>
      </c>
      <c r="H19" s="277" t="str">
        <v/>
      </c>
      <c r="I19" s="277" t="str">
        <v>David Lomeier</v>
      </c>
      <c r="J19" s="277" t="str">
        <v>RFP1 SCO Analysis</v>
      </c>
      <c r="K19" s="278">
        <v>44750</v>
      </c>
      <c r="L19" s="279" t="str" cm="1">
        <f t="array" ref="L19">IFERROR(IF(_xlfn._xlws.FILTER(Table1[Remarks],(Table1[Category]=C19)*(Table1[Execution Year]=$C$4)*(Table1[Most curent]=TRUE))=0,"",_xlfn._xlws.FILTER(Table1[Remarks],(Table1[Category]=C19)*(Table1[Execution Year]=$C$4)*(Table1[Most curent]=TRUE))),"")</f>
        <v/>
      </c>
      <c r="M19" s="280" t="str" cm="1">
        <f t="array" ref="M19">IFERROR(_xlfn._xlws.FILTER(Table1[Start Date - US],(Table1[Category]=C19)*(Table1[Execution Year]=$C$4)*(Table1[Most curent]=TRUE)),"")</f>
        <v/>
      </c>
      <c r="AP19" t="str">
        <v>Primary Dept Description</v>
      </c>
      <c r="AQ19">
        <v>17</v>
      </c>
      <c r="AS19">
        <v>13</v>
      </c>
      <c r="AT19" t="s">
        <v>434</v>
      </c>
    </row>
    <row r="20" spans="2:46">
      <c r="B20" s="277">
        <v>11</v>
      </c>
      <c r="C20" s="277" t="str">
        <v>Frozen Potatoes / Deli</v>
      </c>
      <c r="D20" s="277" t="str">
        <v>FROZEN</v>
      </c>
      <c r="E20" s="277" t="str">
        <v>Global Bid</v>
      </c>
      <c r="F20" s="277" t="str">
        <v>RFP1</v>
      </c>
      <c r="G20" s="277" t="str">
        <v>Jony Farfan</v>
      </c>
      <c r="H20" s="277" t="str">
        <v/>
      </c>
      <c r="I20" s="277" t="str">
        <v>Jake Deans</v>
      </c>
      <c r="J20" s="277" t="str">
        <v>RFP1</v>
      </c>
      <c r="K20" s="278">
        <v>44750</v>
      </c>
      <c r="L20" s="279" t="str" cm="1">
        <f t="array" ref="L20">IFERROR(IF(_xlfn._xlws.FILTER(Table1[Remarks],(Table1[Category]=C20)*(Table1[Execution Year]=$C$4)*(Table1[Most curent]=TRUE))=0,"",_xlfn._xlws.FILTER(Table1[Remarks],(Table1[Category]=C20)*(Table1[Execution Year]=$C$4)*(Table1[Most curent]=TRUE))),"")</f>
        <v/>
      </c>
      <c r="M20" s="280" t="str" cm="1">
        <f t="array" ref="M20">IFERROR(_xlfn._xlws.FILTER(Table1[Start Date - US],(Table1[Category]=C20)*(Table1[Execution Year]=$C$4)*(Table1[Most curent]=TRUE)),"")</f>
        <v/>
      </c>
      <c r="AP20" t="str">
        <v>PB sourcing lead</v>
      </c>
      <c r="AQ20">
        <v>18</v>
      </c>
      <c r="AS20">
        <v>14</v>
      </c>
      <c r="AT20" t="s">
        <v>435</v>
      </c>
    </row>
    <row r="21" spans="2:46">
      <c r="B21" s="277">
        <v>12</v>
      </c>
      <c r="C21" s="277" t="str">
        <v>Canned Vegetables</v>
      </c>
      <c r="D21" s="277" t="str">
        <v>GROCERY</v>
      </c>
      <c r="E21" s="277" t="str">
        <v>Global Bid</v>
      </c>
      <c r="F21" s="277" t="str">
        <v>Award</v>
      </c>
      <c r="G21" s="277" t="str">
        <v>Chris McSpadden</v>
      </c>
      <c r="H21" s="277" t="str">
        <v/>
      </c>
      <c r="I21" s="277" t="str">
        <v>Yao Fu</v>
      </c>
      <c r="J21" s="277" t="str">
        <v>Post Award</v>
      </c>
      <c r="K21" s="278">
        <v>44750</v>
      </c>
      <c r="L21" s="279" t="str" cm="1">
        <f t="array" ref="L21">IFERROR(IF(_xlfn._xlws.FILTER(Table1[Remarks],(Table1[Category]=C21)*(Table1[Execution Year]=$C$4)*(Table1[Most curent]=TRUE))=0,"",_xlfn._xlws.FILTER(Table1[Remarks],(Table1[Category]=C21)*(Table1[Execution Year]=$C$4)*(Table1[Most curent]=TRUE))),"")</f>
        <v/>
      </c>
      <c r="M21" s="280" t="str" cm="1">
        <f t="array" ref="M21">IFERROR(_xlfn._xlws.FILTER(Table1[Start Date - US],(Table1[Category]=C21)*(Table1[Execution Year]=$C$4)*(Table1[Most curent]=TRUE)),"")</f>
        <v/>
      </c>
      <c r="AP21" t="str">
        <v>SCO Lead</v>
      </c>
      <c r="AQ21">
        <v>19</v>
      </c>
      <c r="AR21">
        <v>1</v>
      </c>
    </row>
    <row r="22" spans="2:46">
      <c r="B22" s="277">
        <v>13</v>
      </c>
      <c r="C22" s="277" t="str">
        <v>Olive Oil</v>
      </c>
      <c r="D22" s="277" t="str">
        <v>GROCERY</v>
      </c>
      <c r="E22" s="277" t="str">
        <v>DI/Domestic Bid</v>
      </c>
      <c r="F22" s="277" t="str">
        <v>Pipeline</v>
      </c>
      <c r="G22" s="277" t="str">
        <v>Chris McSpadden</v>
      </c>
      <c r="H22" s="277" t="str">
        <v/>
      </c>
      <c r="I22" s="277" t="str">
        <v>TBD</v>
      </c>
      <c r="J22" s="277" t="str">
        <v>Bid Prep</v>
      </c>
      <c r="K22" s="278">
        <v>44835</v>
      </c>
      <c r="L22" s="279" t="str" cm="1">
        <f t="array" ref="L22">IFERROR(IF(_xlfn._xlws.FILTER(Table1[Remarks],(Table1[Category]=C22)*(Table1[Execution Year]=$C$4)*(Table1[Most curent]=TRUE))=0,"",_xlfn._xlws.FILTER(Table1[Remarks],(Table1[Category]=C22)*(Table1[Execution Year]=$C$4)*(Table1[Most curent]=TRUE))),"")</f>
        <v/>
      </c>
      <c r="M22" s="280" t="str" cm="1">
        <f t="array" ref="M22">IFERROR(_xlfn._xlws.FILTER(Table1[Start Date - US],(Table1[Category]=C22)*(Table1[Execution Year]=$C$4)*(Table1[Most curent]=TRUE)),"")</f>
        <v/>
      </c>
      <c r="AP22" t="str">
        <v>Next Phase</v>
      </c>
      <c r="AQ22">
        <v>20</v>
      </c>
      <c r="AR22">
        <v>1</v>
      </c>
    </row>
    <row r="23" spans="2:46">
      <c r="B23" s="277">
        <v>14</v>
      </c>
      <c r="C23" s="277" t="str">
        <v>Green Olives</v>
      </c>
      <c r="D23" s="277">
        <v>0</v>
      </c>
      <c r="E23" s="277">
        <v>0</v>
      </c>
      <c r="F23" s="277" t="str">
        <v>Complete</v>
      </c>
      <c r="G23" s="277" t="str">
        <v>Greg Jenkins</v>
      </c>
      <c r="H23" s="277" t="str">
        <v/>
      </c>
      <c r="I23" s="277">
        <v>0</v>
      </c>
      <c r="J23" s="277">
        <v>0</v>
      </c>
      <c r="K23" s="278">
        <v>0</v>
      </c>
      <c r="L23" s="279" t="str" cm="1">
        <f t="array" ref="L23">IFERROR(IF(_xlfn._xlws.FILTER(Table1[Remarks],(Table1[Category]=C23)*(Table1[Execution Year]=$C$4)*(Table1[Most curent]=TRUE))=0,"",_xlfn._xlws.FILTER(Table1[Remarks],(Table1[Category]=C23)*(Table1[Execution Year]=$C$4)*(Table1[Most curent]=TRUE))),"")</f>
        <v/>
      </c>
      <c r="M23" s="280" t="str" cm="1">
        <f t="array" ref="M23">IFERROR(_xlfn._xlws.FILTER(Table1[Start Date - US],(Table1[Category]=C23)*(Table1[Execution Year]=$C$4)*(Table1[Most curent]=TRUE)),"")</f>
        <v/>
      </c>
      <c r="AP23" t="str">
        <v>Next Phase End Date</v>
      </c>
      <c r="AQ23">
        <v>21</v>
      </c>
      <c r="AR23">
        <v>1</v>
      </c>
    </row>
    <row r="24" spans="2:46">
      <c r="B24" s="277">
        <v>15</v>
      </c>
      <c r="C24" s="277" t="str">
        <v>Pickles</v>
      </c>
      <c r="D24" s="277">
        <v>0</v>
      </c>
      <c r="E24" s="277">
        <v>0</v>
      </c>
      <c r="F24" s="277" t="str">
        <v>Complete</v>
      </c>
      <c r="G24" s="277" t="str">
        <v>Greg Jenkins</v>
      </c>
      <c r="H24" s="277" t="str">
        <v/>
      </c>
      <c r="I24" s="277">
        <v>0</v>
      </c>
      <c r="J24" s="277">
        <v>0</v>
      </c>
      <c r="K24" s="278">
        <v>0</v>
      </c>
      <c r="L24" s="279" t="str" cm="1">
        <f t="array" ref="L24">IFERROR(IF(_xlfn._xlws.FILTER(Table1[Remarks],(Table1[Category]=C24)*(Table1[Execution Year]=$C$4)*(Table1[Most curent]=TRUE))=0,"",_xlfn._xlws.FILTER(Table1[Remarks],(Table1[Category]=C24)*(Table1[Execution Year]=$C$4)*(Table1[Most curent]=TRUE))),"")</f>
        <v/>
      </c>
      <c r="M24" s="280" t="str" cm="1">
        <f t="array" ref="M24">IFERROR(_xlfn._xlws.FILTER(Table1[Start Date - US],(Table1[Category]=C24)*(Table1[Execution Year]=$C$4)*(Table1[Most curent]=TRUE)),"")</f>
        <v/>
      </c>
      <c r="AP24" t="str">
        <v>Primary Dept No</v>
      </c>
      <c r="AQ24">
        <v>22</v>
      </c>
      <c r="AR24">
        <v>1</v>
      </c>
    </row>
    <row r="25" spans="2:46">
      <c r="B25" s="277">
        <v>16</v>
      </c>
      <c r="C25" s="277" t="str">
        <v>Cookies &amp; Crackers</v>
      </c>
      <c r="D25" s="277" t="str">
        <v>SNACKS AND BEVERAGES</v>
      </c>
      <c r="E25" s="277" t="str">
        <v>Global Bid</v>
      </c>
      <c r="F25" s="277" t="str">
        <v>Bid Prep</v>
      </c>
      <c r="G25" s="277" t="str">
        <v>Christine Dillard</v>
      </c>
      <c r="H25" s="277" t="str">
        <v/>
      </c>
      <c r="I25" s="277" t="str">
        <v>Jake Deans</v>
      </c>
      <c r="J25" s="277" t="str">
        <v>RFP1</v>
      </c>
      <c r="K25" s="278">
        <v>0</v>
      </c>
      <c r="L25" s="279" t="str" cm="1">
        <f t="array" ref="L25">IFERROR(IF(_xlfn._xlws.FILTER(Table1[Remarks],(Table1[Category]=C25)*(Table1[Execution Year]=$C$4)*(Table1[Most curent]=TRUE))=0,"",_xlfn._xlws.FILTER(Table1[Remarks],(Table1[Category]=C25)*(Table1[Execution Year]=$C$4)*(Table1[Most curent]=TRUE))),"")</f>
        <v/>
      </c>
      <c r="M25" s="280" t="str" cm="1">
        <f t="array" ref="M25">IFERROR(_xlfn._xlws.FILTER(Table1[Start Date - US],(Table1[Category]=C25)*(Table1[Execution Year]=$C$4)*(Table1[Most curent]=TRUE)),"")</f>
        <v/>
      </c>
      <c r="AP25" t="str">
        <v>Latest Award Date</v>
      </c>
      <c r="AQ25">
        <v>23</v>
      </c>
    </row>
    <row r="26" spans="2:46">
      <c r="B26" s="277"/>
      <c r="C26" s="277"/>
      <c r="D26" s="277"/>
      <c r="E26" s="277"/>
      <c r="F26" s="277"/>
      <c r="G26" s="277"/>
      <c r="H26" s="277"/>
      <c r="I26" s="277"/>
      <c r="J26" s="277"/>
      <c r="K26" s="278"/>
      <c r="L26" s="279" t="str" cm="1">
        <f t="array" ref="L26">IFERROR(IF(_xlfn._xlws.FILTER(Table1[Remarks],(Table1[Category]=C26)*(Table1[Execution Year]=$C$4)*(Table1[Most curent]=TRUE))=0,"",_xlfn._xlws.FILTER(Table1[Remarks],(Table1[Category]=C26)*(Table1[Execution Year]=$C$4)*(Table1[Most curent]=TRUE))),"")</f>
        <v/>
      </c>
      <c r="M26" s="280" t="str" cm="1">
        <f t="array" ref="M26">IFERROR(_xlfn._xlws.FILTER(Table1[Start Date - US],(Table1[Category]=C26)*(Table1[Execution Year]=$C$4)*(Table1[Most curent]=TRUE)),"")</f>
        <v/>
      </c>
      <c r="AP26" t="str">
        <v>Display Phase</v>
      </c>
      <c r="AQ26">
        <v>24</v>
      </c>
    </row>
    <row r="27" spans="2:46">
      <c r="B27" s="277"/>
      <c r="C27" s="277"/>
      <c r="D27" s="277"/>
      <c r="E27" s="277"/>
      <c r="F27" s="277"/>
      <c r="G27" s="277"/>
      <c r="H27" s="277"/>
      <c r="I27" s="277"/>
      <c r="J27" s="277"/>
      <c r="K27" s="278"/>
      <c r="L27" s="279" t="str" cm="1">
        <f t="array" ref="L27">IFERROR(IF(_xlfn._xlws.FILTER(Table1[Remarks],(Table1[Category]=C27)*(Table1[Execution Year]=$C$4)*(Table1[Most curent]=TRUE))=0,"",_xlfn._xlws.FILTER(Table1[Remarks],(Table1[Category]=C27)*(Table1[Execution Year]=$C$4)*(Table1[Most curent]=TRUE))),"")</f>
        <v/>
      </c>
      <c r="M27" s="280" t="str" cm="1">
        <f t="array" ref="M27">IFERROR(_xlfn._xlws.FILTER(Table1[Start Date - US],(Table1[Category]=C27)*(Table1[Execution Year]=$C$4)*(Table1[Most curent]=TRUE)),"")</f>
        <v/>
      </c>
      <c r="AP27" t="str">
        <v>CAN</v>
      </c>
      <c r="AQ27">
        <v>25</v>
      </c>
    </row>
    <row r="28" spans="2:46">
      <c r="B28" s="277"/>
      <c r="C28" s="277"/>
      <c r="D28" s="277"/>
      <c r="E28" s="277"/>
      <c r="F28" s="277"/>
      <c r="G28" s="277"/>
      <c r="H28" s="277"/>
      <c r="I28" s="277"/>
      <c r="J28" s="277"/>
      <c r="K28" s="278"/>
      <c r="L28" s="279" t="str" cm="1">
        <f t="array" ref="L28">IFERROR(IF(_xlfn._xlws.FILTER(Table1[Remarks],(Table1[Category]=C28)*(Table1[Execution Year]=$C$4)*(Table1[Most curent]=TRUE))=0,"",_xlfn._xlws.FILTER(Table1[Remarks],(Table1[Category]=C28)*(Table1[Execution Year]=$C$4)*(Table1[Most curent]=TRUE))),"")</f>
        <v/>
      </c>
      <c r="M28" s="280" t="str" cm="1">
        <f t="array" ref="M28">IFERROR(_xlfn._xlws.FILTER(Table1[Start Date - US],(Table1[Category]=C28)*(Table1[Execution Year]=$C$4)*(Table1[Most curent]=TRUE)),"")</f>
        <v/>
      </c>
      <c r="AP28" t="str">
        <v>MEX</v>
      </c>
      <c r="AQ28">
        <v>26</v>
      </c>
    </row>
    <row r="29" spans="2:46">
      <c r="B29" s="277"/>
      <c r="C29" s="277"/>
      <c r="D29" s="277"/>
      <c r="E29" s="277"/>
      <c r="F29" s="277"/>
      <c r="G29" s="277"/>
      <c r="H29" s="277"/>
      <c r="I29" s="277"/>
      <c r="J29" s="277"/>
      <c r="K29" s="278"/>
      <c r="L29" s="279" t="str" cm="1">
        <f t="array" ref="L29">IFERROR(IF(_xlfn._xlws.FILTER(Table1[Remarks],(Table1[Category]=C29)*(Table1[Execution Year]=$C$4)*(Table1[Most curent]=TRUE))=0,"",_xlfn._xlws.FILTER(Table1[Remarks],(Table1[Category]=C29)*(Table1[Execution Year]=$C$4)*(Table1[Most curent]=TRUE))),"")</f>
        <v/>
      </c>
      <c r="M29" s="280" t="str" cm="1">
        <f t="array" ref="M29">IFERROR(_xlfn._xlws.FILTER(Table1[Start Date - US],(Table1[Category]=C29)*(Table1[Execution Year]=$C$4)*(Table1[Most curent]=TRUE)),"")</f>
        <v/>
      </c>
      <c r="AP29" t="str">
        <v>CAM</v>
      </c>
      <c r="AQ29">
        <v>27</v>
      </c>
    </row>
    <row r="30" spans="2:46">
      <c r="B30" s="277"/>
      <c r="C30" s="277"/>
      <c r="D30" s="277"/>
      <c r="E30" s="277"/>
      <c r="F30" s="277"/>
      <c r="G30" s="277"/>
      <c r="H30" s="277"/>
      <c r="I30" s="277"/>
      <c r="J30" s="277"/>
      <c r="K30" s="278"/>
      <c r="L30" s="279" t="str" cm="1">
        <f t="array" ref="L30">IFERROR(IF(_xlfn._xlws.FILTER(Table1[Remarks],(Table1[Category]=C30)*(Table1[Execution Year]=$C$4)*(Table1[Most curent]=TRUE))=0,"",_xlfn._xlws.FILTER(Table1[Remarks],(Table1[Category]=C30)*(Table1[Execution Year]=$C$4)*(Table1[Most curent]=TRUE))),"")</f>
        <v/>
      </c>
      <c r="M30" s="280" t="str" cm="1">
        <f t="array" ref="M30">IFERROR(_xlfn._xlws.FILTER(Table1[Start Date - US],(Table1[Category]=C30)*(Table1[Execution Year]=$C$4)*(Table1[Most curent]=TRUE)),"")</f>
        <v/>
      </c>
      <c r="AP30" t="str">
        <v>CHL</v>
      </c>
      <c r="AQ30">
        <v>28</v>
      </c>
    </row>
    <row r="31" spans="2:46">
      <c r="B31" s="277"/>
      <c r="C31" s="277"/>
      <c r="D31" s="277"/>
      <c r="E31" s="277"/>
      <c r="F31" s="277"/>
      <c r="G31" s="277"/>
      <c r="H31" s="277"/>
      <c r="I31" s="277"/>
      <c r="J31" s="277"/>
      <c r="K31" s="278"/>
      <c r="L31" s="279" t="str" cm="1">
        <f t="array" ref="L31">IFERROR(IF(_xlfn._xlws.FILTER(Table1[Remarks],(Table1[Category]=C31)*(Table1[Execution Year]=$C$4)*(Table1[Most curent]=TRUE))=0,"",_xlfn._xlws.FILTER(Table1[Remarks],(Table1[Category]=C31)*(Table1[Execution Year]=$C$4)*(Table1[Most curent]=TRUE))),"")</f>
        <v/>
      </c>
      <c r="M31" s="280" t="str" cm="1">
        <f t="array" ref="M31">IFERROR(_xlfn._xlws.FILTER(Table1[Start Date - US],(Table1[Category]=C31)*(Table1[Execution Year]=$C$4)*(Table1[Most curent]=TRUE)),"")</f>
        <v/>
      </c>
      <c r="AP31" t="str">
        <v>ARG</v>
      </c>
      <c r="AQ31">
        <v>29</v>
      </c>
    </row>
    <row r="32" spans="2:46">
      <c r="B32" s="277"/>
      <c r="C32" s="277"/>
      <c r="D32" s="277"/>
      <c r="E32" s="277"/>
      <c r="F32" s="277"/>
      <c r="G32" s="277"/>
      <c r="H32" s="277"/>
      <c r="I32" s="277"/>
      <c r="J32" s="277"/>
      <c r="K32" s="278"/>
      <c r="L32" s="279" t="str" cm="1">
        <f t="array" ref="L32">IFERROR(IF(_xlfn._xlws.FILTER(Table1[Remarks],(Table1[Category]=C32)*(Table1[Execution Year]=$C$4)*(Table1[Most curent]=TRUE))=0,"",_xlfn._xlws.FILTER(Table1[Remarks],(Table1[Category]=C32)*(Table1[Execution Year]=$C$4)*(Table1[Most curent]=TRUE))),"")</f>
        <v/>
      </c>
      <c r="M32" s="280" t="str" cm="1">
        <f t="array" ref="M32">IFERROR(_xlfn._xlws.FILTER(Table1[Start Date - US],(Table1[Category]=C32)*(Table1[Execution Year]=$C$4)*(Table1[Most curent]=TRUE)),"")</f>
        <v/>
      </c>
      <c r="AP32" t="str">
        <v>CHN</v>
      </c>
      <c r="AQ32">
        <v>30</v>
      </c>
    </row>
    <row r="33" spans="2:43">
      <c r="B33" s="277"/>
      <c r="C33" s="277"/>
      <c r="D33" s="277"/>
      <c r="E33" s="277"/>
      <c r="F33" s="277"/>
      <c r="G33" s="277"/>
      <c r="H33" s="277"/>
      <c r="I33" s="277"/>
      <c r="J33" s="277"/>
      <c r="K33" s="278"/>
      <c r="L33" s="279" t="str" cm="1">
        <f t="array" ref="L33">IFERROR(IF(_xlfn._xlws.FILTER(Table1[Remarks],(Table1[Category]=C33)*(Table1[Execution Year]=$C$4)*(Table1[Most curent]=TRUE))=0,"",_xlfn._xlws.FILTER(Table1[Remarks],(Table1[Category]=C33)*(Table1[Execution Year]=$C$4)*(Table1[Most curent]=TRUE))),"")</f>
        <v/>
      </c>
      <c r="M33" s="280" t="str" cm="1">
        <f t="array" ref="M33">IFERROR(_xlfn._xlws.FILTER(Table1[Start Date - US],(Table1[Category]=C33)*(Table1[Execution Year]=$C$4)*(Table1[Most curent]=TRUE)),"")</f>
        <v/>
      </c>
      <c r="AP33" t="str">
        <v>JAP</v>
      </c>
      <c r="AQ33">
        <v>31</v>
      </c>
    </row>
    <row r="34" spans="2:43">
      <c r="B34" s="277"/>
      <c r="C34" s="277"/>
      <c r="D34" s="277"/>
      <c r="E34" s="277"/>
      <c r="F34" s="277"/>
      <c r="G34" s="277"/>
      <c r="H34" s="277"/>
      <c r="I34" s="277"/>
      <c r="J34" s="277"/>
      <c r="K34" s="278"/>
      <c r="L34" s="279" t="str" cm="1">
        <f t="array" ref="L34">IFERROR(IF(_xlfn._xlws.FILTER(Table1[Remarks],(Table1[Category]=C34)*(Table1[Execution Year]=$C$4)*(Table1[Most curent]=TRUE))=0,"",_xlfn._xlws.FILTER(Table1[Remarks],(Table1[Category]=C34)*(Table1[Execution Year]=$C$4)*(Table1[Most curent]=TRUE))),"")</f>
        <v/>
      </c>
      <c r="M34" s="280" t="str" cm="1">
        <f t="array" ref="M34">IFERROR(_xlfn._xlws.FILTER(Table1[Start Date - US],(Table1[Category]=C34)*(Table1[Execution Year]=$C$4)*(Table1[Most curent]=TRUE)),"")</f>
        <v/>
      </c>
      <c r="AP34" t="str">
        <v>UKN</v>
      </c>
      <c r="AQ34">
        <v>32</v>
      </c>
    </row>
    <row r="35" spans="2:43">
      <c r="B35" s="277"/>
      <c r="C35" s="277"/>
      <c r="D35" s="277"/>
      <c r="E35" s="277"/>
      <c r="F35" s="277"/>
      <c r="G35" s="277"/>
      <c r="H35" s="277"/>
      <c r="I35" s="277"/>
      <c r="J35" s="277"/>
      <c r="K35" s="278"/>
      <c r="L35" s="279" t="str" cm="1">
        <f t="array" ref="L35">IFERROR(IF(_xlfn._xlws.FILTER(Table1[Remarks],(Table1[Category]=C35)*(Table1[Execution Year]=$C$4)*(Table1[Most curent]=TRUE))=0,"",_xlfn._xlws.FILTER(Table1[Remarks],(Table1[Category]=C35)*(Table1[Execution Year]=$C$4)*(Table1[Most curent]=TRUE))),"")</f>
        <v/>
      </c>
      <c r="M35" s="280" t="str" cm="1">
        <f t="array" ref="M35">IFERROR(_xlfn._xlws.FILTER(Table1[Start Date - US],(Table1[Category]=C35)*(Table1[Execution Year]=$C$4)*(Table1[Most curent]=TRUE)),"")</f>
        <v/>
      </c>
      <c r="AP35" t="str">
        <v>SAF</v>
      </c>
      <c r="AQ35">
        <v>33</v>
      </c>
    </row>
    <row r="36" spans="2:43">
      <c r="B36" s="277"/>
      <c r="C36" s="277"/>
      <c r="D36" s="277"/>
      <c r="E36" s="277"/>
      <c r="F36" s="277"/>
      <c r="G36" s="277"/>
      <c r="H36" s="277"/>
      <c r="I36" s="277"/>
      <c r="J36" s="277"/>
      <c r="K36" s="278"/>
      <c r="L36" s="279" t="str" cm="1">
        <f t="array" ref="L36">IFERROR(IF(_xlfn._xlws.FILTER(Table1[Remarks],(Table1[Category]=C36)*(Table1[Execution Year]=$C$4)*(Table1[Most curent]=TRUE))=0,"",_xlfn._xlws.FILTER(Table1[Remarks],(Table1[Category]=C36)*(Table1[Execution Year]=$C$4)*(Table1[Most curent]=TRUE))),"")</f>
        <v/>
      </c>
      <c r="M36" s="280" t="str" cm="1">
        <f t="array" ref="M36">IFERROR(_xlfn._xlws.FILTER(Table1[Start Date - US],(Table1[Category]=C36)*(Table1[Execution Year]=$C$4)*(Table1[Most curent]=TRUE)),"")</f>
        <v/>
      </c>
      <c r="AP36" t="str">
        <v>US</v>
      </c>
      <c r="AQ36">
        <v>34</v>
      </c>
    </row>
    <row r="37" spans="2:43">
      <c r="B37" s="277"/>
      <c r="C37" s="277"/>
      <c r="D37" s="277"/>
      <c r="E37" s="277"/>
      <c r="F37" s="277"/>
      <c r="G37" s="277"/>
      <c r="H37" s="277"/>
      <c r="I37" s="277"/>
      <c r="J37" s="277"/>
      <c r="K37" s="278"/>
      <c r="L37" s="279" t="str" cm="1">
        <f t="array" ref="L37">IFERROR(IF(_xlfn._xlws.FILTER(Table1[Remarks],(Table1[Category]=C37)*(Table1[Execution Year]=$C$4)*(Table1[Most curent]=TRUE))=0,"",_xlfn._xlws.FILTER(Table1[Remarks],(Table1[Category]=C37)*(Table1[Execution Year]=$C$4)*(Table1[Most curent]=TRUE))),"")</f>
        <v/>
      </c>
      <c r="M37" s="280" t="str" cm="1">
        <f t="array" ref="M37">IFERROR(_xlfn._xlws.FILTER(Table1[Start Date - US],(Table1[Category]=C37)*(Table1[Execution Year]=$C$4)*(Table1[Most curent]=TRUE)),"")</f>
        <v/>
      </c>
      <c r="AP37" t="str">
        <v>Sams</v>
      </c>
      <c r="AQ37">
        <v>35</v>
      </c>
    </row>
    <row r="38" spans="2:43">
      <c r="B38" s="277"/>
      <c r="C38" s="277"/>
      <c r="D38" s="277"/>
      <c r="E38" s="277"/>
      <c r="F38" s="277"/>
      <c r="G38" s="277"/>
      <c r="H38" s="277"/>
      <c r="I38" s="277"/>
      <c r="J38" s="277"/>
      <c r="K38" s="278"/>
      <c r="L38" s="279" t="str" cm="1">
        <f t="array" ref="L38">IFERROR(IF(_xlfn._xlws.FILTER(Table1[Remarks],(Table1[Category]=C38)*(Table1[Execution Year]=$C$4)*(Table1[Most curent]=TRUE))=0,"",_xlfn._xlws.FILTER(Table1[Remarks],(Table1[Category]=C38)*(Table1[Execution Year]=$C$4)*(Table1[Most curent]=TRUE))),"")</f>
        <v/>
      </c>
      <c r="M38" s="280" t="str" cm="1">
        <f t="array" ref="M38">IFERROR(_xlfn._xlws.FILTER(Table1[Start Date - US],(Table1[Category]=C38)*(Table1[Execution Year]=$C$4)*(Table1[Most curent]=TRUE)),"")</f>
        <v/>
      </c>
      <c r="AP38" t="str">
        <v>Sams Mexico</v>
      </c>
      <c r="AQ38">
        <v>36</v>
      </c>
    </row>
    <row r="39" spans="2:43">
      <c r="B39" s="277"/>
      <c r="C39" s="277"/>
      <c r="D39" s="277"/>
      <c r="E39" s="277"/>
      <c r="F39" s="277"/>
      <c r="G39" s="277"/>
      <c r="H39" s="277"/>
      <c r="I39" s="277"/>
      <c r="J39" s="277"/>
      <c r="K39" s="279"/>
      <c r="L39" s="279" t="str" cm="1">
        <f t="array" ref="L39">IFERROR(IF(_xlfn._xlws.FILTER(Table1[Remarks],(Table1[Category]=C39)*(Table1[Execution Year]=$C$4)*(Table1[Most curent]=TRUE))=0,"",_xlfn._xlws.FILTER(Table1[Remarks],(Table1[Category]=C39)*(Table1[Execution Year]=$C$4)*(Table1[Most curent]=TRUE))),"")</f>
        <v/>
      </c>
      <c r="M39" s="280" t="str" cm="1">
        <f t="array" ref="M39">IFERROR(_xlfn._xlws.FILTER(Table1[Start Date - US],(Table1[Category]=C39)*(Table1[Execution Year]=$C$4)*(Table1[Most curent]=TRUE)),"")</f>
        <v/>
      </c>
      <c r="AP39" t="str">
        <v>Sams China</v>
      </c>
      <c r="AQ39">
        <v>37</v>
      </c>
    </row>
    <row r="40" spans="2:43">
      <c r="B40" s="277"/>
      <c r="C40" s="277"/>
      <c r="D40" s="277"/>
      <c r="E40" s="277"/>
      <c r="F40" s="277"/>
      <c r="G40" s="277"/>
      <c r="H40" s="277"/>
      <c r="I40" s="277"/>
      <c r="J40" s="277"/>
      <c r="K40" s="279"/>
      <c r="L40" s="279" t="str" cm="1">
        <f t="array" ref="L40">IFERROR(IF(_xlfn._xlws.FILTER(Table1[Remarks],(Table1[Category]=C40)*(Table1[Execution Year]=$C$4)*(Table1[Most curent]=TRUE))=0,"",_xlfn._xlws.FILTER(Table1[Remarks],(Table1[Category]=C40)*(Table1[Execution Year]=$C$4)*(Table1[Most curent]=TRUE))),"")</f>
        <v/>
      </c>
      <c r="M40" s="280" t="str" cm="1">
        <f t="array" ref="M40">IFERROR(_xlfn._xlws.FILTER(Table1[Start Date - US],(Table1[Category]=C40)*(Table1[Execution Year]=$C$4)*(Table1[Most curent]=TRUE)),"")</f>
        <v/>
      </c>
      <c r="AP40" t="str">
        <v>IND</v>
      </c>
      <c r="AQ40">
        <v>38</v>
      </c>
    </row>
    <row r="41" spans="2:43">
      <c r="B41" s="277"/>
      <c r="C41" s="277"/>
      <c r="D41" s="277"/>
      <c r="E41" s="277"/>
      <c r="F41" s="277"/>
      <c r="G41" s="277"/>
      <c r="H41" s="277"/>
      <c r="I41" s="277"/>
      <c r="J41" s="277"/>
      <c r="K41" s="279"/>
      <c r="L41" s="279" t="str" cm="1">
        <f t="array" ref="L41">IFERROR(IF(_xlfn._xlws.FILTER(Table1[Remarks],(Table1[Category]=C41)*(Table1[Execution Year]=$C$4)*(Table1[Most curent]=TRUE))=0,"",_xlfn._xlws.FILTER(Table1[Remarks],(Table1[Category]=C41)*(Table1[Execution Year]=$C$4)*(Table1[Most curent]=TRUE))),"")</f>
        <v/>
      </c>
      <c r="M41" s="280" t="str" cm="1">
        <f t="array" ref="M41">IFERROR(_xlfn._xlws.FILTER(Table1[Start Date - US],(Table1[Category]=C41)*(Table1[Execution Year]=$C$4)*(Table1[Most curent]=TRUE)),"")</f>
        <v/>
      </c>
    </row>
    <row r="42" spans="2:43">
      <c r="B42" s="277"/>
      <c r="C42" s="277"/>
      <c r="D42" s="277"/>
      <c r="E42" s="277"/>
      <c r="F42" s="277"/>
      <c r="G42" s="277"/>
      <c r="H42" s="277"/>
      <c r="I42" s="277"/>
      <c r="J42" s="277"/>
      <c r="K42" s="279"/>
      <c r="L42" s="279" t="str" cm="1">
        <f t="array" ref="L42">IFERROR(IF(_xlfn._xlws.FILTER(Table1[Remarks],(Table1[Category]=C42)*(Table1[Execution Year]=$C$4)*(Table1[Most curent]=TRUE))=0,"",_xlfn._xlws.FILTER(Table1[Remarks],(Table1[Category]=C42)*(Table1[Execution Year]=$C$4)*(Table1[Most curent]=TRUE))),"")</f>
        <v/>
      </c>
      <c r="M42" s="280" t="str" cm="1">
        <f t="array" ref="M42">IFERROR(_xlfn._xlws.FILTER(Table1[Start Date - US],(Table1[Category]=C42)*(Table1[Execution Year]=$C$4)*(Table1[Most curent]=TRUE)),"")</f>
        <v/>
      </c>
    </row>
    <row r="43" spans="2:43">
      <c r="B43" s="277"/>
      <c r="C43" s="277"/>
      <c r="D43" s="277"/>
      <c r="E43" s="277"/>
      <c r="F43" s="277"/>
      <c r="G43" s="277"/>
      <c r="H43" s="277"/>
      <c r="I43" s="277"/>
      <c r="J43" s="277"/>
      <c r="K43" s="277"/>
      <c r="L43" s="279" t="str" cm="1">
        <f t="array" ref="L43">IFERROR(IF(_xlfn._xlws.FILTER(Table1[Remarks],(Table1[Category]=C43)*(Table1[Execution Year]=$C$4)*(Table1[Most curent]=TRUE))=0,"",_xlfn._xlws.FILTER(Table1[Remarks],(Table1[Category]=C43)*(Table1[Execution Year]=$C$4)*(Table1[Most curent]=TRUE))),"")</f>
        <v/>
      </c>
      <c r="M43" s="280" t="str" cm="1">
        <f t="array" ref="M43">IFERROR(_xlfn._xlws.FILTER(Table1[Start Date - US],(Table1[Category]=C43)*(Table1[Execution Year]=$C$4)*(Table1[Most curent]=TRUE)),"")</f>
        <v/>
      </c>
    </row>
    <row r="44" spans="2:43">
      <c r="B44" s="277"/>
      <c r="C44" s="277"/>
      <c r="D44" s="277"/>
      <c r="E44" s="277"/>
      <c r="F44" s="277"/>
      <c r="G44" s="277"/>
      <c r="H44" s="277"/>
      <c r="I44" s="277"/>
      <c r="J44" s="277"/>
      <c r="K44" s="277"/>
      <c r="L44" s="279" t="str" cm="1">
        <f t="array" ref="L44">IFERROR(IF(_xlfn._xlws.FILTER(Table1[Remarks],(Table1[Category]=C44)*(Table1[Execution Year]=$C$4)*(Table1[Most curent]=TRUE))=0,"",_xlfn._xlws.FILTER(Table1[Remarks],(Table1[Category]=C44)*(Table1[Execution Year]=$C$4)*(Table1[Most curent]=TRUE))),"")</f>
        <v/>
      </c>
      <c r="M44" s="280" t="str" cm="1">
        <f t="array" ref="M44">IFERROR(_xlfn._xlws.FILTER(Table1[Start Date - US],(Table1[Category]=C44)*(Table1[Execution Year]=$C$4)*(Table1[Most curent]=TRUE)),"")</f>
        <v/>
      </c>
    </row>
    <row r="45" spans="2:43">
      <c r="B45" s="277"/>
      <c r="C45" s="277"/>
      <c r="D45" s="277"/>
      <c r="E45" s="277"/>
      <c r="F45" s="277"/>
      <c r="G45" s="277"/>
      <c r="H45" s="277"/>
      <c r="I45" s="277"/>
      <c r="J45" s="277"/>
      <c r="K45" s="277"/>
      <c r="L45" s="279" t="str" cm="1">
        <f t="array" ref="L45">IFERROR(IF(_xlfn._xlws.FILTER(Table1[Remarks],(Table1[Category]=C45)*(Table1[Execution Year]=$C$4)*(Table1[Most curent]=TRUE))=0,"",_xlfn._xlws.FILTER(Table1[Remarks],(Table1[Category]=C45)*(Table1[Execution Year]=$C$4)*(Table1[Most curent]=TRUE))),"")</f>
        <v/>
      </c>
      <c r="M45" s="280" t="str" cm="1">
        <f t="array" ref="M45">IFERROR(_xlfn._xlws.FILTER(Table1[Start Date - US],(Table1[Category]=C45)*(Table1[Execution Year]=$C$4)*(Table1[Most curent]=TRUE)),"")</f>
        <v/>
      </c>
    </row>
    <row r="46" spans="2:43">
      <c r="B46" s="277"/>
      <c r="C46" s="277"/>
      <c r="D46" s="277"/>
      <c r="E46" s="277"/>
      <c r="F46" s="277"/>
      <c r="G46" s="277"/>
      <c r="H46" s="277"/>
      <c r="I46" s="277"/>
      <c r="J46" s="277"/>
      <c r="K46" s="277"/>
      <c r="L46" s="279" t="str" cm="1">
        <f t="array" ref="L46">IFERROR(IF(_xlfn._xlws.FILTER(Table1[Remarks],(Table1[Category]=C46)*(Table1[Execution Year]=$C$4)*(Table1[Most curent]=TRUE))=0,"",_xlfn._xlws.FILTER(Table1[Remarks],(Table1[Category]=C46)*(Table1[Execution Year]=$C$4)*(Table1[Most curent]=TRUE))),"")</f>
        <v/>
      </c>
      <c r="M46" s="280" t="str" cm="1">
        <f t="array" ref="M46">IFERROR(_xlfn._xlws.FILTER(Table1[Start Date - US],(Table1[Category]=C46)*(Table1[Execution Year]=$C$4)*(Table1[Most curent]=TRUE)),"")</f>
        <v/>
      </c>
    </row>
    <row r="47" spans="2:43">
      <c r="B47" s="277"/>
      <c r="C47" s="277"/>
      <c r="D47" s="277"/>
      <c r="E47" s="277"/>
      <c r="F47" s="277"/>
      <c r="G47" s="277"/>
      <c r="H47" s="277"/>
      <c r="I47" s="277"/>
      <c r="J47" s="277"/>
      <c r="K47" s="277"/>
      <c r="L47" s="279" t="str" cm="1">
        <f t="array" ref="L47">IFERROR(IF(_xlfn._xlws.FILTER(Table1[Remarks],(Table1[Category]=C47)*(Table1[Execution Year]=$C$4)*(Table1[Most curent]=TRUE))=0,"",_xlfn._xlws.FILTER(Table1[Remarks],(Table1[Category]=C47)*(Table1[Execution Year]=$C$4)*(Table1[Most curent]=TRUE))),"")</f>
        <v/>
      </c>
      <c r="M47" s="280" t="str" cm="1">
        <f t="array" ref="M47">IFERROR(_xlfn._xlws.FILTER(Table1[Start Date - US],(Table1[Category]=C47)*(Table1[Execution Year]=$C$4)*(Table1[Most curent]=TRUE)),"")</f>
        <v/>
      </c>
    </row>
    <row r="48" spans="2:43">
      <c r="B48" s="277"/>
      <c r="C48" s="277"/>
      <c r="D48" s="277"/>
      <c r="E48" s="277"/>
      <c r="F48" s="277"/>
      <c r="G48" s="277"/>
      <c r="H48" s="277"/>
      <c r="I48" s="277"/>
      <c r="J48" s="277"/>
      <c r="K48" s="277"/>
      <c r="L48" s="279" t="str" cm="1">
        <f t="array" ref="L48">IFERROR(IF(_xlfn._xlws.FILTER(Table1[Remarks],(Table1[Category]=C48)*(Table1[Execution Year]=$C$4)*(Table1[Most curent]=TRUE))=0,"",_xlfn._xlws.FILTER(Table1[Remarks],(Table1[Category]=C48)*(Table1[Execution Year]=$C$4)*(Table1[Most curent]=TRUE))),"")</f>
        <v/>
      </c>
      <c r="M48" s="280" t="str" cm="1">
        <f t="array" ref="M48">IFERROR(_xlfn._xlws.FILTER(Table1[Start Date - US],(Table1[Category]=C48)*(Table1[Execution Year]=$C$4)*(Table1[Most curent]=TRUE)),"")</f>
        <v/>
      </c>
    </row>
    <row r="49" spans="2:13">
      <c r="B49" s="277"/>
      <c r="C49" s="277"/>
      <c r="D49" s="277"/>
      <c r="E49" s="277"/>
      <c r="F49" s="277"/>
      <c r="G49" s="277"/>
      <c r="H49" s="277"/>
      <c r="I49" s="277"/>
      <c r="J49" s="277"/>
      <c r="K49" s="277"/>
      <c r="L49" s="279" t="str" cm="1">
        <f t="array" ref="L49">IFERROR(IF(_xlfn._xlws.FILTER(Table1[Remarks],(Table1[Category]=C49)*(Table1[Execution Year]=$C$4)*(Table1[Most curent]=TRUE))=0,"",_xlfn._xlws.FILTER(Table1[Remarks],(Table1[Category]=C49)*(Table1[Execution Year]=$C$4)*(Table1[Most curent]=TRUE))),"")</f>
        <v/>
      </c>
      <c r="M49" s="280" t="str" cm="1">
        <f t="array" ref="M49">IFERROR(_xlfn._xlws.FILTER(Table1[Start Date - US],(Table1[Category]=C49)*(Table1[Execution Year]=$C$4)*(Table1[Most curent]=TRUE)),"")</f>
        <v/>
      </c>
    </row>
    <row r="50" spans="2:13">
      <c r="B50" s="277"/>
      <c r="C50" s="277"/>
      <c r="D50" s="277"/>
      <c r="E50" s="277"/>
      <c r="F50" s="277"/>
      <c r="G50" s="277"/>
      <c r="H50" s="277"/>
      <c r="I50" s="277"/>
      <c r="J50" s="277"/>
      <c r="K50" s="277"/>
      <c r="L50" s="279" t="str" cm="1">
        <f t="array" ref="L50">IFERROR(IF(_xlfn._xlws.FILTER(Table1[Remarks],(Table1[Category]=C50)*(Table1[Execution Year]=$C$4)*(Table1[Most curent]=TRUE))=0,"",_xlfn._xlws.FILTER(Table1[Remarks],(Table1[Category]=C50)*(Table1[Execution Year]=$C$4)*(Table1[Most curent]=TRUE))),"")</f>
        <v/>
      </c>
      <c r="M50" s="280" t="str" cm="1">
        <f t="array" ref="M50">IFERROR(_xlfn._xlws.FILTER(Table1[Start Date - US],(Table1[Category]=C50)*(Table1[Execution Year]=$C$4)*(Table1[Most curent]=TRUE)),"")</f>
        <v/>
      </c>
    </row>
    <row r="51" spans="2:13">
      <c r="B51" s="277"/>
      <c r="C51" s="277"/>
      <c r="D51" s="277"/>
      <c r="E51" s="277"/>
      <c r="F51" s="277"/>
      <c r="G51" s="277"/>
      <c r="H51" s="277"/>
      <c r="I51" s="277"/>
      <c r="J51" s="277"/>
      <c r="K51" s="277"/>
      <c r="L51" s="279" t="str" cm="1">
        <f t="array" ref="L51">IFERROR(IF(_xlfn._xlws.FILTER(Table1[Remarks],(Table1[Category]=C51)*(Table1[Execution Year]=$C$4)*(Table1[Most curent]=TRUE))=0,"",_xlfn._xlws.FILTER(Table1[Remarks],(Table1[Category]=C51)*(Table1[Execution Year]=$C$4)*(Table1[Most curent]=TRUE))),"")</f>
        <v/>
      </c>
      <c r="M51" s="280" t="str" cm="1">
        <f t="array" ref="M51">IFERROR(_xlfn._xlws.FILTER(Table1[Start Date - US],(Table1[Category]=C51)*(Table1[Execution Year]=$C$4)*(Table1[Most curent]=TRUE)),"")</f>
        <v/>
      </c>
    </row>
    <row r="52" spans="2:13">
      <c r="B52" s="277"/>
      <c r="C52" s="277"/>
      <c r="D52" s="277"/>
      <c r="E52" s="277"/>
      <c r="F52" s="277"/>
      <c r="G52" s="277"/>
      <c r="H52" s="277"/>
      <c r="I52" s="277"/>
      <c r="J52" s="277"/>
      <c r="K52" s="277"/>
      <c r="L52" s="279" t="str" cm="1">
        <f t="array" ref="L52">IFERROR(IF(_xlfn._xlws.FILTER(Table1[Remarks],(Table1[Category]=C52)*(Table1[Execution Year]=$C$4)*(Table1[Most curent]=TRUE))=0,"",_xlfn._xlws.FILTER(Table1[Remarks],(Table1[Category]=C52)*(Table1[Execution Year]=$C$4)*(Table1[Most curent]=TRUE))),"")</f>
        <v/>
      </c>
      <c r="M52" s="280" t="str" cm="1">
        <f t="array" ref="M52">IFERROR(_xlfn._xlws.FILTER(Table1[Start Date - US],(Table1[Category]=C52)*(Table1[Execution Year]=$C$4)*(Table1[Most curent]=TRUE)),"")</f>
        <v/>
      </c>
    </row>
    <row r="53" spans="2:13">
      <c r="B53" s="277"/>
      <c r="C53" s="277"/>
      <c r="D53" s="277"/>
      <c r="E53" s="277"/>
      <c r="F53" s="277"/>
      <c r="G53" s="277"/>
      <c r="H53" s="277"/>
      <c r="I53" s="277"/>
      <c r="J53" s="277"/>
      <c r="K53" s="277"/>
      <c r="L53" s="279" t="str" cm="1">
        <f t="array" ref="L53">IFERROR(IF(_xlfn._xlws.FILTER(Table1[Remarks],(Table1[Category]=C53)*(Table1[Execution Year]=$C$4)*(Table1[Most curent]=TRUE))=0,"",_xlfn._xlws.FILTER(Table1[Remarks],(Table1[Category]=C53)*(Table1[Execution Year]=$C$4)*(Table1[Most curent]=TRUE))),"")</f>
        <v/>
      </c>
      <c r="M53" s="280" t="str" cm="1">
        <f t="array" ref="M53">IFERROR(_xlfn._xlws.FILTER(Table1[Start Date - US],(Table1[Category]=C53)*(Table1[Execution Year]=$C$4)*(Table1[Most curent]=TRUE)),"")</f>
        <v/>
      </c>
    </row>
    <row r="54" spans="2:13">
      <c r="B54" s="277"/>
      <c r="C54" s="277"/>
      <c r="D54" s="277"/>
      <c r="E54" s="277"/>
      <c r="F54" s="277"/>
      <c r="G54" s="277"/>
      <c r="H54" s="277"/>
      <c r="I54" s="277"/>
      <c r="J54" s="277"/>
      <c r="K54" s="277"/>
      <c r="L54" s="279" t="str" cm="1">
        <f t="array" ref="L54">IFERROR(IF(_xlfn._xlws.FILTER(Table1[Remarks],(Table1[Category]=C54)*(Table1[Execution Year]=$C$4)*(Table1[Most curent]=TRUE))=0,"",_xlfn._xlws.FILTER(Table1[Remarks],(Table1[Category]=C54)*(Table1[Execution Year]=$C$4)*(Table1[Most curent]=TRUE))),"")</f>
        <v/>
      </c>
      <c r="M54" s="280" t="str" cm="1">
        <f t="array" ref="M54">IFERROR(_xlfn._xlws.FILTER(Table1[Start Date - US],(Table1[Category]=C54)*(Table1[Execution Year]=$C$4)*(Table1[Most curent]=TRUE)),"")</f>
        <v/>
      </c>
    </row>
    <row r="55" spans="2:13">
      <c r="B55" s="277"/>
      <c r="C55" s="277"/>
      <c r="D55" s="277"/>
      <c r="E55" s="277"/>
      <c r="F55" s="277"/>
      <c r="G55" s="277"/>
      <c r="H55" s="277"/>
      <c r="I55" s="277"/>
      <c r="J55" s="277"/>
      <c r="K55" s="277"/>
      <c r="L55" s="279" t="str" cm="1">
        <f t="array" ref="L55">IFERROR(IF(_xlfn._xlws.FILTER(Table1[Remarks],(Table1[Category]=C55)*(Table1[Execution Year]=$C$4)*(Table1[Most curent]=TRUE))=0,"",_xlfn._xlws.FILTER(Table1[Remarks],(Table1[Category]=C55)*(Table1[Execution Year]=$C$4)*(Table1[Most curent]=TRUE))),"")</f>
        <v/>
      </c>
      <c r="M55" s="280" t="str" cm="1">
        <f t="array" ref="M55">IFERROR(_xlfn._xlws.FILTER(Table1[Start Date - US],(Table1[Category]=C55)*(Table1[Execution Year]=$C$4)*(Table1[Most curent]=TRUE)),"")</f>
        <v/>
      </c>
    </row>
    <row r="56" spans="2:13">
      <c r="B56" s="277"/>
      <c r="C56" s="277"/>
      <c r="D56" s="277"/>
      <c r="E56" s="277"/>
      <c r="F56" s="277"/>
      <c r="G56" s="277"/>
      <c r="H56" s="277"/>
      <c r="I56" s="277"/>
      <c r="J56" s="277"/>
      <c r="K56" s="277"/>
      <c r="L56" s="277"/>
      <c r="M56" s="280" t="str" cm="1">
        <f t="array" ref="M56">IFERROR(_xlfn._xlws.FILTER(Table1[Start Date - US],(Table1[Category]=C56)*(Table1[Execution Year]=$C$4)*(Table1[Most curent]=TRUE)),"")</f>
        <v/>
      </c>
    </row>
    <row r="57" spans="2:13">
      <c r="B57" s="277"/>
      <c r="C57" s="277"/>
      <c r="D57" s="277"/>
      <c r="E57" s="277"/>
      <c r="F57" s="277"/>
      <c r="G57" s="277"/>
      <c r="H57" s="277"/>
      <c r="I57" s="277"/>
      <c r="J57" s="277"/>
      <c r="K57" s="277"/>
      <c r="L57" s="277"/>
      <c r="M57" s="280" t="str" cm="1">
        <f t="array" ref="M57">IFERROR(_xlfn._xlws.FILTER(Table1[Start Date - US],(Table1[Category]=C57)*(Table1[Execution Year]=$C$4)*(Table1[Most curent]=TRUE)),"")</f>
        <v/>
      </c>
    </row>
    <row r="58" spans="2:13">
      <c r="B58" s="277"/>
      <c r="C58" s="277"/>
      <c r="D58" s="277"/>
      <c r="E58" s="277"/>
      <c r="F58" s="277"/>
      <c r="G58" s="277"/>
      <c r="H58" s="277"/>
      <c r="I58" s="277"/>
      <c r="J58" s="277"/>
      <c r="K58" s="277"/>
      <c r="L58" s="277"/>
      <c r="M58" s="280" t="str" cm="1">
        <f t="array" ref="M58">IFERROR(_xlfn._xlws.FILTER(Table1[Start Date - US],(Table1[Category]=C58)*(Table1[Execution Year]=$C$4)*(Table1[Most curent]=TRUE)),"")</f>
        <v/>
      </c>
    </row>
    <row r="59" spans="2:13">
      <c r="B59" s="277"/>
      <c r="C59" s="277"/>
      <c r="D59" s="277"/>
      <c r="E59" s="277"/>
      <c r="F59" s="277"/>
      <c r="G59" s="277"/>
      <c r="H59" s="277"/>
      <c r="I59" s="277"/>
      <c r="J59" s="277"/>
      <c r="K59" s="277"/>
      <c r="L59" s="277"/>
      <c r="M59" s="280" t="str" cm="1">
        <f t="array" ref="M59">IFERROR(_xlfn._xlws.FILTER(Table1[Start Date - US],(Table1[Category]=C59)*(Table1[Execution Year]=$C$4)*(Table1[Most curent]=TRUE)),"")</f>
        <v/>
      </c>
    </row>
    <row r="60" spans="2:13">
      <c r="B60" s="277"/>
      <c r="C60" s="277"/>
      <c r="D60" s="277"/>
      <c r="E60" s="277"/>
      <c r="F60" s="277"/>
      <c r="G60" s="277"/>
      <c r="H60" s="277"/>
      <c r="I60" s="277"/>
      <c r="J60" s="277"/>
      <c r="K60" s="277"/>
      <c r="L60" s="277"/>
      <c r="M60" s="280" t="str" cm="1">
        <f t="array" ref="M60">IFERROR(_xlfn._xlws.FILTER(Table1[Start Date - US],(Table1[Category]=C60)*(Table1[Execution Year]=$C$4)*(Table1[Most curent]=TRUE)),"")</f>
        <v/>
      </c>
    </row>
    <row r="61" spans="2:13">
      <c r="B61" s="277"/>
      <c r="C61" s="277"/>
      <c r="D61" s="277"/>
      <c r="E61" s="277"/>
      <c r="F61" s="277"/>
      <c r="G61" s="277"/>
      <c r="H61" s="277"/>
      <c r="I61" s="277"/>
      <c r="J61" s="277"/>
      <c r="K61" s="277"/>
      <c r="L61" s="277"/>
      <c r="M61" s="280" t="str" cm="1">
        <f t="array" ref="M61">IFERROR(_xlfn._xlws.FILTER(Table1[Start Date - US],(Table1[Category]=C61)*(Table1[Execution Year]=$C$4)*(Table1[Most curent]=TRUE)),"")</f>
        <v/>
      </c>
    </row>
    <row r="62" spans="2:13">
      <c r="B62" s="277"/>
      <c r="C62" s="277"/>
      <c r="D62" s="277"/>
      <c r="E62" s="277"/>
      <c r="F62" s="277"/>
      <c r="G62" s="277"/>
      <c r="H62" s="277"/>
      <c r="I62" s="277"/>
      <c r="J62" s="277"/>
      <c r="K62" s="277"/>
      <c r="L62" s="277"/>
      <c r="M62" s="280" t="str" cm="1">
        <f t="array" ref="M62">IFERROR(_xlfn._xlws.FILTER(Table1[Start Date - US],(Table1[Category]=C62)*(Table1[Execution Year]=$C$4)*(Table1[Most curent]=TRUE)),"")</f>
        <v/>
      </c>
    </row>
    <row r="63" spans="2:13">
      <c r="B63" s="277"/>
      <c r="C63" s="277"/>
      <c r="D63" s="277"/>
      <c r="E63" s="277"/>
      <c r="F63" s="277"/>
      <c r="G63" s="277"/>
      <c r="H63" s="277"/>
      <c r="I63" s="277"/>
      <c r="J63" s="277"/>
      <c r="K63" s="277"/>
      <c r="L63" s="277"/>
      <c r="M63" s="280" t="str" cm="1">
        <f t="array" ref="M63">IFERROR(_xlfn._xlws.FILTER(Table1[Start Date - US],(Table1[Category]=C63)*(Table1[Execution Year]=$C$4)*(Table1[Most curent]=TRUE)),"")</f>
        <v/>
      </c>
    </row>
    <row r="64" spans="2:13">
      <c r="B64" s="277"/>
      <c r="C64" s="277"/>
      <c r="D64" s="277"/>
      <c r="E64" s="277"/>
      <c r="F64" s="277"/>
      <c r="G64" s="277"/>
      <c r="H64" s="277"/>
      <c r="I64" s="277"/>
      <c r="J64" s="277"/>
      <c r="K64" s="277"/>
      <c r="L64" s="277"/>
      <c r="M64" s="280" t="str" cm="1">
        <f t="array" ref="M64">IFERROR(_xlfn._xlws.FILTER(Table1[Start Date - US],(Table1[Category]=C64)*(Table1[Execution Year]=$C$4)*(Table1[Most curent]=TRUE)),"")</f>
        <v/>
      </c>
    </row>
    <row r="65" spans="2:13">
      <c r="B65" s="277"/>
      <c r="C65" s="277"/>
      <c r="D65" s="277"/>
      <c r="E65" s="277"/>
      <c r="F65" s="277"/>
      <c r="G65" s="277"/>
      <c r="H65" s="277"/>
      <c r="I65" s="277"/>
      <c r="J65" s="277"/>
      <c r="K65" s="277"/>
      <c r="L65" s="277"/>
      <c r="M65" s="280" t="str" cm="1">
        <f t="array" ref="M65">IFERROR(_xlfn._xlws.FILTER(Table1[Start Date - US],(Table1[Category]=C65)*(Table1[Execution Year]=$C$4)*(Table1[Most curent]=TRUE)),"")</f>
        <v/>
      </c>
    </row>
    <row r="66" spans="2:13">
      <c r="B66" s="277"/>
      <c r="C66" s="277"/>
      <c r="D66" s="277"/>
      <c r="E66" s="277"/>
      <c r="F66" s="277"/>
      <c r="G66" s="277"/>
      <c r="H66" s="277"/>
      <c r="I66" s="277"/>
      <c r="J66" s="277"/>
      <c r="K66" s="277"/>
      <c r="L66" s="277"/>
      <c r="M66" s="280" t="str" cm="1">
        <f t="array" ref="M66">IFERROR(_xlfn._xlws.FILTER(Table1[Start Date - US],(Table1[Category]=C66)*(Table1[Execution Year]=$C$4)*(Table1[Most curent]=TRUE)),"")</f>
        <v/>
      </c>
    </row>
    <row r="67" spans="2:13">
      <c r="B67" s="277"/>
      <c r="C67" s="277"/>
      <c r="D67" s="277"/>
      <c r="E67" s="277"/>
      <c r="F67" s="277"/>
      <c r="G67" s="277"/>
      <c r="H67" s="277"/>
      <c r="I67" s="277"/>
      <c r="J67" s="277"/>
      <c r="K67" s="277"/>
      <c r="L67" s="277"/>
      <c r="M67" s="280" t="str" cm="1">
        <f t="array" ref="M67">IFERROR(_xlfn._xlws.FILTER(Table1[Start Date - US],(Table1[Category]=C67)*(Table1[Execution Year]=$C$4)*(Table1[Most curent]=TRUE)),"")</f>
        <v/>
      </c>
    </row>
    <row r="68" spans="2:13">
      <c r="B68" s="277"/>
      <c r="C68" s="277"/>
      <c r="D68" s="277"/>
      <c r="E68" s="277"/>
      <c r="F68" s="277"/>
      <c r="G68" s="277"/>
      <c r="H68" s="277"/>
      <c r="I68" s="277"/>
      <c r="J68" s="277"/>
      <c r="K68" s="277"/>
      <c r="L68" s="277"/>
      <c r="M68" s="280" t="str" cm="1">
        <f t="array" ref="M68">IFERROR(_xlfn._xlws.FILTER(Table1[Start Date - US],(Table1[Category]=C68)*(Table1[Execution Year]=$C$4)*(Table1[Most curent]=TRUE)),"")</f>
        <v/>
      </c>
    </row>
    <row r="69" spans="2:13">
      <c r="M69" s="268" t="str" cm="1">
        <f t="array" ref="M69">IFERROR(_xlfn._xlws.FILTER(Table1[Start Date - US],(Table1[Category]=C69)*(Table1[Execution Year]=$C$4)*(Table1[Most curent]=TRUE)),"")</f>
        <v/>
      </c>
    </row>
    <row r="70" spans="2:13">
      <c r="M70" s="268" t="str" cm="1">
        <f t="array" ref="M70">IFERROR(_xlfn._xlws.FILTER(Table1[Start Date - US],(Table1[Category]=C70)*(Table1[Execution Year]=$C$4)*(Table1[Most curent]=TRUE)),"")</f>
        <v/>
      </c>
    </row>
    <row r="71" spans="2:13">
      <c r="M71" s="268" t="str" cm="1">
        <f t="array" ref="M71">IFERROR(_xlfn._xlws.FILTER(Table1[Start Date - US],(Table1[Category]=C71)*(Table1[Execution Year]=$C$4)*(Table1[Most curent]=TRUE)),"")</f>
        <v/>
      </c>
    </row>
    <row r="72" spans="2:13">
      <c r="M72" s="268" t="str" cm="1">
        <f t="array" ref="M72">IFERROR(_xlfn._xlws.FILTER(Table1[Start Date - US],(Table1[Category]=C72)*(Table1[Execution Year]=$C$4)*(Table1[Most curent]=TRUE)),"")</f>
        <v/>
      </c>
    </row>
    <row r="73" spans="2:13">
      <c r="M73" s="268" t="str" cm="1">
        <f t="array" ref="M73">IFERROR(_xlfn._xlws.FILTER(Table1[Start Date - US],(Table1[Category]=C73)*(Table1[Execution Year]=$C$4)*(Table1[Most curent]=TRUE)),"")</f>
        <v/>
      </c>
    </row>
    <row r="74" spans="2:13">
      <c r="M74" s="268" t="str" cm="1">
        <f t="array" ref="M74">IFERROR(_xlfn._xlws.FILTER(Table1[Start Date - US],(Table1[Category]=C74)*(Table1[Execution Year]=$C$4)*(Table1[Most curent]=TRUE)),"")</f>
        <v/>
      </c>
    </row>
    <row r="75" spans="2:13">
      <c r="M75" s="268" t="str" cm="1">
        <f t="array" ref="M75">IFERROR(_xlfn._xlws.FILTER(Table1[Start Date - US],(Table1[Category]=C75)*(Table1[Execution Year]=$C$4)*(Table1[Most curent]=TRUE)),"")</f>
        <v/>
      </c>
    </row>
    <row r="76" spans="2:13">
      <c r="M76" s="268" t="str" cm="1">
        <f t="array" ref="M76">IFERROR(_xlfn._xlws.FILTER(Table1[Start Date - US],(Table1[Category]=C76)*(Table1[Execution Year]=$C$4)*(Table1[Most curent]=TRUE)),"")</f>
        <v/>
      </c>
    </row>
    <row r="77" spans="2:13">
      <c r="M77" s="268" t="str" cm="1">
        <f t="array" ref="M77">IFERROR(_xlfn._xlws.FILTER(Table1[Start Date - US],(Table1[Category]=C77)*(Table1[Execution Year]=$C$4)*(Table1[Most curent]=TRUE)),"")</f>
        <v/>
      </c>
    </row>
    <row r="78" spans="2:13">
      <c r="M78" s="268" t="str" cm="1">
        <f t="array" ref="M78">IFERROR(_xlfn._xlws.FILTER(Table1[Start Date - US],(Table1[Category]=C78)*(Table1[Execution Year]=$C$4)*(Table1[Most curent]=TRUE)),"")</f>
        <v/>
      </c>
    </row>
    <row r="79" spans="2:13">
      <c r="M79" s="268" t="str" cm="1">
        <f t="array" ref="M79">IFERROR(_xlfn._xlws.FILTER(Table1[Start Date - US],(Table1[Category]=C79)*(Table1[Execution Year]=$C$4)*(Table1[Most curent]=TRUE)),"")</f>
        <v/>
      </c>
    </row>
    <row r="80" spans="2:13">
      <c r="M80" s="268" t="str" cm="1">
        <f t="array" ref="M80">IFERROR(_xlfn._xlws.FILTER(Table1[Start Date - US],(Table1[Category]=C80)*(Table1[Execution Year]=$C$4)*(Table1[Most curent]=TRUE)),"")</f>
        <v/>
      </c>
    </row>
    <row r="81" spans="13:13">
      <c r="M81" s="268" t="str" cm="1">
        <f t="array" ref="M81">IFERROR(_xlfn._xlws.FILTER(Table1[Start Date - US],(Table1[Category]=C81)*(Table1[Execution Year]=$C$4)*(Table1[Most curent]=TRUE)),"")</f>
        <v/>
      </c>
    </row>
    <row r="82" spans="13:13">
      <c r="M82" s="268" t="str" cm="1">
        <f t="array" ref="M82">IFERROR(_xlfn._xlws.FILTER(Table1[Start Date - US],(Table1[Category]=C82)*(Table1[Execution Year]=$C$4)*(Table1[Most curent]=TRUE)),"")</f>
        <v/>
      </c>
    </row>
    <row r="83" spans="13:13">
      <c r="M83" s="268" t="str" cm="1">
        <f t="array" ref="M83">IFERROR(_xlfn._xlws.FILTER(Table1[Start Date - US],(Table1[Category]=C83)*(Table1[Execution Year]=$C$4)*(Table1[Most curent]=TRUE)),"")</f>
        <v/>
      </c>
    </row>
    <row r="84" spans="13:13">
      <c r="M84" s="268" t="str" cm="1">
        <f t="array" ref="M84">IFERROR(_xlfn._xlws.FILTER(Table1[Start Date - US],(Table1[Category]=C84)*(Table1[Execution Year]=$C$4)*(Table1[Most curent]=TRUE)),"")</f>
        <v/>
      </c>
    </row>
    <row r="85" spans="13:13">
      <c r="M85" s="268" t="str" cm="1">
        <f t="array" ref="M85">IFERROR(_xlfn._xlws.FILTER(Table1[Start Date - US],(Table1[Category]=C85)*(Table1[Execution Year]=$C$4)*(Table1[Most curent]=TRUE)),"")</f>
        <v/>
      </c>
    </row>
    <row r="86" spans="13:13">
      <c r="M86" s="268" t="str" cm="1">
        <f t="array" ref="M86">IFERROR(_xlfn._xlws.FILTER(Table1[Start Date - US],(Table1[Category]=C86)*(Table1[Execution Year]=$C$4)*(Table1[Most curent]=TRUE)),"")</f>
        <v/>
      </c>
    </row>
    <row r="87" spans="13:13">
      <c r="M87" s="268" t="str" cm="1">
        <f t="array" ref="M87">IFERROR(_xlfn._xlws.FILTER(Table1[Start Date - US],(Table1[Category]=C87)*(Table1[Execution Year]=$C$4)*(Table1[Most curent]=TRUE)),"")</f>
        <v/>
      </c>
    </row>
    <row r="88" spans="13:13">
      <c r="M88" s="268" t="str" cm="1">
        <f t="array" ref="M88">IFERROR(_xlfn._xlws.FILTER(Table1[Start Date - US],(Table1[Category]=C88)*(Table1[Execution Year]=$C$4)*(Table1[Most curent]=TRUE)),"")</f>
        <v/>
      </c>
    </row>
    <row r="89" spans="13:13">
      <c r="M89" s="268" t="str" cm="1">
        <f t="array" ref="M89">IFERROR(_xlfn._xlws.FILTER(Table1[Start Date - US],(Table1[Category]=C89)*(Table1[Execution Year]=$C$4)*(Table1[Most curent]=TRUE)),"")</f>
        <v/>
      </c>
    </row>
    <row r="90" spans="13:13">
      <c r="M90" s="268" t="str" cm="1">
        <f t="array" ref="M90">IFERROR(_xlfn._xlws.FILTER(Table1[Start Date - US],(Table1[Category]=C90)*(Table1[Execution Year]=$C$4)*(Table1[Most curent]=TRUE)),"")</f>
        <v/>
      </c>
    </row>
    <row r="91" spans="13:13">
      <c r="M91" s="268" t="str" cm="1">
        <f t="array" ref="M91">IFERROR(_xlfn._xlws.FILTER(Table1[Start Date - US],(Table1[Category]=C91)*(Table1[Execution Year]=$C$4)*(Table1[Most curent]=TRUE)),"")</f>
        <v/>
      </c>
    </row>
    <row r="92" spans="13:13">
      <c r="M92" s="268" t="str" cm="1">
        <f t="array" ref="M92">IFERROR(_xlfn._xlws.FILTER(Table1[Start Date - US],(Table1[Category]=C92)*(Table1[Execution Year]=$C$4)*(Table1[Most curent]=TRUE)),"")</f>
        <v/>
      </c>
    </row>
    <row r="93" spans="13:13">
      <c r="M93" s="268" t="str" cm="1">
        <f t="array" ref="M93">IFERROR(_xlfn._xlws.FILTER(Table1[Start Date - US],(Table1[Category]=C93)*(Table1[Execution Year]=$C$4)*(Table1[Most curent]=TRUE)),"")</f>
        <v/>
      </c>
    </row>
    <row r="94" spans="13:13">
      <c r="M94" s="268" t="str" cm="1">
        <f t="array" ref="M94">IFERROR(_xlfn._xlws.FILTER(Table1[Start Date - US],(Table1[Category]=C94)*(Table1[Execution Year]=$C$4)*(Table1[Most curent]=TRUE)),"")</f>
        <v/>
      </c>
    </row>
    <row r="95" spans="13:13">
      <c r="M95" s="268" t="str" cm="1">
        <f t="array" ref="M95">IFERROR(_xlfn._xlws.FILTER(Table1[Start Date - US],(Table1[Category]=C95)*(Table1[Execution Year]=$C$4)*(Table1[Most curent]=TRUE)),"")</f>
        <v/>
      </c>
    </row>
    <row r="96" spans="13:13">
      <c r="M96" s="268" t="str" cm="1">
        <f t="array" ref="M96">IFERROR(_xlfn._xlws.FILTER(Table1[Start Date - US],(Table1[Category]=C96)*(Table1[Execution Year]=$C$4)*(Table1[Most curent]=TRUE)),"")</f>
        <v/>
      </c>
    </row>
    <row r="97" spans="13:13">
      <c r="M97" s="268" t="str" cm="1">
        <f t="array" ref="M97">IFERROR(_xlfn._xlws.FILTER(Table1[Start Date - US],(Table1[Category]=C97)*(Table1[Execution Year]=$C$4)*(Table1[Most curent]=TRUE)),"")</f>
        <v/>
      </c>
    </row>
    <row r="98" spans="13:13">
      <c r="M98" s="268" t="str" cm="1">
        <f t="array" ref="M98">IFERROR(_xlfn._xlws.FILTER(Table1[Start Date - US],(Table1[Category]=C98)*(Table1[Execution Year]=$C$4)*(Table1[Most curent]=TRUE)),"")</f>
        <v/>
      </c>
    </row>
    <row r="99" spans="13:13">
      <c r="M99" s="268" t="str" cm="1">
        <f t="array" ref="M99">IFERROR(_xlfn._xlws.FILTER(Table1[Start Date - US],(Table1[Category]=C99)*(Table1[Execution Year]=$C$4)*(Table1[Most curent]=TRUE)),"")</f>
        <v/>
      </c>
    </row>
    <row r="100" spans="13:13">
      <c r="M100" s="268" t="str" cm="1">
        <f t="array" ref="M100">IFERROR(_xlfn._xlws.FILTER(Table1[Start Date - US],(Table1[Category]=C100)*(Table1[Execution Year]=$C$4)*(Table1[Most curent]=TRUE)),"")</f>
        <v/>
      </c>
    </row>
    <row r="101" spans="13:13">
      <c r="M101" s="268" t="str" cm="1">
        <f t="array" ref="M101">IFERROR(_xlfn._xlws.FILTER(Table1[Start Date - US],(Table1[Category]=C101)*(Table1[Execution Year]=$C$4)*(Table1[Most curent]=TRUE)),"")</f>
        <v/>
      </c>
    </row>
    <row r="102" spans="13:13">
      <c r="M102" s="268" t="str" cm="1">
        <f t="array" ref="M102">IFERROR(_xlfn._xlws.FILTER(Table1[Start Date - US],(Table1[Category]=C102)*(Table1[Execution Year]=$C$4)*(Table1[Most curent]=TRUE)),"")</f>
        <v/>
      </c>
    </row>
    <row r="103" spans="13:13">
      <c r="M103" s="268" t="str" cm="1">
        <f t="array" ref="M103">IFERROR(_xlfn._xlws.FILTER(Table1[Start Date - US],(Table1[Category]=C103)*(Table1[Execution Year]=$C$4)*(Table1[Most curent]=TRUE)),"")</f>
        <v/>
      </c>
    </row>
    <row r="104" spans="13:13">
      <c r="M104" s="268" t="str" cm="1">
        <f t="array" ref="M104">IFERROR(_xlfn._xlws.FILTER(Table1[Start Date - US],(Table1[Category]=C104)*(Table1[Execution Year]=$C$4)*(Table1[Most curent]=TRUE)),"")</f>
        <v/>
      </c>
    </row>
    <row r="105" spans="13:13">
      <c r="M105" s="268" t="str" cm="1">
        <f t="array" ref="M105">IFERROR(_xlfn._xlws.FILTER(Table1[Start Date - US],(Table1[Category]=C105)*(Table1[Execution Year]=$C$4)*(Table1[Most curent]=TRUE)),"")</f>
        <v/>
      </c>
    </row>
    <row r="106" spans="13:13">
      <c r="M106" s="268" t="str" cm="1">
        <f t="array" ref="M106">IFERROR(_xlfn._xlws.FILTER(Table1[Start Date - US],(Table1[Category]=C106)*(Table1[Execution Year]=$C$4)*(Table1[Most curent]=TRUE)),"")</f>
        <v/>
      </c>
    </row>
    <row r="107" spans="13:13">
      <c r="M107" s="268" t="str" cm="1">
        <f t="array" ref="M107">IFERROR(_xlfn._xlws.FILTER(Table1[Start Date - US],(Table1[Category]=C107)*(Table1[Execution Year]=$C$4)*(Table1[Most curent]=TRUE)),"")</f>
        <v/>
      </c>
    </row>
    <row r="108" spans="13:13">
      <c r="M108" s="268" t="str" cm="1">
        <f t="array" ref="M108">IFERROR(_xlfn._xlws.FILTER(Table1[Start Date - US],(Table1[Category]=C108)*(Table1[Execution Year]=$C$4)*(Table1[Most curent]=TRUE)),"")</f>
        <v/>
      </c>
    </row>
    <row r="109" spans="13:13">
      <c r="M109" s="268" t="str" cm="1">
        <f t="array" ref="M109">IFERROR(_xlfn._xlws.FILTER(Table1[Start Date - US],(Table1[Category]=C109)*(Table1[Execution Year]=$C$4)*(Table1[Most curent]=TRUE)),"")</f>
        <v/>
      </c>
    </row>
    <row r="110" spans="13:13">
      <c r="M110" s="268" t="str" cm="1">
        <f t="array" ref="M110">IFERROR(_xlfn._xlws.FILTER(Table1[Start Date - US],(Table1[Category]=C110)*(Table1[Execution Year]=$C$4)*(Table1[Most curent]=TRUE)),"")</f>
        <v/>
      </c>
    </row>
    <row r="111" spans="13:13">
      <c r="M111" s="268" t="str" cm="1">
        <f t="array" ref="M111">IFERROR(_xlfn._xlws.FILTER(Table1[Start Date - US],(Table1[Category]=C111)*(Table1[Execution Year]=$C$4)*(Table1[Most curent]=TRUE)),"")</f>
        <v/>
      </c>
    </row>
    <row r="112" spans="13:13">
      <c r="M112" s="268" t="str" cm="1">
        <f t="array" ref="M112">IFERROR(_xlfn._xlws.FILTER(Table1[Start Date - US],(Table1[Category]=C112)*(Table1[Execution Year]=$C$4)*(Table1[Most curent]=TRUE)),"")</f>
        <v/>
      </c>
    </row>
    <row r="113" spans="13:13">
      <c r="M113" s="268" t="str" cm="1">
        <f t="array" ref="M113">IFERROR(_xlfn._xlws.FILTER(Table1[Start Date - US],(Table1[Category]=C113)*(Table1[Execution Year]=$C$4)*(Table1[Most curent]=TRUE)),"")</f>
        <v/>
      </c>
    </row>
    <row r="114" spans="13:13">
      <c r="M114" s="268" t="str" cm="1">
        <f t="array" ref="M114">IFERROR(_xlfn._xlws.FILTER(Table1[Start Date - US],(Table1[Category]=C114)*(Table1[Execution Year]=$C$4)*(Table1[Most curent]=TRUE)),"")</f>
        <v/>
      </c>
    </row>
    <row r="115" spans="13:13">
      <c r="M115" s="268" t="str" cm="1">
        <f t="array" ref="M115">IFERROR(_xlfn._xlws.FILTER(Table1[Start Date - US],(Table1[Category]=C115)*(Table1[Execution Year]=$C$4)*(Table1[Most curent]=TRUE)),"")</f>
        <v/>
      </c>
    </row>
    <row r="116" spans="13:13">
      <c r="M116" s="268" t="str" cm="1">
        <f t="array" ref="M116">IFERROR(_xlfn._xlws.FILTER(Table1[Start Date - US],(Table1[Category]=C116)*(Table1[Execution Year]=$C$4)*(Table1[Most curent]=TRUE)),"")</f>
        <v/>
      </c>
    </row>
    <row r="117" spans="13:13">
      <c r="M117" s="268" t="str" cm="1">
        <f t="array" ref="M117">IFERROR(_xlfn._xlws.FILTER(Table1[Start Date - US],(Table1[Category]=C117)*(Table1[Execution Year]=$C$4)*(Table1[Most curent]=TRUE)),"")</f>
        <v/>
      </c>
    </row>
    <row r="118" spans="13:13">
      <c r="M118" s="268" t="str" cm="1">
        <f t="array" ref="M118">IFERROR(_xlfn._xlws.FILTER(Table1[Start Date - US],(Table1[Category]=C118)*(Table1[Execution Year]=$C$4)*(Table1[Most curent]=TRUE)),"")</f>
        <v/>
      </c>
    </row>
    <row r="119" spans="13:13">
      <c r="M119" s="268" t="str" cm="1">
        <f t="array" ref="M119">IFERROR(_xlfn._xlws.FILTER(Table1[Start Date - US],(Table1[Category]=C119)*(Table1[Execution Year]=$C$4)*(Table1[Most curent]=TRUE)),"")</f>
        <v/>
      </c>
    </row>
    <row r="120" spans="13:13">
      <c r="M120" s="268" t="str" cm="1">
        <f t="array" ref="M120">IFERROR(_xlfn._xlws.FILTER(Table1[Start Date - US],(Table1[Category]=C120)*(Table1[Execution Year]=$C$4)*(Table1[Most curent]=TRUE)),"")</f>
        <v/>
      </c>
    </row>
    <row r="121" spans="13:13">
      <c r="M121" s="268" t="str" cm="1">
        <f t="array" ref="M121">IFERROR(_xlfn._xlws.FILTER(Table1[Start Date - US],(Table1[Category]=C121)*(Table1[Execution Year]=$C$4)*(Table1[Most curent]=TRUE)),"")</f>
        <v/>
      </c>
    </row>
    <row r="122" spans="13:13">
      <c r="M122" s="268" t="str" cm="1">
        <f t="array" ref="M122">IFERROR(_xlfn._xlws.FILTER(Table1[Start Date - US],(Table1[Category]=C122)*(Table1[Execution Year]=$C$4)*(Table1[Most curent]=TRUE)),"")</f>
        <v/>
      </c>
    </row>
    <row r="123" spans="13:13">
      <c r="M123" s="268" t="str" cm="1">
        <f t="array" ref="M123">IFERROR(_xlfn._xlws.FILTER(Table1[Start Date - US],(Table1[Category]=C123)*(Table1[Execution Year]=$C$4)*(Table1[Most curent]=TRUE)),"")</f>
        <v/>
      </c>
    </row>
    <row r="124" spans="13:13">
      <c r="M124" s="268" t="str" cm="1">
        <f t="array" ref="M124">IFERROR(_xlfn._xlws.FILTER(Table1[Start Date - US],(Table1[Category]=C124)*(Table1[Execution Year]=$C$4)*(Table1[Most curent]=TRUE)),"")</f>
        <v/>
      </c>
    </row>
    <row r="125" spans="13:13">
      <c r="M125" s="268" t="str" cm="1">
        <f t="array" ref="M125">IFERROR(_xlfn._xlws.FILTER(Table1[Start Date - US],(Table1[Category]=C125)*(Table1[Execution Year]=$C$4)*(Table1[Most curent]=TRUE)),"")</f>
        <v/>
      </c>
    </row>
    <row r="126" spans="13:13">
      <c r="M126" s="268" t="str" cm="1">
        <f t="array" ref="M126">IFERROR(_xlfn._xlws.FILTER(Table1[Start Date - US],(Table1[Category]=C126)*(Table1[Execution Year]=$C$4)*(Table1[Most curent]=TRUE)),"")</f>
        <v/>
      </c>
    </row>
    <row r="127" spans="13:13">
      <c r="M127" s="268" t="str" cm="1">
        <f t="array" ref="M127">IFERROR(_xlfn._xlws.FILTER(Table1[Start Date - US],(Table1[Category]=C127)*(Table1[Execution Year]=$C$4)*(Table1[Most curent]=TRUE)),"")</f>
        <v/>
      </c>
    </row>
    <row r="128" spans="13:13">
      <c r="M128" s="268" t="str" cm="1">
        <f t="array" ref="M128">IFERROR(_xlfn._xlws.FILTER(Table1[Start Date - US],(Table1[Category]=C128)*(Table1[Execution Year]=$C$4)*(Table1[Most curent]=TRUE)),"")</f>
        <v/>
      </c>
    </row>
    <row r="129" spans="13:13">
      <c r="M129" s="268" t="str" cm="1">
        <f t="array" ref="M129">IFERROR(_xlfn._xlws.FILTER(Table1[Start Date - US],(Table1[Category]=C129)*(Table1[Execution Year]=$C$4)*(Table1[Most curent]=TRUE)),"")</f>
        <v/>
      </c>
    </row>
    <row r="130" spans="13:13">
      <c r="M130" s="268" t="str" cm="1">
        <f t="array" ref="M130">IFERROR(_xlfn._xlws.FILTER(Table1[Start Date - US],(Table1[Category]=C130)*(Table1[Execution Year]=$C$4)*(Table1[Most curent]=TRUE)),"")</f>
        <v/>
      </c>
    </row>
    <row r="131" spans="13:13">
      <c r="M131" s="268" t="str" cm="1">
        <f t="array" ref="M131">IFERROR(_xlfn._xlws.FILTER(Table1[Start Date - US],(Table1[Category]=C131)*(Table1[Execution Year]=$C$4)*(Table1[Most curent]=TRUE)),"")</f>
        <v/>
      </c>
    </row>
    <row r="132" spans="13:13">
      <c r="M132" s="268" t="str" cm="1">
        <f t="array" ref="M132">IFERROR(_xlfn._xlws.FILTER(Table1[Start Date - US],(Table1[Category]=C132)*(Table1[Execution Year]=$C$4)*(Table1[Most curent]=TRUE)),"")</f>
        <v/>
      </c>
    </row>
    <row r="133" spans="13:13">
      <c r="M133" s="268" t="str" cm="1">
        <f t="array" ref="M133">IFERROR(_xlfn._xlws.FILTER(Table1[Start Date - US],(Table1[Category]=C133)*(Table1[Execution Year]=$C$4)*(Table1[Most curent]=TRUE)),"")</f>
        <v/>
      </c>
    </row>
    <row r="134" spans="13:13">
      <c r="M134" s="268" t="str" cm="1">
        <f t="array" ref="M134">IFERROR(_xlfn._xlws.FILTER(Table1[Start Date - US],(Table1[Category]=C134)*(Table1[Execution Year]=$C$4)*(Table1[Most curent]=TRUE)),"")</f>
        <v/>
      </c>
    </row>
    <row r="135" spans="13:13">
      <c r="M135" s="268" t="str" cm="1">
        <f t="array" ref="M135">IFERROR(_xlfn._xlws.FILTER(Table1[Start Date - US],(Table1[Category]=C135)*(Table1[Execution Year]=$C$4)*(Table1[Most curent]=TRUE)),"")</f>
        <v/>
      </c>
    </row>
    <row r="136" spans="13:13">
      <c r="M136" s="268" t="str" cm="1">
        <f t="array" ref="M136">IFERROR(_xlfn._xlws.FILTER(Table1[Start Date - US],(Table1[Category]=C136)*(Table1[Execution Year]=$C$4)*(Table1[Most curent]=TRUE)),"")</f>
        <v/>
      </c>
    </row>
    <row r="137" spans="13:13">
      <c r="M137" s="268" t="str" cm="1">
        <f t="array" ref="M137">IFERROR(_xlfn._xlws.FILTER(Table1[Start Date - US],(Table1[Category]=C137)*(Table1[Execution Year]=$C$4)*(Table1[Most curent]=TRUE)),"")</f>
        <v/>
      </c>
    </row>
    <row r="138" spans="13:13">
      <c r="M138" s="268" t="str" cm="1">
        <f t="array" ref="M138">IFERROR(_xlfn._xlws.FILTER(Table1[Start Date - US],(Table1[Category]=C138)*(Table1[Execution Year]=$C$4)*(Table1[Most curent]=TRUE)),"")</f>
        <v/>
      </c>
    </row>
    <row r="139" spans="13:13">
      <c r="M139" s="268" t="str" cm="1">
        <f t="array" ref="M139">IFERROR(_xlfn._xlws.FILTER(Table1[Start Date - US],(Table1[Category]=C139)*(Table1[Execution Year]=$C$4)*(Table1[Most curent]=TRUE)),"")</f>
        <v/>
      </c>
    </row>
    <row r="140" spans="13:13">
      <c r="M140" s="268" t="str" cm="1">
        <f t="array" ref="M140">IFERROR(_xlfn._xlws.FILTER(Table1[Start Date - US],(Table1[Category]=C140)*(Table1[Execution Year]=$C$4)*(Table1[Most curent]=TRUE)),"")</f>
        <v/>
      </c>
    </row>
    <row r="141" spans="13:13">
      <c r="M141" s="268" t="str" cm="1">
        <f t="array" ref="M141">IFERROR(_xlfn._xlws.FILTER(Table1[Start Date - US],(Table1[Category]=C141)*(Table1[Execution Year]=$C$4)*(Table1[Most curent]=TRUE)),"")</f>
        <v/>
      </c>
    </row>
    <row r="142" spans="13:13">
      <c r="M142" s="268" t="str" cm="1">
        <f t="array" ref="M142">IFERROR(_xlfn._xlws.FILTER(Table1[Start Date - US],(Table1[Category]=C142)*(Table1[Execution Year]=$C$4)*(Table1[Most curent]=TRUE)),"")</f>
        <v/>
      </c>
    </row>
    <row r="143" spans="13:13">
      <c r="M143" s="268" t="str" cm="1">
        <f t="array" ref="M143">IFERROR(_xlfn._xlws.FILTER(Table1[Start Date - US],(Table1[Category]=C143)*(Table1[Execution Year]=$C$4)*(Table1[Most curent]=TRUE)),"")</f>
        <v/>
      </c>
    </row>
    <row r="144" spans="13:13">
      <c r="M144" s="268" t="str" cm="1">
        <f t="array" ref="M144">IFERROR(_xlfn._xlws.FILTER(Table1[Start Date - US],(Table1[Category]=C144)*(Table1[Execution Year]=$C$4)*(Table1[Most curent]=TRUE)),"")</f>
        <v/>
      </c>
    </row>
    <row r="145" spans="13:13">
      <c r="M145" s="268" t="str" cm="1">
        <f t="array" ref="M145">IFERROR(_xlfn._xlws.FILTER(Table1[Start Date - US],(Table1[Category]=C145)*(Table1[Execution Year]=$C$4)*(Table1[Most curent]=TRUE)),"")</f>
        <v/>
      </c>
    </row>
    <row r="146" spans="13:13">
      <c r="M146" s="268" t="str" cm="1">
        <f t="array" ref="M146">IFERROR(_xlfn._xlws.FILTER(Table1[Start Date - US],(Table1[Category]=C146)*(Table1[Execution Year]=$C$4)*(Table1[Most curent]=TRUE)),"")</f>
        <v/>
      </c>
    </row>
    <row r="147" spans="13:13">
      <c r="M147" s="268" t="str" cm="1">
        <f t="array" ref="M147">IFERROR(_xlfn._xlws.FILTER(Table1[Start Date - US],(Table1[Category]=C147)*(Table1[Execution Year]=$C$4)*(Table1[Most curent]=TRUE)),"")</f>
        <v/>
      </c>
    </row>
    <row r="148" spans="13:13">
      <c r="M148" s="268" t="str" cm="1">
        <f t="array" ref="M148">IFERROR(_xlfn._xlws.FILTER(Table1[Start Date - US],(Table1[Category]=C148)*(Table1[Execution Year]=$C$4)*(Table1[Most curent]=TRUE)),"")</f>
        <v/>
      </c>
    </row>
    <row r="149" spans="13:13">
      <c r="M149" s="268" t="str" cm="1">
        <f t="array" ref="M149">IFERROR(_xlfn._xlws.FILTER(Table1[Start Date - US],(Table1[Category]=C149)*(Table1[Execution Year]=$C$4)*(Table1[Most curent]=TRUE)),"")</f>
        <v/>
      </c>
    </row>
    <row r="150" spans="13:13">
      <c r="M150" s="268" t="str" cm="1">
        <f t="array" ref="M150">IFERROR(_xlfn._xlws.FILTER(Table1[Start Date - US],(Table1[Category]=C150)*(Table1[Execution Year]=$C$4)*(Table1[Most curent]=TRUE)),"")</f>
        <v/>
      </c>
    </row>
    <row r="151" spans="13:13">
      <c r="M151" s="268" t="str" cm="1">
        <f t="array" ref="M151">IFERROR(_xlfn._xlws.FILTER(Table1[Start Date - US],(Table1[Category]=C151)*(Table1[Execution Year]=$C$4)*(Table1[Most curent]=TRUE)),"")</f>
        <v/>
      </c>
    </row>
    <row r="152" spans="13:13">
      <c r="M152" s="268" t="str" cm="1">
        <f t="array" ref="M152">IFERROR(_xlfn._xlws.FILTER(Table1[Start Date - US],(Table1[Category]=C152)*(Table1[Execution Year]=$C$4)*(Table1[Most curent]=TRUE)),"")</f>
        <v/>
      </c>
    </row>
    <row r="153" spans="13:13">
      <c r="M153" s="268" t="str" cm="1">
        <f t="array" ref="M153">IFERROR(_xlfn._xlws.FILTER(Table1[Start Date - US],(Table1[Category]=C153)*(Table1[Execution Year]=$C$4)*(Table1[Most curent]=TRUE)),"")</f>
        <v/>
      </c>
    </row>
    <row r="154" spans="13:13">
      <c r="M154" s="268" t="str" cm="1">
        <f t="array" ref="M154">IFERROR(_xlfn._xlws.FILTER(Table1[Start Date - US],(Table1[Category]=C154)*(Table1[Execution Year]=$C$4)*(Table1[Most curent]=TRUE)),"")</f>
        <v/>
      </c>
    </row>
    <row r="155" spans="13:13">
      <c r="M155" s="268" t="str" cm="1">
        <f t="array" ref="M155">IFERROR(_xlfn._xlws.FILTER(Table1[Start Date - US],(Table1[Category]=C155)*(Table1[Execution Year]=$C$4)*(Table1[Most curent]=TRUE)),"")</f>
        <v/>
      </c>
    </row>
    <row r="156" spans="13:13">
      <c r="M156" s="268" t="str" cm="1">
        <f t="array" ref="M156">IFERROR(_xlfn._xlws.FILTER(Table1[Start Date - US],(Table1[Category]=C156)*(Table1[Execution Year]=$C$4)*(Table1[Most curent]=TRUE)),"")</f>
        <v/>
      </c>
    </row>
    <row r="157" spans="13:13">
      <c r="M157" s="268" t="str" cm="1">
        <f t="array" ref="M157">IFERROR(_xlfn._xlws.FILTER(Table1[Start Date - US],(Table1[Category]=C157)*(Table1[Execution Year]=$C$4)*(Table1[Most curent]=TRUE)),"")</f>
        <v/>
      </c>
    </row>
    <row r="158" spans="13:13">
      <c r="M158" s="268" t="str" cm="1">
        <f t="array" ref="M158">IFERROR(_xlfn._xlws.FILTER(Table1[Start Date - US],(Table1[Category]=C158)*(Table1[Execution Year]=$C$4)*(Table1[Most curent]=TRUE)),"")</f>
        <v/>
      </c>
    </row>
    <row r="159" spans="13:13">
      <c r="M159" s="268" t="str" cm="1">
        <f t="array" ref="M159">IFERROR(_xlfn._xlws.FILTER(Table1[Start Date - US],(Table1[Category]=C159)*(Table1[Execution Year]=$C$4)*(Table1[Most curent]=TRUE)),"")</f>
        <v/>
      </c>
    </row>
    <row r="160" spans="13:13">
      <c r="M160" s="268" t="str" cm="1">
        <f t="array" ref="M160">IFERROR(_xlfn._xlws.FILTER(Table1[Start Date - US],(Table1[Category]=C160)*(Table1[Execution Year]=$C$4)*(Table1[Most curent]=TRUE)),"")</f>
        <v/>
      </c>
    </row>
    <row r="161" spans="13:13">
      <c r="M161" s="268" t="str" cm="1">
        <f t="array" ref="M161">IFERROR(_xlfn._xlws.FILTER(Table1[Start Date - US],(Table1[Category]=C161)*(Table1[Execution Year]=$C$4)*(Table1[Most curent]=TRUE)),"")</f>
        <v/>
      </c>
    </row>
    <row r="162" spans="13:13">
      <c r="M162" s="268" t="str" cm="1">
        <f t="array" ref="M162">IFERROR(_xlfn._xlws.FILTER(Table1[Start Date - US],(Table1[Category]=C162)*(Table1[Execution Year]=$C$4)*(Table1[Most curent]=TRUE)),"")</f>
        <v/>
      </c>
    </row>
    <row r="163" spans="13:13">
      <c r="M163" s="268" t="str" cm="1">
        <f t="array" ref="M163">IFERROR(_xlfn._xlws.FILTER(Table1[Start Date - US],(Table1[Category]=C163)*(Table1[Execution Year]=$C$4)*(Table1[Most curent]=TRUE)),"")</f>
        <v/>
      </c>
    </row>
    <row r="164" spans="13:13">
      <c r="M164" s="268" t="str" cm="1">
        <f t="array" ref="M164">IFERROR(_xlfn._xlws.FILTER(Table1[Start Date - US],(Table1[Category]=C164)*(Table1[Execution Year]=$C$4)*(Table1[Most curent]=TRUE)),"")</f>
        <v/>
      </c>
    </row>
    <row r="165" spans="13:13">
      <c r="M165" s="268" t="str" cm="1">
        <f t="array" ref="M165">IFERROR(_xlfn._xlws.FILTER(Table1[Start Date - US],(Table1[Category]=C165)*(Table1[Execution Year]=$C$4)*(Table1[Most curent]=TRUE)),"")</f>
        <v/>
      </c>
    </row>
    <row r="166" spans="13:13">
      <c r="M166" s="268" t="str" cm="1">
        <f t="array" ref="M166">IFERROR(_xlfn._xlws.FILTER(Table1[Start Date - US],(Table1[Category]=C166)*(Table1[Execution Year]=$C$4)*(Table1[Most curent]=TRUE)),"")</f>
        <v/>
      </c>
    </row>
    <row r="167" spans="13:13">
      <c r="M167" s="268" t="str" cm="1">
        <f t="array" ref="M167">IFERROR(_xlfn._xlws.FILTER(Table1[Start Date - US],(Table1[Category]=C167)*(Table1[Execution Year]=$C$4)*(Table1[Most curent]=TRUE)),"")</f>
        <v/>
      </c>
    </row>
    <row r="168" spans="13:13">
      <c r="M168" s="268" t="str" cm="1">
        <f t="array" ref="M168">IFERROR(_xlfn._xlws.FILTER(Table1[Start Date - US],(Table1[Category]=C168)*(Table1[Execution Year]=$C$4)*(Table1[Most curent]=TRUE)),"")</f>
        <v/>
      </c>
    </row>
    <row r="169" spans="13:13">
      <c r="M169" s="268" t="str" cm="1">
        <f t="array" ref="M169">IFERROR(_xlfn._xlws.FILTER(Table1[Start Date - US],(Table1[Category]=C169)*(Table1[Execution Year]=$C$4)*(Table1[Most curent]=TRUE)),"")</f>
        <v/>
      </c>
    </row>
    <row r="170" spans="13:13">
      <c r="M170" s="268" t="str" cm="1">
        <f t="array" ref="M170">IFERROR(_xlfn._xlws.FILTER(Table1[Start Date - US],(Table1[Category]=C170)*(Table1[Execution Year]=$C$4)*(Table1[Most curent]=TRUE)),"")</f>
        <v/>
      </c>
    </row>
    <row r="171" spans="13:13">
      <c r="M171" s="268" t="str" cm="1">
        <f t="array" ref="M171">IFERROR(_xlfn._xlws.FILTER(Table1[Start Date - US],(Table1[Category]=C171)*(Table1[Execution Year]=$C$4)*(Table1[Most curent]=TRUE)),"")</f>
        <v/>
      </c>
    </row>
    <row r="172" spans="13:13">
      <c r="M172" s="268" t="str" cm="1">
        <f t="array" ref="M172">IFERROR(_xlfn._xlws.FILTER(Table1[Start Date - US],(Table1[Category]=C172)*(Table1[Execution Year]=$C$4)*(Table1[Most curent]=TRUE)),"")</f>
        <v/>
      </c>
    </row>
    <row r="173" spans="13:13">
      <c r="M173" s="268" t="str" cm="1">
        <f t="array" ref="M173">IFERROR(_xlfn._xlws.FILTER(Table1[Start Date - US],(Table1[Category]=C173)*(Table1[Execution Year]=$C$4)*(Table1[Most curent]=TRUE)),"")</f>
        <v/>
      </c>
    </row>
    <row r="174" spans="13:13">
      <c r="M174" s="268" t="str" cm="1">
        <f t="array" ref="M174">IFERROR(_xlfn._xlws.FILTER(Table1[Start Date - US],(Table1[Category]=C174)*(Table1[Execution Year]=$C$4)*(Table1[Most curent]=TRUE)),"")</f>
        <v/>
      </c>
    </row>
    <row r="175" spans="13:13">
      <c r="M175" s="268" t="str" cm="1">
        <f t="array" ref="M175">IFERROR(_xlfn._xlws.FILTER(Table1[Start Date - US],(Table1[Category]=C175)*(Table1[Execution Year]=$C$4)*(Table1[Most curent]=TRUE)),"")</f>
        <v/>
      </c>
    </row>
    <row r="176" spans="13:13">
      <c r="M176" s="268" t="str" cm="1">
        <f t="array" ref="M176">IFERROR(_xlfn._xlws.FILTER(Table1[Start Date - US],(Table1[Category]=C176)*(Table1[Execution Year]=$C$4)*(Table1[Most curent]=TRUE)),"")</f>
        <v/>
      </c>
    </row>
    <row r="177" spans="13:13">
      <c r="M177" s="268" t="str" cm="1">
        <f t="array" ref="M177">IFERROR(_xlfn._xlws.FILTER(Table1[Start Date - US],(Table1[Category]=C177)*(Table1[Execution Year]=$C$4)*(Table1[Most curent]=TRUE)),"")</f>
        <v/>
      </c>
    </row>
    <row r="178" spans="13:13">
      <c r="M178" s="268" t="str" cm="1">
        <f t="array" ref="M178">IFERROR(_xlfn._xlws.FILTER(Table1[Start Date - US],(Table1[Category]=C178)*(Table1[Execution Year]=$C$4)*(Table1[Most curent]=TRUE)),"")</f>
        <v/>
      </c>
    </row>
    <row r="179" spans="13:13">
      <c r="M179" s="268" t="str" cm="1">
        <f t="array" ref="M179">IFERROR(_xlfn._xlws.FILTER(Table1[Start Date - US],(Table1[Category]=C179)*(Table1[Execution Year]=$C$4)*(Table1[Most curent]=TRUE)),"")</f>
        <v/>
      </c>
    </row>
    <row r="180" spans="13:13">
      <c r="M180" s="268" t="str" cm="1">
        <f t="array" ref="M180">IFERROR(_xlfn._xlws.FILTER(Table1[Start Date - US],(Table1[Category]=C180)*(Table1[Execution Year]=$C$4)*(Table1[Most curent]=TRUE)),"")</f>
        <v/>
      </c>
    </row>
    <row r="181" spans="13:13">
      <c r="M181" s="268" t="str" cm="1">
        <f t="array" ref="M181">IFERROR(_xlfn._xlws.FILTER(Table1[Start Date - US],(Table1[Category]=C181)*(Table1[Execution Year]=$C$4)*(Table1[Most curent]=TRUE)),"")</f>
        <v/>
      </c>
    </row>
    <row r="182" spans="13:13">
      <c r="M182" s="268" t="str" cm="1">
        <f t="array" ref="M182">IFERROR(_xlfn._xlws.FILTER(Table1[Start Date - US],(Table1[Category]=C182)*(Table1[Execution Year]=$C$4)*(Table1[Most curent]=TRUE)),"")</f>
        <v/>
      </c>
    </row>
    <row r="183" spans="13:13">
      <c r="M183" s="268" t="str" cm="1">
        <f t="array" ref="M183">IFERROR(_xlfn._xlws.FILTER(Table1[Start Date - US],(Table1[Category]=C183)*(Table1[Execution Year]=$C$4)*(Table1[Most curent]=TRUE)),"")</f>
        <v/>
      </c>
    </row>
    <row r="184" spans="13:13">
      <c r="M184" s="268" t="str" cm="1">
        <f t="array" ref="M184">IFERROR(_xlfn._xlws.FILTER(Table1[Start Date - US],(Table1[Category]=C184)*(Table1[Execution Year]=$C$4)*(Table1[Most curent]=TRUE)),"")</f>
        <v/>
      </c>
    </row>
    <row r="185" spans="13:13">
      <c r="M185" s="268" t="str" cm="1">
        <f t="array" ref="M185">IFERROR(_xlfn._xlws.FILTER(Table1[Start Date - US],(Table1[Category]=C185)*(Table1[Execution Year]=$C$4)*(Table1[Most curent]=TRUE)),"")</f>
        <v/>
      </c>
    </row>
    <row r="186" spans="13:13">
      <c r="M186" s="268" t="str" cm="1">
        <f t="array" ref="M186">IFERROR(_xlfn._xlws.FILTER(Table1[Start Date - US],(Table1[Category]=C186)*(Table1[Execution Year]=$C$4)*(Table1[Most curent]=TRUE)),"")</f>
        <v/>
      </c>
    </row>
    <row r="187" spans="13:13">
      <c r="M187" s="268" t="str" cm="1">
        <f t="array" ref="M187">IFERROR(_xlfn._xlws.FILTER(Table1[Start Date - US],(Table1[Category]=C187)*(Table1[Execution Year]=$C$4)*(Table1[Most curent]=TRUE)),"")</f>
        <v/>
      </c>
    </row>
    <row r="188" spans="13:13">
      <c r="M188" s="268" t="str" cm="1">
        <f t="array" ref="M188">IFERROR(_xlfn._xlws.FILTER(Table1[Start Date - US],(Table1[Category]=C188)*(Table1[Execution Year]=$C$4)*(Table1[Most curent]=TRUE)),"")</f>
        <v/>
      </c>
    </row>
    <row r="189" spans="13:13">
      <c r="M189" s="268" t="str" cm="1">
        <f t="array" ref="M189">IFERROR(_xlfn._xlws.FILTER(Table1[Start Date - US],(Table1[Category]=C189)*(Table1[Execution Year]=$C$4)*(Table1[Most curent]=TRUE)),"")</f>
        <v/>
      </c>
    </row>
    <row r="190" spans="13:13">
      <c r="M190" s="268" t="str" cm="1">
        <f t="array" ref="M190">IFERROR(_xlfn._xlws.FILTER(Table1[Start Date - US],(Table1[Category]=C190)*(Table1[Execution Year]=$C$4)*(Table1[Most curent]=TRUE)),"")</f>
        <v/>
      </c>
    </row>
    <row r="191" spans="13:13">
      <c r="M191" s="268" t="str" cm="1">
        <f t="array" ref="M191">IFERROR(_xlfn._xlws.FILTER(Table1[Start Date - US],(Table1[Category]=C191)*(Table1[Execution Year]=$C$4)*(Table1[Most curent]=TRUE)),"")</f>
        <v/>
      </c>
    </row>
    <row r="192" spans="13:13">
      <c r="M192" s="268" t="str" cm="1">
        <f t="array" ref="M192">IFERROR(_xlfn._xlws.FILTER(Table1[Start Date - US],(Table1[Category]=C192)*(Table1[Execution Year]=$C$4)*(Table1[Most curent]=TRUE)),"")</f>
        <v/>
      </c>
    </row>
    <row r="193" spans="13:13">
      <c r="M193" s="268" t="str" cm="1">
        <f t="array" ref="M193">IFERROR(_xlfn._xlws.FILTER(Table1[Start Date - US],(Table1[Category]=C193)*(Table1[Execution Year]=$C$4)*(Table1[Most curent]=TRUE)),"")</f>
        <v/>
      </c>
    </row>
    <row r="194" spans="13:13">
      <c r="M194" s="268" t="str" cm="1">
        <f t="array" ref="M194">IFERROR(_xlfn._xlws.FILTER(Table1[Start Date - US],(Table1[Category]=C194)*(Table1[Execution Year]=$C$4)*(Table1[Most curent]=TRUE)),"")</f>
        <v/>
      </c>
    </row>
    <row r="195" spans="13:13">
      <c r="M195" s="268" t="str" cm="1">
        <f t="array" ref="M195">IFERROR(_xlfn._xlws.FILTER(Table1[Start Date - US],(Table1[Category]=C195)*(Table1[Execution Year]=$C$4)*(Table1[Most curent]=TRUE)),"")</f>
        <v/>
      </c>
    </row>
    <row r="196" spans="13:13">
      <c r="M196" s="268" t="str" cm="1">
        <f t="array" ref="M196">IFERROR(_xlfn._xlws.FILTER(Table1[Start Date - US],(Table1[Category]=C196)*(Table1[Execution Year]=$C$4)*(Table1[Most curent]=TRUE)),"")</f>
        <v/>
      </c>
    </row>
    <row r="197" spans="13:13">
      <c r="M197" s="268" t="str" cm="1">
        <f t="array" ref="M197">IFERROR(_xlfn._xlws.FILTER(Table1[Start Date - US],(Table1[Category]=C197)*(Table1[Execution Year]=$C$4)*(Table1[Most curent]=TRUE)),"")</f>
        <v/>
      </c>
    </row>
    <row r="198" spans="13:13">
      <c r="M198" s="268" t="str" cm="1">
        <f t="array" ref="M198">IFERROR(_xlfn._xlws.FILTER(Table1[Start Date - US],(Table1[Category]=C198)*(Table1[Execution Year]=$C$4)*(Table1[Most curent]=TRUE)),"")</f>
        <v/>
      </c>
    </row>
    <row r="199" spans="13:13">
      <c r="M199" s="268" t="str" cm="1">
        <f t="array" ref="M199">IFERROR(_xlfn._xlws.FILTER(Table1[Start Date - US],(Table1[Category]=C199)*(Table1[Execution Year]=$C$4)*(Table1[Most curent]=TRUE)),"")</f>
        <v/>
      </c>
    </row>
    <row r="200" spans="13:13">
      <c r="M200" s="268" t="str" cm="1">
        <f t="array" ref="M200">IFERROR(_xlfn._xlws.FILTER(Table1[Start Date - US],(Table1[Category]=C200)*(Table1[Execution Year]=$C$4)*(Table1[Most curent]=TRUE)),"")</f>
        <v/>
      </c>
    </row>
    <row r="201" spans="13:13">
      <c r="M201" s="268" t="str" cm="1">
        <f t="array" ref="M201">IFERROR(_xlfn._xlws.FILTER(Table1[Start Date - US],(Table1[Category]=C201)*(Table1[Execution Year]=$C$4)*(Table1[Most curent]=TRUE)),"")</f>
        <v/>
      </c>
    </row>
    <row r="202" spans="13:13">
      <c r="M202" s="268" t="str" cm="1">
        <f t="array" ref="M202">IFERROR(_xlfn._xlws.FILTER(Table1[Start Date - US],(Table1[Category]=C202)*(Table1[Execution Year]=$C$4)*(Table1[Most curent]=TRUE)),"")</f>
        <v/>
      </c>
    </row>
    <row r="203" spans="13:13">
      <c r="M203" s="268" t="str" cm="1">
        <f t="array" ref="M203">IFERROR(_xlfn._xlws.FILTER(Table1[Start Date - US],(Table1[Category]=C203)*(Table1[Execution Year]=$C$4)*(Table1[Most curent]=TRUE)),"")</f>
        <v/>
      </c>
    </row>
    <row r="204" spans="13:13">
      <c r="M204" s="268" t="str" cm="1">
        <f t="array" ref="M204">IFERROR(_xlfn._xlws.FILTER(Table1[Start Date - US],(Table1[Category]=C204)*(Table1[Execution Year]=$C$4)*(Table1[Most curent]=TRUE)),"")</f>
        <v/>
      </c>
    </row>
    <row r="205" spans="13:13">
      <c r="M205" s="268" t="str" cm="1">
        <f t="array" ref="M205">IFERROR(_xlfn._xlws.FILTER(Table1[Start Date - US],(Table1[Category]=C205)*(Table1[Execution Year]=$C$4)*(Table1[Most curent]=TRUE)),"")</f>
        <v/>
      </c>
    </row>
    <row r="206" spans="13:13">
      <c r="M206" s="268" t="str" cm="1">
        <f t="array" ref="M206">IFERROR(_xlfn._xlws.FILTER(Table1[Start Date - US],(Table1[Category]=C206)*(Table1[Execution Year]=$C$4)*(Table1[Most curent]=TRUE)),"")</f>
        <v/>
      </c>
    </row>
    <row r="207" spans="13:13">
      <c r="M207" s="268" t="str" cm="1">
        <f t="array" ref="M207">IFERROR(_xlfn._xlws.FILTER(Table1[Start Date - US],(Table1[Category]=C207)*(Table1[Execution Year]=$C$4)*(Table1[Most curent]=TRUE)),"")</f>
        <v/>
      </c>
    </row>
    <row r="208" spans="13:13">
      <c r="M208" s="268" t="str" cm="1">
        <f t="array" ref="M208">IFERROR(_xlfn._xlws.FILTER(Table1[Start Date - US],(Table1[Category]=C208)*(Table1[Execution Year]=$C$4)*(Table1[Most curent]=TRUE)),"")</f>
        <v/>
      </c>
    </row>
    <row r="209" spans="13:13">
      <c r="M209" s="268" t="str" cm="1">
        <f t="array" ref="M209">IFERROR(_xlfn._xlws.FILTER(Table1[Start Date - US],(Table1[Category]=C209)*(Table1[Execution Year]=$C$4)*(Table1[Most curent]=TRUE)),"")</f>
        <v/>
      </c>
    </row>
    <row r="210" spans="13:13">
      <c r="M210" s="268" t="str" cm="1">
        <f t="array" ref="M210">IFERROR(_xlfn._xlws.FILTER(Table1[Start Date - US],(Table1[Category]=C210)*(Table1[Execution Year]=$C$4)*(Table1[Most curent]=TRUE)),"")</f>
        <v/>
      </c>
    </row>
    <row r="211" spans="13:13">
      <c r="M211" s="268" t="str" cm="1">
        <f t="array" ref="M211">IFERROR(_xlfn._xlws.FILTER(Table1[Start Date - US],(Table1[Category]=C211)*(Table1[Execution Year]=$C$4)*(Table1[Most curent]=TRUE)),"")</f>
        <v/>
      </c>
    </row>
    <row r="212" spans="13:13">
      <c r="M212" s="268" t="str" cm="1">
        <f t="array" ref="M212">IFERROR(_xlfn._xlws.FILTER(Table1[Start Date - US],(Table1[Category]=C212)*(Table1[Execution Year]=$C$4)*(Table1[Most curent]=TRUE)),"")</f>
        <v/>
      </c>
    </row>
    <row r="213" spans="13:13">
      <c r="M213" s="268" t="str" cm="1">
        <f t="array" ref="M213">IFERROR(_xlfn._xlws.FILTER(Table1[Start Date - US],(Table1[Category]=C213)*(Table1[Execution Year]=$C$4)*(Table1[Most curent]=TRUE)),"")</f>
        <v/>
      </c>
    </row>
    <row r="214" spans="13:13">
      <c r="M214" s="268" t="str" cm="1">
        <f t="array" ref="M214">IFERROR(_xlfn._xlws.FILTER(Table1[Start Date - US],(Table1[Category]=C214)*(Table1[Execution Year]=$C$4)*(Table1[Most curent]=TRUE)),"")</f>
        <v/>
      </c>
    </row>
    <row r="215" spans="13:13">
      <c r="M215" s="268" t="str" cm="1">
        <f t="array" ref="M215">IFERROR(_xlfn._xlws.FILTER(Table1[Start Date - US],(Table1[Category]=C215)*(Table1[Execution Year]=$C$4)*(Table1[Most curent]=TRUE)),"")</f>
        <v/>
      </c>
    </row>
    <row r="216" spans="13:13">
      <c r="M216" s="268" t="str" cm="1">
        <f t="array" ref="M216">IFERROR(_xlfn._xlws.FILTER(Table1[Start Date - US],(Table1[Category]=C216)*(Table1[Execution Year]=$C$4)*(Table1[Most curent]=TRUE)),"")</f>
        <v/>
      </c>
    </row>
    <row r="217" spans="13:13">
      <c r="M217" s="268" t="str" cm="1">
        <f t="array" ref="M217">IFERROR(_xlfn._xlws.FILTER(Table1[Start Date - US],(Table1[Category]=C217)*(Table1[Execution Year]=$C$4)*(Table1[Most curent]=TRUE)),"")</f>
        <v/>
      </c>
    </row>
    <row r="218" spans="13:13">
      <c r="M218" s="268" t="str" cm="1">
        <f t="array" ref="M218">IFERROR(_xlfn._xlws.FILTER(Table1[Start Date - US],(Table1[Category]=C218)*(Table1[Execution Year]=$C$4)*(Table1[Most curent]=TRUE)),"")</f>
        <v/>
      </c>
    </row>
    <row r="219" spans="13:13">
      <c r="M219" s="268" t="str" cm="1">
        <f t="array" ref="M219">IFERROR(_xlfn._xlws.FILTER(Table1[Start Date - US],(Table1[Category]=C219)*(Table1[Execution Year]=$C$4)*(Table1[Most curent]=TRUE)),"")</f>
        <v/>
      </c>
    </row>
    <row r="220" spans="13:13">
      <c r="M220" s="268" t="str" cm="1">
        <f t="array" ref="M220">IFERROR(_xlfn._xlws.FILTER(Table1[Start Date - US],(Table1[Category]=C220)*(Table1[Execution Year]=$C$4)*(Table1[Most curent]=TRUE)),"")</f>
        <v/>
      </c>
    </row>
    <row r="221" spans="13:13">
      <c r="M221" s="268" t="str" cm="1">
        <f t="array" ref="M221">IFERROR(_xlfn._xlws.FILTER(Table1[Start Date - US],(Table1[Category]=C221)*(Table1[Execution Year]=$C$4)*(Table1[Most curent]=TRUE)),"")</f>
        <v/>
      </c>
    </row>
    <row r="222" spans="13:13">
      <c r="M222" s="268" t="str" cm="1">
        <f t="array" ref="M222">IFERROR(_xlfn._xlws.FILTER(Table1[Start Date - US],(Table1[Category]=C222)*(Table1[Execution Year]=$C$4)*(Table1[Most curent]=TRUE)),"")</f>
        <v/>
      </c>
    </row>
    <row r="223" spans="13:13">
      <c r="M223" s="268" t="str" cm="1">
        <f t="array" ref="M223">IFERROR(_xlfn._xlws.FILTER(Table1[Start Date - US],(Table1[Category]=C223)*(Table1[Execution Year]=$C$4)*(Table1[Most curent]=TRUE)),"")</f>
        <v/>
      </c>
    </row>
    <row r="224" spans="13:13">
      <c r="M224" s="268" t="str" cm="1">
        <f t="array" ref="M224">IFERROR(_xlfn._xlws.FILTER(Table1[Start Date - US],(Table1[Category]=C224)*(Table1[Execution Year]=$C$4)*(Table1[Most curent]=TRUE)),"")</f>
        <v/>
      </c>
    </row>
    <row r="225" spans="13:13">
      <c r="M225" s="268" t="str" cm="1">
        <f t="array" ref="M225">IFERROR(_xlfn._xlws.FILTER(Table1[Start Date - US],(Table1[Category]=C225)*(Table1[Execution Year]=$C$4)*(Table1[Most curent]=TRUE)),"")</f>
        <v/>
      </c>
    </row>
    <row r="226" spans="13:13">
      <c r="M226" s="268" t="str" cm="1">
        <f t="array" ref="M226">IFERROR(_xlfn._xlws.FILTER(Table1[Start Date - US],(Table1[Category]=C226)*(Table1[Execution Year]=$C$4)*(Table1[Most curent]=TRUE)),"")</f>
        <v/>
      </c>
    </row>
    <row r="227" spans="13:13">
      <c r="M227" s="268" t="str" cm="1">
        <f t="array" ref="M227">IFERROR(_xlfn._xlws.FILTER(Table1[Start Date - US],(Table1[Category]=C227)*(Table1[Execution Year]=$C$4)*(Table1[Most curent]=TRUE)),"")</f>
        <v/>
      </c>
    </row>
    <row r="228" spans="13:13">
      <c r="M228" s="268" t="str" cm="1">
        <f t="array" ref="M228">IFERROR(_xlfn._xlws.FILTER(Table1[Start Date - US],(Table1[Category]=C228)*(Table1[Execution Year]=$C$4)*(Table1[Most curent]=TRUE)),"")</f>
        <v/>
      </c>
    </row>
    <row r="229" spans="13:13">
      <c r="M229" s="268" t="str" cm="1">
        <f t="array" ref="M229">IFERROR(_xlfn._xlws.FILTER(Table1[Start Date - US],(Table1[Category]=C229)*(Table1[Execution Year]=$C$4)*(Table1[Most curent]=TRUE)),"")</f>
        <v/>
      </c>
    </row>
    <row r="230" spans="13:13">
      <c r="M230" s="268" t="str" cm="1">
        <f t="array" ref="M230">IFERROR(_xlfn._xlws.FILTER(Table1[Start Date - US],(Table1[Category]=C230)*(Table1[Execution Year]=$C$4)*(Table1[Most curent]=TRUE)),"")</f>
        <v/>
      </c>
    </row>
    <row r="231" spans="13:13">
      <c r="M231" s="268" t="str" cm="1">
        <f t="array" ref="M231">IFERROR(_xlfn._xlws.FILTER(Table1[Start Date - US],(Table1[Category]=C231)*(Table1[Execution Year]=$C$4)*(Table1[Most curent]=TRUE)),"")</f>
        <v/>
      </c>
    </row>
    <row r="232" spans="13:13">
      <c r="M232" s="268" t="str" cm="1">
        <f t="array" ref="M232">IFERROR(_xlfn._xlws.FILTER(Table1[Start Date - US],(Table1[Category]=C232)*(Table1[Execution Year]=$C$4)*(Table1[Most curent]=TRUE)),"")</f>
        <v/>
      </c>
    </row>
    <row r="233" spans="13:13">
      <c r="M233" s="268" t="str" cm="1">
        <f t="array" ref="M233">IFERROR(_xlfn._xlws.FILTER(Table1[Start Date - US],(Table1[Category]=C233)*(Table1[Execution Year]=$C$4)*(Table1[Most curent]=TRUE)),"")</f>
        <v/>
      </c>
    </row>
    <row r="234" spans="13:13">
      <c r="M234" s="268" t="str" cm="1">
        <f t="array" ref="M234">IFERROR(_xlfn._xlws.FILTER(Table1[Start Date - US],(Table1[Category]=C234)*(Table1[Execution Year]=$C$4)*(Table1[Most curent]=TRUE)),"")</f>
        <v/>
      </c>
    </row>
    <row r="235" spans="13:13">
      <c r="M235" s="268" t="str" cm="1">
        <f t="array" ref="M235">IFERROR(_xlfn._xlws.FILTER(Table1[Start Date - US],(Table1[Category]=C235)*(Table1[Execution Year]=$C$4)*(Table1[Most curent]=TRUE)),"")</f>
        <v/>
      </c>
    </row>
    <row r="236" spans="13:13">
      <c r="M236" s="268" t="str" cm="1">
        <f t="array" ref="M236">IFERROR(_xlfn._xlws.FILTER(Table1[Start Date - US],(Table1[Category]=C236)*(Table1[Execution Year]=$C$4)*(Table1[Most curent]=TRUE)),"")</f>
        <v/>
      </c>
    </row>
    <row r="237" spans="13:13">
      <c r="M237" s="268" t="str" cm="1">
        <f t="array" ref="M237">IFERROR(_xlfn._xlws.FILTER(Table1[Start Date - US],(Table1[Category]=C237)*(Table1[Execution Year]=$C$4)*(Table1[Most curent]=TRUE)),"")</f>
        <v/>
      </c>
    </row>
    <row r="238" spans="13:13">
      <c r="M238" s="268" t="str" cm="1">
        <f t="array" ref="M238">IFERROR(_xlfn._xlws.FILTER(Table1[Start Date - US],(Table1[Category]=C238)*(Table1[Execution Year]=$C$4)*(Table1[Most curent]=TRUE)),"")</f>
        <v/>
      </c>
    </row>
    <row r="239" spans="13:13">
      <c r="M239" s="268" t="str" cm="1">
        <f t="array" ref="M239">IFERROR(_xlfn._xlws.FILTER(Table1[Start Date - US],(Table1[Category]=C239)*(Table1[Execution Year]=$C$4)*(Table1[Most curent]=TRUE)),"")</f>
        <v/>
      </c>
    </row>
    <row r="240" spans="13:13">
      <c r="M240" s="268" t="str" cm="1">
        <f t="array" ref="M240">IFERROR(_xlfn._xlws.FILTER(Table1[Start Date - US],(Table1[Category]=C240)*(Table1[Execution Year]=$C$4)*(Table1[Most curent]=TRUE)),"")</f>
        <v/>
      </c>
    </row>
    <row r="241" spans="13:13">
      <c r="M241" s="268" t="str" cm="1">
        <f t="array" ref="M241">IFERROR(_xlfn._xlws.FILTER(Table1[Start Date - US],(Table1[Category]=C241)*(Table1[Execution Year]=$C$4)*(Table1[Most curent]=TRUE)),"")</f>
        <v/>
      </c>
    </row>
    <row r="242" spans="13:13">
      <c r="M242" s="268" t="str" cm="1">
        <f t="array" ref="M242">IFERROR(_xlfn._xlws.FILTER(Table1[Start Date - US],(Table1[Category]=C242)*(Table1[Execution Year]=$C$4)*(Table1[Most curent]=TRUE)),"")</f>
        <v/>
      </c>
    </row>
    <row r="243" spans="13:13">
      <c r="M243" s="268" t="str" cm="1">
        <f t="array" ref="M243">IFERROR(_xlfn._xlws.FILTER(Table1[Start Date - US],(Table1[Category]=C243)*(Table1[Execution Year]=$C$4)*(Table1[Most curent]=TRUE)),"")</f>
        <v/>
      </c>
    </row>
    <row r="244" spans="13:13">
      <c r="M244" s="268" t="str" cm="1">
        <f t="array" ref="M244">IFERROR(_xlfn._xlws.FILTER(Table1[Start Date - US],(Table1[Category]=C244)*(Table1[Execution Year]=$C$4)*(Table1[Most curent]=TRUE)),"")</f>
        <v/>
      </c>
    </row>
    <row r="245" spans="13:13">
      <c r="M245" s="268" t="str" cm="1">
        <f t="array" ref="M245">IFERROR(_xlfn._xlws.FILTER(Table1[Start Date - US],(Table1[Category]=C245)*(Table1[Execution Year]=$C$4)*(Table1[Most curent]=TRUE)),"")</f>
        <v/>
      </c>
    </row>
    <row r="246" spans="13:13">
      <c r="M246" s="268" t="str" cm="1">
        <f t="array" ref="M246">IFERROR(_xlfn._xlws.FILTER(Table1[Start Date - US],(Table1[Category]=C246)*(Table1[Execution Year]=$C$4)*(Table1[Most curent]=TRUE)),"")</f>
        <v/>
      </c>
    </row>
    <row r="247" spans="13:13">
      <c r="M247" s="268" t="str" cm="1">
        <f t="array" ref="M247">IFERROR(_xlfn._xlws.FILTER(Table1[Start Date - US],(Table1[Category]=C247)*(Table1[Execution Year]=$C$4)*(Table1[Most curent]=TRUE)),"")</f>
        <v/>
      </c>
    </row>
    <row r="248" spans="13:13">
      <c r="M248" s="268" t="str" cm="1">
        <f t="array" ref="M248">IFERROR(_xlfn._xlws.FILTER(Table1[Start Date - US],(Table1[Category]=C248)*(Table1[Execution Year]=$C$4)*(Table1[Most curent]=TRUE)),"")</f>
        <v/>
      </c>
    </row>
    <row r="249" spans="13:13">
      <c r="M249" s="268" t="str" cm="1">
        <f t="array" ref="M249">IFERROR(_xlfn._xlws.FILTER(Table1[Start Date - US],(Table1[Category]=C249)*(Table1[Execution Year]=$C$4)*(Table1[Most curent]=TRUE)),"")</f>
        <v/>
      </c>
    </row>
    <row r="250" spans="13:13">
      <c r="M250" s="268" t="str" cm="1">
        <f t="array" ref="M250">IFERROR(_xlfn._xlws.FILTER(Table1[Start Date - US],(Table1[Category]=C250)*(Table1[Execution Year]=$C$4)*(Table1[Most curent]=TRUE)),"")</f>
        <v/>
      </c>
    </row>
    <row r="251" spans="13:13">
      <c r="M251" s="268" t="str" cm="1">
        <f t="array" ref="M251">IFERROR(_xlfn._xlws.FILTER(Table1[Start Date - US],(Table1[Category]=C251)*(Table1[Execution Year]=$C$4)*(Table1[Most curent]=TRUE)),"")</f>
        <v/>
      </c>
    </row>
    <row r="252" spans="13:13">
      <c r="M252" s="268" t="str" cm="1">
        <f t="array" ref="M252">IFERROR(_xlfn._xlws.FILTER(Table1[Start Date - US],(Table1[Category]=C252)*(Table1[Execution Year]=$C$4)*(Table1[Most curent]=TRUE)),"")</f>
        <v/>
      </c>
    </row>
    <row r="253" spans="13:13">
      <c r="M253" s="268" t="str" cm="1">
        <f t="array" ref="M253">IFERROR(_xlfn._xlws.FILTER(Table1[Start Date - US],(Table1[Category]=C253)*(Table1[Execution Year]=$C$4)*(Table1[Most curent]=TRUE)),"")</f>
        <v/>
      </c>
    </row>
    <row r="254" spans="13:13">
      <c r="M254" s="268" t="str" cm="1">
        <f t="array" ref="M254">IFERROR(_xlfn._xlws.FILTER(Table1[Start Date - US],(Table1[Category]=C254)*(Table1[Execution Year]=$C$4)*(Table1[Most curent]=TRUE)),"")</f>
        <v/>
      </c>
    </row>
    <row r="255" spans="13:13">
      <c r="M255" s="268" t="str" cm="1">
        <f t="array" ref="M255">IFERROR(_xlfn._xlws.FILTER(Table1[Start Date - US],(Table1[Category]=C255)*(Table1[Execution Year]=$C$4)*(Table1[Most curent]=TRUE)),"")</f>
        <v/>
      </c>
    </row>
    <row r="256" spans="13:13">
      <c r="M256" s="268" t="str" cm="1">
        <f t="array" ref="M256">IFERROR(_xlfn._xlws.FILTER(Table1[Start Date - US],(Table1[Category]=C256)*(Table1[Execution Year]=$C$4)*(Table1[Most curent]=TRUE)),"")</f>
        <v/>
      </c>
    </row>
    <row r="257" spans="13:13">
      <c r="M257" s="268" t="str" cm="1">
        <f t="array" ref="M257">IFERROR(_xlfn._xlws.FILTER(Table1[Start Date - US],(Table1[Category]=C257)*(Table1[Execution Year]=$C$4)*(Table1[Most curent]=TRUE)),"")</f>
        <v/>
      </c>
    </row>
    <row r="258" spans="13:13">
      <c r="M258" s="268" t="str" cm="1">
        <f t="array" ref="M258">IFERROR(_xlfn._xlws.FILTER(Table1[Start Date - US],(Table1[Category]=C258)*(Table1[Execution Year]=$C$4)*(Table1[Most curent]=TRUE)),"")</f>
        <v/>
      </c>
    </row>
    <row r="259" spans="13:13">
      <c r="M259" s="268" t="str" cm="1">
        <f t="array" ref="M259">IFERROR(_xlfn._xlws.FILTER(Table1[Start Date - US],(Table1[Category]=C259)*(Table1[Execution Year]=$C$4)*(Table1[Most curent]=TRUE)),"")</f>
        <v/>
      </c>
    </row>
    <row r="260" spans="13:13">
      <c r="M260" s="268" t="str" cm="1">
        <f t="array" ref="M260">IFERROR(_xlfn._xlws.FILTER(Table1[Start Date - US],(Table1[Category]=C260)*(Table1[Execution Year]=$C$4)*(Table1[Most curent]=TRUE)),"")</f>
        <v/>
      </c>
    </row>
    <row r="261" spans="13:13">
      <c r="M261" s="268" t="str" cm="1">
        <f t="array" ref="M261">IFERROR(_xlfn._xlws.FILTER(Table1[Start Date - US],(Table1[Category]=C261)*(Table1[Execution Year]=$C$4)*(Table1[Most curent]=TRUE)),"")</f>
        <v/>
      </c>
    </row>
    <row r="262" spans="13:13">
      <c r="M262" s="268" t="str" cm="1">
        <f t="array" ref="M262">IFERROR(_xlfn._xlws.FILTER(Table1[Start Date - US],(Table1[Category]=C262)*(Table1[Execution Year]=$C$4)*(Table1[Most curent]=TRUE)),"")</f>
        <v/>
      </c>
    </row>
    <row r="263" spans="13:13">
      <c r="M263" s="268" t="str" cm="1">
        <f t="array" ref="M263">IFERROR(_xlfn._xlws.FILTER(Table1[Start Date - US],(Table1[Category]=C263)*(Table1[Execution Year]=$C$4)*(Table1[Most curent]=TRUE)),"")</f>
        <v/>
      </c>
    </row>
    <row r="264" spans="13:13">
      <c r="M264" s="268" t="str" cm="1">
        <f t="array" ref="M264">IFERROR(_xlfn._xlws.FILTER(Table1[Start Date - US],(Table1[Category]=C264)*(Table1[Execution Year]=$C$4)*(Table1[Most curent]=TRUE)),"")</f>
        <v/>
      </c>
    </row>
    <row r="265" spans="13:13">
      <c r="M265" s="268" t="str" cm="1">
        <f t="array" ref="M265">IFERROR(_xlfn._xlws.FILTER(Table1[Start Date - US],(Table1[Category]=C265)*(Table1[Execution Year]=$C$4)*(Table1[Most curent]=TRUE)),"")</f>
        <v/>
      </c>
    </row>
    <row r="266" spans="13:13">
      <c r="M266" s="268" t="str" cm="1">
        <f t="array" ref="M266">IFERROR(_xlfn._xlws.FILTER(Table1[Start Date - US],(Table1[Category]=C266)*(Table1[Execution Year]=$C$4)*(Table1[Most curent]=TRUE)),"")</f>
        <v/>
      </c>
    </row>
    <row r="267" spans="13:13">
      <c r="M267" s="268" t="str" cm="1">
        <f t="array" ref="M267">IFERROR(_xlfn._xlws.FILTER(Table1[Start Date - US],(Table1[Category]=C267)*(Table1[Execution Year]=$C$4)*(Table1[Most curent]=TRUE)),"")</f>
        <v/>
      </c>
    </row>
    <row r="268" spans="13:13">
      <c r="M268" s="268" t="str" cm="1">
        <f t="array" ref="M268">IFERROR(_xlfn._xlws.FILTER(Table1[Start Date - US],(Table1[Category]=C268)*(Table1[Execution Year]=$C$4)*(Table1[Most curent]=TRUE)),"")</f>
        <v/>
      </c>
    </row>
    <row r="269" spans="13:13">
      <c r="M269" s="268" t="str" cm="1">
        <f t="array" ref="M269">IFERROR(_xlfn._xlws.FILTER(Table1[Start Date - US],(Table1[Category]=C269)*(Table1[Execution Year]=$C$4)*(Table1[Most curent]=TRUE)),"")</f>
        <v/>
      </c>
    </row>
    <row r="270" spans="13:13">
      <c r="M270" s="268" t="str" cm="1">
        <f t="array" ref="M270">IFERROR(_xlfn._xlws.FILTER(Table1[Start Date - US],(Table1[Category]=C270)*(Table1[Execution Year]=$C$4)*(Table1[Most curent]=TRUE)),"")</f>
        <v/>
      </c>
    </row>
    <row r="271" spans="13:13">
      <c r="M271" s="268" t="str" cm="1">
        <f t="array" ref="M271">IFERROR(_xlfn._xlws.FILTER(Table1[Start Date - US],(Table1[Category]=C271)*(Table1[Execution Year]=$C$4)*(Table1[Most curent]=TRUE)),"")</f>
        <v/>
      </c>
    </row>
    <row r="272" spans="13:13">
      <c r="M272" s="268" t="str" cm="1">
        <f t="array" ref="M272">IFERROR(_xlfn._xlws.FILTER(Table1[Start Date - US],(Table1[Category]=C272)*(Table1[Execution Year]=$C$4)*(Table1[Most curent]=TRUE)),"")</f>
        <v/>
      </c>
    </row>
    <row r="273" spans="13:13">
      <c r="M273" s="268" t="str" cm="1">
        <f t="array" ref="M273">IFERROR(_xlfn._xlws.FILTER(Table1[Start Date - US],(Table1[Category]=C273)*(Table1[Execution Year]=$C$4)*(Table1[Most curent]=TRUE)),"")</f>
        <v/>
      </c>
    </row>
    <row r="274" spans="13:13">
      <c r="M274" s="268" t="str" cm="1">
        <f t="array" ref="M274">IFERROR(_xlfn._xlws.FILTER(Table1[Start Date - US],(Table1[Category]=C274)*(Table1[Execution Year]=$C$4)*(Table1[Most curent]=TRUE)),"")</f>
        <v/>
      </c>
    </row>
    <row r="275" spans="13:13">
      <c r="M275" s="268" t="str" cm="1">
        <f t="array" ref="M275">IFERROR(_xlfn._xlws.FILTER(Table1[Start Date - US],(Table1[Category]=C275)*(Table1[Execution Year]=$C$4)*(Table1[Most curent]=TRUE)),"")</f>
        <v/>
      </c>
    </row>
    <row r="276" spans="13:13">
      <c r="M276" s="268" t="str" cm="1">
        <f t="array" ref="M276">IFERROR(_xlfn._xlws.FILTER(Table1[Start Date - US],(Table1[Category]=C276)*(Table1[Execution Year]=$C$4)*(Table1[Most curent]=TRUE)),"")</f>
        <v/>
      </c>
    </row>
    <row r="277" spans="13:13">
      <c r="M277" s="268" t="str" cm="1">
        <f t="array" ref="M277">IFERROR(_xlfn._xlws.FILTER(Table1[Start Date - US],(Table1[Category]=C277)*(Table1[Execution Year]=$C$4)*(Table1[Most curent]=TRUE)),"")</f>
        <v/>
      </c>
    </row>
    <row r="278" spans="13:13">
      <c r="M278" s="268" t="str" cm="1">
        <f t="array" ref="M278">IFERROR(_xlfn._xlws.FILTER(Table1[Start Date - US],(Table1[Category]=C278)*(Table1[Execution Year]=$C$4)*(Table1[Most curent]=TRUE)),"")</f>
        <v/>
      </c>
    </row>
    <row r="279" spans="13:13">
      <c r="M279" s="268" t="str" cm="1">
        <f t="array" ref="M279">IFERROR(_xlfn._xlws.FILTER(Table1[Start Date - US],(Table1[Category]=C279)*(Table1[Execution Year]=$C$4)*(Table1[Most curent]=TRUE)),"")</f>
        <v/>
      </c>
    </row>
    <row r="280" spans="13:13">
      <c r="M280" s="268" t="str" cm="1">
        <f t="array" ref="M280">IFERROR(_xlfn._xlws.FILTER(Table1[Start Date - US],(Table1[Category]=C280)*(Table1[Execution Year]=$C$4)*(Table1[Most curent]=TRUE)),"")</f>
        <v/>
      </c>
    </row>
    <row r="281" spans="13:13">
      <c r="M281" s="268" t="str" cm="1">
        <f t="array" ref="M281">IFERROR(_xlfn._xlws.FILTER(Table1[Start Date - US],(Table1[Category]=C281)*(Table1[Execution Year]=$C$4)*(Table1[Most curent]=TRUE)),"")</f>
        <v/>
      </c>
    </row>
    <row r="282" spans="13:13">
      <c r="M282" s="268" t="str" cm="1">
        <f t="array" ref="M282">IFERROR(_xlfn._xlws.FILTER(Table1[Start Date - US],(Table1[Category]=C282)*(Table1[Execution Year]=$C$4)*(Table1[Most curent]=TRUE)),"")</f>
        <v/>
      </c>
    </row>
    <row r="283" spans="13:13">
      <c r="M283" s="268" t="str" cm="1">
        <f t="array" ref="M283">IFERROR(_xlfn._xlws.FILTER(Table1[Start Date - US],(Table1[Category]=C283)*(Table1[Execution Year]=$C$4)*(Table1[Most curent]=TRUE)),"")</f>
        <v/>
      </c>
    </row>
    <row r="284" spans="13:13">
      <c r="M284" s="268" t="str" cm="1">
        <f t="array" ref="M284">IFERROR(_xlfn._xlws.FILTER(Table1[Start Date - US],(Table1[Category]=C284)*(Table1[Execution Year]=$C$4)*(Table1[Most curent]=TRUE)),"")</f>
        <v/>
      </c>
    </row>
    <row r="285" spans="13:13">
      <c r="M285" s="268" t="str" cm="1">
        <f t="array" ref="M285">IFERROR(_xlfn._xlws.FILTER(Table1[Start Date - US],(Table1[Category]=C285)*(Table1[Execution Year]=$C$4)*(Table1[Most curent]=TRUE)),"")</f>
        <v/>
      </c>
    </row>
    <row r="286" spans="13:13">
      <c r="M286" s="268" t="str" cm="1">
        <f t="array" ref="M286">IFERROR(_xlfn._xlws.FILTER(Table1[Start Date - US],(Table1[Category]=C286)*(Table1[Execution Year]=$C$4)*(Table1[Most curent]=TRUE)),"")</f>
        <v/>
      </c>
    </row>
    <row r="287" spans="13:13">
      <c r="M287" s="268" t="str" cm="1">
        <f t="array" ref="M287">IFERROR(_xlfn._xlws.FILTER(Table1[Start Date - US],(Table1[Category]=C287)*(Table1[Execution Year]=$C$4)*(Table1[Most curent]=TRUE)),"")</f>
        <v/>
      </c>
    </row>
    <row r="288" spans="13:13">
      <c r="M288" s="268" t="str" cm="1">
        <f t="array" ref="M288">IFERROR(_xlfn._xlws.FILTER(Table1[Start Date - US],(Table1[Category]=C288)*(Table1[Execution Year]=$C$4)*(Table1[Most curent]=TRUE)),"")</f>
        <v/>
      </c>
    </row>
    <row r="289" spans="13:13">
      <c r="M289" s="268" t="str" cm="1">
        <f t="array" ref="M289">IFERROR(_xlfn._xlws.FILTER(Table1[Start Date - US],(Table1[Category]=C289)*(Table1[Execution Year]=$C$4)*(Table1[Most curent]=TRUE)),"")</f>
        <v/>
      </c>
    </row>
    <row r="290" spans="13:13">
      <c r="M290" s="268" t="str" cm="1">
        <f t="array" ref="M290">IFERROR(_xlfn._xlws.FILTER(Table1[Start Date - US],(Table1[Category]=C290)*(Table1[Execution Year]=$C$4)*(Table1[Most curent]=TRUE)),"")</f>
        <v/>
      </c>
    </row>
    <row r="291" spans="13:13">
      <c r="M291" s="268" t="str" cm="1">
        <f t="array" ref="M291">IFERROR(_xlfn._xlws.FILTER(Table1[Start Date - US],(Table1[Category]=C291)*(Table1[Execution Year]=$C$4)*(Table1[Most curent]=TRUE)),"")</f>
        <v/>
      </c>
    </row>
    <row r="292" spans="13:13">
      <c r="M292" s="268" t="str" cm="1">
        <f t="array" ref="M292">IFERROR(_xlfn._xlws.FILTER(Table1[Start Date - US],(Table1[Category]=C292)*(Table1[Execution Year]=$C$4)*(Table1[Most curent]=TRUE)),"")</f>
        <v/>
      </c>
    </row>
    <row r="293" spans="13:13">
      <c r="M293" s="268" t="str" cm="1">
        <f t="array" ref="M293">IFERROR(_xlfn._xlws.FILTER(Table1[Start Date - US],(Table1[Category]=C293)*(Table1[Execution Year]=$C$4)*(Table1[Most curent]=TRUE)),"")</f>
        <v/>
      </c>
    </row>
    <row r="294" spans="13:13">
      <c r="M294" s="268" t="str" cm="1">
        <f t="array" ref="M294">IFERROR(_xlfn._xlws.FILTER(Table1[Start Date - US],(Table1[Category]=C294)*(Table1[Execution Year]=$C$4)*(Table1[Most curent]=TRUE)),"")</f>
        <v/>
      </c>
    </row>
    <row r="295" spans="13:13">
      <c r="M295" s="268" t="str" cm="1">
        <f t="array" ref="M295">IFERROR(_xlfn._xlws.FILTER(Table1[Start Date - US],(Table1[Category]=C295)*(Table1[Execution Year]=$C$4)*(Table1[Most curent]=TRUE)),"")</f>
        <v/>
      </c>
    </row>
    <row r="296" spans="13:13">
      <c r="M296" s="268" t="str" cm="1">
        <f t="array" ref="M296">IFERROR(_xlfn._xlws.FILTER(Table1[Start Date - US],(Table1[Category]=C296)*(Table1[Execution Year]=$C$4)*(Table1[Most curent]=TRUE)),"")</f>
        <v/>
      </c>
    </row>
    <row r="297" spans="13:13">
      <c r="M297" s="268" t="str" cm="1">
        <f t="array" ref="M297">IFERROR(_xlfn._xlws.FILTER(Table1[Start Date - US],(Table1[Category]=C297)*(Table1[Execution Year]=$C$4)*(Table1[Most curent]=TRUE)),"")</f>
        <v/>
      </c>
    </row>
  </sheetData>
  <conditionalFormatting sqref="B9:M9">
    <cfRule type="notContainsBlanks" dxfId="61" priority="1">
      <formula>LEN(TRIM(B9))&gt;0</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D41607-CBA1-44CD-87EF-6D5009D2C409}">
  <sheetPr codeName="Sheet8"/>
  <dimension ref="A1:AL112"/>
  <sheetViews>
    <sheetView workbookViewId="0">
      <pane xSplit="2" ySplit="3" topLeftCell="C31" activePane="bottomRight" state="frozen"/>
      <selection pane="bottomRight" activeCell="O112" sqref="O112"/>
      <selection pane="bottomLeft" activeCell="C10" sqref="C10"/>
      <selection pane="topRight" activeCell="C10" sqref="C10"/>
    </sheetView>
  </sheetViews>
  <sheetFormatPr defaultRowHeight="14.45"/>
  <cols>
    <col min="1" max="1" width="24.5703125" customWidth="1"/>
    <col min="2" max="2" width="28.42578125" customWidth="1"/>
    <col min="4" max="4" width="8.42578125" customWidth="1"/>
    <col min="5" max="5" width="14.42578125" customWidth="1"/>
    <col min="6" max="6" width="16" customWidth="1"/>
    <col min="7" max="7" width="12.5703125" customWidth="1"/>
    <col min="8" max="8" width="13.42578125" customWidth="1"/>
    <col min="9" max="9" width="11.5703125" customWidth="1"/>
    <col min="11" max="11" width="9.5703125" customWidth="1"/>
    <col min="12" max="12" width="10.7109375" customWidth="1"/>
    <col min="15" max="15" width="14.42578125" customWidth="1"/>
    <col min="21" max="21" width="9.5703125" customWidth="1"/>
    <col min="23" max="23" width="10.5703125" bestFit="1" customWidth="1"/>
  </cols>
  <sheetData>
    <row r="1" spans="1:38" ht="29.1">
      <c r="A1" t="s">
        <v>436</v>
      </c>
      <c r="B1" s="1" t="s">
        <v>1</v>
      </c>
      <c r="C1" s="1" t="s">
        <v>4</v>
      </c>
      <c r="D1" s="1" t="s">
        <v>194</v>
      </c>
      <c r="E1" s="1" t="s">
        <v>216</v>
      </c>
      <c r="F1" s="1" t="s">
        <v>217</v>
      </c>
      <c r="G1" s="3" t="s">
        <v>218</v>
      </c>
      <c r="H1" s="1" t="s">
        <v>219</v>
      </c>
      <c r="I1" s="1" t="s">
        <v>252</v>
      </c>
      <c r="J1" s="1" t="s">
        <v>166</v>
      </c>
      <c r="K1" s="1" t="s">
        <v>208</v>
      </c>
      <c r="L1" s="1" t="s">
        <v>209</v>
      </c>
      <c r="M1" s="1" t="s">
        <v>437</v>
      </c>
      <c r="N1" s="1" t="s">
        <v>438</v>
      </c>
      <c r="O1" s="1" t="s">
        <v>439</v>
      </c>
      <c r="P1" s="1" t="s">
        <v>225</v>
      </c>
      <c r="Q1" s="1" t="s">
        <v>226</v>
      </c>
      <c r="R1" s="1" t="s">
        <v>283</v>
      </c>
      <c r="S1" s="1" t="s">
        <v>228</v>
      </c>
      <c r="T1" s="1" t="s">
        <v>229</v>
      </c>
      <c r="U1" s="1" t="s">
        <v>424</v>
      </c>
      <c r="V1" s="1" t="s">
        <v>440</v>
      </c>
      <c r="W1" s="1" t="s">
        <v>441</v>
      </c>
      <c r="X1" s="1" t="s">
        <v>442</v>
      </c>
      <c r="Y1" s="1" t="s">
        <v>5</v>
      </c>
      <c r="Z1" s="194" t="s">
        <v>6</v>
      </c>
      <c r="AA1" s="194" t="s">
        <v>7</v>
      </c>
      <c r="AB1" s="194" t="s">
        <v>8</v>
      </c>
      <c r="AC1" s="194" t="s">
        <v>9</v>
      </c>
      <c r="AD1" s="194" t="s">
        <v>10</v>
      </c>
      <c r="AE1" s="194" t="s">
        <v>11</v>
      </c>
      <c r="AF1" s="194" t="s">
        <v>12</v>
      </c>
      <c r="AG1" s="194" t="s">
        <v>13</v>
      </c>
      <c r="AH1" s="194" t="s">
        <v>14</v>
      </c>
      <c r="AI1" s="194" t="s">
        <v>15</v>
      </c>
      <c r="AJ1" s="195" t="s">
        <v>336</v>
      </c>
      <c r="AK1" s="195" t="s">
        <v>337</v>
      </c>
      <c r="AL1" s="195" t="s">
        <v>338</v>
      </c>
    </row>
    <row r="2" spans="1:38">
      <c r="A2" t="str">
        <f>Table2[[#This Row],[Execution Year]]&amp;Table2[[#This Row],[SBU]]&amp;Table2[[#This Row],[Category]]</f>
        <v>FY21ConsumablesDetergent</v>
      </c>
      <c r="B2" t="s">
        <v>42</v>
      </c>
      <c r="C2" t="s">
        <v>43</v>
      </c>
      <c r="D2" t="s">
        <v>32</v>
      </c>
      <c r="E2" s="185">
        <v>43831</v>
      </c>
      <c r="F2" s="185">
        <v>43951</v>
      </c>
      <c r="G2" s="185">
        <v>43831</v>
      </c>
      <c r="H2" s="185">
        <v>43951</v>
      </c>
      <c r="I2" t="s">
        <v>443</v>
      </c>
      <c r="J2" t="s">
        <v>444</v>
      </c>
      <c r="K2" t="s">
        <v>445</v>
      </c>
      <c r="L2" t="s">
        <v>445</v>
      </c>
      <c r="M2" s="185">
        <v>44011</v>
      </c>
      <c r="N2" t="s">
        <v>34</v>
      </c>
      <c r="O2" s="16">
        <v>44704.91471099537</v>
      </c>
      <c r="P2" t="s">
        <v>446</v>
      </c>
      <c r="Q2" t="s">
        <v>447</v>
      </c>
      <c r="R2" t="s">
        <v>353</v>
      </c>
      <c r="S2" t="s">
        <v>448</v>
      </c>
      <c r="T2">
        <v>0</v>
      </c>
      <c r="U2">
        <v>0</v>
      </c>
      <c r="V2">
        <f>_xlfn.XLOOKUP(Table2[[#This Row],[Primary Dept Description]],'Lookup tables'!$U$17:$U$117,'Lookup tables'!$T$17:$T$117,"")</f>
        <v>13</v>
      </c>
      <c r="W2" s="15">
        <f>IF(OR(Table2[[#This Row],[Revised Award]]=0,Table2[[#This Row],[Revised Award]]=""),IF(OR(Table2[[#This Row],[Planned Award]]=0,Table2[[#This Row],[Planned Award]]=""),"Not Updated",Table2[[#This Row],[Planned Award]]),Table2[[#This Row],[Revised Award]])</f>
        <v>43951</v>
      </c>
      <c r="X2" t="str">
        <f>_xlfn.XLOOKUP(Table2[[#This Row],[Milestone]],'Lookup tables'!$Y$27:$Y$60,'Lookup tables'!$Z$27:$Z$60,"Not Updated")</f>
        <v>Completed</v>
      </c>
      <c r="Y2" cm="1">
        <f t="array" ref="Y2">IF(_xlfn._xlws.FILTER(Table1[Spend - CAN],(Table1[Execution Year]=Table2[[#This Row],[Execution Year]])*(Table1[SBU]=Table2[[#This Row],[SBU]])*(Table1[Category]=Table2[[#This Row],[Category]])*(Table1[Most curent]=TRUE),"NF")&gt;0,1,0)</f>
        <v>0</v>
      </c>
      <c r="Z2" cm="1">
        <f t="array" ref="Z2">IF(_xlfn._xlws.FILTER(Table1[Spend - MEX],(Table1[Execution Year]=Table2[[#This Row],[Execution Year]])*(Table1[SBU]=Table2[[#This Row],[SBU]])*(Table1[Category]=Table2[[#This Row],[Category]])*(Table1[Most curent]=TRUE),"NF")&gt;0,1,0)</f>
        <v>1</v>
      </c>
      <c r="AA2" cm="1">
        <f t="array" ref="AA2">IF(_xlfn._xlws.FILTER(Table1[Spend - CAM],(Table1[Execution Year]=Table2[[#This Row],[Execution Year]])*(Table1[SBU]=Table2[[#This Row],[SBU]])*(Table1[Category]=Table2[[#This Row],[Category]])*(Table1[Most curent]=TRUE),"NF")&gt;0,1,0)</f>
        <v>1</v>
      </c>
      <c r="AB2" cm="1">
        <f t="array" ref="AB2">IF(_xlfn._xlws.FILTER(Table1[Spend - CHL],(Table1[Execution Year]=Table2[[#This Row],[Execution Year]])*(Table1[SBU]=Table2[[#This Row],[SBU]])*(Table1[Category]=Table2[[#This Row],[Category]])*(Table1[Most curent]=TRUE),"NF")&gt;0,1,0)</f>
        <v>1</v>
      </c>
      <c r="AC2" cm="1">
        <f t="array" ref="AC2">IF(_xlfn._xlws.FILTER(Table1[Spend - ARG],(Table1[Execution Year]=Table2[[#This Row],[Execution Year]])*(Table1[SBU]=Table2[[#This Row],[SBU]])*(Table1[Category]=Table2[[#This Row],[Category]])*(Table1[Most curent]=TRUE),"NF")&gt;0,1,0)</f>
        <v>1</v>
      </c>
      <c r="AD2" cm="1">
        <f t="array" ref="AD2">IF(_xlfn._xlws.FILTER(Table1[Spend - CHN],(Table1[Execution Year]=Table2[[#This Row],[Execution Year]])*(Table1[SBU]=Table2[[#This Row],[SBU]])*(Table1[Category]=Table2[[#This Row],[Category]])*(Table1[Most curent]=TRUE),"NF")&gt;0,1,0)</f>
        <v>0</v>
      </c>
      <c r="AE2" cm="1">
        <f t="array" ref="AE2">IF(_xlfn._xlws.FILTER(Table1[Spend - JAP],(Table1[Execution Year]=Table2[[#This Row],[Execution Year]])*(Table1[SBU]=Table2[[#This Row],[SBU]])*(Table1[Category]=Table2[[#This Row],[Category]])*(Table1[Most curent]=TRUE),"NF")&gt;0,1,0)</f>
        <v>1</v>
      </c>
      <c r="AF2" cm="1">
        <f t="array" ref="AF2">IF(_xlfn._xlws.FILTER(Table1[Spend - UKN],(Table1[Execution Year]=Table2[[#This Row],[Execution Year]])*(Table1[SBU]=Table2[[#This Row],[SBU]])*(Table1[Category]=Table2[[#This Row],[Category]])*(Table1[Most curent]=TRUE),"NF")&gt;0,1,0)</f>
        <v>0</v>
      </c>
      <c r="AG2" cm="1">
        <f t="array" ref="AG2">IF(_xlfn._xlws.FILTER(Table1[Spend - SAF],(Table1[Execution Year]=Table2[[#This Row],[Execution Year]])*(Table1[SBU]=Table2[[#This Row],[SBU]])*(Table1[Category]=Table2[[#This Row],[Category]])*(Table1[Most curent]=TRUE),"NF")&gt;0,1,0)</f>
        <v>0</v>
      </c>
      <c r="AH2" cm="1">
        <f t="array" ref="AH2">IF(_xlfn._xlws.FILTER(Table1[Spend - US],(Table1[Execution Year]=Table2[[#This Row],[Execution Year]])*(Table1[SBU]=Table2[[#This Row],[SBU]])*(Table1[Category]=Table2[[#This Row],[Category]])*(Table1[Most curent]=TRUE),"NF")&gt;0,1,0)</f>
        <v>0</v>
      </c>
      <c r="AI2" cm="1">
        <f t="array" ref="AI2">IF(_xlfn._xlws.FILTER(Table1[Spend - Sams],(Table1[Execution Year]=Table2[[#This Row],[Execution Year]])*(Table1[SBU]=Table2[[#This Row],[SBU]])*(Table1[Category]=Table2[[#This Row],[Category]])*(Table1[Most curent]=TRUE),"NF")&gt;0,1,0)</f>
        <v>0</v>
      </c>
      <c r="AJ2" cm="1">
        <f t="array" ref="AJ2">IF(_xlfn._xlws.FILTER(Table1[Spend - Sams Mexico],(Table1[Execution Year]=Table2[[#This Row],[Execution Year]])*(Table1[SBU]=Table2[[#This Row],[SBU]])*(Table1[Category]=Table2[[#This Row],[Category]])*(Table1[Most curent]=TRUE),"NF")&gt;0,1,0)</f>
        <v>0</v>
      </c>
      <c r="AK2" cm="1">
        <f t="array" ref="AK2">IF(_xlfn._xlws.FILTER(Table1[Spend - Sams China],(Table1[Execution Year]=Table2[[#This Row],[Execution Year]])*(Table1[SBU]=Table2[[#This Row],[SBU]])*(Table1[Category]=Table2[[#This Row],[Category]])*(Table1[Most curent]=TRUE),"NF")&gt;0,1,0)</f>
        <v>0</v>
      </c>
      <c r="AL2" cm="1">
        <f t="array" ref="AL2">IF(_xlfn._xlws.FILTER(Table1[Spend - IND],(Table1[Execution Year]=Table2[[#This Row],[Execution Year]])*(Table1[SBU]=Table2[[#This Row],[SBU]])*(Table1[Category]=Table2[[#This Row],[Category]])*(Table1[Most curent]=TRUE),"NF")&gt;0,1,0)</f>
        <v>0</v>
      </c>
    </row>
    <row r="3" spans="1:38">
      <c r="A3" t="str">
        <f>Table2[[#This Row],[Execution Year]]&amp;Table2[[#This Row],[SBU]]&amp;Table2[[#This Row],[Category]]</f>
        <v>FY21ConsumablesPaper products</v>
      </c>
      <c r="B3" t="s">
        <v>93</v>
      </c>
      <c r="C3" t="s">
        <v>43</v>
      </c>
      <c r="D3" t="s">
        <v>32</v>
      </c>
      <c r="E3" s="185">
        <v>44136</v>
      </c>
      <c r="F3" s="185">
        <v>44252</v>
      </c>
      <c r="G3" s="185">
        <v>0</v>
      </c>
      <c r="H3" s="185">
        <v>0</v>
      </c>
      <c r="I3" t="s">
        <v>449</v>
      </c>
      <c r="J3" t="s">
        <v>444</v>
      </c>
      <c r="K3">
        <v>0</v>
      </c>
      <c r="L3">
        <v>0</v>
      </c>
      <c r="M3" s="185">
        <v>44312</v>
      </c>
      <c r="N3" t="s">
        <v>78</v>
      </c>
      <c r="O3" s="16">
        <v>44622.339647222223</v>
      </c>
      <c r="P3" t="s">
        <v>446</v>
      </c>
      <c r="Q3" t="s">
        <v>450</v>
      </c>
      <c r="R3" t="s">
        <v>353</v>
      </c>
      <c r="S3" t="s">
        <v>448</v>
      </c>
      <c r="V3">
        <f>_xlfn.XLOOKUP(Table2[[#This Row],[Primary Dept Description]],'Lookup tables'!$U$17:$U$117,'Lookup tables'!$T$17:$T$117,"")</f>
        <v>4</v>
      </c>
      <c r="W3" s="15">
        <f>IF(OR(Table2[[#This Row],[Revised Award]]=0,Table2[[#This Row],[Revised Award]]=""),IF(OR(Table2[[#This Row],[Planned Award]]=0,Table2[[#This Row],[Planned Award]]=""),"Not Updated",Table2[[#This Row],[Planned Award]]),Table2[[#This Row],[Revised Award]])</f>
        <v>44252</v>
      </c>
      <c r="X3" t="str">
        <f>_xlfn.XLOOKUP(Table2[[#This Row],[Milestone]],'Lookup tables'!$Y$27:$Y$60,'Lookup tables'!$Z$27:$Z$60,"Not Updated")</f>
        <v>Cancelled</v>
      </c>
      <c r="Y3" cm="1">
        <f t="array" ref="Y3">IF(_xlfn._xlws.FILTER(Table1[Spend - CAN],(Table1[Execution Year]=Table2[[#This Row],[Execution Year]])*(Table1[SBU]=Table2[[#This Row],[SBU]])*(Table1[Category]=Table2[[#This Row],[Category]])*(Table1[Most curent]=TRUE),"NF")&gt;0,1,0)</f>
        <v>0</v>
      </c>
      <c r="Z3" cm="1">
        <f t="array" ref="Z3">IF(_xlfn._xlws.FILTER(Table1[Spend - MEX],(Table1[Execution Year]=Table2[[#This Row],[Execution Year]])*(Table1[SBU]=Table2[[#This Row],[SBU]])*(Table1[Category]=Table2[[#This Row],[Category]])*(Table1[Most curent]=TRUE),"NF")&gt;0,1,0)</f>
        <v>0</v>
      </c>
      <c r="AA3" cm="1">
        <f t="array" ref="AA3">IF(_xlfn._xlws.FILTER(Table1[Spend - CAM],(Table1[Execution Year]=Table2[[#This Row],[Execution Year]])*(Table1[SBU]=Table2[[#This Row],[SBU]])*(Table1[Category]=Table2[[#This Row],[Category]])*(Table1[Most curent]=TRUE),"NF")&gt;0,1,0)</f>
        <v>0</v>
      </c>
      <c r="AB3" cm="1">
        <f t="array" ref="AB3">IF(_xlfn._xlws.FILTER(Table1[Spend - CHL],(Table1[Execution Year]=Table2[[#This Row],[Execution Year]])*(Table1[SBU]=Table2[[#This Row],[SBU]])*(Table1[Category]=Table2[[#This Row],[Category]])*(Table1[Most curent]=TRUE),"NF")&gt;0,1,0)</f>
        <v>0</v>
      </c>
      <c r="AC3" cm="1">
        <f t="array" ref="AC3">IF(_xlfn._xlws.FILTER(Table1[Spend - ARG],(Table1[Execution Year]=Table2[[#This Row],[Execution Year]])*(Table1[SBU]=Table2[[#This Row],[SBU]])*(Table1[Category]=Table2[[#This Row],[Category]])*(Table1[Most curent]=TRUE),"NF")&gt;0,1,0)</f>
        <v>0</v>
      </c>
      <c r="AD3" cm="1">
        <f t="array" ref="AD3">IF(_xlfn._xlws.FILTER(Table1[Spend - CHN],(Table1[Execution Year]=Table2[[#This Row],[Execution Year]])*(Table1[SBU]=Table2[[#This Row],[SBU]])*(Table1[Category]=Table2[[#This Row],[Category]])*(Table1[Most curent]=TRUE),"NF")&gt;0,1,0)</f>
        <v>0</v>
      </c>
      <c r="AE3" cm="1">
        <f t="array" ref="AE3">IF(_xlfn._xlws.FILTER(Table1[Spend - JAP],(Table1[Execution Year]=Table2[[#This Row],[Execution Year]])*(Table1[SBU]=Table2[[#This Row],[SBU]])*(Table1[Category]=Table2[[#This Row],[Category]])*(Table1[Most curent]=TRUE),"NF")&gt;0,1,0)</f>
        <v>0</v>
      </c>
      <c r="AF3" cm="1">
        <f t="array" ref="AF3">IF(_xlfn._xlws.FILTER(Table1[Spend - UKN],(Table1[Execution Year]=Table2[[#This Row],[Execution Year]])*(Table1[SBU]=Table2[[#This Row],[SBU]])*(Table1[Category]=Table2[[#This Row],[Category]])*(Table1[Most curent]=TRUE),"NF")&gt;0,1,0)</f>
        <v>0</v>
      </c>
      <c r="AG3" cm="1">
        <f t="array" ref="AG3">IF(_xlfn._xlws.FILTER(Table1[Spend - SAF],(Table1[Execution Year]=Table2[[#This Row],[Execution Year]])*(Table1[SBU]=Table2[[#This Row],[SBU]])*(Table1[Category]=Table2[[#This Row],[Category]])*(Table1[Most curent]=TRUE),"NF")&gt;0,1,0)</f>
        <v>0</v>
      </c>
      <c r="AH3" cm="1">
        <f t="array" ref="AH3">IF(_xlfn._xlws.FILTER(Table1[Spend - US],(Table1[Execution Year]=Table2[[#This Row],[Execution Year]])*(Table1[SBU]=Table2[[#This Row],[SBU]])*(Table1[Category]=Table2[[#This Row],[Category]])*(Table1[Most curent]=TRUE),"NF")&gt;0,1,0)</f>
        <v>0</v>
      </c>
      <c r="AI3" cm="1">
        <f t="array" ref="AI3">IF(_xlfn._xlws.FILTER(Table1[Spend - Sams],(Table1[Execution Year]=Table2[[#This Row],[Execution Year]])*(Table1[SBU]=Table2[[#This Row],[SBU]])*(Table1[Category]=Table2[[#This Row],[Category]])*(Table1[Most curent]=TRUE),"NF")&gt;0,1,0)</f>
        <v>0</v>
      </c>
      <c r="AJ3" cm="1">
        <f t="array" ref="AJ3">IF(_xlfn._xlws.FILTER(Table1[Spend - Sams Mexico],(Table1[Execution Year]=Table2[[#This Row],[Execution Year]])*(Table1[SBU]=Table2[[#This Row],[SBU]])*(Table1[Category]=Table2[[#This Row],[Category]])*(Table1[Most curent]=TRUE),"NF")&gt;0,1,0)</f>
        <v>0</v>
      </c>
      <c r="AK3" cm="1">
        <f t="array" ref="AK3">IF(_xlfn._xlws.FILTER(Table1[Spend - Sams China],(Table1[Execution Year]=Table2[[#This Row],[Execution Year]])*(Table1[SBU]=Table2[[#This Row],[SBU]])*(Table1[Category]=Table2[[#This Row],[Category]])*(Table1[Most curent]=TRUE),"NF")&gt;0,1,0)</f>
        <v>0</v>
      </c>
      <c r="AL3" cm="1">
        <f t="array" ref="AL3">IF(_xlfn._xlws.FILTER(Table1[Spend - IND],(Table1[Execution Year]=Table2[[#This Row],[Execution Year]])*(Table1[SBU]=Table2[[#This Row],[SBU]])*(Table1[Category]=Table2[[#This Row],[Category]])*(Table1[Most curent]=TRUE),"NF")&gt;0,1,0)</f>
        <v>0</v>
      </c>
    </row>
    <row r="4" spans="1:38">
      <c r="A4" t="str">
        <f>Table2[[#This Row],[Execution Year]]&amp;Table2[[#This Row],[SBU]]&amp;Table2[[#This Row],[Category]]</f>
        <v>FY22ConsumablesDish/Laundry Soap</v>
      </c>
      <c r="B4" t="s">
        <v>89</v>
      </c>
      <c r="C4" t="s">
        <v>43</v>
      </c>
      <c r="D4" t="s">
        <v>39</v>
      </c>
      <c r="E4" s="185">
        <v>0</v>
      </c>
      <c r="F4" s="185">
        <v>0</v>
      </c>
      <c r="G4" s="185">
        <v>0</v>
      </c>
      <c r="H4" s="185">
        <v>0</v>
      </c>
      <c r="I4" t="s">
        <v>449</v>
      </c>
      <c r="J4" t="s">
        <v>417</v>
      </c>
      <c r="K4">
        <v>0</v>
      </c>
      <c r="L4">
        <v>0</v>
      </c>
      <c r="M4" s="185"/>
      <c r="O4" s="16"/>
      <c r="P4" t="s">
        <v>446</v>
      </c>
      <c r="Q4" t="s">
        <v>447</v>
      </c>
      <c r="S4" t="s">
        <v>448</v>
      </c>
      <c r="V4">
        <f>_xlfn.XLOOKUP(Table2[[#This Row],[Primary Dept Description]],'Lookup tables'!$U$17:$U$117,'Lookup tables'!$T$17:$T$117,"")</f>
        <v>13</v>
      </c>
      <c r="W4" s="15" t="str">
        <f>IF(OR(Table2[[#This Row],[Revised Award]]=0,Table2[[#This Row],[Revised Award]]=""),IF(OR(Table2[[#This Row],[Planned Award]]=0,Table2[[#This Row],[Planned Award]]=""),"Not Updated",Table2[[#This Row],[Planned Award]]),Table2[[#This Row],[Revised Award]])</f>
        <v>Not Updated</v>
      </c>
      <c r="X4" t="str">
        <f>_xlfn.XLOOKUP(Table2[[#This Row],[Milestone]],'Lookup tables'!$Y$27:$Y$60,'Lookup tables'!$Z$27:$Z$60,"Not Updated")</f>
        <v>Cancelled</v>
      </c>
      <c r="Y4" cm="1">
        <f t="array" ref="Y4">IF(_xlfn._xlws.FILTER(Table1[Spend - CAN],(Table1[Execution Year]=Table2[[#This Row],[Execution Year]])*(Table1[SBU]=Table2[[#This Row],[SBU]])*(Table1[Category]=Table2[[#This Row],[Category]])*(Table1[Most curent]=TRUE),"NF")&gt;0,1,0)</f>
        <v>0</v>
      </c>
      <c r="Z4" cm="1">
        <f t="array" ref="Z4">IF(_xlfn._xlws.FILTER(Table1[Spend - MEX],(Table1[Execution Year]=Table2[[#This Row],[Execution Year]])*(Table1[SBU]=Table2[[#This Row],[SBU]])*(Table1[Category]=Table2[[#This Row],[Category]])*(Table1[Most curent]=TRUE),"NF")&gt;0,1,0)</f>
        <v>0</v>
      </c>
      <c r="AA4" cm="1">
        <f t="array" ref="AA4">IF(_xlfn._xlws.FILTER(Table1[Spend - CAM],(Table1[Execution Year]=Table2[[#This Row],[Execution Year]])*(Table1[SBU]=Table2[[#This Row],[SBU]])*(Table1[Category]=Table2[[#This Row],[Category]])*(Table1[Most curent]=TRUE),"NF")&gt;0,1,0)</f>
        <v>0</v>
      </c>
      <c r="AB4" cm="1">
        <f t="array" ref="AB4">IF(_xlfn._xlws.FILTER(Table1[Spend - CHL],(Table1[Execution Year]=Table2[[#This Row],[Execution Year]])*(Table1[SBU]=Table2[[#This Row],[SBU]])*(Table1[Category]=Table2[[#This Row],[Category]])*(Table1[Most curent]=TRUE),"NF")&gt;0,1,0)</f>
        <v>0</v>
      </c>
      <c r="AC4" cm="1">
        <f t="array" ref="AC4">IF(_xlfn._xlws.FILTER(Table1[Spend - ARG],(Table1[Execution Year]=Table2[[#This Row],[Execution Year]])*(Table1[SBU]=Table2[[#This Row],[SBU]])*(Table1[Category]=Table2[[#This Row],[Category]])*(Table1[Most curent]=TRUE),"NF")&gt;0,1,0)</f>
        <v>0</v>
      </c>
      <c r="AD4" cm="1">
        <f t="array" ref="AD4">IF(_xlfn._xlws.FILTER(Table1[Spend - CHN],(Table1[Execution Year]=Table2[[#This Row],[Execution Year]])*(Table1[SBU]=Table2[[#This Row],[SBU]])*(Table1[Category]=Table2[[#This Row],[Category]])*(Table1[Most curent]=TRUE),"NF")&gt;0,1,0)</f>
        <v>0</v>
      </c>
      <c r="AE4" cm="1">
        <f t="array" ref="AE4">IF(_xlfn._xlws.FILTER(Table1[Spend - JAP],(Table1[Execution Year]=Table2[[#This Row],[Execution Year]])*(Table1[SBU]=Table2[[#This Row],[SBU]])*(Table1[Category]=Table2[[#This Row],[Category]])*(Table1[Most curent]=TRUE),"NF")&gt;0,1,0)</f>
        <v>0</v>
      </c>
      <c r="AF4" cm="1">
        <f t="array" ref="AF4">IF(_xlfn._xlws.FILTER(Table1[Spend - UKN],(Table1[Execution Year]=Table2[[#This Row],[Execution Year]])*(Table1[SBU]=Table2[[#This Row],[SBU]])*(Table1[Category]=Table2[[#This Row],[Category]])*(Table1[Most curent]=TRUE),"NF")&gt;0,1,0)</f>
        <v>0</v>
      </c>
      <c r="AG4" cm="1">
        <f t="array" ref="AG4">IF(_xlfn._xlws.FILTER(Table1[Spend - SAF],(Table1[Execution Year]=Table2[[#This Row],[Execution Year]])*(Table1[SBU]=Table2[[#This Row],[SBU]])*(Table1[Category]=Table2[[#This Row],[Category]])*(Table1[Most curent]=TRUE),"NF")&gt;0,1,0)</f>
        <v>0</v>
      </c>
      <c r="AH4" cm="1">
        <f t="array" ref="AH4">IF(_xlfn._xlws.FILTER(Table1[Spend - US],(Table1[Execution Year]=Table2[[#This Row],[Execution Year]])*(Table1[SBU]=Table2[[#This Row],[SBU]])*(Table1[Category]=Table2[[#This Row],[Category]])*(Table1[Most curent]=TRUE),"NF")&gt;0,1,0)</f>
        <v>0</v>
      </c>
      <c r="AI4" cm="1">
        <f t="array" ref="AI4">IF(_xlfn._xlws.FILTER(Table1[Spend - Sams],(Table1[Execution Year]=Table2[[#This Row],[Execution Year]])*(Table1[SBU]=Table2[[#This Row],[SBU]])*(Table1[Category]=Table2[[#This Row],[Category]])*(Table1[Most curent]=TRUE),"NF")&gt;0,1,0)</f>
        <v>0</v>
      </c>
      <c r="AJ4" cm="1">
        <f t="array" ref="AJ4">IF(_xlfn._xlws.FILTER(Table1[Spend - Sams Mexico],(Table1[Execution Year]=Table2[[#This Row],[Execution Year]])*(Table1[SBU]=Table2[[#This Row],[SBU]])*(Table1[Category]=Table2[[#This Row],[Category]])*(Table1[Most curent]=TRUE),"NF")&gt;0,1,0)</f>
        <v>0</v>
      </c>
      <c r="AK4" cm="1">
        <f t="array" ref="AK4">IF(_xlfn._xlws.FILTER(Table1[Spend - Sams China],(Table1[Execution Year]=Table2[[#This Row],[Execution Year]])*(Table1[SBU]=Table2[[#This Row],[SBU]])*(Table1[Category]=Table2[[#This Row],[Category]])*(Table1[Most curent]=TRUE),"NF")&gt;0,1,0)</f>
        <v>0</v>
      </c>
      <c r="AL4" cm="1">
        <f t="array" ref="AL4">IF(_xlfn._xlws.FILTER(Table1[Spend - IND],(Table1[Execution Year]=Table2[[#This Row],[Execution Year]])*(Table1[SBU]=Table2[[#This Row],[SBU]])*(Table1[Category]=Table2[[#This Row],[Category]])*(Table1[Most curent]=TRUE),"NF")&gt;0,1,0)</f>
        <v>0</v>
      </c>
    </row>
    <row r="5" spans="1:38">
      <c r="A5" t="str">
        <f>Table2[[#This Row],[Execution Year]]&amp;Table2[[#This Row],[SBU]]&amp;Table2[[#This Row],[Category]]</f>
        <v>FY22ConsumablesDish &amp; Laundry (liquids)</v>
      </c>
      <c r="B5" t="s">
        <v>91</v>
      </c>
      <c r="C5" t="s">
        <v>43</v>
      </c>
      <c r="D5" t="s">
        <v>39</v>
      </c>
      <c r="E5" s="185">
        <v>44378</v>
      </c>
      <c r="F5" s="185">
        <v>44469</v>
      </c>
      <c r="G5" s="185">
        <v>0</v>
      </c>
      <c r="H5" s="185">
        <v>0</v>
      </c>
      <c r="I5" t="s">
        <v>449</v>
      </c>
      <c r="J5" t="s">
        <v>417</v>
      </c>
      <c r="K5">
        <v>0</v>
      </c>
      <c r="L5">
        <v>0</v>
      </c>
      <c r="M5" s="185"/>
      <c r="O5" s="16"/>
      <c r="P5" t="s">
        <v>446</v>
      </c>
      <c r="Q5" t="s">
        <v>447</v>
      </c>
      <c r="S5" t="s">
        <v>451</v>
      </c>
      <c r="V5">
        <f>_xlfn.XLOOKUP(Table2[[#This Row],[Primary Dept Description]],'Lookup tables'!$U$17:$U$117,'Lookup tables'!$T$17:$T$117,"")</f>
        <v>13</v>
      </c>
      <c r="W5" s="15">
        <f>IF(OR(Table2[[#This Row],[Revised Award]]=0,Table2[[#This Row],[Revised Award]]=""),IF(OR(Table2[[#This Row],[Planned Award]]=0,Table2[[#This Row],[Planned Award]]=""),"Not Updated",Table2[[#This Row],[Planned Award]]),Table2[[#This Row],[Revised Award]])</f>
        <v>44469</v>
      </c>
      <c r="X5" t="str">
        <f>_xlfn.XLOOKUP(Table2[[#This Row],[Milestone]],'Lookup tables'!$Y$27:$Y$60,'Lookup tables'!$Z$27:$Z$60,"Not Updated")</f>
        <v>Cancelled</v>
      </c>
      <c r="Y5" cm="1">
        <f t="array" ref="Y5">IF(_xlfn._xlws.FILTER(Table1[Spend - CAN],(Table1[Execution Year]=Table2[[#This Row],[Execution Year]])*(Table1[SBU]=Table2[[#This Row],[SBU]])*(Table1[Category]=Table2[[#This Row],[Category]])*(Table1[Most curent]=TRUE),"NF")&gt;0,1,0)</f>
        <v>1</v>
      </c>
      <c r="Z5" cm="1">
        <f t="array" ref="Z5">IF(_xlfn._xlws.FILTER(Table1[Spend - MEX],(Table1[Execution Year]=Table2[[#This Row],[Execution Year]])*(Table1[SBU]=Table2[[#This Row],[SBU]])*(Table1[Category]=Table2[[#This Row],[Category]])*(Table1[Most curent]=TRUE),"NF")&gt;0,1,0)</f>
        <v>1</v>
      </c>
      <c r="AA5" cm="1">
        <f t="array" ref="AA5">IF(_xlfn._xlws.FILTER(Table1[Spend - CAM],(Table1[Execution Year]=Table2[[#This Row],[Execution Year]])*(Table1[SBU]=Table2[[#This Row],[SBU]])*(Table1[Category]=Table2[[#This Row],[Category]])*(Table1[Most curent]=TRUE),"NF")&gt;0,1,0)</f>
        <v>1</v>
      </c>
      <c r="AB5" cm="1">
        <f t="array" ref="AB5">IF(_xlfn._xlws.FILTER(Table1[Spend - CHL],(Table1[Execution Year]=Table2[[#This Row],[Execution Year]])*(Table1[SBU]=Table2[[#This Row],[SBU]])*(Table1[Category]=Table2[[#This Row],[Category]])*(Table1[Most curent]=TRUE),"NF")&gt;0,1,0)</f>
        <v>1</v>
      </c>
      <c r="AC5" cm="1">
        <f t="array" ref="AC5">IF(_xlfn._xlws.FILTER(Table1[Spend - ARG],(Table1[Execution Year]=Table2[[#This Row],[Execution Year]])*(Table1[SBU]=Table2[[#This Row],[SBU]])*(Table1[Category]=Table2[[#This Row],[Category]])*(Table1[Most curent]=TRUE),"NF")&gt;0,1,0)</f>
        <v>0</v>
      </c>
      <c r="AD5" cm="1">
        <f t="array" ref="AD5">IF(_xlfn._xlws.FILTER(Table1[Spend - CHN],(Table1[Execution Year]=Table2[[#This Row],[Execution Year]])*(Table1[SBU]=Table2[[#This Row],[SBU]])*(Table1[Category]=Table2[[#This Row],[Category]])*(Table1[Most curent]=TRUE),"NF")&gt;0,1,0)</f>
        <v>1</v>
      </c>
      <c r="AE5" cm="1">
        <f t="array" ref="AE5">IF(_xlfn._xlws.FILTER(Table1[Spend - JAP],(Table1[Execution Year]=Table2[[#This Row],[Execution Year]])*(Table1[SBU]=Table2[[#This Row],[SBU]])*(Table1[Category]=Table2[[#This Row],[Category]])*(Table1[Most curent]=TRUE),"NF")&gt;0,1,0)</f>
        <v>0</v>
      </c>
      <c r="AF5" cm="1">
        <f t="array" ref="AF5">IF(_xlfn._xlws.FILTER(Table1[Spend - UKN],(Table1[Execution Year]=Table2[[#This Row],[Execution Year]])*(Table1[SBU]=Table2[[#This Row],[SBU]])*(Table1[Category]=Table2[[#This Row],[Category]])*(Table1[Most curent]=TRUE),"NF")&gt;0,1,0)</f>
        <v>1</v>
      </c>
      <c r="AG5" cm="1">
        <f t="array" ref="AG5">IF(_xlfn._xlws.FILTER(Table1[Spend - SAF],(Table1[Execution Year]=Table2[[#This Row],[Execution Year]])*(Table1[SBU]=Table2[[#This Row],[SBU]])*(Table1[Category]=Table2[[#This Row],[Category]])*(Table1[Most curent]=TRUE),"NF")&gt;0,1,0)</f>
        <v>0</v>
      </c>
      <c r="AH5" cm="1">
        <f t="array" ref="AH5">IF(_xlfn._xlws.FILTER(Table1[Spend - US],(Table1[Execution Year]=Table2[[#This Row],[Execution Year]])*(Table1[SBU]=Table2[[#This Row],[SBU]])*(Table1[Category]=Table2[[#This Row],[Category]])*(Table1[Most curent]=TRUE),"NF")&gt;0,1,0)</f>
        <v>0</v>
      </c>
      <c r="AI5" cm="1">
        <f t="array" ref="AI5">IF(_xlfn._xlws.FILTER(Table1[Spend - Sams],(Table1[Execution Year]=Table2[[#This Row],[Execution Year]])*(Table1[SBU]=Table2[[#This Row],[SBU]])*(Table1[Category]=Table2[[#This Row],[Category]])*(Table1[Most curent]=TRUE),"NF")&gt;0,1,0)</f>
        <v>0</v>
      </c>
      <c r="AJ5" cm="1">
        <f t="array" ref="AJ5">IF(_xlfn._xlws.FILTER(Table1[Spend - Sams Mexico],(Table1[Execution Year]=Table2[[#This Row],[Execution Year]])*(Table1[SBU]=Table2[[#This Row],[SBU]])*(Table1[Category]=Table2[[#This Row],[Category]])*(Table1[Most curent]=TRUE),"NF")&gt;0,1,0)</f>
        <v>0</v>
      </c>
      <c r="AK5" cm="1">
        <f t="array" ref="AK5">IF(_xlfn._xlws.FILTER(Table1[Spend - Sams China],(Table1[Execution Year]=Table2[[#This Row],[Execution Year]])*(Table1[SBU]=Table2[[#This Row],[SBU]])*(Table1[Category]=Table2[[#This Row],[Category]])*(Table1[Most curent]=TRUE),"NF")&gt;0,1,0)</f>
        <v>0</v>
      </c>
      <c r="AL5" cm="1">
        <f t="array" ref="AL5">IF(_xlfn._xlws.FILTER(Table1[Spend - IND],(Table1[Execution Year]=Table2[[#This Row],[Execution Year]])*(Table1[SBU]=Table2[[#This Row],[SBU]])*(Table1[Category]=Table2[[#This Row],[Category]])*(Table1[Most curent]=TRUE),"NF")&gt;0,1,0)</f>
        <v>0</v>
      </c>
    </row>
    <row r="6" spans="1:38">
      <c r="A6" t="str">
        <f>Table2[[#This Row],[Execution Year]]&amp;Table2[[#This Row],[SBU]]&amp;Table2[[#This Row],[Category]]</f>
        <v>FY22ConsumablesDish &amp; Laundry (pods)</v>
      </c>
      <c r="B6" t="s">
        <v>92</v>
      </c>
      <c r="C6" t="s">
        <v>43</v>
      </c>
      <c r="D6" t="s">
        <v>39</v>
      </c>
      <c r="E6" s="185">
        <v>44378</v>
      </c>
      <c r="F6" s="185">
        <v>44469</v>
      </c>
      <c r="G6" s="185">
        <v>0</v>
      </c>
      <c r="H6" s="185">
        <v>0</v>
      </c>
      <c r="I6" t="s">
        <v>449</v>
      </c>
      <c r="J6" t="s">
        <v>417</v>
      </c>
      <c r="K6">
        <v>0</v>
      </c>
      <c r="L6">
        <v>0</v>
      </c>
      <c r="M6" s="185"/>
      <c r="O6" s="16"/>
      <c r="P6" t="s">
        <v>446</v>
      </c>
      <c r="Q6" t="s">
        <v>447</v>
      </c>
      <c r="S6" t="s">
        <v>448</v>
      </c>
      <c r="V6">
        <f>_xlfn.XLOOKUP(Table2[[#This Row],[Primary Dept Description]],'Lookup tables'!$U$17:$U$117,'Lookup tables'!$T$17:$T$117,"")</f>
        <v>13</v>
      </c>
      <c r="W6" s="15">
        <f>IF(OR(Table2[[#This Row],[Revised Award]]=0,Table2[[#This Row],[Revised Award]]=""),IF(OR(Table2[[#This Row],[Planned Award]]=0,Table2[[#This Row],[Planned Award]]=""),"Not Updated",Table2[[#This Row],[Planned Award]]),Table2[[#This Row],[Revised Award]])</f>
        <v>44469</v>
      </c>
      <c r="X6" t="str">
        <f>_xlfn.XLOOKUP(Table2[[#This Row],[Milestone]],'Lookup tables'!$Y$27:$Y$60,'Lookup tables'!$Z$27:$Z$60,"Not Updated")</f>
        <v>Cancelled</v>
      </c>
      <c r="Y6" cm="1">
        <f t="array" ref="Y6">IF(_xlfn._xlws.FILTER(Table1[Spend - CAN],(Table1[Execution Year]=Table2[[#This Row],[Execution Year]])*(Table1[SBU]=Table2[[#This Row],[SBU]])*(Table1[Category]=Table2[[#This Row],[Category]])*(Table1[Most curent]=TRUE),"NF")&gt;0,1,0)</f>
        <v>1</v>
      </c>
      <c r="Z6" cm="1">
        <f t="array" ref="Z6">IF(_xlfn._xlws.FILTER(Table1[Spend - MEX],(Table1[Execution Year]=Table2[[#This Row],[Execution Year]])*(Table1[SBU]=Table2[[#This Row],[SBU]])*(Table1[Category]=Table2[[#This Row],[Category]])*(Table1[Most curent]=TRUE),"NF")&gt;0,1,0)</f>
        <v>1</v>
      </c>
      <c r="AA6" cm="1">
        <f t="array" ref="AA6">IF(_xlfn._xlws.FILTER(Table1[Spend - CAM],(Table1[Execution Year]=Table2[[#This Row],[Execution Year]])*(Table1[SBU]=Table2[[#This Row],[SBU]])*(Table1[Category]=Table2[[#This Row],[Category]])*(Table1[Most curent]=TRUE),"NF")&gt;0,1,0)</f>
        <v>0</v>
      </c>
      <c r="AB6" cm="1">
        <f t="array" ref="AB6">IF(_xlfn._xlws.FILTER(Table1[Spend - CHL],(Table1[Execution Year]=Table2[[#This Row],[Execution Year]])*(Table1[SBU]=Table2[[#This Row],[SBU]])*(Table1[Category]=Table2[[#This Row],[Category]])*(Table1[Most curent]=TRUE),"NF")&gt;0,1,0)</f>
        <v>1</v>
      </c>
      <c r="AC6" cm="1">
        <f t="array" ref="AC6">IF(_xlfn._xlws.FILTER(Table1[Spend - ARG],(Table1[Execution Year]=Table2[[#This Row],[Execution Year]])*(Table1[SBU]=Table2[[#This Row],[SBU]])*(Table1[Category]=Table2[[#This Row],[Category]])*(Table1[Most curent]=TRUE),"NF")&gt;0,1,0)</f>
        <v>0</v>
      </c>
      <c r="AD6" cm="1">
        <f t="array" ref="AD6">IF(_xlfn._xlws.FILTER(Table1[Spend - CHN],(Table1[Execution Year]=Table2[[#This Row],[Execution Year]])*(Table1[SBU]=Table2[[#This Row],[SBU]])*(Table1[Category]=Table2[[#This Row],[Category]])*(Table1[Most curent]=TRUE),"NF")&gt;0,1,0)</f>
        <v>1</v>
      </c>
      <c r="AE6" cm="1">
        <f t="array" ref="AE6">IF(_xlfn._xlws.FILTER(Table1[Spend - JAP],(Table1[Execution Year]=Table2[[#This Row],[Execution Year]])*(Table1[SBU]=Table2[[#This Row],[SBU]])*(Table1[Category]=Table2[[#This Row],[Category]])*(Table1[Most curent]=TRUE),"NF")&gt;0,1,0)</f>
        <v>0</v>
      </c>
      <c r="AF6" cm="1">
        <f t="array" ref="AF6">IF(_xlfn._xlws.FILTER(Table1[Spend - UKN],(Table1[Execution Year]=Table2[[#This Row],[Execution Year]])*(Table1[SBU]=Table2[[#This Row],[SBU]])*(Table1[Category]=Table2[[#This Row],[Category]])*(Table1[Most curent]=TRUE),"NF")&gt;0,1,0)</f>
        <v>1</v>
      </c>
      <c r="AG6" cm="1">
        <f t="array" ref="AG6">IF(_xlfn._xlws.FILTER(Table1[Spend - SAF],(Table1[Execution Year]=Table2[[#This Row],[Execution Year]])*(Table1[SBU]=Table2[[#This Row],[SBU]])*(Table1[Category]=Table2[[#This Row],[Category]])*(Table1[Most curent]=TRUE),"NF")&gt;0,1,0)</f>
        <v>0</v>
      </c>
      <c r="AH6" cm="1">
        <f t="array" ref="AH6">IF(_xlfn._xlws.FILTER(Table1[Spend - US],(Table1[Execution Year]=Table2[[#This Row],[Execution Year]])*(Table1[SBU]=Table2[[#This Row],[SBU]])*(Table1[Category]=Table2[[#This Row],[Category]])*(Table1[Most curent]=TRUE),"NF")&gt;0,1,0)</f>
        <v>0</v>
      </c>
      <c r="AI6" cm="1">
        <f t="array" ref="AI6">IF(_xlfn._xlws.FILTER(Table1[Spend - Sams],(Table1[Execution Year]=Table2[[#This Row],[Execution Year]])*(Table1[SBU]=Table2[[#This Row],[SBU]])*(Table1[Category]=Table2[[#This Row],[Category]])*(Table1[Most curent]=TRUE),"NF")&gt;0,1,0)</f>
        <v>0</v>
      </c>
      <c r="AJ6" cm="1">
        <f t="array" ref="AJ6">IF(_xlfn._xlws.FILTER(Table1[Spend - Sams Mexico],(Table1[Execution Year]=Table2[[#This Row],[Execution Year]])*(Table1[SBU]=Table2[[#This Row],[SBU]])*(Table1[Category]=Table2[[#This Row],[Category]])*(Table1[Most curent]=TRUE),"NF")&gt;0,1,0)</f>
        <v>0</v>
      </c>
      <c r="AK6" cm="1">
        <f t="array" ref="AK6">IF(_xlfn._xlws.FILTER(Table1[Spend - Sams China],(Table1[Execution Year]=Table2[[#This Row],[Execution Year]])*(Table1[SBU]=Table2[[#This Row],[SBU]])*(Table1[Category]=Table2[[#This Row],[Category]])*(Table1[Most curent]=TRUE),"NF")&gt;0,1,0)</f>
        <v>0</v>
      </c>
      <c r="AL6" cm="1">
        <f t="array" ref="AL6">IF(_xlfn._xlws.FILTER(Table1[Spend - IND],(Table1[Execution Year]=Table2[[#This Row],[Execution Year]])*(Table1[SBU]=Table2[[#This Row],[SBU]])*(Table1[Category]=Table2[[#This Row],[Category]])*(Table1[Most curent]=TRUE),"NF")&gt;0,1,0)</f>
        <v>0</v>
      </c>
    </row>
    <row r="7" spans="1:38">
      <c r="A7" t="str">
        <f>Table2[[#This Row],[Execution Year]]&amp;Table2[[#This Row],[SBU]]&amp;Table2[[#This Row],[Category]]</f>
        <v>FY22ConsumablesBody Wash/Soap &amp; Shampoo</v>
      </c>
      <c r="B7" t="s">
        <v>452</v>
      </c>
      <c r="C7" t="s">
        <v>43</v>
      </c>
      <c r="D7" t="s">
        <v>39</v>
      </c>
      <c r="E7" s="185">
        <v>44440</v>
      </c>
      <c r="F7" s="185">
        <v>44530</v>
      </c>
      <c r="G7" s="185">
        <v>0</v>
      </c>
      <c r="H7" s="185">
        <v>0</v>
      </c>
      <c r="I7" t="s">
        <v>449</v>
      </c>
      <c r="J7" t="s">
        <v>417</v>
      </c>
      <c r="K7">
        <v>0</v>
      </c>
      <c r="L7">
        <v>0</v>
      </c>
      <c r="M7" s="185"/>
      <c r="O7" s="16"/>
      <c r="P7" t="s">
        <v>446</v>
      </c>
      <c r="Q7" t="s">
        <v>453</v>
      </c>
      <c r="S7" t="s">
        <v>451</v>
      </c>
      <c r="V7">
        <f>_xlfn.XLOOKUP(Table2[[#This Row],[Primary Dept Description]],'Lookup tables'!$U$17:$U$117,'Lookup tables'!$T$17:$T$117,"")</f>
        <v>2</v>
      </c>
      <c r="W7" s="15">
        <f>IF(OR(Table2[[#This Row],[Revised Award]]=0,Table2[[#This Row],[Revised Award]]=""),IF(OR(Table2[[#This Row],[Planned Award]]=0,Table2[[#This Row],[Planned Award]]=""),"Not Updated",Table2[[#This Row],[Planned Award]]),Table2[[#This Row],[Revised Award]])</f>
        <v>44530</v>
      </c>
      <c r="X7" t="str">
        <f>_xlfn.XLOOKUP(Table2[[#This Row],[Milestone]],'Lookup tables'!$Y$27:$Y$60,'Lookup tables'!$Z$27:$Z$60,"Not Updated")</f>
        <v>Cancelled</v>
      </c>
      <c r="Y7" cm="1">
        <f t="array" ref="Y7">IF(_xlfn._xlws.FILTER(Table1[Spend - CAN],(Table1[Execution Year]=Table2[[#This Row],[Execution Year]])*(Table1[SBU]=Table2[[#This Row],[SBU]])*(Table1[Category]=Table2[[#This Row],[Category]])*(Table1[Most curent]=TRUE),"NF")&gt;0,1,0)</f>
        <v>1</v>
      </c>
      <c r="Z7" cm="1">
        <f t="array" ref="Z7">IF(_xlfn._xlws.FILTER(Table1[Spend - MEX],(Table1[Execution Year]=Table2[[#This Row],[Execution Year]])*(Table1[SBU]=Table2[[#This Row],[SBU]])*(Table1[Category]=Table2[[#This Row],[Category]])*(Table1[Most curent]=TRUE),"NF")&gt;0,1,0)</f>
        <v>1</v>
      </c>
      <c r="AA7" cm="1">
        <f t="array" ref="AA7">IF(_xlfn._xlws.FILTER(Table1[Spend - CAM],(Table1[Execution Year]=Table2[[#This Row],[Execution Year]])*(Table1[SBU]=Table2[[#This Row],[SBU]])*(Table1[Category]=Table2[[#This Row],[Category]])*(Table1[Most curent]=TRUE),"NF")&gt;0,1,0)</f>
        <v>1</v>
      </c>
      <c r="AB7" cm="1">
        <f t="array" ref="AB7">IF(_xlfn._xlws.FILTER(Table1[Spend - CHL],(Table1[Execution Year]=Table2[[#This Row],[Execution Year]])*(Table1[SBU]=Table2[[#This Row],[SBU]])*(Table1[Category]=Table2[[#This Row],[Category]])*(Table1[Most curent]=TRUE),"NF")&gt;0,1,0)</f>
        <v>1</v>
      </c>
      <c r="AC7" cm="1">
        <f t="array" ref="AC7">IF(_xlfn._xlws.FILTER(Table1[Spend - ARG],(Table1[Execution Year]=Table2[[#This Row],[Execution Year]])*(Table1[SBU]=Table2[[#This Row],[SBU]])*(Table1[Category]=Table2[[#This Row],[Category]])*(Table1[Most curent]=TRUE),"NF")&gt;0,1,0)</f>
        <v>1</v>
      </c>
      <c r="AD7" cm="1">
        <f t="array" ref="AD7">IF(_xlfn._xlws.FILTER(Table1[Spend - CHN],(Table1[Execution Year]=Table2[[#This Row],[Execution Year]])*(Table1[SBU]=Table2[[#This Row],[SBU]])*(Table1[Category]=Table2[[#This Row],[Category]])*(Table1[Most curent]=TRUE),"NF")&gt;0,1,0)</f>
        <v>1</v>
      </c>
      <c r="AE7" cm="1">
        <f t="array" ref="AE7">IF(_xlfn._xlws.FILTER(Table1[Spend - JAP],(Table1[Execution Year]=Table2[[#This Row],[Execution Year]])*(Table1[SBU]=Table2[[#This Row],[SBU]])*(Table1[Category]=Table2[[#This Row],[Category]])*(Table1[Most curent]=TRUE),"NF")&gt;0,1,0)</f>
        <v>1</v>
      </c>
      <c r="AF7" cm="1">
        <f t="array" ref="AF7">IF(_xlfn._xlws.FILTER(Table1[Spend - UKN],(Table1[Execution Year]=Table2[[#This Row],[Execution Year]])*(Table1[SBU]=Table2[[#This Row],[SBU]])*(Table1[Category]=Table2[[#This Row],[Category]])*(Table1[Most curent]=TRUE),"NF")&gt;0,1,0)</f>
        <v>1</v>
      </c>
      <c r="AG7" cm="1">
        <f t="array" ref="AG7">IF(_xlfn._xlws.FILTER(Table1[Spend - SAF],(Table1[Execution Year]=Table2[[#This Row],[Execution Year]])*(Table1[SBU]=Table2[[#This Row],[SBU]])*(Table1[Category]=Table2[[#This Row],[Category]])*(Table1[Most curent]=TRUE),"NF")&gt;0,1,0)</f>
        <v>0</v>
      </c>
      <c r="AH7" cm="1">
        <f t="array" ref="AH7">IF(_xlfn._xlws.FILTER(Table1[Spend - US],(Table1[Execution Year]=Table2[[#This Row],[Execution Year]])*(Table1[SBU]=Table2[[#This Row],[SBU]])*(Table1[Category]=Table2[[#This Row],[Category]])*(Table1[Most curent]=TRUE),"NF")&gt;0,1,0)</f>
        <v>0</v>
      </c>
      <c r="AI7" cm="1">
        <f t="array" ref="AI7">IF(_xlfn._xlws.FILTER(Table1[Spend - Sams],(Table1[Execution Year]=Table2[[#This Row],[Execution Year]])*(Table1[SBU]=Table2[[#This Row],[SBU]])*(Table1[Category]=Table2[[#This Row],[Category]])*(Table1[Most curent]=TRUE),"NF")&gt;0,1,0)</f>
        <v>0</v>
      </c>
      <c r="AJ7" cm="1">
        <f t="array" ref="AJ7">IF(_xlfn._xlws.FILTER(Table1[Spend - Sams Mexico],(Table1[Execution Year]=Table2[[#This Row],[Execution Year]])*(Table1[SBU]=Table2[[#This Row],[SBU]])*(Table1[Category]=Table2[[#This Row],[Category]])*(Table1[Most curent]=TRUE),"NF")&gt;0,1,0)</f>
        <v>0</v>
      </c>
      <c r="AK7" cm="1">
        <f t="array" ref="AK7">IF(_xlfn._xlws.FILTER(Table1[Spend - Sams China],(Table1[Execution Year]=Table2[[#This Row],[Execution Year]])*(Table1[SBU]=Table2[[#This Row],[SBU]])*(Table1[Category]=Table2[[#This Row],[Category]])*(Table1[Most curent]=TRUE),"NF")&gt;0,1,0)</f>
        <v>0</v>
      </c>
      <c r="AL7" cm="1">
        <f t="array" ref="AL7">IF(_xlfn._xlws.FILTER(Table1[Spend - IND],(Table1[Execution Year]=Table2[[#This Row],[Execution Year]])*(Table1[SBU]=Table2[[#This Row],[SBU]])*(Table1[Category]=Table2[[#This Row],[Category]])*(Table1[Most curent]=TRUE),"NF")&gt;0,1,0)</f>
        <v>0</v>
      </c>
    </row>
    <row r="8" spans="1:38">
      <c r="A8" t="str">
        <f>Table2[[#This Row],[Execution Year]]&amp;Table2[[#This Row],[SBU]]&amp;Table2[[#This Row],[Category]]</f>
        <v>FY22ConsumablesSponges &amp; Cleaning</v>
      </c>
      <c r="B8" t="s">
        <v>86</v>
      </c>
      <c r="C8" t="s">
        <v>43</v>
      </c>
      <c r="D8" t="s">
        <v>39</v>
      </c>
      <c r="E8" s="185">
        <v>44392</v>
      </c>
      <c r="F8" s="185">
        <v>44481</v>
      </c>
      <c r="G8" s="185">
        <v>0</v>
      </c>
      <c r="H8" s="185">
        <v>0</v>
      </c>
      <c r="I8" t="s">
        <v>449</v>
      </c>
      <c r="J8" t="s">
        <v>417</v>
      </c>
      <c r="K8" t="s">
        <v>454</v>
      </c>
      <c r="L8">
        <v>0</v>
      </c>
      <c r="M8" s="185"/>
      <c r="O8" s="16"/>
      <c r="P8" t="s">
        <v>446</v>
      </c>
      <c r="Q8" t="s">
        <v>453</v>
      </c>
      <c r="S8" t="s">
        <v>448</v>
      </c>
      <c r="V8">
        <f>_xlfn.XLOOKUP(Table2[[#This Row],[Primary Dept Description]],'Lookup tables'!$U$17:$U$117,'Lookup tables'!$T$17:$T$117,"")</f>
        <v>2</v>
      </c>
      <c r="W8" s="15">
        <f>IF(OR(Table2[[#This Row],[Revised Award]]=0,Table2[[#This Row],[Revised Award]]=""),IF(OR(Table2[[#This Row],[Planned Award]]=0,Table2[[#This Row],[Planned Award]]=""),"Not Updated",Table2[[#This Row],[Planned Award]]),Table2[[#This Row],[Revised Award]])</f>
        <v>44481</v>
      </c>
      <c r="X8" t="str">
        <f>_xlfn.XLOOKUP(Table2[[#This Row],[Milestone]],'Lookup tables'!$Y$27:$Y$60,'Lookup tables'!$Z$27:$Z$60,"Not Updated")</f>
        <v>Cancelled</v>
      </c>
      <c r="Y8" cm="1">
        <f t="array" ref="Y8">IF(_xlfn._xlws.FILTER(Table1[Spend - CAN],(Table1[Execution Year]=Table2[[#This Row],[Execution Year]])*(Table1[SBU]=Table2[[#This Row],[SBU]])*(Table1[Category]=Table2[[#This Row],[Category]])*(Table1[Most curent]=TRUE),"NF")&gt;0,1,0)</f>
        <v>0</v>
      </c>
      <c r="Z8" cm="1">
        <f t="array" ref="Z8">IF(_xlfn._xlws.FILTER(Table1[Spend - MEX],(Table1[Execution Year]=Table2[[#This Row],[Execution Year]])*(Table1[SBU]=Table2[[#This Row],[SBU]])*(Table1[Category]=Table2[[#This Row],[Category]])*(Table1[Most curent]=TRUE),"NF")&gt;0,1,0)</f>
        <v>0</v>
      </c>
      <c r="AA8" cm="1">
        <f t="array" ref="AA8">IF(_xlfn._xlws.FILTER(Table1[Spend - CAM],(Table1[Execution Year]=Table2[[#This Row],[Execution Year]])*(Table1[SBU]=Table2[[#This Row],[SBU]])*(Table1[Category]=Table2[[#This Row],[Category]])*(Table1[Most curent]=TRUE),"NF")&gt;0,1,0)</f>
        <v>0</v>
      </c>
      <c r="AB8" cm="1">
        <f t="array" ref="AB8">IF(_xlfn._xlws.FILTER(Table1[Spend - CHL],(Table1[Execution Year]=Table2[[#This Row],[Execution Year]])*(Table1[SBU]=Table2[[#This Row],[SBU]])*(Table1[Category]=Table2[[#This Row],[Category]])*(Table1[Most curent]=TRUE),"NF")&gt;0,1,0)</f>
        <v>0</v>
      </c>
      <c r="AC8" cm="1">
        <f t="array" ref="AC8">IF(_xlfn._xlws.FILTER(Table1[Spend - ARG],(Table1[Execution Year]=Table2[[#This Row],[Execution Year]])*(Table1[SBU]=Table2[[#This Row],[SBU]])*(Table1[Category]=Table2[[#This Row],[Category]])*(Table1[Most curent]=TRUE),"NF")&gt;0,1,0)</f>
        <v>0</v>
      </c>
      <c r="AD8" cm="1">
        <f t="array" ref="AD8">IF(_xlfn._xlws.FILTER(Table1[Spend - CHN],(Table1[Execution Year]=Table2[[#This Row],[Execution Year]])*(Table1[SBU]=Table2[[#This Row],[SBU]])*(Table1[Category]=Table2[[#This Row],[Category]])*(Table1[Most curent]=TRUE),"NF")&gt;0,1,0)</f>
        <v>1</v>
      </c>
      <c r="AE8" cm="1">
        <f t="array" ref="AE8">IF(_xlfn._xlws.FILTER(Table1[Spend - JAP],(Table1[Execution Year]=Table2[[#This Row],[Execution Year]])*(Table1[SBU]=Table2[[#This Row],[SBU]])*(Table1[Category]=Table2[[#This Row],[Category]])*(Table1[Most curent]=TRUE),"NF")&gt;0,1,0)</f>
        <v>1</v>
      </c>
      <c r="AF8" cm="1">
        <f t="array" ref="AF8">IF(_xlfn._xlws.FILTER(Table1[Spend - UKN],(Table1[Execution Year]=Table2[[#This Row],[Execution Year]])*(Table1[SBU]=Table2[[#This Row],[SBU]])*(Table1[Category]=Table2[[#This Row],[Category]])*(Table1[Most curent]=TRUE),"NF")&gt;0,1,0)</f>
        <v>0</v>
      </c>
      <c r="AG8" cm="1">
        <f t="array" ref="AG8">IF(_xlfn._xlws.FILTER(Table1[Spend - SAF],(Table1[Execution Year]=Table2[[#This Row],[Execution Year]])*(Table1[SBU]=Table2[[#This Row],[SBU]])*(Table1[Category]=Table2[[#This Row],[Category]])*(Table1[Most curent]=TRUE),"NF")&gt;0,1,0)</f>
        <v>0</v>
      </c>
      <c r="AH8" cm="1">
        <f t="array" ref="AH8">IF(_xlfn._xlws.FILTER(Table1[Spend - US],(Table1[Execution Year]=Table2[[#This Row],[Execution Year]])*(Table1[SBU]=Table2[[#This Row],[SBU]])*(Table1[Category]=Table2[[#This Row],[Category]])*(Table1[Most curent]=TRUE),"NF")&gt;0,1,0)</f>
        <v>1</v>
      </c>
      <c r="AI8" cm="1">
        <f t="array" ref="AI8">IF(_xlfn._xlws.FILTER(Table1[Spend - Sams],(Table1[Execution Year]=Table2[[#This Row],[Execution Year]])*(Table1[SBU]=Table2[[#This Row],[SBU]])*(Table1[Category]=Table2[[#This Row],[Category]])*(Table1[Most curent]=TRUE),"NF")&gt;0,1,0)</f>
        <v>0</v>
      </c>
      <c r="AJ8" cm="1">
        <f t="array" ref="AJ8">IF(_xlfn._xlws.FILTER(Table1[Spend - Sams Mexico],(Table1[Execution Year]=Table2[[#This Row],[Execution Year]])*(Table1[SBU]=Table2[[#This Row],[SBU]])*(Table1[Category]=Table2[[#This Row],[Category]])*(Table1[Most curent]=TRUE),"NF")&gt;0,1,0)</f>
        <v>0</v>
      </c>
      <c r="AK8" cm="1">
        <f t="array" ref="AK8">IF(_xlfn._xlws.FILTER(Table1[Spend - Sams China],(Table1[Execution Year]=Table2[[#This Row],[Execution Year]])*(Table1[SBU]=Table2[[#This Row],[SBU]])*(Table1[Category]=Table2[[#This Row],[Category]])*(Table1[Most curent]=TRUE),"NF")&gt;0,1,0)</f>
        <v>0</v>
      </c>
      <c r="AL8" cm="1">
        <f t="array" ref="AL8">IF(_xlfn._xlws.FILTER(Table1[Spend - IND],(Table1[Execution Year]=Table2[[#This Row],[Execution Year]])*(Table1[SBU]=Table2[[#This Row],[SBU]])*(Table1[Category]=Table2[[#This Row],[Category]])*(Table1[Most curent]=TRUE),"NF")&gt;0,1,0)</f>
        <v>0</v>
      </c>
    </row>
    <row r="9" spans="1:38">
      <c r="A9" t="str">
        <f>Table2[[#This Row],[Execution Year]]&amp;Table2[[#This Row],[SBU]]&amp;Table2[[#This Row],[Category]]</f>
        <v>FY22ConsumablesPuppy Pads</v>
      </c>
      <c r="B9" t="s">
        <v>110</v>
      </c>
      <c r="C9" t="s">
        <v>43</v>
      </c>
      <c r="D9" t="s">
        <v>39</v>
      </c>
      <c r="E9" s="185">
        <v>44301</v>
      </c>
      <c r="F9" s="185">
        <v>44347</v>
      </c>
      <c r="G9" s="185">
        <v>0</v>
      </c>
      <c r="H9" s="185">
        <v>0</v>
      </c>
      <c r="I9" t="s">
        <v>443</v>
      </c>
      <c r="J9" t="s">
        <v>444</v>
      </c>
      <c r="K9" t="s">
        <v>445</v>
      </c>
      <c r="L9">
        <v>0</v>
      </c>
      <c r="M9" s="185"/>
      <c r="O9" s="16"/>
      <c r="P9" t="s">
        <v>446</v>
      </c>
      <c r="Q9" t="s">
        <v>455</v>
      </c>
      <c r="S9" t="s">
        <v>451</v>
      </c>
      <c r="V9">
        <f>_xlfn.XLOOKUP(Table2[[#This Row],[Primary Dept Description]],'Lookup tables'!$U$17:$U$117,'Lookup tables'!$T$17:$T$117,"")</f>
        <v>8</v>
      </c>
      <c r="W9" s="15">
        <f>IF(OR(Table2[[#This Row],[Revised Award]]=0,Table2[[#This Row],[Revised Award]]=""),IF(OR(Table2[[#This Row],[Planned Award]]=0,Table2[[#This Row],[Planned Award]]=""),"Not Updated",Table2[[#This Row],[Planned Award]]),Table2[[#This Row],[Revised Award]])</f>
        <v>44347</v>
      </c>
      <c r="X9" t="str">
        <f>_xlfn.XLOOKUP(Table2[[#This Row],[Milestone]],'Lookup tables'!$Y$27:$Y$60,'Lookup tables'!$Z$27:$Z$60,"Not Updated")</f>
        <v>Completed</v>
      </c>
      <c r="Y9" cm="1">
        <f t="array" ref="Y9">IF(_xlfn._xlws.FILTER(Table1[Spend - CAN],(Table1[Execution Year]=Table2[[#This Row],[Execution Year]])*(Table1[SBU]=Table2[[#This Row],[SBU]])*(Table1[Category]=Table2[[#This Row],[Category]])*(Table1[Most curent]=TRUE),"NF")&gt;0,1,0)</f>
        <v>1</v>
      </c>
      <c r="Z9" cm="1">
        <f t="array" ref="Z9">IF(_xlfn._xlws.FILTER(Table1[Spend - MEX],(Table1[Execution Year]=Table2[[#This Row],[Execution Year]])*(Table1[SBU]=Table2[[#This Row],[SBU]])*(Table1[Category]=Table2[[#This Row],[Category]])*(Table1[Most curent]=TRUE),"NF")&gt;0,1,0)</f>
        <v>1</v>
      </c>
      <c r="AA9" cm="1">
        <f t="array" ref="AA9">IF(_xlfn._xlws.FILTER(Table1[Spend - CAM],(Table1[Execution Year]=Table2[[#This Row],[Execution Year]])*(Table1[SBU]=Table2[[#This Row],[SBU]])*(Table1[Category]=Table2[[#This Row],[Category]])*(Table1[Most curent]=TRUE),"NF")&gt;0,1,0)</f>
        <v>0</v>
      </c>
      <c r="AB9" cm="1">
        <f t="array" ref="AB9">IF(_xlfn._xlws.FILTER(Table1[Spend - CHL],(Table1[Execution Year]=Table2[[#This Row],[Execution Year]])*(Table1[SBU]=Table2[[#This Row],[SBU]])*(Table1[Category]=Table2[[#This Row],[Category]])*(Table1[Most curent]=TRUE),"NF")&gt;0,1,0)</f>
        <v>0</v>
      </c>
      <c r="AC9" cm="1">
        <f t="array" ref="AC9">IF(_xlfn._xlws.FILTER(Table1[Spend - ARG],(Table1[Execution Year]=Table2[[#This Row],[Execution Year]])*(Table1[SBU]=Table2[[#This Row],[SBU]])*(Table1[Category]=Table2[[#This Row],[Category]])*(Table1[Most curent]=TRUE),"NF")&gt;0,1,0)</f>
        <v>0</v>
      </c>
      <c r="AD9" cm="1">
        <f t="array" ref="AD9">IF(_xlfn._xlws.FILTER(Table1[Spend - CHN],(Table1[Execution Year]=Table2[[#This Row],[Execution Year]])*(Table1[SBU]=Table2[[#This Row],[SBU]])*(Table1[Category]=Table2[[#This Row],[Category]])*(Table1[Most curent]=TRUE),"NF")&gt;0,1,0)</f>
        <v>0</v>
      </c>
      <c r="AE9" cm="1">
        <f t="array" ref="AE9">IF(_xlfn._xlws.FILTER(Table1[Spend - JAP],(Table1[Execution Year]=Table2[[#This Row],[Execution Year]])*(Table1[SBU]=Table2[[#This Row],[SBU]])*(Table1[Category]=Table2[[#This Row],[Category]])*(Table1[Most curent]=TRUE),"NF")&gt;0,1,0)</f>
        <v>0</v>
      </c>
      <c r="AF9" cm="1">
        <f t="array" ref="AF9">IF(_xlfn._xlws.FILTER(Table1[Spend - UKN],(Table1[Execution Year]=Table2[[#This Row],[Execution Year]])*(Table1[SBU]=Table2[[#This Row],[SBU]])*(Table1[Category]=Table2[[#This Row],[Category]])*(Table1[Most curent]=TRUE),"NF")&gt;0,1,0)</f>
        <v>0</v>
      </c>
      <c r="AG9" cm="1">
        <f t="array" ref="AG9">IF(_xlfn._xlws.FILTER(Table1[Spend - SAF],(Table1[Execution Year]=Table2[[#This Row],[Execution Year]])*(Table1[SBU]=Table2[[#This Row],[SBU]])*(Table1[Category]=Table2[[#This Row],[Category]])*(Table1[Most curent]=TRUE),"NF")&gt;0,1,0)</f>
        <v>0</v>
      </c>
      <c r="AH9" cm="1">
        <f t="array" ref="AH9">IF(_xlfn._xlws.FILTER(Table1[Spend - US],(Table1[Execution Year]=Table2[[#This Row],[Execution Year]])*(Table1[SBU]=Table2[[#This Row],[SBU]])*(Table1[Category]=Table2[[#This Row],[Category]])*(Table1[Most curent]=TRUE),"NF")&gt;0,1,0)</f>
        <v>1</v>
      </c>
      <c r="AI9" cm="1">
        <f t="array" ref="AI9">IF(_xlfn._xlws.FILTER(Table1[Spend - Sams],(Table1[Execution Year]=Table2[[#This Row],[Execution Year]])*(Table1[SBU]=Table2[[#This Row],[SBU]])*(Table1[Category]=Table2[[#This Row],[Category]])*(Table1[Most curent]=TRUE),"NF")&gt;0,1,0)</f>
        <v>0</v>
      </c>
      <c r="AJ9" cm="1">
        <f t="array" ref="AJ9">IF(_xlfn._xlws.FILTER(Table1[Spend - Sams Mexico],(Table1[Execution Year]=Table2[[#This Row],[Execution Year]])*(Table1[SBU]=Table2[[#This Row],[SBU]])*(Table1[Category]=Table2[[#This Row],[Category]])*(Table1[Most curent]=TRUE),"NF")&gt;0,1,0)</f>
        <v>0</v>
      </c>
      <c r="AK9" cm="1">
        <f t="array" ref="AK9">IF(_xlfn._xlws.FILTER(Table1[Spend - Sams China],(Table1[Execution Year]=Table2[[#This Row],[Execution Year]])*(Table1[SBU]=Table2[[#This Row],[SBU]])*(Table1[Category]=Table2[[#This Row],[Category]])*(Table1[Most curent]=TRUE),"NF")&gt;0,1,0)</f>
        <v>0</v>
      </c>
      <c r="AL9" cm="1">
        <f t="array" ref="AL9">IF(_xlfn._xlws.FILTER(Table1[Spend - IND],(Table1[Execution Year]=Table2[[#This Row],[Execution Year]])*(Table1[SBU]=Table2[[#This Row],[SBU]])*(Table1[Category]=Table2[[#This Row],[Category]])*(Table1[Most curent]=TRUE),"NF")&gt;0,1,0)</f>
        <v>0</v>
      </c>
    </row>
    <row r="10" spans="1:38">
      <c r="A10" t="str">
        <f>Table2[[#This Row],[Execution Year]]&amp;Table2[[#This Row],[SBU]]&amp;Table2[[#This Row],[Category]]</f>
        <v>FY22ConsumablesPaper products</v>
      </c>
      <c r="B10" t="s">
        <v>93</v>
      </c>
      <c r="C10" t="s">
        <v>43</v>
      </c>
      <c r="D10" t="s">
        <v>39</v>
      </c>
      <c r="E10" s="185">
        <v>44136</v>
      </c>
      <c r="F10" s="185">
        <v>44314</v>
      </c>
      <c r="G10" s="185">
        <v>44144</v>
      </c>
      <c r="H10" s="185">
        <v>44347</v>
      </c>
      <c r="I10" t="s">
        <v>443</v>
      </c>
      <c r="J10" t="s">
        <v>444</v>
      </c>
      <c r="K10" t="s">
        <v>445</v>
      </c>
      <c r="L10" t="s">
        <v>445</v>
      </c>
      <c r="M10" s="185"/>
      <c r="O10" s="16"/>
      <c r="P10" t="s">
        <v>446</v>
      </c>
      <c r="Q10" t="s">
        <v>450</v>
      </c>
      <c r="S10" t="s">
        <v>448</v>
      </c>
      <c r="T10" t="s">
        <v>416</v>
      </c>
      <c r="U10" s="15">
        <v>44594</v>
      </c>
      <c r="V10">
        <f>_xlfn.XLOOKUP(Table2[[#This Row],[Primary Dept Description]],'Lookup tables'!$U$17:$U$117,'Lookup tables'!$T$17:$T$117,"")</f>
        <v>4</v>
      </c>
      <c r="W10" s="15">
        <f>IF(OR(Table2[[#This Row],[Revised Award]]=0,Table2[[#This Row],[Revised Award]]=""),IF(OR(Table2[[#This Row],[Planned Award]]=0,Table2[[#This Row],[Planned Award]]=""),"Not Updated",Table2[[#This Row],[Planned Award]]),Table2[[#This Row],[Revised Award]])</f>
        <v>44347</v>
      </c>
      <c r="X10" t="str">
        <f>_xlfn.XLOOKUP(Table2[[#This Row],[Milestone]],'Lookup tables'!$Y$27:$Y$60,'Lookup tables'!$Z$27:$Z$60,"Not Updated")</f>
        <v>Completed</v>
      </c>
      <c r="Y10" cm="1">
        <f t="array" ref="Y10">IF(_xlfn._xlws.FILTER(Table1[Spend - CAN],(Table1[Execution Year]=Table2[[#This Row],[Execution Year]])*(Table1[SBU]=Table2[[#This Row],[SBU]])*(Table1[Category]=Table2[[#This Row],[Category]])*(Table1[Most curent]=TRUE),"NF")&gt;0,1,0)</f>
        <v>1</v>
      </c>
      <c r="Z10" cm="1">
        <f t="array" ref="Z10">IF(_xlfn._xlws.FILTER(Table1[Spend - MEX],(Table1[Execution Year]=Table2[[#This Row],[Execution Year]])*(Table1[SBU]=Table2[[#This Row],[SBU]])*(Table1[Category]=Table2[[#This Row],[Category]])*(Table1[Most curent]=TRUE),"NF")&gt;0,1,0)</f>
        <v>1</v>
      </c>
      <c r="AA10" cm="1">
        <f t="array" ref="AA10">IF(_xlfn._xlws.FILTER(Table1[Spend - CAM],(Table1[Execution Year]=Table2[[#This Row],[Execution Year]])*(Table1[SBU]=Table2[[#This Row],[SBU]])*(Table1[Category]=Table2[[#This Row],[Category]])*(Table1[Most curent]=TRUE),"NF")&gt;0,1,0)</f>
        <v>1</v>
      </c>
      <c r="AB10" cm="1">
        <f t="array" ref="AB10">IF(_xlfn._xlws.FILTER(Table1[Spend - CHL],(Table1[Execution Year]=Table2[[#This Row],[Execution Year]])*(Table1[SBU]=Table2[[#This Row],[SBU]])*(Table1[Category]=Table2[[#This Row],[Category]])*(Table1[Most curent]=TRUE),"NF")&gt;0,1,0)</f>
        <v>1</v>
      </c>
      <c r="AC10" cm="1">
        <f t="array" ref="AC10">IF(_xlfn._xlws.FILTER(Table1[Spend - ARG],(Table1[Execution Year]=Table2[[#This Row],[Execution Year]])*(Table1[SBU]=Table2[[#This Row],[SBU]])*(Table1[Category]=Table2[[#This Row],[Category]])*(Table1[Most curent]=TRUE),"NF")&gt;0,1,0)</f>
        <v>0</v>
      </c>
      <c r="AD10" cm="1">
        <f t="array" ref="AD10">IF(_xlfn._xlws.FILTER(Table1[Spend - CHN],(Table1[Execution Year]=Table2[[#This Row],[Execution Year]])*(Table1[SBU]=Table2[[#This Row],[SBU]])*(Table1[Category]=Table2[[#This Row],[Category]])*(Table1[Most curent]=TRUE),"NF")&gt;0,1,0)</f>
        <v>1</v>
      </c>
      <c r="AE10" cm="1">
        <f t="array" ref="AE10">IF(_xlfn._xlws.FILTER(Table1[Spend - JAP],(Table1[Execution Year]=Table2[[#This Row],[Execution Year]])*(Table1[SBU]=Table2[[#This Row],[SBU]])*(Table1[Category]=Table2[[#This Row],[Category]])*(Table1[Most curent]=TRUE),"NF")&gt;0,1,0)</f>
        <v>1</v>
      </c>
      <c r="AF10" cm="1">
        <f t="array" ref="AF10">IF(_xlfn._xlws.FILTER(Table1[Spend - UKN],(Table1[Execution Year]=Table2[[#This Row],[Execution Year]])*(Table1[SBU]=Table2[[#This Row],[SBU]])*(Table1[Category]=Table2[[#This Row],[Category]])*(Table1[Most curent]=TRUE),"NF")&gt;0,1,0)</f>
        <v>0</v>
      </c>
      <c r="AG10" cm="1">
        <f t="array" ref="AG10">IF(_xlfn._xlws.FILTER(Table1[Spend - SAF],(Table1[Execution Year]=Table2[[#This Row],[Execution Year]])*(Table1[SBU]=Table2[[#This Row],[SBU]])*(Table1[Category]=Table2[[#This Row],[Category]])*(Table1[Most curent]=TRUE),"NF")&gt;0,1,0)</f>
        <v>0</v>
      </c>
      <c r="AH10" cm="1">
        <f t="array" ref="AH10">IF(_xlfn._xlws.FILTER(Table1[Spend - US],(Table1[Execution Year]=Table2[[#This Row],[Execution Year]])*(Table1[SBU]=Table2[[#This Row],[SBU]])*(Table1[Category]=Table2[[#This Row],[Category]])*(Table1[Most curent]=TRUE),"NF")&gt;0,1,0)</f>
        <v>1</v>
      </c>
      <c r="AI10" cm="1">
        <f t="array" ref="AI10">IF(_xlfn._xlws.FILTER(Table1[Spend - Sams],(Table1[Execution Year]=Table2[[#This Row],[Execution Year]])*(Table1[SBU]=Table2[[#This Row],[SBU]])*(Table1[Category]=Table2[[#This Row],[Category]])*(Table1[Most curent]=TRUE),"NF")&gt;0,1,0)</f>
        <v>0</v>
      </c>
      <c r="AJ10" cm="1">
        <f t="array" ref="AJ10">IF(_xlfn._xlws.FILTER(Table1[Spend - Sams Mexico],(Table1[Execution Year]=Table2[[#This Row],[Execution Year]])*(Table1[SBU]=Table2[[#This Row],[SBU]])*(Table1[Category]=Table2[[#This Row],[Category]])*(Table1[Most curent]=TRUE),"NF")&gt;0,1,0)</f>
        <v>0</v>
      </c>
      <c r="AK10" cm="1">
        <f t="array" ref="AK10">IF(_xlfn._xlws.FILTER(Table1[Spend - Sams China],(Table1[Execution Year]=Table2[[#This Row],[Execution Year]])*(Table1[SBU]=Table2[[#This Row],[SBU]])*(Table1[Category]=Table2[[#This Row],[Category]])*(Table1[Most curent]=TRUE),"NF")&gt;0,1,0)</f>
        <v>0</v>
      </c>
      <c r="AL10" cm="1">
        <f t="array" ref="AL10">IF(_xlfn._xlws.FILTER(Table1[Spend - IND],(Table1[Execution Year]=Table2[[#This Row],[Execution Year]])*(Table1[SBU]=Table2[[#This Row],[SBU]])*(Table1[Category]=Table2[[#This Row],[Category]])*(Table1[Most curent]=TRUE),"NF")&gt;0,1,0)</f>
        <v>0</v>
      </c>
    </row>
    <row r="11" spans="1:38">
      <c r="A11" t="str">
        <f>Table2[[#This Row],[Execution Year]]&amp;Table2[[#This Row],[SBU]]&amp;Table2[[#This Row],[Category]]</f>
        <v>FY22ConsumablesWet pet food</v>
      </c>
      <c r="B11" t="s">
        <v>80</v>
      </c>
      <c r="C11" t="s">
        <v>43</v>
      </c>
      <c r="D11" t="s">
        <v>39</v>
      </c>
      <c r="E11" s="185">
        <v>44348</v>
      </c>
      <c r="F11" s="185">
        <v>44530</v>
      </c>
      <c r="G11" s="185">
        <v>0</v>
      </c>
      <c r="H11" s="185">
        <v>0</v>
      </c>
      <c r="I11" t="s">
        <v>449</v>
      </c>
      <c r="J11" t="s">
        <v>444</v>
      </c>
      <c r="K11" t="s">
        <v>445</v>
      </c>
      <c r="L11">
        <v>0</v>
      </c>
      <c r="M11" s="185">
        <v>44590</v>
      </c>
      <c r="N11" t="s">
        <v>78</v>
      </c>
      <c r="O11" s="16">
        <v>44622.343589351854</v>
      </c>
      <c r="P11" t="s">
        <v>446</v>
      </c>
      <c r="Q11" t="s">
        <v>455</v>
      </c>
      <c r="R11" t="s">
        <v>353</v>
      </c>
      <c r="S11" t="s">
        <v>451</v>
      </c>
      <c r="T11">
        <v>0</v>
      </c>
      <c r="U11">
        <v>0</v>
      </c>
      <c r="V11">
        <f>_xlfn.XLOOKUP(Table2[[#This Row],[Primary Dept Description]],'Lookup tables'!$U$17:$U$117,'Lookup tables'!$T$17:$T$117,"")</f>
        <v>8</v>
      </c>
      <c r="W11" s="15">
        <f>IF(OR(Table2[[#This Row],[Revised Award]]=0,Table2[[#This Row],[Revised Award]]=""),IF(OR(Table2[[#This Row],[Planned Award]]=0,Table2[[#This Row],[Planned Award]]=""),"Not Updated",Table2[[#This Row],[Planned Award]]),Table2[[#This Row],[Revised Award]])</f>
        <v>44530</v>
      </c>
      <c r="X11" t="str">
        <f>_xlfn.XLOOKUP(Table2[[#This Row],[Milestone]],'Lookup tables'!$Y$27:$Y$60,'Lookup tables'!$Z$27:$Z$60,"Not Updated")</f>
        <v>Cancelled</v>
      </c>
      <c r="Y11" cm="1">
        <f t="array" ref="Y11">IF(_xlfn._xlws.FILTER(Table1[Spend - CAN],(Table1[Execution Year]=Table2[[#This Row],[Execution Year]])*(Table1[SBU]=Table2[[#This Row],[SBU]])*(Table1[Category]=Table2[[#This Row],[Category]])*(Table1[Most curent]=TRUE),"NF")&gt;0,1,0)</f>
        <v>1</v>
      </c>
      <c r="Z11" cm="1">
        <f t="array" ref="Z11">IF(_xlfn._xlws.FILTER(Table1[Spend - MEX],(Table1[Execution Year]=Table2[[#This Row],[Execution Year]])*(Table1[SBU]=Table2[[#This Row],[SBU]])*(Table1[Category]=Table2[[#This Row],[Category]])*(Table1[Most curent]=TRUE),"NF")&gt;0,1,0)</f>
        <v>0</v>
      </c>
      <c r="AA11" cm="1">
        <f t="array" ref="AA11">IF(_xlfn._xlws.FILTER(Table1[Spend - CAM],(Table1[Execution Year]=Table2[[#This Row],[Execution Year]])*(Table1[SBU]=Table2[[#This Row],[SBU]])*(Table1[Category]=Table2[[#This Row],[Category]])*(Table1[Most curent]=TRUE),"NF")&gt;0,1,0)</f>
        <v>0</v>
      </c>
      <c r="AB11" cm="1">
        <f t="array" ref="AB11">IF(_xlfn._xlws.FILTER(Table1[Spend - CHL],(Table1[Execution Year]=Table2[[#This Row],[Execution Year]])*(Table1[SBU]=Table2[[#This Row],[SBU]])*(Table1[Category]=Table2[[#This Row],[Category]])*(Table1[Most curent]=TRUE),"NF")&gt;0,1,0)</f>
        <v>0</v>
      </c>
      <c r="AC11" cm="1">
        <f t="array" ref="AC11">IF(_xlfn._xlws.FILTER(Table1[Spend - ARG],(Table1[Execution Year]=Table2[[#This Row],[Execution Year]])*(Table1[SBU]=Table2[[#This Row],[SBU]])*(Table1[Category]=Table2[[#This Row],[Category]])*(Table1[Most curent]=TRUE),"NF")&gt;0,1,0)</f>
        <v>0</v>
      </c>
      <c r="AD11" cm="1">
        <f t="array" ref="AD11">IF(_xlfn._xlws.FILTER(Table1[Spend - CHN],(Table1[Execution Year]=Table2[[#This Row],[Execution Year]])*(Table1[SBU]=Table2[[#This Row],[SBU]])*(Table1[Category]=Table2[[#This Row],[Category]])*(Table1[Most curent]=TRUE),"NF")&gt;0,1,0)</f>
        <v>0</v>
      </c>
      <c r="AE11" cm="1">
        <f t="array" ref="AE11">IF(_xlfn._xlws.FILTER(Table1[Spend - JAP],(Table1[Execution Year]=Table2[[#This Row],[Execution Year]])*(Table1[SBU]=Table2[[#This Row],[SBU]])*(Table1[Category]=Table2[[#This Row],[Category]])*(Table1[Most curent]=TRUE),"NF")&gt;0,1,0)</f>
        <v>0</v>
      </c>
      <c r="AF11" cm="1">
        <f t="array" ref="AF11">IF(_xlfn._xlws.FILTER(Table1[Spend - UKN],(Table1[Execution Year]=Table2[[#This Row],[Execution Year]])*(Table1[SBU]=Table2[[#This Row],[SBU]])*(Table1[Category]=Table2[[#This Row],[Category]])*(Table1[Most curent]=TRUE),"NF")&gt;0,1,0)</f>
        <v>0</v>
      </c>
      <c r="AG11" cm="1">
        <f t="array" ref="AG11">IF(_xlfn._xlws.FILTER(Table1[Spend - SAF],(Table1[Execution Year]=Table2[[#This Row],[Execution Year]])*(Table1[SBU]=Table2[[#This Row],[SBU]])*(Table1[Category]=Table2[[#This Row],[Category]])*(Table1[Most curent]=TRUE),"NF")&gt;0,1,0)</f>
        <v>0</v>
      </c>
      <c r="AH11" cm="1">
        <f t="array" ref="AH11">IF(_xlfn._xlws.FILTER(Table1[Spend - US],(Table1[Execution Year]=Table2[[#This Row],[Execution Year]])*(Table1[SBU]=Table2[[#This Row],[SBU]])*(Table1[Category]=Table2[[#This Row],[Category]])*(Table1[Most curent]=TRUE),"NF")&gt;0,1,0)</f>
        <v>1</v>
      </c>
      <c r="AI11" cm="1">
        <f t="array" ref="AI11">IF(_xlfn._xlws.FILTER(Table1[Spend - Sams],(Table1[Execution Year]=Table2[[#This Row],[Execution Year]])*(Table1[SBU]=Table2[[#This Row],[SBU]])*(Table1[Category]=Table2[[#This Row],[Category]])*(Table1[Most curent]=TRUE),"NF")&gt;0,1,0)</f>
        <v>0</v>
      </c>
      <c r="AJ11" cm="1">
        <f t="array" ref="AJ11">IF(_xlfn._xlws.FILTER(Table1[Spend - Sams Mexico],(Table1[Execution Year]=Table2[[#This Row],[Execution Year]])*(Table1[SBU]=Table2[[#This Row],[SBU]])*(Table1[Category]=Table2[[#This Row],[Category]])*(Table1[Most curent]=TRUE),"NF")&gt;0,1,0)</f>
        <v>0</v>
      </c>
      <c r="AK11" cm="1">
        <f t="array" ref="AK11">IF(_xlfn._xlws.FILTER(Table1[Spend - Sams China],(Table1[Execution Year]=Table2[[#This Row],[Execution Year]])*(Table1[SBU]=Table2[[#This Row],[SBU]])*(Table1[Category]=Table2[[#This Row],[Category]])*(Table1[Most curent]=TRUE),"NF")&gt;0,1,0)</f>
        <v>0</v>
      </c>
      <c r="AL11" cm="1">
        <f t="array" ref="AL11">IF(_xlfn._xlws.FILTER(Table1[Spend - IND],(Table1[Execution Year]=Table2[[#This Row],[Execution Year]])*(Table1[SBU]=Table2[[#This Row],[SBU]])*(Table1[Category]=Table2[[#This Row],[Category]])*(Table1[Most curent]=TRUE),"NF")&gt;0,1,0)</f>
        <v>0</v>
      </c>
    </row>
    <row r="12" spans="1:38">
      <c r="A12" t="str">
        <f>Table2[[#This Row],[Execution Year]]&amp;Table2[[#This Row],[SBU]]&amp;Table2[[#This Row],[Category]]</f>
        <v>FY22ConsumablesPaper Products II</v>
      </c>
      <c r="B12" t="s">
        <v>456</v>
      </c>
      <c r="C12" t="s">
        <v>43</v>
      </c>
      <c r="D12" t="s">
        <v>39</v>
      </c>
      <c r="E12" s="185">
        <v>44531</v>
      </c>
      <c r="F12" s="185">
        <v>44681</v>
      </c>
      <c r="G12" s="185">
        <v>0</v>
      </c>
      <c r="H12" s="185">
        <v>0</v>
      </c>
      <c r="I12" t="s">
        <v>449</v>
      </c>
      <c r="J12" t="s">
        <v>417</v>
      </c>
      <c r="K12" t="s">
        <v>445</v>
      </c>
      <c r="L12">
        <v>0</v>
      </c>
      <c r="M12" s="185">
        <v>44741</v>
      </c>
      <c r="N12" t="s">
        <v>78</v>
      </c>
      <c r="O12" s="16">
        <v>44630.372883680553</v>
      </c>
      <c r="P12" t="s">
        <v>446</v>
      </c>
      <c r="Q12" t="s">
        <v>450</v>
      </c>
      <c r="R12" t="s">
        <v>353</v>
      </c>
      <c r="S12" t="s">
        <v>448</v>
      </c>
      <c r="T12">
        <v>0</v>
      </c>
      <c r="U12">
        <v>0</v>
      </c>
      <c r="V12">
        <f>_xlfn.XLOOKUP(Table2[[#This Row],[Primary Dept Description]],'Lookup tables'!$U$17:$U$117,'Lookup tables'!$T$17:$T$117,"")</f>
        <v>4</v>
      </c>
      <c r="W12" s="15">
        <f>IF(OR(Table2[[#This Row],[Revised Award]]=0,Table2[[#This Row],[Revised Award]]=""),IF(OR(Table2[[#This Row],[Planned Award]]=0,Table2[[#This Row],[Planned Award]]=""),"Not Updated",Table2[[#This Row],[Planned Award]]),Table2[[#This Row],[Revised Award]])</f>
        <v>44681</v>
      </c>
      <c r="X12" t="str">
        <f>_xlfn.XLOOKUP(Table2[[#This Row],[Milestone]],'Lookup tables'!$Y$27:$Y$60,'Lookup tables'!$Z$27:$Z$60,"Not Updated")</f>
        <v>Cancelled</v>
      </c>
      <c r="Y12" cm="1">
        <f t="array" ref="Y12">IF(_xlfn._xlws.FILTER(Table1[Spend - CAN],(Table1[Execution Year]=Table2[[#This Row],[Execution Year]])*(Table1[SBU]=Table2[[#This Row],[SBU]])*(Table1[Category]=Table2[[#This Row],[Category]])*(Table1[Most curent]=TRUE),"NF")&gt;0,1,0)</f>
        <v>0</v>
      </c>
      <c r="Z12" cm="1">
        <f t="array" ref="Z12">IF(_xlfn._xlws.FILTER(Table1[Spend - MEX],(Table1[Execution Year]=Table2[[#This Row],[Execution Year]])*(Table1[SBU]=Table2[[#This Row],[SBU]])*(Table1[Category]=Table2[[#This Row],[Category]])*(Table1[Most curent]=TRUE),"NF")&gt;0,1,0)</f>
        <v>0</v>
      </c>
      <c r="AA12" cm="1">
        <f t="array" ref="AA12">IF(_xlfn._xlws.FILTER(Table1[Spend - CAM],(Table1[Execution Year]=Table2[[#This Row],[Execution Year]])*(Table1[SBU]=Table2[[#This Row],[SBU]])*(Table1[Category]=Table2[[#This Row],[Category]])*(Table1[Most curent]=TRUE),"NF")&gt;0,1,0)</f>
        <v>0</v>
      </c>
      <c r="AB12" cm="1">
        <f t="array" ref="AB12">IF(_xlfn._xlws.FILTER(Table1[Spend - CHL],(Table1[Execution Year]=Table2[[#This Row],[Execution Year]])*(Table1[SBU]=Table2[[#This Row],[SBU]])*(Table1[Category]=Table2[[#This Row],[Category]])*(Table1[Most curent]=TRUE),"NF")&gt;0,1,0)</f>
        <v>0</v>
      </c>
      <c r="AC12" cm="1">
        <f t="array" ref="AC12">IF(_xlfn._xlws.FILTER(Table1[Spend - ARG],(Table1[Execution Year]=Table2[[#This Row],[Execution Year]])*(Table1[SBU]=Table2[[#This Row],[SBU]])*(Table1[Category]=Table2[[#This Row],[Category]])*(Table1[Most curent]=TRUE),"NF")&gt;0,1,0)</f>
        <v>0</v>
      </c>
      <c r="AD12" cm="1">
        <f t="array" ref="AD12">IF(_xlfn._xlws.FILTER(Table1[Spend - CHN],(Table1[Execution Year]=Table2[[#This Row],[Execution Year]])*(Table1[SBU]=Table2[[#This Row],[SBU]])*(Table1[Category]=Table2[[#This Row],[Category]])*(Table1[Most curent]=TRUE),"NF")&gt;0,1,0)</f>
        <v>0</v>
      </c>
      <c r="AE12" cm="1">
        <f t="array" ref="AE12">IF(_xlfn._xlws.FILTER(Table1[Spend - JAP],(Table1[Execution Year]=Table2[[#This Row],[Execution Year]])*(Table1[SBU]=Table2[[#This Row],[SBU]])*(Table1[Category]=Table2[[#This Row],[Category]])*(Table1[Most curent]=TRUE),"NF")&gt;0,1,0)</f>
        <v>0</v>
      </c>
      <c r="AF12" cm="1">
        <f t="array" ref="AF12">IF(_xlfn._xlws.FILTER(Table1[Spend - UKN],(Table1[Execution Year]=Table2[[#This Row],[Execution Year]])*(Table1[SBU]=Table2[[#This Row],[SBU]])*(Table1[Category]=Table2[[#This Row],[Category]])*(Table1[Most curent]=TRUE),"NF")&gt;0,1,0)</f>
        <v>0</v>
      </c>
      <c r="AG12" cm="1">
        <f t="array" ref="AG12">IF(_xlfn._xlws.FILTER(Table1[Spend - SAF],(Table1[Execution Year]=Table2[[#This Row],[Execution Year]])*(Table1[SBU]=Table2[[#This Row],[SBU]])*(Table1[Category]=Table2[[#This Row],[Category]])*(Table1[Most curent]=TRUE),"NF")&gt;0,1,0)</f>
        <v>0</v>
      </c>
      <c r="AH12" cm="1">
        <f t="array" ref="AH12">IF(_xlfn._xlws.FILTER(Table1[Spend - US],(Table1[Execution Year]=Table2[[#This Row],[Execution Year]])*(Table1[SBU]=Table2[[#This Row],[SBU]])*(Table1[Category]=Table2[[#This Row],[Category]])*(Table1[Most curent]=TRUE),"NF")&gt;0,1,0)</f>
        <v>0</v>
      </c>
      <c r="AI12" cm="1">
        <f t="array" ref="AI12">IF(_xlfn._xlws.FILTER(Table1[Spend - Sams],(Table1[Execution Year]=Table2[[#This Row],[Execution Year]])*(Table1[SBU]=Table2[[#This Row],[SBU]])*(Table1[Category]=Table2[[#This Row],[Category]])*(Table1[Most curent]=TRUE),"NF")&gt;0,1,0)</f>
        <v>0</v>
      </c>
      <c r="AJ12" cm="1">
        <f t="array" ref="AJ12">IF(_xlfn._xlws.FILTER(Table1[Spend - Sams Mexico],(Table1[Execution Year]=Table2[[#This Row],[Execution Year]])*(Table1[SBU]=Table2[[#This Row],[SBU]])*(Table1[Category]=Table2[[#This Row],[Category]])*(Table1[Most curent]=TRUE),"NF")&gt;0,1,0)</f>
        <v>0</v>
      </c>
      <c r="AK12" cm="1">
        <f t="array" ref="AK12">IF(_xlfn._xlws.FILTER(Table1[Spend - Sams China],(Table1[Execution Year]=Table2[[#This Row],[Execution Year]])*(Table1[SBU]=Table2[[#This Row],[SBU]])*(Table1[Category]=Table2[[#This Row],[Category]])*(Table1[Most curent]=TRUE),"NF")&gt;0,1,0)</f>
        <v>0</v>
      </c>
      <c r="AL12" cm="1">
        <f t="array" ref="AL12">IF(_xlfn._xlws.FILTER(Table1[Spend - IND],(Table1[Execution Year]=Table2[[#This Row],[Execution Year]])*(Table1[SBU]=Table2[[#This Row],[SBU]])*(Table1[Category]=Table2[[#This Row],[Category]])*(Table1[Most curent]=TRUE),"NF")&gt;0,1,0)</f>
        <v>0</v>
      </c>
    </row>
    <row r="13" spans="1:38">
      <c r="A13" t="str">
        <f>Table2[[#This Row],[Execution Year]]&amp;Table2[[#This Row],[SBU]]&amp;Table2[[#This Row],[Category]]</f>
        <v>FY23ConsumablesDTT - Plastic</v>
      </c>
      <c r="B13" t="s">
        <v>457</v>
      </c>
      <c r="C13" t="s">
        <v>43</v>
      </c>
      <c r="D13" t="s">
        <v>322</v>
      </c>
      <c r="E13" s="185">
        <v>44743</v>
      </c>
      <c r="F13" s="185">
        <v>44896</v>
      </c>
      <c r="G13" s="185">
        <v>0</v>
      </c>
      <c r="H13" s="185">
        <v>0</v>
      </c>
      <c r="I13" t="s">
        <v>458</v>
      </c>
      <c r="J13" t="s">
        <v>459</v>
      </c>
      <c r="K13" t="s">
        <v>460</v>
      </c>
      <c r="L13">
        <v>0</v>
      </c>
      <c r="M13" s="185">
        <v>44956</v>
      </c>
      <c r="N13" t="s">
        <v>78</v>
      </c>
      <c r="O13" s="16">
        <v>44714.394190509258</v>
      </c>
      <c r="P13" t="s">
        <v>446</v>
      </c>
      <c r="Q13" t="s">
        <v>450</v>
      </c>
      <c r="R13" t="s">
        <v>353</v>
      </c>
      <c r="S13" t="s">
        <v>451</v>
      </c>
      <c r="T13">
        <v>0</v>
      </c>
      <c r="U13">
        <v>0</v>
      </c>
      <c r="V13">
        <f>_xlfn.XLOOKUP(Table2[[#This Row],[Primary Dept Description]],'Lookup tables'!$U$17:$U$117,'Lookup tables'!$T$17:$T$117,"")</f>
        <v>4</v>
      </c>
      <c r="W13" s="15">
        <f>IF(OR(Table2[[#This Row],[Revised Award]]=0,Table2[[#This Row],[Revised Award]]=""),IF(OR(Table2[[#This Row],[Planned Award]]=0,Table2[[#This Row],[Planned Award]]=""),"Not Updated",Table2[[#This Row],[Planned Award]]),Table2[[#This Row],[Revised Award]])</f>
        <v>44896</v>
      </c>
      <c r="X13" t="str">
        <f>_xlfn.XLOOKUP(Table2[[#This Row],[Milestone]],'Lookup tables'!$Y$27:$Y$60,'Lookup tables'!$Z$27:$Z$60,"Not Updated")</f>
        <v>Exploratory</v>
      </c>
      <c r="Y13" cm="1">
        <f t="array" ref="Y13">IF(_xlfn._xlws.FILTER(Table1[Spend - CAN],(Table1[Execution Year]=Table2[[#This Row],[Execution Year]])*(Table1[SBU]=Table2[[#This Row],[SBU]])*(Table1[Category]=Table2[[#This Row],[Category]])*(Table1[Most curent]=TRUE),"NF")&gt;0,1,0)</f>
        <v>0</v>
      </c>
      <c r="Z13" cm="1">
        <f t="array" ref="Z13">IF(_xlfn._xlws.FILTER(Table1[Spend - MEX],(Table1[Execution Year]=Table2[[#This Row],[Execution Year]])*(Table1[SBU]=Table2[[#This Row],[SBU]])*(Table1[Category]=Table2[[#This Row],[Category]])*(Table1[Most curent]=TRUE),"NF")&gt;0,1,0)</f>
        <v>0</v>
      </c>
      <c r="AA13" cm="1">
        <f t="array" ref="AA13">IF(_xlfn._xlws.FILTER(Table1[Spend - CAM],(Table1[Execution Year]=Table2[[#This Row],[Execution Year]])*(Table1[SBU]=Table2[[#This Row],[SBU]])*(Table1[Category]=Table2[[#This Row],[Category]])*(Table1[Most curent]=TRUE),"NF")&gt;0,1,0)</f>
        <v>0</v>
      </c>
      <c r="AB13" cm="1">
        <f t="array" ref="AB13">IF(_xlfn._xlws.FILTER(Table1[Spend - CHL],(Table1[Execution Year]=Table2[[#This Row],[Execution Year]])*(Table1[SBU]=Table2[[#This Row],[SBU]])*(Table1[Category]=Table2[[#This Row],[Category]])*(Table1[Most curent]=TRUE),"NF")&gt;0,1,0)</f>
        <v>0</v>
      </c>
      <c r="AC13" cm="1">
        <f t="array" ref="AC13">IF(_xlfn._xlws.FILTER(Table1[Spend - ARG],(Table1[Execution Year]=Table2[[#This Row],[Execution Year]])*(Table1[SBU]=Table2[[#This Row],[SBU]])*(Table1[Category]=Table2[[#This Row],[Category]])*(Table1[Most curent]=TRUE),"NF")&gt;0,1,0)</f>
        <v>0</v>
      </c>
      <c r="AD13" cm="1">
        <f t="array" ref="AD13">IF(_xlfn._xlws.FILTER(Table1[Spend - CHN],(Table1[Execution Year]=Table2[[#This Row],[Execution Year]])*(Table1[SBU]=Table2[[#This Row],[SBU]])*(Table1[Category]=Table2[[#This Row],[Category]])*(Table1[Most curent]=TRUE),"NF")&gt;0,1,0)</f>
        <v>0</v>
      </c>
      <c r="AE13" cm="1">
        <f t="array" ref="AE13">IF(_xlfn._xlws.FILTER(Table1[Spend - JAP],(Table1[Execution Year]=Table2[[#This Row],[Execution Year]])*(Table1[SBU]=Table2[[#This Row],[SBU]])*(Table1[Category]=Table2[[#This Row],[Category]])*(Table1[Most curent]=TRUE),"NF")&gt;0,1,0)</f>
        <v>0</v>
      </c>
      <c r="AF13" cm="1">
        <f t="array" ref="AF13">IF(_xlfn._xlws.FILTER(Table1[Spend - UKN],(Table1[Execution Year]=Table2[[#This Row],[Execution Year]])*(Table1[SBU]=Table2[[#This Row],[SBU]])*(Table1[Category]=Table2[[#This Row],[Category]])*(Table1[Most curent]=TRUE),"NF")&gt;0,1,0)</f>
        <v>0</v>
      </c>
      <c r="AG13" cm="1">
        <f t="array" ref="AG13">IF(_xlfn._xlws.FILTER(Table1[Spend - SAF],(Table1[Execution Year]=Table2[[#This Row],[Execution Year]])*(Table1[SBU]=Table2[[#This Row],[SBU]])*(Table1[Category]=Table2[[#This Row],[Category]])*(Table1[Most curent]=TRUE),"NF")&gt;0,1,0)</f>
        <v>0</v>
      </c>
      <c r="AH13" cm="1">
        <f t="array" ref="AH13">IF(_xlfn._xlws.FILTER(Table1[Spend - US],(Table1[Execution Year]=Table2[[#This Row],[Execution Year]])*(Table1[SBU]=Table2[[#This Row],[SBU]])*(Table1[Category]=Table2[[#This Row],[Category]])*(Table1[Most curent]=TRUE),"NF")&gt;0,1,0)</f>
        <v>0</v>
      </c>
      <c r="AI13" cm="1">
        <f t="array" ref="AI13">IF(_xlfn._xlws.FILTER(Table1[Spend - Sams],(Table1[Execution Year]=Table2[[#This Row],[Execution Year]])*(Table1[SBU]=Table2[[#This Row],[SBU]])*(Table1[Category]=Table2[[#This Row],[Category]])*(Table1[Most curent]=TRUE),"NF")&gt;0,1,0)</f>
        <v>1</v>
      </c>
      <c r="AJ13" cm="1">
        <f t="array" ref="AJ13">IF(_xlfn._xlws.FILTER(Table1[Spend - Sams Mexico],(Table1[Execution Year]=Table2[[#This Row],[Execution Year]])*(Table1[SBU]=Table2[[#This Row],[SBU]])*(Table1[Category]=Table2[[#This Row],[Category]])*(Table1[Most curent]=TRUE),"NF")&gt;0,1,0)</f>
        <v>0</v>
      </c>
      <c r="AK13" cm="1">
        <f t="array" ref="AK13">IF(_xlfn._xlws.FILTER(Table1[Spend - Sams China],(Table1[Execution Year]=Table2[[#This Row],[Execution Year]])*(Table1[SBU]=Table2[[#This Row],[SBU]])*(Table1[Category]=Table2[[#This Row],[Category]])*(Table1[Most curent]=TRUE),"NF")&gt;0,1,0)</f>
        <v>0</v>
      </c>
      <c r="AL13" cm="1">
        <f t="array" ref="AL13">IF(_xlfn._xlws.FILTER(Table1[Spend - IND],(Table1[Execution Year]=Table2[[#This Row],[Execution Year]])*(Table1[SBU]=Table2[[#This Row],[SBU]])*(Table1[Category]=Table2[[#This Row],[Category]])*(Table1[Most curent]=TRUE),"NF")&gt;0,1,0)</f>
        <v>0</v>
      </c>
    </row>
    <row r="14" spans="1:38">
      <c r="A14" t="str">
        <f>Table2[[#This Row],[Execution Year]]&amp;Table2[[#This Row],[SBU]]&amp;Table2[[#This Row],[Category]]</f>
        <v>FY22ConsumablesDog treats and rawhides</v>
      </c>
      <c r="B14" t="s">
        <v>461</v>
      </c>
      <c r="C14" t="s">
        <v>43</v>
      </c>
      <c r="D14" t="s">
        <v>39</v>
      </c>
      <c r="E14" s="185">
        <v>0</v>
      </c>
      <c r="F14" s="185">
        <v>0</v>
      </c>
      <c r="G14" s="185">
        <v>0</v>
      </c>
      <c r="H14" s="185">
        <v>0</v>
      </c>
      <c r="I14" t="s">
        <v>449</v>
      </c>
      <c r="J14" t="s">
        <v>444</v>
      </c>
      <c r="K14" t="s">
        <v>462</v>
      </c>
      <c r="L14">
        <v>0</v>
      </c>
      <c r="M14" s="185">
        <v>60</v>
      </c>
      <c r="N14" t="s">
        <v>78</v>
      </c>
      <c r="O14" s="16">
        <v>44622.341958912039</v>
      </c>
      <c r="P14" t="s">
        <v>446</v>
      </c>
      <c r="Q14" t="s">
        <v>455</v>
      </c>
      <c r="R14" t="s">
        <v>353</v>
      </c>
      <c r="S14" t="s">
        <v>448</v>
      </c>
      <c r="V14">
        <f>_xlfn.XLOOKUP(Table2[[#This Row],[Primary Dept Description]],'Lookup tables'!$U$17:$U$117,'Lookup tables'!$T$17:$T$117,"")</f>
        <v>8</v>
      </c>
      <c r="W14" s="15" t="str">
        <f>IF(OR(Table2[[#This Row],[Revised Award]]=0,Table2[[#This Row],[Revised Award]]=""),IF(OR(Table2[[#This Row],[Planned Award]]=0,Table2[[#This Row],[Planned Award]]=""),"Not Updated",Table2[[#This Row],[Planned Award]]),Table2[[#This Row],[Revised Award]])</f>
        <v>Not Updated</v>
      </c>
      <c r="X14" t="str">
        <f>_xlfn.XLOOKUP(Table2[[#This Row],[Milestone]],'Lookup tables'!$Y$27:$Y$60,'Lookup tables'!$Z$27:$Z$60,"Not Updated")</f>
        <v>Cancelled</v>
      </c>
      <c r="Y14" cm="1">
        <f t="array" ref="Y14">IF(_xlfn._xlws.FILTER(Table1[Spend - CAN],(Table1[Execution Year]=Table2[[#This Row],[Execution Year]])*(Table1[SBU]=Table2[[#This Row],[SBU]])*(Table1[Category]=Table2[[#This Row],[Category]])*(Table1[Most curent]=TRUE),"NF")&gt;0,1,0)</f>
        <v>1</v>
      </c>
      <c r="Z14" cm="1">
        <f t="array" ref="Z14">IF(_xlfn._xlws.FILTER(Table1[Spend - MEX],(Table1[Execution Year]=Table2[[#This Row],[Execution Year]])*(Table1[SBU]=Table2[[#This Row],[SBU]])*(Table1[Category]=Table2[[#This Row],[Category]])*(Table1[Most curent]=TRUE),"NF")&gt;0,1,0)</f>
        <v>1</v>
      </c>
      <c r="AA14" cm="1">
        <f t="array" ref="AA14">IF(_xlfn._xlws.FILTER(Table1[Spend - CAM],(Table1[Execution Year]=Table2[[#This Row],[Execution Year]])*(Table1[SBU]=Table2[[#This Row],[SBU]])*(Table1[Category]=Table2[[#This Row],[Category]])*(Table1[Most curent]=TRUE),"NF")&gt;0,1,0)</f>
        <v>1</v>
      </c>
      <c r="AB14" cm="1">
        <f t="array" ref="AB14">IF(_xlfn._xlws.FILTER(Table1[Spend - CHL],(Table1[Execution Year]=Table2[[#This Row],[Execution Year]])*(Table1[SBU]=Table2[[#This Row],[SBU]])*(Table1[Category]=Table2[[#This Row],[Category]])*(Table1[Most curent]=TRUE),"NF")&gt;0,1,0)</f>
        <v>0</v>
      </c>
      <c r="AC14" cm="1">
        <f t="array" ref="AC14">IF(_xlfn._xlws.FILTER(Table1[Spend - ARG],(Table1[Execution Year]=Table2[[#This Row],[Execution Year]])*(Table1[SBU]=Table2[[#This Row],[SBU]])*(Table1[Category]=Table2[[#This Row],[Category]])*(Table1[Most curent]=TRUE),"NF")&gt;0,1,0)</f>
        <v>0</v>
      </c>
      <c r="AD14" cm="1">
        <f t="array" ref="AD14">IF(_xlfn._xlws.FILTER(Table1[Spend - CHN],(Table1[Execution Year]=Table2[[#This Row],[Execution Year]])*(Table1[SBU]=Table2[[#This Row],[SBU]])*(Table1[Category]=Table2[[#This Row],[Category]])*(Table1[Most curent]=TRUE),"NF")&gt;0,1,0)</f>
        <v>0</v>
      </c>
      <c r="AE14" cm="1">
        <f t="array" ref="AE14">IF(_xlfn._xlws.FILTER(Table1[Spend - JAP],(Table1[Execution Year]=Table2[[#This Row],[Execution Year]])*(Table1[SBU]=Table2[[#This Row],[SBU]])*(Table1[Category]=Table2[[#This Row],[Category]])*(Table1[Most curent]=TRUE),"NF")&gt;0,1,0)</f>
        <v>0</v>
      </c>
      <c r="AF14" cm="1">
        <f t="array" ref="AF14">IF(_xlfn._xlws.FILTER(Table1[Spend - UKN],(Table1[Execution Year]=Table2[[#This Row],[Execution Year]])*(Table1[SBU]=Table2[[#This Row],[SBU]])*(Table1[Category]=Table2[[#This Row],[Category]])*(Table1[Most curent]=TRUE),"NF")&gt;0,1,0)</f>
        <v>0</v>
      </c>
      <c r="AG14" cm="1">
        <f t="array" ref="AG14">IF(_xlfn._xlws.FILTER(Table1[Spend - SAF],(Table1[Execution Year]=Table2[[#This Row],[Execution Year]])*(Table1[SBU]=Table2[[#This Row],[SBU]])*(Table1[Category]=Table2[[#This Row],[Category]])*(Table1[Most curent]=TRUE),"NF")&gt;0,1,0)</f>
        <v>0</v>
      </c>
      <c r="AH14" cm="1">
        <f t="array" ref="AH14">IF(_xlfn._xlws.FILTER(Table1[Spend - US],(Table1[Execution Year]=Table2[[#This Row],[Execution Year]])*(Table1[SBU]=Table2[[#This Row],[SBU]])*(Table1[Category]=Table2[[#This Row],[Category]])*(Table1[Most curent]=TRUE),"NF")&gt;0,1,0)</f>
        <v>1</v>
      </c>
      <c r="AI14" cm="1">
        <f t="array" ref="AI14">IF(_xlfn._xlws.FILTER(Table1[Spend - Sams],(Table1[Execution Year]=Table2[[#This Row],[Execution Year]])*(Table1[SBU]=Table2[[#This Row],[SBU]])*(Table1[Category]=Table2[[#This Row],[Category]])*(Table1[Most curent]=TRUE),"NF")&gt;0,1,0)</f>
        <v>0</v>
      </c>
      <c r="AJ14" cm="1">
        <f t="array" ref="AJ14">IF(_xlfn._xlws.FILTER(Table1[Spend - Sams Mexico],(Table1[Execution Year]=Table2[[#This Row],[Execution Year]])*(Table1[SBU]=Table2[[#This Row],[SBU]])*(Table1[Category]=Table2[[#This Row],[Category]])*(Table1[Most curent]=TRUE),"NF")&gt;0,1,0)</f>
        <v>0</v>
      </c>
      <c r="AK14" cm="1">
        <f t="array" ref="AK14">IF(_xlfn._xlws.FILTER(Table1[Spend - Sams China],(Table1[Execution Year]=Table2[[#This Row],[Execution Year]])*(Table1[SBU]=Table2[[#This Row],[SBU]])*(Table1[Category]=Table2[[#This Row],[Category]])*(Table1[Most curent]=TRUE),"NF")&gt;0,1,0)</f>
        <v>0</v>
      </c>
      <c r="AL14" cm="1">
        <f t="array" ref="AL14">IF(_xlfn._xlws.FILTER(Table1[Spend - IND],(Table1[Execution Year]=Table2[[#This Row],[Execution Year]])*(Table1[SBU]=Table2[[#This Row],[SBU]])*(Table1[Category]=Table2[[#This Row],[Category]])*(Table1[Most curent]=TRUE),"NF")&gt;0,1,0)</f>
        <v>0</v>
      </c>
    </row>
    <row r="15" spans="1:38">
      <c r="A15" t="str">
        <f>Table2[[#This Row],[Execution Year]]&amp;Table2[[#This Row],[SBU]]&amp;Table2[[#This Row],[Category]]</f>
        <v>FY22ConsumablesDry pet food</v>
      </c>
      <c r="B15" t="s">
        <v>98</v>
      </c>
      <c r="C15" t="s">
        <v>43</v>
      </c>
      <c r="D15" t="s">
        <v>39</v>
      </c>
      <c r="E15" s="185">
        <v>44409</v>
      </c>
      <c r="F15" s="185">
        <v>44742</v>
      </c>
      <c r="G15" s="185">
        <v>0</v>
      </c>
      <c r="H15" s="185">
        <v>0</v>
      </c>
      <c r="I15" t="s">
        <v>463</v>
      </c>
      <c r="J15" t="s">
        <v>459</v>
      </c>
      <c r="K15" t="s">
        <v>78</v>
      </c>
      <c r="L15">
        <v>0</v>
      </c>
      <c r="M15" s="185">
        <v>44802</v>
      </c>
      <c r="N15" t="s">
        <v>78</v>
      </c>
      <c r="O15" s="16">
        <v>44732.406272685184</v>
      </c>
      <c r="P15" t="s">
        <v>446</v>
      </c>
      <c r="Q15" t="s">
        <v>455</v>
      </c>
      <c r="R15" t="s">
        <v>353</v>
      </c>
      <c r="S15" t="s">
        <v>448</v>
      </c>
      <c r="T15" t="s">
        <v>415</v>
      </c>
      <c r="U15">
        <v>44742</v>
      </c>
      <c r="V15">
        <f>_xlfn.XLOOKUP(Table2[[#This Row],[Primary Dept Description]],'Lookup tables'!$U$17:$U$117,'Lookup tables'!$T$17:$T$117,"")</f>
        <v>8</v>
      </c>
      <c r="W15" s="15">
        <f>IF(OR(Table2[[#This Row],[Revised Award]]=0,Table2[[#This Row],[Revised Award]]=""),IF(OR(Table2[[#This Row],[Planned Award]]=0,Table2[[#This Row],[Planned Award]]=""),"Not Updated",Table2[[#This Row],[Planned Award]]),Table2[[#This Row],[Revised Award]])</f>
        <v>44742</v>
      </c>
      <c r="X15" t="str">
        <f>_xlfn.XLOOKUP(Table2[[#This Row],[Milestone]],'Lookup tables'!$Y$27:$Y$60,'Lookup tables'!$Z$27:$Z$60,"Not Updated")</f>
        <v>Pending PB/Merch Approval</v>
      </c>
      <c r="Y15" cm="1">
        <f t="array" ref="Y15">IF(_xlfn._xlws.FILTER(Table1[Spend - CAN],(Table1[Execution Year]=Table2[[#This Row],[Execution Year]])*(Table1[SBU]=Table2[[#This Row],[SBU]])*(Table1[Category]=Table2[[#This Row],[Category]])*(Table1[Most curent]=TRUE),"NF")&gt;0,1,0)</f>
        <v>1</v>
      </c>
      <c r="Z15" cm="1">
        <f t="array" ref="Z15">IF(_xlfn._xlws.FILTER(Table1[Spend - MEX],(Table1[Execution Year]=Table2[[#This Row],[Execution Year]])*(Table1[SBU]=Table2[[#This Row],[SBU]])*(Table1[Category]=Table2[[#This Row],[Category]])*(Table1[Most curent]=TRUE),"NF")&gt;0,1,0)</f>
        <v>1</v>
      </c>
      <c r="AA15" cm="1">
        <f t="array" ref="AA15">IF(_xlfn._xlws.FILTER(Table1[Spend - CAM],(Table1[Execution Year]=Table2[[#This Row],[Execution Year]])*(Table1[SBU]=Table2[[#This Row],[SBU]])*(Table1[Category]=Table2[[#This Row],[Category]])*(Table1[Most curent]=TRUE),"NF")&gt;0,1,0)</f>
        <v>1</v>
      </c>
      <c r="AB15" cm="1">
        <f t="array" ref="AB15">IF(_xlfn._xlws.FILTER(Table1[Spend - CHL],(Table1[Execution Year]=Table2[[#This Row],[Execution Year]])*(Table1[SBU]=Table2[[#This Row],[SBU]])*(Table1[Category]=Table2[[#This Row],[Category]])*(Table1[Most curent]=TRUE),"NF")&gt;0,1,0)</f>
        <v>1</v>
      </c>
      <c r="AC15" cm="1">
        <f t="array" ref="AC15">IF(_xlfn._xlws.FILTER(Table1[Spend - ARG],(Table1[Execution Year]=Table2[[#This Row],[Execution Year]])*(Table1[SBU]=Table2[[#This Row],[SBU]])*(Table1[Category]=Table2[[#This Row],[Category]])*(Table1[Most curent]=TRUE),"NF")&gt;0,1,0)</f>
        <v>0</v>
      </c>
      <c r="AD15" cm="1">
        <f t="array" ref="AD15">IF(_xlfn._xlws.FILTER(Table1[Spend - CHN],(Table1[Execution Year]=Table2[[#This Row],[Execution Year]])*(Table1[SBU]=Table2[[#This Row],[SBU]])*(Table1[Category]=Table2[[#This Row],[Category]])*(Table1[Most curent]=TRUE),"NF")&gt;0,1,0)</f>
        <v>0</v>
      </c>
      <c r="AE15" cm="1">
        <f t="array" ref="AE15">IF(_xlfn._xlws.FILTER(Table1[Spend - JAP],(Table1[Execution Year]=Table2[[#This Row],[Execution Year]])*(Table1[SBU]=Table2[[#This Row],[SBU]])*(Table1[Category]=Table2[[#This Row],[Category]])*(Table1[Most curent]=TRUE),"NF")&gt;0,1,0)</f>
        <v>0</v>
      </c>
      <c r="AF15" cm="1">
        <f t="array" ref="AF15">IF(_xlfn._xlws.FILTER(Table1[Spend - UKN],(Table1[Execution Year]=Table2[[#This Row],[Execution Year]])*(Table1[SBU]=Table2[[#This Row],[SBU]])*(Table1[Category]=Table2[[#This Row],[Category]])*(Table1[Most curent]=TRUE),"NF")&gt;0,1,0)</f>
        <v>0</v>
      </c>
      <c r="AG15" cm="1">
        <f t="array" ref="AG15">IF(_xlfn._xlws.FILTER(Table1[Spend - SAF],(Table1[Execution Year]=Table2[[#This Row],[Execution Year]])*(Table1[SBU]=Table2[[#This Row],[SBU]])*(Table1[Category]=Table2[[#This Row],[Category]])*(Table1[Most curent]=TRUE),"NF")&gt;0,1,0)</f>
        <v>0</v>
      </c>
      <c r="AH15" cm="1">
        <f t="array" ref="AH15">IF(_xlfn._xlws.FILTER(Table1[Spend - US],(Table1[Execution Year]=Table2[[#This Row],[Execution Year]])*(Table1[SBU]=Table2[[#This Row],[SBU]])*(Table1[Category]=Table2[[#This Row],[Category]])*(Table1[Most curent]=TRUE),"NF")&gt;0,1,0)</f>
        <v>1</v>
      </c>
      <c r="AI15" cm="1">
        <f t="array" ref="AI15">IF(_xlfn._xlws.FILTER(Table1[Spend - Sams],(Table1[Execution Year]=Table2[[#This Row],[Execution Year]])*(Table1[SBU]=Table2[[#This Row],[SBU]])*(Table1[Category]=Table2[[#This Row],[Category]])*(Table1[Most curent]=TRUE),"NF")&gt;0,1,0)</f>
        <v>0</v>
      </c>
      <c r="AJ15" cm="1">
        <f t="array" ref="AJ15">IF(_xlfn._xlws.FILTER(Table1[Spend - Sams Mexico],(Table1[Execution Year]=Table2[[#This Row],[Execution Year]])*(Table1[SBU]=Table2[[#This Row],[SBU]])*(Table1[Category]=Table2[[#This Row],[Category]])*(Table1[Most curent]=TRUE),"NF")&gt;0,1,0)</f>
        <v>0</v>
      </c>
      <c r="AK15" cm="1">
        <f t="array" ref="AK15">IF(_xlfn._xlws.FILTER(Table1[Spend - Sams China],(Table1[Execution Year]=Table2[[#This Row],[Execution Year]])*(Table1[SBU]=Table2[[#This Row],[SBU]])*(Table1[Category]=Table2[[#This Row],[Category]])*(Table1[Most curent]=TRUE),"NF")&gt;0,1,0)</f>
        <v>0</v>
      </c>
      <c r="AL15" cm="1">
        <f t="array" ref="AL15">IF(_xlfn._xlws.FILTER(Table1[Spend - IND],(Table1[Execution Year]=Table2[[#This Row],[Execution Year]])*(Table1[SBU]=Table2[[#This Row],[SBU]])*(Table1[Category]=Table2[[#This Row],[Category]])*(Table1[Most curent]=TRUE),"NF")&gt;0,1,0)</f>
        <v>0</v>
      </c>
    </row>
    <row r="16" spans="1:38">
      <c r="A16" t="str">
        <f>Table2[[#This Row],[Execution Year]]&amp;Table2[[#This Row],[SBU]]&amp;Table2[[#This Row],[Category]]</f>
        <v>FY22ConsumablesDiapers</v>
      </c>
      <c r="B16" t="s">
        <v>88</v>
      </c>
      <c r="C16" t="s">
        <v>43</v>
      </c>
      <c r="D16" t="s">
        <v>39</v>
      </c>
      <c r="E16" s="185">
        <v>44409</v>
      </c>
      <c r="F16" s="185">
        <v>44561</v>
      </c>
      <c r="G16" s="185">
        <v>0</v>
      </c>
      <c r="H16" s="185">
        <v>0</v>
      </c>
      <c r="I16" t="s">
        <v>443</v>
      </c>
      <c r="J16" t="s">
        <v>444</v>
      </c>
      <c r="K16" t="s">
        <v>454</v>
      </c>
      <c r="L16">
        <v>0</v>
      </c>
      <c r="M16" s="185">
        <v>44621</v>
      </c>
      <c r="N16" t="s">
        <v>78</v>
      </c>
      <c r="O16" s="16">
        <v>44651.499695254628</v>
      </c>
      <c r="P16" t="s">
        <v>446</v>
      </c>
      <c r="Q16" t="s">
        <v>464</v>
      </c>
      <c r="R16" t="s">
        <v>353</v>
      </c>
      <c r="S16" t="s">
        <v>448</v>
      </c>
      <c r="V16">
        <f>_xlfn.XLOOKUP(Table2[[#This Row],[Primary Dept Description]],'Lookup tables'!$U$17:$U$117,'Lookup tables'!$T$17:$T$117,"")</f>
        <v>79</v>
      </c>
      <c r="W16" s="15">
        <f>IF(OR(Table2[[#This Row],[Revised Award]]=0,Table2[[#This Row],[Revised Award]]=""),IF(OR(Table2[[#This Row],[Planned Award]]=0,Table2[[#This Row],[Planned Award]]=""),"Not Updated",Table2[[#This Row],[Planned Award]]),Table2[[#This Row],[Revised Award]])</f>
        <v>44561</v>
      </c>
      <c r="X16" t="str">
        <f>_xlfn.XLOOKUP(Table2[[#This Row],[Milestone]],'Lookup tables'!$Y$27:$Y$60,'Lookup tables'!$Z$27:$Z$60,"Not Updated")</f>
        <v>Completed</v>
      </c>
      <c r="Y16" cm="1">
        <f t="array" ref="Y16">IF(_xlfn._xlws.FILTER(Table1[Spend - CAN],(Table1[Execution Year]=Table2[[#This Row],[Execution Year]])*(Table1[SBU]=Table2[[#This Row],[SBU]])*(Table1[Category]=Table2[[#This Row],[Category]])*(Table1[Most curent]=TRUE),"NF")&gt;0,1,0)</f>
        <v>1</v>
      </c>
      <c r="Z16" cm="1">
        <f t="array" ref="Z16">IF(_xlfn._xlws.FILTER(Table1[Spend - MEX],(Table1[Execution Year]=Table2[[#This Row],[Execution Year]])*(Table1[SBU]=Table2[[#This Row],[SBU]])*(Table1[Category]=Table2[[#This Row],[Category]])*(Table1[Most curent]=TRUE),"NF")&gt;0,1,0)</f>
        <v>1</v>
      </c>
      <c r="AA16" cm="1">
        <f t="array" ref="AA16">IF(_xlfn._xlws.FILTER(Table1[Spend - CAM],(Table1[Execution Year]=Table2[[#This Row],[Execution Year]])*(Table1[SBU]=Table2[[#This Row],[SBU]])*(Table1[Category]=Table2[[#This Row],[Category]])*(Table1[Most curent]=TRUE),"NF")&gt;0,1,0)</f>
        <v>1</v>
      </c>
      <c r="AB16" cm="1">
        <f t="array" ref="AB16">IF(_xlfn._xlws.FILTER(Table1[Spend - CHL],(Table1[Execution Year]=Table2[[#This Row],[Execution Year]])*(Table1[SBU]=Table2[[#This Row],[SBU]])*(Table1[Category]=Table2[[#This Row],[Category]])*(Table1[Most curent]=TRUE),"NF")&gt;0,1,0)</f>
        <v>1</v>
      </c>
      <c r="AC16" cm="1">
        <f t="array" ref="AC16">IF(_xlfn._xlws.FILTER(Table1[Spend - ARG],(Table1[Execution Year]=Table2[[#This Row],[Execution Year]])*(Table1[SBU]=Table2[[#This Row],[SBU]])*(Table1[Category]=Table2[[#This Row],[Category]])*(Table1[Most curent]=TRUE),"NF")&gt;0,1,0)</f>
        <v>0</v>
      </c>
      <c r="AD16" cm="1">
        <f t="array" ref="AD16">IF(_xlfn._xlws.FILTER(Table1[Spend - CHN],(Table1[Execution Year]=Table2[[#This Row],[Execution Year]])*(Table1[SBU]=Table2[[#This Row],[SBU]])*(Table1[Category]=Table2[[#This Row],[Category]])*(Table1[Most curent]=TRUE),"NF")&gt;0,1,0)</f>
        <v>0</v>
      </c>
      <c r="AE16" cm="1">
        <f t="array" ref="AE16">IF(_xlfn._xlws.FILTER(Table1[Spend - JAP],(Table1[Execution Year]=Table2[[#This Row],[Execution Year]])*(Table1[SBU]=Table2[[#This Row],[SBU]])*(Table1[Category]=Table2[[#This Row],[Category]])*(Table1[Most curent]=TRUE),"NF")&gt;0,1,0)</f>
        <v>0</v>
      </c>
      <c r="AF16" cm="1">
        <f t="array" ref="AF16">IF(_xlfn._xlws.FILTER(Table1[Spend - UKN],(Table1[Execution Year]=Table2[[#This Row],[Execution Year]])*(Table1[SBU]=Table2[[#This Row],[SBU]])*(Table1[Category]=Table2[[#This Row],[Category]])*(Table1[Most curent]=TRUE),"NF")&gt;0,1,0)</f>
        <v>0</v>
      </c>
      <c r="AG16" cm="1">
        <f t="array" ref="AG16">IF(_xlfn._xlws.FILTER(Table1[Spend - SAF],(Table1[Execution Year]=Table2[[#This Row],[Execution Year]])*(Table1[SBU]=Table2[[#This Row],[SBU]])*(Table1[Category]=Table2[[#This Row],[Category]])*(Table1[Most curent]=TRUE),"NF")&gt;0,1,0)</f>
        <v>0</v>
      </c>
      <c r="AH16" cm="1">
        <f t="array" ref="AH16">IF(_xlfn._xlws.FILTER(Table1[Spend - US],(Table1[Execution Year]=Table2[[#This Row],[Execution Year]])*(Table1[SBU]=Table2[[#This Row],[SBU]])*(Table1[Category]=Table2[[#This Row],[Category]])*(Table1[Most curent]=TRUE),"NF")&gt;0,1,0)</f>
        <v>1</v>
      </c>
      <c r="AI16" cm="1">
        <f t="array" ref="AI16">IF(_xlfn._xlws.FILTER(Table1[Spend - Sams],(Table1[Execution Year]=Table2[[#This Row],[Execution Year]])*(Table1[SBU]=Table2[[#This Row],[SBU]])*(Table1[Category]=Table2[[#This Row],[Category]])*(Table1[Most curent]=TRUE),"NF")&gt;0,1,0)</f>
        <v>0</v>
      </c>
      <c r="AJ16" cm="1">
        <f t="array" ref="AJ16">IF(_xlfn._xlws.FILTER(Table1[Spend - Sams Mexico],(Table1[Execution Year]=Table2[[#This Row],[Execution Year]])*(Table1[SBU]=Table2[[#This Row],[SBU]])*(Table1[Category]=Table2[[#This Row],[Category]])*(Table1[Most curent]=TRUE),"NF")&gt;0,1,0)</f>
        <v>0</v>
      </c>
      <c r="AK16" cm="1">
        <f t="array" ref="AK16">IF(_xlfn._xlws.FILTER(Table1[Spend - Sams China],(Table1[Execution Year]=Table2[[#This Row],[Execution Year]])*(Table1[SBU]=Table2[[#This Row],[SBU]])*(Table1[Category]=Table2[[#This Row],[Category]])*(Table1[Most curent]=TRUE),"NF")&gt;0,1,0)</f>
        <v>0</v>
      </c>
      <c r="AL16" cm="1">
        <f t="array" ref="AL16">IF(_xlfn._xlws.FILTER(Table1[Spend - IND],(Table1[Execution Year]=Table2[[#This Row],[Execution Year]])*(Table1[SBU]=Table2[[#This Row],[SBU]])*(Table1[Category]=Table2[[#This Row],[Category]])*(Table1[Most curent]=TRUE),"NF")&gt;0,1,0)</f>
        <v>0</v>
      </c>
    </row>
    <row r="17" spans="1:38">
      <c r="A17" t="str">
        <f>Table2[[#This Row],[Execution Year]]&amp;Table2[[#This Row],[SBU]]&amp;Table2[[#This Row],[Category]]</f>
        <v>FY22ConsumablesCotton Products</v>
      </c>
      <c r="B17" t="s">
        <v>465</v>
      </c>
      <c r="C17" t="s">
        <v>43</v>
      </c>
      <c r="D17" t="s">
        <v>39</v>
      </c>
      <c r="E17" s="185">
        <v>44426</v>
      </c>
      <c r="F17" s="185">
        <v>44742</v>
      </c>
      <c r="G17" s="185">
        <v>0</v>
      </c>
      <c r="H17" s="185">
        <v>0</v>
      </c>
      <c r="I17" t="s">
        <v>466</v>
      </c>
      <c r="J17" t="s">
        <v>459</v>
      </c>
      <c r="K17" t="s">
        <v>462</v>
      </c>
      <c r="L17">
        <v>0</v>
      </c>
      <c r="M17" s="185">
        <v>44802</v>
      </c>
      <c r="N17" t="s">
        <v>78</v>
      </c>
      <c r="O17" s="16">
        <v>44714.434349305557</v>
      </c>
      <c r="P17" t="s">
        <v>446</v>
      </c>
      <c r="Q17" t="s">
        <v>467</v>
      </c>
      <c r="R17" t="s">
        <v>353</v>
      </c>
      <c r="S17" t="s">
        <v>451</v>
      </c>
      <c r="T17" t="s">
        <v>466</v>
      </c>
      <c r="U17">
        <v>0</v>
      </c>
      <c r="V17">
        <f>_xlfn.XLOOKUP(Table2[[#This Row],[Primary Dept Description]],'Lookup tables'!$U$17:$U$117,'Lookup tables'!$T$17:$T$117,"")</f>
        <v>46</v>
      </c>
      <c r="W17" s="15">
        <f>IF(OR(Table2[[#This Row],[Revised Award]]=0,Table2[[#This Row],[Revised Award]]=""),IF(OR(Table2[[#This Row],[Planned Award]]=0,Table2[[#This Row],[Planned Award]]=""),"Not Updated",Table2[[#This Row],[Planned Award]]),Table2[[#This Row],[Revised Award]])</f>
        <v>44742</v>
      </c>
      <c r="X17" t="str">
        <f>_xlfn.XLOOKUP(Table2[[#This Row],[Milestone]],'Lookup tables'!$Y$27:$Y$60,'Lookup tables'!$Z$27:$Z$60,"Not Updated")</f>
        <v>Post Award</v>
      </c>
      <c r="Y17" cm="1">
        <f t="array" ref="Y17">IF(_xlfn._xlws.FILTER(Table1[Spend - CAN],(Table1[Execution Year]=Table2[[#This Row],[Execution Year]])*(Table1[SBU]=Table2[[#This Row],[SBU]])*(Table1[Category]=Table2[[#This Row],[Category]])*(Table1[Most curent]=TRUE),"NF")&gt;0,1,0)</f>
        <v>1</v>
      </c>
      <c r="Z17" cm="1">
        <f t="array" ref="Z17">IF(_xlfn._xlws.FILTER(Table1[Spend - MEX],(Table1[Execution Year]=Table2[[#This Row],[Execution Year]])*(Table1[SBU]=Table2[[#This Row],[SBU]])*(Table1[Category]=Table2[[#This Row],[Category]])*(Table1[Most curent]=TRUE),"NF")&gt;0,1,0)</f>
        <v>1</v>
      </c>
      <c r="AA17" cm="1">
        <f t="array" ref="AA17">IF(_xlfn._xlws.FILTER(Table1[Spend - CAM],(Table1[Execution Year]=Table2[[#This Row],[Execution Year]])*(Table1[SBU]=Table2[[#This Row],[SBU]])*(Table1[Category]=Table2[[#This Row],[Category]])*(Table1[Most curent]=TRUE),"NF")&gt;0,1,0)</f>
        <v>0</v>
      </c>
      <c r="AB17" cm="1">
        <f t="array" ref="AB17">IF(_xlfn._xlws.FILTER(Table1[Spend - CHL],(Table1[Execution Year]=Table2[[#This Row],[Execution Year]])*(Table1[SBU]=Table2[[#This Row],[SBU]])*(Table1[Category]=Table2[[#This Row],[Category]])*(Table1[Most curent]=TRUE),"NF")&gt;0,1,0)</f>
        <v>0</v>
      </c>
      <c r="AC17" cm="1">
        <f t="array" ref="AC17">IF(_xlfn._xlws.FILTER(Table1[Spend - ARG],(Table1[Execution Year]=Table2[[#This Row],[Execution Year]])*(Table1[SBU]=Table2[[#This Row],[SBU]])*(Table1[Category]=Table2[[#This Row],[Category]])*(Table1[Most curent]=TRUE),"NF")&gt;0,1,0)</f>
        <v>0</v>
      </c>
      <c r="AD17" cm="1">
        <f t="array" ref="AD17">IF(_xlfn._xlws.FILTER(Table1[Spend - CHN],(Table1[Execution Year]=Table2[[#This Row],[Execution Year]])*(Table1[SBU]=Table2[[#This Row],[SBU]])*(Table1[Category]=Table2[[#This Row],[Category]])*(Table1[Most curent]=TRUE),"NF")&gt;0,1,0)</f>
        <v>0</v>
      </c>
      <c r="AE17" cm="1">
        <f t="array" ref="AE17">IF(_xlfn._xlws.FILTER(Table1[Spend - JAP],(Table1[Execution Year]=Table2[[#This Row],[Execution Year]])*(Table1[SBU]=Table2[[#This Row],[SBU]])*(Table1[Category]=Table2[[#This Row],[Category]])*(Table1[Most curent]=TRUE),"NF")&gt;0,1,0)</f>
        <v>0</v>
      </c>
      <c r="AF17" cm="1">
        <f t="array" ref="AF17">IF(_xlfn._xlws.FILTER(Table1[Spend - UKN],(Table1[Execution Year]=Table2[[#This Row],[Execution Year]])*(Table1[SBU]=Table2[[#This Row],[SBU]])*(Table1[Category]=Table2[[#This Row],[Category]])*(Table1[Most curent]=TRUE),"NF")&gt;0,1,0)</f>
        <v>0</v>
      </c>
      <c r="AG17" cm="1">
        <f t="array" ref="AG17">IF(_xlfn._xlws.FILTER(Table1[Spend - SAF],(Table1[Execution Year]=Table2[[#This Row],[Execution Year]])*(Table1[SBU]=Table2[[#This Row],[SBU]])*(Table1[Category]=Table2[[#This Row],[Category]])*(Table1[Most curent]=TRUE),"NF")&gt;0,1,0)</f>
        <v>0</v>
      </c>
      <c r="AH17" cm="1">
        <f t="array" ref="AH17">IF(_xlfn._xlws.FILTER(Table1[Spend - US],(Table1[Execution Year]=Table2[[#This Row],[Execution Year]])*(Table1[SBU]=Table2[[#This Row],[SBU]])*(Table1[Category]=Table2[[#This Row],[Category]])*(Table1[Most curent]=TRUE),"NF")&gt;0,1,0)</f>
        <v>1</v>
      </c>
      <c r="AI17" cm="1">
        <f t="array" ref="AI17">IF(_xlfn._xlws.FILTER(Table1[Spend - Sams],(Table1[Execution Year]=Table2[[#This Row],[Execution Year]])*(Table1[SBU]=Table2[[#This Row],[SBU]])*(Table1[Category]=Table2[[#This Row],[Category]])*(Table1[Most curent]=TRUE),"NF")&gt;0,1,0)</f>
        <v>0</v>
      </c>
      <c r="AJ17" cm="1">
        <f t="array" ref="AJ17">IF(_xlfn._xlws.FILTER(Table1[Spend - Sams Mexico],(Table1[Execution Year]=Table2[[#This Row],[Execution Year]])*(Table1[SBU]=Table2[[#This Row],[SBU]])*(Table1[Category]=Table2[[#This Row],[Category]])*(Table1[Most curent]=TRUE),"NF")&gt;0,1,0)</f>
        <v>0</v>
      </c>
      <c r="AK17" cm="1">
        <f t="array" ref="AK17">IF(_xlfn._xlws.FILTER(Table1[Spend - Sams China],(Table1[Execution Year]=Table2[[#This Row],[Execution Year]])*(Table1[SBU]=Table2[[#This Row],[SBU]])*(Table1[Category]=Table2[[#This Row],[Category]])*(Table1[Most curent]=TRUE),"NF")&gt;0,1,0)</f>
        <v>0</v>
      </c>
      <c r="AL17" cm="1">
        <f t="array" ref="AL17">IF(_xlfn._xlws.FILTER(Table1[Spend - IND],(Table1[Execution Year]=Table2[[#This Row],[Execution Year]])*(Table1[SBU]=Table2[[#This Row],[SBU]])*(Table1[Category]=Table2[[#This Row],[Category]])*(Table1[Most curent]=TRUE),"NF")&gt;0,1,0)</f>
        <v>0</v>
      </c>
    </row>
    <row r="18" spans="1:38">
      <c r="A18" t="str">
        <f>Table2[[#This Row],[Execution Year]]&amp;Table2[[#This Row],[SBU]]&amp;Table2[[#This Row],[Category]]</f>
        <v>FY22ConsumablesDTT - Paper</v>
      </c>
      <c r="B18" t="s">
        <v>468</v>
      </c>
      <c r="C18" t="s">
        <v>43</v>
      </c>
      <c r="D18" t="s">
        <v>39</v>
      </c>
      <c r="E18" s="185">
        <v>44228</v>
      </c>
      <c r="F18" s="185">
        <v>44386</v>
      </c>
      <c r="G18" s="185">
        <v>44256</v>
      </c>
      <c r="H18" s="185">
        <v>0</v>
      </c>
      <c r="I18" t="s">
        <v>443</v>
      </c>
      <c r="J18" t="s">
        <v>444</v>
      </c>
      <c r="K18" t="s">
        <v>445</v>
      </c>
      <c r="L18" t="s">
        <v>445</v>
      </c>
      <c r="M18" s="185"/>
      <c r="O18" s="16"/>
      <c r="P18" t="s">
        <v>446</v>
      </c>
      <c r="Q18" t="s">
        <v>450</v>
      </c>
      <c r="S18" t="s">
        <v>448</v>
      </c>
      <c r="V18">
        <f>_xlfn.XLOOKUP(Table2[[#This Row],[Primary Dept Description]],'Lookup tables'!$U$17:$U$117,'Lookup tables'!$T$17:$T$117,"")</f>
        <v>4</v>
      </c>
      <c r="W18" s="15">
        <f>IF(OR(Table2[[#This Row],[Revised Award]]=0,Table2[[#This Row],[Revised Award]]=""),IF(OR(Table2[[#This Row],[Planned Award]]=0,Table2[[#This Row],[Planned Award]]=""),"Not Updated",Table2[[#This Row],[Planned Award]]),Table2[[#This Row],[Revised Award]])</f>
        <v>44386</v>
      </c>
      <c r="X18" t="str">
        <f>_xlfn.XLOOKUP(Table2[[#This Row],[Milestone]],'Lookup tables'!$Y$27:$Y$60,'Lookup tables'!$Z$27:$Z$60,"Not Updated")</f>
        <v>Completed</v>
      </c>
      <c r="Y18" cm="1">
        <f t="array" ref="Y18">IF(_xlfn._xlws.FILTER(Table1[Spend - CAN],(Table1[Execution Year]=Table2[[#This Row],[Execution Year]])*(Table1[SBU]=Table2[[#This Row],[SBU]])*(Table1[Category]=Table2[[#This Row],[Category]])*(Table1[Most curent]=TRUE),"NF")&gt;0,1,0)</f>
        <v>1</v>
      </c>
      <c r="Z18" cm="1">
        <f t="array" ref="Z18">IF(_xlfn._xlws.FILTER(Table1[Spend - MEX],(Table1[Execution Year]=Table2[[#This Row],[Execution Year]])*(Table1[SBU]=Table2[[#This Row],[SBU]])*(Table1[Category]=Table2[[#This Row],[Category]])*(Table1[Most curent]=TRUE),"NF")&gt;0,1,0)</f>
        <v>0</v>
      </c>
      <c r="AA18" cm="1">
        <f t="array" ref="AA18">IF(_xlfn._xlws.FILTER(Table1[Spend - CAM],(Table1[Execution Year]=Table2[[#This Row],[Execution Year]])*(Table1[SBU]=Table2[[#This Row],[SBU]])*(Table1[Category]=Table2[[#This Row],[Category]])*(Table1[Most curent]=TRUE),"NF")&gt;0,1,0)</f>
        <v>0</v>
      </c>
      <c r="AB18" cm="1">
        <f t="array" ref="AB18">IF(_xlfn._xlws.FILTER(Table1[Spend - CHL],(Table1[Execution Year]=Table2[[#This Row],[Execution Year]])*(Table1[SBU]=Table2[[#This Row],[SBU]])*(Table1[Category]=Table2[[#This Row],[Category]])*(Table1[Most curent]=TRUE),"NF")&gt;0,1,0)</f>
        <v>1</v>
      </c>
      <c r="AC18" cm="1">
        <f t="array" ref="AC18">IF(_xlfn._xlws.FILTER(Table1[Spend - ARG],(Table1[Execution Year]=Table2[[#This Row],[Execution Year]])*(Table1[SBU]=Table2[[#This Row],[SBU]])*(Table1[Category]=Table2[[#This Row],[Category]])*(Table1[Most curent]=TRUE),"NF")&gt;0,1,0)</f>
        <v>0</v>
      </c>
      <c r="AD18" cm="1">
        <f t="array" ref="AD18">IF(_xlfn._xlws.FILTER(Table1[Spend - CHN],(Table1[Execution Year]=Table2[[#This Row],[Execution Year]])*(Table1[SBU]=Table2[[#This Row],[SBU]])*(Table1[Category]=Table2[[#This Row],[Category]])*(Table1[Most curent]=TRUE),"NF")&gt;0,1,0)</f>
        <v>0</v>
      </c>
      <c r="AE18" cm="1">
        <f t="array" ref="AE18">IF(_xlfn._xlws.FILTER(Table1[Spend - JAP],(Table1[Execution Year]=Table2[[#This Row],[Execution Year]])*(Table1[SBU]=Table2[[#This Row],[SBU]])*(Table1[Category]=Table2[[#This Row],[Category]])*(Table1[Most curent]=TRUE),"NF")&gt;0,1,0)</f>
        <v>1</v>
      </c>
      <c r="AF18" cm="1">
        <f t="array" ref="AF18">IF(_xlfn._xlws.FILTER(Table1[Spend - UKN],(Table1[Execution Year]=Table2[[#This Row],[Execution Year]])*(Table1[SBU]=Table2[[#This Row],[SBU]])*(Table1[Category]=Table2[[#This Row],[Category]])*(Table1[Most curent]=TRUE),"NF")&gt;0,1,0)</f>
        <v>1</v>
      </c>
      <c r="AG18" cm="1">
        <f t="array" ref="AG18">IF(_xlfn._xlws.FILTER(Table1[Spend - SAF],(Table1[Execution Year]=Table2[[#This Row],[Execution Year]])*(Table1[SBU]=Table2[[#This Row],[SBU]])*(Table1[Category]=Table2[[#This Row],[Category]])*(Table1[Most curent]=TRUE),"NF")&gt;0,1,0)</f>
        <v>0</v>
      </c>
      <c r="AH18" cm="1">
        <f t="array" ref="AH18">IF(_xlfn._xlws.FILTER(Table1[Spend - US],(Table1[Execution Year]=Table2[[#This Row],[Execution Year]])*(Table1[SBU]=Table2[[#This Row],[SBU]])*(Table1[Category]=Table2[[#This Row],[Category]])*(Table1[Most curent]=TRUE),"NF")&gt;0,1,0)</f>
        <v>1</v>
      </c>
      <c r="AI18" cm="1">
        <f t="array" ref="AI18">IF(_xlfn._xlws.FILTER(Table1[Spend - Sams],(Table1[Execution Year]=Table2[[#This Row],[Execution Year]])*(Table1[SBU]=Table2[[#This Row],[SBU]])*(Table1[Category]=Table2[[#This Row],[Category]])*(Table1[Most curent]=TRUE),"NF")&gt;0,1,0)</f>
        <v>1</v>
      </c>
      <c r="AJ18" cm="1">
        <f t="array" ref="AJ18">IF(_xlfn._xlws.FILTER(Table1[Spend - Sams Mexico],(Table1[Execution Year]=Table2[[#This Row],[Execution Year]])*(Table1[SBU]=Table2[[#This Row],[SBU]])*(Table1[Category]=Table2[[#This Row],[Category]])*(Table1[Most curent]=TRUE),"NF")&gt;0,1,0)</f>
        <v>0</v>
      </c>
      <c r="AK18" cm="1">
        <f t="array" ref="AK18">IF(_xlfn._xlws.FILTER(Table1[Spend - Sams China],(Table1[Execution Year]=Table2[[#This Row],[Execution Year]])*(Table1[SBU]=Table2[[#This Row],[SBU]])*(Table1[Category]=Table2[[#This Row],[Category]])*(Table1[Most curent]=TRUE),"NF")&gt;0,1,0)</f>
        <v>0</v>
      </c>
      <c r="AL18" cm="1">
        <f t="array" ref="AL18">IF(_xlfn._xlws.FILTER(Table1[Spend - IND],(Table1[Execution Year]=Table2[[#This Row],[Execution Year]])*(Table1[SBU]=Table2[[#This Row],[SBU]])*(Table1[Category]=Table2[[#This Row],[Category]])*(Table1[Most curent]=TRUE),"NF")&gt;0,1,0)</f>
        <v>0</v>
      </c>
    </row>
    <row r="19" spans="1:38">
      <c r="A19" t="str">
        <f>Table2[[#This Row],[Execution Year]]&amp;Table2[[#This Row],[SBU]]&amp;Table2[[#This Row],[Category]]</f>
        <v>FY22ConsumablesDish &amp; Laundry (liquids/powder/pods)</v>
      </c>
      <c r="B19" t="s">
        <v>111</v>
      </c>
      <c r="C19" t="s">
        <v>43</v>
      </c>
      <c r="D19" t="s">
        <v>39</v>
      </c>
      <c r="E19" s="185">
        <v>44348</v>
      </c>
      <c r="F19" s="185">
        <v>44501</v>
      </c>
      <c r="G19" s="185">
        <v>0</v>
      </c>
      <c r="H19" s="185">
        <v>0</v>
      </c>
      <c r="I19" t="s">
        <v>443</v>
      </c>
      <c r="J19" t="s">
        <v>444</v>
      </c>
      <c r="K19" t="s">
        <v>445</v>
      </c>
      <c r="L19">
        <v>0</v>
      </c>
      <c r="M19" s="185"/>
      <c r="O19" s="16"/>
      <c r="P19" t="s">
        <v>446</v>
      </c>
      <c r="Q19" t="s">
        <v>447</v>
      </c>
      <c r="S19" t="s">
        <v>451</v>
      </c>
      <c r="V19">
        <f>_xlfn.XLOOKUP(Table2[[#This Row],[Primary Dept Description]],'Lookup tables'!$U$17:$U$117,'Lookup tables'!$T$17:$T$117,"")</f>
        <v>13</v>
      </c>
      <c r="W19" s="15">
        <f>IF(OR(Table2[[#This Row],[Revised Award]]=0,Table2[[#This Row],[Revised Award]]=""),IF(OR(Table2[[#This Row],[Planned Award]]=0,Table2[[#This Row],[Planned Award]]=""),"Not Updated",Table2[[#This Row],[Planned Award]]),Table2[[#This Row],[Revised Award]])</f>
        <v>44501</v>
      </c>
      <c r="X19" t="str">
        <f>_xlfn.XLOOKUP(Table2[[#This Row],[Milestone]],'Lookup tables'!$Y$27:$Y$60,'Lookup tables'!$Z$27:$Z$60,"Not Updated")</f>
        <v>Completed</v>
      </c>
      <c r="Y19" cm="1">
        <f t="array" ref="Y19">IF(_xlfn._xlws.FILTER(Table1[Spend - CAN],(Table1[Execution Year]=Table2[[#This Row],[Execution Year]])*(Table1[SBU]=Table2[[#This Row],[SBU]])*(Table1[Category]=Table2[[#This Row],[Category]])*(Table1[Most curent]=TRUE),"NF")&gt;0,1,0)</f>
        <v>1</v>
      </c>
      <c r="Z19" cm="1">
        <f t="array" ref="Z19">IF(_xlfn._xlws.FILTER(Table1[Spend - MEX],(Table1[Execution Year]=Table2[[#This Row],[Execution Year]])*(Table1[SBU]=Table2[[#This Row],[SBU]])*(Table1[Category]=Table2[[#This Row],[Category]])*(Table1[Most curent]=TRUE),"NF")&gt;0,1,0)</f>
        <v>1</v>
      </c>
      <c r="AA19" cm="1">
        <f t="array" ref="AA19">IF(_xlfn._xlws.FILTER(Table1[Spend - CAM],(Table1[Execution Year]=Table2[[#This Row],[Execution Year]])*(Table1[SBU]=Table2[[#This Row],[SBU]])*(Table1[Category]=Table2[[#This Row],[Category]])*(Table1[Most curent]=TRUE),"NF")&gt;0,1,0)</f>
        <v>1</v>
      </c>
      <c r="AB19" cm="1">
        <f t="array" ref="AB19">IF(_xlfn._xlws.FILTER(Table1[Spend - CHL],(Table1[Execution Year]=Table2[[#This Row],[Execution Year]])*(Table1[SBU]=Table2[[#This Row],[SBU]])*(Table1[Category]=Table2[[#This Row],[Category]])*(Table1[Most curent]=TRUE),"NF")&gt;0,1,0)</f>
        <v>1</v>
      </c>
      <c r="AC19" cm="1">
        <f t="array" ref="AC19">IF(_xlfn._xlws.FILTER(Table1[Spend - ARG],(Table1[Execution Year]=Table2[[#This Row],[Execution Year]])*(Table1[SBU]=Table2[[#This Row],[SBU]])*(Table1[Category]=Table2[[#This Row],[Category]])*(Table1[Most curent]=TRUE),"NF")&gt;0,1,0)</f>
        <v>0</v>
      </c>
      <c r="AD19" cm="1">
        <f t="array" ref="AD19">IF(_xlfn._xlws.FILTER(Table1[Spend - CHN],(Table1[Execution Year]=Table2[[#This Row],[Execution Year]])*(Table1[SBU]=Table2[[#This Row],[SBU]])*(Table1[Category]=Table2[[#This Row],[Category]])*(Table1[Most curent]=TRUE),"NF")&gt;0,1,0)</f>
        <v>0</v>
      </c>
      <c r="AE19" cm="1">
        <f t="array" ref="AE19">IF(_xlfn._xlws.FILTER(Table1[Spend - JAP],(Table1[Execution Year]=Table2[[#This Row],[Execution Year]])*(Table1[SBU]=Table2[[#This Row],[SBU]])*(Table1[Category]=Table2[[#This Row],[Category]])*(Table1[Most curent]=TRUE),"NF")&gt;0,1,0)</f>
        <v>0</v>
      </c>
      <c r="AF19" cm="1">
        <f t="array" ref="AF19">IF(_xlfn._xlws.FILTER(Table1[Spend - UKN],(Table1[Execution Year]=Table2[[#This Row],[Execution Year]])*(Table1[SBU]=Table2[[#This Row],[SBU]])*(Table1[Category]=Table2[[#This Row],[Category]])*(Table1[Most curent]=TRUE),"NF")&gt;0,1,0)</f>
        <v>0</v>
      </c>
      <c r="AG19" cm="1">
        <f t="array" ref="AG19">IF(_xlfn._xlws.FILTER(Table1[Spend - SAF],(Table1[Execution Year]=Table2[[#This Row],[Execution Year]])*(Table1[SBU]=Table2[[#This Row],[SBU]])*(Table1[Category]=Table2[[#This Row],[Category]])*(Table1[Most curent]=TRUE),"NF")&gt;0,1,0)</f>
        <v>0</v>
      </c>
      <c r="AH19" cm="1">
        <f t="array" ref="AH19">IF(_xlfn._xlws.FILTER(Table1[Spend - US],(Table1[Execution Year]=Table2[[#This Row],[Execution Year]])*(Table1[SBU]=Table2[[#This Row],[SBU]])*(Table1[Category]=Table2[[#This Row],[Category]])*(Table1[Most curent]=TRUE),"NF")&gt;0,1,0)</f>
        <v>1</v>
      </c>
      <c r="AI19" cm="1">
        <f t="array" ref="AI19">IF(_xlfn._xlws.FILTER(Table1[Spend - Sams],(Table1[Execution Year]=Table2[[#This Row],[Execution Year]])*(Table1[SBU]=Table2[[#This Row],[SBU]])*(Table1[Category]=Table2[[#This Row],[Category]])*(Table1[Most curent]=TRUE),"NF")&gt;0,1,0)</f>
        <v>0</v>
      </c>
      <c r="AJ19" cm="1">
        <f t="array" ref="AJ19">IF(_xlfn._xlws.FILTER(Table1[Spend - Sams Mexico],(Table1[Execution Year]=Table2[[#This Row],[Execution Year]])*(Table1[SBU]=Table2[[#This Row],[SBU]])*(Table1[Category]=Table2[[#This Row],[Category]])*(Table1[Most curent]=TRUE),"NF")&gt;0,1,0)</f>
        <v>0</v>
      </c>
      <c r="AK19" cm="1">
        <f t="array" ref="AK19">IF(_xlfn._xlws.FILTER(Table1[Spend - Sams China],(Table1[Execution Year]=Table2[[#This Row],[Execution Year]])*(Table1[SBU]=Table2[[#This Row],[SBU]])*(Table1[Category]=Table2[[#This Row],[Category]])*(Table1[Most curent]=TRUE),"NF")&gt;0,1,0)</f>
        <v>0</v>
      </c>
      <c r="AL19" cm="1">
        <f t="array" ref="AL19">IF(_xlfn._xlws.FILTER(Table1[Spend - IND],(Table1[Execution Year]=Table2[[#This Row],[Execution Year]])*(Table1[SBU]=Table2[[#This Row],[SBU]])*(Table1[Category]=Table2[[#This Row],[Category]])*(Table1[Most curent]=TRUE),"NF")&gt;0,1,0)</f>
        <v>0</v>
      </c>
    </row>
    <row r="20" spans="1:38">
      <c r="A20" t="str">
        <f>Table2[[#This Row],[Execution Year]]&amp;Table2[[#This Row],[SBU]]&amp;Table2[[#This Row],[Category]]</f>
        <v>FY22ConsumablesWipes</v>
      </c>
      <c r="B20" t="s">
        <v>90</v>
      </c>
      <c r="C20" t="s">
        <v>43</v>
      </c>
      <c r="D20" t="s">
        <v>39</v>
      </c>
      <c r="E20" s="185">
        <v>43952</v>
      </c>
      <c r="F20" s="185">
        <v>44285</v>
      </c>
      <c r="G20" s="185">
        <v>44054</v>
      </c>
      <c r="H20" s="185">
        <v>44344</v>
      </c>
      <c r="I20" t="s">
        <v>443</v>
      </c>
      <c r="J20" t="s">
        <v>444</v>
      </c>
      <c r="K20" t="s">
        <v>469</v>
      </c>
      <c r="L20" t="s">
        <v>469</v>
      </c>
      <c r="M20" s="185"/>
      <c r="O20" s="16"/>
      <c r="P20" t="s">
        <v>446</v>
      </c>
      <c r="Q20" t="s">
        <v>464</v>
      </c>
      <c r="S20" t="s">
        <v>448</v>
      </c>
      <c r="V20">
        <f>_xlfn.XLOOKUP(Table2[[#This Row],[Primary Dept Description]],'Lookup tables'!$U$17:$U$117,'Lookup tables'!$T$17:$T$117,"")</f>
        <v>79</v>
      </c>
      <c r="W20" s="15">
        <f>IF(OR(Table2[[#This Row],[Revised Award]]=0,Table2[[#This Row],[Revised Award]]=""),IF(OR(Table2[[#This Row],[Planned Award]]=0,Table2[[#This Row],[Planned Award]]=""),"Not Updated",Table2[[#This Row],[Planned Award]]),Table2[[#This Row],[Revised Award]])</f>
        <v>44344</v>
      </c>
      <c r="X20" t="str">
        <f>_xlfn.XLOOKUP(Table2[[#This Row],[Milestone]],'Lookup tables'!$Y$27:$Y$60,'Lookup tables'!$Z$27:$Z$60,"Not Updated")</f>
        <v>Completed</v>
      </c>
      <c r="Y20" cm="1">
        <f t="array" ref="Y20">IF(_xlfn._xlws.FILTER(Table1[Spend - CAN],(Table1[Execution Year]=Table2[[#This Row],[Execution Year]])*(Table1[SBU]=Table2[[#This Row],[SBU]])*(Table1[Category]=Table2[[#This Row],[Category]])*(Table1[Most curent]=TRUE),"NF")&gt;0,1,0)</f>
        <v>1</v>
      </c>
      <c r="Z20" cm="1">
        <f t="array" ref="Z20">IF(_xlfn._xlws.FILTER(Table1[Spend - MEX],(Table1[Execution Year]=Table2[[#This Row],[Execution Year]])*(Table1[SBU]=Table2[[#This Row],[SBU]])*(Table1[Category]=Table2[[#This Row],[Category]])*(Table1[Most curent]=TRUE),"NF")&gt;0,1,0)</f>
        <v>1</v>
      </c>
      <c r="AA20" cm="1">
        <f t="array" ref="AA20">IF(_xlfn._xlws.FILTER(Table1[Spend - CAM],(Table1[Execution Year]=Table2[[#This Row],[Execution Year]])*(Table1[SBU]=Table2[[#This Row],[SBU]])*(Table1[Category]=Table2[[#This Row],[Category]])*(Table1[Most curent]=TRUE),"NF")&gt;0,1,0)</f>
        <v>1</v>
      </c>
      <c r="AB20" cm="1">
        <f t="array" ref="AB20">IF(_xlfn._xlws.FILTER(Table1[Spend - CHL],(Table1[Execution Year]=Table2[[#This Row],[Execution Year]])*(Table1[SBU]=Table2[[#This Row],[SBU]])*(Table1[Category]=Table2[[#This Row],[Category]])*(Table1[Most curent]=TRUE),"NF")&gt;0,1,0)</f>
        <v>1</v>
      </c>
      <c r="AC20" cm="1">
        <f t="array" ref="AC20">IF(_xlfn._xlws.FILTER(Table1[Spend - ARG],(Table1[Execution Year]=Table2[[#This Row],[Execution Year]])*(Table1[SBU]=Table2[[#This Row],[SBU]])*(Table1[Category]=Table2[[#This Row],[Category]])*(Table1[Most curent]=TRUE),"NF")&gt;0,1,0)</f>
        <v>1</v>
      </c>
      <c r="AD20" cm="1">
        <f t="array" ref="AD20">IF(_xlfn._xlws.FILTER(Table1[Spend - CHN],(Table1[Execution Year]=Table2[[#This Row],[Execution Year]])*(Table1[SBU]=Table2[[#This Row],[SBU]])*(Table1[Category]=Table2[[#This Row],[Category]])*(Table1[Most curent]=TRUE),"NF")&gt;0,1,0)</f>
        <v>1</v>
      </c>
      <c r="AE20" cm="1">
        <f t="array" ref="AE20">IF(_xlfn._xlws.FILTER(Table1[Spend - JAP],(Table1[Execution Year]=Table2[[#This Row],[Execution Year]])*(Table1[SBU]=Table2[[#This Row],[SBU]])*(Table1[Category]=Table2[[#This Row],[Category]])*(Table1[Most curent]=TRUE),"NF")&gt;0,1,0)</f>
        <v>1</v>
      </c>
      <c r="AF20" cm="1">
        <f t="array" ref="AF20">IF(_xlfn._xlws.FILTER(Table1[Spend - UKN],(Table1[Execution Year]=Table2[[#This Row],[Execution Year]])*(Table1[SBU]=Table2[[#This Row],[SBU]])*(Table1[Category]=Table2[[#This Row],[Category]])*(Table1[Most curent]=TRUE),"NF")&gt;0,1,0)</f>
        <v>0</v>
      </c>
      <c r="AG20" cm="1">
        <f t="array" ref="AG20">IF(_xlfn._xlws.FILTER(Table1[Spend - SAF],(Table1[Execution Year]=Table2[[#This Row],[Execution Year]])*(Table1[SBU]=Table2[[#This Row],[SBU]])*(Table1[Category]=Table2[[#This Row],[Category]])*(Table1[Most curent]=TRUE),"NF")&gt;0,1,0)</f>
        <v>0</v>
      </c>
      <c r="AH20" cm="1">
        <f t="array" ref="AH20">IF(_xlfn._xlws.FILTER(Table1[Spend - US],(Table1[Execution Year]=Table2[[#This Row],[Execution Year]])*(Table1[SBU]=Table2[[#This Row],[SBU]])*(Table1[Category]=Table2[[#This Row],[Category]])*(Table1[Most curent]=TRUE),"NF")&gt;0,1,0)</f>
        <v>0</v>
      </c>
      <c r="AI20" cm="1">
        <f t="array" ref="AI20">IF(_xlfn._xlws.FILTER(Table1[Spend - Sams],(Table1[Execution Year]=Table2[[#This Row],[Execution Year]])*(Table1[SBU]=Table2[[#This Row],[SBU]])*(Table1[Category]=Table2[[#This Row],[Category]])*(Table1[Most curent]=TRUE),"NF")&gt;0,1,0)</f>
        <v>0</v>
      </c>
      <c r="AJ20" cm="1">
        <f t="array" ref="AJ20">IF(_xlfn._xlws.FILTER(Table1[Spend - Sams Mexico],(Table1[Execution Year]=Table2[[#This Row],[Execution Year]])*(Table1[SBU]=Table2[[#This Row],[SBU]])*(Table1[Category]=Table2[[#This Row],[Category]])*(Table1[Most curent]=TRUE),"NF")&gt;0,1,0)</f>
        <v>0</v>
      </c>
      <c r="AK20" cm="1">
        <f t="array" ref="AK20">IF(_xlfn._xlws.FILTER(Table1[Spend - Sams China],(Table1[Execution Year]=Table2[[#This Row],[Execution Year]])*(Table1[SBU]=Table2[[#This Row],[SBU]])*(Table1[Category]=Table2[[#This Row],[Category]])*(Table1[Most curent]=TRUE),"NF")&gt;0,1,0)</f>
        <v>0</v>
      </c>
      <c r="AL20" cm="1">
        <f t="array" ref="AL20">IF(_xlfn._xlws.FILTER(Table1[Spend - IND],(Table1[Execution Year]=Table2[[#This Row],[Execution Year]])*(Table1[SBU]=Table2[[#This Row],[SBU]])*(Table1[Category]=Table2[[#This Row],[Category]])*(Table1[Most curent]=TRUE),"NF")&gt;0,1,0)</f>
        <v>0</v>
      </c>
    </row>
    <row r="21" spans="1:38">
      <c r="A21" t="str">
        <f>Table2[[#This Row],[Execution Year]]&amp;Table2[[#This Row],[SBU]]&amp;Table2[[#This Row],[Category]]</f>
        <v>FY22ConsumablesFood &amp; Trash bags (GEP)</v>
      </c>
      <c r="B21" t="s">
        <v>79</v>
      </c>
      <c r="C21" t="s">
        <v>43</v>
      </c>
      <c r="D21" t="s">
        <v>39</v>
      </c>
      <c r="E21" s="185">
        <v>44216</v>
      </c>
      <c r="F21" s="185">
        <v>44270</v>
      </c>
      <c r="G21" s="185">
        <v>44216</v>
      </c>
      <c r="H21" s="185">
        <v>44344</v>
      </c>
      <c r="I21" t="s">
        <v>443</v>
      </c>
      <c r="J21" t="s">
        <v>444</v>
      </c>
      <c r="K21" t="s">
        <v>445</v>
      </c>
      <c r="L21">
        <v>0</v>
      </c>
      <c r="M21" s="185">
        <v>44553</v>
      </c>
      <c r="N21" t="s">
        <v>34</v>
      </c>
      <c r="O21" s="16">
        <v>44580.859078125002</v>
      </c>
      <c r="P21" t="s">
        <v>446</v>
      </c>
      <c r="Q21" t="s">
        <v>450</v>
      </c>
      <c r="S21" t="s">
        <v>451</v>
      </c>
      <c r="V21">
        <f>_xlfn.XLOOKUP(Table2[[#This Row],[Primary Dept Description]],'Lookup tables'!$U$17:$U$117,'Lookup tables'!$T$17:$T$117,"")</f>
        <v>4</v>
      </c>
      <c r="W21" s="15">
        <f>IF(OR(Table2[[#This Row],[Revised Award]]=0,Table2[[#This Row],[Revised Award]]=""),IF(OR(Table2[[#This Row],[Planned Award]]=0,Table2[[#This Row],[Planned Award]]=""),"Not Updated",Table2[[#This Row],[Planned Award]]),Table2[[#This Row],[Revised Award]])</f>
        <v>44344</v>
      </c>
      <c r="X21" t="str">
        <f>_xlfn.XLOOKUP(Table2[[#This Row],[Milestone]],'Lookup tables'!$Y$27:$Y$60,'Lookup tables'!$Z$27:$Z$60,"Not Updated")</f>
        <v>Completed</v>
      </c>
      <c r="Y21" cm="1">
        <f t="array" ref="Y21">IF(_xlfn._xlws.FILTER(Table1[Spend - CAN],(Table1[Execution Year]=Table2[[#This Row],[Execution Year]])*(Table1[SBU]=Table2[[#This Row],[SBU]])*(Table1[Category]=Table2[[#This Row],[Category]])*(Table1[Most curent]=TRUE),"NF")&gt;0,1,0)</f>
        <v>1</v>
      </c>
      <c r="Z21" cm="1">
        <f t="array" ref="Z21">IF(_xlfn._xlws.FILTER(Table1[Spend - MEX],(Table1[Execution Year]=Table2[[#This Row],[Execution Year]])*(Table1[SBU]=Table2[[#This Row],[SBU]])*(Table1[Category]=Table2[[#This Row],[Category]])*(Table1[Most curent]=TRUE),"NF")&gt;0,1,0)</f>
        <v>1</v>
      </c>
      <c r="AA21" cm="1">
        <f t="array" ref="AA21">IF(_xlfn._xlws.FILTER(Table1[Spend - CAM],(Table1[Execution Year]=Table2[[#This Row],[Execution Year]])*(Table1[SBU]=Table2[[#This Row],[SBU]])*(Table1[Category]=Table2[[#This Row],[Category]])*(Table1[Most curent]=TRUE),"NF")&gt;0,1,0)</f>
        <v>1</v>
      </c>
      <c r="AB21" cm="1">
        <f t="array" ref="AB21">IF(_xlfn._xlws.FILTER(Table1[Spend - CHL],(Table1[Execution Year]=Table2[[#This Row],[Execution Year]])*(Table1[SBU]=Table2[[#This Row],[SBU]])*(Table1[Category]=Table2[[#This Row],[Category]])*(Table1[Most curent]=TRUE),"NF")&gt;0,1,0)</f>
        <v>1</v>
      </c>
      <c r="AC21" cm="1">
        <f t="array" ref="AC21">IF(_xlfn._xlws.FILTER(Table1[Spend - ARG],(Table1[Execution Year]=Table2[[#This Row],[Execution Year]])*(Table1[SBU]=Table2[[#This Row],[SBU]])*(Table1[Category]=Table2[[#This Row],[Category]])*(Table1[Most curent]=TRUE),"NF")&gt;0,1,0)</f>
        <v>0</v>
      </c>
      <c r="AD21" cm="1">
        <f t="array" ref="AD21">IF(_xlfn._xlws.FILTER(Table1[Spend - CHN],(Table1[Execution Year]=Table2[[#This Row],[Execution Year]])*(Table1[SBU]=Table2[[#This Row],[SBU]])*(Table1[Category]=Table2[[#This Row],[Category]])*(Table1[Most curent]=TRUE),"NF")&gt;0,1,0)</f>
        <v>1</v>
      </c>
      <c r="AE21" cm="1">
        <f t="array" ref="AE21">IF(_xlfn._xlws.FILTER(Table1[Spend - JAP],(Table1[Execution Year]=Table2[[#This Row],[Execution Year]])*(Table1[SBU]=Table2[[#This Row],[SBU]])*(Table1[Category]=Table2[[#This Row],[Category]])*(Table1[Most curent]=TRUE),"NF")&gt;0,1,0)</f>
        <v>1</v>
      </c>
      <c r="AF21" cm="1">
        <f t="array" ref="AF21">IF(_xlfn._xlws.FILTER(Table1[Spend - UKN],(Table1[Execution Year]=Table2[[#This Row],[Execution Year]])*(Table1[SBU]=Table2[[#This Row],[SBU]])*(Table1[Category]=Table2[[#This Row],[Category]])*(Table1[Most curent]=TRUE),"NF")&gt;0,1,0)</f>
        <v>0</v>
      </c>
      <c r="AG21" cm="1">
        <f t="array" ref="AG21">IF(_xlfn._xlws.FILTER(Table1[Spend - SAF],(Table1[Execution Year]=Table2[[#This Row],[Execution Year]])*(Table1[SBU]=Table2[[#This Row],[SBU]])*(Table1[Category]=Table2[[#This Row],[Category]])*(Table1[Most curent]=TRUE),"NF")&gt;0,1,0)</f>
        <v>1</v>
      </c>
      <c r="AH21" cm="1">
        <f t="array" ref="AH21">IF(_xlfn._xlws.FILTER(Table1[Spend - US],(Table1[Execution Year]=Table2[[#This Row],[Execution Year]])*(Table1[SBU]=Table2[[#This Row],[SBU]])*(Table1[Category]=Table2[[#This Row],[Category]])*(Table1[Most curent]=TRUE),"NF")&gt;0,1,0)</f>
        <v>1</v>
      </c>
      <c r="AI21" cm="1">
        <f t="array" ref="AI21">IF(_xlfn._xlws.FILTER(Table1[Spend - Sams],(Table1[Execution Year]=Table2[[#This Row],[Execution Year]])*(Table1[SBU]=Table2[[#This Row],[SBU]])*(Table1[Category]=Table2[[#This Row],[Category]])*(Table1[Most curent]=TRUE),"NF")&gt;0,1,0)</f>
        <v>0</v>
      </c>
      <c r="AJ21" cm="1">
        <f t="array" ref="AJ21">IF(_xlfn._xlws.FILTER(Table1[Spend - Sams Mexico],(Table1[Execution Year]=Table2[[#This Row],[Execution Year]])*(Table1[SBU]=Table2[[#This Row],[SBU]])*(Table1[Category]=Table2[[#This Row],[Category]])*(Table1[Most curent]=TRUE),"NF")&gt;0,1,0)</f>
        <v>0</v>
      </c>
      <c r="AK21" cm="1">
        <f t="array" ref="AK21">IF(_xlfn._xlws.FILTER(Table1[Spend - Sams China],(Table1[Execution Year]=Table2[[#This Row],[Execution Year]])*(Table1[SBU]=Table2[[#This Row],[SBU]])*(Table1[Category]=Table2[[#This Row],[Category]])*(Table1[Most curent]=TRUE),"NF")&gt;0,1,0)</f>
        <v>0</v>
      </c>
      <c r="AL21" cm="1">
        <f t="array" ref="AL21">IF(_xlfn._xlws.FILTER(Table1[Spend - IND],(Table1[Execution Year]=Table2[[#This Row],[Execution Year]])*(Table1[SBU]=Table2[[#This Row],[SBU]])*(Table1[Category]=Table2[[#This Row],[Category]])*(Table1[Most curent]=TRUE),"NF")&gt;0,1,0)</f>
        <v>0</v>
      </c>
    </row>
    <row r="22" spans="1:38">
      <c r="A22" t="str">
        <f>Table2[[#This Row],[Execution Year]]&amp;Table2[[#This Row],[SBU]]&amp;Table2[[#This Row],[Category]]</f>
        <v>FY22ConsumablesLiquid Handsoap &amp; Bodywash</v>
      </c>
      <c r="B22" t="s">
        <v>112</v>
      </c>
      <c r="C22" t="s">
        <v>43</v>
      </c>
      <c r="D22" t="s">
        <v>39</v>
      </c>
      <c r="E22" s="185">
        <v>44409</v>
      </c>
      <c r="F22" s="185">
        <v>44742</v>
      </c>
      <c r="G22" s="185">
        <v>0</v>
      </c>
      <c r="H22" s="185">
        <v>0</v>
      </c>
      <c r="I22" t="s">
        <v>463</v>
      </c>
      <c r="J22" t="s">
        <v>459</v>
      </c>
      <c r="K22" t="s">
        <v>445</v>
      </c>
      <c r="L22">
        <v>0</v>
      </c>
      <c r="M22">
        <v>44802</v>
      </c>
      <c r="N22" t="s">
        <v>78</v>
      </c>
      <c r="O22" s="16">
        <v>44714.410514699077</v>
      </c>
      <c r="P22" t="s">
        <v>446</v>
      </c>
      <c r="Q22" t="s">
        <v>453</v>
      </c>
      <c r="R22" t="s">
        <v>353</v>
      </c>
      <c r="S22" t="s">
        <v>448</v>
      </c>
      <c r="T22" t="s">
        <v>415</v>
      </c>
      <c r="U22">
        <v>0</v>
      </c>
      <c r="V22">
        <f>_xlfn.XLOOKUP(Table2[[#This Row],[Primary Dept Description]],'Lookup tables'!$U$17:$U$117,'Lookup tables'!$T$17:$T$117,"")</f>
        <v>2</v>
      </c>
      <c r="W22" s="15">
        <f>IF(OR(Table2[[#This Row],[Revised Award]]=0,Table2[[#This Row],[Revised Award]]=""),IF(OR(Table2[[#This Row],[Planned Award]]=0,Table2[[#This Row],[Planned Award]]=""),"Not Updated",Table2[[#This Row],[Planned Award]]),Table2[[#This Row],[Revised Award]])</f>
        <v>44742</v>
      </c>
      <c r="X22" t="str">
        <f>_xlfn.XLOOKUP(Table2[[#This Row],[Milestone]],'Lookup tables'!$Y$27:$Y$60,'Lookup tables'!$Z$27:$Z$60,"Not Updated")</f>
        <v>Pending PB/Merch Approval</v>
      </c>
      <c r="Y22" cm="1">
        <f t="array" ref="Y22">IF(_xlfn._xlws.FILTER(Table1[Spend - CAN],(Table1[Execution Year]=Table2[[#This Row],[Execution Year]])*(Table1[SBU]=Table2[[#This Row],[SBU]])*(Table1[Category]=Table2[[#This Row],[Category]])*(Table1[Most curent]=TRUE),"NF")&gt;0,1,0)</f>
        <v>0</v>
      </c>
      <c r="Z22" cm="1">
        <f t="array" ref="Z22">IF(_xlfn._xlws.FILTER(Table1[Spend - MEX],(Table1[Execution Year]=Table2[[#This Row],[Execution Year]])*(Table1[SBU]=Table2[[#This Row],[SBU]])*(Table1[Category]=Table2[[#This Row],[Category]])*(Table1[Most curent]=TRUE),"NF")&gt;0,1,0)</f>
        <v>1</v>
      </c>
      <c r="AA22" cm="1">
        <f t="array" ref="AA22">IF(_xlfn._xlws.FILTER(Table1[Spend - CAM],(Table1[Execution Year]=Table2[[#This Row],[Execution Year]])*(Table1[SBU]=Table2[[#This Row],[SBU]])*(Table1[Category]=Table2[[#This Row],[Category]])*(Table1[Most curent]=TRUE),"NF")&gt;0,1,0)</f>
        <v>1</v>
      </c>
      <c r="AB22" cm="1">
        <f t="array" ref="AB22">IF(_xlfn._xlws.FILTER(Table1[Spend - CHL],(Table1[Execution Year]=Table2[[#This Row],[Execution Year]])*(Table1[SBU]=Table2[[#This Row],[SBU]])*(Table1[Category]=Table2[[#This Row],[Category]])*(Table1[Most curent]=TRUE),"NF")&gt;0,1,0)</f>
        <v>1</v>
      </c>
      <c r="AC22" cm="1">
        <f t="array" ref="AC22">IF(_xlfn._xlws.FILTER(Table1[Spend - ARG],(Table1[Execution Year]=Table2[[#This Row],[Execution Year]])*(Table1[SBU]=Table2[[#This Row],[SBU]])*(Table1[Category]=Table2[[#This Row],[Category]])*(Table1[Most curent]=TRUE),"NF")&gt;0,1,0)</f>
        <v>0</v>
      </c>
      <c r="AD22" cm="1">
        <f t="array" ref="AD22">IF(_xlfn._xlws.FILTER(Table1[Spend - CHN],(Table1[Execution Year]=Table2[[#This Row],[Execution Year]])*(Table1[SBU]=Table2[[#This Row],[SBU]])*(Table1[Category]=Table2[[#This Row],[Category]])*(Table1[Most curent]=TRUE),"NF")&gt;0,1,0)</f>
        <v>0</v>
      </c>
      <c r="AE22" cm="1">
        <f t="array" ref="AE22">IF(_xlfn._xlws.FILTER(Table1[Spend - JAP],(Table1[Execution Year]=Table2[[#This Row],[Execution Year]])*(Table1[SBU]=Table2[[#This Row],[SBU]])*(Table1[Category]=Table2[[#This Row],[Category]])*(Table1[Most curent]=TRUE),"NF")&gt;0,1,0)</f>
        <v>0</v>
      </c>
      <c r="AF22" cm="1">
        <f t="array" ref="AF22">IF(_xlfn._xlws.FILTER(Table1[Spend - UKN],(Table1[Execution Year]=Table2[[#This Row],[Execution Year]])*(Table1[SBU]=Table2[[#This Row],[SBU]])*(Table1[Category]=Table2[[#This Row],[Category]])*(Table1[Most curent]=TRUE),"NF")&gt;0,1,0)</f>
        <v>0</v>
      </c>
      <c r="AG22" cm="1">
        <f t="array" ref="AG22">IF(_xlfn._xlws.FILTER(Table1[Spend - SAF],(Table1[Execution Year]=Table2[[#This Row],[Execution Year]])*(Table1[SBU]=Table2[[#This Row],[SBU]])*(Table1[Category]=Table2[[#This Row],[Category]])*(Table1[Most curent]=TRUE),"NF")&gt;0,1,0)</f>
        <v>0</v>
      </c>
      <c r="AH22" cm="1">
        <f t="array" ref="AH22">IF(_xlfn._xlws.FILTER(Table1[Spend - US],(Table1[Execution Year]=Table2[[#This Row],[Execution Year]])*(Table1[SBU]=Table2[[#This Row],[SBU]])*(Table1[Category]=Table2[[#This Row],[Category]])*(Table1[Most curent]=TRUE),"NF")&gt;0,1,0)</f>
        <v>1</v>
      </c>
      <c r="AI22" cm="1">
        <f t="array" ref="AI22">IF(_xlfn._xlws.FILTER(Table1[Spend - Sams],(Table1[Execution Year]=Table2[[#This Row],[Execution Year]])*(Table1[SBU]=Table2[[#This Row],[SBU]])*(Table1[Category]=Table2[[#This Row],[Category]])*(Table1[Most curent]=TRUE),"NF")&gt;0,1,0)</f>
        <v>1</v>
      </c>
      <c r="AJ22" cm="1">
        <f t="array" ref="AJ22">IF(_xlfn._xlws.FILTER(Table1[Spend - Sams Mexico],(Table1[Execution Year]=Table2[[#This Row],[Execution Year]])*(Table1[SBU]=Table2[[#This Row],[SBU]])*(Table1[Category]=Table2[[#This Row],[Category]])*(Table1[Most curent]=TRUE),"NF")&gt;0,1,0)</f>
        <v>1</v>
      </c>
      <c r="AK22" cm="1">
        <f t="array" ref="AK22">IF(_xlfn._xlws.FILTER(Table1[Spend - Sams China],(Table1[Execution Year]=Table2[[#This Row],[Execution Year]])*(Table1[SBU]=Table2[[#This Row],[SBU]])*(Table1[Category]=Table2[[#This Row],[Category]])*(Table1[Most curent]=TRUE),"NF")&gt;0,1,0)</f>
        <v>0</v>
      </c>
      <c r="AL22" cm="1">
        <f t="array" ref="AL22">IF(_xlfn._xlws.FILTER(Table1[Spend - IND],(Table1[Execution Year]=Table2[[#This Row],[Execution Year]])*(Table1[SBU]=Table2[[#This Row],[SBU]])*(Table1[Category]=Table2[[#This Row],[Category]])*(Table1[Most curent]=TRUE),"NF")&gt;0,1,0)</f>
        <v>0</v>
      </c>
    </row>
    <row r="23" spans="1:38">
      <c r="A23" t="str">
        <f>Table2[[#This Row],[Execution Year]]&amp;Table2[[#This Row],[SBU]]&amp;Table2[[#This Row],[Category]]</f>
        <v>FY22ConsumablesCat Litter</v>
      </c>
      <c r="B23" t="s">
        <v>87</v>
      </c>
      <c r="C23" t="s">
        <v>43</v>
      </c>
      <c r="D23" t="s">
        <v>39</v>
      </c>
      <c r="E23" s="185">
        <v>44378</v>
      </c>
      <c r="F23" s="185">
        <v>44652</v>
      </c>
      <c r="G23" s="185">
        <v>0</v>
      </c>
      <c r="H23" s="185">
        <v>0</v>
      </c>
      <c r="I23" t="s">
        <v>470</v>
      </c>
      <c r="J23" t="s">
        <v>444</v>
      </c>
      <c r="K23" t="s">
        <v>471</v>
      </c>
      <c r="L23">
        <v>0</v>
      </c>
      <c r="M23">
        <v>44712</v>
      </c>
      <c r="N23" t="s">
        <v>78</v>
      </c>
      <c r="O23" s="16">
        <v>44714.418763194444</v>
      </c>
      <c r="P23" t="s">
        <v>446</v>
      </c>
      <c r="Q23" t="s">
        <v>455</v>
      </c>
      <c r="R23" t="s">
        <v>353</v>
      </c>
      <c r="S23" t="s">
        <v>451</v>
      </c>
      <c r="T23" t="s">
        <v>470</v>
      </c>
      <c r="U23">
        <v>0</v>
      </c>
      <c r="V23">
        <f>_xlfn.XLOOKUP(Table2[[#This Row],[Primary Dept Description]],'Lookup tables'!$U$17:$U$117,'Lookup tables'!$T$17:$T$117,"")</f>
        <v>8</v>
      </c>
      <c r="W23" s="15">
        <f>IF(OR(Table2[[#This Row],[Revised Award]]=0,Table2[[#This Row],[Revised Award]]=""),IF(OR(Table2[[#This Row],[Planned Award]]=0,Table2[[#This Row],[Planned Award]]=""),"Not Updated",Table2[[#This Row],[Planned Award]]),Table2[[#This Row],[Revised Award]])</f>
        <v>44652</v>
      </c>
      <c r="X23" t="str">
        <f>_xlfn.XLOOKUP(Table2[[#This Row],[Milestone]],'Lookup tables'!$Y$27:$Y$60,'Lookup tables'!$Z$27:$Z$60,"Not Updated")</f>
        <v>Complete</v>
      </c>
      <c r="Y23" cm="1">
        <f t="array" ref="Y23">IF(_xlfn._xlws.FILTER(Table1[Spend - CAN],(Table1[Execution Year]=Table2[[#This Row],[Execution Year]])*(Table1[SBU]=Table2[[#This Row],[SBU]])*(Table1[Category]=Table2[[#This Row],[Category]])*(Table1[Most curent]=TRUE),"NF")&gt;0,1,0)</f>
        <v>1</v>
      </c>
      <c r="Z23" cm="1">
        <f t="array" ref="Z23">IF(_xlfn._xlws.FILTER(Table1[Spend - MEX],(Table1[Execution Year]=Table2[[#This Row],[Execution Year]])*(Table1[SBU]=Table2[[#This Row],[SBU]])*(Table1[Category]=Table2[[#This Row],[Category]])*(Table1[Most curent]=TRUE),"NF")&gt;0,1,0)</f>
        <v>1</v>
      </c>
      <c r="AA23" cm="1">
        <f t="array" ref="AA23">IF(_xlfn._xlws.FILTER(Table1[Spend - CAM],(Table1[Execution Year]=Table2[[#This Row],[Execution Year]])*(Table1[SBU]=Table2[[#This Row],[SBU]])*(Table1[Category]=Table2[[#This Row],[Category]])*(Table1[Most curent]=TRUE),"NF")&gt;0,1,0)</f>
        <v>1</v>
      </c>
      <c r="AB23" cm="1">
        <f t="array" ref="AB23">IF(_xlfn._xlws.FILTER(Table1[Spend - CHL],(Table1[Execution Year]=Table2[[#This Row],[Execution Year]])*(Table1[SBU]=Table2[[#This Row],[SBU]])*(Table1[Category]=Table2[[#This Row],[Category]])*(Table1[Most curent]=TRUE),"NF")&gt;0,1,0)</f>
        <v>0</v>
      </c>
      <c r="AC23" cm="1">
        <f t="array" ref="AC23">IF(_xlfn._xlws.FILTER(Table1[Spend - ARG],(Table1[Execution Year]=Table2[[#This Row],[Execution Year]])*(Table1[SBU]=Table2[[#This Row],[SBU]])*(Table1[Category]=Table2[[#This Row],[Category]])*(Table1[Most curent]=TRUE),"NF")&gt;0,1,0)</f>
        <v>0</v>
      </c>
      <c r="AD23" cm="1">
        <f t="array" ref="AD23">IF(_xlfn._xlws.FILTER(Table1[Spend - CHN],(Table1[Execution Year]=Table2[[#This Row],[Execution Year]])*(Table1[SBU]=Table2[[#This Row],[SBU]])*(Table1[Category]=Table2[[#This Row],[Category]])*(Table1[Most curent]=TRUE),"NF")&gt;0,1,0)</f>
        <v>0</v>
      </c>
      <c r="AE23" cm="1">
        <f t="array" ref="AE23">IF(_xlfn._xlws.FILTER(Table1[Spend - JAP],(Table1[Execution Year]=Table2[[#This Row],[Execution Year]])*(Table1[SBU]=Table2[[#This Row],[SBU]])*(Table1[Category]=Table2[[#This Row],[Category]])*(Table1[Most curent]=TRUE),"NF")&gt;0,1,0)</f>
        <v>0</v>
      </c>
      <c r="AF23" cm="1">
        <f t="array" ref="AF23">IF(_xlfn._xlws.FILTER(Table1[Spend - UKN],(Table1[Execution Year]=Table2[[#This Row],[Execution Year]])*(Table1[SBU]=Table2[[#This Row],[SBU]])*(Table1[Category]=Table2[[#This Row],[Category]])*(Table1[Most curent]=TRUE),"NF")&gt;0,1,0)</f>
        <v>0</v>
      </c>
      <c r="AG23" cm="1">
        <f t="array" ref="AG23">IF(_xlfn._xlws.FILTER(Table1[Spend - SAF],(Table1[Execution Year]=Table2[[#This Row],[Execution Year]])*(Table1[SBU]=Table2[[#This Row],[SBU]])*(Table1[Category]=Table2[[#This Row],[Category]])*(Table1[Most curent]=TRUE),"NF")&gt;0,1,0)</f>
        <v>0</v>
      </c>
      <c r="AH23" cm="1">
        <f t="array" ref="AH23">IF(_xlfn._xlws.FILTER(Table1[Spend - US],(Table1[Execution Year]=Table2[[#This Row],[Execution Year]])*(Table1[SBU]=Table2[[#This Row],[SBU]])*(Table1[Category]=Table2[[#This Row],[Category]])*(Table1[Most curent]=TRUE),"NF")&gt;0,1,0)</f>
        <v>1</v>
      </c>
      <c r="AI23" cm="1">
        <f t="array" ref="AI23">IF(_xlfn._xlws.FILTER(Table1[Spend - Sams],(Table1[Execution Year]=Table2[[#This Row],[Execution Year]])*(Table1[SBU]=Table2[[#This Row],[SBU]])*(Table1[Category]=Table2[[#This Row],[Category]])*(Table1[Most curent]=TRUE),"NF")&gt;0,1,0)</f>
        <v>0</v>
      </c>
      <c r="AJ23" cm="1">
        <f t="array" ref="AJ23">IF(_xlfn._xlws.FILTER(Table1[Spend - Sams Mexico],(Table1[Execution Year]=Table2[[#This Row],[Execution Year]])*(Table1[SBU]=Table2[[#This Row],[SBU]])*(Table1[Category]=Table2[[#This Row],[Category]])*(Table1[Most curent]=TRUE),"NF")&gt;0,1,0)</f>
        <v>0</v>
      </c>
      <c r="AK23" cm="1">
        <f t="array" ref="AK23">IF(_xlfn._xlws.FILTER(Table1[Spend - Sams China],(Table1[Execution Year]=Table2[[#This Row],[Execution Year]])*(Table1[SBU]=Table2[[#This Row],[SBU]])*(Table1[Category]=Table2[[#This Row],[Category]])*(Table1[Most curent]=TRUE),"NF")&gt;0,1,0)</f>
        <v>0</v>
      </c>
      <c r="AL23" cm="1">
        <f t="array" ref="AL23">IF(_xlfn._xlws.FILTER(Table1[Spend - IND],(Table1[Execution Year]=Table2[[#This Row],[Execution Year]])*(Table1[SBU]=Table2[[#This Row],[SBU]])*(Table1[Category]=Table2[[#This Row],[Category]])*(Table1[Most curent]=TRUE),"NF")&gt;0,1,0)</f>
        <v>0</v>
      </c>
    </row>
    <row r="24" spans="1:38">
      <c r="A24" t="str">
        <f>Table2[[#This Row],[Execution Year]]&amp;Table2[[#This Row],[SBU]]&amp;Table2[[#This Row],[Category]]</f>
        <v>FY23ConsumablesPaper Products II</v>
      </c>
      <c r="B24" t="s">
        <v>456</v>
      </c>
      <c r="C24" t="s">
        <v>43</v>
      </c>
      <c r="D24" t="s">
        <v>322</v>
      </c>
      <c r="E24" s="185">
        <v>44805</v>
      </c>
      <c r="F24" s="185">
        <v>44926</v>
      </c>
      <c r="G24" s="185">
        <v>0</v>
      </c>
      <c r="H24" s="185">
        <v>0</v>
      </c>
      <c r="I24" t="s">
        <v>458</v>
      </c>
      <c r="J24" t="s">
        <v>459</v>
      </c>
      <c r="K24" t="s">
        <v>454</v>
      </c>
      <c r="L24">
        <v>0</v>
      </c>
      <c r="M24">
        <v>44986</v>
      </c>
      <c r="N24" t="s">
        <v>78</v>
      </c>
      <c r="O24" s="16">
        <v>44714.397007175925</v>
      </c>
      <c r="P24" t="s">
        <v>446</v>
      </c>
      <c r="Q24" t="s">
        <v>450</v>
      </c>
      <c r="R24" t="s">
        <v>353</v>
      </c>
      <c r="S24" t="s">
        <v>448</v>
      </c>
      <c r="T24">
        <v>0</v>
      </c>
      <c r="U24">
        <v>0</v>
      </c>
      <c r="V24">
        <f>_xlfn.XLOOKUP(Table2[[#This Row],[Primary Dept Description]],'Lookup tables'!$U$17:$U$117,'Lookup tables'!$T$17:$T$117,"")</f>
        <v>4</v>
      </c>
      <c r="W24" s="15">
        <f>IF(OR(Table2[[#This Row],[Revised Award]]=0,Table2[[#This Row],[Revised Award]]=""),IF(OR(Table2[[#This Row],[Planned Award]]=0,Table2[[#This Row],[Planned Award]]=""),"Not Updated",Table2[[#This Row],[Planned Award]]),Table2[[#This Row],[Revised Award]])</f>
        <v>44926</v>
      </c>
      <c r="X24" t="str">
        <f>_xlfn.XLOOKUP(Table2[[#This Row],[Milestone]],'Lookup tables'!$Y$27:$Y$60,'Lookup tables'!$Z$27:$Z$60,"Not Updated")</f>
        <v>Exploratory</v>
      </c>
      <c r="Y24" cm="1">
        <f t="array" ref="Y24">IF(_xlfn._xlws.FILTER(Table1[Spend - CAN],(Table1[Execution Year]=Table2[[#This Row],[Execution Year]])*(Table1[SBU]=Table2[[#This Row],[SBU]])*(Table1[Category]=Table2[[#This Row],[Category]])*(Table1[Most curent]=TRUE),"NF")&gt;0,1,0)</f>
        <v>0</v>
      </c>
      <c r="Z24" cm="1">
        <f t="array" ref="Z24">IF(_xlfn._xlws.FILTER(Table1[Spend - MEX],(Table1[Execution Year]=Table2[[#This Row],[Execution Year]])*(Table1[SBU]=Table2[[#This Row],[SBU]])*(Table1[Category]=Table2[[#This Row],[Category]])*(Table1[Most curent]=TRUE),"NF")&gt;0,1,0)</f>
        <v>0</v>
      </c>
      <c r="AA24" cm="1">
        <f t="array" ref="AA24">IF(_xlfn._xlws.FILTER(Table1[Spend - CAM],(Table1[Execution Year]=Table2[[#This Row],[Execution Year]])*(Table1[SBU]=Table2[[#This Row],[SBU]])*(Table1[Category]=Table2[[#This Row],[Category]])*(Table1[Most curent]=TRUE),"NF")&gt;0,1,0)</f>
        <v>0</v>
      </c>
      <c r="AB24" cm="1">
        <f t="array" ref="AB24">IF(_xlfn._xlws.FILTER(Table1[Spend - CHL],(Table1[Execution Year]=Table2[[#This Row],[Execution Year]])*(Table1[SBU]=Table2[[#This Row],[SBU]])*(Table1[Category]=Table2[[#This Row],[Category]])*(Table1[Most curent]=TRUE),"NF")&gt;0,1,0)</f>
        <v>0</v>
      </c>
      <c r="AC24" cm="1">
        <f t="array" ref="AC24">IF(_xlfn._xlws.FILTER(Table1[Spend - ARG],(Table1[Execution Year]=Table2[[#This Row],[Execution Year]])*(Table1[SBU]=Table2[[#This Row],[SBU]])*(Table1[Category]=Table2[[#This Row],[Category]])*(Table1[Most curent]=TRUE),"NF")&gt;0,1,0)</f>
        <v>0</v>
      </c>
      <c r="AD24" cm="1">
        <f t="array" ref="AD24">IF(_xlfn._xlws.FILTER(Table1[Spend - CHN],(Table1[Execution Year]=Table2[[#This Row],[Execution Year]])*(Table1[SBU]=Table2[[#This Row],[SBU]])*(Table1[Category]=Table2[[#This Row],[Category]])*(Table1[Most curent]=TRUE),"NF")&gt;0,1,0)</f>
        <v>0</v>
      </c>
      <c r="AE24" cm="1">
        <f t="array" ref="AE24">IF(_xlfn._xlws.FILTER(Table1[Spend - JAP],(Table1[Execution Year]=Table2[[#This Row],[Execution Year]])*(Table1[SBU]=Table2[[#This Row],[SBU]])*(Table1[Category]=Table2[[#This Row],[Category]])*(Table1[Most curent]=TRUE),"NF")&gt;0,1,0)</f>
        <v>0</v>
      </c>
      <c r="AF24" cm="1">
        <f t="array" ref="AF24">IF(_xlfn._xlws.FILTER(Table1[Spend - UKN],(Table1[Execution Year]=Table2[[#This Row],[Execution Year]])*(Table1[SBU]=Table2[[#This Row],[SBU]])*(Table1[Category]=Table2[[#This Row],[Category]])*(Table1[Most curent]=TRUE),"NF")&gt;0,1,0)</f>
        <v>0</v>
      </c>
      <c r="AG24" cm="1">
        <f t="array" ref="AG24">IF(_xlfn._xlws.FILTER(Table1[Spend - SAF],(Table1[Execution Year]=Table2[[#This Row],[Execution Year]])*(Table1[SBU]=Table2[[#This Row],[SBU]])*(Table1[Category]=Table2[[#This Row],[Category]])*(Table1[Most curent]=TRUE),"NF")&gt;0,1,0)</f>
        <v>0</v>
      </c>
      <c r="AH24" cm="1">
        <f t="array" ref="AH24">IF(_xlfn._xlws.FILTER(Table1[Spend - US],(Table1[Execution Year]=Table2[[#This Row],[Execution Year]])*(Table1[SBU]=Table2[[#This Row],[SBU]])*(Table1[Category]=Table2[[#This Row],[Category]])*(Table1[Most curent]=TRUE),"NF")&gt;0,1,0)</f>
        <v>0</v>
      </c>
      <c r="AI24" cm="1">
        <f t="array" ref="AI24">IF(_xlfn._xlws.FILTER(Table1[Spend - Sams],(Table1[Execution Year]=Table2[[#This Row],[Execution Year]])*(Table1[SBU]=Table2[[#This Row],[SBU]])*(Table1[Category]=Table2[[#This Row],[Category]])*(Table1[Most curent]=TRUE),"NF")&gt;0,1,0)</f>
        <v>1</v>
      </c>
      <c r="AJ24" cm="1">
        <f t="array" ref="AJ24">IF(_xlfn._xlws.FILTER(Table1[Spend - Sams Mexico],(Table1[Execution Year]=Table2[[#This Row],[Execution Year]])*(Table1[SBU]=Table2[[#This Row],[SBU]])*(Table1[Category]=Table2[[#This Row],[Category]])*(Table1[Most curent]=TRUE),"NF")&gt;0,1,0)</f>
        <v>0</v>
      </c>
      <c r="AK24" cm="1">
        <f t="array" ref="AK24">IF(_xlfn._xlws.FILTER(Table1[Spend - Sams China],(Table1[Execution Year]=Table2[[#This Row],[Execution Year]])*(Table1[SBU]=Table2[[#This Row],[SBU]])*(Table1[Category]=Table2[[#This Row],[Category]])*(Table1[Most curent]=TRUE),"NF")&gt;0,1,0)</f>
        <v>0</v>
      </c>
      <c r="AL24" cm="1">
        <f t="array" ref="AL24">IF(_xlfn._xlws.FILTER(Table1[Spend - IND],(Table1[Execution Year]=Table2[[#This Row],[Execution Year]])*(Table1[SBU]=Table2[[#This Row],[SBU]])*(Table1[Category]=Table2[[#This Row],[Category]])*(Table1[Most curent]=TRUE),"NF")&gt;0,1,0)</f>
        <v>0</v>
      </c>
    </row>
    <row r="25" spans="1:38">
      <c r="A25" t="str">
        <f>Table2[[#This Row],[Execution Year]]&amp;Table2[[#This Row],[SBU]]&amp;Table2[[#This Row],[Category]]</f>
        <v>FY23ConsumablesDTT - Plastic</v>
      </c>
      <c r="B25" t="s">
        <v>457</v>
      </c>
      <c r="C25" t="s">
        <v>43</v>
      </c>
      <c r="D25" t="s">
        <v>322</v>
      </c>
      <c r="E25" s="185">
        <v>44713</v>
      </c>
      <c r="F25" s="185">
        <v>44834</v>
      </c>
      <c r="G25" s="185">
        <v>0</v>
      </c>
      <c r="H25" s="185">
        <v>0</v>
      </c>
      <c r="I25" t="s">
        <v>458</v>
      </c>
      <c r="J25" t="s">
        <v>459</v>
      </c>
      <c r="K25" t="s">
        <v>460</v>
      </c>
      <c r="L25">
        <v>0</v>
      </c>
      <c r="M25">
        <v>44894</v>
      </c>
      <c r="N25" t="s">
        <v>78</v>
      </c>
      <c r="O25" s="16">
        <v>44677.553856481478</v>
      </c>
      <c r="P25" t="s">
        <v>446</v>
      </c>
      <c r="Q25" t="s">
        <v>450</v>
      </c>
      <c r="R25" t="s">
        <v>353</v>
      </c>
      <c r="S25" t="s">
        <v>451</v>
      </c>
      <c r="V25">
        <f>_xlfn.XLOOKUP(Table2[[#This Row],[Primary Dept Description]],'Lookup tables'!$U$17:$U$117,'Lookup tables'!$T$17:$T$117,"")</f>
        <v>4</v>
      </c>
      <c r="W25" s="15">
        <f>IF(OR(Table2[[#This Row],[Revised Award]]=0,Table2[[#This Row],[Revised Award]]=""),IF(OR(Table2[[#This Row],[Planned Award]]=0,Table2[[#This Row],[Planned Award]]=""),"Not Updated",Table2[[#This Row],[Planned Award]]),Table2[[#This Row],[Revised Award]])</f>
        <v>44834</v>
      </c>
      <c r="X25" t="str">
        <f>_xlfn.XLOOKUP(Table2[[#This Row],[Milestone]],'Lookup tables'!$Y$27:$Y$60,'Lookup tables'!$Z$27:$Z$60,"Not Updated")</f>
        <v>Exploratory</v>
      </c>
      <c r="Y25" cm="1">
        <f t="array" ref="Y25">IF(_xlfn._xlws.FILTER(Table1[Spend - CAN],(Table1[Execution Year]=Table2[[#This Row],[Execution Year]])*(Table1[SBU]=Table2[[#This Row],[SBU]])*(Table1[Category]=Table2[[#This Row],[Category]])*(Table1[Most curent]=TRUE),"NF")&gt;0,1,0)</f>
        <v>0</v>
      </c>
      <c r="Z25" cm="1">
        <f t="array" ref="Z25">IF(_xlfn._xlws.FILTER(Table1[Spend - MEX],(Table1[Execution Year]=Table2[[#This Row],[Execution Year]])*(Table1[SBU]=Table2[[#This Row],[SBU]])*(Table1[Category]=Table2[[#This Row],[Category]])*(Table1[Most curent]=TRUE),"NF")&gt;0,1,0)</f>
        <v>0</v>
      </c>
      <c r="AA25" cm="1">
        <f t="array" ref="AA25">IF(_xlfn._xlws.FILTER(Table1[Spend - CAM],(Table1[Execution Year]=Table2[[#This Row],[Execution Year]])*(Table1[SBU]=Table2[[#This Row],[SBU]])*(Table1[Category]=Table2[[#This Row],[Category]])*(Table1[Most curent]=TRUE),"NF")&gt;0,1,0)</f>
        <v>0</v>
      </c>
      <c r="AB25" cm="1">
        <f t="array" ref="AB25">IF(_xlfn._xlws.FILTER(Table1[Spend - CHL],(Table1[Execution Year]=Table2[[#This Row],[Execution Year]])*(Table1[SBU]=Table2[[#This Row],[SBU]])*(Table1[Category]=Table2[[#This Row],[Category]])*(Table1[Most curent]=TRUE),"NF")&gt;0,1,0)</f>
        <v>0</v>
      </c>
      <c r="AC25" cm="1">
        <f t="array" ref="AC25">IF(_xlfn._xlws.FILTER(Table1[Spend - ARG],(Table1[Execution Year]=Table2[[#This Row],[Execution Year]])*(Table1[SBU]=Table2[[#This Row],[SBU]])*(Table1[Category]=Table2[[#This Row],[Category]])*(Table1[Most curent]=TRUE),"NF")&gt;0,1,0)</f>
        <v>0</v>
      </c>
      <c r="AD25" cm="1">
        <f t="array" ref="AD25">IF(_xlfn._xlws.FILTER(Table1[Spend - CHN],(Table1[Execution Year]=Table2[[#This Row],[Execution Year]])*(Table1[SBU]=Table2[[#This Row],[SBU]])*(Table1[Category]=Table2[[#This Row],[Category]])*(Table1[Most curent]=TRUE),"NF")&gt;0,1,0)</f>
        <v>0</v>
      </c>
      <c r="AE25" cm="1">
        <f t="array" ref="AE25">IF(_xlfn._xlws.FILTER(Table1[Spend - JAP],(Table1[Execution Year]=Table2[[#This Row],[Execution Year]])*(Table1[SBU]=Table2[[#This Row],[SBU]])*(Table1[Category]=Table2[[#This Row],[Category]])*(Table1[Most curent]=TRUE),"NF")&gt;0,1,0)</f>
        <v>0</v>
      </c>
      <c r="AF25" cm="1">
        <f t="array" ref="AF25">IF(_xlfn._xlws.FILTER(Table1[Spend - UKN],(Table1[Execution Year]=Table2[[#This Row],[Execution Year]])*(Table1[SBU]=Table2[[#This Row],[SBU]])*(Table1[Category]=Table2[[#This Row],[Category]])*(Table1[Most curent]=TRUE),"NF")&gt;0,1,0)</f>
        <v>0</v>
      </c>
      <c r="AG25" cm="1">
        <f t="array" ref="AG25">IF(_xlfn._xlws.FILTER(Table1[Spend - SAF],(Table1[Execution Year]=Table2[[#This Row],[Execution Year]])*(Table1[SBU]=Table2[[#This Row],[SBU]])*(Table1[Category]=Table2[[#This Row],[Category]])*(Table1[Most curent]=TRUE),"NF")&gt;0,1,0)</f>
        <v>0</v>
      </c>
      <c r="AH25" cm="1">
        <f t="array" ref="AH25">IF(_xlfn._xlws.FILTER(Table1[Spend - US],(Table1[Execution Year]=Table2[[#This Row],[Execution Year]])*(Table1[SBU]=Table2[[#This Row],[SBU]])*(Table1[Category]=Table2[[#This Row],[Category]])*(Table1[Most curent]=TRUE),"NF")&gt;0,1,0)</f>
        <v>0</v>
      </c>
      <c r="AI25" cm="1">
        <f t="array" ref="AI25">IF(_xlfn._xlws.FILTER(Table1[Spend - Sams],(Table1[Execution Year]=Table2[[#This Row],[Execution Year]])*(Table1[SBU]=Table2[[#This Row],[SBU]])*(Table1[Category]=Table2[[#This Row],[Category]])*(Table1[Most curent]=TRUE),"NF")&gt;0,1,0)</f>
        <v>1</v>
      </c>
      <c r="AJ25" cm="1">
        <f t="array" ref="AJ25">IF(_xlfn._xlws.FILTER(Table1[Spend - Sams Mexico],(Table1[Execution Year]=Table2[[#This Row],[Execution Year]])*(Table1[SBU]=Table2[[#This Row],[SBU]])*(Table1[Category]=Table2[[#This Row],[Category]])*(Table1[Most curent]=TRUE),"NF")&gt;0,1,0)</f>
        <v>0</v>
      </c>
      <c r="AK25" cm="1">
        <f t="array" ref="AK25">IF(_xlfn._xlws.FILTER(Table1[Spend - Sams China],(Table1[Execution Year]=Table2[[#This Row],[Execution Year]])*(Table1[SBU]=Table2[[#This Row],[SBU]])*(Table1[Category]=Table2[[#This Row],[Category]])*(Table1[Most curent]=TRUE),"NF")&gt;0,1,0)</f>
        <v>0</v>
      </c>
      <c r="AL25" cm="1">
        <f t="array" ref="AL25">IF(_xlfn._xlws.FILTER(Table1[Spend - IND],(Table1[Execution Year]=Table2[[#This Row],[Execution Year]])*(Table1[SBU]=Table2[[#This Row],[SBU]])*(Table1[Category]=Table2[[#This Row],[Category]])*(Table1[Most curent]=TRUE),"NF")&gt;0,1,0)</f>
        <v>0</v>
      </c>
    </row>
    <row r="26" spans="1:38">
      <c r="A26" t="str">
        <f>Table2[[#This Row],[Execution Year]]&amp;Table2[[#This Row],[SBU]]&amp;Table2[[#This Row],[Category]]</f>
        <v>FY23ConsumablesShave Gel/Foam</v>
      </c>
      <c r="B26" t="s">
        <v>472</v>
      </c>
      <c r="C26" t="s">
        <v>43</v>
      </c>
      <c r="D26" t="s">
        <v>322</v>
      </c>
      <c r="E26" s="185">
        <v>44682</v>
      </c>
      <c r="F26" s="185">
        <v>44743</v>
      </c>
      <c r="G26" s="185">
        <v>0</v>
      </c>
      <c r="H26" s="185">
        <v>0</v>
      </c>
      <c r="I26" t="s">
        <v>473</v>
      </c>
      <c r="J26" t="s">
        <v>459</v>
      </c>
      <c r="K26" t="s">
        <v>474</v>
      </c>
      <c r="L26">
        <v>0</v>
      </c>
      <c r="M26">
        <v>44803</v>
      </c>
      <c r="N26" t="s">
        <v>78</v>
      </c>
      <c r="O26" s="16">
        <v>44714.42413136574</v>
      </c>
      <c r="P26" t="s">
        <v>475</v>
      </c>
      <c r="Q26" t="s">
        <v>453</v>
      </c>
      <c r="R26" t="s">
        <v>353</v>
      </c>
      <c r="S26" t="s">
        <v>448</v>
      </c>
      <c r="T26" t="s">
        <v>476</v>
      </c>
      <c r="U26">
        <v>0</v>
      </c>
      <c r="V26">
        <f>_xlfn.XLOOKUP(Table2[[#This Row],[Primary Dept Description]],'Lookup tables'!$U$17:$U$117,'Lookup tables'!$T$17:$T$117,"")</f>
        <v>2</v>
      </c>
      <c r="W26" s="15">
        <f>IF(OR(Table2[[#This Row],[Revised Award]]=0,Table2[[#This Row],[Revised Award]]=""),IF(OR(Table2[[#This Row],[Planned Award]]=0,Table2[[#This Row],[Planned Award]]=""),"Not Updated",Table2[[#This Row],[Planned Award]]),Table2[[#This Row],[Revised Award]])</f>
        <v>44743</v>
      </c>
      <c r="X26" t="str">
        <f>_xlfn.XLOOKUP(Table2[[#This Row],[Milestone]],'Lookup tables'!$Y$27:$Y$60,'Lookup tables'!$Z$27:$Z$60,"Not Updated")</f>
        <v>SCO Analysis</v>
      </c>
      <c r="Y26" cm="1">
        <f t="array" ref="Y26">IF(_xlfn._xlws.FILTER(Table1[Spend - CAN],(Table1[Execution Year]=Table2[[#This Row],[Execution Year]])*(Table1[SBU]=Table2[[#This Row],[SBU]])*(Table1[Category]=Table2[[#This Row],[Category]])*(Table1[Most curent]=TRUE),"NF")&gt;0,1,0)</f>
        <v>0</v>
      </c>
      <c r="Z26" cm="1">
        <f t="array" ref="Z26">IF(_xlfn._xlws.FILTER(Table1[Spend - MEX],(Table1[Execution Year]=Table2[[#This Row],[Execution Year]])*(Table1[SBU]=Table2[[#This Row],[SBU]])*(Table1[Category]=Table2[[#This Row],[Category]])*(Table1[Most curent]=TRUE),"NF")&gt;0,1,0)</f>
        <v>0</v>
      </c>
      <c r="AA26" cm="1">
        <f t="array" ref="AA26">IF(_xlfn._xlws.FILTER(Table1[Spend - CAM],(Table1[Execution Year]=Table2[[#This Row],[Execution Year]])*(Table1[SBU]=Table2[[#This Row],[SBU]])*(Table1[Category]=Table2[[#This Row],[Category]])*(Table1[Most curent]=TRUE),"NF")&gt;0,1,0)</f>
        <v>0</v>
      </c>
      <c r="AB26" cm="1">
        <f t="array" ref="AB26">IF(_xlfn._xlws.FILTER(Table1[Spend - CHL],(Table1[Execution Year]=Table2[[#This Row],[Execution Year]])*(Table1[SBU]=Table2[[#This Row],[SBU]])*(Table1[Category]=Table2[[#This Row],[Category]])*(Table1[Most curent]=TRUE),"NF")&gt;0,1,0)</f>
        <v>0</v>
      </c>
      <c r="AC26" cm="1">
        <f t="array" ref="AC26">IF(_xlfn._xlws.FILTER(Table1[Spend - ARG],(Table1[Execution Year]=Table2[[#This Row],[Execution Year]])*(Table1[SBU]=Table2[[#This Row],[SBU]])*(Table1[Category]=Table2[[#This Row],[Category]])*(Table1[Most curent]=TRUE),"NF")&gt;0,1,0)</f>
        <v>0</v>
      </c>
      <c r="AD26" cm="1">
        <f t="array" ref="AD26">IF(_xlfn._xlws.FILTER(Table1[Spend - CHN],(Table1[Execution Year]=Table2[[#This Row],[Execution Year]])*(Table1[SBU]=Table2[[#This Row],[SBU]])*(Table1[Category]=Table2[[#This Row],[Category]])*(Table1[Most curent]=TRUE),"NF")&gt;0,1,0)</f>
        <v>0</v>
      </c>
      <c r="AE26" cm="1">
        <f t="array" ref="AE26">IF(_xlfn._xlws.FILTER(Table1[Spend - JAP],(Table1[Execution Year]=Table2[[#This Row],[Execution Year]])*(Table1[SBU]=Table2[[#This Row],[SBU]])*(Table1[Category]=Table2[[#This Row],[Category]])*(Table1[Most curent]=TRUE),"NF")&gt;0,1,0)</f>
        <v>0</v>
      </c>
      <c r="AF26" cm="1">
        <f t="array" ref="AF26">IF(_xlfn._xlws.FILTER(Table1[Spend - UKN],(Table1[Execution Year]=Table2[[#This Row],[Execution Year]])*(Table1[SBU]=Table2[[#This Row],[SBU]])*(Table1[Category]=Table2[[#This Row],[Category]])*(Table1[Most curent]=TRUE),"NF")&gt;0,1,0)</f>
        <v>0</v>
      </c>
      <c r="AG26" cm="1">
        <f t="array" ref="AG26">IF(_xlfn._xlws.FILTER(Table1[Spend - SAF],(Table1[Execution Year]=Table2[[#This Row],[Execution Year]])*(Table1[SBU]=Table2[[#This Row],[SBU]])*(Table1[Category]=Table2[[#This Row],[Category]])*(Table1[Most curent]=TRUE),"NF")&gt;0,1,0)</f>
        <v>0</v>
      </c>
      <c r="AH26" cm="1">
        <f t="array" ref="AH26">IF(_xlfn._xlws.FILTER(Table1[Spend - US],(Table1[Execution Year]=Table2[[#This Row],[Execution Year]])*(Table1[SBU]=Table2[[#This Row],[SBU]])*(Table1[Category]=Table2[[#This Row],[Category]])*(Table1[Most curent]=TRUE),"NF")&gt;0,1,0)</f>
        <v>0</v>
      </c>
      <c r="AI26" cm="1">
        <f t="array" ref="AI26">IF(_xlfn._xlws.FILTER(Table1[Spend - Sams],(Table1[Execution Year]=Table2[[#This Row],[Execution Year]])*(Table1[SBU]=Table2[[#This Row],[SBU]])*(Table1[Category]=Table2[[#This Row],[Category]])*(Table1[Most curent]=TRUE),"NF")&gt;0,1,0)</f>
        <v>1</v>
      </c>
      <c r="AJ26" cm="1">
        <f t="array" ref="AJ26">IF(_xlfn._xlws.FILTER(Table1[Spend - Sams Mexico],(Table1[Execution Year]=Table2[[#This Row],[Execution Year]])*(Table1[SBU]=Table2[[#This Row],[SBU]])*(Table1[Category]=Table2[[#This Row],[Category]])*(Table1[Most curent]=TRUE),"NF")&gt;0,1,0)</f>
        <v>0</v>
      </c>
      <c r="AK26" cm="1">
        <f t="array" ref="AK26">IF(_xlfn._xlws.FILTER(Table1[Spend - Sams China],(Table1[Execution Year]=Table2[[#This Row],[Execution Year]])*(Table1[SBU]=Table2[[#This Row],[SBU]])*(Table1[Category]=Table2[[#This Row],[Category]])*(Table1[Most curent]=TRUE),"NF")&gt;0,1,0)</f>
        <v>0</v>
      </c>
      <c r="AL26" cm="1">
        <f t="array" ref="AL26">IF(_xlfn._xlws.FILTER(Table1[Spend - IND],(Table1[Execution Year]=Table2[[#This Row],[Execution Year]])*(Table1[SBU]=Table2[[#This Row],[SBU]])*(Table1[Category]=Table2[[#This Row],[Category]])*(Table1[Most curent]=TRUE),"NF")&gt;0,1,0)</f>
        <v>0</v>
      </c>
    </row>
    <row r="27" spans="1:38">
      <c r="A27" t="str">
        <f>Table2[[#This Row],[Execution Year]]&amp;Table2[[#This Row],[SBU]]&amp;Table2[[#This Row],[Category]]</f>
        <v>FY23ConsumablesDog treats and rawhides</v>
      </c>
      <c r="B27" t="s">
        <v>461</v>
      </c>
      <c r="C27" t="s">
        <v>43</v>
      </c>
      <c r="D27" t="s">
        <v>322</v>
      </c>
      <c r="E27" s="185">
        <v>44835</v>
      </c>
      <c r="F27" s="185">
        <v>44926</v>
      </c>
      <c r="G27" s="185">
        <v>0</v>
      </c>
      <c r="H27" s="185">
        <v>0</v>
      </c>
      <c r="I27" t="s">
        <v>458</v>
      </c>
      <c r="J27" t="s">
        <v>459</v>
      </c>
      <c r="K27">
        <v>0</v>
      </c>
      <c r="L27">
        <v>0</v>
      </c>
      <c r="M27">
        <v>44986</v>
      </c>
      <c r="N27" t="s">
        <v>78</v>
      </c>
      <c r="O27" s="16">
        <v>44677.558478819446</v>
      </c>
      <c r="P27" t="s">
        <v>446</v>
      </c>
      <c r="Q27" t="s">
        <v>455</v>
      </c>
      <c r="R27" t="s">
        <v>353</v>
      </c>
      <c r="S27" t="s">
        <v>451</v>
      </c>
      <c r="V27">
        <f>_xlfn.XLOOKUP(Table2[[#This Row],[Primary Dept Description]],'Lookup tables'!$U$17:$U$117,'Lookup tables'!$T$17:$T$117,"")</f>
        <v>8</v>
      </c>
      <c r="W27" s="15">
        <f>IF(OR(Table2[[#This Row],[Revised Award]]=0,Table2[[#This Row],[Revised Award]]=""),IF(OR(Table2[[#This Row],[Planned Award]]=0,Table2[[#This Row],[Planned Award]]=""),"Not Updated",Table2[[#This Row],[Planned Award]]),Table2[[#This Row],[Revised Award]])</f>
        <v>44926</v>
      </c>
      <c r="X27" t="str">
        <f>_xlfn.XLOOKUP(Table2[[#This Row],[Milestone]],'Lookup tables'!$Y$27:$Y$60,'Lookup tables'!$Z$27:$Z$60,"Not Updated")</f>
        <v>Exploratory</v>
      </c>
      <c r="Y27" cm="1">
        <f t="array" ref="Y27">IF(_xlfn._xlws.FILTER(Table1[Spend - CAN],(Table1[Execution Year]=Table2[[#This Row],[Execution Year]])*(Table1[SBU]=Table2[[#This Row],[SBU]])*(Table1[Category]=Table2[[#This Row],[Category]])*(Table1[Most curent]=TRUE),"NF")&gt;0,1,0)</f>
        <v>0</v>
      </c>
      <c r="Z27" cm="1">
        <f t="array" ref="Z27">IF(_xlfn._xlws.FILTER(Table1[Spend - MEX],(Table1[Execution Year]=Table2[[#This Row],[Execution Year]])*(Table1[SBU]=Table2[[#This Row],[SBU]])*(Table1[Category]=Table2[[#This Row],[Category]])*(Table1[Most curent]=TRUE),"NF")&gt;0,1,0)</f>
        <v>0</v>
      </c>
      <c r="AA27" cm="1">
        <f t="array" ref="AA27">IF(_xlfn._xlws.FILTER(Table1[Spend - CAM],(Table1[Execution Year]=Table2[[#This Row],[Execution Year]])*(Table1[SBU]=Table2[[#This Row],[SBU]])*(Table1[Category]=Table2[[#This Row],[Category]])*(Table1[Most curent]=TRUE),"NF")&gt;0,1,0)</f>
        <v>0</v>
      </c>
      <c r="AB27" cm="1">
        <f t="array" ref="AB27">IF(_xlfn._xlws.FILTER(Table1[Spend - CHL],(Table1[Execution Year]=Table2[[#This Row],[Execution Year]])*(Table1[SBU]=Table2[[#This Row],[SBU]])*(Table1[Category]=Table2[[#This Row],[Category]])*(Table1[Most curent]=TRUE),"NF")&gt;0,1,0)</f>
        <v>0</v>
      </c>
      <c r="AC27" cm="1">
        <f t="array" ref="AC27">IF(_xlfn._xlws.FILTER(Table1[Spend - ARG],(Table1[Execution Year]=Table2[[#This Row],[Execution Year]])*(Table1[SBU]=Table2[[#This Row],[SBU]])*(Table1[Category]=Table2[[#This Row],[Category]])*(Table1[Most curent]=TRUE),"NF")&gt;0,1,0)</f>
        <v>0</v>
      </c>
      <c r="AD27" cm="1">
        <f t="array" ref="AD27">IF(_xlfn._xlws.FILTER(Table1[Spend - CHN],(Table1[Execution Year]=Table2[[#This Row],[Execution Year]])*(Table1[SBU]=Table2[[#This Row],[SBU]])*(Table1[Category]=Table2[[#This Row],[Category]])*(Table1[Most curent]=TRUE),"NF")&gt;0,1,0)</f>
        <v>0</v>
      </c>
      <c r="AE27" cm="1">
        <f t="array" ref="AE27">IF(_xlfn._xlws.FILTER(Table1[Spend - JAP],(Table1[Execution Year]=Table2[[#This Row],[Execution Year]])*(Table1[SBU]=Table2[[#This Row],[SBU]])*(Table1[Category]=Table2[[#This Row],[Category]])*(Table1[Most curent]=TRUE),"NF")&gt;0,1,0)</f>
        <v>0</v>
      </c>
      <c r="AF27" cm="1">
        <f t="array" ref="AF27">IF(_xlfn._xlws.FILTER(Table1[Spend - UKN],(Table1[Execution Year]=Table2[[#This Row],[Execution Year]])*(Table1[SBU]=Table2[[#This Row],[SBU]])*(Table1[Category]=Table2[[#This Row],[Category]])*(Table1[Most curent]=TRUE),"NF")&gt;0,1,0)</f>
        <v>0</v>
      </c>
      <c r="AG27" cm="1">
        <f t="array" ref="AG27">IF(_xlfn._xlws.FILTER(Table1[Spend - SAF],(Table1[Execution Year]=Table2[[#This Row],[Execution Year]])*(Table1[SBU]=Table2[[#This Row],[SBU]])*(Table1[Category]=Table2[[#This Row],[Category]])*(Table1[Most curent]=TRUE),"NF")&gt;0,1,0)</f>
        <v>0</v>
      </c>
      <c r="AH27" cm="1">
        <f t="array" ref="AH27">IF(_xlfn._xlws.FILTER(Table1[Spend - US],(Table1[Execution Year]=Table2[[#This Row],[Execution Year]])*(Table1[SBU]=Table2[[#This Row],[SBU]])*(Table1[Category]=Table2[[#This Row],[Category]])*(Table1[Most curent]=TRUE),"NF")&gt;0,1,0)</f>
        <v>0</v>
      </c>
      <c r="AI27" cm="1">
        <f t="array" ref="AI27">IF(_xlfn._xlws.FILTER(Table1[Spend - Sams],(Table1[Execution Year]=Table2[[#This Row],[Execution Year]])*(Table1[SBU]=Table2[[#This Row],[SBU]])*(Table1[Category]=Table2[[#This Row],[Category]])*(Table1[Most curent]=TRUE),"NF")&gt;0,1,0)</f>
        <v>1</v>
      </c>
      <c r="AJ27" cm="1">
        <f t="array" ref="AJ27">IF(_xlfn._xlws.FILTER(Table1[Spend - Sams Mexico],(Table1[Execution Year]=Table2[[#This Row],[Execution Year]])*(Table1[SBU]=Table2[[#This Row],[SBU]])*(Table1[Category]=Table2[[#This Row],[Category]])*(Table1[Most curent]=TRUE),"NF")&gt;0,1,0)</f>
        <v>0</v>
      </c>
      <c r="AK27" cm="1">
        <f t="array" ref="AK27">IF(_xlfn._xlws.FILTER(Table1[Spend - Sams China],(Table1[Execution Year]=Table2[[#This Row],[Execution Year]])*(Table1[SBU]=Table2[[#This Row],[SBU]])*(Table1[Category]=Table2[[#This Row],[Category]])*(Table1[Most curent]=TRUE),"NF")&gt;0,1,0)</f>
        <v>0</v>
      </c>
      <c r="AL27" cm="1">
        <f t="array" ref="AL27">IF(_xlfn._xlws.FILTER(Table1[Spend - IND],(Table1[Execution Year]=Table2[[#This Row],[Execution Year]])*(Table1[SBU]=Table2[[#This Row],[SBU]])*(Table1[Category]=Table2[[#This Row],[Category]])*(Table1[Most curent]=TRUE),"NF")&gt;0,1,0)</f>
        <v>0</v>
      </c>
    </row>
    <row r="28" spans="1:38">
      <c r="A28" t="str">
        <f>Table2[[#This Row],[Execution Year]]&amp;Table2[[#This Row],[SBU]]&amp;Table2[[#This Row],[Category]]</f>
        <v>FY23ConsumablesDiapers II</v>
      </c>
      <c r="B28" t="s">
        <v>477</v>
      </c>
      <c r="C28" t="s">
        <v>43</v>
      </c>
      <c r="D28" t="s">
        <v>322</v>
      </c>
      <c r="E28" s="185"/>
      <c r="F28" s="185"/>
      <c r="G28" s="185"/>
      <c r="H28" s="185"/>
      <c r="N28" t="s">
        <v>78</v>
      </c>
      <c r="O28" s="16">
        <v>44594.715462962966</v>
      </c>
      <c r="P28" t="s">
        <v>446</v>
      </c>
      <c r="Q28" t="s">
        <v>464</v>
      </c>
      <c r="S28" t="s">
        <v>448</v>
      </c>
      <c r="V28">
        <f>_xlfn.XLOOKUP(Table2[[#This Row],[Primary Dept Description]],'Lookup tables'!$U$17:$U$117,'Lookup tables'!$T$17:$T$117,"")</f>
        <v>79</v>
      </c>
      <c r="W28" s="15" t="str">
        <f>IF(OR(Table2[[#This Row],[Revised Award]]=0,Table2[[#This Row],[Revised Award]]=""),IF(OR(Table2[[#This Row],[Planned Award]]=0,Table2[[#This Row],[Planned Award]]=""),"Not Updated",Table2[[#This Row],[Planned Award]]),Table2[[#This Row],[Revised Award]])</f>
        <v>Not Updated</v>
      </c>
      <c r="X28" t="str">
        <f>_xlfn.XLOOKUP(Table2[[#This Row],[Milestone]],'Lookup tables'!$Y$27:$Y$60,'Lookup tables'!$Z$27:$Z$60,"Not Updated")</f>
        <v>Not Updated</v>
      </c>
      <c r="Y28" cm="1">
        <f t="array" ref="Y28">IF(_xlfn._xlws.FILTER(Table1[Spend - CAN],(Table1[Execution Year]=Table2[[#This Row],[Execution Year]])*(Table1[SBU]=Table2[[#This Row],[SBU]])*(Table1[Category]=Table2[[#This Row],[Category]])*(Table1[Most curent]=TRUE),"NF")&gt;0,1,0)</f>
        <v>0</v>
      </c>
      <c r="Z28" cm="1">
        <f t="array" ref="Z28">IF(_xlfn._xlws.FILTER(Table1[Spend - MEX],(Table1[Execution Year]=Table2[[#This Row],[Execution Year]])*(Table1[SBU]=Table2[[#This Row],[SBU]])*(Table1[Category]=Table2[[#This Row],[Category]])*(Table1[Most curent]=TRUE),"NF")&gt;0,1,0)</f>
        <v>0</v>
      </c>
      <c r="AA28" cm="1">
        <f t="array" ref="AA28">IF(_xlfn._xlws.FILTER(Table1[Spend - CAM],(Table1[Execution Year]=Table2[[#This Row],[Execution Year]])*(Table1[SBU]=Table2[[#This Row],[SBU]])*(Table1[Category]=Table2[[#This Row],[Category]])*(Table1[Most curent]=TRUE),"NF")&gt;0,1,0)</f>
        <v>0</v>
      </c>
      <c r="AB28" cm="1">
        <f t="array" ref="AB28">IF(_xlfn._xlws.FILTER(Table1[Spend - CHL],(Table1[Execution Year]=Table2[[#This Row],[Execution Year]])*(Table1[SBU]=Table2[[#This Row],[SBU]])*(Table1[Category]=Table2[[#This Row],[Category]])*(Table1[Most curent]=TRUE),"NF")&gt;0,1,0)</f>
        <v>0</v>
      </c>
      <c r="AC28" cm="1">
        <f t="array" ref="AC28">IF(_xlfn._xlws.FILTER(Table1[Spend - ARG],(Table1[Execution Year]=Table2[[#This Row],[Execution Year]])*(Table1[SBU]=Table2[[#This Row],[SBU]])*(Table1[Category]=Table2[[#This Row],[Category]])*(Table1[Most curent]=TRUE),"NF")&gt;0,1,0)</f>
        <v>0</v>
      </c>
      <c r="AD28" cm="1">
        <f t="array" ref="AD28">IF(_xlfn._xlws.FILTER(Table1[Spend - CHN],(Table1[Execution Year]=Table2[[#This Row],[Execution Year]])*(Table1[SBU]=Table2[[#This Row],[SBU]])*(Table1[Category]=Table2[[#This Row],[Category]])*(Table1[Most curent]=TRUE),"NF")&gt;0,1,0)</f>
        <v>0</v>
      </c>
      <c r="AE28" cm="1">
        <f t="array" ref="AE28">IF(_xlfn._xlws.FILTER(Table1[Spend - JAP],(Table1[Execution Year]=Table2[[#This Row],[Execution Year]])*(Table1[SBU]=Table2[[#This Row],[SBU]])*(Table1[Category]=Table2[[#This Row],[Category]])*(Table1[Most curent]=TRUE),"NF")&gt;0,1,0)</f>
        <v>0</v>
      </c>
      <c r="AF28" cm="1">
        <f t="array" ref="AF28">IF(_xlfn._xlws.FILTER(Table1[Spend - UKN],(Table1[Execution Year]=Table2[[#This Row],[Execution Year]])*(Table1[SBU]=Table2[[#This Row],[SBU]])*(Table1[Category]=Table2[[#This Row],[Category]])*(Table1[Most curent]=TRUE),"NF")&gt;0,1,0)</f>
        <v>0</v>
      </c>
      <c r="AG28" cm="1">
        <f t="array" ref="AG28">IF(_xlfn._xlws.FILTER(Table1[Spend - SAF],(Table1[Execution Year]=Table2[[#This Row],[Execution Year]])*(Table1[SBU]=Table2[[#This Row],[SBU]])*(Table1[Category]=Table2[[#This Row],[Category]])*(Table1[Most curent]=TRUE),"NF")&gt;0,1,0)</f>
        <v>0</v>
      </c>
      <c r="AH28" cm="1">
        <f t="array" ref="AH28">IF(_xlfn._xlws.FILTER(Table1[Spend - US],(Table1[Execution Year]=Table2[[#This Row],[Execution Year]])*(Table1[SBU]=Table2[[#This Row],[SBU]])*(Table1[Category]=Table2[[#This Row],[Category]])*(Table1[Most curent]=TRUE),"NF")&gt;0,1,0)</f>
        <v>0</v>
      </c>
      <c r="AI28" cm="1">
        <f t="array" ref="AI28">IF(_xlfn._xlws.FILTER(Table1[Spend - Sams],(Table1[Execution Year]=Table2[[#This Row],[Execution Year]])*(Table1[SBU]=Table2[[#This Row],[SBU]])*(Table1[Category]=Table2[[#This Row],[Category]])*(Table1[Most curent]=TRUE),"NF")&gt;0,1,0)</f>
        <v>1</v>
      </c>
      <c r="AJ28" cm="1">
        <f t="array" ref="AJ28">IF(_xlfn._xlws.FILTER(Table1[Spend - Sams Mexico],(Table1[Execution Year]=Table2[[#This Row],[Execution Year]])*(Table1[SBU]=Table2[[#This Row],[SBU]])*(Table1[Category]=Table2[[#This Row],[Category]])*(Table1[Most curent]=TRUE),"NF")&gt;0,1,0)</f>
        <v>0</v>
      </c>
      <c r="AK28" cm="1">
        <f t="array" ref="AK28">IF(_xlfn._xlws.FILTER(Table1[Spend - Sams China],(Table1[Execution Year]=Table2[[#This Row],[Execution Year]])*(Table1[SBU]=Table2[[#This Row],[SBU]])*(Table1[Category]=Table2[[#This Row],[Category]])*(Table1[Most curent]=TRUE),"NF")&gt;0,1,0)</f>
        <v>0</v>
      </c>
      <c r="AL28" cm="1">
        <f t="array" ref="AL28">IF(_xlfn._xlws.FILTER(Table1[Spend - IND],(Table1[Execution Year]=Table2[[#This Row],[Execution Year]])*(Table1[SBU]=Table2[[#This Row],[SBU]])*(Table1[Category]=Table2[[#This Row],[Category]])*(Table1[Most curent]=TRUE),"NF")&gt;0,1,0)</f>
        <v>0</v>
      </c>
    </row>
    <row r="29" spans="1:38">
      <c r="A29" t="str">
        <f>Table2[[#This Row],[Execution Year]]&amp;Table2[[#This Row],[SBU]]&amp;Table2[[#This Row],[Category]]</f>
        <v>FY23ConsumablesMouthwash</v>
      </c>
      <c r="B29" t="s">
        <v>478</v>
      </c>
      <c r="C29" t="s">
        <v>43</v>
      </c>
      <c r="D29" t="s">
        <v>322</v>
      </c>
      <c r="E29" s="185">
        <v>0</v>
      </c>
      <c r="F29" s="185">
        <v>0</v>
      </c>
      <c r="G29" s="185">
        <v>0</v>
      </c>
      <c r="H29" s="185">
        <v>0</v>
      </c>
      <c r="I29" t="s">
        <v>417</v>
      </c>
      <c r="J29" t="s">
        <v>417</v>
      </c>
      <c r="K29">
        <v>0</v>
      </c>
      <c r="L29">
        <v>0</v>
      </c>
      <c r="M29">
        <v>60</v>
      </c>
      <c r="N29" t="s">
        <v>78</v>
      </c>
      <c r="O29" s="16">
        <v>44714.403368634259</v>
      </c>
      <c r="P29">
        <v>0</v>
      </c>
      <c r="Q29" t="s">
        <v>453</v>
      </c>
      <c r="R29" t="s">
        <v>353</v>
      </c>
      <c r="S29">
        <v>0</v>
      </c>
      <c r="T29">
        <v>0</v>
      </c>
      <c r="U29">
        <v>0</v>
      </c>
      <c r="V29">
        <f>_xlfn.XLOOKUP(Table2[[#This Row],[Primary Dept Description]],'Lookup tables'!$U$17:$U$117,'Lookup tables'!$T$17:$T$117,"")</f>
        <v>2</v>
      </c>
      <c r="W29" s="15" t="str">
        <f>IF(OR(Table2[[#This Row],[Revised Award]]=0,Table2[[#This Row],[Revised Award]]=""),IF(OR(Table2[[#This Row],[Planned Award]]=0,Table2[[#This Row],[Planned Award]]=""),"Not Updated",Table2[[#This Row],[Planned Award]]),Table2[[#This Row],[Revised Award]])</f>
        <v>Not Updated</v>
      </c>
      <c r="X29" t="str">
        <f>_xlfn.XLOOKUP(Table2[[#This Row],[Milestone]],'Lookup tables'!$Y$27:$Y$60,'Lookup tables'!$Z$27:$Z$60,"Not Updated")</f>
        <v>Cancelled</v>
      </c>
      <c r="Y29" cm="1">
        <f t="array" ref="Y29">IF(_xlfn._xlws.FILTER(Table1[Spend - CAN],(Table1[Execution Year]=Table2[[#This Row],[Execution Year]])*(Table1[SBU]=Table2[[#This Row],[SBU]])*(Table1[Category]=Table2[[#This Row],[Category]])*(Table1[Most curent]=TRUE),"NF")&gt;0,1,0)</f>
        <v>0</v>
      </c>
      <c r="Z29" cm="1">
        <f t="array" ref="Z29">IF(_xlfn._xlws.FILTER(Table1[Spend - MEX],(Table1[Execution Year]=Table2[[#This Row],[Execution Year]])*(Table1[SBU]=Table2[[#This Row],[SBU]])*(Table1[Category]=Table2[[#This Row],[Category]])*(Table1[Most curent]=TRUE),"NF")&gt;0,1,0)</f>
        <v>0</v>
      </c>
      <c r="AA29" cm="1">
        <f t="array" ref="AA29">IF(_xlfn._xlws.FILTER(Table1[Spend - CAM],(Table1[Execution Year]=Table2[[#This Row],[Execution Year]])*(Table1[SBU]=Table2[[#This Row],[SBU]])*(Table1[Category]=Table2[[#This Row],[Category]])*(Table1[Most curent]=TRUE),"NF")&gt;0,1,0)</f>
        <v>0</v>
      </c>
      <c r="AB29" cm="1">
        <f t="array" ref="AB29">IF(_xlfn._xlws.FILTER(Table1[Spend - CHL],(Table1[Execution Year]=Table2[[#This Row],[Execution Year]])*(Table1[SBU]=Table2[[#This Row],[SBU]])*(Table1[Category]=Table2[[#This Row],[Category]])*(Table1[Most curent]=TRUE),"NF")&gt;0,1,0)</f>
        <v>0</v>
      </c>
      <c r="AC29" cm="1">
        <f t="array" ref="AC29">IF(_xlfn._xlws.FILTER(Table1[Spend - ARG],(Table1[Execution Year]=Table2[[#This Row],[Execution Year]])*(Table1[SBU]=Table2[[#This Row],[SBU]])*(Table1[Category]=Table2[[#This Row],[Category]])*(Table1[Most curent]=TRUE),"NF")&gt;0,1,0)</f>
        <v>0</v>
      </c>
      <c r="AD29" cm="1">
        <f t="array" ref="AD29">IF(_xlfn._xlws.FILTER(Table1[Spend - CHN],(Table1[Execution Year]=Table2[[#This Row],[Execution Year]])*(Table1[SBU]=Table2[[#This Row],[SBU]])*(Table1[Category]=Table2[[#This Row],[Category]])*(Table1[Most curent]=TRUE),"NF")&gt;0,1,0)</f>
        <v>0</v>
      </c>
      <c r="AE29" cm="1">
        <f t="array" ref="AE29">IF(_xlfn._xlws.FILTER(Table1[Spend - JAP],(Table1[Execution Year]=Table2[[#This Row],[Execution Year]])*(Table1[SBU]=Table2[[#This Row],[SBU]])*(Table1[Category]=Table2[[#This Row],[Category]])*(Table1[Most curent]=TRUE),"NF")&gt;0,1,0)</f>
        <v>0</v>
      </c>
      <c r="AF29" cm="1">
        <f t="array" ref="AF29">IF(_xlfn._xlws.FILTER(Table1[Spend - UKN],(Table1[Execution Year]=Table2[[#This Row],[Execution Year]])*(Table1[SBU]=Table2[[#This Row],[SBU]])*(Table1[Category]=Table2[[#This Row],[Category]])*(Table1[Most curent]=TRUE),"NF")&gt;0,1,0)</f>
        <v>0</v>
      </c>
      <c r="AG29" cm="1">
        <f t="array" ref="AG29">IF(_xlfn._xlws.FILTER(Table1[Spend - SAF],(Table1[Execution Year]=Table2[[#This Row],[Execution Year]])*(Table1[SBU]=Table2[[#This Row],[SBU]])*(Table1[Category]=Table2[[#This Row],[Category]])*(Table1[Most curent]=TRUE),"NF")&gt;0,1,0)</f>
        <v>0</v>
      </c>
      <c r="AH29" cm="1">
        <f t="array" ref="AH29">IF(_xlfn._xlws.FILTER(Table1[Spend - US],(Table1[Execution Year]=Table2[[#This Row],[Execution Year]])*(Table1[SBU]=Table2[[#This Row],[SBU]])*(Table1[Category]=Table2[[#This Row],[Category]])*(Table1[Most curent]=TRUE),"NF")&gt;0,1,0)</f>
        <v>0</v>
      </c>
      <c r="AI29" cm="1">
        <f t="array" ref="AI29">IF(_xlfn._xlws.FILTER(Table1[Spend - Sams],(Table1[Execution Year]=Table2[[#This Row],[Execution Year]])*(Table1[SBU]=Table2[[#This Row],[SBU]])*(Table1[Category]=Table2[[#This Row],[Category]])*(Table1[Most curent]=TRUE),"NF")&gt;0,1,0)</f>
        <v>0</v>
      </c>
      <c r="AJ29" cm="1">
        <f t="array" ref="AJ29">IF(_xlfn._xlws.FILTER(Table1[Spend - Sams Mexico],(Table1[Execution Year]=Table2[[#This Row],[Execution Year]])*(Table1[SBU]=Table2[[#This Row],[SBU]])*(Table1[Category]=Table2[[#This Row],[Category]])*(Table1[Most curent]=TRUE),"NF")&gt;0,1,0)</f>
        <v>0</v>
      </c>
      <c r="AK29" cm="1">
        <f t="array" ref="AK29">IF(_xlfn._xlws.FILTER(Table1[Spend - Sams China],(Table1[Execution Year]=Table2[[#This Row],[Execution Year]])*(Table1[SBU]=Table2[[#This Row],[SBU]])*(Table1[Category]=Table2[[#This Row],[Category]])*(Table1[Most curent]=TRUE),"NF")&gt;0,1,0)</f>
        <v>0</v>
      </c>
      <c r="AL29" cm="1">
        <f t="array" ref="AL29">IF(_xlfn._xlws.FILTER(Table1[Spend - IND],(Table1[Execution Year]=Table2[[#This Row],[Execution Year]])*(Table1[SBU]=Table2[[#This Row],[SBU]])*(Table1[Category]=Table2[[#This Row],[Category]])*(Table1[Most curent]=TRUE),"NF")&gt;0,1,0)</f>
        <v>0</v>
      </c>
    </row>
    <row r="30" spans="1:38">
      <c r="A30" t="str">
        <f>Table2[[#This Row],[Execution Year]]&amp;Table2[[#This Row],[SBU]]&amp;Table2[[#This Row],[Category]]</f>
        <v>FY23ConsumablesBaby Wipes</v>
      </c>
      <c r="B30" t="s">
        <v>479</v>
      </c>
      <c r="C30" t="s">
        <v>43</v>
      </c>
      <c r="D30" t="s">
        <v>322</v>
      </c>
      <c r="E30" s="185">
        <v>44835</v>
      </c>
      <c r="F30" s="185">
        <v>44926</v>
      </c>
      <c r="G30" s="185">
        <v>0</v>
      </c>
      <c r="H30" s="185">
        <v>0</v>
      </c>
      <c r="I30" t="s">
        <v>458</v>
      </c>
      <c r="J30" t="s">
        <v>459</v>
      </c>
      <c r="K30" t="s">
        <v>474</v>
      </c>
      <c r="L30">
        <v>0</v>
      </c>
      <c r="M30">
        <v>44986</v>
      </c>
      <c r="N30" t="s">
        <v>78</v>
      </c>
      <c r="O30" s="16">
        <v>44677.556377777779</v>
      </c>
      <c r="P30" t="s">
        <v>446</v>
      </c>
      <c r="Q30" t="s">
        <v>464</v>
      </c>
      <c r="R30" t="s">
        <v>353</v>
      </c>
      <c r="S30" t="s">
        <v>448</v>
      </c>
      <c r="V30">
        <f>_xlfn.XLOOKUP(Table2[[#This Row],[Primary Dept Description]],'Lookup tables'!$U$17:$U$117,'Lookup tables'!$T$17:$T$117,"")</f>
        <v>79</v>
      </c>
      <c r="W30" s="15">
        <f>IF(OR(Table2[[#This Row],[Revised Award]]=0,Table2[[#This Row],[Revised Award]]=""),IF(OR(Table2[[#This Row],[Planned Award]]=0,Table2[[#This Row],[Planned Award]]=""),"Not Updated",Table2[[#This Row],[Planned Award]]),Table2[[#This Row],[Revised Award]])</f>
        <v>44926</v>
      </c>
      <c r="X30" t="str">
        <f>_xlfn.XLOOKUP(Table2[[#This Row],[Milestone]],'Lookup tables'!$Y$27:$Y$60,'Lookup tables'!$Z$27:$Z$60,"Not Updated")</f>
        <v>Exploratory</v>
      </c>
      <c r="Y30" cm="1">
        <f t="array" ref="Y30">IF(_xlfn._xlws.FILTER(Table1[Spend - CAN],(Table1[Execution Year]=Table2[[#This Row],[Execution Year]])*(Table1[SBU]=Table2[[#This Row],[SBU]])*(Table1[Category]=Table2[[#This Row],[Category]])*(Table1[Most curent]=TRUE),"NF")&gt;0,1,0)</f>
        <v>0</v>
      </c>
      <c r="Z30" cm="1">
        <f t="array" ref="Z30">IF(_xlfn._xlws.FILTER(Table1[Spend - MEX],(Table1[Execution Year]=Table2[[#This Row],[Execution Year]])*(Table1[SBU]=Table2[[#This Row],[SBU]])*(Table1[Category]=Table2[[#This Row],[Category]])*(Table1[Most curent]=TRUE),"NF")&gt;0,1,0)</f>
        <v>0</v>
      </c>
      <c r="AA30" cm="1">
        <f t="array" ref="AA30">IF(_xlfn._xlws.FILTER(Table1[Spend - CAM],(Table1[Execution Year]=Table2[[#This Row],[Execution Year]])*(Table1[SBU]=Table2[[#This Row],[SBU]])*(Table1[Category]=Table2[[#This Row],[Category]])*(Table1[Most curent]=TRUE),"NF")&gt;0,1,0)</f>
        <v>0</v>
      </c>
      <c r="AB30" cm="1">
        <f t="array" ref="AB30">IF(_xlfn._xlws.FILTER(Table1[Spend - CHL],(Table1[Execution Year]=Table2[[#This Row],[Execution Year]])*(Table1[SBU]=Table2[[#This Row],[SBU]])*(Table1[Category]=Table2[[#This Row],[Category]])*(Table1[Most curent]=TRUE),"NF")&gt;0,1,0)</f>
        <v>0</v>
      </c>
      <c r="AC30" cm="1">
        <f t="array" ref="AC30">IF(_xlfn._xlws.FILTER(Table1[Spend - ARG],(Table1[Execution Year]=Table2[[#This Row],[Execution Year]])*(Table1[SBU]=Table2[[#This Row],[SBU]])*(Table1[Category]=Table2[[#This Row],[Category]])*(Table1[Most curent]=TRUE),"NF")&gt;0,1,0)</f>
        <v>0</v>
      </c>
      <c r="AD30" cm="1">
        <f t="array" ref="AD30">IF(_xlfn._xlws.FILTER(Table1[Spend - CHN],(Table1[Execution Year]=Table2[[#This Row],[Execution Year]])*(Table1[SBU]=Table2[[#This Row],[SBU]])*(Table1[Category]=Table2[[#This Row],[Category]])*(Table1[Most curent]=TRUE),"NF")&gt;0,1,0)</f>
        <v>0</v>
      </c>
      <c r="AE30" cm="1">
        <f t="array" ref="AE30">IF(_xlfn._xlws.FILTER(Table1[Spend - JAP],(Table1[Execution Year]=Table2[[#This Row],[Execution Year]])*(Table1[SBU]=Table2[[#This Row],[SBU]])*(Table1[Category]=Table2[[#This Row],[Category]])*(Table1[Most curent]=TRUE),"NF")&gt;0,1,0)</f>
        <v>0</v>
      </c>
      <c r="AF30" cm="1">
        <f t="array" ref="AF30">IF(_xlfn._xlws.FILTER(Table1[Spend - UKN],(Table1[Execution Year]=Table2[[#This Row],[Execution Year]])*(Table1[SBU]=Table2[[#This Row],[SBU]])*(Table1[Category]=Table2[[#This Row],[Category]])*(Table1[Most curent]=TRUE),"NF")&gt;0,1,0)</f>
        <v>0</v>
      </c>
      <c r="AG30" cm="1">
        <f t="array" ref="AG30">IF(_xlfn._xlws.FILTER(Table1[Spend - SAF],(Table1[Execution Year]=Table2[[#This Row],[Execution Year]])*(Table1[SBU]=Table2[[#This Row],[SBU]])*(Table1[Category]=Table2[[#This Row],[Category]])*(Table1[Most curent]=TRUE),"NF")&gt;0,1,0)</f>
        <v>0</v>
      </c>
      <c r="AH30" cm="1">
        <f t="array" ref="AH30">IF(_xlfn._xlws.FILTER(Table1[Spend - US],(Table1[Execution Year]=Table2[[#This Row],[Execution Year]])*(Table1[SBU]=Table2[[#This Row],[SBU]])*(Table1[Category]=Table2[[#This Row],[Category]])*(Table1[Most curent]=TRUE),"NF")&gt;0,1,0)</f>
        <v>0</v>
      </c>
      <c r="AI30" cm="1">
        <f t="array" ref="AI30">IF(_xlfn._xlws.FILTER(Table1[Spend - Sams],(Table1[Execution Year]=Table2[[#This Row],[Execution Year]])*(Table1[SBU]=Table2[[#This Row],[SBU]])*(Table1[Category]=Table2[[#This Row],[Category]])*(Table1[Most curent]=TRUE),"NF")&gt;0,1,0)</f>
        <v>1</v>
      </c>
      <c r="AJ30" cm="1">
        <f t="array" ref="AJ30">IF(_xlfn._xlws.FILTER(Table1[Spend - Sams Mexico],(Table1[Execution Year]=Table2[[#This Row],[Execution Year]])*(Table1[SBU]=Table2[[#This Row],[SBU]])*(Table1[Category]=Table2[[#This Row],[Category]])*(Table1[Most curent]=TRUE),"NF")&gt;0,1,0)</f>
        <v>0</v>
      </c>
      <c r="AK30" cm="1">
        <f t="array" ref="AK30">IF(_xlfn._xlws.FILTER(Table1[Spend - Sams China],(Table1[Execution Year]=Table2[[#This Row],[Execution Year]])*(Table1[SBU]=Table2[[#This Row],[SBU]])*(Table1[Category]=Table2[[#This Row],[Category]])*(Table1[Most curent]=TRUE),"NF")&gt;0,1,0)</f>
        <v>0</v>
      </c>
      <c r="AL30" cm="1">
        <f t="array" ref="AL30">IF(_xlfn._xlws.FILTER(Table1[Spend - IND],(Table1[Execution Year]=Table2[[#This Row],[Execution Year]])*(Table1[SBU]=Table2[[#This Row],[SBU]])*(Table1[Category]=Table2[[#This Row],[Category]])*(Table1[Most curent]=TRUE),"NF")&gt;0,1,0)</f>
        <v>0</v>
      </c>
    </row>
    <row r="31" spans="1:38">
      <c r="A31" t="str">
        <f>Table2[[#This Row],[Execution Year]]&amp;Table2[[#This Row],[SBU]]&amp;Table2[[#This Row],[Category]]</f>
        <v>FY23ConsumablesBatteries</v>
      </c>
      <c r="B31" t="s">
        <v>480</v>
      </c>
      <c r="C31" t="s">
        <v>43</v>
      </c>
      <c r="D31" t="s">
        <v>322</v>
      </c>
      <c r="E31" s="185">
        <v>44713</v>
      </c>
      <c r="F31" s="185">
        <v>44805</v>
      </c>
      <c r="G31" s="185">
        <v>0</v>
      </c>
      <c r="H31" s="185">
        <v>0</v>
      </c>
      <c r="I31" t="s">
        <v>481</v>
      </c>
      <c r="J31" t="s">
        <v>459</v>
      </c>
      <c r="K31" t="s">
        <v>474</v>
      </c>
      <c r="L31">
        <v>0</v>
      </c>
      <c r="M31">
        <v>44865</v>
      </c>
      <c r="N31" t="s">
        <v>78</v>
      </c>
      <c r="O31" s="16">
        <v>44714.401491666664</v>
      </c>
      <c r="P31" t="s">
        <v>446</v>
      </c>
      <c r="Q31" t="s">
        <v>482</v>
      </c>
      <c r="R31" t="s">
        <v>353</v>
      </c>
      <c r="S31" t="s">
        <v>448</v>
      </c>
      <c r="T31" t="s">
        <v>412</v>
      </c>
      <c r="U31" s="15">
        <v>44696</v>
      </c>
      <c r="V31">
        <f>_xlfn.XLOOKUP(Table2[[#This Row],[Primary Dept Description]],'Lookup tables'!$U$17:$U$117,'Lookup tables'!$T$17:$T$117,"")</f>
        <v>82</v>
      </c>
      <c r="W31" s="15">
        <f>IF(OR(Table2[[#This Row],[Revised Award]]=0,Table2[[#This Row],[Revised Award]]=""),IF(OR(Table2[[#This Row],[Planned Award]]=0,Table2[[#This Row],[Planned Award]]=""),"Not Updated",Table2[[#This Row],[Planned Award]]),Table2[[#This Row],[Revised Award]])</f>
        <v>44805</v>
      </c>
      <c r="X31" t="str">
        <f>_xlfn.XLOOKUP(Table2[[#This Row],[Milestone]],'Lookup tables'!$Y$27:$Y$60,'Lookup tables'!$Z$27:$Z$60,"Not Updated")</f>
        <v>RFPX underway</v>
      </c>
      <c r="Y31" cm="1">
        <f t="array" ref="Y31">IF(_xlfn._xlws.FILTER(Table1[Spend - CAN],(Table1[Execution Year]=Table2[[#This Row],[Execution Year]])*(Table1[SBU]=Table2[[#This Row],[SBU]])*(Table1[Category]=Table2[[#This Row],[Category]])*(Table1[Most curent]=TRUE),"NF")&gt;0,1,0)</f>
        <v>1</v>
      </c>
      <c r="Z31" cm="1">
        <f t="array" ref="Z31">IF(_xlfn._xlws.FILTER(Table1[Spend - MEX],(Table1[Execution Year]=Table2[[#This Row],[Execution Year]])*(Table1[SBU]=Table2[[#This Row],[SBU]])*(Table1[Category]=Table2[[#This Row],[Category]])*(Table1[Most curent]=TRUE),"NF")&gt;0,1,0)</f>
        <v>0</v>
      </c>
      <c r="AA31" cm="1">
        <f t="array" ref="AA31">IF(_xlfn._xlws.FILTER(Table1[Spend - CAM],(Table1[Execution Year]=Table2[[#This Row],[Execution Year]])*(Table1[SBU]=Table2[[#This Row],[SBU]])*(Table1[Category]=Table2[[#This Row],[Category]])*(Table1[Most curent]=TRUE),"NF")&gt;0,1,0)</f>
        <v>0</v>
      </c>
      <c r="AB31" cm="1">
        <f t="array" ref="AB31">IF(_xlfn._xlws.FILTER(Table1[Spend - CHL],(Table1[Execution Year]=Table2[[#This Row],[Execution Year]])*(Table1[SBU]=Table2[[#This Row],[SBU]])*(Table1[Category]=Table2[[#This Row],[Category]])*(Table1[Most curent]=TRUE),"NF")&gt;0,1,0)</f>
        <v>0</v>
      </c>
      <c r="AC31" cm="1">
        <f t="array" ref="AC31">IF(_xlfn._xlws.FILTER(Table1[Spend - ARG],(Table1[Execution Year]=Table2[[#This Row],[Execution Year]])*(Table1[SBU]=Table2[[#This Row],[SBU]])*(Table1[Category]=Table2[[#This Row],[Category]])*(Table1[Most curent]=TRUE),"NF")&gt;0,1,0)</f>
        <v>0</v>
      </c>
      <c r="AD31" cm="1">
        <f t="array" ref="AD31">IF(_xlfn._xlws.FILTER(Table1[Spend - CHN],(Table1[Execution Year]=Table2[[#This Row],[Execution Year]])*(Table1[SBU]=Table2[[#This Row],[SBU]])*(Table1[Category]=Table2[[#This Row],[Category]])*(Table1[Most curent]=TRUE),"NF")&gt;0,1,0)</f>
        <v>0</v>
      </c>
      <c r="AE31" cm="1">
        <f t="array" ref="AE31">IF(_xlfn._xlws.FILTER(Table1[Spend - JAP],(Table1[Execution Year]=Table2[[#This Row],[Execution Year]])*(Table1[SBU]=Table2[[#This Row],[SBU]])*(Table1[Category]=Table2[[#This Row],[Category]])*(Table1[Most curent]=TRUE),"NF")&gt;0,1,0)</f>
        <v>0</v>
      </c>
      <c r="AF31" cm="1">
        <f t="array" ref="AF31">IF(_xlfn._xlws.FILTER(Table1[Spend - UKN],(Table1[Execution Year]=Table2[[#This Row],[Execution Year]])*(Table1[SBU]=Table2[[#This Row],[SBU]])*(Table1[Category]=Table2[[#This Row],[Category]])*(Table1[Most curent]=TRUE),"NF")&gt;0,1,0)</f>
        <v>0</v>
      </c>
      <c r="AG31" cm="1">
        <f t="array" ref="AG31">IF(_xlfn._xlws.FILTER(Table1[Spend - SAF],(Table1[Execution Year]=Table2[[#This Row],[Execution Year]])*(Table1[SBU]=Table2[[#This Row],[SBU]])*(Table1[Category]=Table2[[#This Row],[Category]])*(Table1[Most curent]=TRUE),"NF")&gt;0,1,0)</f>
        <v>0</v>
      </c>
      <c r="AH31" cm="1">
        <f t="array" ref="AH31">IF(_xlfn._xlws.FILTER(Table1[Spend - US],(Table1[Execution Year]=Table2[[#This Row],[Execution Year]])*(Table1[SBU]=Table2[[#This Row],[SBU]])*(Table1[Category]=Table2[[#This Row],[Category]])*(Table1[Most curent]=TRUE),"NF")&gt;0,1,0)</f>
        <v>1</v>
      </c>
      <c r="AI31" cm="1">
        <f t="array" ref="AI31">IF(_xlfn._xlws.FILTER(Table1[Spend - Sams],(Table1[Execution Year]=Table2[[#This Row],[Execution Year]])*(Table1[SBU]=Table2[[#This Row],[SBU]])*(Table1[Category]=Table2[[#This Row],[Category]])*(Table1[Most curent]=TRUE),"NF")&gt;0,1,0)</f>
        <v>0</v>
      </c>
      <c r="AJ31" cm="1">
        <f t="array" ref="AJ31">IF(_xlfn._xlws.FILTER(Table1[Spend - Sams Mexico],(Table1[Execution Year]=Table2[[#This Row],[Execution Year]])*(Table1[SBU]=Table2[[#This Row],[SBU]])*(Table1[Category]=Table2[[#This Row],[Category]])*(Table1[Most curent]=TRUE),"NF")&gt;0,1,0)</f>
        <v>0</v>
      </c>
      <c r="AK31" cm="1">
        <f t="array" ref="AK31">IF(_xlfn._xlws.FILTER(Table1[Spend - Sams China],(Table1[Execution Year]=Table2[[#This Row],[Execution Year]])*(Table1[SBU]=Table2[[#This Row],[SBU]])*(Table1[Category]=Table2[[#This Row],[Category]])*(Table1[Most curent]=TRUE),"NF")&gt;0,1,0)</f>
        <v>0</v>
      </c>
      <c r="AL31" cm="1">
        <f t="array" ref="AL31">IF(_xlfn._xlws.FILTER(Table1[Spend - IND],(Table1[Execution Year]=Table2[[#This Row],[Execution Year]])*(Table1[SBU]=Table2[[#This Row],[SBU]])*(Table1[Category]=Table2[[#This Row],[Category]])*(Table1[Most curent]=TRUE),"NF")&gt;0,1,0)</f>
        <v>0</v>
      </c>
    </row>
    <row r="32" spans="1:38">
      <c r="A32" t="str">
        <f>Table2[[#This Row],[Execution Year]]&amp;Table2[[#This Row],[SBU]]&amp;Table2[[#This Row],[Category]]</f>
        <v>FY23ConsumablesWet pet food</v>
      </c>
      <c r="B32" t="s">
        <v>80</v>
      </c>
      <c r="C32" t="s">
        <v>43</v>
      </c>
      <c r="D32" t="s">
        <v>322</v>
      </c>
      <c r="E32" s="185">
        <v>44655</v>
      </c>
      <c r="F32" s="185">
        <v>44694</v>
      </c>
      <c r="G32" s="185">
        <v>0</v>
      </c>
      <c r="H32" s="185">
        <v>0</v>
      </c>
      <c r="I32" t="s">
        <v>463</v>
      </c>
      <c r="J32" t="s">
        <v>459</v>
      </c>
      <c r="K32" t="s">
        <v>445</v>
      </c>
      <c r="L32">
        <v>0</v>
      </c>
      <c r="M32">
        <v>44754</v>
      </c>
      <c r="N32" t="s">
        <v>78</v>
      </c>
      <c r="O32" s="16">
        <v>44732.718470601852</v>
      </c>
      <c r="P32">
        <v>0</v>
      </c>
      <c r="Q32">
        <v>0</v>
      </c>
      <c r="R32" t="s">
        <v>353</v>
      </c>
      <c r="S32">
        <v>0</v>
      </c>
      <c r="T32">
        <v>0</v>
      </c>
      <c r="U32">
        <v>0</v>
      </c>
      <c r="V32" t="str">
        <f>_xlfn.XLOOKUP(Table2[[#This Row],[Primary Dept Description]],'Lookup tables'!$U$17:$U$117,'Lookup tables'!$T$17:$T$117,"")</f>
        <v/>
      </c>
      <c r="W32" s="15">
        <f>IF(OR(Table2[[#This Row],[Revised Award]]=0,Table2[[#This Row],[Revised Award]]=""),IF(OR(Table2[[#This Row],[Planned Award]]=0,Table2[[#This Row],[Planned Award]]=""),"Not Updated",Table2[[#This Row],[Planned Award]]),Table2[[#This Row],[Revised Award]])</f>
        <v>44694</v>
      </c>
      <c r="X32" t="str">
        <f>_xlfn.XLOOKUP(Table2[[#This Row],[Milestone]],'Lookup tables'!$Y$27:$Y$60,'Lookup tables'!$Z$27:$Z$60,"Not Updated")</f>
        <v>Pending PB/Merch Approval</v>
      </c>
      <c r="Y32" cm="1">
        <f t="array" ref="Y32">IF(_xlfn._xlws.FILTER(Table1[Spend - CAN],(Table1[Execution Year]=Table2[[#This Row],[Execution Year]])*(Table1[SBU]=Table2[[#This Row],[SBU]])*(Table1[Category]=Table2[[#This Row],[Category]])*(Table1[Most curent]=TRUE),"NF")&gt;0,1,0)</f>
        <v>0</v>
      </c>
      <c r="Z32" cm="1">
        <f t="array" ref="Z32">IF(_xlfn._xlws.FILTER(Table1[Spend - MEX],(Table1[Execution Year]=Table2[[#This Row],[Execution Year]])*(Table1[SBU]=Table2[[#This Row],[SBU]])*(Table1[Category]=Table2[[#This Row],[Category]])*(Table1[Most curent]=TRUE),"NF")&gt;0,1,0)</f>
        <v>0</v>
      </c>
      <c r="AA32" cm="1">
        <f t="array" ref="AA32">IF(_xlfn._xlws.FILTER(Table1[Spend - CAM],(Table1[Execution Year]=Table2[[#This Row],[Execution Year]])*(Table1[SBU]=Table2[[#This Row],[SBU]])*(Table1[Category]=Table2[[#This Row],[Category]])*(Table1[Most curent]=TRUE),"NF")&gt;0,1,0)</f>
        <v>0</v>
      </c>
      <c r="AB32" cm="1">
        <f t="array" ref="AB32">IF(_xlfn._xlws.FILTER(Table1[Spend - CHL],(Table1[Execution Year]=Table2[[#This Row],[Execution Year]])*(Table1[SBU]=Table2[[#This Row],[SBU]])*(Table1[Category]=Table2[[#This Row],[Category]])*(Table1[Most curent]=TRUE),"NF")&gt;0,1,0)</f>
        <v>0</v>
      </c>
      <c r="AC32" cm="1">
        <f t="array" ref="AC32">IF(_xlfn._xlws.FILTER(Table1[Spend - ARG],(Table1[Execution Year]=Table2[[#This Row],[Execution Year]])*(Table1[SBU]=Table2[[#This Row],[SBU]])*(Table1[Category]=Table2[[#This Row],[Category]])*(Table1[Most curent]=TRUE),"NF")&gt;0,1,0)</f>
        <v>0</v>
      </c>
      <c r="AD32" cm="1">
        <f t="array" ref="AD32">IF(_xlfn._xlws.FILTER(Table1[Spend - CHN],(Table1[Execution Year]=Table2[[#This Row],[Execution Year]])*(Table1[SBU]=Table2[[#This Row],[SBU]])*(Table1[Category]=Table2[[#This Row],[Category]])*(Table1[Most curent]=TRUE),"NF")&gt;0,1,0)</f>
        <v>0</v>
      </c>
      <c r="AE32" cm="1">
        <f t="array" ref="AE32">IF(_xlfn._xlws.FILTER(Table1[Spend - JAP],(Table1[Execution Year]=Table2[[#This Row],[Execution Year]])*(Table1[SBU]=Table2[[#This Row],[SBU]])*(Table1[Category]=Table2[[#This Row],[Category]])*(Table1[Most curent]=TRUE),"NF")&gt;0,1,0)</f>
        <v>0</v>
      </c>
      <c r="AF32" cm="1">
        <f t="array" ref="AF32">IF(_xlfn._xlws.FILTER(Table1[Spend - UKN],(Table1[Execution Year]=Table2[[#This Row],[Execution Year]])*(Table1[SBU]=Table2[[#This Row],[SBU]])*(Table1[Category]=Table2[[#This Row],[Category]])*(Table1[Most curent]=TRUE),"NF")&gt;0,1,0)</f>
        <v>0</v>
      </c>
      <c r="AG32" cm="1">
        <f t="array" ref="AG32">IF(_xlfn._xlws.FILTER(Table1[Spend - SAF],(Table1[Execution Year]=Table2[[#This Row],[Execution Year]])*(Table1[SBU]=Table2[[#This Row],[SBU]])*(Table1[Category]=Table2[[#This Row],[Category]])*(Table1[Most curent]=TRUE),"NF")&gt;0,1,0)</f>
        <v>0</v>
      </c>
      <c r="AH32" cm="1">
        <f t="array" ref="AH32">IF(_xlfn._xlws.FILTER(Table1[Spend - US],(Table1[Execution Year]=Table2[[#This Row],[Execution Year]])*(Table1[SBU]=Table2[[#This Row],[SBU]])*(Table1[Category]=Table2[[#This Row],[Category]])*(Table1[Most curent]=TRUE),"NF")&gt;0,1,0)</f>
        <v>1</v>
      </c>
      <c r="AI32" cm="1">
        <f t="array" ref="AI32">IF(_xlfn._xlws.FILTER(Table1[Spend - Sams],(Table1[Execution Year]=Table2[[#This Row],[Execution Year]])*(Table1[SBU]=Table2[[#This Row],[SBU]])*(Table1[Category]=Table2[[#This Row],[Category]])*(Table1[Most curent]=TRUE),"NF")&gt;0,1,0)</f>
        <v>0</v>
      </c>
      <c r="AJ32" cm="1">
        <f t="array" ref="AJ32">IF(_xlfn._xlws.FILTER(Table1[Spend - Sams Mexico],(Table1[Execution Year]=Table2[[#This Row],[Execution Year]])*(Table1[SBU]=Table2[[#This Row],[SBU]])*(Table1[Category]=Table2[[#This Row],[Category]])*(Table1[Most curent]=TRUE),"NF")&gt;0,1,0)</f>
        <v>0</v>
      </c>
      <c r="AK32" cm="1">
        <f t="array" ref="AK32">IF(_xlfn._xlws.FILTER(Table1[Spend - Sams China],(Table1[Execution Year]=Table2[[#This Row],[Execution Year]])*(Table1[SBU]=Table2[[#This Row],[SBU]])*(Table1[Category]=Table2[[#This Row],[Category]])*(Table1[Most curent]=TRUE),"NF")&gt;0,1,0)</f>
        <v>0</v>
      </c>
      <c r="AL32" cm="1">
        <f t="array" ref="AL32">IF(_xlfn._xlws.FILTER(Table1[Spend - IND],(Table1[Execution Year]=Table2[[#This Row],[Execution Year]])*(Table1[SBU]=Table2[[#This Row],[SBU]])*(Table1[Category]=Table2[[#This Row],[Category]])*(Table1[Most curent]=TRUE),"NF")&gt;0,1,0)</f>
        <v>0</v>
      </c>
    </row>
    <row r="33" spans="1:38">
      <c r="A33" t="str">
        <f>Table2[[#This Row],[Execution Year]]&amp;Table2[[#This Row],[SBU]]&amp;Table2[[#This Row],[Category]]</f>
        <v>FY23ConsumablesAbsorbent pads</v>
      </c>
      <c r="B33" t="s">
        <v>483</v>
      </c>
      <c r="C33" t="s">
        <v>43</v>
      </c>
      <c r="D33" t="s">
        <v>322</v>
      </c>
      <c r="E33" s="185">
        <v>44682</v>
      </c>
      <c r="F33" s="185">
        <v>44774</v>
      </c>
      <c r="G33" s="185">
        <v>0</v>
      </c>
      <c r="H33" s="185">
        <v>0</v>
      </c>
      <c r="I33" t="s">
        <v>484</v>
      </c>
      <c r="J33" t="s">
        <v>459</v>
      </c>
      <c r="K33" t="s">
        <v>454</v>
      </c>
      <c r="L33">
        <v>0</v>
      </c>
      <c r="M33">
        <v>44834</v>
      </c>
      <c r="N33" t="s">
        <v>78</v>
      </c>
      <c r="O33" s="16">
        <v>44676.349561226853</v>
      </c>
      <c r="P33">
        <v>0</v>
      </c>
      <c r="Q33">
        <v>0</v>
      </c>
      <c r="R33" t="s">
        <v>353</v>
      </c>
      <c r="S33">
        <v>0</v>
      </c>
      <c r="V33" t="str">
        <f>_xlfn.XLOOKUP(Table2[[#This Row],[Primary Dept Description]],'Lookup tables'!$U$17:$U$117,'Lookup tables'!$T$17:$T$117,"")</f>
        <v/>
      </c>
      <c r="W33" s="15">
        <f>IF(OR(Table2[[#This Row],[Revised Award]]=0,Table2[[#This Row],[Revised Award]]=""),IF(OR(Table2[[#This Row],[Planned Award]]=0,Table2[[#This Row],[Planned Award]]=""),"Not Updated",Table2[[#This Row],[Planned Award]]),Table2[[#This Row],[Revised Award]])</f>
        <v>44774</v>
      </c>
      <c r="X33" t="str">
        <f>_xlfn.XLOOKUP(Table2[[#This Row],[Milestone]],'Lookup tables'!$Y$27:$Y$60,'Lookup tables'!$Z$27:$Z$60,"Not Updated")</f>
        <v>Bid Prep</v>
      </c>
      <c r="Y33" cm="1">
        <f t="array" ref="Y33">IF(_xlfn._xlws.FILTER(Table1[Spend - CAN],(Table1[Execution Year]=Table2[[#This Row],[Execution Year]])*(Table1[SBU]=Table2[[#This Row],[SBU]])*(Table1[Category]=Table2[[#This Row],[Category]])*(Table1[Most curent]=TRUE),"NF")&gt;0,1,0)</f>
        <v>1</v>
      </c>
      <c r="Z33" cm="1">
        <f t="array" ref="Z33">IF(_xlfn._xlws.FILTER(Table1[Spend - MEX],(Table1[Execution Year]=Table2[[#This Row],[Execution Year]])*(Table1[SBU]=Table2[[#This Row],[SBU]])*(Table1[Category]=Table2[[#This Row],[Category]])*(Table1[Most curent]=TRUE),"NF")&gt;0,1,0)</f>
        <v>0</v>
      </c>
      <c r="AA33" cm="1">
        <f t="array" ref="AA33">IF(_xlfn._xlws.FILTER(Table1[Spend - CAM],(Table1[Execution Year]=Table2[[#This Row],[Execution Year]])*(Table1[SBU]=Table2[[#This Row],[SBU]])*(Table1[Category]=Table2[[#This Row],[Category]])*(Table1[Most curent]=TRUE),"NF")&gt;0,1,0)</f>
        <v>0</v>
      </c>
      <c r="AB33" cm="1">
        <f t="array" ref="AB33">IF(_xlfn._xlws.FILTER(Table1[Spend - CHL],(Table1[Execution Year]=Table2[[#This Row],[Execution Year]])*(Table1[SBU]=Table2[[#This Row],[SBU]])*(Table1[Category]=Table2[[#This Row],[Category]])*(Table1[Most curent]=TRUE),"NF")&gt;0,1,0)</f>
        <v>0</v>
      </c>
      <c r="AC33" cm="1">
        <f t="array" ref="AC33">IF(_xlfn._xlws.FILTER(Table1[Spend - ARG],(Table1[Execution Year]=Table2[[#This Row],[Execution Year]])*(Table1[SBU]=Table2[[#This Row],[SBU]])*(Table1[Category]=Table2[[#This Row],[Category]])*(Table1[Most curent]=TRUE),"NF")&gt;0,1,0)</f>
        <v>0</v>
      </c>
      <c r="AD33" cm="1">
        <f t="array" ref="AD33">IF(_xlfn._xlws.FILTER(Table1[Spend - CHN],(Table1[Execution Year]=Table2[[#This Row],[Execution Year]])*(Table1[SBU]=Table2[[#This Row],[SBU]])*(Table1[Category]=Table2[[#This Row],[Category]])*(Table1[Most curent]=TRUE),"NF")&gt;0,1,0)</f>
        <v>0</v>
      </c>
      <c r="AE33" cm="1">
        <f t="array" ref="AE33">IF(_xlfn._xlws.FILTER(Table1[Spend - JAP],(Table1[Execution Year]=Table2[[#This Row],[Execution Year]])*(Table1[SBU]=Table2[[#This Row],[SBU]])*(Table1[Category]=Table2[[#This Row],[Category]])*(Table1[Most curent]=TRUE),"NF")&gt;0,1,0)</f>
        <v>0</v>
      </c>
      <c r="AF33" cm="1">
        <f t="array" ref="AF33">IF(_xlfn._xlws.FILTER(Table1[Spend - UKN],(Table1[Execution Year]=Table2[[#This Row],[Execution Year]])*(Table1[SBU]=Table2[[#This Row],[SBU]])*(Table1[Category]=Table2[[#This Row],[Category]])*(Table1[Most curent]=TRUE),"NF")&gt;0,1,0)</f>
        <v>0</v>
      </c>
      <c r="AG33" cm="1">
        <f t="array" ref="AG33">IF(_xlfn._xlws.FILTER(Table1[Spend - SAF],(Table1[Execution Year]=Table2[[#This Row],[Execution Year]])*(Table1[SBU]=Table2[[#This Row],[SBU]])*(Table1[Category]=Table2[[#This Row],[Category]])*(Table1[Most curent]=TRUE),"NF")&gt;0,1,0)</f>
        <v>0</v>
      </c>
      <c r="AH33" cm="1">
        <f t="array" ref="AH33">IF(_xlfn._xlws.FILTER(Table1[Spend - US],(Table1[Execution Year]=Table2[[#This Row],[Execution Year]])*(Table1[SBU]=Table2[[#This Row],[SBU]])*(Table1[Category]=Table2[[#This Row],[Category]])*(Table1[Most curent]=TRUE),"NF")&gt;0,1,0)</f>
        <v>1</v>
      </c>
      <c r="AI33" cm="1">
        <f t="array" ref="AI33">IF(_xlfn._xlws.FILTER(Table1[Spend - Sams],(Table1[Execution Year]=Table2[[#This Row],[Execution Year]])*(Table1[SBU]=Table2[[#This Row],[SBU]])*(Table1[Category]=Table2[[#This Row],[Category]])*(Table1[Most curent]=TRUE),"NF")&gt;0,1,0)</f>
        <v>0</v>
      </c>
      <c r="AJ33" cm="1">
        <f t="array" ref="AJ33">IF(_xlfn._xlws.FILTER(Table1[Spend - Sams Mexico],(Table1[Execution Year]=Table2[[#This Row],[Execution Year]])*(Table1[SBU]=Table2[[#This Row],[SBU]])*(Table1[Category]=Table2[[#This Row],[Category]])*(Table1[Most curent]=TRUE),"NF")&gt;0,1,0)</f>
        <v>0</v>
      </c>
      <c r="AK33" cm="1">
        <f t="array" ref="AK33">IF(_xlfn._xlws.FILTER(Table1[Spend - Sams China],(Table1[Execution Year]=Table2[[#This Row],[Execution Year]])*(Table1[SBU]=Table2[[#This Row],[SBU]])*(Table1[Category]=Table2[[#This Row],[Category]])*(Table1[Most curent]=TRUE),"NF")&gt;0,1,0)</f>
        <v>0</v>
      </c>
      <c r="AL33" cm="1">
        <f t="array" ref="AL33">IF(_xlfn._xlws.FILTER(Table1[Spend - IND],(Table1[Execution Year]=Table2[[#This Row],[Execution Year]])*(Table1[SBU]=Table2[[#This Row],[SBU]])*(Table1[Category]=Table2[[#This Row],[Category]])*(Table1[Most curent]=TRUE),"NF")&gt;0,1,0)</f>
        <v>0</v>
      </c>
    </row>
    <row r="34" spans="1:38">
      <c r="A34" t="str">
        <f>Table2[[#This Row],[Execution Year]]&amp;Table2[[#This Row],[SBU]]&amp;Table2[[#This Row],[Category]]</f>
        <v>FY23HardlinesCopy Paper</v>
      </c>
      <c r="B34" t="s">
        <v>485</v>
      </c>
      <c r="C34" t="s">
        <v>486</v>
      </c>
      <c r="D34" t="s">
        <v>322</v>
      </c>
      <c r="E34" s="185">
        <v>44621</v>
      </c>
      <c r="F34" s="185">
        <v>44712</v>
      </c>
      <c r="G34" s="185">
        <v>0</v>
      </c>
      <c r="H34" s="185">
        <v>0</v>
      </c>
      <c r="I34" t="s">
        <v>484</v>
      </c>
      <c r="J34" t="s">
        <v>459</v>
      </c>
      <c r="K34" t="s">
        <v>462</v>
      </c>
      <c r="L34" t="s">
        <v>462</v>
      </c>
      <c r="M34">
        <v>44772</v>
      </c>
      <c r="N34" t="s">
        <v>34</v>
      </c>
      <c r="O34" s="16">
        <v>44595.608016550927</v>
      </c>
      <c r="P34" t="s">
        <v>446</v>
      </c>
      <c r="Q34" t="s">
        <v>487</v>
      </c>
      <c r="S34" t="s">
        <v>451</v>
      </c>
      <c r="V34">
        <f>_xlfn.XLOOKUP(Table2[[#This Row],[Primary Dept Description]],'Lookup tables'!$U$17:$U$117,'Lookup tables'!$T$17:$T$117,"")</f>
        <v>3</v>
      </c>
      <c r="W34" s="15">
        <f>IF(OR(Table2[[#This Row],[Revised Award]]=0,Table2[[#This Row],[Revised Award]]=""),IF(OR(Table2[[#This Row],[Planned Award]]=0,Table2[[#This Row],[Planned Award]]=""),"Not Updated",Table2[[#This Row],[Planned Award]]),Table2[[#This Row],[Revised Award]])</f>
        <v>44712</v>
      </c>
      <c r="X34" t="str">
        <f>_xlfn.XLOOKUP(Table2[[#This Row],[Milestone]],'Lookup tables'!$Y$27:$Y$60,'Lookup tables'!$Z$27:$Z$60,"Not Updated")</f>
        <v>Bid Prep</v>
      </c>
      <c r="Y34" cm="1">
        <f t="array" ref="Y34">IF(_xlfn._xlws.FILTER(Table1[Spend - CAN],(Table1[Execution Year]=Table2[[#This Row],[Execution Year]])*(Table1[SBU]=Table2[[#This Row],[SBU]])*(Table1[Category]=Table2[[#This Row],[Category]])*(Table1[Most curent]=TRUE),"NF")&gt;0,1,0)</f>
        <v>1</v>
      </c>
      <c r="Z34" cm="1">
        <f t="array" ref="Z34">IF(_xlfn._xlws.FILTER(Table1[Spend - MEX],(Table1[Execution Year]=Table2[[#This Row],[Execution Year]])*(Table1[SBU]=Table2[[#This Row],[SBU]])*(Table1[Category]=Table2[[#This Row],[Category]])*(Table1[Most curent]=TRUE),"NF")&gt;0,1,0)</f>
        <v>0</v>
      </c>
      <c r="AA34" cm="1">
        <f t="array" ref="AA34">IF(_xlfn._xlws.FILTER(Table1[Spend - CAM],(Table1[Execution Year]=Table2[[#This Row],[Execution Year]])*(Table1[SBU]=Table2[[#This Row],[SBU]])*(Table1[Category]=Table2[[#This Row],[Category]])*(Table1[Most curent]=TRUE),"NF")&gt;0,1,0)</f>
        <v>0</v>
      </c>
      <c r="AB34" cm="1">
        <f t="array" ref="AB34">IF(_xlfn._xlws.FILTER(Table1[Spend - CHL],(Table1[Execution Year]=Table2[[#This Row],[Execution Year]])*(Table1[SBU]=Table2[[#This Row],[SBU]])*(Table1[Category]=Table2[[#This Row],[Category]])*(Table1[Most curent]=TRUE),"NF")&gt;0,1,0)</f>
        <v>0</v>
      </c>
      <c r="AC34" cm="1">
        <f t="array" ref="AC34">IF(_xlfn._xlws.FILTER(Table1[Spend - ARG],(Table1[Execution Year]=Table2[[#This Row],[Execution Year]])*(Table1[SBU]=Table2[[#This Row],[SBU]])*(Table1[Category]=Table2[[#This Row],[Category]])*(Table1[Most curent]=TRUE),"NF")&gt;0,1,0)</f>
        <v>0</v>
      </c>
      <c r="AD34" cm="1">
        <f t="array" ref="AD34">IF(_xlfn._xlws.FILTER(Table1[Spend - CHN],(Table1[Execution Year]=Table2[[#This Row],[Execution Year]])*(Table1[SBU]=Table2[[#This Row],[SBU]])*(Table1[Category]=Table2[[#This Row],[Category]])*(Table1[Most curent]=TRUE),"NF")&gt;0,1,0)</f>
        <v>0</v>
      </c>
      <c r="AE34" cm="1">
        <f t="array" ref="AE34">IF(_xlfn._xlws.FILTER(Table1[Spend - JAP],(Table1[Execution Year]=Table2[[#This Row],[Execution Year]])*(Table1[SBU]=Table2[[#This Row],[SBU]])*(Table1[Category]=Table2[[#This Row],[Category]])*(Table1[Most curent]=TRUE),"NF")&gt;0,1,0)</f>
        <v>0</v>
      </c>
      <c r="AF34" cm="1">
        <f t="array" ref="AF34">IF(_xlfn._xlws.FILTER(Table1[Spend - UKN],(Table1[Execution Year]=Table2[[#This Row],[Execution Year]])*(Table1[SBU]=Table2[[#This Row],[SBU]])*(Table1[Category]=Table2[[#This Row],[Category]])*(Table1[Most curent]=TRUE),"NF")&gt;0,1,0)</f>
        <v>0</v>
      </c>
      <c r="AG34" cm="1">
        <f t="array" ref="AG34">IF(_xlfn._xlws.FILTER(Table1[Spend - SAF],(Table1[Execution Year]=Table2[[#This Row],[Execution Year]])*(Table1[SBU]=Table2[[#This Row],[SBU]])*(Table1[Category]=Table2[[#This Row],[Category]])*(Table1[Most curent]=TRUE),"NF")&gt;0,1,0)</f>
        <v>0</v>
      </c>
      <c r="AH34" cm="1">
        <f t="array" ref="AH34">IF(_xlfn._xlws.FILTER(Table1[Spend - US],(Table1[Execution Year]=Table2[[#This Row],[Execution Year]])*(Table1[SBU]=Table2[[#This Row],[SBU]])*(Table1[Category]=Table2[[#This Row],[Category]])*(Table1[Most curent]=TRUE),"NF")&gt;0,1,0)</f>
        <v>1</v>
      </c>
      <c r="AI34" cm="1">
        <f t="array" ref="AI34">IF(_xlfn._xlws.FILTER(Table1[Spend - Sams],(Table1[Execution Year]=Table2[[#This Row],[Execution Year]])*(Table1[SBU]=Table2[[#This Row],[SBU]])*(Table1[Category]=Table2[[#This Row],[Category]])*(Table1[Most curent]=TRUE),"NF")&gt;0,1,0)</f>
        <v>1</v>
      </c>
      <c r="AJ34" cm="1">
        <f t="array" ref="AJ34">IF(_xlfn._xlws.FILTER(Table1[Spend - Sams Mexico],(Table1[Execution Year]=Table2[[#This Row],[Execution Year]])*(Table1[SBU]=Table2[[#This Row],[SBU]])*(Table1[Category]=Table2[[#This Row],[Category]])*(Table1[Most curent]=TRUE),"NF")&gt;0,1,0)</f>
        <v>0</v>
      </c>
      <c r="AK34" cm="1">
        <f t="array" ref="AK34">IF(_xlfn._xlws.FILTER(Table1[Spend - Sams China],(Table1[Execution Year]=Table2[[#This Row],[Execution Year]])*(Table1[SBU]=Table2[[#This Row],[SBU]])*(Table1[Category]=Table2[[#This Row],[Category]])*(Table1[Most curent]=TRUE),"NF")&gt;0,1,0)</f>
        <v>0</v>
      </c>
      <c r="AL34" cm="1">
        <f t="array" ref="AL34">IF(_xlfn._xlws.FILTER(Table1[Spend - IND],(Table1[Execution Year]=Table2[[#This Row],[Execution Year]])*(Table1[SBU]=Table2[[#This Row],[SBU]])*(Table1[Category]=Table2[[#This Row],[Category]])*(Table1[Most curent]=TRUE),"NF")&gt;0,1,0)</f>
        <v>0</v>
      </c>
    </row>
    <row r="35" spans="1:38">
      <c r="A35" t="str">
        <f>Table2[[#This Row],[Execution Year]]&amp;Table2[[#This Row],[SBU]]&amp;Table2[[#This Row],[Category]]</f>
        <v>FY23FoodDairy Creamers and Half n Half</v>
      </c>
      <c r="B35" t="s">
        <v>488</v>
      </c>
      <c r="C35" t="s">
        <v>33</v>
      </c>
      <c r="D35" t="s">
        <v>322</v>
      </c>
      <c r="E35" s="185">
        <v>44562</v>
      </c>
      <c r="F35" s="185">
        <v>44681</v>
      </c>
      <c r="G35" s="185">
        <v>44736</v>
      </c>
      <c r="H35" s="185">
        <v>44736</v>
      </c>
      <c r="I35" t="s">
        <v>415</v>
      </c>
      <c r="J35" t="s">
        <v>489</v>
      </c>
      <c r="K35" t="s">
        <v>490</v>
      </c>
      <c r="L35" t="s">
        <v>491</v>
      </c>
      <c r="M35">
        <v>44796</v>
      </c>
      <c r="N35" t="s">
        <v>490</v>
      </c>
      <c r="O35" s="16">
        <v>44730.49777696759</v>
      </c>
      <c r="P35" t="s">
        <v>492</v>
      </c>
      <c r="Q35" t="s">
        <v>493</v>
      </c>
      <c r="R35" t="s">
        <v>353</v>
      </c>
      <c r="S35" t="s">
        <v>494</v>
      </c>
      <c r="T35">
        <v>0</v>
      </c>
      <c r="U35">
        <v>0</v>
      </c>
      <c r="V35">
        <f>_xlfn.XLOOKUP(Table2[[#This Row],[Primary Dept Description]],'Lookup tables'!$U$17:$U$117,'Lookup tables'!$T$17:$T$117,"")</f>
        <v>90</v>
      </c>
      <c r="W35" s="15">
        <f>IF(OR(Table2[[#This Row],[Revised Award]]=0,Table2[[#This Row],[Revised Award]]=""),IF(OR(Table2[[#This Row],[Planned Award]]=0,Table2[[#This Row],[Planned Award]]=""),"Not Updated",Table2[[#This Row],[Planned Award]]),Table2[[#This Row],[Revised Award]])</f>
        <v>44736</v>
      </c>
      <c r="X35" t="str">
        <f>_xlfn.XLOOKUP(Table2[[#This Row],[Milestone]],'Lookup tables'!$Y$27:$Y$60,'Lookup tables'!$Z$27:$Z$60,"Not Updated")</f>
        <v>Award</v>
      </c>
      <c r="Y35" cm="1">
        <f t="array" ref="Y35">IF(_xlfn._xlws.FILTER(Table1[Spend - CAN],(Table1[Execution Year]=Table2[[#This Row],[Execution Year]])*(Table1[SBU]=Table2[[#This Row],[SBU]])*(Table1[Category]=Table2[[#This Row],[Category]])*(Table1[Most curent]=TRUE),"NF")&gt;0,1,0)</f>
        <v>0</v>
      </c>
      <c r="Z35" cm="1">
        <f t="array" ref="Z35">IF(_xlfn._xlws.FILTER(Table1[Spend - MEX],(Table1[Execution Year]=Table2[[#This Row],[Execution Year]])*(Table1[SBU]=Table2[[#This Row],[SBU]])*(Table1[Category]=Table2[[#This Row],[Category]])*(Table1[Most curent]=TRUE),"NF")&gt;0,1,0)</f>
        <v>0</v>
      </c>
      <c r="AA35" cm="1">
        <f t="array" ref="AA35">IF(_xlfn._xlws.FILTER(Table1[Spend - CAM],(Table1[Execution Year]=Table2[[#This Row],[Execution Year]])*(Table1[SBU]=Table2[[#This Row],[SBU]])*(Table1[Category]=Table2[[#This Row],[Category]])*(Table1[Most curent]=TRUE),"NF")&gt;0,1,0)</f>
        <v>0</v>
      </c>
      <c r="AB35" cm="1">
        <f t="array" ref="AB35">IF(_xlfn._xlws.FILTER(Table1[Spend - CHL],(Table1[Execution Year]=Table2[[#This Row],[Execution Year]])*(Table1[SBU]=Table2[[#This Row],[SBU]])*(Table1[Category]=Table2[[#This Row],[Category]])*(Table1[Most curent]=TRUE),"NF")&gt;0,1,0)</f>
        <v>0</v>
      </c>
      <c r="AC35" cm="1">
        <f t="array" ref="AC35">IF(_xlfn._xlws.FILTER(Table1[Spend - ARG],(Table1[Execution Year]=Table2[[#This Row],[Execution Year]])*(Table1[SBU]=Table2[[#This Row],[SBU]])*(Table1[Category]=Table2[[#This Row],[Category]])*(Table1[Most curent]=TRUE),"NF")&gt;0,1,0)</f>
        <v>0</v>
      </c>
      <c r="AD35" cm="1">
        <f t="array" ref="AD35">IF(_xlfn._xlws.FILTER(Table1[Spend - CHN],(Table1[Execution Year]=Table2[[#This Row],[Execution Year]])*(Table1[SBU]=Table2[[#This Row],[SBU]])*(Table1[Category]=Table2[[#This Row],[Category]])*(Table1[Most curent]=TRUE),"NF")&gt;0,1,0)</f>
        <v>0</v>
      </c>
      <c r="AE35" cm="1">
        <f t="array" ref="AE35">IF(_xlfn._xlws.FILTER(Table1[Spend - JAP],(Table1[Execution Year]=Table2[[#This Row],[Execution Year]])*(Table1[SBU]=Table2[[#This Row],[SBU]])*(Table1[Category]=Table2[[#This Row],[Category]])*(Table1[Most curent]=TRUE),"NF")&gt;0,1,0)</f>
        <v>0</v>
      </c>
      <c r="AF35" cm="1">
        <f t="array" ref="AF35">IF(_xlfn._xlws.FILTER(Table1[Spend - UKN],(Table1[Execution Year]=Table2[[#This Row],[Execution Year]])*(Table1[SBU]=Table2[[#This Row],[SBU]])*(Table1[Category]=Table2[[#This Row],[Category]])*(Table1[Most curent]=TRUE),"NF")&gt;0,1,0)</f>
        <v>0</v>
      </c>
      <c r="AG35" cm="1">
        <f t="array" ref="AG35">IF(_xlfn._xlws.FILTER(Table1[Spend - SAF],(Table1[Execution Year]=Table2[[#This Row],[Execution Year]])*(Table1[SBU]=Table2[[#This Row],[SBU]])*(Table1[Category]=Table2[[#This Row],[Category]])*(Table1[Most curent]=TRUE),"NF")&gt;0,1,0)</f>
        <v>0</v>
      </c>
      <c r="AH35" cm="1">
        <f t="array" ref="AH35">IF(_xlfn._xlws.FILTER(Table1[Spend - US],(Table1[Execution Year]=Table2[[#This Row],[Execution Year]])*(Table1[SBU]=Table2[[#This Row],[SBU]])*(Table1[Category]=Table2[[#This Row],[Category]])*(Table1[Most curent]=TRUE),"NF")&gt;0,1,0)</f>
        <v>1</v>
      </c>
      <c r="AI35" cm="1">
        <f t="array" ref="AI35">IF(_xlfn._xlws.FILTER(Table1[Spend - Sams],(Table1[Execution Year]=Table2[[#This Row],[Execution Year]])*(Table1[SBU]=Table2[[#This Row],[SBU]])*(Table1[Category]=Table2[[#This Row],[Category]])*(Table1[Most curent]=TRUE),"NF")&gt;0,1,0)</f>
        <v>1</v>
      </c>
      <c r="AJ35" cm="1">
        <f t="array" ref="AJ35">IF(_xlfn._xlws.FILTER(Table1[Spend - Sams Mexico],(Table1[Execution Year]=Table2[[#This Row],[Execution Year]])*(Table1[SBU]=Table2[[#This Row],[SBU]])*(Table1[Category]=Table2[[#This Row],[Category]])*(Table1[Most curent]=TRUE),"NF")&gt;0,1,0)</f>
        <v>0</v>
      </c>
      <c r="AK35" cm="1">
        <f t="array" ref="AK35">IF(_xlfn._xlws.FILTER(Table1[Spend - Sams China],(Table1[Execution Year]=Table2[[#This Row],[Execution Year]])*(Table1[SBU]=Table2[[#This Row],[SBU]])*(Table1[Category]=Table2[[#This Row],[Category]])*(Table1[Most curent]=TRUE),"NF")&gt;0,1,0)</f>
        <v>0</v>
      </c>
      <c r="AL35" cm="1">
        <f t="array" ref="AL35">IF(_xlfn._xlws.FILTER(Table1[Spend - IND],(Table1[Execution Year]=Table2[[#This Row],[Execution Year]])*(Table1[SBU]=Table2[[#This Row],[SBU]])*(Table1[Category]=Table2[[#This Row],[Category]])*(Table1[Most curent]=TRUE),"NF")&gt;0,1,0)</f>
        <v>0</v>
      </c>
    </row>
    <row r="36" spans="1:38">
      <c r="A36" t="str">
        <f>Table2[[#This Row],[Execution Year]]&amp;Table2[[#This Row],[SBU]]&amp;Table2[[#This Row],[Category]]</f>
        <v>FY23FoodBacon</v>
      </c>
      <c r="B36" t="s">
        <v>495</v>
      </c>
      <c r="C36" t="s">
        <v>33</v>
      </c>
      <c r="D36" t="s">
        <v>322</v>
      </c>
      <c r="E36" s="185"/>
      <c r="F36" s="185"/>
      <c r="G36" s="185"/>
      <c r="H36" s="185"/>
      <c r="I36" t="s">
        <v>413</v>
      </c>
      <c r="J36" t="s">
        <v>459</v>
      </c>
      <c r="K36" t="s">
        <v>496</v>
      </c>
      <c r="O36" s="16"/>
      <c r="V36">
        <f>_xlfn.XLOOKUP(Table2[[#This Row],[Primary Dept Description]],'Lookup tables'!$U$17:$U$117,'Lookup tables'!$T$17:$T$117,"")</f>
        <v>0</v>
      </c>
      <c r="W36" s="15" t="str">
        <f>IF(OR(Table2[[#This Row],[Revised Award]]=0,Table2[[#This Row],[Revised Award]]=""),IF(OR(Table2[[#This Row],[Planned Award]]=0,Table2[[#This Row],[Planned Award]]=""),"Not Updated",Table2[[#This Row],[Planned Award]]),Table2[[#This Row],[Revised Award]])</f>
        <v>Not Updated</v>
      </c>
      <c r="X36" t="str">
        <f>_xlfn.XLOOKUP(Table2[[#This Row],[Milestone]],'Lookup tables'!$Y$27:$Y$60,'Lookup tables'!$Z$27:$Z$60,"Not Updated")</f>
        <v>Bid Prep</v>
      </c>
      <c r="Y36" cm="1">
        <f t="array" ref="Y36">IF(_xlfn._xlws.FILTER(Table1[Spend - CAN],(Table1[Execution Year]=Table2[[#This Row],[Execution Year]])*(Table1[SBU]=Table2[[#This Row],[SBU]])*(Table1[Category]=Table2[[#This Row],[Category]])*(Table1[Most curent]=TRUE),"NF")&gt;0,1,0)</f>
        <v>0</v>
      </c>
      <c r="Z36" cm="1">
        <f t="array" ref="Z36">IF(_xlfn._xlws.FILTER(Table1[Spend - MEX],(Table1[Execution Year]=Table2[[#This Row],[Execution Year]])*(Table1[SBU]=Table2[[#This Row],[SBU]])*(Table1[Category]=Table2[[#This Row],[Category]])*(Table1[Most curent]=TRUE),"NF")&gt;0,1,0)</f>
        <v>0</v>
      </c>
      <c r="AA36" cm="1">
        <f t="array" ref="AA36">IF(_xlfn._xlws.FILTER(Table1[Spend - CAM],(Table1[Execution Year]=Table2[[#This Row],[Execution Year]])*(Table1[SBU]=Table2[[#This Row],[SBU]])*(Table1[Category]=Table2[[#This Row],[Category]])*(Table1[Most curent]=TRUE),"NF")&gt;0,1,0)</f>
        <v>0</v>
      </c>
      <c r="AB36" cm="1">
        <f t="array" ref="AB36">IF(_xlfn._xlws.FILTER(Table1[Spend - CHL],(Table1[Execution Year]=Table2[[#This Row],[Execution Year]])*(Table1[SBU]=Table2[[#This Row],[SBU]])*(Table1[Category]=Table2[[#This Row],[Category]])*(Table1[Most curent]=TRUE),"NF")&gt;0,1,0)</f>
        <v>0</v>
      </c>
      <c r="AC36" cm="1">
        <f t="array" ref="AC36">IF(_xlfn._xlws.FILTER(Table1[Spend - ARG],(Table1[Execution Year]=Table2[[#This Row],[Execution Year]])*(Table1[SBU]=Table2[[#This Row],[SBU]])*(Table1[Category]=Table2[[#This Row],[Category]])*(Table1[Most curent]=TRUE),"NF")&gt;0,1,0)</f>
        <v>0</v>
      </c>
      <c r="AD36" cm="1">
        <f t="array" ref="AD36">IF(_xlfn._xlws.FILTER(Table1[Spend - CHN],(Table1[Execution Year]=Table2[[#This Row],[Execution Year]])*(Table1[SBU]=Table2[[#This Row],[SBU]])*(Table1[Category]=Table2[[#This Row],[Category]])*(Table1[Most curent]=TRUE),"NF")&gt;0,1,0)</f>
        <v>0</v>
      </c>
      <c r="AE36" cm="1">
        <f t="array" ref="AE36">IF(_xlfn._xlws.FILTER(Table1[Spend - JAP],(Table1[Execution Year]=Table2[[#This Row],[Execution Year]])*(Table1[SBU]=Table2[[#This Row],[SBU]])*(Table1[Category]=Table2[[#This Row],[Category]])*(Table1[Most curent]=TRUE),"NF")&gt;0,1,0)</f>
        <v>0</v>
      </c>
      <c r="AF36" cm="1">
        <f t="array" ref="AF36">IF(_xlfn._xlws.FILTER(Table1[Spend - UKN],(Table1[Execution Year]=Table2[[#This Row],[Execution Year]])*(Table1[SBU]=Table2[[#This Row],[SBU]])*(Table1[Category]=Table2[[#This Row],[Category]])*(Table1[Most curent]=TRUE),"NF")&gt;0,1,0)</f>
        <v>0</v>
      </c>
      <c r="AG36" cm="1">
        <f t="array" ref="AG36">IF(_xlfn._xlws.FILTER(Table1[Spend - SAF],(Table1[Execution Year]=Table2[[#This Row],[Execution Year]])*(Table1[SBU]=Table2[[#This Row],[SBU]])*(Table1[Category]=Table2[[#This Row],[Category]])*(Table1[Most curent]=TRUE),"NF")&gt;0,1,0)</f>
        <v>0</v>
      </c>
      <c r="AH36" cm="1">
        <f t="array" ref="AH36">IF(_xlfn._xlws.FILTER(Table1[Spend - US],(Table1[Execution Year]=Table2[[#This Row],[Execution Year]])*(Table1[SBU]=Table2[[#This Row],[SBU]])*(Table1[Category]=Table2[[#This Row],[Category]])*(Table1[Most curent]=TRUE),"NF")&gt;0,1,0)</f>
        <v>0</v>
      </c>
      <c r="AI36" cm="1">
        <f t="array" ref="AI36">IF(_xlfn._xlws.FILTER(Table1[Spend - Sams],(Table1[Execution Year]=Table2[[#This Row],[Execution Year]])*(Table1[SBU]=Table2[[#This Row],[SBU]])*(Table1[Category]=Table2[[#This Row],[Category]])*(Table1[Most curent]=TRUE),"NF")&gt;0,1,0)</f>
        <v>0</v>
      </c>
      <c r="AJ36" cm="1">
        <f t="array" ref="AJ36">IF(_xlfn._xlws.FILTER(Table1[Spend - Sams Mexico],(Table1[Execution Year]=Table2[[#This Row],[Execution Year]])*(Table1[SBU]=Table2[[#This Row],[SBU]])*(Table1[Category]=Table2[[#This Row],[Category]])*(Table1[Most curent]=TRUE),"NF")&gt;0,1,0)</f>
        <v>0</v>
      </c>
      <c r="AK36" cm="1">
        <f t="array" ref="AK36">IF(_xlfn._xlws.FILTER(Table1[Spend - Sams China],(Table1[Execution Year]=Table2[[#This Row],[Execution Year]])*(Table1[SBU]=Table2[[#This Row],[SBU]])*(Table1[Category]=Table2[[#This Row],[Category]])*(Table1[Most curent]=TRUE),"NF")&gt;0,1,0)</f>
        <v>0</v>
      </c>
      <c r="AL36" cm="1">
        <f t="array" ref="AL36">IF(_xlfn._xlws.FILTER(Table1[Spend - IND],(Table1[Execution Year]=Table2[[#This Row],[Execution Year]])*(Table1[SBU]=Table2[[#This Row],[SBU]])*(Table1[Category]=Table2[[#This Row],[Category]])*(Table1[Most curent]=TRUE),"NF")&gt;0,1,0)</f>
        <v>0</v>
      </c>
    </row>
    <row r="37" spans="1:38">
      <c r="A37" t="str">
        <f>Table2[[#This Row],[Execution Year]]&amp;Table2[[#This Row],[SBU]]&amp;Table2[[#This Row],[Category]]</f>
        <v>FY23FoodCoffee</v>
      </c>
      <c r="B37" t="s">
        <v>497</v>
      </c>
      <c r="C37" t="s">
        <v>33</v>
      </c>
      <c r="D37" t="s">
        <v>322</v>
      </c>
      <c r="E37" s="185">
        <v>44621</v>
      </c>
      <c r="F37" s="185">
        <v>44772</v>
      </c>
      <c r="G37" s="185">
        <v>0</v>
      </c>
      <c r="H37" s="185">
        <v>44795</v>
      </c>
      <c r="I37" t="s">
        <v>481</v>
      </c>
      <c r="J37" t="s">
        <v>459</v>
      </c>
      <c r="K37" t="s">
        <v>490</v>
      </c>
      <c r="L37" t="s">
        <v>498</v>
      </c>
      <c r="M37">
        <v>44958</v>
      </c>
      <c r="N37" t="s">
        <v>490</v>
      </c>
      <c r="O37" s="16">
        <v>44730.509296643519</v>
      </c>
      <c r="P37" t="s">
        <v>446</v>
      </c>
      <c r="Q37" t="s">
        <v>499</v>
      </c>
      <c r="R37" t="s">
        <v>353</v>
      </c>
      <c r="S37" t="s">
        <v>500</v>
      </c>
      <c r="T37" t="s">
        <v>473</v>
      </c>
      <c r="U37">
        <v>44750</v>
      </c>
      <c r="V37">
        <f>_xlfn.XLOOKUP(Table2[[#This Row],[Primary Dept Description]],'Lookup tables'!$U$17:$U$117,'Lookup tables'!$T$17:$T$117,"")</f>
        <v>92</v>
      </c>
      <c r="W37" s="15">
        <f>IF(OR(Table2[[#This Row],[Revised Award]]=0,Table2[[#This Row],[Revised Award]]=""),IF(OR(Table2[[#This Row],[Planned Award]]=0,Table2[[#This Row],[Planned Award]]=""),"Not Updated",Table2[[#This Row],[Planned Award]]),Table2[[#This Row],[Revised Award]])</f>
        <v>44795</v>
      </c>
      <c r="X37" t="str">
        <f>_xlfn.XLOOKUP(Table2[[#This Row],[Milestone]],'Lookup tables'!$Y$27:$Y$60,'Lookup tables'!$Z$27:$Z$60,"Not Updated")</f>
        <v>RFPX underway</v>
      </c>
      <c r="Y37" cm="1">
        <f t="array" ref="Y37">IF(_xlfn._xlws.FILTER(Table1[Spend - CAN],(Table1[Execution Year]=Table2[[#This Row],[Execution Year]])*(Table1[SBU]=Table2[[#This Row],[SBU]])*(Table1[Category]=Table2[[#This Row],[Category]])*(Table1[Most curent]=TRUE),"NF")&gt;0,1,0)</f>
        <v>0</v>
      </c>
      <c r="Z37" cm="1">
        <f t="array" ref="Z37">IF(_xlfn._xlws.FILTER(Table1[Spend - MEX],(Table1[Execution Year]=Table2[[#This Row],[Execution Year]])*(Table1[SBU]=Table2[[#This Row],[SBU]])*(Table1[Category]=Table2[[#This Row],[Category]])*(Table1[Most curent]=TRUE),"NF")&gt;0,1,0)</f>
        <v>0</v>
      </c>
      <c r="AA37" cm="1">
        <f t="array" ref="AA37">IF(_xlfn._xlws.FILTER(Table1[Spend - CAM],(Table1[Execution Year]=Table2[[#This Row],[Execution Year]])*(Table1[SBU]=Table2[[#This Row],[SBU]])*(Table1[Category]=Table2[[#This Row],[Category]])*(Table1[Most curent]=TRUE),"NF")&gt;0,1,0)</f>
        <v>0</v>
      </c>
      <c r="AB37" cm="1">
        <f t="array" ref="AB37">IF(_xlfn._xlws.FILTER(Table1[Spend - CHL],(Table1[Execution Year]=Table2[[#This Row],[Execution Year]])*(Table1[SBU]=Table2[[#This Row],[SBU]])*(Table1[Category]=Table2[[#This Row],[Category]])*(Table1[Most curent]=TRUE),"NF")&gt;0,1,0)</f>
        <v>0</v>
      </c>
      <c r="AC37" cm="1">
        <f t="array" ref="AC37">IF(_xlfn._xlws.FILTER(Table1[Spend - ARG],(Table1[Execution Year]=Table2[[#This Row],[Execution Year]])*(Table1[SBU]=Table2[[#This Row],[SBU]])*(Table1[Category]=Table2[[#This Row],[Category]])*(Table1[Most curent]=TRUE),"NF")&gt;0,1,0)</f>
        <v>0</v>
      </c>
      <c r="AD37" cm="1">
        <f t="array" ref="AD37">IF(_xlfn._xlws.FILTER(Table1[Spend - CHN],(Table1[Execution Year]=Table2[[#This Row],[Execution Year]])*(Table1[SBU]=Table2[[#This Row],[SBU]])*(Table1[Category]=Table2[[#This Row],[Category]])*(Table1[Most curent]=TRUE),"NF")&gt;0,1,0)</f>
        <v>0</v>
      </c>
      <c r="AE37" cm="1">
        <f t="array" ref="AE37">IF(_xlfn._xlws.FILTER(Table1[Spend - JAP],(Table1[Execution Year]=Table2[[#This Row],[Execution Year]])*(Table1[SBU]=Table2[[#This Row],[SBU]])*(Table1[Category]=Table2[[#This Row],[Category]])*(Table1[Most curent]=TRUE),"NF")&gt;0,1,0)</f>
        <v>0</v>
      </c>
      <c r="AF37" cm="1">
        <f t="array" ref="AF37">IF(_xlfn._xlws.FILTER(Table1[Spend - UKN],(Table1[Execution Year]=Table2[[#This Row],[Execution Year]])*(Table1[SBU]=Table2[[#This Row],[SBU]])*(Table1[Category]=Table2[[#This Row],[Category]])*(Table1[Most curent]=TRUE),"NF")&gt;0,1,0)</f>
        <v>0</v>
      </c>
      <c r="AG37" cm="1">
        <f t="array" ref="AG37">IF(_xlfn._xlws.FILTER(Table1[Spend - SAF],(Table1[Execution Year]=Table2[[#This Row],[Execution Year]])*(Table1[SBU]=Table2[[#This Row],[SBU]])*(Table1[Category]=Table2[[#This Row],[Category]])*(Table1[Most curent]=TRUE),"NF")&gt;0,1,0)</f>
        <v>0</v>
      </c>
      <c r="AH37" cm="1">
        <f t="array" ref="AH37">IF(_xlfn._xlws.FILTER(Table1[Spend - US],(Table1[Execution Year]=Table2[[#This Row],[Execution Year]])*(Table1[SBU]=Table2[[#This Row],[SBU]])*(Table1[Category]=Table2[[#This Row],[Category]])*(Table1[Most curent]=TRUE),"NF")&gt;0,1,0)</f>
        <v>0</v>
      </c>
      <c r="AI37" cm="1">
        <f t="array" ref="AI37">IF(_xlfn._xlws.FILTER(Table1[Spend - Sams],(Table1[Execution Year]=Table2[[#This Row],[Execution Year]])*(Table1[SBU]=Table2[[#This Row],[SBU]])*(Table1[Category]=Table2[[#This Row],[Category]])*(Table1[Most curent]=TRUE),"NF")&gt;0,1,0)</f>
        <v>1</v>
      </c>
      <c r="AJ37" cm="1">
        <f t="array" ref="AJ37">IF(_xlfn._xlws.FILTER(Table1[Spend - Sams Mexico],(Table1[Execution Year]=Table2[[#This Row],[Execution Year]])*(Table1[SBU]=Table2[[#This Row],[SBU]])*(Table1[Category]=Table2[[#This Row],[Category]])*(Table1[Most curent]=TRUE),"NF")&gt;0,1,0)</f>
        <v>0</v>
      </c>
      <c r="AK37" cm="1">
        <f t="array" ref="AK37">IF(_xlfn._xlws.FILTER(Table1[Spend - Sams China],(Table1[Execution Year]=Table2[[#This Row],[Execution Year]])*(Table1[SBU]=Table2[[#This Row],[SBU]])*(Table1[Category]=Table2[[#This Row],[Category]])*(Table1[Most curent]=TRUE),"NF")&gt;0,1,0)</f>
        <v>0</v>
      </c>
      <c r="AL37" cm="1">
        <f t="array" ref="AL37">IF(_xlfn._xlws.FILTER(Table1[Spend - IND],(Table1[Execution Year]=Table2[[#This Row],[Execution Year]])*(Table1[SBU]=Table2[[#This Row],[SBU]])*(Table1[Category]=Table2[[#This Row],[Category]])*(Table1[Most curent]=TRUE),"NF")&gt;0,1,0)</f>
        <v>0</v>
      </c>
    </row>
    <row r="38" spans="1:38">
      <c r="A38" t="str">
        <f>Table2[[#This Row],[Execution Year]]&amp;Table2[[#This Row],[SBU]]&amp;Table2[[#This Row],[Category]]</f>
        <v>FY23FoodFrozen Potatoes / Deli</v>
      </c>
      <c r="B38" t="s">
        <v>501</v>
      </c>
      <c r="C38" t="s">
        <v>33</v>
      </c>
      <c r="D38" t="s">
        <v>322</v>
      </c>
      <c r="E38" s="185">
        <v>44621</v>
      </c>
      <c r="F38" s="185">
        <v>44772</v>
      </c>
      <c r="G38" s="185">
        <v>44705</v>
      </c>
      <c r="H38" s="185">
        <v>0</v>
      </c>
      <c r="I38" t="s">
        <v>481</v>
      </c>
      <c r="J38" t="s">
        <v>459</v>
      </c>
      <c r="K38" t="s">
        <v>502</v>
      </c>
      <c r="L38">
        <v>0</v>
      </c>
      <c r="M38">
        <v>44832</v>
      </c>
      <c r="N38" t="s">
        <v>502</v>
      </c>
      <c r="O38" s="16">
        <v>44732.631966435183</v>
      </c>
      <c r="P38" t="s">
        <v>446</v>
      </c>
      <c r="Q38" t="s">
        <v>503</v>
      </c>
      <c r="R38" t="s">
        <v>353</v>
      </c>
      <c r="S38" t="s">
        <v>504</v>
      </c>
      <c r="T38" t="s">
        <v>481</v>
      </c>
      <c r="U38">
        <v>44750</v>
      </c>
      <c r="V38">
        <f>_xlfn.XLOOKUP(Table2[[#This Row],[Primary Dept Description]],'Lookup tables'!$U$17:$U$117,'Lookup tables'!$T$17:$T$117,"")</f>
        <v>91</v>
      </c>
      <c r="W38" s="15">
        <f>IF(OR(Table2[[#This Row],[Revised Award]]=0,Table2[[#This Row],[Revised Award]]=""),IF(OR(Table2[[#This Row],[Planned Award]]=0,Table2[[#This Row],[Planned Award]]=""),"Not Updated",Table2[[#This Row],[Planned Award]]),Table2[[#This Row],[Revised Award]])</f>
        <v>44772</v>
      </c>
      <c r="X38" t="str">
        <f>_xlfn.XLOOKUP(Table2[[#This Row],[Milestone]],'Lookup tables'!$Y$27:$Y$60,'Lookup tables'!$Z$27:$Z$60,"Not Updated")</f>
        <v>RFPX underway</v>
      </c>
      <c r="Y38" cm="1">
        <f t="array" ref="Y38">IF(_xlfn._xlws.FILTER(Table1[Spend - CAN],(Table1[Execution Year]=Table2[[#This Row],[Execution Year]])*(Table1[SBU]=Table2[[#This Row],[SBU]])*(Table1[Category]=Table2[[#This Row],[Category]])*(Table1[Most curent]=TRUE),"NF")&gt;0,1,0)</f>
        <v>0</v>
      </c>
      <c r="Z38" cm="1">
        <f t="array" ref="Z38">IF(_xlfn._xlws.FILTER(Table1[Spend - MEX],(Table1[Execution Year]=Table2[[#This Row],[Execution Year]])*(Table1[SBU]=Table2[[#This Row],[SBU]])*(Table1[Category]=Table2[[#This Row],[Category]])*(Table1[Most curent]=TRUE),"NF")&gt;0,1,0)</f>
        <v>0</v>
      </c>
      <c r="AA38" cm="1">
        <f t="array" ref="AA38">IF(_xlfn._xlws.FILTER(Table1[Spend - CAM],(Table1[Execution Year]=Table2[[#This Row],[Execution Year]])*(Table1[SBU]=Table2[[#This Row],[SBU]])*(Table1[Category]=Table2[[#This Row],[Category]])*(Table1[Most curent]=TRUE),"NF")&gt;0,1,0)</f>
        <v>0</v>
      </c>
      <c r="AB38" cm="1">
        <f t="array" ref="AB38">IF(_xlfn._xlws.FILTER(Table1[Spend - CHL],(Table1[Execution Year]=Table2[[#This Row],[Execution Year]])*(Table1[SBU]=Table2[[#This Row],[SBU]])*(Table1[Category]=Table2[[#This Row],[Category]])*(Table1[Most curent]=TRUE),"NF")&gt;0,1,0)</f>
        <v>0</v>
      </c>
      <c r="AC38" cm="1">
        <f t="array" ref="AC38">IF(_xlfn._xlws.FILTER(Table1[Spend - ARG],(Table1[Execution Year]=Table2[[#This Row],[Execution Year]])*(Table1[SBU]=Table2[[#This Row],[SBU]])*(Table1[Category]=Table2[[#This Row],[Category]])*(Table1[Most curent]=TRUE),"NF")&gt;0,1,0)</f>
        <v>0</v>
      </c>
      <c r="AD38" cm="1">
        <f t="array" ref="AD38">IF(_xlfn._xlws.FILTER(Table1[Spend - CHN],(Table1[Execution Year]=Table2[[#This Row],[Execution Year]])*(Table1[SBU]=Table2[[#This Row],[SBU]])*(Table1[Category]=Table2[[#This Row],[Category]])*(Table1[Most curent]=TRUE),"NF")&gt;0,1,0)</f>
        <v>0</v>
      </c>
      <c r="AE38" cm="1">
        <f t="array" ref="AE38">IF(_xlfn._xlws.FILTER(Table1[Spend - JAP],(Table1[Execution Year]=Table2[[#This Row],[Execution Year]])*(Table1[SBU]=Table2[[#This Row],[SBU]])*(Table1[Category]=Table2[[#This Row],[Category]])*(Table1[Most curent]=TRUE),"NF")&gt;0,1,0)</f>
        <v>0</v>
      </c>
      <c r="AF38" cm="1">
        <f t="array" ref="AF38">IF(_xlfn._xlws.FILTER(Table1[Spend - UKN],(Table1[Execution Year]=Table2[[#This Row],[Execution Year]])*(Table1[SBU]=Table2[[#This Row],[SBU]])*(Table1[Category]=Table2[[#This Row],[Category]])*(Table1[Most curent]=TRUE),"NF")&gt;0,1,0)</f>
        <v>0</v>
      </c>
      <c r="AG38" cm="1">
        <f t="array" ref="AG38">IF(_xlfn._xlws.FILTER(Table1[Spend - SAF],(Table1[Execution Year]=Table2[[#This Row],[Execution Year]])*(Table1[SBU]=Table2[[#This Row],[SBU]])*(Table1[Category]=Table2[[#This Row],[Category]])*(Table1[Most curent]=TRUE),"NF")&gt;0,1,0)</f>
        <v>0</v>
      </c>
      <c r="AH38" cm="1">
        <f t="array" ref="AH38">IF(_xlfn._xlws.FILTER(Table1[Spend - US],(Table1[Execution Year]=Table2[[#This Row],[Execution Year]])*(Table1[SBU]=Table2[[#This Row],[SBU]])*(Table1[Category]=Table2[[#This Row],[Category]])*(Table1[Most curent]=TRUE),"NF")&gt;0,1,0)</f>
        <v>1</v>
      </c>
      <c r="AI38" cm="1">
        <f t="array" ref="AI38">IF(_xlfn._xlws.FILTER(Table1[Spend - Sams],(Table1[Execution Year]=Table2[[#This Row],[Execution Year]])*(Table1[SBU]=Table2[[#This Row],[SBU]])*(Table1[Category]=Table2[[#This Row],[Category]])*(Table1[Most curent]=TRUE),"NF")&gt;0,1,0)</f>
        <v>1</v>
      </c>
      <c r="AJ38" cm="1">
        <f t="array" ref="AJ38">IF(_xlfn._xlws.FILTER(Table1[Spend - Sams Mexico],(Table1[Execution Year]=Table2[[#This Row],[Execution Year]])*(Table1[SBU]=Table2[[#This Row],[SBU]])*(Table1[Category]=Table2[[#This Row],[Category]])*(Table1[Most curent]=TRUE),"NF")&gt;0,1,0)</f>
        <v>0</v>
      </c>
      <c r="AK38" cm="1">
        <f t="array" ref="AK38">IF(_xlfn._xlws.FILTER(Table1[Spend - Sams China],(Table1[Execution Year]=Table2[[#This Row],[Execution Year]])*(Table1[SBU]=Table2[[#This Row],[SBU]])*(Table1[Category]=Table2[[#This Row],[Category]])*(Table1[Most curent]=TRUE),"NF")&gt;0,1,0)</f>
        <v>0</v>
      </c>
      <c r="AL38" cm="1">
        <f t="array" ref="AL38">IF(_xlfn._xlws.FILTER(Table1[Spend - IND],(Table1[Execution Year]=Table2[[#This Row],[Execution Year]])*(Table1[SBU]=Table2[[#This Row],[SBU]])*(Table1[Category]=Table2[[#This Row],[Category]])*(Table1[Most curent]=TRUE),"NF")&gt;0,1,0)</f>
        <v>0</v>
      </c>
    </row>
    <row r="39" spans="1:38">
      <c r="A39" t="str">
        <f>Table2[[#This Row],[Execution Year]]&amp;Table2[[#This Row],[SBU]]&amp;Table2[[#This Row],[Category]]</f>
        <v>FY23FoodDry Pasta</v>
      </c>
      <c r="B39" t="s">
        <v>35</v>
      </c>
      <c r="C39" t="s">
        <v>33</v>
      </c>
      <c r="D39" t="s">
        <v>322</v>
      </c>
      <c r="E39" s="185">
        <v>44652</v>
      </c>
      <c r="F39" s="185">
        <v>44772</v>
      </c>
      <c r="G39" s="185">
        <v>44742</v>
      </c>
      <c r="H39" s="185">
        <v>44803</v>
      </c>
      <c r="I39" t="s">
        <v>413</v>
      </c>
      <c r="J39" t="s">
        <v>459</v>
      </c>
      <c r="K39" t="s">
        <v>490</v>
      </c>
      <c r="L39" t="s">
        <v>505</v>
      </c>
      <c r="M39">
        <v>44863</v>
      </c>
      <c r="N39" t="s">
        <v>490</v>
      </c>
      <c r="O39" s="16">
        <v>44730.538219444446</v>
      </c>
      <c r="P39" t="s">
        <v>446</v>
      </c>
      <c r="Q39" t="s">
        <v>499</v>
      </c>
      <c r="R39" t="s">
        <v>353</v>
      </c>
      <c r="S39" t="s">
        <v>506</v>
      </c>
      <c r="T39" t="s">
        <v>481</v>
      </c>
      <c r="U39">
        <v>44757</v>
      </c>
      <c r="V39">
        <f>_xlfn.XLOOKUP(Table2[[#This Row],[Primary Dept Description]],'Lookup tables'!$U$17:$U$117,'Lookup tables'!$T$17:$T$117,"")</f>
        <v>92</v>
      </c>
      <c r="W39" s="15">
        <f>IF(OR(Table2[[#This Row],[Revised Award]]=0,Table2[[#This Row],[Revised Award]]=""),IF(OR(Table2[[#This Row],[Planned Award]]=0,Table2[[#This Row],[Planned Award]]=""),"Not Updated",Table2[[#This Row],[Planned Award]]),Table2[[#This Row],[Revised Award]])</f>
        <v>44803</v>
      </c>
      <c r="X39" t="str">
        <f>_xlfn.XLOOKUP(Table2[[#This Row],[Milestone]],'Lookup tables'!$Y$27:$Y$60,'Lookup tables'!$Z$27:$Z$60,"Not Updated")</f>
        <v>Bid Prep</v>
      </c>
      <c r="Y39" cm="1">
        <f t="array" ref="Y39">IF(_xlfn._xlws.FILTER(Table1[Spend - CAN],(Table1[Execution Year]=Table2[[#This Row],[Execution Year]])*(Table1[SBU]=Table2[[#This Row],[SBU]])*(Table1[Category]=Table2[[#This Row],[Category]])*(Table1[Most curent]=TRUE),"NF")&gt;0,1,0)</f>
        <v>0</v>
      </c>
      <c r="Z39" cm="1">
        <f t="array" ref="Z39">IF(_xlfn._xlws.FILTER(Table1[Spend - MEX],(Table1[Execution Year]=Table2[[#This Row],[Execution Year]])*(Table1[SBU]=Table2[[#This Row],[SBU]])*(Table1[Category]=Table2[[#This Row],[Category]])*(Table1[Most curent]=TRUE),"NF")&gt;0,1,0)</f>
        <v>0</v>
      </c>
      <c r="AA39" cm="1">
        <f t="array" ref="AA39">IF(_xlfn._xlws.FILTER(Table1[Spend - CAM],(Table1[Execution Year]=Table2[[#This Row],[Execution Year]])*(Table1[SBU]=Table2[[#This Row],[SBU]])*(Table1[Category]=Table2[[#This Row],[Category]])*(Table1[Most curent]=TRUE),"NF")&gt;0,1,0)</f>
        <v>0</v>
      </c>
      <c r="AB39" cm="1">
        <f t="array" ref="AB39">IF(_xlfn._xlws.FILTER(Table1[Spend - CHL],(Table1[Execution Year]=Table2[[#This Row],[Execution Year]])*(Table1[SBU]=Table2[[#This Row],[SBU]])*(Table1[Category]=Table2[[#This Row],[Category]])*(Table1[Most curent]=TRUE),"NF")&gt;0,1,0)</f>
        <v>0</v>
      </c>
      <c r="AC39" cm="1">
        <f t="array" ref="AC39">IF(_xlfn._xlws.FILTER(Table1[Spend - ARG],(Table1[Execution Year]=Table2[[#This Row],[Execution Year]])*(Table1[SBU]=Table2[[#This Row],[SBU]])*(Table1[Category]=Table2[[#This Row],[Category]])*(Table1[Most curent]=TRUE),"NF")&gt;0,1,0)</f>
        <v>0</v>
      </c>
      <c r="AD39" cm="1">
        <f t="array" ref="AD39">IF(_xlfn._xlws.FILTER(Table1[Spend - CHN],(Table1[Execution Year]=Table2[[#This Row],[Execution Year]])*(Table1[SBU]=Table2[[#This Row],[SBU]])*(Table1[Category]=Table2[[#This Row],[Category]])*(Table1[Most curent]=TRUE),"NF")&gt;0,1,0)</f>
        <v>0</v>
      </c>
      <c r="AE39" cm="1">
        <f t="array" ref="AE39">IF(_xlfn._xlws.FILTER(Table1[Spend - JAP],(Table1[Execution Year]=Table2[[#This Row],[Execution Year]])*(Table1[SBU]=Table2[[#This Row],[SBU]])*(Table1[Category]=Table2[[#This Row],[Category]])*(Table1[Most curent]=TRUE),"NF")&gt;0,1,0)</f>
        <v>0</v>
      </c>
      <c r="AF39" cm="1">
        <f t="array" ref="AF39">IF(_xlfn._xlws.FILTER(Table1[Spend - UKN],(Table1[Execution Year]=Table2[[#This Row],[Execution Year]])*(Table1[SBU]=Table2[[#This Row],[SBU]])*(Table1[Category]=Table2[[#This Row],[Category]])*(Table1[Most curent]=TRUE),"NF")&gt;0,1,0)</f>
        <v>0</v>
      </c>
      <c r="AG39" cm="1">
        <f t="array" ref="AG39">IF(_xlfn._xlws.FILTER(Table1[Spend - SAF],(Table1[Execution Year]=Table2[[#This Row],[Execution Year]])*(Table1[SBU]=Table2[[#This Row],[SBU]])*(Table1[Category]=Table2[[#This Row],[Category]])*(Table1[Most curent]=TRUE),"NF")&gt;0,1,0)</f>
        <v>0</v>
      </c>
      <c r="AH39" cm="1">
        <f t="array" ref="AH39">IF(_xlfn._xlws.FILTER(Table1[Spend - US],(Table1[Execution Year]=Table2[[#This Row],[Execution Year]])*(Table1[SBU]=Table2[[#This Row],[SBU]])*(Table1[Category]=Table2[[#This Row],[Category]])*(Table1[Most curent]=TRUE),"NF")&gt;0,1,0)</f>
        <v>0</v>
      </c>
      <c r="AI39" cm="1">
        <f t="array" ref="AI39">IF(_xlfn._xlws.FILTER(Table1[Spend - Sams],(Table1[Execution Year]=Table2[[#This Row],[Execution Year]])*(Table1[SBU]=Table2[[#This Row],[SBU]])*(Table1[Category]=Table2[[#This Row],[Category]])*(Table1[Most curent]=TRUE),"NF")&gt;0,1,0)</f>
        <v>0</v>
      </c>
      <c r="AJ39" cm="1">
        <f t="array" ref="AJ39">IF(_xlfn._xlws.FILTER(Table1[Spend - Sams Mexico],(Table1[Execution Year]=Table2[[#This Row],[Execution Year]])*(Table1[SBU]=Table2[[#This Row],[SBU]])*(Table1[Category]=Table2[[#This Row],[Category]])*(Table1[Most curent]=TRUE),"NF")&gt;0,1,0)</f>
        <v>0</v>
      </c>
      <c r="AK39" cm="1">
        <f t="array" ref="AK39">IF(_xlfn._xlws.FILTER(Table1[Spend - Sams China],(Table1[Execution Year]=Table2[[#This Row],[Execution Year]])*(Table1[SBU]=Table2[[#This Row],[SBU]])*(Table1[Category]=Table2[[#This Row],[Category]])*(Table1[Most curent]=TRUE),"NF")&gt;0,1,0)</f>
        <v>0</v>
      </c>
      <c r="AL39" cm="1">
        <f t="array" ref="AL39">IF(_xlfn._xlws.FILTER(Table1[Spend - IND],(Table1[Execution Year]=Table2[[#This Row],[Execution Year]])*(Table1[SBU]=Table2[[#This Row],[SBU]])*(Table1[Category]=Table2[[#This Row],[Category]])*(Table1[Most curent]=TRUE),"NF")&gt;0,1,0)</f>
        <v>0</v>
      </c>
    </row>
    <row r="40" spans="1:38">
      <c r="A40" t="str">
        <f>Table2[[#This Row],[Execution Year]]&amp;Table2[[#This Row],[SBU]]&amp;Table2[[#This Row],[Category]]</f>
        <v>FY23FoodCommercial Bread &amp; Buns</v>
      </c>
      <c r="B40" t="s">
        <v>507</v>
      </c>
      <c r="C40" t="s">
        <v>33</v>
      </c>
      <c r="D40" t="s">
        <v>322</v>
      </c>
      <c r="E40" s="185">
        <v>44752</v>
      </c>
      <c r="F40" s="185">
        <v>44834</v>
      </c>
      <c r="G40" s="185">
        <v>44752</v>
      </c>
      <c r="H40" s="185">
        <v>0</v>
      </c>
      <c r="I40" t="s">
        <v>135</v>
      </c>
      <c r="J40" t="s">
        <v>459</v>
      </c>
      <c r="K40" t="s">
        <v>508</v>
      </c>
      <c r="L40" t="s">
        <v>509</v>
      </c>
      <c r="M40">
        <v>44894</v>
      </c>
      <c r="N40" t="s">
        <v>508</v>
      </c>
      <c r="O40" s="16">
        <v>44732.272943865741</v>
      </c>
      <c r="P40" t="s">
        <v>510</v>
      </c>
      <c r="Q40" t="s">
        <v>511</v>
      </c>
      <c r="R40" t="s">
        <v>353</v>
      </c>
      <c r="S40" t="s">
        <v>512</v>
      </c>
      <c r="T40" t="s">
        <v>412</v>
      </c>
      <c r="U40">
        <v>44772</v>
      </c>
      <c r="V40">
        <f>_xlfn.XLOOKUP(Table2[[#This Row],[Primary Dept Description]],'Lookup tables'!$U$17:$U$117,'Lookup tables'!$T$17:$T$117,"")</f>
        <v>81</v>
      </c>
      <c r="W40" s="15">
        <f>IF(OR(Table2[[#This Row],[Revised Award]]=0,Table2[[#This Row],[Revised Award]]=""),IF(OR(Table2[[#This Row],[Planned Award]]=0,Table2[[#This Row],[Planned Award]]=""),"Not Updated",Table2[[#This Row],[Planned Award]]),Table2[[#This Row],[Revised Award]])</f>
        <v>44834</v>
      </c>
      <c r="X40" t="str">
        <f>_xlfn.XLOOKUP(Table2[[#This Row],[Milestone]],'Lookup tables'!$Y$27:$Y$60,'Lookup tables'!$Z$27:$Z$60,"Not Updated")</f>
        <v>Pipeline</v>
      </c>
      <c r="Y40" cm="1">
        <f t="array" ref="Y40">IF(_xlfn._xlws.FILTER(Table1[Spend - CAN],(Table1[Execution Year]=Table2[[#This Row],[Execution Year]])*(Table1[SBU]=Table2[[#This Row],[SBU]])*(Table1[Category]=Table2[[#This Row],[Category]])*(Table1[Most curent]=TRUE),"NF")&gt;0,1,0)</f>
        <v>0</v>
      </c>
      <c r="Z40" cm="1">
        <f t="array" ref="Z40">IF(_xlfn._xlws.FILTER(Table1[Spend - MEX],(Table1[Execution Year]=Table2[[#This Row],[Execution Year]])*(Table1[SBU]=Table2[[#This Row],[SBU]])*(Table1[Category]=Table2[[#This Row],[Category]])*(Table1[Most curent]=TRUE),"NF")&gt;0,1,0)</f>
        <v>0</v>
      </c>
      <c r="AA40" cm="1">
        <f t="array" ref="AA40">IF(_xlfn._xlws.FILTER(Table1[Spend - CAM],(Table1[Execution Year]=Table2[[#This Row],[Execution Year]])*(Table1[SBU]=Table2[[#This Row],[SBU]])*(Table1[Category]=Table2[[#This Row],[Category]])*(Table1[Most curent]=TRUE),"NF")&gt;0,1,0)</f>
        <v>0</v>
      </c>
      <c r="AB40" cm="1">
        <f t="array" ref="AB40">IF(_xlfn._xlws.FILTER(Table1[Spend - CHL],(Table1[Execution Year]=Table2[[#This Row],[Execution Year]])*(Table1[SBU]=Table2[[#This Row],[SBU]])*(Table1[Category]=Table2[[#This Row],[Category]])*(Table1[Most curent]=TRUE),"NF")&gt;0,1,0)</f>
        <v>0</v>
      </c>
      <c r="AC40" cm="1">
        <f t="array" ref="AC40">IF(_xlfn._xlws.FILTER(Table1[Spend - ARG],(Table1[Execution Year]=Table2[[#This Row],[Execution Year]])*(Table1[SBU]=Table2[[#This Row],[SBU]])*(Table1[Category]=Table2[[#This Row],[Category]])*(Table1[Most curent]=TRUE),"NF")&gt;0,1,0)</f>
        <v>0</v>
      </c>
      <c r="AD40" cm="1">
        <f t="array" ref="AD40">IF(_xlfn._xlws.FILTER(Table1[Spend - CHN],(Table1[Execution Year]=Table2[[#This Row],[Execution Year]])*(Table1[SBU]=Table2[[#This Row],[SBU]])*(Table1[Category]=Table2[[#This Row],[Category]])*(Table1[Most curent]=TRUE),"NF")&gt;0,1,0)</f>
        <v>0</v>
      </c>
      <c r="AE40" cm="1">
        <f t="array" ref="AE40">IF(_xlfn._xlws.FILTER(Table1[Spend - JAP],(Table1[Execution Year]=Table2[[#This Row],[Execution Year]])*(Table1[SBU]=Table2[[#This Row],[SBU]])*(Table1[Category]=Table2[[#This Row],[Category]])*(Table1[Most curent]=TRUE),"NF")&gt;0,1,0)</f>
        <v>0</v>
      </c>
      <c r="AF40" cm="1">
        <f t="array" ref="AF40">IF(_xlfn._xlws.FILTER(Table1[Spend - UKN],(Table1[Execution Year]=Table2[[#This Row],[Execution Year]])*(Table1[SBU]=Table2[[#This Row],[SBU]])*(Table1[Category]=Table2[[#This Row],[Category]])*(Table1[Most curent]=TRUE),"NF")&gt;0,1,0)</f>
        <v>0</v>
      </c>
      <c r="AG40" cm="1">
        <f t="array" ref="AG40">IF(_xlfn._xlws.FILTER(Table1[Spend - SAF],(Table1[Execution Year]=Table2[[#This Row],[Execution Year]])*(Table1[SBU]=Table2[[#This Row],[SBU]])*(Table1[Category]=Table2[[#This Row],[Category]])*(Table1[Most curent]=TRUE),"NF")&gt;0,1,0)</f>
        <v>0</v>
      </c>
      <c r="AH40" cm="1">
        <f t="array" ref="AH40">IF(_xlfn._xlws.FILTER(Table1[Spend - US],(Table1[Execution Year]=Table2[[#This Row],[Execution Year]])*(Table1[SBU]=Table2[[#This Row],[SBU]])*(Table1[Category]=Table2[[#This Row],[Category]])*(Table1[Most curent]=TRUE),"NF")&gt;0,1,0)</f>
        <v>1</v>
      </c>
      <c r="AI40" cm="1">
        <f t="array" ref="AI40">IF(_xlfn._xlws.FILTER(Table1[Spend - Sams],(Table1[Execution Year]=Table2[[#This Row],[Execution Year]])*(Table1[SBU]=Table2[[#This Row],[SBU]])*(Table1[Category]=Table2[[#This Row],[Category]])*(Table1[Most curent]=TRUE),"NF")&gt;0,1,0)</f>
        <v>0</v>
      </c>
      <c r="AJ40" cm="1">
        <f t="array" ref="AJ40">IF(_xlfn._xlws.FILTER(Table1[Spend - Sams Mexico],(Table1[Execution Year]=Table2[[#This Row],[Execution Year]])*(Table1[SBU]=Table2[[#This Row],[SBU]])*(Table1[Category]=Table2[[#This Row],[Category]])*(Table1[Most curent]=TRUE),"NF")&gt;0,1,0)</f>
        <v>0</v>
      </c>
      <c r="AK40" cm="1">
        <f t="array" ref="AK40">IF(_xlfn._xlws.FILTER(Table1[Spend - Sams China],(Table1[Execution Year]=Table2[[#This Row],[Execution Year]])*(Table1[SBU]=Table2[[#This Row],[SBU]])*(Table1[Category]=Table2[[#This Row],[Category]])*(Table1[Most curent]=TRUE),"NF")&gt;0,1,0)</f>
        <v>0</v>
      </c>
      <c r="AL40" cm="1">
        <f t="array" ref="AL40">IF(_xlfn._xlws.FILTER(Table1[Spend - IND],(Table1[Execution Year]=Table2[[#This Row],[Execution Year]])*(Table1[SBU]=Table2[[#This Row],[SBU]])*(Table1[Category]=Table2[[#This Row],[Category]])*(Table1[Most curent]=TRUE),"NF")&gt;0,1,0)</f>
        <v>0</v>
      </c>
    </row>
    <row r="41" spans="1:38">
      <c r="A41" t="str">
        <f>Table2[[#This Row],[Execution Year]]&amp;Table2[[#This Row],[SBU]]&amp;Table2[[#This Row],[Category]]</f>
        <v>FY23FoodBakery Cookies/Freshest Guarantee</v>
      </c>
      <c r="B41" t="s">
        <v>513</v>
      </c>
      <c r="C41" t="s">
        <v>33</v>
      </c>
      <c r="D41" t="s">
        <v>322</v>
      </c>
      <c r="E41" s="185"/>
      <c r="F41" s="185"/>
      <c r="G41" s="185"/>
      <c r="H41" s="185"/>
      <c r="I41" t="s">
        <v>135</v>
      </c>
      <c r="J41" t="s">
        <v>459</v>
      </c>
      <c r="K41" t="s">
        <v>514</v>
      </c>
      <c r="O41" s="16"/>
      <c r="V41">
        <f>_xlfn.XLOOKUP(Table2[[#This Row],[Primary Dept Description]],'Lookup tables'!$U$17:$U$117,'Lookup tables'!$T$17:$T$117,"")</f>
        <v>0</v>
      </c>
      <c r="W41" s="15" t="str">
        <f>IF(OR(Table2[[#This Row],[Revised Award]]=0,Table2[[#This Row],[Revised Award]]=""),IF(OR(Table2[[#This Row],[Planned Award]]=0,Table2[[#This Row],[Planned Award]]=""),"Not Updated",Table2[[#This Row],[Planned Award]]),Table2[[#This Row],[Revised Award]])</f>
        <v>Not Updated</v>
      </c>
      <c r="X41" t="str">
        <f>_xlfn.XLOOKUP(Table2[[#This Row],[Milestone]],'Lookup tables'!$Y$27:$Y$60,'Lookup tables'!$Z$27:$Z$60,"Not Updated")</f>
        <v>Pipeline</v>
      </c>
      <c r="Y41" cm="1">
        <f t="array" ref="Y41">IF(_xlfn._xlws.FILTER(Table1[Spend - CAN],(Table1[Execution Year]=Table2[[#This Row],[Execution Year]])*(Table1[SBU]=Table2[[#This Row],[SBU]])*(Table1[Category]=Table2[[#This Row],[Category]])*(Table1[Most curent]=TRUE),"NF")&gt;0,1,0)</f>
        <v>0</v>
      </c>
      <c r="Z41" cm="1">
        <f t="array" ref="Z41">IF(_xlfn._xlws.FILTER(Table1[Spend - MEX],(Table1[Execution Year]=Table2[[#This Row],[Execution Year]])*(Table1[SBU]=Table2[[#This Row],[SBU]])*(Table1[Category]=Table2[[#This Row],[Category]])*(Table1[Most curent]=TRUE),"NF")&gt;0,1,0)</f>
        <v>0</v>
      </c>
      <c r="AA41" cm="1">
        <f t="array" ref="AA41">IF(_xlfn._xlws.FILTER(Table1[Spend - CAM],(Table1[Execution Year]=Table2[[#This Row],[Execution Year]])*(Table1[SBU]=Table2[[#This Row],[SBU]])*(Table1[Category]=Table2[[#This Row],[Category]])*(Table1[Most curent]=TRUE),"NF")&gt;0,1,0)</f>
        <v>0</v>
      </c>
      <c r="AB41" cm="1">
        <f t="array" ref="AB41">IF(_xlfn._xlws.FILTER(Table1[Spend - CHL],(Table1[Execution Year]=Table2[[#This Row],[Execution Year]])*(Table1[SBU]=Table2[[#This Row],[SBU]])*(Table1[Category]=Table2[[#This Row],[Category]])*(Table1[Most curent]=TRUE),"NF")&gt;0,1,0)</f>
        <v>0</v>
      </c>
      <c r="AC41" cm="1">
        <f t="array" ref="AC41">IF(_xlfn._xlws.FILTER(Table1[Spend - ARG],(Table1[Execution Year]=Table2[[#This Row],[Execution Year]])*(Table1[SBU]=Table2[[#This Row],[SBU]])*(Table1[Category]=Table2[[#This Row],[Category]])*(Table1[Most curent]=TRUE),"NF")&gt;0,1,0)</f>
        <v>0</v>
      </c>
      <c r="AD41" cm="1">
        <f t="array" ref="AD41">IF(_xlfn._xlws.FILTER(Table1[Spend - CHN],(Table1[Execution Year]=Table2[[#This Row],[Execution Year]])*(Table1[SBU]=Table2[[#This Row],[SBU]])*(Table1[Category]=Table2[[#This Row],[Category]])*(Table1[Most curent]=TRUE),"NF")&gt;0,1,0)</f>
        <v>0</v>
      </c>
      <c r="AE41" cm="1">
        <f t="array" ref="AE41">IF(_xlfn._xlws.FILTER(Table1[Spend - JAP],(Table1[Execution Year]=Table2[[#This Row],[Execution Year]])*(Table1[SBU]=Table2[[#This Row],[SBU]])*(Table1[Category]=Table2[[#This Row],[Category]])*(Table1[Most curent]=TRUE),"NF")&gt;0,1,0)</f>
        <v>0</v>
      </c>
      <c r="AF41" cm="1">
        <f t="array" ref="AF41">IF(_xlfn._xlws.FILTER(Table1[Spend - UKN],(Table1[Execution Year]=Table2[[#This Row],[Execution Year]])*(Table1[SBU]=Table2[[#This Row],[SBU]])*(Table1[Category]=Table2[[#This Row],[Category]])*(Table1[Most curent]=TRUE),"NF")&gt;0,1,0)</f>
        <v>0</v>
      </c>
      <c r="AG41" cm="1">
        <f t="array" ref="AG41">IF(_xlfn._xlws.FILTER(Table1[Spend - SAF],(Table1[Execution Year]=Table2[[#This Row],[Execution Year]])*(Table1[SBU]=Table2[[#This Row],[SBU]])*(Table1[Category]=Table2[[#This Row],[Category]])*(Table1[Most curent]=TRUE),"NF")&gt;0,1,0)</f>
        <v>0</v>
      </c>
      <c r="AH41" cm="1">
        <f t="array" ref="AH41">IF(_xlfn._xlws.FILTER(Table1[Spend - US],(Table1[Execution Year]=Table2[[#This Row],[Execution Year]])*(Table1[SBU]=Table2[[#This Row],[SBU]])*(Table1[Category]=Table2[[#This Row],[Category]])*(Table1[Most curent]=TRUE),"NF")&gt;0,1,0)</f>
        <v>0</v>
      </c>
      <c r="AI41" cm="1">
        <f t="array" ref="AI41">IF(_xlfn._xlws.FILTER(Table1[Spend - Sams],(Table1[Execution Year]=Table2[[#This Row],[Execution Year]])*(Table1[SBU]=Table2[[#This Row],[SBU]])*(Table1[Category]=Table2[[#This Row],[Category]])*(Table1[Most curent]=TRUE),"NF")&gt;0,1,0)</f>
        <v>0</v>
      </c>
      <c r="AJ41" cm="1">
        <f t="array" ref="AJ41">IF(_xlfn._xlws.FILTER(Table1[Spend - Sams Mexico],(Table1[Execution Year]=Table2[[#This Row],[Execution Year]])*(Table1[SBU]=Table2[[#This Row],[SBU]])*(Table1[Category]=Table2[[#This Row],[Category]])*(Table1[Most curent]=TRUE),"NF")&gt;0,1,0)</f>
        <v>0</v>
      </c>
      <c r="AK41" cm="1">
        <f t="array" ref="AK41">IF(_xlfn._xlws.FILTER(Table1[Spend - Sams China],(Table1[Execution Year]=Table2[[#This Row],[Execution Year]])*(Table1[SBU]=Table2[[#This Row],[SBU]])*(Table1[Category]=Table2[[#This Row],[Category]])*(Table1[Most curent]=TRUE),"NF")&gt;0,1,0)</f>
        <v>0</v>
      </c>
      <c r="AL41" cm="1">
        <f t="array" ref="AL41">IF(_xlfn._xlws.FILTER(Table1[Spend - IND],(Table1[Execution Year]=Table2[[#This Row],[Execution Year]])*(Table1[SBU]=Table2[[#This Row],[SBU]])*(Table1[Category]=Table2[[#This Row],[Category]])*(Table1[Most curent]=TRUE),"NF")&gt;0,1,0)</f>
        <v>0</v>
      </c>
    </row>
    <row r="42" spans="1:38">
      <c r="A42" t="str">
        <f>Table2[[#This Row],[Execution Year]]&amp;Table2[[#This Row],[SBU]]&amp;Table2[[#This Row],[Category]]</f>
        <v>FY23FoodCookies</v>
      </c>
      <c r="B42" t="s">
        <v>515</v>
      </c>
      <c r="C42" t="s">
        <v>33</v>
      </c>
      <c r="D42" t="s">
        <v>322</v>
      </c>
      <c r="E42" s="185">
        <v>44682</v>
      </c>
      <c r="F42" s="185">
        <v>44772</v>
      </c>
      <c r="G42" s="185">
        <v>0</v>
      </c>
      <c r="H42" s="185">
        <v>0</v>
      </c>
      <c r="I42" t="s">
        <v>413</v>
      </c>
      <c r="J42" t="s">
        <v>417</v>
      </c>
      <c r="K42" t="s">
        <v>516</v>
      </c>
      <c r="L42">
        <v>0</v>
      </c>
      <c r="M42">
        <v>44832</v>
      </c>
      <c r="N42" t="s">
        <v>516</v>
      </c>
      <c r="O42" s="16">
        <v>44729.603156134261</v>
      </c>
      <c r="P42">
        <v>0</v>
      </c>
      <c r="Q42">
        <v>0</v>
      </c>
      <c r="R42" t="s">
        <v>353</v>
      </c>
      <c r="S42">
        <v>0</v>
      </c>
      <c r="T42">
        <v>0</v>
      </c>
      <c r="U42">
        <v>0</v>
      </c>
      <c r="V42" t="str">
        <f>_xlfn.XLOOKUP(Table2[[#This Row],[Primary Dept Description]],'Lookup tables'!$U$17:$U$117,'Lookup tables'!$T$17:$T$117,"")</f>
        <v/>
      </c>
      <c r="W42" s="15">
        <f>IF(OR(Table2[[#This Row],[Revised Award]]=0,Table2[[#This Row],[Revised Award]]=""),IF(OR(Table2[[#This Row],[Planned Award]]=0,Table2[[#This Row],[Planned Award]]=""),"Not Updated",Table2[[#This Row],[Planned Award]]),Table2[[#This Row],[Revised Award]])</f>
        <v>44772</v>
      </c>
      <c r="X42" t="str">
        <f>_xlfn.XLOOKUP(Table2[[#This Row],[Milestone]],'Lookup tables'!$Y$27:$Y$60,'Lookup tables'!$Z$27:$Z$60,"Not Updated")</f>
        <v>Bid Prep</v>
      </c>
      <c r="Y42" cm="1">
        <f t="array" ref="Y42">IF(_xlfn._xlws.FILTER(Table1[Spend - CAN],(Table1[Execution Year]=Table2[[#This Row],[Execution Year]])*(Table1[SBU]=Table2[[#This Row],[SBU]])*(Table1[Category]=Table2[[#This Row],[Category]])*(Table1[Most curent]=TRUE),"NF")&gt;0,1,0)</f>
        <v>0</v>
      </c>
      <c r="Z42" cm="1">
        <f t="array" ref="Z42">IF(_xlfn._xlws.FILTER(Table1[Spend - MEX],(Table1[Execution Year]=Table2[[#This Row],[Execution Year]])*(Table1[SBU]=Table2[[#This Row],[SBU]])*(Table1[Category]=Table2[[#This Row],[Category]])*(Table1[Most curent]=TRUE),"NF")&gt;0,1,0)</f>
        <v>0</v>
      </c>
      <c r="AA42" cm="1">
        <f t="array" ref="AA42">IF(_xlfn._xlws.FILTER(Table1[Spend - CAM],(Table1[Execution Year]=Table2[[#This Row],[Execution Year]])*(Table1[SBU]=Table2[[#This Row],[SBU]])*(Table1[Category]=Table2[[#This Row],[Category]])*(Table1[Most curent]=TRUE),"NF")&gt;0,1,0)</f>
        <v>0</v>
      </c>
      <c r="AB42" cm="1">
        <f t="array" ref="AB42">IF(_xlfn._xlws.FILTER(Table1[Spend - CHL],(Table1[Execution Year]=Table2[[#This Row],[Execution Year]])*(Table1[SBU]=Table2[[#This Row],[SBU]])*(Table1[Category]=Table2[[#This Row],[Category]])*(Table1[Most curent]=TRUE),"NF")&gt;0,1,0)</f>
        <v>0</v>
      </c>
      <c r="AC42" cm="1">
        <f t="array" ref="AC42">IF(_xlfn._xlws.FILTER(Table1[Spend - ARG],(Table1[Execution Year]=Table2[[#This Row],[Execution Year]])*(Table1[SBU]=Table2[[#This Row],[SBU]])*(Table1[Category]=Table2[[#This Row],[Category]])*(Table1[Most curent]=TRUE),"NF")&gt;0,1,0)</f>
        <v>0</v>
      </c>
      <c r="AD42" cm="1">
        <f t="array" ref="AD42">IF(_xlfn._xlws.FILTER(Table1[Spend - CHN],(Table1[Execution Year]=Table2[[#This Row],[Execution Year]])*(Table1[SBU]=Table2[[#This Row],[SBU]])*(Table1[Category]=Table2[[#This Row],[Category]])*(Table1[Most curent]=TRUE),"NF")&gt;0,1,0)</f>
        <v>0</v>
      </c>
      <c r="AE42" cm="1">
        <f t="array" ref="AE42">IF(_xlfn._xlws.FILTER(Table1[Spend - JAP],(Table1[Execution Year]=Table2[[#This Row],[Execution Year]])*(Table1[SBU]=Table2[[#This Row],[SBU]])*(Table1[Category]=Table2[[#This Row],[Category]])*(Table1[Most curent]=TRUE),"NF")&gt;0,1,0)</f>
        <v>0</v>
      </c>
      <c r="AF42" cm="1">
        <f t="array" ref="AF42">IF(_xlfn._xlws.FILTER(Table1[Spend - UKN],(Table1[Execution Year]=Table2[[#This Row],[Execution Year]])*(Table1[SBU]=Table2[[#This Row],[SBU]])*(Table1[Category]=Table2[[#This Row],[Category]])*(Table1[Most curent]=TRUE),"NF")&gt;0,1,0)</f>
        <v>0</v>
      </c>
      <c r="AG42" cm="1">
        <f t="array" ref="AG42">IF(_xlfn._xlws.FILTER(Table1[Spend - SAF],(Table1[Execution Year]=Table2[[#This Row],[Execution Year]])*(Table1[SBU]=Table2[[#This Row],[SBU]])*(Table1[Category]=Table2[[#This Row],[Category]])*(Table1[Most curent]=TRUE),"NF")&gt;0,1,0)</f>
        <v>0</v>
      </c>
      <c r="AH42" cm="1">
        <f t="array" ref="AH42">IF(_xlfn._xlws.FILTER(Table1[Spend - US],(Table1[Execution Year]=Table2[[#This Row],[Execution Year]])*(Table1[SBU]=Table2[[#This Row],[SBU]])*(Table1[Category]=Table2[[#This Row],[Category]])*(Table1[Most curent]=TRUE),"NF")&gt;0,1,0)</f>
        <v>0</v>
      </c>
      <c r="AI42" cm="1">
        <f t="array" ref="AI42">IF(_xlfn._xlws.FILTER(Table1[Spend - Sams],(Table1[Execution Year]=Table2[[#This Row],[Execution Year]])*(Table1[SBU]=Table2[[#This Row],[SBU]])*(Table1[Category]=Table2[[#This Row],[Category]])*(Table1[Most curent]=TRUE),"NF")&gt;0,1,0)</f>
        <v>0</v>
      </c>
      <c r="AJ42" cm="1">
        <f t="array" ref="AJ42">IF(_xlfn._xlws.FILTER(Table1[Spend - Sams Mexico],(Table1[Execution Year]=Table2[[#This Row],[Execution Year]])*(Table1[SBU]=Table2[[#This Row],[SBU]])*(Table1[Category]=Table2[[#This Row],[Category]])*(Table1[Most curent]=TRUE),"NF")&gt;0,1,0)</f>
        <v>0</v>
      </c>
      <c r="AK42" cm="1">
        <f t="array" ref="AK42">IF(_xlfn._xlws.FILTER(Table1[Spend - Sams China],(Table1[Execution Year]=Table2[[#This Row],[Execution Year]])*(Table1[SBU]=Table2[[#This Row],[SBU]])*(Table1[Category]=Table2[[#This Row],[Category]])*(Table1[Most curent]=TRUE),"NF")&gt;0,1,0)</f>
        <v>0</v>
      </c>
      <c r="AL42" cm="1">
        <f t="array" ref="AL42">IF(_xlfn._xlws.FILTER(Table1[Spend - IND],(Table1[Execution Year]=Table2[[#This Row],[Execution Year]])*(Table1[SBU]=Table2[[#This Row],[SBU]])*(Table1[Category]=Table2[[#This Row],[Category]])*(Table1[Most curent]=TRUE),"NF")&gt;0,1,0)</f>
        <v>0</v>
      </c>
    </row>
    <row r="43" spans="1:38">
      <c r="A43" t="str">
        <f>Table2[[#This Row],[Execution Year]]&amp;Table2[[#This Row],[SBU]]&amp;Table2[[#This Row],[Category]]</f>
        <v>FY23FoodCrackers / Saltines</v>
      </c>
      <c r="B43" t="s">
        <v>517</v>
      </c>
      <c r="C43" t="s">
        <v>33</v>
      </c>
      <c r="D43" t="s">
        <v>322</v>
      </c>
      <c r="E43" s="185">
        <v>44682</v>
      </c>
      <c r="F43" s="185">
        <v>44772</v>
      </c>
      <c r="G43" s="185">
        <v>0</v>
      </c>
      <c r="H43" s="185">
        <v>0</v>
      </c>
      <c r="I43" t="s">
        <v>413</v>
      </c>
      <c r="J43" t="s">
        <v>417</v>
      </c>
      <c r="K43" t="s">
        <v>516</v>
      </c>
      <c r="L43">
        <v>0</v>
      </c>
      <c r="M43">
        <v>44832</v>
      </c>
      <c r="N43" t="s">
        <v>516</v>
      </c>
      <c r="O43" s="16">
        <v>44729.603496759257</v>
      </c>
      <c r="P43">
        <v>0</v>
      </c>
      <c r="Q43">
        <v>0</v>
      </c>
      <c r="R43" t="s">
        <v>353</v>
      </c>
      <c r="S43">
        <v>0</v>
      </c>
      <c r="T43">
        <v>0</v>
      </c>
      <c r="U43">
        <v>0</v>
      </c>
      <c r="V43" t="str">
        <f>_xlfn.XLOOKUP(Table2[[#This Row],[Primary Dept Description]],'Lookup tables'!$U$17:$U$117,'Lookup tables'!$T$17:$T$117,"")</f>
        <v/>
      </c>
      <c r="W43" s="15">
        <f>IF(OR(Table2[[#This Row],[Revised Award]]=0,Table2[[#This Row],[Revised Award]]=""),IF(OR(Table2[[#This Row],[Planned Award]]=0,Table2[[#This Row],[Planned Award]]=""),"Not Updated",Table2[[#This Row],[Planned Award]]),Table2[[#This Row],[Revised Award]])</f>
        <v>44772</v>
      </c>
      <c r="X43" t="str">
        <f>_xlfn.XLOOKUP(Table2[[#This Row],[Milestone]],'Lookup tables'!$Y$27:$Y$60,'Lookup tables'!$Z$27:$Z$60,"Not Updated")</f>
        <v>Bid Prep</v>
      </c>
      <c r="Y43" cm="1">
        <f t="array" ref="Y43">IF(_xlfn._xlws.FILTER(Table1[Spend - CAN],(Table1[Execution Year]=Table2[[#This Row],[Execution Year]])*(Table1[SBU]=Table2[[#This Row],[SBU]])*(Table1[Category]=Table2[[#This Row],[Category]])*(Table1[Most curent]=TRUE),"NF")&gt;0,1,0)</f>
        <v>0</v>
      </c>
      <c r="Z43" cm="1">
        <f t="array" ref="Z43">IF(_xlfn._xlws.FILTER(Table1[Spend - MEX],(Table1[Execution Year]=Table2[[#This Row],[Execution Year]])*(Table1[SBU]=Table2[[#This Row],[SBU]])*(Table1[Category]=Table2[[#This Row],[Category]])*(Table1[Most curent]=TRUE),"NF")&gt;0,1,0)</f>
        <v>0</v>
      </c>
      <c r="AA43" cm="1">
        <f t="array" ref="AA43">IF(_xlfn._xlws.FILTER(Table1[Spend - CAM],(Table1[Execution Year]=Table2[[#This Row],[Execution Year]])*(Table1[SBU]=Table2[[#This Row],[SBU]])*(Table1[Category]=Table2[[#This Row],[Category]])*(Table1[Most curent]=TRUE),"NF")&gt;0,1,0)</f>
        <v>0</v>
      </c>
      <c r="AB43" cm="1">
        <f t="array" ref="AB43">IF(_xlfn._xlws.FILTER(Table1[Spend - CHL],(Table1[Execution Year]=Table2[[#This Row],[Execution Year]])*(Table1[SBU]=Table2[[#This Row],[SBU]])*(Table1[Category]=Table2[[#This Row],[Category]])*(Table1[Most curent]=TRUE),"NF")&gt;0,1,0)</f>
        <v>0</v>
      </c>
      <c r="AC43" cm="1">
        <f t="array" ref="AC43">IF(_xlfn._xlws.FILTER(Table1[Spend - ARG],(Table1[Execution Year]=Table2[[#This Row],[Execution Year]])*(Table1[SBU]=Table2[[#This Row],[SBU]])*(Table1[Category]=Table2[[#This Row],[Category]])*(Table1[Most curent]=TRUE),"NF")&gt;0,1,0)</f>
        <v>0</v>
      </c>
      <c r="AD43" cm="1">
        <f t="array" ref="AD43">IF(_xlfn._xlws.FILTER(Table1[Spend - CHN],(Table1[Execution Year]=Table2[[#This Row],[Execution Year]])*(Table1[SBU]=Table2[[#This Row],[SBU]])*(Table1[Category]=Table2[[#This Row],[Category]])*(Table1[Most curent]=TRUE),"NF")&gt;0,1,0)</f>
        <v>0</v>
      </c>
      <c r="AE43" cm="1">
        <f t="array" ref="AE43">IF(_xlfn._xlws.FILTER(Table1[Spend - JAP],(Table1[Execution Year]=Table2[[#This Row],[Execution Year]])*(Table1[SBU]=Table2[[#This Row],[SBU]])*(Table1[Category]=Table2[[#This Row],[Category]])*(Table1[Most curent]=TRUE),"NF")&gt;0,1,0)</f>
        <v>0</v>
      </c>
      <c r="AF43" cm="1">
        <f t="array" ref="AF43">IF(_xlfn._xlws.FILTER(Table1[Spend - UKN],(Table1[Execution Year]=Table2[[#This Row],[Execution Year]])*(Table1[SBU]=Table2[[#This Row],[SBU]])*(Table1[Category]=Table2[[#This Row],[Category]])*(Table1[Most curent]=TRUE),"NF")&gt;0,1,0)</f>
        <v>0</v>
      </c>
      <c r="AG43" cm="1">
        <f t="array" ref="AG43">IF(_xlfn._xlws.FILTER(Table1[Spend - SAF],(Table1[Execution Year]=Table2[[#This Row],[Execution Year]])*(Table1[SBU]=Table2[[#This Row],[SBU]])*(Table1[Category]=Table2[[#This Row],[Category]])*(Table1[Most curent]=TRUE),"NF")&gt;0,1,0)</f>
        <v>0</v>
      </c>
      <c r="AH43" cm="1">
        <f t="array" ref="AH43">IF(_xlfn._xlws.FILTER(Table1[Spend - US],(Table1[Execution Year]=Table2[[#This Row],[Execution Year]])*(Table1[SBU]=Table2[[#This Row],[SBU]])*(Table1[Category]=Table2[[#This Row],[Category]])*(Table1[Most curent]=TRUE),"NF")&gt;0,1,0)</f>
        <v>0</v>
      </c>
      <c r="AI43" cm="1">
        <f t="array" ref="AI43">IF(_xlfn._xlws.FILTER(Table1[Spend - Sams],(Table1[Execution Year]=Table2[[#This Row],[Execution Year]])*(Table1[SBU]=Table2[[#This Row],[SBU]])*(Table1[Category]=Table2[[#This Row],[Category]])*(Table1[Most curent]=TRUE),"NF")&gt;0,1,0)</f>
        <v>0</v>
      </c>
      <c r="AJ43" cm="1">
        <f t="array" ref="AJ43">IF(_xlfn._xlws.FILTER(Table1[Spend - Sams Mexico],(Table1[Execution Year]=Table2[[#This Row],[Execution Year]])*(Table1[SBU]=Table2[[#This Row],[SBU]])*(Table1[Category]=Table2[[#This Row],[Category]])*(Table1[Most curent]=TRUE),"NF")&gt;0,1,0)</f>
        <v>0</v>
      </c>
      <c r="AK43" cm="1">
        <f t="array" ref="AK43">IF(_xlfn._xlws.FILTER(Table1[Spend - Sams China],(Table1[Execution Year]=Table2[[#This Row],[Execution Year]])*(Table1[SBU]=Table2[[#This Row],[SBU]])*(Table1[Category]=Table2[[#This Row],[Category]])*(Table1[Most curent]=TRUE),"NF")&gt;0,1,0)</f>
        <v>0</v>
      </c>
      <c r="AL43" cm="1">
        <f t="array" ref="AL43">IF(_xlfn._xlws.FILTER(Table1[Spend - IND],(Table1[Execution Year]=Table2[[#This Row],[Execution Year]])*(Table1[SBU]=Table2[[#This Row],[SBU]])*(Table1[Category]=Table2[[#This Row],[Category]])*(Table1[Most curent]=TRUE),"NF")&gt;0,1,0)</f>
        <v>0</v>
      </c>
    </row>
    <row r="44" spans="1:38">
      <c r="A44" t="str">
        <f>Table2[[#This Row],[Execution Year]]&amp;Table2[[#This Row],[SBU]]&amp;Table2[[#This Row],[Category]]</f>
        <v>FY23FoodFrozen Fruit</v>
      </c>
      <c r="B44" t="s">
        <v>84</v>
      </c>
      <c r="C44" t="s">
        <v>33</v>
      </c>
      <c r="D44" t="s">
        <v>322</v>
      </c>
      <c r="E44" s="185"/>
      <c r="F44" s="185"/>
      <c r="G44" s="185"/>
      <c r="H44" s="185"/>
      <c r="I44" t="s">
        <v>135</v>
      </c>
      <c r="J44" t="s">
        <v>459</v>
      </c>
      <c r="K44" t="s">
        <v>496</v>
      </c>
      <c r="O44" s="16"/>
      <c r="V44">
        <f>_xlfn.XLOOKUP(Table2[[#This Row],[Primary Dept Description]],'Lookup tables'!$U$17:$U$117,'Lookup tables'!$T$17:$T$117,"")</f>
        <v>0</v>
      </c>
      <c r="W44" s="15" t="str">
        <f>IF(OR(Table2[[#This Row],[Revised Award]]=0,Table2[[#This Row],[Revised Award]]=""),IF(OR(Table2[[#This Row],[Planned Award]]=0,Table2[[#This Row],[Planned Award]]=""),"Not Updated",Table2[[#This Row],[Planned Award]]),Table2[[#This Row],[Revised Award]])</f>
        <v>Not Updated</v>
      </c>
      <c r="X44" t="str">
        <f>_xlfn.XLOOKUP(Table2[[#This Row],[Milestone]],'Lookup tables'!$Y$27:$Y$60,'Lookup tables'!$Z$27:$Z$60,"Not Updated")</f>
        <v>Pipeline</v>
      </c>
      <c r="Y44" cm="1">
        <f t="array" ref="Y44">IF(_xlfn._xlws.FILTER(Table1[Spend - CAN],(Table1[Execution Year]=Table2[[#This Row],[Execution Year]])*(Table1[SBU]=Table2[[#This Row],[SBU]])*(Table1[Category]=Table2[[#This Row],[Category]])*(Table1[Most curent]=TRUE),"NF")&gt;0,1,0)</f>
        <v>0</v>
      </c>
      <c r="Z44" cm="1">
        <f t="array" ref="Z44">IF(_xlfn._xlws.FILTER(Table1[Spend - MEX],(Table1[Execution Year]=Table2[[#This Row],[Execution Year]])*(Table1[SBU]=Table2[[#This Row],[SBU]])*(Table1[Category]=Table2[[#This Row],[Category]])*(Table1[Most curent]=TRUE),"NF")&gt;0,1,0)</f>
        <v>0</v>
      </c>
      <c r="AA44" cm="1">
        <f t="array" ref="AA44">IF(_xlfn._xlws.FILTER(Table1[Spend - CAM],(Table1[Execution Year]=Table2[[#This Row],[Execution Year]])*(Table1[SBU]=Table2[[#This Row],[SBU]])*(Table1[Category]=Table2[[#This Row],[Category]])*(Table1[Most curent]=TRUE),"NF")&gt;0,1,0)</f>
        <v>0</v>
      </c>
      <c r="AB44" cm="1">
        <f t="array" ref="AB44">IF(_xlfn._xlws.FILTER(Table1[Spend - CHL],(Table1[Execution Year]=Table2[[#This Row],[Execution Year]])*(Table1[SBU]=Table2[[#This Row],[SBU]])*(Table1[Category]=Table2[[#This Row],[Category]])*(Table1[Most curent]=TRUE),"NF")&gt;0,1,0)</f>
        <v>0</v>
      </c>
      <c r="AC44" cm="1">
        <f t="array" ref="AC44">IF(_xlfn._xlws.FILTER(Table1[Spend - ARG],(Table1[Execution Year]=Table2[[#This Row],[Execution Year]])*(Table1[SBU]=Table2[[#This Row],[SBU]])*(Table1[Category]=Table2[[#This Row],[Category]])*(Table1[Most curent]=TRUE),"NF")&gt;0,1,0)</f>
        <v>0</v>
      </c>
      <c r="AD44" cm="1">
        <f t="array" ref="AD44">IF(_xlfn._xlws.FILTER(Table1[Spend - CHN],(Table1[Execution Year]=Table2[[#This Row],[Execution Year]])*(Table1[SBU]=Table2[[#This Row],[SBU]])*(Table1[Category]=Table2[[#This Row],[Category]])*(Table1[Most curent]=TRUE),"NF")&gt;0,1,0)</f>
        <v>0</v>
      </c>
      <c r="AE44" cm="1">
        <f t="array" ref="AE44">IF(_xlfn._xlws.FILTER(Table1[Spend - JAP],(Table1[Execution Year]=Table2[[#This Row],[Execution Year]])*(Table1[SBU]=Table2[[#This Row],[SBU]])*(Table1[Category]=Table2[[#This Row],[Category]])*(Table1[Most curent]=TRUE),"NF")&gt;0,1,0)</f>
        <v>0</v>
      </c>
      <c r="AF44" cm="1">
        <f t="array" ref="AF44">IF(_xlfn._xlws.FILTER(Table1[Spend - UKN],(Table1[Execution Year]=Table2[[#This Row],[Execution Year]])*(Table1[SBU]=Table2[[#This Row],[SBU]])*(Table1[Category]=Table2[[#This Row],[Category]])*(Table1[Most curent]=TRUE),"NF")&gt;0,1,0)</f>
        <v>0</v>
      </c>
      <c r="AG44" cm="1">
        <f t="array" ref="AG44">IF(_xlfn._xlws.FILTER(Table1[Spend - SAF],(Table1[Execution Year]=Table2[[#This Row],[Execution Year]])*(Table1[SBU]=Table2[[#This Row],[SBU]])*(Table1[Category]=Table2[[#This Row],[Category]])*(Table1[Most curent]=TRUE),"NF")&gt;0,1,0)</f>
        <v>0</v>
      </c>
      <c r="AH44" cm="1">
        <f t="array" ref="AH44">IF(_xlfn._xlws.FILTER(Table1[Spend - US],(Table1[Execution Year]=Table2[[#This Row],[Execution Year]])*(Table1[SBU]=Table2[[#This Row],[SBU]])*(Table1[Category]=Table2[[#This Row],[Category]])*(Table1[Most curent]=TRUE),"NF")&gt;0,1,0)</f>
        <v>0</v>
      </c>
      <c r="AI44" cm="1">
        <f t="array" ref="AI44">IF(_xlfn._xlws.FILTER(Table1[Spend - Sams],(Table1[Execution Year]=Table2[[#This Row],[Execution Year]])*(Table1[SBU]=Table2[[#This Row],[SBU]])*(Table1[Category]=Table2[[#This Row],[Category]])*(Table1[Most curent]=TRUE),"NF")&gt;0,1,0)</f>
        <v>0</v>
      </c>
      <c r="AJ44" cm="1">
        <f t="array" ref="AJ44">IF(_xlfn._xlws.FILTER(Table1[Spend - Sams Mexico],(Table1[Execution Year]=Table2[[#This Row],[Execution Year]])*(Table1[SBU]=Table2[[#This Row],[SBU]])*(Table1[Category]=Table2[[#This Row],[Category]])*(Table1[Most curent]=TRUE),"NF")&gt;0,1,0)</f>
        <v>0</v>
      </c>
      <c r="AK44" cm="1">
        <f t="array" ref="AK44">IF(_xlfn._xlws.FILTER(Table1[Spend - Sams China],(Table1[Execution Year]=Table2[[#This Row],[Execution Year]])*(Table1[SBU]=Table2[[#This Row],[SBU]])*(Table1[Category]=Table2[[#This Row],[Category]])*(Table1[Most curent]=TRUE),"NF")&gt;0,1,0)</f>
        <v>0</v>
      </c>
      <c r="AL44" cm="1">
        <f t="array" ref="AL44">IF(_xlfn._xlws.FILTER(Table1[Spend - IND],(Table1[Execution Year]=Table2[[#This Row],[Execution Year]])*(Table1[SBU]=Table2[[#This Row],[SBU]])*(Table1[Category]=Table2[[#This Row],[Category]])*(Table1[Most curent]=TRUE),"NF")&gt;0,1,0)</f>
        <v>0</v>
      </c>
    </row>
    <row r="45" spans="1:38">
      <c r="A45" t="str">
        <f>Table2[[#This Row],[Execution Year]]&amp;Table2[[#This Row],[SBU]]&amp;Table2[[#This Row],[Category]]</f>
        <v>FY23FoodSalty Snacks (Chips &amp; Pretzels)</v>
      </c>
      <c r="B45" t="s">
        <v>518</v>
      </c>
      <c r="C45" t="s">
        <v>33</v>
      </c>
      <c r="D45" t="s">
        <v>322</v>
      </c>
      <c r="E45" s="185"/>
      <c r="F45" s="185"/>
      <c r="G45" s="185"/>
      <c r="H45" s="185"/>
      <c r="I45" t="s">
        <v>135</v>
      </c>
      <c r="J45" t="s">
        <v>459</v>
      </c>
      <c r="K45" t="s">
        <v>516</v>
      </c>
      <c r="O45" s="16"/>
      <c r="V45">
        <f>_xlfn.XLOOKUP(Table2[[#This Row],[Primary Dept Description]],'Lookup tables'!$U$17:$U$117,'Lookup tables'!$T$17:$T$117,"")</f>
        <v>0</v>
      </c>
      <c r="W45" s="15" t="str">
        <f>IF(OR(Table2[[#This Row],[Revised Award]]=0,Table2[[#This Row],[Revised Award]]=""),IF(OR(Table2[[#This Row],[Planned Award]]=0,Table2[[#This Row],[Planned Award]]=""),"Not Updated",Table2[[#This Row],[Planned Award]]),Table2[[#This Row],[Revised Award]])</f>
        <v>Not Updated</v>
      </c>
      <c r="X45" t="str">
        <f>_xlfn.XLOOKUP(Table2[[#This Row],[Milestone]],'Lookup tables'!$Y$27:$Y$60,'Lookup tables'!$Z$27:$Z$60,"Not Updated")</f>
        <v>Pipeline</v>
      </c>
      <c r="Y45" cm="1">
        <f t="array" ref="Y45">IF(_xlfn._xlws.FILTER(Table1[Spend - CAN],(Table1[Execution Year]=Table2[[#This Row],[Execution Year]])*(Table1[SBU]=Table2[[#This Row],[SBU]])*(Table1[Category]=Table2[[#This Row],[Category]])*(Table1[Most curent]=TRUE),"NF")&gt;0,1,0)</f>
        <v>0</v>
      </c>
      <c r="Z45" cm="1">
        <f t="array" ref="Z45">IF(_xlfn._xlws.FILTER(Table1[Spend - MEX],(Table1[Execution Year]=Table2[[#This Row],[Execution Year]])*(Table1[SBU]=Table2[[#This Row],[SBU]])*(Table1[Category]=Table2[[#This Row],[Category]])*(Table1[Most curent]=TRUE),"NF")&gt;0,1,0)</f>
        <v>0</v>
      </c>
      <c r="AA45" cm="1">
        <f t="array" ref="AA45">IF(_xlfn._xlws.FILTER(Table1[Spend - CAM],(Table1[Execution Year]=Table2[[#This Row],[Execution Year]])*(Table1[SBU]=Table2[[#This Row],[SBU]])*(Table1[Category]=Table2[[#This Row],[Category]])*(Table1[Most curent]=TRUE),"NF")&gt;0,1,0)</f>
        <v>0</v>
      </c>
      <c r="AB45" cm="1">
        <f t="array" ref="AB45">IF(_xlfn._xlws.FILTER(Table1[Spend - CHL],(Table1[Execution Year]=Table2[[#This Row],[Execution Year]])*(Table1[SBU]=Table2[[#This Row],[SBU]])*(Table1[Category]=Table2[[#This Row],[Category]])*(Table1[Most curent]=TRUE),"NF")&gt;0,1,0)</f>
        <v>0</v>
      </c>
      <c r="AC45" cm="1">
        <f t="array" ref="AC45">IF(_xlfn._xlws.FILTER(Table1[Spend - ARG],(Table1[Execution Year]=Table2[[#This Row],[Execution Year]])*(Table1[SBU]=Table2[[#This Row],[SBU]])*(Table1[Category]=Table2[[#This Row],[Category]])*(Table1[Most curent]=TRUE),"NF")&gt;0,1,0)</f>
        <v>0</v>
      </c>
      <c r="AD45" cm="1">
        <f t="array" ref="AD45">IF(_xlfn._xlws.FILTER(Table1[Spend - CHN],(Table1[Execution Year]=Table2[[#This Row],[Execution Year]])*(Table1[SBU]=Table2[[#This Row],[SBU]])*(Table1[Category]=Table2[[#This Row],[Category]])*(Table1[Most curent]=TRUE),"NF")&gt;0,1,0)</f>
        <v>0</v>
      </c>
      <c r="AE45" cm="1">
        <f t="array" ref="AE45">IF(_xlfn._xlws.FILTER(Table1[Spend - JAP],(Table1[Execution Year]=Table2[[#This Row],[Execution Year]])*(Table1[SBU]=Table2[[#This Row],[SBU]])*(Table1[Category]=Table2[[#This Row],[Category]])*(Table1[Most curent]=TRUE),"NF")&gt;0,1,0)</f>
        <v>0</v>
      </c>
      <c r="AF45" cm="1">
        <f t="array" ref="AF45">IF(_xlfn._xlws.FILTER(Table1[Spend - UKN],(Table1[Execution Year]=Table2[[#This Row],[Execution Year]])*(Table1[SBU]=Table2[[#This Row],[SBU]])*(Table1[Category]=Table2[[#This Row],[Category]])*(Table1[Most curent]=TRUE),"NF")&gt;0,1,0)</f>
        <v>0</v>
      </c>
      <c r="AG45" cm="1">
        <f t="array" ref="AG45">IF(_xlfn._xlws.FILTER(Table1[Spend - SAF],(Table1[Execution Year]=Table2[[#This Row],[Execution Year]])*(Table1[SBU]=Table2[[#This Row],[SBU]])*(Table1[Category]=Table2[[#This Row],[Category]])*(Table1[Most curent]=TRUE),"NF")&gt;0,1,0)</f>
        <v>0</v>
      </c>
      <c r="AH45" cm="1">
        <f t="array" ref="AH45">IF(_xlfn._xlws.FILTER(Table1[Spend - US],(Table1[Execution Year]=Table2[[#This Row],[Execution Year]])*(Table1[SBU]=Table2[[#This Row],[SBU]])*(Table1[Category]=Table2[[#This Row],[Category]])*(Table1[Most curent]=TRUE),"NF")&gt;0,1,0)</f>
        <v>0</v>
      </c>
      <c r="AI45" cm="1">
        <f t="array" ref="AI45">IF(_xlfn._xlws.FILTER(Table1[Spend - Sams],(Table1[Execution Year]=Table2[[#This Row],[Execution Year]])*(Table1[SBU]=Table2[[#This Row],[SBU]])*(Table1[Category]=Table2[[#This Row],[Category]])*(Table1[Most curent]=TRUE),"NF")&gt;0,1,0)</f>
        <v>0</v>
      </c>
      <c r="AJ45" cm="1">
        <f t="array" ref="AJ45">IF(_xlfn._xlws.FILTER(Table1[Spend - Sams Mexico],(Table1[Execution Year]=Table2[[#This Row],[Execution Year]])*(Table1[SBU]=Table2[[#This Row],[SBU]])*(Table1[Category]=Table2[[#This Row],[Category]])*(Table1[Most curent]=TRUE),"NF")&gt;0,1,0)</f>
        <v>0</v>
      </c>
      <c r="AK45" cm="1">
        <f t="array" ref="AK45">IF(_xlfn._xlws.FILTER(Table1[Spend - Sams China],(Table1[Execution Year]=Table2[[#This Row],[Execution Year]])*(Table1[SBU]=Table2[[#This Row],[SBU]])*(Table1[Category]=Table2[[#This Row],[Category]])*(Table1[Most curent]=TRUE),"NF")&gt;0,1,0)</f>
        <v>0</v>
      </c>
      <c r="AL45" cm="1">
        <f t="array" ref="AL45">IF(_xlfn._xlws.FILTER(Table1[Spend - IND],(Table1[Execution Year]=Table2[[#This Row],[Execution Year]])*(Table1[SBU]=Table2[[#This Row],[SBU]])*(Table1[Category]=Table2[[#This Row],[Category]])*(Table1[Most curent]=TRUE),"NF")&gt;0,1,0)</f>
        <v>0</v>
      </c>
    </row>
    <row r="46" spans="1:38">
      <c r="A46" t="str">
        <f>Table2[[#This Row],[Execution Year]]&amp;Table2[[#This Row],[SBU]]&amp;Table2[[#This Row],[Category]]</f>
        <v>FY23FoodTable Ready Salads</v>
      </c>
      <c r="B46" t="s">
        <v>519</v>
      </c>
      <c r="C46" t="s">
        <v>33</v>
      </c>
      <c r="D46" t="s">
        <v>322</v>
      </c>
      <c r="E46" s="185"/>
      <c r="F46" s="185"/>
      <c r="G46" s="185"/>
      <c r="H46" s="185"/>
      <c r="I46" t="s">
        <v>135</v>
      </c>
      <c r="J46" t="s">
        <v>459</v>
      </c>
      <c r="K46" t="s">
        <v>490</v>
      </c>
      <c r="O46" s="16"/>
      <c r="V46">
        <f>_xlfn.XLOOKUP(Table2[[#This Row],[Primary Dept Description]],'Lookup tables'!$U$17:$U$117,'Lookup tables'!$T$17:$T$117,"")</f>
        <v>0</v>
      </c>
      <c r="W46" s="15" t="str">
        <f>IF(OR(Table2[[#This Row],[Revised Award]]=0,Table2[[#This Row],[Revised Award]]=""),IF(OR(Table2[[#This Row],[Planned Award]]=0,Table2[[#This Row],[Planned Award]]=""),"Not Updated",Table2[[#This Row],[Planned Award]]),Table2[[#This Row],[Revised Award]])</f>
        <v>Not Updated</v>
      </c>
      <c r="X46" t="str">
        <f>_xlfn.XLOOKUP(Table2[[#This Row],[Milestone]],'Lookup tables'!$Y$27:$Y$60,'Lookup tables'!$Z$27:$Z$60,"Not Updated")</f>
        <v>Pipeline</v>
      </c>
      <c r="Y46" cm="1">
        <f t="array" ref="Y46">IF(_xlfn._xlws.FILTER(Table1[Spend - CAN],(Table1[Execution Year]=Table2[[#This Row],[Execution Year]])*(Table1[SBU]=Table2[[#This Row],[SBU]])*(Table1[Category]=Table2[[#This Row],[Category]])*(Table1[Most curent]=TRUE),"NF")&gt;0,1,0)</f>
        <v>0</v>
      </c>
      <c r="Z46" cm="1">
        <f t="array" ref="Z46">IF(_xlfn._xlws.FILTER(Table1[Spend - MEX],(Table1[Execution Year]=Table2[[#This Row],[Execution Year]])*(Table1[SBU]=Table2[[#This Row],[SBU]])*(Table1[Category]=Table2[[#This Row],[Category]])*(Table1[Most curent]=TRUE),"NF")&gt;0,1,0)</f>
        <v>0</v>
      </c>
      <c r="AA46" cm="1">
        <f t="array" ref="AA46">IF(_xlfn._xlws.FILTER(Table1[Spend - CAM],(Table1[Execution Year]=Table2[[#This Row],[Execution Year]])*(Table1[SBU]=Table2[[#This Row],[SBU]])*(Table1[Category]=Table2[[#This Row],[Category]])*(Table1[Most curent]=TRUE),"NF")&gt;0,1,0)</f>
        <v>0</v>
      </c>
      <c r="AB46" cm="1">
        <f t="array" ref="AB46">IF(_xlfn._xlws.FILTER(Table1[Spend - CHL],(Table1[Execution Year]=Table2[[#This Row],[Execution Year]])*(Table1[SBU]=Table2[[#This Row],[SBU]])*(Table1[Category]=Table2[[#This Row],[Category]])*(Table1[Most curent]=TRUE),"NF")&gt;0,1,0)</f>
        <v>0</v>
      </c>
      <c r="AC46" cm="1">
        <f t="array" ref="AC46">IF(_xlfn._xlws.FILTER(Table1[Spend - ARG],(Table1[Execution Year]=Table2[[#This Row],[Execution Year]])*(Table1[SBU]=Table2[[#This Row],[SBU]])*(Table1[Category]=Table2[[#This Row],[Category]])*(Table1[Most curent]=TRUE),"NF")&gt;0,1,0)</f>
        <v>0</v>
      </c>
      <c r="AD46" cm="1">
        <f t="array" ref="AD46">IF(_xlfn._xlws.FILTER(Table1[Spend - CHN],(Table1[Execution Year]=Table2[[#This Row],[Execution Year]])*(Table1[SBU]=Table2[[#This Row],[SBU]])*(Table1[Category]=Table2[[#This Row],[Category]])*(Table1[Most curent]=TRUE),"NF")&gt;0,1,0)</f>
        <v>0</v>
      </c>
      <c r="AE46" cm="1">
        <f t="array" ref="AE46">IF(_xlfn._xlws.FILTER(Table1[Spend - JAP],(Table1[Execution Year]=Table2[[#This Row],[Execution Year]])*(Table1[SBU]=Table2[[#This Row],[SBU]])*(Table1[Category]=Table2[[#This Row],[Category]])*(Table1[Most curent]=TRUE),"NF")&gt;0,1,0)</f>
        <v>0</v>
      </c>
      <c r="AF46" cm="1">
        <f t="array" ref="AF46">IF(_xlfn._xlws.FILTER(Table1[Spend - UKN],(Table1[Execution Year]=Table2[[#This Row],[Execution Year]])*(Table1[SBU]=Table2[[#This Row],[SBU]])*(Table1[Category]=Table2[[#This Row],[Category]])*(Table1[Most curent]=TRUE),"NF")&gt;0,1,0)</f>
        <v>0</v>
      </c>
      <c r="AG46" cm="1">
        <f t="array" ref="AG46">IF(_xlfn._xlws.FILTER(Table1[Spend - SAF],(Table1[Execution Year]=Table2[[#This Row],[Execution Year]])*(Table1[SBU]=Table2[[#This Row],[SBU]])*(Table1[Category]=Table2[[#This Row],[Category]])*(Table1[Most curent]=TRUE),"NF")&gt;0,1,0)</f>
        <v>0</v>
      </c>
      <c r="AH46" cm="1">
        <f t="array" ref="AH46">IF(_xlfn._xlws.FILTER(Table1[Spend - US],(Table1[Execution Year]=Table2[[#This Row],[Execution Year]])*(Table1[SBU]=Table2[[#This Row],[SBU]])*(Table1[Category]=Table2[[#This Row],[Category]])*(Table1[Most curent]=TRUE),"NF")&gt;0,1,0)</f>
        <v>0</v>
      </c>
      <c r="AI46" cm="1">
        <f t="array" ref="AI46">IF(_xlfn._xlws.FILTER(Table1[Spend - Sams],(Table1[Execution Year]=Table2[[#This Row],[Execution Year]])*(Table1[SBU]=Table2[[#This Row],[SBU]])*(Table1[Category]=Table2[[#This Row],[Category]])*(Table1[Most curent]=TRUE),"NF")&gt;0,1,0)</f>
        <v>0</v>
      </c>
      <c r="AJ46" cm="1">
        <f t="array" ref="AJ46">IF(_xlfn._xlws.FILTER(Table1[Spend - Sams Mexico],(Table1[Execution Year]=Table2[[#This Row],[Execution Year]])*(Table1[SBU]=Table2[[#This Row],[SBU]])*(Table1[Category]=Table2[[#This Row],[Category]])*(Table1[Most curent]=TRUE),"NF")&gt;0,1,0)</f>
        <v>0</v>
      </c>
      <c r="AK46" cm="1">
        <f t="array" ref="AK46">IF(_xlfn._xlws.FILTER(Table1[Spend - Sams China],(Table1[Execution Year]=Table2[[#This Row],[Execution Year]])*(Table1[SBU]=Table2[[#This Row],[SBU]])*(Table1[Category]=Table2[[#This Row],[Category]])*(Table1[Most curent]=TRUE),"NF")&gt;0,1,0)</f>
        <v>0</v>
      </c>
      <c r="AL46" cm="1">
        <f t="array" ref="AL46">IF(_xlfn._xlws.FILTER(Table1[Spend - IND],(Table1[Execution Year]=Table2[[#This Row],[Execution Year]])*(Table1[SBU]=Table2[[#This Row],[SBU]])*(Table1[Category]=Table2[[#This Row],[Category]])*(Table1[Most curent]=TRUE),"NF")&gt;0,1,0)</f>
        <v>0</v>
      </c>
    </row>
    <row r="47" spans="1:38">
      <c r="A47" t="str">
        <f>Table2[[#This Row],[Execution Year]]&amp;Table2[[#This Row],[SBU]]&amp;Table2[[#This Row],[Category]]</f>
        <v>FY23FoodCanned Fruit</v>
      </c>
      <c r="B47" t="s">
        <v>520</v>
      </c>
      <c r="C47" t="s">
        <v>33</v>
      </c>
      <c r="D47" t="s">
        <v>322</v>
      </c>
      <c r="E47" s="185">
        <v>44774</v>
      </c>
      <c r="F47" s="185">
        <v>44895</v>
      </c>
      <c r="G47" s="185">
        <v>0</v>
      </c>
      <c r="H47" s="185">
        <v>0</v>
      </c>
      <c r="I47" t="s">
        <v>135</v>
      </c>
      <c r="J47" t="s">
        <v>459</v>
      </c>
      <c r="K47" t="s">
        <v>508</v>
      </c>
      <c r="L47" t="s">
        <v>521</v>
      </c>
      <c r="M47">
        <v>44955</v>
      </c>
      <c r="N47" t="s">
        <v>508</v>
      </c>
      <c r="O47" s="16">
        <v>44729.558873032409</v>
      </c>
      <c r="P47" t="s">
        <v>522</v>
      </c>
      <c r="Q47" t="s">
        <v>499</v>
      </c>
      <c r="R47" t="s">
        <v>353</v>
      </c>
      <c r="S47" t="s">
        <v>523</v>
      </c>
      <c r="T47" t="s">
        <v>413</v>
      </c>
      <c r="U47">
        <v>44813</v>
      </c>
      <c r="V47">
        <f>_xlfn.XLOOKUP(Table2[[#This Row],[Primary Dept Description]],'Lookup tables'!$U$17:$U$117,'Lookup tables'!$T$17:$T$117,"")</f>
        <v>92</v>
      </c>
      <c r="W47" s="15">
        <f>IF(OR(Table2[[#This Row],[Revised Award]]=0,Table2[[#This Row],[Revised Award]]=""),IF(OR(Table2[[#This Row],[Planned Award]]=0,Table2[[#This Row],[Planned Award]]=""),"Not Updated",Table2[[#This Row],[Planned Award]]),Table2[[#This Row],[Revised Award]])</f>
        <v>44895</v>
      </c>
      <c r="X47" t="str">
        <f>_xlfn.XLOOKUP(Table2[[#This Row],[Milestone]],'Lookup tables'!$Y$27:$Y$60,'Lookup tables'!$Z$27:$Z$60,"Not Updated")</f>
        <v>Pipeline</v>
      </c>
      <c r="Y47" cm="1">
        <f t="array" ref="Y47">IF(_xlfn._xlws.FILTER(Table1[Spend - CAN],(Table1[Execution Year]=Table2[[#This Row],[Execution Year]])*(Table1[SBU]=Table2[[#This Row],[SBU]])*(Table1[Category]=Table2[[#This Row],[Category]])*(Table1[Most curent]=TRUE),"NF")&gt;0,1,0)</f>
        <v>0</v>
      </c>
      <c r="Z47" cm="1">
        <f t="array" ref="Z47">IF(_xlfn._xlws.FILTER(Table1[Spend - MEX],(Table1[Execution Year]=Table2[[#This Row],[Execution Year]])*(Table1[SBU]=Table2[[#This Row],[SBU]])*(Table1[Category]=Table2[[#This Row],[Category]])*(Table1[Most curent]=TRUE),"NF")&gt;0,1,0)</f>
        <v>0</v>
      </c>
      <c r="AA47" cm="1">
        <f t="array" ref="AA47">IF(_xlfn._xlws.FILTER(Table1[Spend - CAM],(Table1[Execution Year]=Table2[[#This Row],[Execution Year]])*(Table1[SBU]=Table2[[#This Row],[SBU]])*(Table1[Category]=Table2[[#This Row],[Category]])*(Table1[Most curent]=TRUE),"NF")&gt;0,1,0)</f>
        <v>0</v>
      </c>
      <c r="AB47" cm="1">
        <f t="array" ref="AB47">IF(_xlfn._xlws.FILTER(Table1[Spend - CHL],(Table1[Execution Year]=Table2[[#This Row],[Execution Year]])*(Table1[SBU]=Table2[[#This Row],[SBU]])*(Table1[Category]=Table2[[#This Row],[Category]])*(Table1[Most curent]=TRUE),"NF")&gt;0,1,0)</f>
        <v>0</v>
      </c>
      <c r="AC47" cm="1">
        <f t="array" ref="AC47">IF(_xlfn._xlws.FILTER(Table1[Spend - ARG],(Table1[Execution Year]=Table2[[#This Row],[Execution Year]])*(Table1[SBU]=Table2[[#This Row],[SBU]])*(Table1[Category]=Table2[[#This Row],[Category]])*(Table1[Most curent]=TRUE),"NF")&gt;0,1,0)</f>
        <v>0</v>
      </c>
      <c r="AD47" cm="1">
        <f t="array" ref="AD47">IF(_xlfn._xlws.FILTER(Table1[Spend - CHN],(Table1[Execution Year]=Table2[[#This Row],[Execution Year]])*(Table1[SBU]=Table2[[#This Row],[SBU]])*(Table1[Category]=Table2[[#This Row],[Category]])*(Table1[Most curent]=TRUE),"NF")&gt;0,1,0)</f>
        <v>0</v>
      </c>
      <c r="AE47" cm="1">
        <f t="array" ref="AE47">IF(_xlfn._xlws.FILTER(Table1[Spend - JAP],(Table1[Execution Year]=Table2[[#This Row],[Execution Year]])*(Table1[SBU]=Table2[[#This Row],[SBU]])*(Table1[Category]=Table2[[#This Row],[Category]])*(Table1[Most curent]=TRUE),"NF")&gt;0,1,0)</f>
        <v>0</v>
      </c>
      <c r="AF47" cm="1">
        <f t="array" ref="AF47">IF(_xlfn._xlws.FILTER(Table1[Spend - UKN],(Table1[Execution Year]=Table2[[#This Row],[Execution Year]])*(Table1[SBU]=Table2[[#This Row],[SBU]])*(Table1[Category]=Table2[[#This Row],[Category]])*(Table1[Most curent]=TRUE),"NF")&gt;0,1,0)</f>
        <v>0</v>
      </c>
      <c r="AG47" cm="1">
        <f t="array" ref="AG47">IF(_xlfn._xlws.FILTER(Table1[Spend - SAF],(Table1[Execution Year]=Table2[[#This Row],[Execution Year]])*(Table1[SBU]=Table2[[#This Row],[SBU]])*(Table1[Category]=Table2[[#This Row],[Category]])*(Table1[Most curent]=TRUE),"NF")&gt;0,1,0)</f>
        <v>0</v>
      </c>
      <c r="AH47" cm="1">
        <f t="array" ref="AH47">IF(_xlfn._xlws.FILTER(Table1[Spend - US],(Table1[Execution Year]=Table2[[#This Row],[Execution Year]])*(Table1[SBU]=Table2[[#This Row],[SBU]])*(Table1[Category]=Table2[[#This Row],[Category]])*(Table1[Most curent]=TRUE),"NF")&gt;0,1,0)</f>
        <v>1</v>
      </c>
      <c r="AI47" cm="1">
        <f t="array" ref="AI47">IF(_xlfn._xlws.FILTER(Table1[Spend - Sams],(Table1[Execution Year]=Table2[[#This Row],[Execution Year]])*(Table1[SBU]=Table2[[#This Row],[SBU]])*(Table1[Category]=Table2[[#This Row],[Category]])*(Table1[Most curent]=TRUE),"NF")&gt;0,1,0)</f>
        <v>0</v>
      </c>
      <c r="AJ47" cm="1">
        <f t="array" ref="AJ47">IF(_xlfn._xlws.FILTER(Table1[Spend - Sams Mexico],(Table1[Execution Year]=Table2[[#This Row],[Execution Year]])*(Table1[SBU]=Table2[[#This Row],[SBU]])*(Table1[Category]=Table2[[#This Row],[Category]])*(Table1[Most curent]=TRUE),"NF")&gt;0,1,0)</f>
        <v>0</v>
      </c>
      <c r="AK47" cm="1">
        <f t="array" ref="AK47">IF(_xlfn._xlws.FILTER(Table1[Spend - Sams China],(Table1[Execution Year]=Table2[[#This Row],[Execution Year]])*(Table1[SBU]=Table2[[#This Row],[SBU]])*(Table1[Category]=Table2[[#This Row],[Category]])*(Table1[Most curent]=TRUE),"NF")&gt;0,1,0)</f>
        <v>0</v>
      </c>
      <c r="AL47" cm="1">
        <f t="array" ref="AL47">IF(_xlfn._xlws.FILTER(Table1[Spend - IND],(Table1[Execution Year]=Table2[[#This Row],[Execution Year]])*(Table1[SBU]=Table2[[#This Row],[SBU]])*(Table1[Category]=Table2[[#This Row],[Category]])*(Table1[Most curent]=TRUE),"NF")&gt;0,1,0)</f>
        <v>0</v>
      </c>
    </row>
    <row r="48" spans="1:38">
      <c r="A48" t="str">
        <f>Table2[[#This Row],[Execution Year]]&amp;Table2[[#This Row],[SBU]]&amp;Table2[[#This Row],[Category]]</f>
        <v>FY23FoodCanned Vegetables</v>
      </c>
      <c r="B48" t="s">
        <v>51</v>
      </c>
      <c r="C48" t="s">
        <v>33</v>
      </c>
      <c r="D48" t="s">
        <v>322</v>
      </c>
      <c r="E48" s="185">
        <v>44805</v>
      </c>
      <c r="F48" s="185">
        <v>44925</v>
      </c>
      <c r="G48" s="185">
        <v>44742</v>
      </c>
      <c r="H48" s="185">
        <v>44676</v>
      </c>
      <c r="I48" t="s">
        <v>415</v>
      </c>
      <c r="J48" t="s">
        <v>459</v>
      </c>
      <c r="K48" t="s">
        <v>508</v>
      </c>
      <c r="L48" t="s">
        <v>521</v>
      </c>
      <c r="M48">
        <v>44985</v>
      </c>
      <c r="N48" t="s">
        <v>47</v>
      </c>
      <c r="O48" s="16">
        <v>44732.338838541669</v>
      </c>
      <c r="P48" t="s">
        <v>446</v>
      </c>
      <c r="Q48" t="s">
        <v>499</v>
      </c>
      <c r="R48" t="s">
        <v>353</v>
      </c>
      <c r="S48" t="s">
        <v>512</v>
      </c>
      <c r="T48" t="s">
        <v>466</v>
      </c>
      <c r="U48">
        <v>44750</v>
      </c>
      <c r="V48">
        <f>_xlfn.XLOOKUP(Table2[[#This Row],[Primary Dept Description]],'Lookup tables'!$U$17:$U$117,'Lookup tables'!$T$17:$T$117,"")</f>
        <v>92</v>
      </c>
      <c r="W48" s="15">
        <f>IF(OR(Table2[[#This Row],[Revised Award]]=0,Table2[[#This Row],[Revised Award]]=""),IF(OR(Table2[[#This Row],[Planned Award]]=0,Table2[[#This Row],[Planned Award]]=""),"Not Updated",Table2[[#This Row],[Planned Award]]),Table2[[#This Row],[Revised Award]])</f>
        <v>44676</v>
      </c>
      <c r="X48" t="str">
        <f>_xlfn.XLOOKUP(Table2[[#This Row],[Milestone]],'Lookup tables'!$Y$27:$Y$60,'Lookup tables'!$Z$27:$Z$60,"Not Updated")</f>
        <v>Award</v>
      </c>
      <c r="Y48" cm="1">
        <f t="array" ref="Y48">IF(_xlfn._xlws.FILTER(Table1[Spend - CAN],(Table1[Execution Year]=Table2[[#This Row],[Execution Year]])*(Table1[SBU]=Table2[[#This Row],[SBU]])*(Table1[Category]=Table2[[#This Row],[Category]])*(Table1[Most curent]=TRUE),"NF")&gt;0,1,0)</f>
        <v>1</v>
      </c>
      <c r="Z48" cm="1">
        <f t="array" ref="Z48">IF(_xlfn._xlws.FILTER(Table1[Spend - MEX],(Table1[Execution Year]=Table2[[#This Row],[Execution Year]])*(Table1[SBU]=Table2[[#This Row],[SBU]])*(Table1[Category]=Table2[[#This Row],[Category]])*(Table1[Most curent]=TRUE),"NF")&gt;0,1,0)</f>
        <v>1</v>
      </c>
      <c r="AA48" cm="1">
        <f t="array" ref="AA48">IF(_xlfn._xlws.FILTER(Table1[Spend - CAM],(Table1[Execution Year]=Table2[[#This Row],[Execution Year]])*(Table1[SBU]=Table2[[#This Row],[SBU]])*(Table1[Category]=Table2[[#This Row],[Category]])*(Table1[Most curent]=TRUE),"NF")&gt;0,1,0)</f>
        <v>1</v>
      </c>
      <c r="AB48" cm="1">
        <f t="array" ref="AB48">IF(_xlfn._xlws.FILTER(Table1[Spend - CHL],(Table1[Execution Year]=Table2[[#This Row],[Execution Year]])*(Table1[SBU]=Table2[[#This Row],[SBU]])*(Table1[Category]=Table2[[#This Row],[Category]])*(Table1[Most curent]=TRUE),"NF")&gt;0,1,0)</f>
        <v>1</v>
      </c>
      <c r="AC48" cm="1">
        <f t="array" ref="AC48">IF(_xlfn._xlws.FILTER(Table1[Spend - ARG],(Table1[Execution Year]=Table2[[#This Row],[Execution Year]])*(Table1[SBU]=Table2[[#This Row],[SBU]])*(Table1[Category]=Table2[[#This Row],[Category]])*(Table1[Most curent]=TRUE),"NF")&gt;0,1,0)</f>
        <v>0</v>
      </c>
      <c r="AD48" cm="1">
        <f t="array" ref="AD48">IF(_xlfn._xlws.FILTER(Table1[Spend - CHN],(Table1[Execution Year]=Table2[[#This Row],[Execution Year]])*(Table1[SBU]=Table2[[#This Row],[SBU]])*(Table1[Category]=Table2[[#This Row],[Category]])*(Table1[Most curent]=TRUE),"NF")&gt;0,1,0)</f>
        <v>0</v>
      </c>
      <c r="AE48" cm="1">
        <f t="array" ref="AE48">IF(_xlfn._xlws.FILTER(Table1[Spend - JAP],(Table1[Execution Year]=Table2[[#This Row],[Execution Year]])*(Table1[SBU]=Table2[[#This Row],[SBU]])*(Table1[Category]=Table2[[#This Row],[Category]])*(Table1[Most curent]=TRUE),"NF")&gt;0,1,0)</f>
        <v>0</v>
      </c>
      <c r="AF48" cm="1">
        <f t="array" ref="AF48">IF(_xlfn._xlws.FILTER(Table1[Spend - UKN],(Table1[Execution Year]=Table2[[#This Row],[Execution Year]])*(Table1[SBU]=Table2[[#This Row],[SBU]])*(Table1[Category]=Table2[[#This Row],[Category]])*(Table1[Most curent]=TRUE),"NF")&gt;0,1,0)</f>
        <v>1</v>
      </c>
      <c r="AG48" cm="1">
        <f t="array" ref="AG48">IF(_xlfn._xlws.FILTER(Table1[Spend - SAF],(Table1[Execution Year]=Table2[[#This Row],[Execution Year]])*(Table1[SBU]=Table2[[#This Row],[SBU]])*(Table1[Category]=Table2[[#This Row],[Category]])*(Table1[Most curent]=TRUE),"NF")&gt;0,1,0)</f>
        <v>0</v>
      </c>
      <c r="AH48" cm="1">
        <f t="array" ref="AH48">IF(_xlfn._xlws.FILTER(Table1[Spend - US],(Table1[Execution Year]=Table2[[#This Row],[Execution Year]])*(Table1[SBU]=Table2[[#This Row],[SBU]])*(Table1[Category]=Table2[[#This Row],[Category]])*(Table1[Most curent]=TRUE),"NF")&gt;0,1,0)</f>
        <v>1</v>
      </c>
      <c r="AI48" cm="1">
        <f t="array" ref="AI48">IF(_xlfn._xlws.FILTER(Table1[Spend - Sams],(Table1[Execution Year]=Table2[[#This Row],[Execution Year]])*(Table1[SBU]=Table2[[#This Row],[SBU]])*(Table1[Category]=Table2[[#This Row],[Category]])*(Table1[Most curent]=TRUE),"NF")&gt;0,1,0)</f>
        <v>1</v>
      </c>
      <c r="AJ48" cm="1">
        <f t="array" ref="AJ48">IF(_xlfn._xlws.FILTER(Table1[Spend - Sams Mexico],(Table1[Execution Year]=Table2[[#This Row],[Execution Year]])*(Table1[SBU]=Table2[[#This Row],[SBU]])*(Table1[Category]=Table2[[#This Row],[Category]])*(Table1[Most curent]=TRUE),"NF")&gt;0,1,0)</f>
        <v>0</v>
      </c>
      <c r="AK48" cm="1">
        <f t="array" ref="AK48">IF(_xlfn._xlws.FILTER(Table1[Spend - Sams China],(Table1[Execution Year]=Table2[[#This Row],[Execution Year]])*(Table1[SBU]=Table2[[#This Row],[SBU]])*(Table1[Category]=Table2[[#This Row],[Category]])*(Table1[Most curent]=TRUE),"NF")&gt;0,1,0)</f>
        <v>0</v>
      </c>
      <c r="AL48" cm="1">
        <f t="array" ref="AL48">IF(_xlfn._xlws.FILTER(Table1[Spend - IND],(Table1[Execution Year]=Table2[[#This Row],[Execution Year]])*(Table1[SBU]=Table2[[#This Row],[SBU]])*(Table1[Category]=Table2[[#This Row],[Category]])*(Table1[Most curent]=TRUE),"NF")&gt;0,1,0)</f>
        <v>0</v>
      </c>
    </row>
    <row r="49" spans="1:38">
      <c r="A49" t="str">
        <f>Table2[[#This Row],[Execution Year]]&amp;Table2[[#This Row],[SBU]]&amp;Table2[[#This Row],[Category]]</f>
        <v>FY22FoodOlive Oil</v>
      </c>
      <c r="B49" t="s">
        <v>40</v>
      </c>
      <c r="C49" t="s">
        <v>33</v>
      </c>
      <c r="D49" t="s">
        <v>39</v>
      </c>
      <c r="E49" s="185"/>
      <c r="F49" s="185"/>
      <c r="G49" s="185"/>
      <c r="H49" s="185"/>
      <c r="I49" t="s">
        <v>466</v>
      </c>
      <c r="J49" t="s">
        <v>459</v>
      </c>
      <c r="K49" t="s">
        <v>508</v>
      </c>
      <c r="O49" s="16"/>
      <c r="V49">
        <f>_xlfn.XLOOKUP(Table2[[#This Row],[Primary Dept Description]],'Lookup tables'!$U$17:$U$117,'Lookup tables'!$T$17:$T$117,"")</f>
        <v>0</v>
      </c>
      <c r="W49" s="15" t="str">
        <f>IF(OR(Table2[[#This Row],[Revised Award]]=0,Table2[[#This Row],[Revised Award]]=""),IF(OR(Table2[[#This Row],[Planned Award]]=0,Table2[[#This Row],[Planned Award]]=""),"Not Updated",Table2[[#This Row],[Planned Award]]),Table2[[#This Row],[Revised Award]])</f>
        <v>Not Updated</v>
      </c>
      <c r="X49" t="str">
        <f>_xlfn.XLOOKUP(Table2[[#This Row],[Milestone]],'Lookup tables'!$Y$27:$Y$60,'Lookup tables'!$Z$27:$Z$60,"Not Updated")</f>
        <v>Post Award</v>
      </c>
      <c r="Y49" cm="1">
        <f t="array" ref="Y49">IF(_xlfn._xlws.FILTER(Table1[Spend - CAN],(Table1[Execution Year]=Table2[[#This Row],[Execution Year]])*(Table1[SBU]=Table2[[#This Row],[SBU]])*(Table1[Category]=Table2[[#This Row],[Category]])*(Table1[Most curent]=TRUE),"NF")&gt;0,1,0)</f>
        <v>0</v>
      </c>
      <c r="Z49" cm="1">
        <f t="array" ref="Z49">IF(_xlfn._xlws.FILTER(Table1[Spend - MEX],(Table1[Execution Year]=Table2[[#This Row],[Execution Year]])*(Table1[SBU]=Table2[[#This Row],[SBU]])*(Table1[Category]=Table2[[#This Row],[Category]])*(Table1[Most curent]=TRUE),"NF")&gt;0,1,0)</f>
        <v>0</v>
      </c>
      <c r="AA49" cm="1">
        <f t="array" ref="AA49">IF(_xlfn._xlws.FILTER(Table1[Spend - CAM],(Table1[Execution Year]=Table2[[#This Row],[Execution Year]])*(Table1[SBU]=Table2[[#This Row],[SBU]])*(Table1[Category]=Table2[[#This Row],[Category]])*(Table1[Most curent]=TRUE),"NF")&gt;0,1,0)</f>
        <v>0</v>
      </c>
      <c r="AB49" cm="1">
        <f t="array" ref="AB49">IF(_xlfn._xlws.FILTER(Table1[Spend - CHL],(Table1[Execution Year]=Table2[[#This Row],[Execution Year]])*(Table1[SBU]=Table2[[#This Row],[SBU]])*(Table1[Category]=Table2[[#This Row],[Category]])*(Table1[Most curent]=TRUE),"NF")&gt;0,1,0)</f>
        <v>0</v>
      </c>
      <c r="AC49" cm="1">
        <f t="array" ref="AC49">IF(_xlfn._xlws.FILTER(Table1[Spend - ARG],(Table1[Execution Year]=Table2[[#This Row],[Execution Year]])*(Table1[SBU]=Table2[[#This Row],[SBU]])*(Table1[Category]=Table2[[#This Row],[Category]])*(Table1[Most curent]=TRUE),"NF")&gt;0,1,0)</f>
        <v>0</v>
      </c>
      <c r="AD49" cm="1">
        <f t="array" ref="AD49">IF(_xlfn._xlws.FILTER(Table1[Spend - CHN],(Table1[Execution Year]=Table2[[#This Row],[Execution Year]])*(Table1[SBU]=Table2[[#This Row],[SBU]])*(Table1[Category]=Table2[[#This Row],[Category]])*(Table1[Most curent]=TRUE),"NF")&gt;0,1,0)</f>
        <v>0</v>
      </c>
      <c r="AE49" cm="1">
        <f t="array" ref="AE49">IF(_xlfn._xlws.FILTER(Table1[Spend - JAP],(Table1[Execution Year]=Table2[[#This Row],[Execution Year]])*(Table1[SBU]=Table2[[#This Row],[SBU]])*(Table1[Category]=Table2[[#This Row],[Category]])*(Table1[Most curent]=TRUE),"NF")&gt;0,1,0)</f>
        <v>0</v>
      </c>
      <c r="AF49" cm="1">
        <f t="array" ref="AF49">IF(_xlfn._xlws.FILTER(Table1[Spend - UKN],(Table1[Execution Year]=Table2[[#This Row],[Execution Year]])*(Table1[SBU]=Table2[[#This Row],[SBU]])*(Table1[Category]=Table2[[#This Row],[Category]])*(Table1[Most curent]=TRUE),"NF")&gt;0,1,0)</f>
        <v>0</v>
      </c>
      <c r="AG49" cm="1">
        <f t="array" ref="AG49">IF(_xlfn._xlws.FILTER(Table1[Spend - SAF],(Table1[Execution Year]=Table2[[#This Row],[Execution Year]])*(Table1[SBU]=Table2[[#This Row],[SBU]])*(Table1[Category]=Table2[[#This Row],[Category]])*(Table1[Most curent]=TRUE),"NF")&gt;0,1,0)</f>
        <v>0</v>
      </c>
      <c r="AH49" cm="1">
        <f t="array" ref="AH49">IF(_xlfn._xlws.FILTER(Table1[Spend - US],(Table1[Execution Year]=Table2[[#This Row],[Execution Year]])*(Table1[SBU]=Table2[[#This Row],[SBU]])*(Table1[Category]=Table2[[#This Row],[Category]])*(Table1[Most curent]=TRUE),"NF")&gt;0,1,0)</f>
        <v>0</v>
      </c>
      <c r="AI49" cm="1">
        <f t="array" ref="AI49">IF(_xlfn._xlws.FILTER(Table1[Spend - Sams],(Table1[Execution Year]=Table2[[#This Row],[Execution Year]])*(Table1[SBU]=Table2[[#This Row],[SBU]])*(Table1[Category]=Table2[[#This Row],[Category]])*(Table1[Most curent]=TRUE),"NF")&gt;0,1,0)</f>
        <v>0</v>
      </c>
      <c r="AJ49" cm="1">
        <f t="array" ref="AJ49">IF(_xlfn._xlws.FILTER(Table1[Spend - Sams Mexico],(Table1[Execution Year]=Table2[[#This Row],[Execution Year]])*(Table1[SBU]=Table2[[#This Row],[SBU]])*(Table1[Category]=Table2[[#This Row],[Category]])*(Table1[Most curent]=TRUE),"NF")&gt;0,1,0)</f>
        <v>0</v>
      </c>
      <c r="AK49" cm="1">
        <f t="array" ref="AK49">IF(_xlfn._xlws.FILTER(Table1[Spend - Sams China],(Table1[Execution Year]=Table2[[#This Row],[Execution Year]])*(Table1[SBU]=Table2[[#This Row],[SBU]])*(Table1[Category]=Table2[[#This Row],[Category]])*(Table1[Most curent]=TRUE),"NF")&gt;0,1,0)</f>
        <v>0</v>
      </c>
      <c r="AL49" cm="1">
        <f t="array" ref="AL49">IF(_xlfn._xlws.FILTER(Table1[Spend - IND],(Table1[Execution Year]=Table2[[#This Row],[Execution Year]])*(Table1[SBU]=Table2[[#This Row],[SBU]])*(Table1[Category]=Table2[[#This Row],[Category]])*(Table1[Most curent]=TRUE),"NF")&gt;0,1,0)</f>
        <v>0</v>
      </c>
    </row>
    <row r="50" spans="1:38">
      <c r="A50" t="str">
        <f>Table2[[#This Row],[Execution Year]]&amp;Table2[[#This Row],[SBU]]&amp;Table2[[#This Row],[Category]]</f>
        <v>FY23FoodOlive Oil</v>
      </c>
      <c r="B50" t="s">
        <v>40</v>
      </c>
      <c r="C50" t="s">
        <v>33</v>
      </c>
      <c r="D50" t="s">
        <v>322</v>
      </c>
      <c r="E50" s="185">
        <v>44774</v>
      </c>
      <c r="F50" s="185">
        <v>44925</v>
      </c>
      <c r="G50" s="185">
        <v>0</v>
      </c>
      <c r="H50" s="185">
        <v>0</v>
      </c>
      <c r="I50" t="s">
        <v>135</v>
      </c>
      <c r="J50" t="s">
        <v>459</v>
      </c>
      <c r="K50" t="s">
        <v>508</v>
      </c>
      <c r="L50" t="s">
        <v>524</v>
      </c>
      <c r="M50">
        <v>44985</v>
      </c>
      <c r="N50" t="s">
        <v>508</v>
      </c>
      <c r="O50" s="16">
        <v>44729.661128703701</v>
      </c>
      <c r="P50" t="s">
        <v>522</v>
      </c>
      <c r="Q50" t="s">
        <v>499</v>
      </c>
      <c r="R50" t="s">
        <v>353</v>
      </c>
      <c r="S50" t="s">
        <v>523</v>
      </c>
      <c r="T50" t="s">
        <v>413</v>
      </c>
      <c r="U50">
        <v>44835</v>
      </c>
      <c r="V50">
        <f>_xlfn.XLOOKUP(Table2[[#This Row],[Primary Dept Description]],'Lookup tables'!$U$17:$U$117,'Lookup tables'!$T$17:$T$117,"")</f>
        <v>92</v>
      </c>
      <c r="W50" s="15">
        <f>IF(OR(Table2[[#This Row],[Revised Award]]=0,Table2[[#This Row],[Revised Award]]=""),IF(OR(Table2[[#This Row],[Planned Award]]=0,Table2[[#This Row],[Planned Award]]=""),"Not Updated",Table2[[#This Row],[Planned Award]]),Table2[[#This Row],[Revised Award]])</f>
        <v>44925</v>
      </c>
      <c r="X50" t="str">
        <f>_xlfn.XLOOKUP(Table2[[#This Row],[Milestone]],'Lookup tables'!$Y$27:$Y$60,'Lookup tables'!$Z$27:$Z$60,"Not Updated")</f>
        <v>Pipeline</v>
      </c>
      <c r="Y50" cm="1">
        <f t="array" ref="Y50">IF(_xlfn._xlws.FILTER(Table1[Spend - CAN],(Table1[Execution Year]=Table2[[#This Row],[Execution Year]])*(Table1[SBU]=Table2[[#This Row],[SBU]])*(Table1[Category]=Table2[[#This Row],[Category]])*(Table1[Most curent]=TRUE),"NF")&gt;0,1,0)</f>
        <v>1</v>
      </c>
      <c r="Z50" cm="1">
        <f t="array" ref="Z50">IF(_xlfn._xlws.FILTER(Table1[Spend - MEX],(Table1[Execution Year]=Table2[[#This Row],[Execution Year]])*(Table1[SBU]=Table2[[#This Row],[SBU]])*(Table1[Category]=Table2[[#This Row],[Category]])*(Table1[Most curent]=TRUE),"NF")&gt;0,1,0)</f>
        <v>1</v>
      </c>
      <c r="AA50" cm="1">
        <f t="array" ref="AA50">IF(_xlfn._xlws.FILTER(Table1[Spend - CAM],(Table1[Execution Year]=Table2[[#This Row],[Execution Year]])*(Table1[SBU]=Table2[[#This Row],[SBU]])*(Table1[Category]=Table2[[#This Row],[Category]])*(Table1[Most curent]=TRUE),"NF")&gt;0,1,0)</f>
        <v>1</v>
      </c>
      <c r="AB50" cm="1">
        <f t="array" ref="AB50">IF(_xlfn._xlws.FILTER(Table1[Spend - CHL],(Table1[Execution Year]=Table2[[#This Row],[Execution Year]])*(Table1[SBU]=Table2[[#This Row],[SBU]])*(Table1[Category]=Table2[[#This Row],[Category]])*(Table1[Most curent]=TRUE),"NF")&gt;0,1,0)</f>
        <v>1</v>
      </c>
      <c r="AC50" cm="1">
        <f t="array" ref="AC50">IF(_xlfn._xlws.FILTER(Table1[Spend - ARG],(Table1[Execution Year]=Table2[[#This Row],[Execution Year]])*(Table1[SBU]=Table2[[#This Row],[SBU]])*(Table1[Category]=Table2[[#This Row],[Category]])*(Table1[Most curent]=TRUE),"NF")&gt;0,1,0)</f>
        <v>0</v>
      </c>
      <c r="AD50" cm="1">
        <f t="array" ref="AD50">IF(_xlfn._xlws.FILTER(Table1[Spend - CHN],(Table1[Execution Year]=Table2[[#This Row],[Execution Year]])*(Table1[SBU]=Table2[[#This Row],[SBU]])*(Table1[Category]=Table2[[#This Row],[Category]])*(Table1[Most curent]=TRUE),"NF")&gt;0,1,0)</f>
        <v>0</v>
      </c>
      <c r="AE50" cm="1">
        <f t="array" ref="AE50">IF(_xlfn._xlws.FILTER(Table1[Spend - JAP],(Table1[Execution Year]=Table2[[#This Row],[Execution Year]])*(Table1[SBU]=Table2[[#This Row],[SBU]])*(Table1[Category]=Table2[[#This Row],[Category]])*(Table1[Most curent]=TRUE),"NF")&gt;0,1,0)</f>
        <v>0</v>
      </c>
      <c r="AF50" cm="1">
        <f t="array" ref="AF50">IF(_xlfn._xlws.FILTER(Table1[Spend - UKN],(Table1[Execution Year]=Table2[[#This Row],[Execution Year]])*(Table1[SBU]=Table2[[#This Row],[SBU]])*(Table1[Category]=Table2[[#This Row],[Category]])*(Table1[Most curent]=TRUE),"NF")&gt;0,1,0)</f>
        <v>1</v>
      </c>
      <c r="AG50" cm="1">
        <f t="array" ref="AG50">IF(_xlfn._xlws.FILTER(Table1[Spend - SAF],(Table1[Execution Year]=Table2[[#This Row],[Execution Year]])*(Table1[SBU]=Table2[[#This Row],[SBU]])*(Table1[Category]=Table2[[#This Row],[Category]])*(Table1[Most curent]=TRUE),"NF")&gt;0,1,0)</f>
        <v>0</v>
      </c>
      <c r="AH50" cm="1">
        <f t="array" ref="AH50">IF(_xlfn._xlws.FILTER(Table1[Spend - US],(Table1[Execution Year]=Table2[[#This Row],[Execution Year]])*(Table1[SBU]=Table2[[#This Row],[SBU]])*(Table1[Category]=Table2[[#This Row],[Category]])*(Table1[Most curent]=TRUE),"NF")&gt;0,1,0)</f>
        <v>1</v>
      </c>
      <c r="AI50" cm="1">
        <f t="array" ref="AI50">IF(_xlfn._xlws.FILTER(Table1[Spend - Sams],(Table1[Execution Year]=Table2[[#This Row],[Execution Year]])*(Table1[SBU]=Table2[[#This Row],[SBU]])*(Table1[Category]=Table2[[#This Row],[Category]])*(Table1[Most curent]=TRUE),"NF")&gt;0,1,0)</f>
        <v>1</v>
      </c>
      <c r="AJ50" cm="1">
        <f t="array" ref="AJ50">IF(_xlfn._xlws.FILTER(Table1[Spend - Sams Mexico],(Table1[Execution Year]=Table2[[#This Row],[Execution Year]])*(Table1[SBU]=Table2[[#This Row],[SBU]])*(Table1[Category]=Table2[[#This Row],[Category]])*(Table1[Most curent]=TRUE),"NF")&gt;0,1,0)</f>
        <v>1</v>
      </c>
      <c r="AK50" cm="1">
        <f t="array" ref="AK50">IF(_xlfn._xlws.FILTER(Table1[Spend - Sams China],(Table1[Execution Year]=Table2[[#This Row],[Execution Year]])*(Table1[SBU]=Table2[[#This Row],[SBU]])*(Table1[Category]=Table2[[#This Row],[Category]])*(Table1[Most curent]=TRUE),"NF")&gt;0,1,0)</f>
        <v>1</v>
      </c>
      <c r="AL50" cm="1">
        <f t="array" ref="AL50">IF(_xlfn._xlws.FILTER(Table1[Spend - IND],(Table1[Execution Year]=Table2[[#This Row],[Execution Year]])*(Table1[SBU]=Table2[[#This Row],[SBU]])*(Table1[Category]=Table2[[#This Row],[Category]])*(Table1[Most curent]=TRUE),"NF")&gt;0,1,0)</f>
        <v>0</v>
      </c>
    </row>
    <row r="51" spans="1:38">
      <c r="A51" t="str">
        <f>Table2[[#This Row],[Execution Year]]&amp;Table2[[#This Row],[SBU]]&amp;Table2[[#This Row],[Category]]</f>
        <v>FY23FoodDSD Milk</v>
      </c>
      <c r="B51" t="s">
        <v>525</v>
      </c>
      <c r="C51" t="s">
        <v>33</v>
      </c>
      <c r="D51" t="s">
        <v>322</v>
      </c>
      <c r="E51" s="185"/>
      <c r="F51" s="185"/>
      <c r="G51" s="185"/>
      <c r="H51" s="185"/>
      <c r="I51" t="s">
        <v>135</v>
      </c>
      <c r="J51" t="s">
        <v>459</v>
      </c>
      <c r="K51" t="s">
        <v>502</v>
      </c>
      <c r="O51" s="16"/>
      <c r="V51">
        <f>_xlfn.XLOOKUP(Table2[[#This Row],[Primary Dept Description]],'Lookup tables'!$U$17:$U$117,'Lookup tables'!$T$17:$T$117,"")</f>
        <v>0</v>
      </c>
      <c r="W51" s="15" t="str">
        <f>IF(OR(Table2[[#This Row],[Revised Award]]=0,Table2[[#This Row],[Revised Award]]=""),IF(OR(Table2[[#This Row],[Planned Award]]=0,Table2[[#This Row],[Planned Award]]=""),"Not Updated",Table2[[#This Row],[Planned Award]]),Table2[[#This Row],[Revised Award]])</f>
        <v>Not Updated</v>
      </c>
      <c r="X51" t="str">
        <f>_xlfn.XLOOKUP(Table2[[#This Row],[Milestone]],'Lookup tables'!$Y$27:$Y$60,'Lookup tables'!$Z$27:$Z$60,"Not Updated")</f>
        <v>Pipeline</v>
      </c>
      <c r="Y51" cm="1">
        <f t="array" ref="Y51">IF(_xlfn._xlws.FILTER(Table1[Spend - CAN],(Table1[Execution Year]=Table2[[#This Row],[Execution Year]])*(Table1[SBU]=Table2[[#This Row],[SBU]])*(Table1[Category]=Table2[[#This Row],[Category]])*(Table1[Most curent]=TRUE),"NF")&gt;0,1,0)</f>
        <v>0</v>
      </c>
      <c r="Z51" cm="1">
        <f t="array" ref="Z51">IF(_xlfn._xlws.FILTER(Table1[Spend - MEX],(Table1[Execution Year]=Table2[[#This Row],[Execution Year]])*(Table1[SBU]=Table2[[#This Row],[SBU]])*(Table1[Category]=Table2[[#This Row],[Category]])*(Table1[Most curent]=TRUE),"NF")&gt;0,1,0)</f>
        <v>0</v>
      </c>
      <c r="AA51" cm="1">
        <f t="array" ref="AA51">IF(_xlfn._xlws.FILTER(Table1[Spend - CAM],(Table1[Execution Year]=Table2[[#This Row],[Execution Year]])*(Table1[SBU]=Table2[[#This Row],[SBU]])*(Table1[Category]=Table2[[#This Row],[Category]])*(Table1[Most curent]=TRUE),"NF")&gt;0,1,0)</f>
        <v>0</v>
      </c>
      <c r="AB51" cm="1">
        <f t="array" ref="AB51">IF(_xlfn._xlws.FILTER(Table1[Spend - CHL],(Table1[Execution Year]=Table2[[#This Row],[Execution Year]])*(Table1[SBU]=Table2[[#This Row],[SBU]])*(Table1[Category]=Table2[[#This Row],[Category]])*(Table1[Most curent]=TRUE),"NF")&gt;0,1,0)</f>
        <v>0</v>
      </c>
      <c r="AC51" cm="1">
        <f t="array" ref="AC51">IF(_xlfn._xlws.FILTER(Table1[Spend - ARG],(Table1[Execution Year]=Table2[[#This Row],[Execution Year]])*(Table1[SBU]=Table2[[#This Row],[SBU]])*(Table1[Category]=Table2[[#This Row],[Category]])*(Table1[Most curent]=TRUE),"NF")&gt;0,1,0)</f>
        <v>0</v>
      </c>
      <c r="AD51" cm="1">
        <f t="array" ref="AD51">IF(_xlfn._xlws.FILTER(Table1[Spend - CHN],(Table1[Execution Year]=Table2[[#This Row],[Execution Year]])*(Table1[SBU]=Table2[[#This Row],[SBU]])*(Table1[Category]=Table2[[#This Row],[Category]])*(Table1[Most curent]=TRUE),"NF")&gt;0,1,0)</f>
        <v>0</v>
      </c>
      <c r="AE51" cm="1">
        <f t="array" ref="AE51">IF(_xlfn._xlws.FILTER(Table1[Spend - JAP],(Table1[Execution Year]=Table2[[#This Row],[Execution Year]])*(Table1[SBU]=Table2[[#This Row],[SBU]])*(Table1[Category]=Table2[[#This Row],[Category]])*(Table1[Most curent]=TRUE),"NF")&gt;0,1,0)</f>
        <v>0</v>
      </c>
      <c r="AF51" cm="1">
        <f t="array" ref="AF51">IF(_xlfn._xlws.FILTER(Table1[Spend - UKN],(Table1[Execution Year]=Table2[[#This Row],[Execution Year]])*(Table1[SBU]=Table2[[#This Row],[SBU]])*(Table1[Category]=Table2[[#This Row],[Category]])*(Table1[Most curent]=TRUE),"NF")&gt;0,1,0)</f>
        <v>0</v>
      </c>
      <c r="AG51" cm="1">
        <f t="array" ref="AG51">IF(_xlfn._xlws.FILTER(Table1[Spend - SAF],(Table1[Execution Year]=Table2[[#This Row],[Execution Year]])*(Table1[SBU]=Table2[[#This Row],[SBU]])*(Table1[Category]=Table2[[#This Row],[Category]])*(Table1[Most curent]=TRUE),"NF")&gt;0,1,0)</f>
        <v>0</v>
      </c>
      <c r="AH51" cm="1">
        <f t="array" ref="AH51">IF(_xlfn._xlws.FILTER(Table1[Spend - US],(Table1[Execution Year]=Table2[[#This Row],[Execution Year]])*(Table1[SBU]=Table2[[#This Row],[SBU]])*(Table1[Category]=Table2[[#This Row],[Category]])*(Table1[Most curent]=TRUE),"NF")&gt;0,1,0)</f>
        <v>0</v>
      </c>
      <c r="AI51" cm="1">
        <f t="array" ref="AI51">IF(_xlfn._xlws.FILTER(Table1[Spend - Sams],(Table1[Execution Year]=Table2[[#This Row],[Execution Year]])*(Table1[SBU]=Table2[[#This Row],[SBU]])*(Table1[Category]=Table2[[#This Row],[Category]])*(Table1[Most curent]=TRUE),"NF")&gt;0,1,0)</f>
        <v>0</v>
      </c>
      <c r="AJ51" cm="1">
        <f t="array" ref="AJ51">IF(_xlfn._xlws.FILTER(Table1[Spend - Sams Mexico],(Table1[Execution Year]=Table2[[#This Row],[Execution Year]])*(Table1[SBU]=Table2[[#This Row],[SBU]])*(Table1[Category]=Table2[[#This Row],[Category]])*(Table1[Most curent]=TRUE),"NF")&gt;0,1,0)</f>
        <v>0</v>
      </c>
      <c r="AK51" cm="1">
        <f t="array" ref="AK51">IF(_xlfn._xlws.FILTER(Table1[Spend - Sams China],(Table1[Execution Year]=Table2[[#This Row],[Execution Year]])*(Table1[SBU]=Table2[[#This Row],[SBU]])*(Table1[Category]=Table2[[#This Row],[Category]])*(Table1[Most curent]=TRUE),"NF")&gt;0,1,0)</f>
        <v>0</v>
      </c>
      <c r="AL51" cm="1">
        <f t="array" ref="AL51">IF(_xlfn._xlws.FILTER(Table1[Spend - IND],(Table1[Execution Year]=Table2[[#This Row],[Execution Year]])*(Table1[SBU]=Table2[[#This Row],[SBU]])*(Table1[Category]=Table2[[#This Row],[Category]])*(Table1[Most curent]=TRUE),"NF")&gt;0,1,0)</f>
        <v>0</v>
      </c>
    </row>
    <row r="52" spans="1:38">
      <c r="A52" t="str">
        <f>Table2[[#This Row],[Execution Year]]&amp;Table2[[#This Row],[SBU]]&amp;Table2[[#This Row],[Category]]</f>
        <v>FY23FoodBaking Nuts</v>
      </c>
      <c r="B52" t="s">
        <v>48</v>
      </c>
      <c r="C52" t="s">
        <v>33</v>
      </c>
      <c r="D52" t="s">
        <v>322</v>
      </c>
      <c r="E52" s="185">
        <v>44713</v>
      </c>
      <c r="F52" s="185">
        <v>44773</v>
      </c>
      <c r="G52" s="185">
        <v>0</v>
      </c>
      <c r="H52" s="185">
        <v>0</v>
      </c>
      <c r="I52" t="s">
        <v>135</v>
      </c>
      <c r="J52" t="s">
        <v>459</v>
      </c>
      <c r="K52" t="s">
        <v>516</v>
      </c>
      <c r="L52" t="s">
        <v>526</v>
      </c>
      <c r="M52">
        <v>44833</v>
      </c>
      <c r="N52" t="s">
        <v>516</v>
      </c>
      <c r="O52" s="16">
        <v>44729.633404976848</v>
      </c>
      <c r="P52" t="s">
        <v>492</v>
      </c>
      <c r="Q52" t="s">
        <v>499</v>
      </c>
      <c r="R52" t="s">
        <v>353</v>
      </c>
      <c r="S52">
        <v>0</v>
      </c>
      <c r="T52" t="s">
        <v>481</v>
      </c>
      <c r="U52">
        <v>0</v>
      </c>
      <c r="V52">
        <f>_xlfn.XLOOKUP(Table2[[#This Row],[Primary Dept Description]],'Lookup tables'!$U$17:$U$117,'Lookup tables'!$T$17:$T$117,"")</f>
        <v>92</v>
      </c>
      <c r="W52" s="15">
        <f>IF(OR(Table2[[#This Row],[Revised Award]]=0,Table2[[#This Row],[Revised Award]]=""),IF(OR(Table2[[#This Row],[Planned Award]]=0,Table2[[#This Row],[Planned Award]]=""),"Not Updated",Table2[[#This Row],[Planned Award]]),Table2[[#This Row],[Revised Award]])</f>
        <v>44773</v>
      </c>
      <c r="X52" t="str">
        <f>_xlfn.XLOOKUP(Table2[[#This Row],[Milestone]],'Lookup tables'!$Y$27:$Y$60,'Lookup tables'!$Z$27:$Z$60,"Not Updated")</f>
        <v>Pipeline</v>
      </c>
      <c r="Y52" cm="1">
        <f t="array" ref="Y52">IF(_xlfn._xlws.FILTER(Table1[Spend - CAN],(Table1[Execution Year]=Table2[[#This Row],[Execution Year]])*(Table1[SBU]=Table2[[#This Row],[SBU]])*(Table1[Category]=Table2[[#This Row],[Category]])*(Table1[Most curent]=TRUE),"NF")&gt;0,1,0)</f>
        <v>0</v>
      </c>
      <c r="Z52" cm="1">
        <f t="array" ref="Z52">IF(_xlfn._xlws.FILTER(Table1[Spend - MEX],(Table1[Execution Year]=Table2[[#This Row],[Execution Year]])*(Table1[SBU]=Table2[[#This Row],[SBU]])*(Table1[Category]=Table2[[#This Row],[Category]])*(Table1[Most curent]=TRUE),"NF")&gt;0,1,0)</f>
        <v>0</v>
      </c>
      <c r="AA52" cm="1">
        <f t="array" ref="AA52">IF(_xlfn._xlws.FILTER(Table1[Spend - CAM],(Table1[Execution Year]=Table2[[#This Row],[Execution Year]])*(Table1[SBU]=Table2[[#This Row],[SBU]])*(Table1[Category]=Table2[[#This Row],[Category]])*(Table1[Most curent]=TRUE),"NF")&gt;0,1,0)</f>
        <v>0</v>
      </c>
      <c r="AB52" cm="1">
        <f t="array" ref="AB52">IF(_xlfn._xlws.FILTER(Table1[Spend - CHL],(Table1[Execution Year]=Table2[[#This Row],[Execution Year]])*(Table1[SBU]=Table2[[#This Row],[SBU]])*(Table1[Category]=Table2[[#This Row],[Category]])*(Table1[Most curent]=TRUE),"NF")&gt;0,1,0)</f>
        <v>0</v>
      </c>
      <c r="AC52" cm="1">
        <f t="array" ref="AC52">IF(_xlfn._xlws.FILTER(Table1[Spend - ARG],(Table1[Execution Year]=Table2[[#This Row],[Execution Year]])*(Table1[SBU]=Table2[[#This Row],[SBU]])*(Table1[Category]=Table2[[#This Row],[Category]])*(Table1[Most curent]=TRUE),"NF")&gt;0,1,0)</f>
        <v>0</v>
      </c>
      <c r="AD52" cm="1">
        <f t="array" ref="AD52">IF(_xlfn._xlws.FILTER(Table1[Spend - CHN],(Table1[Execution Year]=Table2[[#This Row],[Execution Year]])*(Table1[SBU]=Table2[[#This Row],[SBU]])*(Table1[Category]=Table2[[#This Row],[Category]])*(Table1[Most curent]=TRUE),"NF")&gt;0,1,0)</f>
        <v>0</v>
      </c>
      <c r="AE52" cm="1">
        <f t="array" ref="AE52">IF(_xlfn._xlws.FILTER(Table1[Spend - JAP],(Table1[Execution Year]=Table2[[#This Row],[Execution Year]])*(Table1[SBU]=Table2[[#This Row],[SBU]])*(Table1[Category]=Table2[[#This Row],[Category]])*(Table1[Most curent]=TRUE),"NF")&gt;0,1,0)</f>
        <v>0</v>
      </c>
      <c r="AF52" cm="1">
        <f t="array" ref="AF52">IF(_xlfn._xlws.FILTER(Table1[Spend - UKN],(Table1[Execution Year]=Table2[[#This Row],[Execution Year]])*(Table1[SBU]=Table2[[#This Row],[SBU]])*(Table1[Category]=Table2[[#This Row],[Category]])*(Table1[Most curent]=TRUE),"NF")&gt;0,1,0)</f>
        <v>0</v>
      </c>
      <c r="AG52" cm="1">
        <f t="array" ref="AG52">IF(_xlfn._xlws.FILTER(Table1[Spend - SAF],(Table1[Execution Year]=Table2[[#This Row],[Execution Year]])*(Table1[SBU]=Table2[[#This Row],[SBU]])*(Table1[Category]=Table2[[#This Row],[Category]])*(Table1[Most curent]=TRUE),"NF")&gt;0,1,0)</f>
        <v>0</v>
      </c>
      <c r="AH52" cm="1">
        <f t="array" ref="AH52">IF(_xlfn._xlws.FILTER(Table1[Spend - US],(Table1[Execution Year]=Table2[[#This Row],[Execution Year]])*(Table1[SBU]=Table2[[#This Row],[SBU]])*(Table1[Category]=Table2[[#This Row],[Category]])*(Table1[Most curent]=TRUE),"NF")&gt;0,1,0)</f>
        <v>1</v>
      </c>
      <c r="AI52" cm="1">
        <f t="array" ref="AI52">IF(_xlfn._xlws.FILTER(Table1[Spend - Sams],(Table1[Execution Year]=Table2[[#This Row],[Execution Year]])*(Table1[SBU]=Table2[[#This Row],[SBU]])*(Table1[Category]=Table2[[#This Row],[Category]])*(Table1[Most curent]=TRUE),"NF")&gt;0,1,0)</f>
        <v>0</v>
      </c>
      <c r="AJ52" cm="1">
        <f t="array" ref="AJ52">IF(_xlfn._xlws.FILTER(Table1[Spend - Sams Mexico],(Table1[Execution Year]=Table2[[#This Row],[Execution Year]])*(Table1[SBU]=Table2[[#This Row],[SBU]])*(Table1[Category]=Table2[[#This Row],[Category]])*(Table1[Most curent]=TRUE),"NF")&gt;0,1,0)</f>
        <v>0</v>
      </c>
      <c r="AK52" cm="1">
        <f t="array" ref="AK52">IF(_xlfn._xlws.FILTER(Table1[Spend - Sams China],(Table1[Execution Year]=Table2[[#This Row],[Execution Year]])*(Table1[SBU]=Table2[[#This Row],[SBU]])*(Table1[Category]=Table2[[#This Row],[Category]])*(Table1[Most curent]=TRUE),"NF")&gt;0,1,0)</f>
        <v>0</v>
      </c>
      <c r="AL52" cm="1">
        <f t="array" ref="AL52">IF(_xlfn._xlws.FILTER(Table1[Spend - IND],(Table1[Execution Year]=Table2[[#This Row],[Execution Year]])*(Table1[SBU]=Table2[[#This Row],[SBU]])*(Table1[Category]=Table2[[#This Row],[Category]])*(Table1[Most curent]=TRUE),"NF")&gt;0,1,0)</f>
        <v>0</v>
      </c>
    </row>
    <row r="53" spans="1:38">
      <c r="A53" t="str">
        <f>Table2[[#This Row],[Execution Year]]&amp;Table2[[#This Row],[SBU]]&amp;Table2[[#This Row],[Category]]</f>
        <v>FY23FoodEdible Oil</v>
      </c>
      <c r="B53" t="s">
        <v>397</v>
      </c>
      <c r="C53" t="s">
        <v>33</v>
      </c>
      <c r="D53" t="s">
        <v>322</v>
      </c>
      <c r="E53" s="185"/>
      <c r="F53" s="185"/>
      <c r="G53" s="185"/>
      <c r="H53" s="185"/>
      <c r="I53" t="s">
        <v>135</v>
      </c>
      <c r="J53" t="s">
        <v>459</v>
      </c>
      <c r="K53" t="s">
        <v>514</v>
      </c>
      <c r="O53" s="16"/>
      <c r="V53">
        <f>_xlfn.XLOOKUP(Table2[[#This Row],[Primary Dept Description]],'Lookup tables'!$U$17:$U$117,'Lookup tables'!$T$17:$T$117,"")</f>
        <v>0</v>
      </c>
      <c r="W53" s="15" t="str">
        <f>IF(OR(Table2[[#This Row],[Revised Award]]=0,Table2[[#This Row],[Revised Award]]=""),IF(OR(Table2[[#This Row],[Planned Award]]=0,Table2[[#This Row],[Planned Award]]=""),"Not Updated",Table2[[#This Row],[Planned Award]]),Table2[[#This Row],[Revised Award]])</f>
        <v>Not Updated</v>
      </c>
      <c r="X53" t="str">
        <f>_xlfn.XLOOKUP(Table2[[#This Row],[Milestone]],'Lookup tables'!$Y$27:$Y$60,'Lookup tables'!$Z$27:$Z$60,"Not Updated")</f>
        <v>Pipeline</v>
      </c>
      <c r="Y53" cm="1">
        <f t="array" ref="Y53">IF(_xlfn._xlws.FILTER(Table1[Spend - CAN],(Table1[Execution Year]=Table2[[#This Row],[Execution Year]])*(Table1[SBU]=Table2[[#This Row],[SBU]])*(Table1[Category]=Table2[[#This Row],[Category]])*(Table1[Most curent]=TRUE),"NF")&gt;0,1,0)</f>
        <v>0</v>
      </c>
      <c r="Z53" cm="1">
        <f t="array" ref="Z53">IF(_xlfn._xlws.FILTER(Table1[Spend - MEX],(Table1[Execution Year]=Table2[[#This Row],[Execution Year]])*(Table1[SBU]=Table2[[#This Row],[SBU]])*(Table1[Category]=Table2[[#This Row],[Category]])*(Table1[Most curent]=TRUE),"NF")&gt;0,1,0)</f>
        <v>0</v>
      </c>
      <c r="AA53" cm="1">
        <f t="array" ref="AA53">IF(_xlfn._xlws.FILTER(Table1[Spend - CAM],(Table1[Execution Year]=Table2[[#This Row],[Execution Year]])*(Table1[SBU]=Table2[[#This Row],[SBU]])*(Table1[Category]=Table2[[#This Row],[Category]])*(Table1[Most curent]=TRUE),"NF")&gt;0,1,0)</f>
        <v>0</v>
      </c>
      <c r="AB53" cm="1">
        <f t="array" ref="AB53">IF(_xlfn._xlws.FILTER(Table1[Spend - CHL],(Table1[Execution Year]=Table2[[#This Row],[Execution Year]])*(Table1[SBU]=Table2[[#This Row],[SBU]])*(Table1[Category]=Table2[[#This Row],[Category]])*(Table1[Most curent]=TRUE),"NF")&gt;0,1,0)</f>
        <v>0</v>
      </c>
      <c r="AC53" cm="1">
        <f t="array" ref="AC53">IF(_xlfn._xlws.FILTER(Table1[Spend - ARG],(Table1[Execution Year]=Table2[[#This Row],[Execution Year]])*(Table1[SBU]=Table2[[#This Row],[SBU]])*(Table1[Category]=Table2[[#This Row],[Category]])*(Table1[Most curent]=TRUE),"NF")&gt;0,1,0)</f>
        <v>0</v>
      </c>
      <c r="AD53" cm="1">
        <f t="array" ref="AD53">IF(_xlfn._xlws.FILTER(Table1[Spend - CHN],(Table1[Execution Year]=Table2[[#This Row],[Execution Year]])*(Table1[SBU]=Table2[[#This Row],[SBU]])*(Table1[Category]=Table2[[#This Row],[Category]])*(Table1[Most curent]=TRUE),"NF")&gt;0,1,0)</f>
        <v>0</v>
      </c>
      <c r="AE53" cm="1">
        <f t="array" ref="AE53">IF(_xlfn._xlws.FILTER(Table1[Spend - JAP],(Table1[Execution Year]=Table2[[#This Row],[Execution Year]])*(Table1[SBU]=Table2[[#This Row],[SBU]])*(Table1[Category]=Table2[[#This Row],[Category]])*(Table1[Most curent]=TRUE),"NF")&gt;0,1,0)</f>
        <v>0</v>
      </c>
      <c r="AF53" cm="1">
        <f t="array" ref="AF53">IF(_xlfn._xlws.FILTER(Table1[Spend - UKN],(Table1[Execution Year]=Table2[[#This Row],[Execution Year]])*(Table1[SBU]=Table2[[#This Row],[SBU]])*(Table1[Category]=Table2[[#This Row],[Category]])*(Table1[Most curent]=TRUE),"NF")&gt;0,1,0)</f>
        <v>0</v>
      </c>
      <c r="AG53" cm="1">
        <f t="array" ref="AG53">IF(_xlfn._xlws.FILTER(Table1[Spend - SAF],(Table1[Execution Year]=Table2[[#This Row],[Execution Year]])*(Table1[SBU]=Table2[[#This Row],[SBU]])*(Table1[Category]=Table2[[#This Row],[Category]])*(Table1[Most curent]=TRUE),"NF")&gt;0,1,0)</f>
        <v>0</v>
      </c>
      <c r="AH53" cm="1">
        <f t="array" ref="AH53">IF(_xlfn._xlws.FILTER(Table1[Spend - US],(Table1[Execution Year]=Table2[[#This Row],[Execution Year]])*(Table1[SBU]=Table2[[#This Row],[SBU]])*(Table1[Category]=Table2[[#This Row],[Category]])*(Table1[Most curent]=TRUE),"NF")&gt;0,1,0)</f>
        <v>0</v>
      </c>
      <c r="AI53" cm="1">
        <f t="array" ref="AI53">IF(_xlfn._xlws.FILTER(Table1[Spend - Sams],(Table1[Execution Year]=Table2[[#This Row],[Execution Year]])*(Table1[SBU]=Table2[[#This Row],[SBU]])*(Table1[Category]=Table2[[#This Row],[Category]])*(Table1[Most curent]=TRUE),"NF")&gt;0,1,0)</f>
        <v>0</v>
      </c>
      <c r="AJ53" cm="1">
        <f t="array" ref="AJ53">IF(_xlfn._xlws.FILTER(Table1[Spend - Sams Mexico],(Table1[Execution Year]=Table2[[#This Row],[Execution Year]])*(Table1[SBU]=Table2[[#This Row],[SBU]])*(Table1[Category]=Table2[[#This Row],[Category]])*(Table1[Most curent]=TRUE),"NF")&gt;0,1,0)</f>
        <v>0</v>
      </c>
      <c r="AK53" cm="1">
        <f t="array" ref="AK53">IF(_xlfn._xlws.FILTER(Table1[Spend - Sams China],(Table1[Execution Year]=Table2[[#This Row],[Execution Year]])*(Table1[SBU]=Table2[[#This Row],[SBU]])*(Table1[Category]=Table2[[#This Row],[Category]])*(Table1[Most curent]=TRUE),"NF")&gt;0,1,0)</f>
        <v>0</v>
      </c>
      <c r="AL53" cm="1">
        <f t="array" ref="AL53">IF(_xlfn._xlws.FILTER(Table1[Spend - IND],(Table1[Execution Year]=Table2[[#This Row],[Execution Year]])*(Table1[SBU]=Table2[[#This Row],[SBU]])*(Table1[Category]=Table2[[#This Row],[Category]])*(Table1[Most curent]=TRUE),"NF")&gt;0,1,0)</f>
        <v>0</v>
      </c>
    </row>
    <row r="54" spans="1:38">
      <c r="A54" t="str">
        <f>Table2[[#This Row],[Execution Year]]&amp;Table2[[#This Row],[SBU]]&amp;Table2[[#This Row],[Category]]</f>
        <v>FY23FoodCooking Spray</v>
      </c>
      <c r="B54" t="s">
        <v>527</v>
      </c>
      <c r="C54" t="s">
        <v>33</v>
      </c>
      <c r="D54" t="s">
        <v>322</v>
      </c>
      <c r="E54" s="185"/>
      <c r="F54" s="185"/>
      <c r="G54" s="185"/>
      <c r="H54" s="185"/>
      <c r="I54" t="s">
        <v>135</v>
      </c>
      <c r="J54" t="s">
        <v>459</v>
      </c>
      <c r="K54" t="s">
        <v>528</v>
      </c>
      <c r="O54" s="16"/>
      <c r="V54">
        <f>_xlfn.XLOOKUP(Table2[[#This Row],[Primary Dept Description]],'Lookup tables'!$U$17:$U$117,'Lookup tables'!$T$17:$T$117,"")</f>
        <v>0</v>
      </c>
      <c r="W54" s="15" t="str">
        <f>IF(OR(Table2[[#This Row],[Revised Award]]=0,Table2[[#This Row],[Revised Award]]=""),IF(OR(Table2[[#This Row],[Planned Award]]=0,Table2[[#This Row],[Planned Award]]=""),"Not Updated",Table2[[#This Row],[Planned Award]]),Table2[[#This Row],[Revised Award]])</f>
        <v>Not Updated</v>
      </c>
      <c r="X54" t="str">
        <f>_xlfn.XLOOKUP(Table2[[#This Row],[Milestone]],'Lookup tables'!$Y$27:$Y$60,'Lookup tables'!$Z$27:$Z$60,"Not Updated")</f>
        <v>Pipeline</v>
      </c>
      <c r="Y54" cm="1">
        <f t="array" ref="Y54">IF(_xlfn._xlws.FILTER(Table1[Spend - CAN],(Table1[Execution Year]=Table2[[#This Row],[Execution Year]])*(Table1[SBU]=Table2[[#This Row],[SBU]])*(Table1[Category]=Table2[[#This Row],[Category]])*(Table1[Most curent]=TRUE),"NF")&gt;0,1,0)</f>
        <v>0</v>
      </c>
      <c r="Z54" cm="1">
        <f t="array" ref="Z54">IF(_xlfn._xlws.FILTER(Table1[Spend - MEX],(Table1[Execution Year]=Table2[[#This Row],[Execution Year]])*(Table1[SBU]=Table2[[#This Row],[SBU]])*(Table1[Category]=Table2[[#This Row],[Category]])*(Table1[Most curent]=TRUE),"NF")&gt;0,1,0)</f>
        <v>0</v>
      </c>
      <c r="AA54" cm="1">
        <f t="array" ref="AA54">IF(_xlfn._xlws.FILTER(Table1[Spend - CAM],(Table1[Execution Year]=Table2[[#This Row],[Execution Year]])*(Table1[SBU]=Table2[[#This Row],[SBU]])*(Table1[Category]=Table2[[#This Row],[Category]])*(Table1[Most curent]=TRUE),"NF")&gt;0,1,0)</f>
        <v>0</v>
      </c>
      <c r="AB54" cm="1">
        <f t="array" ref="AB54">IF(_xlfn._xlws.FILTER(Table1[Spend - CHL],(Table1[Execution Year]=Table2[[#This Row],[Execution Year]])*(Table1[SBU]=Table2[[#This Row],[SBU]])*(Table1[Category]=Table2[[#This Row],[Category]])*(Table1[Most curent]=TRUE),"NF")&gt;0,1,0)</f>
        <v>0</v>
      </c>
      <c r="AC54" cm="1">
        <f t="array" ref="AC54">IF(_xlfn._xlws.FILTER(Table1[Spend - ARG],(Table1[Execution Year]=Table2[[#This Row],[Execution Year]])*(Table1[SBU]=Table2[[#This Row],[SBU]])*(Table1[Category]=Table2[[#This Row],[Category]])*(Table1[Most curent]=TRUE),"NF")&gt;0,1,0)</f>
        <v>0</v>
      </c>
      <c r="AD54" cm="1">
        <f t="array" ref="AD54">IF(_xlfn._xlws.FILTER(Table1[Spend - CHN],(Table1[Execution Year]=Table2[[#This Row],[Execution Year]])*(Table1[SBU]=Table2[[#This Row],[SBU]])*(Table1[Category]=Table2[[#This Row],[Category]])*(Table1[Most curent]=TRUE),"NF")&gt;0,1,0)</f>
        <v>0</v>
      </c>
      <c r="AE54" cm="1">
        <f t="array" ref="AE54">IF(_xlfn._xlws.FILTER(Table1[Spend - JAP],(Table1[Execution Year]=Table2[[#This Row],[Execution Year]])*(Table1[SBU]=Table2[[#This Row],[SBU]])*(Table1[Category]=Table2[[#This Row],[Category]])*(Table1[Most curent]=TRUE),"NF")&gt;0,1,0)</f>
        <v>0</v>
      </c>
      <c r="AF54" cm="1">
        <f t="array" ref="AF54">IF(_xlfn._xlws.FILTER(Table1[Spend - UKN],(Table1[Execution Year]=Table2[[#This Row],[Execution Year]])*(Table1[SBU]=Table2[[#This Row],[SBU]])*(Table1[Category]=Table2[[#This Row],[Category]])*(Table1[Most curent]=TRUE),"NF")&gt;0,1,0)</f>
        <v>0</v>
      </c>
      <c r="AG54" cm="1">
        <f t="array" ref="AG54">IF(_xlfn._xlws.FILTER(Table1[Spend - SAF],(Table1[Execution Year]=Table2[[#This Row],[Execution Year]])*(Table1[SBU]=Table2[[#This Row],[SBU]])*(Table1[Category]=Table2[[#This Row],[Category]])*(Table1[Most curent]=TRUE),"NF")&gt;0,1,0)</f>
        <v>0</v>
      </c>
      <c r="AH54" cm="1">
        <f t="array" ref="AH54">IF(_xlfn._xlws.FILTER(Table1[Spend - US],(Table1[Execution Year]=Table2[[#This Row],[Execution Year]])*(Table1[SBU]=Table2[[#This Row],[SBU]])*(Table1[Category]=Table2[[#This Row],[Category]])*(Table1[Most curent]=TRUE),"NF")&gt;0,1,0)</f>
        <v>0</v>
      </c>
      <c r="AI54" cm="1">
        <f t="array" ref="AI54">IF(_xlfn._xlws.FILTER(Table1[Spend - Sams],(Table1[Execution Year]=Table2[[#This Row],[Execution Year]])*(Table1[SBU]=Table2[[#This Row],[SBU]])*(Table1[Category]=Table2[[#This Row],[Category]])*(Table1[Most curent]=TRUE),"NF")&gt;0,1,0)</f>
        <v>0</v>
      </c>
      <c r="AJ54" cm="1">
        <f t="array" ref="AJ54">IF(_xlfn._xlws.FILTER(Table1[Spend - Sams Mexico],(Table1[Execution Year]=Table2[[#This Row],[Execution Year]])*(Table1[SBU]=Table2[[#This Row],[SBU]])*(Table1[Category]=Table2[[#This Row],[Category]])*(Table1[Most curent]=TRUE),"NF")&gt;0,1,0)</f>
        <v>0</v>
      </c>
      <c r="AK54" cm="1">
        <f t="array" ref="AK54">IF(_xlfn._xlws.FILTER(Table1[Spend - Sams China],(Table1[Execution Year]=Table2[[#This Row],[Execution Year]])*(Table1[SBU]=Table2[[#This Row],[SBU]])*(Table1[Category]=Table2[[#This Row],[Category]])*(Table1[Most curent]=TRUE),"NF")&gt;0,1,0)</f>
        <v>0</v>
      </c>
      <c r="AL54" cm="1">
        <f t="array" ref="AL54">IF(_xlfn._xlws.FILTER(Table1[Spend - IND],(Table1[Execution Year]=Table2[[#This Row],[Execution Year]])*(Table1[SBU]=Table2[[#This Row],[SBU]])*(Table1[Category]=Table2[[#This Row],[Category]])*(Table1[Most curent]=TRUE),"NF")&gt;0,1,0)</f>
        <v>0</v>
      </c>
    </row>
    <row r="55" spans="1:38">
      <c r="A55" t="str">
        <f>Table2[[#This Row],[Execution Year]]&amp;Table2[[#This Row],[SBU]]&amp;Table2[[#This Row],[Category]]</f>
        <v>FY23FoodDry Beans</v>
      </c>
      <c r="B55" t="s">
        <v>31</v>
      </c>
      <c r="C55" t="s">
        <v>33</v>
      </c>
      <c r="D55" t="s">
        <v>322</v>
      </c>
      <c r="E55" s="185"/>
      <c r="F55" s="185"/>
      <c r="G55" s="185"/>
      <c r="H55" s="185"/>
      <c r="I55" t="s">
        <v>135</v>
      </c>
      <c r="J55" t="s">
        <v>459</v>
      </c>
      <c r="K55" t="s">
        <v>514</v>
      </c>
      <c r="O55" s="16"/>
      <c r="V55">
        <f>_xlfn.XLOOKUP(Table2[[#This Row],[Primary Dept Description]],'Lookup tables'!$U$17:$U$117,'Lookup tables'!$T$17:$T$117,"")</f>
        <v>0</v>
      </c>
      <c r="W55" s="15" t="str">
        <f>IF(OR(Table2[[#This Row],[Revised Award]]=0,Table2[[#This Row],[Revised Award]]=""),IF(OR(Table2[[#This Row],[Planned Award]]=0,Table2[[#This Row],[Planned Award]]=""),"Not Updated",Table2[[#This Row],[Planned Award]]),Table2[[#This Row],[Revised Award]])</f>
        <v>Not Updated</v>
      </c>
      <c r="X55" t="str">
        <f>_xlfn.XLOOKUP(Table2[[#This Row],[Milestone]],'Lookup tables'!$Y$27:$Y$60,'Lookup tables'!$Z$27:$Z$60,"Not Updated")</f>
        <v>Pipeline</v>
      </c>
      <c r="Y55" cm="1">
        <f t="array" ref="Y55">IF(_xlfn._xlws.FILTER(Table1[Spend - CAN],(Table1[Execution Year]=Table2[[#This Row],[Execution Year]])*(Table1[SBU]=Table2[[#This Row],[SBU]])*(Table1[Category]=Table2[[#This Row],[Category]])*(Table1[Most curent]=TRUE),"NF")&gt;0,1,0)</f>
        <v>0</v>
      </c>
      <c r="Z55" cm="1">
        <f t="array" ref="Z55">IF(_xlfn._xlws.FILTER(Table1[Spend - MEX],(Table1[Execution Year]=Table2[[#This Row],[Execution Year]])*(Table1[SBU]=Table2[[#This Row],[SBU]])*(Table1[Category]=Table2[[#This Row],[Category]])*(Table1[Most curent]=TRUE),"NF")&gt;0,1,0)</f>
        <v>0</v>
      </c>
      <c r="AA55" cm="1">
        <f t="array" ref="AA55">IF(_xlfn._xlws.FILTER(Table1[Spend - CAM],(Table1[Execution Year]=Table2[[#This Row],[Execution Year]])*(Table1[SBU]=Table2[[#This Row],[SBU]])*(Table1[Category]=Table2[[#This Row],[Category]])*(Table1[Most curent]=TRUE),"NF")&gt;0,1,0)</f>
        <v>0</v>
      </c>
      <c r="AB55" cm="1">
        <f t="array" ref="AB55">IF(_xlfn._xlws.FILTER(Table1[Spend - CHL],(Table1[Execution Year]=Table2[[#This Row],[Execution Year]])*(Table1[SBU]=Table2[[#This Row],[SBU]])*(Table1[Category]=Table2[[#This Row],[Category]])*(Table1[Most curent]=TRUE),"NF")&gt;0,1,0)</f>
        <v>0</v>
      </c>
      <c r="AC55" cm="1">
        <f t="array" ref="AC55">IF(_xlfn._xlws.FILTER(Table1[Spend - ARG],(Table1[Execution Year]=Table2[[#This Row],[Execution Year]])*(Table1[SBU]=Table2[[#This Row],[SBU]])*(Table1[Category]=Table2[[#This Row],[Category]])*(Table1[Most curent]=TRUE),"NF")&gt;0,1,0)</f>
        <v>0</v>
      </c>
      <c r="AD55" cm="1">
        <f t="array" ref="AD55">IF(_xlfn._xlws.FILTER(Table1[Spend - CHN],(Table1[Execution Year]=Table2[[#This Row],[Execution Year]])*(Table1[SBU]=Table2[[#This Row],[SBU]])*(Table1[Category]=Table2[[#This Row],[Category]])*(Table1[Most curent]=TRUE),"NF")&gt;0,1,0)</f>
        <v>0</v>
      </c>
      <c r="AE55" cm="1">
        <f t="array" ref="AE55">IF(_xlfn._xlws.FILTER(Table1[Spend - JAP],(Table1[Execution Year]=Table2[[#This Row],[Execution Year]])*(Table1[SBU]=Table2[[#This Row],[SBU]])*(Table1[Category]=Table2[[#This Row],[Category]])*(Table1[Most curent]=TRUE),"NF")&gt;0,1,0)</f>
        <v>0</v>
      </c>
      <c r="AF55" cm="1">
        <f t="array" ref="AF55">IF(_xlfn._xlws.FILTER(Table1[Spend - UKN],(Table1[Execution Year]=Table2[[#This Row],[Execution Year]])*(Table1[SBU]=Table2[[#This Row],[SBU]])*(Table1[Category]=Table2[[#This Row],[Category]])*(Table1[Most curent]=TRUE),"NF")&gt;0,1,0)</f>
        <v>0</v>
      </c>
      <c r="AG55" cm="1">
        <f t="array" ref="AG55">IF(_xlfn._xlws.FILTER(Table1[Spend - SAF],(Table1[Execution Year]=Table2[[#This Row],[Execution Year]])*(Table1[SBU]=Table2[[#This Row],[SBU]])*(Table1[Category]=Table2[[#This Row],[Category]])*(Table1[Most curent]=TRUE),"NF")&gt;0,1,0)</f>
        <v>0</v>
      </c>
      <c r="AH55" cm="1">
        <f t="array" ref="AH55">IF(_xlfn._xlws.FILTER(Table1[Spend - US],(Table1[Execution Year]=Table2[[#This Row],[Execution Year]])*(Table1[SBU]=Table2[[#This Row],[SBU]])*(Table1[Category]=Table2[[#This Row],[Category]])*(Table1[Most curent]=TRUE),"NF")&gt;0,1,0)</f>
        <v>0</v>
      </c>
      <c r="AI55" cm="1">
        <f t="array" ref="AI55">IF(_xlfn._xlws.FILTER(Table1[Spend - Sams],(Table1[Execution Year]=Table2[[#This Row],[Execution Year]])*(Table1[SBU]=Table2[[#This Row],[SBU]])*(Table1[Category]=Table2[[#This Row],[Category]])*(Table1[Most curent]=TRUE),"NF")&gt;0,1,0)</f>
        <v>0</v>
      </c>
      <c r="AJ55" cm="1">
        <f t="array" ref="AJ55">IF(_xlfn._xlws.FILTER(Table1[Spend - Sams Mexico],(Table1[Execution Year]=Table2[[#This Row],[Execution Year]])*(Table1[SBU]=Table2[[#This Row],[SBU]])*(Table1[Category]=Table2[[#This Row],[Category]])*(Table1[Most curent]=TRUE),"NF")&gt;0,1,0)</f>
        <v>0</v>
      </c>
      <c r="AK55" cm="1">
        <f t="array" ref="AK55">IF(_xlfn._xlws.FILTER(Table1[Spend - Sams China],(Table1[Execution Year]=Table2[[#This Row],[Execution Year]])*(Table1[SBU]=Table2[[#This Row],[SBU]])*(Table1[Category]=Table2[[#This Row],[Category]])*(Table1[Most curent]=TRUE),"NF")&gt;0,1,0)</f>
        <v>0</v>
      </c>
      <c r="AL55" cm="1">
        <f t="array" ref="AL55">IF(_xlfn._xlws.FILTER(Table1[Spend - IND],(Table1[Execution Year]=Table2[[#This Row],[Execution Year]])*(Table1[SBU]=Table2[[#This Row],[SBU]])*(Table1[Category]=Table2[[#This Row],[Category]])*(Table1[Most curent]=TRUE),"NF")&gt;0,1,0)</f>
        <v>0</v>
      </c>
    </row>
    <row r="56" spans="1:38">
      <c r="A56" t="str">
        <f>Table2[[#This Row],[Execution Year]]&amp;Table2[[#This Row],[SBU]]&amp;Table2[[#This Row],[Category]]</f>
        <v>FY23FoodFrozen Vegetables</v>
      </c>
      <c r="B56" t="s">
        <v>83</v>
      </c>
      <c r="C56" t="s">
        <v>33</v>
      </c>
      <c r="D56" t="s">
        <v>322</v>
      </c>
      <c r="E56" s="185"/>
      <c r="F56" s="185"/>
      <c r="G56" s="185"/>
      <c r="H56" s="185"/>
      <c r="I56" t="s">
        <v>135</v>
      </c>
      <c r="J56" t="s">
        <v>459</v>
      </c>
      <c r="K56" t="s">
        <v>496</v>
      </c>
      <c r="O56" s="16"/>
      <c r="V56">
        <f>_xlfn.XLOOKUP(Table2[[#This Row],[Primary Dept Description]],'Lookup tables'!$U$17:$U$117,'Lookup tables'!$T$17:$T$117,"")</f>
        <v>0</v>
      </c>
      <c r="W56" s="15" t="str">
        <f>IF(OR(Table2[[#This Row],[Revised Award]]=0,Table2[[#This Row],[Revised Award]]=""),IF(OR(Table2[[#This Row],[Planned Award]]=0,Table2[[#This Row],[Planned Award]]=""),"Not Updated",Table2[[#This Row],[Planned Award]]),Table2[[#This Row],[Revised Award]])</f>
        <v>Not Updated</v>
      </c>
      <c r="X56" t="str">
        <f>_xlfn.XLOOKUP(Table2[[#This Row],[Milestone]],'Lookup tables'!$Y$27:$Y$60,'Lookup tables'!$Z$27:$Z$60,"Not Updated")</f>
        <v>Pipeline</v>
      </c>
      <c r="Y56" cm="1">
        <f t="array" ref="Y56">IF(_xlfn._xlws.FILTER(Table1[Spend - CAN],(Table1[Execution Year]=Table2[[#This Row],[Execution Year]])*(Table1[SBU]=Table2[[#This Row],[SBU]])*(Table1[Category]=Table2[[#This Row],[Category]])*(Table1[Most curent]=TRUE),"NF")&gt;0,1,0)</f>
        <v>0</v>
      </c>
      <c r="Z56" cm="1">
        <f t="array" ref="Z56">IF(_xlfn._xlws.FILTER(Table1[Spend - MEX],(Table1[Execution Year]=Table2[[#This Row],[Execution Year]])*(Table1[SBU]=Table2[[#This Row],[SBU]])*(Table1[Category]=Table2[[#This Row],[Category]])*(Table1[Most curent]=TRUE),"NF")&gt;0,1,0)</f>
        <v>0</v>
      </c>
      <c r="AA56" cm="1">
        <f t="array" ref="AA56">IF(_xlfn._xlws.FILTER(Table1[Spend - CAM],(Table1[Execution Year]=Table2[[#This Row],[Execution Year]])*(Table1[SBU]=Table2[[#This Row],[SBU]])*(Table1[Category]=Table2[[#This Row],[Category]])*(Table1[Most curent]=TRUE),"NF")&gt;0,1,0)</f>
        <v>0</v>
      </c>
      <c r="AB56" cm="1">
        <f t="array" ref="AB56">IF(_xlfn._xlws.FILTER(Table1[Spend - CHL],(Table1[Execution Year]=Table2[[#This Row],[Execution Year]])*(Table1[SBU]=Table2[[#This Row],[SBU]])*(Table1[Category]=Table2[[#This Row],[Category]])*(Table1[Most curent]=TRUE),"NF")&gt;0,1,0)</f>
        <v>0</v>
      </c>
      <c r="AC56" cm="1">
        <f t="array" ref="AC56">IF(_xlfn._xlws.FILTER(Table1[Spend - ARG],(Table1[Execution Year]=Table2[[#This Row],[Execution Year]])*(Table1[SBU]=Table2[[#This Row],[SBU]])*(Table1[Category]=Table2[[#This Row],[Category]])*(Table1[Most curent]=TRUE),"NF")&gt;0,1,0)</f>
        <v>0</v>
      </c>
      <c r="AD56" cm="1">
        <f t="array" ref="AD56">IF(_xlfn._xlws.FILTER(Table1[Spend - CHN],(Table1[Execution Year]=Table2[[#This Row],[Execution Year]])*(Table1[SBU]=Table2[[#This Row],[SBU]])*(Table1[Category]=Table2[[#This Row],[Category]])*(Table1[Most curent]=TRUE),"NF")&gt;0,1,0)</f>
        <v>0</v>
      </c>
      <c r="AE56" cm="1">
        <f t="array" ref="AE56">IF(_xlfn._xlws.FILTER(Table1[Spend - JAP],(Table1[Execution Year]=Table2[[#This Row],[Execution Year]])*(Table1[SBU]=Table2[[#This Row],[SBU]])*(Table1[Category]=Table2[[#This Row],[Category]])*(Table1[Most curent]=TRUE),"NF")&gt;0,1,0)</f>
        <v>0</v>
      </c>
      <c r="AF56" cm="1">
        <f t="array" ref="AF56">IF(_xlfn._xlws.FILTER(Table1[Spend - UKN],(Table1[Execution Year]=Table2[[#This Row],[Execution Year]])*(Table1[SBU]=Table2[[#This Row],[SBU]])*(Table1[Category]=Table2[[#This Row],[Category]])*(Table1[Most curent]=TRUE),"NF")&gt;0,1,0)</f>
        <v>0</v>
      </c>
      <c r="AG56" cm="1">
        <f t="array" ref="AG56">IF(_xlfn._xlws.FILTER(Table1[Spend - SAF],(Table1[Execution Year]=Table2[[#This Row],[Execution Year]])*(Table1[SBU]=Table2[[#This Row],[SBU]])*(Table1[Category]=Table2[[#This Row],[Category]])*(Table1[Most curent]=TRUE),"NF")&gt;0,1,0)</f>
        <v>0</v>
      </c>
      <c r="AH56" cm="1">
        <f t="array" ref="AH56">IF(_xlfn._xlws.FILTER(Table1[Spend - US],(Table1[Execution Year]=Table2[[#This Row],[Execution Year]])*(Table1[SBU]=Table2[[#This Row],[SBU]])*(Table1[Category]=Table2[[#This Row],[Category]])*(Table1[Most curent]=TRUE),"NF")&gt;0,1,0)</f>
        <v>0</v>
      </c>
      <c r="AI56" cm="1">
        <f t="array" ref="AI56">IF(_xlfn._xlws.FILTER(Table1[Spend - Sams],(Table1[Execution Year]=Table2[[#This Row],[Execution Year]])*(Table1[SBU]=Table2[[#This Row],[SBU]])*(Table1[Category]=Table2[[#This Row],[Category]])*(Table1[Most curent]=TRUE),"NF")&gt;0,1,0)</f>
        <v>0</v>
      </c>
      <c r="AJ56" cm="1">
        <f t="array" ref="AJ56">IF(_xlfn._xlws.FILTER(Table1[Spend - Sams Mexico],(Table1[Execution Year]=Table2[[#This Row],[Execution Year]])*(Table1[SBU]=Table2[[#This Row],[SBU]])*(Table1[Category]=Table2[[#This Row],[Category]])*(Table1[Most curent]=TRUE),"NF")&gt;0,1,0)</f>
        <v>0</v>
      </c>
      <c r="AK56" cm="1">
        <f t="array" ref="AK56">IF(_xlfn._xlws.FILTER(Table1[Spend - Sams China],(Table1[Execution Year]=Table2[[#This Row],[Execution Year]])*(Table1[SBU]=Table2[[#This Row],[SBU]])*(Table1[Category]=Table2[[#This Row],[Category]])*(Table1[Most curent]=TRUE),"NF")&gt;0,1,0)</f>
        <v>0</v>
      </c>
      <c r="AL56" cm="1">
        <f t="array" ref="AL56">IF(_xlfn._xlws.FILTER(Table1[Spend - IND],(Table1[Execution Year]=Table2[[#This Row],[Execution Year]])*(Table1[SBU]=Table2[[#This Row],[SBU]])*(Table1[Category]=Table2[[#This Row],[Category]])*(Table1[Most curent]=TRUE),"NF")&gt;0,1,0)</f>
        <v>0</v>
      </c>
    </row>
    <row r="57" spans="1:38">
      <c r="A57" t="str">
        <f>Table2[[#This Row],[Execution Year]]&amp;Table2[[#This Row],[SBU]]&amp;Table2[[#This Row],[Category]]</f>
        <v>FY23FoodL/G White Rice</v>
      </c>
      <c r="B57" t="s">
        <v>82</v>
      </c>
      <c r="C57" t="s">
        <v>33</v>
      </c>
      <c r="D57" t="s">
        <v>322</v>
      </c>
      <c r="E57" s="185"/>
      <c r="F57" s="185"/>
      <c r="G57" s="185"/>
      <c r="H57" s="185"/>
      <c r="I57" t="s">
        <v>135</v>
      </c>
      <c r="J57" t="s">
        <v>459</v>
      </c>
      <c r="K57" t="s">
        <v>514</v>
      </c>
      <c r="O57" s="16"/>
      <c r="V57">
        <f>_xlfn.XLOOKUP(Table2[[#This Row],[Primary Dept Description]],'Lookup tables'!$U$17:$U$117,'Lookup tables'!$T$17:$T$117,"")</f>
        <v>0</v>
      </c>
      <c r="W57" s="15" t="str">
        <f>IF(OR(Table2[[#This Row],[Revised Award]]=0,Table2[[#This Row],[Revised Award]]=""),IF(OR(Table2[[#This Row],[Planned Award]]=0,Table2[[#This Row],[Planned Award]]=""),"Not Updated",Table2[[#This Row],[Planned Award]]),Table2[[#This Row],[Revised Award]])</f>
        <v>Not Updated</v>
      </c>
      <c r="X57" t="str">
        <f>_xlfn.XLOOKUP(Table2[[#This Row],[Milestone]],'Lookup tables'!$Y$27:$Y$60,'Lookup tables'!$Z$27:$Z$60,"Not Updated")</f>
        <v>Pipeline</v>
      </c>
      <c r="Y57" cm="1">
        <f t="array" ref="Y57">IF(_xlfn._xlws.FILTER(Table1[Spend - CAN],(Table1[Execution Year]=Table2[[#This Row],[Execution Year]])*(Table1[SBU]=Table2[[#This Row],[SBU]])*(Table1[Category]=Table2[[#This Row],[Category]])*(Table1[Most curent]=TRUE),"NF")&gt;0,1,0)</f>
        <v>0</v>
      </c>
      <c r="Z57" cm="1">
        <f t="array" ref="Z57">IF(_xlfn._xlws.FILTER(Table1[Spend - MEX],(Table1[Execution Year]=Table2[[#This Row],[Execution Year]])*(Table1[SBU]=Table2[[#This Row],[SBU]])*(Table1[Category]=Table2[[#This Row],[Category]])*(Table1[Most curent]=TRUE),"NF")&gt;0,1,0)</f>
        <v>0</v>
      </c>
      <c r="AA57" cm="1">
        <f t="array" ref="AA57">IF(_xlfn._xlws.FILTER(Table1[Spend - CAM],(Table1[Execution Year]=Table2[[#This Row],[Execution Year]])*(Table1[SBU]=Table2[[#This Row],[SBU]])*(Table1[Category]=Table2[[#This Row],[Category]])*(Table1[Most curent]=TRUE),"NF")&gt;0,1,0)</f>
        <v>0</v>
      </c>
      <c r="AB57" cm="1">
        <f t="array" ref="AB57">IF(_xlfn._xlws.FILTER(Table1[Spend - CHL],(Table1[Execution Year]=Table2[[#This Row],[Execution Year]])*(Table1[SBU]=Table2[[#This Row],[SBU]])*(Table1[Category]=Table2[[#This Row],[Category]])*(Table1[Most curent]=TRUE),"NF")&gt;0,1,0)</f>
        <v>0</v>
      </c>
      <c r="AC57" cm="1">
        <f t="array" ref="AC57">IF(_xlfn._xlws.FILTER(Table1[Spend - ARG],(Table1[Execution Year]=Table2[[#This Row],[Execution Year]])*(Table1[SBU]=Table2[[#This Row],[SBU]])*(Table1[Category]=Table2[[#This Row],[Category]])*(Table1[Most curent]=TRUE),"NF")&gt;0,1,0)</f>
        <v>0</v>
      </c>
      <c r="AD57" cm="1">
        <f t="array" ref="AD57">IF(_xlfn._xlws.FILTER(Table1[Spend - CHN],(Table1[Execution Year]=Table2[[#This Row],[Execution Year]])*(Table1[SBU]=Table2[[#This Row],[SBU]])*(Table1[Category]=Table2[[#This Row],[Category]])*(Table1[Most curent]=TRUE),"NF")&gt;0,1,0)</f>
        <v>0</v>
      </c>
      <c r="AE57" cm="1">
        <f t="array" ref="AE57">IF(_xlfn._xlws.FILTER(Table1[Spend - JAP],(Table1[Execution Year]=Table2[[#This Row],[Execution Year]])*(Table1[SBU]=Table2[[#This Row],[SBU]])*(Table1[Category]=Table2[[#This Row],[Category]])*(Table1[Most curent]=TRUE),"NF")&gt;0,1,0)</f>
        <v>0</v>
      </c>
      <c r="AF57" cm="1">
        <f t="array" ref="AF57">IF(_xlfn._xlws.FILTER(Table1[Spend - UKN],(Table1[Execution Year]=Table2[[#This Row],[Execution Year]])*(Table1[SBU]=Table2[[#This Row],[SBU]])*(Table1[Category]=Table2[[#This Row],[Category]])*(Table1[Most curent]=TRUE),"NF")&gt;0,1,0)</f>
        <v>0</v>
      </c>
      <c r="AG57" cm="1">
        <f t="array" ref="AG57">IF(_xlfn._xlws.FILTER(Table1[Spend - SAF],(Table1[Execution Year]=Table2[[#This Row],[Execution Year]])*(Table1[SBU]=Table2[[#This Row],[SBU]])*(Table1[Category]=Table2[[#This Row],[Category]])*(Table1[Most curent]=TRUE),"NF")&gt;0,1,0)</f>
        <v>0</v>
      </c>
      <c r="AH57" cm="1">
        <f t="array" ref="AH57">IF(_xlfn._xlws.FILTER(Table1[Spend - US],(Table1[Execution Year]=Table2[[#This Row],[Execution Year]])*(Table1[SBU]=Table2[[#This Row],[SBU]])*(Table1[Category]=Table2[[#This Row],[Category]])*(Table1[Most curent]=TRUE),"NF")&gt;0,1,0)</f>
        <v>0</v>
      </c>
      <c r="AI57" cm="1">
        <f t="array" ref="AI57">IF(_xlfn._xlws.FILTER(Table1[Spend - Sams],(Table1[Execution Year]=Table2[[#This Row],[Execution Year]])*(Table1[SBU]=Table2[[#This Row],[SBU]])*(Table1[Category]=Table2[[#This Row],[Category]])*(Table1[Most curent]=TRUE),"NF")&gt;0,1,0)</f>
        <v>0</v>
      </c>
      <c r="AJ57" cm="1">
        <f t="array" ref="AJ57">IF(_xlfn._xlws.FILTER(Table1[Spend - Sams Mexico],(Table1[Execution Year]=Table2[[#This Row],[Execution Year]])*(Table1[SBU]=Table2[[#This Row],[SBU]])*(Table1[Category]=Table2[[#This Row],[Category]])*(Table1[Most curent]=TRUE),"NF")&gt;0,1,0)</f>
        <v>0</v>
      </c>
      <c r="AK57" cm="1">
        <f t="array" ref="AK57">IF(_xlfn._xlws.FILTER(Table1[Spend - Sams China],(Table1[Execution Year]=Table2[[#This Row],[Execution Year]])*(Table1[SBU]=Table2[[#This Row],[SBU]])*(Table1[Category]=Table2[[#This Row],[Category]])*(Table1[Most curent]=TRUE),"NF")&gt;0,1,0)</f>
        <v>0</v>
      </c>
      <c r="AL57" cm="1">
        <f t="array" ref="AL57">IF(_xlfn._xlws.FILTER(Table1[Spend - IND],(Table1[Execution Year]=Table2[[#This Row],[Execution Year]])*(Table1[SBU]=Table2[[#This Row],[SBU]])*(Table1[Category]=Table2[[#This Row],[Category]])*(Table1[Most curent]=TRUE),"NF")&gt;0,1,0)</f>
        <v>0</v>
      </c>
    </row>
    <row r="58" spans="1:38">
      <c r="A58" t="str">
        <f>Table2[[#This Row],[Execution Year]]&amp;Table2[[#This Row],[SBU]]&amp;Table2[[#This Row],[Category]]</f>
        <v>FY23FoodCommodity &amp; Specialty Eggs (WM)</v>
      </c>
      <c r="B58" t="s">
        <v>529</v>
      </c>
      <c r="C58" t="s">
        <v>33</v>
      </c>
      <c r="D58" t="s">
        <v>322</v>
      </c>
      <c r="E58" s="185"/>
      <c r="F58" s="185"/>
      <c r="G58" s="185"/>
      <c r="H58" s="185"/>
      <c r="I58" t="s">
        <v>135</v>
      </c>
      <c r="J58" t="s">
        <v>459</v>
      </c>
      <c r="K58" t="s">
        <v>516</v>
      </c>
      <c r="O58" s="16"/>
      <c r="V58">
        <f>_xlfn.XLOOKUP(Table2[[#This Row],[Primary Dept Description]],'Lookup tables'!$U$17:$U$117,'Lookup tables'!$T$17:$T$117,"")</f>
        <v>0</v>
      </c>
      <c r="W58" s="15" t="str">
        <f>IF(OR(Table2[[#This Row],[Revised Award]]=0,Table2[[#This Row],[Revised Award]]=""),IF(OR(Table2[[#This Row],[Planned Award]]=0,Table2[[#This Row],[Planned Award]]=""),"Not Updated",Table2[[#This Row],[Planned Award]]),Table2[[#This Row],[Revised Award]])</f>
        <v>Not Updated</v>
      </c>
      <c r="X58" t="str">
        <f>_xlfn.XLOOKUP(Table2[[#This Row],[Milestone]],'Lookup tables'!$Y$27:$Y$60,'Lookup tables'!$Z$27:$Z$60,"Not Updated")</f>
        <v>Pipeline</v>
      </c>
      <c r="Y58" cm="1">
        <f t="array" ref="Y58">IF(_xlfn._xlws.FILTER(Table1[Spend - CAN],(Table1[Execution Year]=Table2[[#This Row],[Execution Year]])*(Table1[SBU]=Table2[[#This Row],[SBU]])*(Table1[Category]=Table2[[#This Row],[Category]])*(Table1[Most curent]=TRUE),"NF")&gt;0,1,0)</f>
        <v>0</v>
      </c>
      <c r="Z58" cm="1">
        <f t="array" ref="Z58">IF(_xlfn._xlws.FILTER(Table1[Spend - MEX],(Table1[Execution Year]=Table2[[#This Row],[Execution Year]])*(Table1[SBU]=Table2[[#This Row],[SBU]])*(Table1[Category]=Table2[[#This Row],[Category]])*(Table1[Most curent]=TRUE),"NF")&gt;0,1,0)</f>
        <v>0</v>
      </c>
      <c r="AA58" cm="1">
        <f t="array" ref="AA58">IF(_xlfn._xlws.FILTER(Table1[Spend - CAM],(Table1[Execution Year]=Table2[[#This Row],[Execution Year]])*(Table1[SBU]=Table2[[#This Row],[SBU]])*(Table1[Category]=Table2[[#This Row],[Category]])*(Table1[Most curent]=TRUE),"NF")&gt;0,1,0)</f>
        <v>0</v>
      </c>
      <c r="AB58" cm="1">
        <f t="array" ref="AB58">IF(_xlfn._xlws.FILTER(Table1[Spend - CHL],(Table1[Execution Year]=Table2[[#This Row],[Execution Year]])*(Table1[SBU]=Table2[[#This Row],[SBU]])*(Table1[Category]=Table2[[#This Row],[Category]])*(Table1[Most curent]=TRUE),"NF")&gt;0,1,0)</f>
        <v>0</v>
      </c>
      <c r="AC58" cm="1">
        <f t="array" ref="AC58">IF(_xlfn._xlws.FILTER(Table1[Spend - ARG],(Table1[Execution Year]=Table2[[#This Row],[Execution Year]])*(Table1[SBU]=Table2[[#This Row],[SBU]])*(Table1[Category]=Table2[[#This Row],[Category]])*(Table1[Most curent]=TRUE),"NF")&gt;0,1,0)</f>
        <v>0</v>
      </c>
      <c r="AD58" cm="1">
        <f t="array" ref="AD58">IF(_xlfn._xlws.FILTER(Table1[Spend - CHN],(Table1[Execution Year]=Table2[[#This Row],[Execution Year]])*(Table1[SBU]=Table2[[#This Row],[SBU]])*(Table1[Category]=Table2[[#This Row],[Category]])*(Table1[Most curent]=TRUE),"NF")&gt;0,1,0)</f>
        <v>0</v>
      </c>
      <c r="AE58" cm="1">
        <f t="array" ref="AE58">IF(_xlfn._xlws.FILTER(Table1[Spend - JAP],(Table1[Execution Year]=Table2[[#This Row],[Execution Year]])*(Table1[SBU]=Table2[[#This Row],[SBU]])*(Table1[Category]=Table2[[#This Row],[Category]])*(Table1[Most curent]=TRUE),"NF")&gt;0,1,0)</f>
        <v>0</v>
      </c>
      <c r="AF58" cm="1">
        <f t="array" ref="AF58">IF(_xlfn._xlws.FILTER(Table1[Spend - UKN],(Table1[Execution Year]=Table2[[#This Row],[Execution Year]])*(Table1[SBU]=Table2[[#This Row],[SBU]])*(Table1[Category]=Table2[[#This Row],[Category]])*(Table1[Most curent]=TRUE),"NF")&gt;0,1,0)</f>
        <v>0</v>
      </c>
      <c r="AG58" cm="1">
        <f t="array" ref="AG58">IF(_xlfn._xlws.FILTER(Table1[Spend - SAF],(Table1[Execution Year]=Table2[[#This Row],[Execution Year]])*(Table1[SBU]=Table2[[#This Row],[SBU]])*(Table1[Category]=Table2[[#This Row],[Category]])*(Table1[Most curent]=TRUE),"NF")&gt;0,1,0)</f>
        <v>0</v>
      </c>
      <c r="AH58" cm="1">
        <f t="array" ref="AH58">IF(_xlfn._xlws.FILTER(Table1[Spend - US],(Table1[Execution Year]=Table2[[#This Row],[Execution Year]])*(Table1[SBU]=Table2[[#This Row],[SBU]])*(Table1[Category]=Table2[[#This Row],[Category]])*(Table1[Most curent]=TRUE),"NF")&gt;0,1,0)</f>
        <v>0</v>
      </c>
      <c r="AI58" cm="1">
        <f t="array" ref="AI58">IF(_xlfn._xlws.FILTER(Table1[Spend - Sams],(Table1[Execution Year]=Table2[[#This Row],[Execution Year]])*(Table1[SBU]=Table2[[#This Row],[SBU]])*(Table1[Category]=Table2[[#This Row],[Category]])*(Table1[Most curent]=TRUE),"NF")&gt;0,1,0)</f>
        <v>0</v>
      </c>
      <c r="AJ58" cm="1">
        <f t="array" ref="AJ58">IF(_xlfn._xlws.FILTER(Table1[Spend - Sams Mexico],(Table1[Execution Year]=Table2[[#This Row],[Execution Year]])*(Table1[SBU]=Table2[[#This Row],[SBU]])*(Table1[Category]=Table2[[#This Row],[Category]])*(Table1[Most curent]=TRUE),"NF")&gt;0,1,0)</f>
        <v>0</v>
      </c>
      <c r="AK58" cm="1">
        <f t="array" ref="AK58">IF(_xlfn._xlws.FILTER(Table1[Spend - Sams China],(Table1[Execution Year]=Table2[[#This Row],[Execution Year]])*(Table1[SBU]=Table2[[#This Row],[SBU]])*(Table1[Category]=Table2[[#This Row],[Category]])*(Table1[Most curent]=TRUE),"NF")&gt;0,1,0)</f>
        <v>0</v>
      </c>
      <c r="AL58" cm="1">
        <f t="array" ref="AL58">IF(_xlfn._xlws.FILTER(Table1[Spend - IND],(Table1[Execution Year]=Table2[[#This Row],[Execution Year]])*(Table1[SBU]=Table2[[#This Row],[SBU]])*(Table1[Category]=Table2[[#This Row],[Category]])*(Table1[Most curent]=TRUE),"NF")&gt;0,1,0)</f>
        <v>0</v>
      </c>
    </row>
    <row r="59" spans="1:38">
      <c r="A59" t="str">
        <f>Table2[[#This Row],[Execution Year]]&amp;Table2[[#This Row],[SBU]]&amp;Table2[[#This Row],[Category]]</f>
        <v>FY23FoodFrozen Vegetables</v>
      </c>
      <c r="B59" t="s">
        <v>83</v>
      </c>
      <c r="C59" t="s">
        <v>33</v>
      </c>
      <c r="D59" t="s">
        <v>322</v>
      </c>
      <c r="E59" s="185"/>
      <c r="F59" s="185"/>
      <c r="G59" s="185"/>
      <c r="H59" s="185"/>
      <c r="I59" t="s">
        <v>473</v>
      </c>
      <c r="J59" t="s">
        <v>459</v>
      </c>
      <c r="K59" t="s">
        <v>502</v>
      </c>
      <c r="O59" s="16"/>
      <c r="V59">
        <f>_xlfn.XLOOKUP(Table2[[#This Row],[Primary Dept Description]],'Lookup tables'!$U$17:$U$117,'Lookup tables'!$T$17:$T$117,"")</f>
        <v>0</v>
      </c>
      <c r="W59" s="15" t="str">
        <f>IF(OR(Table2[[#This Row],[Revised Award]]=0,Table2[[#This Row],[Revised Award]]=""),IF(OR(Table2[[#This Row],[Planned Award]]=0,Table2[[#This Row],[Planned Award]]=""),"Not Updated",Table2[[#This Row],[Planned Award]]),Table2[[#This Row],[Revised Award]])</f>
        <v>Not Updated</v>
      </c>
      <c r="X59" t="str">
        <f>_xlfn.XLOOKUP(Table2[[#This Row],[Milestone]],'Lookup tables'!$Y$27:$Y$60,'Lookup tables'!$Z$27:$Z$60,"Not Updated")</f>
        <v>SCO Analysis</v>
      </c>
      <c r="Y59" cm="1">
        <f t="array" ref="Y59">IF(_xlfn._xlws.FILTER(Table1[Spend - CAN],(Table1[Execution Year]=Table2[[#This Row],[Execution Year]])*(Table1[SBU]=Table2[[#This Row],[SBU]])*(Table1[Category]=Table2[[#This Row],[Category]])*(Table1[Most curent]=TRUE),"NF")&gt;0,1,0)</f>
        <v>0</v>
      </c>
      <c r="Z59" cm="1">
        <f t="array" ref="Z59">IF(_xlfn._xlws.FILTER(Table1[Spend - MEX],(Table1[Execution Year]=Table2[[#This Row],[Execution Year]])*(Table1[SBU]=Table2[[#This Row],[SBU]])*(Table1[Category]=Table2[[#This Row],[Category]])*(Table1[Most curent]=TRUE),"NF")&gt;0,1,0)</f>
        <v>0</v>
      </c>
      <c r="AA59" cm="1">
        <f t="array" ref="AA59">IF(_xlfn._xlws.FILTER(Table1[Spend - CAM],(Table1[Execution Year]=Table2[[#This Row],[Execution Year]])*(Table1[SBU]=Table2[[#This Row],[SBU]])*(Table1[Category]=Table2[[#This Row],[Category]])*(Table1[Most curent]=TRUE),"NF")&gt;0,1,0)</f>
        <v>0</v>
      </c>
      <c r="AB59" cm="1">
        <f t="array" ref="AB59">IF(_xlfn._xlws.FILTER(Table1[Spend - CHL],(Table1[Execution Year]=Table2[[#This Row],[Execution Year]])*(Table1[SBU]=Table2[[#This Row],[SBU]])*(Table1[Category]=Table2[[#This Row],[Category]])*(Table1[Most curent]=TRUE),"NF")&gt;0,1,0)</f>
        <v>0</v>
      </c>
      <c r="AC59" cm="1">
        <f t="array" ref="AC59">IF(_xlfn._xlws.FILTER(Table1[Spend - ARG],(Table1[Execution Year]=Table2[[#This Row],[Execution Year]])*(Table1[SBU]=Table2[[#This Row],[SBU]])*(Table1[Category]=Table2[[#This Row],[Category]])*(Table1[Most curent]=TRUE),"NF")&gt;0,1,0)</f>
        <v>0</v>
      </c>
      <c r="AD59" cm="1">
        <f t="array" ref="AD59">IF(_xlfn._xlws.FILTER(Table1[Spend - CHN],(Table1[Execution Year]=Table2[[#This Row],[Execution Year]])*(Table1[SBU]=Table2[[#This Row],[SBU]])*(Table1[Category]=Table2[[#This Row],[Category]])*(Table1[Most curent]=TRUE),"NF")&gt;0,1,0)</f>
        <v>0</v>
      </c>
      <c r="AE59" cm="1">
        <f t="array" ref="AE59">IF(_xlfn._xlws.FILTER(Table1[Spend - JAP],(Table1[Execution Year]=Table2[[#This Row],[Execution Year]])*(Table1[SBU]=Table2[[#This Row],[SBU]])*(Table1[Category]=Table2[[#This Row],[Category]])*(Table1[Most curent]=TRUE),"NF")&gt;0,1,0)</f>
        <v>0</v>
      </c>
      <c r="AF59" cm="1">
        <f t="array" ref="AF59">IF(_xlfn._xlws.FILTER(Table1[Spend - UKN],(Table1[Execution Year]=Table2[[#This Row],[Execution Year]])*(Table1[SBU]=Table2[[#This Row],[SBU]])*(Table1[Category]=Table2[[#This Row],[Category]])*(Table1[Most curent]=TRUE),"NF")&gt;0,1,0)</f>
        <v>0</v>
      </c>
      <c r="AG59" cm="1">
        <f t="array" ref="AG59">IF(_xlfn._xlws.FILTER(Table1[Spend - SAF],(Table1[Execution Year]=Table2[[#This Row],[Execution Year]])*(Table1[SBU]=Table2[[#This Row],[SBU]])*(Table1[Category]=Table2[[#This Row],[Category]])*(Table1[Most curent]=TRUE),"NF")&gt;0,1,0)</f>
        <v>0</v>
      </c>
      <c r="AH59" cm="1">
        <f t="array" ref="AH59">IF(_xlfn._xlws.FILTER(Table1[Spend - US],(Table1[Execution Year]=Table2[[#This Row],[Execution Year]])*(Table1[SBU]=Table2[[#This Row],[SBU]])*(Table1[Category]=Table2[[#This Row],[Category]])*(Table1[Most curent]=TRUE),"NF")&gt;0,1,0)</f>
        <v>0</v>
      </c>
      <c r="AI59" cm="1">
        <f t="array" ref="AI59">IF(_xlfn._xlws.FILTER(Table1[Spend - Sams],(Table1[Execution Year]=Table2[[#This Row],[Execution Year]])*(Table1[SBU]=Table2[[#This Row],[SBU]])*(Table1[Category]=Table2[[#This Row],[Category]])*(Table1[Most curent]=TRUE),"NF")&gt;0,1,0)</f>
        <v>0</v>
      </c>
      <c r="AJ59" cm="1">
        <f t="array" ref="AJ59">IF(_xlfn._xlws.FILTER(Table1[Spend - Sams Mexico],(Table1[Execution Year]=Table2[[#This Row],[Execution Year]])*(Table1[SBU]=Table2[[#This Row],[SBU]])*(Table1[Category]=Table2[[#This Row],[Category]])*(Table1[Most curent]=TRUE),"NF")&gt;0,1,0)</f>
        <v>0</v>
      </c>
      <c r="AK59" cm="1">
        <f t="array" ref="AK59">IF(_xlfn._xlws.FILTER(Table1[Spend - Sams China],(Table1[Execution Year]=Table2[[#This Row],[Execution Year]])*(Table1[SBU]=Table2[[#This Row],[SBU]])*(Table1[Category]=Table2[[#This Row],[Category]])*(Table1[Most curent]=TRUE),"NF")&gt;0,1,0)</f>
        <v>0</v>
      </c>
      <c r="AL59" cm="1">
        <f t="array" ref="AL59">IF(_xlfn._xlws.FILTER(Table1[Spend - IND],(Table1[Execution Year]=Table2[[#This Row],[Execution Year]])*(Table1[SBU]=Table2[[#This Row],[SBU]])*(Table1[Category]=Table2[[#This Row],[Category]])*(Table1[Most curent]=TRUE),"NF")&gt;0,1,0)</f>
        <v>0</v>
      </c>
    </row>
    <row r="60" spans="1:38">
      <c r="A60" t="str">
        <f>Table2[[#This Row],[Execution Year]]&amp;Table2[[#This Row],[SBU]]&amp;Table2[[#This Row],[Category]]</f>
        <v>FY23FoodCheese / Shelf Stable / Deli</v>
      </c>
      <c r="B60" t="s">
        <v>530</v>
      </c>
      <c r="C60" t="s">
        <v>33</v>
      </c>
      <c r="D60" t="s">
        <v>322</v>
      </c>
      <c r="E60" s="185">
        <v>44896</v>
      </c>
      <c r="F60" s="185">
        <v>44956</v>
      </c>
      <c r="G60" s="185">
        <v>0</v>
      </c>
      <c r="H60" s="185">
        <v>0</v>
      </c>
      <c r="I60" t="s">
        <v>413</v>
      </c>
      <c r="J60" t="s">
        <v>459</v>
      </c>
      <c r="K60" t="s">
        <v>502</v>
      </c>
      <c r="L60">
        <v>0</v>
      </c>
      <c r="M60">
        <v>45016</v>
      </c>
      <c r="N60" t="s">
        <v>502</v>
      </c>
      <c r="O60" s="16">
        <v>44732.319080671296</v>
      </c>
      <c r="P60" t="s">
        <v>492</v>
      </c>
      <c r="Q60" t="s">
        <v>493</v>
      </c>
      <c r="R60" t="s">
        <v>353</v>
      </c>
      <c r="S60" t="s">
        <v>531</v>
      </c>
      <c r="T60" t="s">
        <v>481</v>
      </c>
      <c r="U60">
        <v>0</v>
      </c>
      <c r="V60">
        <f>_xlfn.XLOOKUP(Table2[[#This Row],[Primary Dept Description]],'Lookup tables'!$U$17:$U$117,'Lookup tables'!$T$17:$T$117,"")</f>
        <v>90</v>
      </c>
      <c r="W60" s="15">
        <f>IF(OR(Table2[[#This Row],[Revised Award]]=0,Table2[[#This Row],[Revised Award]]=""),IF(OR(Table2[[#This Row],[Planned Award]]=0,Table2[[#This Row],[Planned Award]]=""),"Not Updated",Table2[[#This Row],[Planned Award]]),Table2[[#This Row],[Revised Award]])</f>
        <v>44956</v>
      </c>
      <c r="X60" t="str">
        <f>_xlfn.XLOOKUP(Table2[[#This Row],[Milestone]],'Lookup tables'!$Y$27:$Y$60,'Lookup tables'!$Z$27:$Z$60,"Not Updated")</f>
        <v>Bid Prep</v>
      </c>
      <c r="Y60" cm="1">
        <f t="array" ref="Y60">IF(_xlfn._xlws.FILTER(Table1[Spend - CAN],(Table1[Execution Year]=Table2[[#This Row],[Execution Year]])*(Table1[SBU]=Table2[[#This Row],[SBU]])*(Table1[Category]=Table2[[#This Row],[Category]])*(Table1[Most curent]=TRUE),"NF")&gt;0,1,0)</f>
        <v>0</v>
      </c>
      <c r="Z60" cm="1">
        <f t="array" ref="Z60">IF(_xlfn._xlws.FILTER(Table1[Spend - MEX],(Table1[Execution Year]=Table2[[#This Row],[Execution Year]])*(Table1[SBU]=Table2[[#This Row],[SBU]])*(Table1[Category]=Table2[[#This Row],[Category]])*(Table1[Most curent]=TRUE),"NF")&gt;0,1,0)</f>
        <v>0</v>
      </c>
      <c r="AA60" cm="1">
        <f t="array" ref="AA60">IF(_xlfn._xlws.FILTER(Table1[Spend - CAM],(Table1[Execution Year]=Table2[[#This Row],[Execution Year]])*(Table1[SBU]=Table2[[#This Row],[SBU]])*(Table1[Category]=Table2[[#This Row],[Category]])*(Table1[Most curent]=TRUE),"NF")&gt;0,1,0)</f>
        <v>0</v>
      </c>
      <c r="AB60" cm="1">
        <f t="array" ref="AB60">IF(_xlfn._xlws.FILTER(Table1[Spend - CHL],(Table1[Execution Year]=Table2[[#This Row],[Execution Year]])*(Table1[SBU]=Table2[[#This Row],[SBU]])*(Table1[Category]=Table2[[#This Row],[Category]])*(Table1[Most curent]=TRUE),"NF")&gt;0,1,0)</f>
        <v>0</v>
      </c>
      <c r="AC60" cm="1">
        <f t="array" ref="AC60">IF(_xlfn._xlws.FILTER(Table1[Spend - ARG],(Table1[Execution Year]=Table2[[#This Row],[Execution Year]])*(Table1[SBU]=Table2[[#This Row],[SBU]])*(Table1[Category]=Table2[[#This Row],[Category]])*(Table1[Most curent]=TRUE),"NF")&gt;0,1,0)</f>
        <v>0</v>
      </c>
      <c r="AD60" cm="1">
        <f t="array" ref="AD60">IF(_xlfn._xlws.FILTER(Table1[Spend - CHN],(Table1[Execution Year]=Table2[[#This Row],[Execution Year]])*(Table1[SBU]=Table2[[#This Row],[SBU]])*(Table1[Category]=Table2[[#This Row],[Category]])*(Table1[Most curent]=TRUE),"NF")&gt;0,1,0)</f>
        <v>0</v>
      </c>
      <c r="AE60" cm="1">
        <f t="array" ref="AE60">IF(_xlfn._xlws.FILTER(Table1[Spend - JAP],(Table1[Execution Year]=Table2[[#This Row],[Execution Year]])*(Table1[SBU]=Table2[[#This Row],[SBU]])*(Table1[Category]=Table2[[#This Row],[Category]])*(Table1[Most curent]=TRUE),"NF")&gt;0,1,0)</f>
        <v>0</v>
      </c>
      <c r="AF60" cm="1">
        <f t="array" ref="AF60">IF(_xlfn._xlws.FILTER(Table1[Spend - UKN],(Table1[Execution Year]=Table2[[#This Row],[Execution Year]])*(Table1[SBU]=Table2[[#This Row],[SBU]])*(Table1[Category]=Table2[[#This Row],[Category]])*(Table1[Most curent]=TRUE),"NF")&gt;0,1,0)</f>
        <v>0</v>
      </c>
      <c r="AG60" cm="1">
        <f t="array" ref="AG60">IF(_xlfn._xlws.FILTER(Table1[Spend - SAF],(Table1[Execution Year]=Table2[[#This Row],[Execution Year]])*(Table1[SBU]=Table2[[#This Row],[SBU]])*(Table1[Category]=Table2[[#This Row],[Category]])*(Table1[Most curent]=TRUE),"NF")&gt;0,1,0)</f>
        <v>0</v>
      </c>
      <c r="AH60" cm="1">
        <f t="array" ref="AH60">IF(_xlfn._xlws.FILTER(Table1[Spend - US],(Table1[Execution Year]=Table2[[#This Row],[Execution Year]])*(Table1[SBU]=Table2[[#This Row],[SBU]])*(Table1[Category]=Table2[[#This Row],[Category]])*(Table1[Most curent]=TRUE),"NF")&gt;0,1,0)</f>
        <v>0</v>
      </c>
      <c r="AI60" cm="1">
        <f t="array" ref="AI60">IF(_xlfn._xlws.FILTER(Table1[Spend - Sams],(Table1[Execution Year]=Table2[[#This Row],[Execution Year]])*(Table1[SBU]=Table2[[#This Row],[SBU]])*(Table1[Category]=Table2[[#This Row],[Category]])*(Table1[Most curent]=TRUE),"NF")&gt;0,1,0)</f>
        <v>0</v>
      </c>
      <c r="AJ60" cm="1">
        <f t="array" ref="AJ60">IF(_xlfn._xlws.FILTER(Table1[Spend - Sams Mexico],(Table1[Execution Year]=Table2[[#This Row],[Execution Year]])*(Table1[SBU]=Table2[[#This Row],[SBU]])*(Table1[Category]=Table2[[#This Row],[Category]])*(Table1[Most curent]=TRUE),"NF")&gt;0,1,0)</f>
        <v>0</v>
      </c>
      <c r="AK60" cm="1">
        <f t="array" ref="AK60">IF(_xlfn._xlws.FILTER(Table1[Spend - Sams China],(Table1[Execution Year]=Table2[[#This Row],[Execution Year]])*(Table1[SBU]=Table2[[#This Row],[SBU]])*(Table1[Category]=Table2[[#This Row],[Category]])*(Table1[Most curent]=TRUE),"NF")&gt;0,1,0)</f>
        <v>0</v>
      </c>
      <c r="AL60" cm="1">
        <f t="array" ref="AL60">IF(_xlfn._xlws.FILTER(Table1[Spend - IND],(Table1[Execution Year]=Table2[[#This Row],[Execution Year]])*(Table1[SBU]=Table2[[#This Row],[SBU]])*(Table1[Category]=Table2[[#This Row],[Category]])*(Table1[Most curent]=TRUE),"NF")&gt;0,1,0)</f>
        <v>0</v>
      </c>
    </row>
    <row r="61" spans="1:38">
      <c r="A61" t="str">
        <f>Table2[[#This Row],[Execution Year]]&amp;Table2[[#This Row],[SBU]]&amp;Table2[[#This Row],[Category]]</f>
        <v>FY23FoodFresh/Frozen Seafood</v>
      </c>
      <c r="B61" t="s">
        <v>532</v>
      </c>
      <c r="C61" t="s">
        <v>33</v>
      </c>
      <c r="D61" t="s">
        <v>322</v>
      </c>
      <c r="E61" s="185"/>
      <c r="F61" s="185"/>
      <c r="G61" s="185"/>
      <c r="H61" s="185"/>
      <c r="I61" t="s">
        <v>135</v>
      </c>
      <c r="J61" t="s">
        <v>459</v>
      </c>
      <c r="K61" t="s">
        <v>533</v>
      </c>
      <c r="O61" s="16"/>
      <c r="V61">
        <f>_xlfn.XLOOKUP(Table2[[#This Row],[Primary Dept Description]],'Lookup tables'!$U$17:$U$117,'Lookup tables'!$T$17:$T$117,"")</f>
        <v>0</v>
      </c>
      <c r="W61" s="15" t="str">
        <f>IF(OR(Table2[[#This Row],[Revised Award]]=0,Table2[[#This Row],[Revised Award]]=""),IF(OR(Table2[[#This Row],[Planned Award]]=0,Table2[[#This Row],[Planned Award]]=""),"Not Updated",Table2[[#This Row],[Planned Award]]),Table2[[#This Row],[Revised Award]])</f>
        <v>Not Updated</v>
      </c>
      <c r="X61" t="str">
        <f>_xlfn.XLOOKUP(Table2[[#This Row],[Milestone]],'Lookup tables'!$Y$27:$Y$60,'Lookup tables'!$Z$27:$Z$60,"Not Updated")</f>
        <v>Pipeline</v>
      </c>
      <c r="Y61" cm="1">
        <f t="array" ref="Y61">IF(_xlfn._xlws.FILTER(Table1[Spend - CAN],(Table1[Execution Year]=Table2[[#This Row],[Execution Year]])*(Table1[SBU]=Table2[[#This Row],[SBU]])*(Table1[Category]=Table2[[#This Row],[Category]])*(Table1[Most curent]=TRUE),"NF")&gt;0,1,0)</f>
        <v>0</v>
      </c>
      <c r="Z61" cm="1">
        <f t="array" ref="Z61">IF(_xlfn._xlws.FILTER(Table1[Spend - MEX],(Table1[Execution Year]=Table2[[#This Row],[Execution Year]])*(Table1[SBU]=Table2[[#This Row],[SBU]])*(Table1[Category]=Table2[[#This Row],[Category]])*(Table1[Most curent]=TRUE),"NF")&gt;0,1,0)</f>
        <v>0</v>
      </c>
      <c r="AA61" cm="1">
        <f t="array" ref="AA61">IF(_xlfn._xlws.FILTER(Table1[Spend - CAM],(Table1[Execution Year]=Table2[[#This Row],[Execution Year]])*(Table1[SBU]=Table2[[#This Row],[SBU]])*(Table1[Category]=Table2[[#This Row],[Category]])*(Table1[Most curent]=TRUE),"NF")&gt;0,1,0)</f>
        <v>0</v>
      </c>
      <c r="AB61" cm="1">
        <f t="array" ref="AB61">IF(_xlfn._xlws.FILTER(Table1[Spend - CHL],(Table1[Execution Year]=Table2[[#This Row],[Execution Year]])*(Table1[SBU]=Table2[[#This Row],[SBU]])*(Table1[Category]=Table2[[#This Row],[Category]])*(Table1[Most curent]=TRUE),"NF")&gt;0,1,0)</f>
        <v>0</v>
      </c>
      <c r="AC61" cm="1">
        <f t="array" ref="AC61">IF(_xlfn._xlws.FILTER(Table1[Spend - ARG],(Table1[Execution Year]=Table2[[#This Row],[Execution Year]])*(Table1[SBU]=Table2[[#This Row],[SBU]])*(Table1[Category]=Table2[[#This Row],[Category]])*(Table1[Most curent]=TRUE),"NF")&gt;0,1,0)</f>
        <v>0</v>
      </c>
      <c r="AD61" cm="1">
        <f t="array" ref="AD61">IF(_xlfn._xlws.FILTER(Table1[Spend - CHN],(Table1[Execution Year]=Table2[[#This Row],[Execution Year]])*(Table1[SBU]=Table2[[#This Row],[SBU]])*(Table1[Category]=Table2[[#This Row],[Category]])*(Table1[Most curent]=TRUE),"NF")&gt;0,1,0)</f>
        <v>0</v>
      </c>
      <c r="AE61" cm="1">
        <f t="array" ref="AE61">IF(_xlfn._xlws.FILTER(Table1[Spend - JAP],(Table1[Execution Year]=Table2[[#This Row],[Execution Year]])*(Table1[SBU]=Table2[[#This Row],[SBU]])*(Table1[Category]=Table2[[#This Row],[Category]])*(Table1[Most curent]=TRUE),"NF")&gt;0,1,0)</f>
        <v>0</v>
      </c>
      <c r="AF61" cm="1">
        <f t="array" ref="AF61">IF(_xlfn._xlws.FILTER(Table1[Spend - UKN],(Table1[Execution Year]=Table2[[#This Row],[Execution Year]])*(Table1[SBU]=Table2[[#This Row],[SBU]])*(Table1[Category]=Table2[[#This Row],[Category]])*(Table1[Most curent]=TRUE),"NF")&gt;0,1,0)</f>
        <v>0</v>
      </c>
      <c r="AG61" cm="1">
        <f t="array" ref="AG61">IF(_xlfn._xlws.FILTER(Table1[Spend - SAF],(Table1[Execution Year]=Table2[[#This Row],[Execution Year]])*(Table1[SBU]=Table2[[#This Row],[SBU]])*(Table1[Category]=Table2[[#This Row],[Category]])*(Table1[Most curent]=TRUE),"NF")&gt;0,1,0)</f>
        <v>0</v>
      </c>
      <c r="AH61" cm="1">
        <f t="array" ref="AH61">IF(_xlfn._xlws.FILTER(Table1[Spend - US],(Table1[Execution Year]=Table2[[#This Row],[Execution Year]])*(Table1[SBU]=Table2[[#This Row],[SBU]])*(Table1[Category]=Table2[[#This Row],[Category]])*(Table1[Most curent]=TRUE),"NF")&gt;0,1,0)</f>
        <v>0</v>
      </c>
      <c r="AI61" cm="1">
        <f t="array" ref="AI61">IF(_xlfn._xlws.FILTER(Table1[Spend - Sams],(Table1[Execution Year]=Table2[[#This Row],[Execution Year]])*(Table1[SBU]=Table2[[#This Row],[SBU]])*(Table1[Category]=Table2[[#This Row],[Category]])*(Table1[Most curent]=TRUE),"NF")&gt;0,1,0)</f>
        <v>0</v>
      </c>
      <c r="AJ61" cm="1">
        <f t="array" ref="AJ61">IF(_xlfn._xlws.FILTER(Table1[Spend - Sams Mexico],(Table1[Execution Year]=Table2[[#This Row],[Execution Year]])*(Table1[SBU]=Table2[[#This Row],[SBU]])*(Table1[Category]=Table2[[#This Row],[Category]])*(Table1[Most curent]=TRUE),"NF")&gt;0,1,0)</f>
        <v>0</v>
      </c>
      <c r="AK61" cm="1">
        <f t="array" ref="AK61">IF(_xlfn._xlws.FILTER(Table1[Spend - Sams China],(Table1[Execution Year]=Table2[[#This Row],[Execution Year]])*(Table1[SBU]=Table2[[#This Row],[SBU]])*(Table1[Category]=Table2[[#This Row],[Category]])*(Table1[Most curent]=TRUE),"NF")&gt;0,1,0)</f>
        <v>0</v>
      </c>
      <c r="AL61" cm="1">
        <f t="array" ref="AL61">IF(_xlfn._xlws.FILTER(Table1[Spend - IND],(Table1[Execution Year]=Table2[[#This Row],[Execution Year]])*(Table1[SBU]=Table2[[#This Row],[SBU]])*(Table1[Category]=Table2[[#This Row],[Category]])*(Table1[Most curent]=TRUE),"NF")&gt;0,1,0)</f>
        <v>0</v>
      </c>
    </row>
    <row r="62" spans="1:38">
      <c r="A62" t="str">
        <f>Table2[[#This Row],[Execution Year]]&amp;Table2[[#This Row],[SBU]]&amp;Table2[[#This Row],[Category]]</f>
        <v>FY22FoodDry Beans</v>
      </c>
      <c r="B62" t="s">
        <v>31</v>
      </c>
      <c r="C62" t="s">
        <v>33</v>
      </c>
      <c r="D62" t="s">
        <v>39</v>
      </c>
      <c r="E62" s="185"/>
      <c r="F62" s="185"/>
      <c r="G62" s="185"/>
      <c r="H62" s="185"/>
      <c r="I62" t="s">
        <v>415</v>
      </c>
      <c r="J62" t="s">
        <v>459</v>
      </c>
      <c r="K62" t="s">
        <v>514</v>
      </c>
      <c r="O62" s="16"/>
      <c r="V62">
        <f>_xlfn.XLOOKUP(Table2[[#This Row],[Primary Dept Description]],'Lookup tables'!$U$17:$U$117,'Lookup tables'!$T$17:$T$117,"")</f>
        <v>0</v>
      </c>
      <c r="W62" s="15" t="str">
        <f>IF(OR(Table2[[#This Row],[Revised Award]]=0,Table2[[#This Row],[Revised Award]]=""),IF(OR(Table2[[#This Row],[Planned Award]]=0,Table2[[#This Row],[Planned Award]]=""),"Not Updated",Table2[[#This Row],[Planned Award]]),Table2[[#This Row],[Revised Award]])</f>
        <v>Not Updated</v>
      </c>
      <c r="X62" t="str">
        <f>_xlfn.XLOOKUP(Table2[[#This Row],[Milestone]],'Lookup tables'!$Y$27:$Y$60,'Lookup tables'!$Z$27:$Z$60,"Not Updated")</f>
        <v>Award</v>
      </c>
      <c r="Y62" cm="1">
        <f t="array" ref="Y62">IF(_xlfn._xlws.FILTER(Table1[Spend - CAN],(Table1[Execution Year]=Table2[[#This Row],[Execution Year]])*(Table1[SBU]=Table2[[#This Row],[SBU]])*(Table1[Category]=Table2[[#This Row],[Category]])*(Table1[Most curent]=TRUE),"NF")&gt;0,1,0)</f>
        <v>0</v>
      </c>
      <c r="Z62" cm="1">
        <f t="array" ref="Z62">IF(_xlfn._xlws.FILTER(Table1[Spend - MEX],(Table1[Execution Year]=Table2[[#This Row],[Execution Year]])*(Table1[SBU]=Table2[[#This Row],[SBU]])*(Table1[Category]=Table2[[#This Row],[Category]])*(Table1[Most curent]=TRUE),"NF")&gt;0,1,0)</f>
        <v>0</v>
      </c>
      <c r="AA62" cm="1">
        <f t="array" ref="AA62">IF(_xlfn._xlws.FILTER(Table1[Spend - CAM],(Table1[Execution Year]=Table2[[#This Row],[Execution Year]])*(Table1[SBU]=Table2[[#This Row],[SBU]])*(Table1[Category]=Table2[[#This Row],[Category]])*(Table1[Most curent]=TRUE),"NF")&gt;0,1,0)</f>
        <v>0</v>
      </c>
      <c r="AB62" cm="1">
        <f t="array" ref="AB62">IF(_xlfn._xlws.FILTER(Table1[Spend - CHL],(Table1[Execution Year]=Table2[[#This Row],[Execution Year]])*(Table1[SBU]=Table2[[#This Row],[SBU]])*(Table1[Category]=Table2[[#This Row],[Category]])*(Table1[Most curent]=TRUE),"NF")&gt;0,1,0)</f>
        <v>0</v>
      </c>
      <c r="AC62" cm="1">
        <f t="array" ref="AC62">IF(_xlfn._xlws.FILTER(Table1[Spend - ARG],(Table1[Execution Year]=Table2[[#This Row],[Execution Year]])*(Table1[SBU]=Table2[[#This Row],[SBU]])*(Table1[Category]=Table2[[#This Row],[Category]])*(Table1[Most curent]=TRUE),"NF")&gt;0,1,0)</f>
        <v>0</v>
      </c>
      <c r="AD62" cm="1">
        <f t="array" ref="AD62">IF(_xlfn._xlws.FILTER(Table1[Spend - CHN],(Table1[Execution Year]=Table2[[#This Row],[Execution Year]])*(Table1[SBU]=Table2[[#This Row],[SBU]])*(Table1[Category]=Table2[[#This Row],[Category]])*(Table1[Most curent]=TRUE),"NF")&gt;0,1,0)</f>
        <v>0</v>
      </c>
      <c r="AE62" cm="1">
        <f t="array" ref="AE62">IF(_xlfn._xlws.FILTER(Table1[Spend - JAP],(Table1[Execution Year]=Table2[[#This Row],[Execution Year]])*(Table1[SBU]=Table2[[#This Row],[SBU]])*(Table1[Category]=Table2[[#This Row],[Category]])*(Table1[Most curent]=TRUE),"NF")&gt;0,1,0)</f>
        <v>0</v>
      </c>
      <c r="AF62" cm="1">
        <f t="array" ref="AF62">IF(_xlfn._xlws.FILTER(Table1[Spend - UKN],(Table1[Execution Year]=Table2[[#This Row],[Execution Year]])*(Table1[SBU]=Table2[[#This Row],[SBU]])*(Table1[Category]=Table2[[#This Row],[Category]])*(Table1[Most curent]=TRUE),"NF")&gt;0,1,0)</f>
        <v>0</v>
      </c>
      <c r="AG62" cm="1">
        <f t="array" ref="AG62">IF(_xlfn._xlws.FILTER(Table1[Spend - SAF],(Table1[Execution Year]=Table2[[#This Row],[Execution Year]])*(Table1[SBU]=Table2[[#This Row],[SBU]])*(Table1[Category]=Table2[[#This Row],[Category]])*(Table1[Most curent]=TRUE),"NF")&gt;0,1,0)</f>
        <v>0</v>
      </c>
      <c r="AH62" cm="1">
        <f t="array" ref="AH62">IF(_xlfn._xlws.FILTER(Table1[Spend - US],(Table1[Execution Year]=Table2[[#This Row],[Execution Year]])*(Table1[SBU]=Table2[[#This Row],[SBU]])*(Table1[Category]=Table2[[#This Row],[Category]])*(Table1[Most curent]=TRUE),"NF")&gt;0,1,0)</f>
        <v>0</v>
      </c>
      <c r="AI62" cm="1">
        <f t="array" ref="AI62">IF(_xlfn._xlws.FILTER(Table1[Spend - Sams],(Table1[Execution Year]=Table2[[#This Row],[Execution Year]])*(Table1[SBU]=Table2[[#This Row],[SBU]])*(Table1[Category]=Table2[[#This Row],[Category]])*(Table1[Most curent]=TRUE),"NF")&gt;0,1,0)</f>
        <v>0</v>
      </c>
      <c r="AJ62" cm="1">
        <f t="array" ref="AJ62">IF(_xlfn._xlws.FILTER(Table1[Spend - Sams Mexico],(Table1[Execution Year]=Table2[[#This Row],[Execution Year]])*(Table1[SBU]=Table2[[#This Row],[SBU]])*(Table1[Category]=Table2[[#This Row],[Category]])*(Table1[Most curent]=TRUE),"NF")&gt;0,1,0)</f>
        <v>0</v>
      </c>
      <c r="AK62" cm="1">
        <f t="array" ref="AK62">IF(_xlfn._xlws.FILTER(Table1[Spend - Sams China],(Table1[Execution Year]=Table2[[#This Row],[Execution Year]])*(Table1[SBU]=Table2[[#This Row],[SBU]])*(Table1[Category]=Table2[[#This Row],[Category]])*(Table1[Most curent]=TRUE),"NF")&gt;0,1,0)</f>
        <v>0</v>
      </c>
      <c r="AL62" cm="1">
        <f t="array" ref="AL62">IF(_xlfn._xlws.FILTER(Table1[Spend - IND],(Table1[Execution Year]=Table2[[#This Row],[Execution Year]])*(Table1[SBU]=Table2[[#This Row],[SBU]])*(Table1[Category]=Table2[[#This Row],[Category]])*(Table1[Most curent]=TRUE),"NF")&gt;0,1,0)</f>
        <v>0</v>
      </c>
    </row>
    <row r="63" spans="1:38">
      <c r="A63" t="str">
        <f>Table2[[#This Row],[Execution Year]]&amp;Table2[[#This Row],[SBU]]&amp;Table2[[#This Row],[Category]]</f>
        <v>FY22FoodL/G White Rice</v>
      </c>
      <c r="B63" t="s">
        <v>82</v>
      </c>
      <c r="C63" t="s">
        <v>33</v>
      </c>
      <c r="D63" t="s">
        <v>39</v>
      </c>
      <c r="E63" s="185"/>
      <c r="F63" s="185"/>
      <c r="G63" s="185"/>
      <c r="H63" s="185"/>
      <c r="I63" t="s">
        <v>415</v>
      </c>
      <c r="J63" t="s">
        <v>459</v>
      </c>
      <c r="K63" t="s">
        <v>514</v>
      </c>
      <c r="O63" s="16"/>
      <c r="V63">
        <f>_xlfn.XLOOKUP(Table2[[#This Row],[Primary Dept Description]],'Lookup tables'!$U$17:$U$117,'Lookup tables'!$T$17:$T$117,"")</f>
        <v>0</v>
      </c>
      <c r="W63" s="15" t="str">
        <f>IF(OR(Table2[[#This Row],[Revised Award]]=0,Table2[[#This Row],[Revised Award]]=""),IF(OR(Table2[[#This Row],[Planned Award]]=0,Table2[[#This Row],[Planned Award]]=""),"Not Updated",Table2[[#This Row],[Planned Award]]),Table2[[#This Row],[Revised Award]])</f>
        <v>Not Updated</v>
      </c>
      <c r="X63" t="str">
        <f>_xlfn.XLOOKUP(Table2[[#This Row],[Milestone]],'Lookup tables'!$Y$27:$Y$60,'Lookup tables'!$Z$27:$Z$60,"Not Updated")</f>
        <v>Award</v>
      </c>
      <c r="Y63" cm="1">
        <f t="array" ref="Y63">IF(_xlfn._xlws.FILTER(Table1[Spend - CAN],(Table1[Execution Year]=Table2[[#This Row],[Execution Year]])*(Table1[SBU]=Table2[[#This Row],[SBU]])*(Table1[Category]=Table2[[#This Row],[Category]])*(Table1[Most curent]=TRUE),"NF")&gt;0,1,0)</f>
        <v>0</v>
      </c>
      <c r="Z63" cm="1">
        <f t="array" ref="Z63">IF(_xlfn._xlws.FILTER(Table1[Spend - MEX],(Table1[Execution Year]=Table2[[#This Row],[Execution Year]])*(Table1[SBU]=Table2[[#This Row],[SBU]])*(Table1[Category]=Table2[[#This Row],[Category]])*(Table1[Most curent]=TRUE),"NF")&gt;0,1,0)</f>
        <v>0</v>
      </c>
      <c r="AA63" cm="1">
        <f t="array" ref="AA63">IF(_xlfn._xlws.FILTER(Table1[Spend - CAM],(Table1[Execution Year]=Table2[[#This Row],[Execution Year]])*(Table1[SBU]=Table2[[#This Row],[SBU]])*(Table1[Category]=Table2[[#This Row],[Category]])*(Table1[Most curent]=TRUE),"NF")&gt;0,1,0)</f>
        <v>0</v>
      </c>
      <c r="AB63" cm="1">
        <f t="array" ref="AB63">IF(_xlfn._xlws.FILTER(Table1[Spend - CHL],(Table1[Execution Year]=Table2[[#This Row],[Execution Year]])*(Table1[SBU]=Table2[[#This Row],[SBU]])*(Table1[Category]=Table2[[#This Row],[Category]])*(Table1[Most curent]=TRUE),"NF")&gt;0,1,0)</f>
        <v>0</v>
      </c>
      <c r="AC63" cm="1">
        <f t="array" ref="AC63">IF(_xlfn._xlws.FILTER(Table1[Spend - ARG],(Table1[Execution Year]=Table2[[#This Row],[Execution Year]])*(Table1[SBU]=Table2[[#This Row],[SBU]])*(Table1[Category]=Table2[[#This Row],[Category]])*(Table1[Most curent]=TRUE),"NF")&gt;0,1,0)</f>
        <v>0</v>
      </c>
      <c r="AD63" cm="1">
        <f t="array" ref="AD63">IF(_xlfn._xlws.FILTER(Table1[Spend - CHN],(Table1[Execution Year]=Table2[[#This Row],[Execution Year]])*(Table1[SBU]=Table2[[#This Row],[SBU]])*(Table1[Category]=Table2[[#This Row],[Category]])*(Table1[Most curent]=TRUE),"NF")&gt;0,1,0)</f>
        <v>0</v>
      </c>
      <c r="AE63" cm="1">
        <f t="array" ref="AE63">IF(_xlfn._xlws.FILTER(Table1[Spend - JAP],(Table1[Execution Year]=Table2[[#This Row],[Execution Year]])*(Table1[SBU]=Table2[[#This Row],[SBU]])*(Table1[Category]=Table2[[#This Row],[Category]])*(Table1[Most curent]=TRUE),"NF")&gt;0,1,0)</f>
        <v>0</v>
      </c>
      <c r="AF63" cm="1">
        <f t="array" ref="AF63">IF(_xlfn._xlws.FILTER(Table1[Spend - UKN],(Table1[Execution Year]=Table2[[#This Row],[Execution Year]])*(Table1[SBU]=Table2[[#This Row],[SBU]])*(Table1[Category]=Table2[[#This Row],[Category]])*(Table1[Most curent]=TRUE),"NF")&gt;0,1,0)</f>
        <v>0</v>
      </c>
      <c r="AG63" cm="1">
        <f t="array" ref="AG63">IF(_xlfn._xlws.FILTER(Table1[Spend - SAF],(Table1[Execution Year]=Table2[[#This Row],[Execution Year]])*(Table1[SBU]=Table2[[#This Row],[SBU]])*(Table1[Category]=Table2[[#This Row],[Category]])*(Table1[Most curent]=TRUE),"NF")&gt;0,1,0)</f>
        <v>0</v>
      </c>
      <c r="AH63" cm="1">
        <f t="array" ref="AH63">IF(_xlfn._xlws.FILTER(Table1[Spend - US],(Table1[Execution Year]=Table2[[#This Row],[Execution Year]])*(Table1[SBU]=Table2[[#This Row],[SBU]])*(Table1[Category]=Table2[[#This Row],[Category]])*(Table1[Most curent]=TRUE),"NF")&gt;0,1,0)</f>
        <v>0</v>
      </c>
      <c r="AI63" cm="1">
        <f t="array" ref="AI63">IF(_xlfn._xlws.FILTER(Table1[Spend - Sams],(Table1[Execution Year]=Table2[[#This Row],[Execution Year]])*(Table1[SBU]=Table2[[#This Row],[SBU]])*(Table1[Category]=Table2[[#This Row],[Category]])*(Table1[Most curent]=TRUE),"NF")&gt;0,1,0)</f>
        <v>0</v>
      </c>
      <c r="AJ63" cm="1">
        <f t="array" ref="AJ63">IF(_xlfn._xlws.FILTER(Table1[Spend - Sams Mexico],(Table1[Execution Year]=Table2[[#This Row],[Execution Year]])*(Table1[SBU]=Table2[[#This Row],[SBU]])*(Table1[Category]=Table2[[#This Row],[Category]])*(Table1[Most curent]=TRUE),"NF")&gt;0,1,0)</f>
        <v>0</v>
      </c>
      <c r="AK63" cm="1">
        <f t="array" ref="AK63">IF(_xlfn._xlws.FILTER(Table1[Spend - Sams China],(Table1[Execution Year]=Table2[[#This Row],[Execution Year]])*(Table1[SBU]=Table2[[#This Row],[SBU]])*(Table1[Category]=Table2[[#This Row],[Category]])*(Table1[Most curent]=TRUE),"NF")&gt;0,1,0)</f>
        <v>0</v>
      </c>
      <c r="AL63" cm="1">
        <f t="array" ref="AL63">IF(_xlfn._xlws.FILTER(Table1[Spend - IND],(Table1[Execution Year]=Table2[[#This Row],[Execution Year]])*(Table1[SBU]=Table2[[#This Row],[SBU]])*(Table1[Category]=Table2[[#This Row],[Category]])*(Table1[Most curent]=TRUE),"NF")&gt;0,1,0)</f>
        <v>0</v>
      </c>
    </row>
    <row r="64" spans="1:38">
      <c r="A64" t="str">
        <f>Table2[[#This Row],[Execution Year]]&amp;Table2[[#This Row],[SBU]]&amp;Table2[[#This Row],[Category]]</f>
        <v>FY22FoodEggs</v>
      </c>
      <c r="B64" t="s">
        <v>534</v>
      </c>
      <c r="C64" t="s">
        <v>33</v>
      </c>
      <c r="D64" t="s">
        <v>39</v>
      </c>
      <c r="E64" s="185">
        <v>44398</v>
      </c>
      <c r="F64" s="185">
        <v>44774</v>
      </c>
      <c r="G64" s="185">
        <v>0</v>
      </c>
      <c r="H64" s="185">
        <v>0</v>
      </c>
      <c r="I64" t="s">
        <v>415</v>
      </c>
      <c r="J64" t="s">
        <v>459</v>
      </c>
      <c r="K64" t="s">
        <v>514</v>
      </c>
      <c r="L64">
        <v>0</v>
      </c>
      <c r="M64">
        <v>44834</v>
      </c>
      <c r="N64" t="s">
        <v>514</v>
      </c>
      <c r="O64" s="16">
        <v>44729.422567476853</v>
      </c>
      <c r="P64" t="s">
        <v>492</v>
      </c>
      <c r="Q64" t="s">
        <v>493</v>
      </c>
      <c r="R64" t="s">
        <v>353</v>
      </c>
      <c r="S64" t="s">
        <v>535</v>
      </c>
      <c r="T64" t="s">
        <v>466</v>
      </c>
      <c r="U64">
        <v>44742</v>
      </c>
      <c r="V64">
        <f>_xlfn.XLOOKUP(Table2[[#This Row],[Primary Dept Description]],'Lookup tables'!$U$17:$U$117,'Lookup tables'!$T$17:$T$117,"")</f>
        <v>90</v>
      </c>
      <c r="W64" s="15">
        <f>IF(OR(Table2[[#This Row],[Revised Award]]=0,Table2[[#This Row],[Revised Award]]=""),IF(OR(Table2[[#This Row],[Planned Award]]=0,Table2[[#This Row],[Planned Award]]=""),"Not Updated",Table2[[#This Row],[Planned Award]]),Table2[[#This Row],[Revised Award]])</f>
        <v>44774</v>
      </c>
      <c r="X64" t="str">
        <f>_xlfn.XLOOKUP(Table2[[#This Row],[Milestone]],'Lookup tables'!$Y$27:$Y$60,'Lookup tables'!$Z$27:$Z$60,"Not Updated")</f>
        <v>Award</v>
      </c>
      <c r="Y64" cm="1">
        <f t="array" ref="Y64">IF(_xlfn._xlws.FILTER(Table1[Spend - CAN],(Table1[Execution Year]=Table2[[#This Row],[Execution Year]])*(Table1[SBU]=Table2[[#This Row],[SBU]])*(Table1[Category]=Table2[[#This Row],[Category]])*(Table1[Most curent]=TRUE),"NF")&gt;0,1,0)</f>
        <v>0</v>
      </c>
      <c r="Z64" cm="1">
        <f t="array" ref="Z64">IF(_xlfn._xlws.FILTER(Table1[Spend - MEX],(Table1[Execution Year]=Table2[[#This Row],[Execution Year]])*(Table1[SBU]=Table2[[#This Row],[SBU]])*(Table1[Category]=Table2[[#This Row],[Category]])*(Table1[Most curent]=TRUE),"NF")&gt;0,1,0)</f>
        <v>0</v>
      </c>
      <c r="AA64" cm="1">
        <f t="array" ref="AA64">IF(_xlfn._xlws.FILTER(Table1[Spend - CAM],(Table1[Execution Year]=Table2[[#This Row],[Execution Year]])*(Table1[SBU]=Table2[[#This Row],[SBU]])*(Table1[Category]=Table2[[#This Row],[Category]])*(Table1[Most curent]=TRUE),"NF")&gt;0,1,0)</f>
        <v>0</v>
      </c>
      <c r="AB64" cm="1">
        <f t="array" ref="AB64">IF(_xlfn._xlws.FILTER(Table1[Spend - CHL],(Table1[Execution Year]=Table2[[#This Row],[Execution Year]])*(Table1[SBU]=Table2[[#This Row],[SBU]])*(Table1[Category]=Table2[[#This Row],[Category]])*(Table1[Most curent]=TRUE),"NF")&gt;0,1,0)</f>
        <v>0</v>
      </c>
      <c r="AC64" cm="1">
        <f t="array" ref="AC64">IF(_xlfn._xlws.FILTER(Table1[Spend - ARG],(Table1[Execution Year]=Table2[[#This Row],[Execution Year]])*(Table1[SBU]=Table2[[#This Row],[SBU]])*(Table1[Category]=Table2[[#This Row],[Category]])*(Table1[Most curent]=TRUE),"NF")&gt;0,1,0)</f>
        <v>0</v>
      </c>
      <c r="AD64" cm="1">
        <f t="array" ref="AD64">IF(_xlfn._xlws.FILTER(Table1[Spend - CHN],(Table1[Execution Year]=Table2[[#This Row],[Execution Year]])*(Table1[SBU]=Table2[[#This Row],[SBU]])*(Table1[Category]=Table2[[#This Row],[Category]])*(Table1[Most curent]=TRUE),"NF")&gt;0,1,0)</f>
        <v>0</v>
      </c>
      <c r="AE64" cm="1">
        <f t="array" ref="AE64">IF(_xlfn._xlws.FILTER(Table1[Spend - JAP],(Table1[Execution Year]=Table2[[#This Row],[Execution Year]])*(Table1[SBU]=Table2[[#This Row],[SBU]])*(Table1[Category]=Table2[[#This Row],[Category]])*(Table1[Most curent]=TRUE),"NF")&gt;0,1,0)</f>
        <v>0</v>
      </c>
      <c r="AF64" cm="1">
        <f t="array" ref="AF64">IF(_xlfn._xlws.FILTER(Table1[Spend - UKN],(Table1[Execution Year]=Table2[[#This Row],[Execution Year]])*(Table1[SBU]=Table2[[#This Row],[SBU]])*(Table1[Category]=Table2[[#This Row],[Category]])*(Table1[Most curent]=TRUE),"NF")&gt;0,1,0)</f>
        <v>0</v>
      </c>
      <c r="AG64" cm="1">
        <f t="array" ref="AG64">IF(_xlfn._xlws.FILTER(Table1[Spend - SAF],(Table1[Execution Year]=Table2[[#This Row],[Execution Year]])*(Table1[SBU]=Table2[[#This Row],[SBU]])*(Table1[Category]=Table2[[#This Row],[Category]])*(Table1[Most curent]=TRUE),"NF")&gt;0,1,0)</f>
        <v>0</v>
      </c>
      <c r="AH64" cm="1">
        <f t="array" ref="AH64">IF(_xlfn._xlws.FILTER(Table1[Spend - US],(Table1[Execution Year]=Table2[[#This Row],[Execution Year]])*(Table1[SBU]=Table2[[#This Row],[SBU]])*(Table1[Category]=Table2[[#This Row],[Category]])*(Table1[Most curent]=TRUE),"NF")&gt;0,1,0)</f>
        <v>1</v>
      </c>
      <c r="AI64" cm="1">
        <f t="array" ref="AI64">IF(_xlfn._xlws.FILTER(Table1[Spend - Sams],(Table1[Execution Year]=Table2[[#This Row],[Execution Year]])*(Table1[SBU]=Table2[[#This Row],[SBU]])*(Table1[Category]=Table2[[#This Row],[Category]])*(Table1[Most curent]=TRUE),"NF")&gt;0,1,0)</f>
        <v>0</v>
      </c>
      <c r="AJ64" cm="1">
        <f t="array" ref="AJ64">IF(_xlfn._xlws.FILTER(Table1[Spend - Sams Mexico],(Table1[Execution Year]=Table2[[#This Row],[Execution Year]])*(Table1[SBU]=Table2[[#This Row],[SBU]])*(Table1[Category]=Table2[[#This Row],[Category]])*(Table1[Most curent]=TRUE),"NF")&gt;0,1,0)</f>
        <v>0</v>
      </c>
      <c r="AK64" cm="1">
        <f t="array" ref="AK64">IF(_xlfn._xlws.FILTER(Table1[Spend - Sams China],(Table1[Execution Year]=Table2[[#This Row],[Execution Year]])*(Table1[SBU]=Table2[[#This Row],[SBU]])*(Table1[Category]=Table2[[#This Row],[Category]])*(Table1[Most curent]=TRUE),"NF")&gt;0,1,0)</f>
        <v>0</v>
      </c>
      <c r="AL64" cm="1">
        <f t="array" ref="AL64">IF(_xlfn._xlws.FILTER(Table1[Spend - IND],(Table1[Execution Year]=Table2[[#This Row],[Execution Year]])*(Table1[SBU]=Table2[[#This Row],[SBU]])*(Table1[Category]=Table2[[#This Row],[Category]])*(Table1[Most curent]=TRUE),"NF")&gt;0,1,0)</f>
        <v>0</v>
      </c>
    </row>
    <row r="65" spans="1:38">
      <c r="A65" t="str">
        <f>Table2[[#This Row],[Execution Year]]&amp;Table2[[#This Row],[SBU]]&amp;Table2[[#This Row],[Category]]</f>
        <v>FY22FoodButter</v>
      </c>
      <c r="B65" t="s">
        <v>536</v>
      </c>
      <c r="C65" t="s">
        <v>33</v>
      </c>
      <c r="D65" t="s">
        <v>39</v>
      </c>
      <c r="E65" s="185">
        <v>0</v>
      </c>
      <c r="F65" s="185">
        <v>0</v>
      </c>
      <c r="G65" s="185">
        <v>0</v>
      </c>
      <c r="H65" s="185">
        <v>0</v>
      </c>
      <c r="I65" t="s">
        <v>415</v>
      </c>
      <c r="J65" t="s">
        <v>459</v>
      </c>
      <c r="K65" t="s">
        <v>514</v>
      </c>
      <c r="L65">
        <v>0</v>
      </c>
      <c r="M65">
        <v>60</v>
      </c>
      <c r="N65" t="s">
        <v>514</v>
      </c>
      <c r="O65" s="16">
        <v>44705.554455902777</v>
      </c>
      <c r="P65" t="s">
        <v>492</v>
      </c>
      <c r="Q65" t="s">
        <v>493</v>
      </c>
      <c r="R65" t="s">
        <v>353</v>
      </c>
      <c r="S65" t="s">
        <v>537</v>
      </c>
      <c r="T65">
        <v>0</v>
      </c>
      <c r="U65">
        <v>0</v>
      </c>
      <c r="V65">
        <f>_xlfn.XLOOKUP(Table2[[#This Row],[Primary Dept Description]],'Lookup tables'!$U$17:$U$117,'Lookup tables'!$T$17:$T$117,"")</f>
        <v>90</v>
      </c>
      <c r="W65" s="15" t="str">
        <f>IF(OR(Table2[[#This Row],[Revised Award]]=0,Table2[[#This Row],[Revised Award]]=""),IF(OR(Table2[[#This Row],[Planned Award]]=0,Table2[[#This Row],[Planned Award]]=""),"Not Updated",Table2[[#This Row],[Planned Award]]),Table2[[#This Row],[Revised Award]])</f>
        <v>Not Updated</v>
      </c>
      <c r="X65" t="str">
        <f>_xlfn.XLOOKUP(Table2[[#This Row],[Milestone]],'Lookup tables'!$Y$27:$Y$60,'Lookup tables'!$Z$27:$Z$60,"Not Updated")</f>
        <v>Award</v>
      </c>
      <c r="Y65" cm="1">
        <f t="array" ref="Y65">IF(_xlfn._xlws.FILTER(Table1[Spend - CAN],(Table1[Execution Year]=Table2[[#This Row],[Execution Year]])*(Table1[SBU]=Table2[[#This Row],[SBU]])*(Table1[Category]=Table2[[#This Row],[Category]])*(Table1[Most curent]=TRUE),"NF")&gt;0,1,0)</f>
        <v>0</v>
      </c>
      <c r="Z65" cm="1">
        <f t="array" ref="Z65">IF(_xlfn._xlws.FILTER(Table1[Spend - MEX],(Table1[Execution Year]=Table2[[#This Row],[Execution Year]])*(Table1[SBU]=Table2[[#This Row],[SBU]])*(Table1[Category]=Table2[[#This Row],[Category]])*(Table1[Most curent]=TRUE),"NF")&gt;0,1,0)</f>
        <v>0</v>
      </c>
      <c r="AA65" cm="1">
        <f t="array" ref="AA65">IF(_xlfn._xlws.FILTER(Table1[Spend - CAM],(Table1[Execution Year]=Table2[[#This Row],[Execution Year]])*(Table1[SBU]=Table2[[#This Row],[SBU]])*(Table1[Category]=Table2[[#This Row],[Category]])*(Table1[Most curent]=TRUE),"NF")&gt;0,1,0)</f>
        <v>0</v>
      </c>
      <c r="AB65" cm="1">
        <f t="array" ref="AB65">IF(_xlfn._xlws.FILTER(Table1[Spend - CHL],(Table1[Execution Year]=Table2[[#This Row],[Execution Year]])*(Table1[SBU]=Table2[[#This Row],[SBU]])*(Table1[Category]=Table2[[#This Row],[Category]])*(Table1[Most curent]=TRUE),"NF")&gt;0,1,0)</f>
        <v>0</v>
      </c>
      <c r="AC65" cm="1">
        <f t="array" ref="AC65">IF(_xlfn._xlws.FILTER(Table1[Spend - ARG],(Table1[Execution Year]=Table2[[#This Row],[Execution Year]])*(Table1[SBU]=Table2[[#This Row],[SBU]])*(Table1[Category]=Table2[[#This Row],[Category]])*(Table1[Most curent]=TRUE),"NF")&gt;0,1,0)</f>
        <v>0</v>
      </c>
      <c r="AD65" cm="1">
        <f t="array" ref="AD65">IF(_xlfn._xlws.FILTER(Table1[Spend - CHN],(Table1[Execution Year]=Table2[[#This Row],[Execution Year]])*(Table1[SBU]=Table2[[#This Row],[SBU]])*(Table1[Category]=Table2[[#This Row],[Category]])*(Table1[Most curent]=TRUE),"NF")&gt;0,1,0)</f>
        <v>0</v>
      </c>
      <c r="AE65" cm="1">
        <f t="array" ref="AE65">IF(_xlfn._xlws.FILTER(Table1[Spend - JAP],(Table1[Execution Year]=Table2[[#This Row],[Execution Year]])*(Table1[SBU]=Table2[[#This Row],[SBU]])*(Table1[Category]=Table2[[#This Row],[Category]])*(Table1[Most curent]=TRUE),"NF")&gt;0,1,0)</f>
        <v>0</v>
      </c>
      <c r="AF65" cm="1">
        <f t="array" ref="AF65">IF(_xlfn._xlws.FILTER(Table1[Spend - UKN],(Table1[Execution Year]=Table2[[#This Row],[Execution Year]])*(Table1[SBU]=Table2[[#This Row],[SBU]])*(Table1[Category]=Table2[[#This Row],[Category]])*(Table1[Most curent]=TRUE),"NF")&gt;0,1,0)</f>
        <v>0</v>
      </c>
      <c r="AG65" cm="1">
        <f t="array" ref="AG65">IF(_xlfn._xlws.FILTER(Table1[Spend - SAF],(Table1[Execution Year]=Table2[[#This Row],[Execution Year]])*(Table1[SBU]=Table2[[#This Row],[SBU]])*(Table1[Category]=Table2[[#This Row],[Category]])*(Table1[Most curent]=TRUE),"NF")&gt;0,1,0)</f>
        <v>0</v>
      </c>
      <c r="AH65" cm="1">
        <f t="array" ref="AH65">IF(_xlfn._xlws.FILTER(Table1[Spend - US],(Table1[Execution Year]=Table2[[#This Row],[Execution Year]])*(Table1[SBU]=Table2[[#This Row],[SBU]])*(Table1[Category]=Table2[[#This Row],[Category]])*(Table1[Most curent]=TRUE),"NF")&gt;0,1,0)</f>
        <v>0</v>
      </c>
      <c r="AI65" cm="1">
        <f t="array" ref="AI65">IF(_xlfn._xlws.FILTER(Table1[Spend - Sams],(Table1[Execution Year]=Table2[[#This Row],[Execution Year]])*(Table1[SBU]=Table2[[#This Row],[SBU]])*(Table1[Category]=Table2[[#This Row],[Category]])*(Table1[Most curent]=TRUE),"NF")&gt;0,1,0)</f>
        <v>0</v>
      </c>
      <c r="AJ65" cm="1">
        <f t="array" ref="AJ65">IF(_xlfn._xlws.FILTER(Table1[Spend - Sams Mexico],(Table1[Execution Year]=Table2[[#This Row],[Execution Year]])*(Table1[SBU]=Table2[[#This Row],[SBU]])*(Table1[Category]=Table2[[#This Row],[Category]])*(Table1[Most curent]=TRUE),"NF")&gt;0,1,0)</f>
        <v>0</v>
      </c>
      <c r="AK65" cm="1">
        <f t="array" ref="AK65">IF(_xlfn._xlws.FILTER(Table1[Spend - Sams China],(Table1[Execution Year]=Table2[[#This Row],[Execution Year]])*(Table1[SBU]=Table2[[#This Row],[SBU]])*(Table1[Category]=Table2[[#This Row],[Category]])*(Table1[Most curent]=TRUE),"NF")&gt;0,1,0)</f>
        <v>0</v>
      </c>
      <c r="AL65" cm="1">
        <f t="array" ref="AL65">IF(_xlfn._xlws.FILTER(Table1[Spend - IND],(Table1[Execution Year]=Table2[[#This Row],[Execution Year]])*(Table1[SBU]=Table2[[#This Row],[SBU]])*(Table1[Category]=Table2[[#This Row],[Category]])*(Table1[Most curent]=TRUE),"NF")&gt;0,1,0)</f>
        <v>0</v>
      </c>
    </row>
    <row r="66" spans="1:38">
      <c r="A66" t="str">
        <f>Table2[[#This Row],[Execution Year]]&amp;Table2[[#This Row],[SBU]]&amp;Table2[[#This Row],[Category]]</f>
        <v>FY23FoodButtercream</v>
      </c>
      <c r="B66" t="s">
        <v>538</v>
      </c>
      <c r="C66" t="s">
        <v>33</v>
      </c>
      <c r="D66" t="s">
        <v>322</v>
      </c>
      <c r="E66" s="185"/>
      <c r="F66" s="185"/>
      <c r="G66" s="185"/>
      <c r="H66" s="185"/>
      <c r="I66" t="s">
        <v>413</v>
      </c>
      <c r="J66" t="s">
        <v>459</v>
      </c>
      <c r="K66" t="s">
        <v>514</v>
      </c>
      <c r="O66" s="16"/>
      <c r="V66">
        <f>_xlfn.XLOOKUP(Table2[[#This Row],[Primary Dept Description]],'Lookup tables'!$U$17:$U$117,'Lookup tables'!$T$17:$T$117,"")</f>
        <v>0</v>
      </c>
      <c r="W66" s="15" t="str">
        <f>IF(OR(Table2[[#This Row],[Revised Award]]=0,Table2[[#This Row],[Revised Award]]=""),IF(OR(Table2[[#This Row],[Planned Award]]=0,Table2[[#This Row],[Planned Award]]=""),"Not Updated",Table2[[#This Row],[Planned Award]]),Table2[[#This Row],[Revised Award]])</f>
        <v>Not Updated</v>
      </c>
      <c r="X66" t="str">
        <f>_xlfn.XLOOKUP(Table2[[#This Row],[Milestone]],'Lookup tables'!$Y$27:$Y$60,'Lookup tables'!$Z$27:$Z$60,"Not Updated")</f>
        <v>Bid Prep</v>
      </c>
      <c r="Y66" cm="1">
        <f t="array" ref="Y66">IF(_xlfn._xlws.FILTER(Table1[Spend - CAN],(Table1[Execution Year]=Table2[[#This Row],[Execution Year]])*(Table1[SBU]=Table2[[#This Row],[SBU]])*(Table1[Category]=Table2[[#This Row],[Category]])*(Table1[Most curent]=TRUE),"NF")&gt;0,1,0)</f>
        <v>0</v>
      </c>
      <c r="Z66" cm="1">
        <f t="array" ref="Z66">IF(_xlfn._xlws.FILTER(Table1[Spend - MEX],(Table1[Execution Year]=Table2[[#This Row],[Execution Year]])*(Table1[SBU]=Table2[[#This Row],[SBU]])*(Table1[Category]=Table2[[#This Row],[Category]])*(Table1[Most curent]=TRUE),"NF")&gt;0,1,0)</f>
        <v>0</v>
      </c>
      <c r="AA66" cm="1">
        <f t="array" ref="AA66">IF(_xlfn._xlws.FILTER(Table1[Spend - CAM],(Table1[Execution Year]=Table2[[#This Row],[Execution Year]])*(Table1[SBU]=Table2[[#This Row],[SBU]])*(Table1[Category]=Table2[[#This Row],[Category]])*(Table1[Most curent]=TRUE),"NF")&gt;0,1,0)</f>
        <v>0</v>
      </c>
      <c r="AB66" cm="1">
        <f t="array" ref="AB66">IF(_xlfn._xlws.FILTER(Table1[Spend - CHL],(Table1[Execution Year]=Table2[[#This Row],[Execution Year]])*(Table1[SBU]=Table2[[#This Row],[SBU]])*(Table1[Category]=Table2[[#This Row],[Category]])*(Table1[Most curent]=TRUE),"NF")&gt;0,1,0)</f>
        <v>0</v>
      </c>
      <c r="AC66" cm="1">
        <f t="array" ref="AC66">IF(_xlfn._xlws.FILTER(Table1[Spend - ARG],(Table1[Execution Year]=Table2[[#This Row],[Execution Year]])*(Table1[SBU]=Table2[[#This Row],[SBU]])*(Table1[Category]=Table2[[#This Row],[Category]])*(Table1[Most curent]=TRUE),"NF")&gt;0,1,0)</f>
        <v>0</v>
      </c>
      <c r="AD66" cm="1">
        <f t="array" ref="AD66">IF(_xlfn._xlws.FILTER(Table1[Spend - CHN],(Table1[Execution Year]=Table2[[#This Row],[Execution Year]])*(Table1[SBU]=Table2[[#This Row],[SBU]])*(Table1[Category]=Table2[[#This Row],[Category]])*(Table1[Most curent]=TRUE),"NF")&gt;0,1,0)</f>
        <v>0</v>
      </c>
      <c r="AE66" cm="1">
        <f t="array" ref="AE66">IF(_xlfn._xlws.FILTER(Table1[Spend - JAP],(Table1[Execution Year]=Table2[[#This Row],[Execution Year]])*(Table1[SBU]=Table2[[#This Row],[SBU]])*(Table1[Category]=Table2[[#This Row],[Category]])*(Table1[Most curent]=TRUE),"NF")&gt;0,1,0)</f>
        <v>0</v>
      </c>
      <c r="AF66" cm="1">
        <f t="array" ref="AF66">IF(_xlfn._xlws.FILTER(Table1[Spend - UKN],(Table1[Execution Year]=Table2[[#This Row],[Execution Year]])*(Table1[SBU]=Table2[[#This Row],[SBU]])*(Table1[Category]=Table2[[#This Row],[Category]])*(Table1[Most curent]=TRUE),"NF")&gt;0,1,0)</f>
        <v>0</v>
      </c>
      <c r="AG66" cm="1">
        <f t="array" ref="AG66">IF(_xlfn._xlws.FILTER(Table1[Spend - SAF],(Table1[Execution Year]=Table2[[#This Row],[Execution Year]])*(Table1[SBU]=Table2[[#This Row],[SBU]])*(Table1[Category]=Table2[[#This Row],[Category]])*(Table1[Most curent]=TRUE),"NF")&gt;0,1,0)</f>
        <v>0</v>
      </c>
      <c r="AH66" cm="1">
        <f t="array" ref="AH66">IF(_xlfn._xlws.FILTER(Table1[Spend - US],(Table1[Execution Year]=Table2[[#This Row],[Execution Year]])*(Table1[SBU]=Table2[[#This Row],[SBU]])*(Table1[Category]=Table2[[#This Row],[Category]])*(Table1[Most curent]=TRUE),"NF")&gt;0,1,0)</f>
        <v>0</v>
      </c>
      <c r="AI66" cm="1">
        <f t="array" ref="AI66">IF(_xlfn._xlws.FILTER(Table1[Spend - Sams],(Table1[Execution Year]=Table2[[#This Row],[Execution Year]])*(Table1[SBU]=Table2[[#This Row],[SBU]])*(Table1[Category]=Table2[[#This Row],[Category]])*(Table1[Most curent]=TRUE),"NF")&gt;0,1,0)</f>
        <v>0</v>
      </c>
      <c r="AJ66" cm="1">
        <f t="array" ref="AJ66">IF(_xlfn._xlws.FILTER(Table1[Spend - Sams Mexico],(Table1[Execution Year]=Table2[[#This Row],[Execution Year]])*(Table1[SBU]=Table2[[#This Row],[SBU]])*(Table1[Category]=Table2[[#This Row],[Category]])*(Table1[Most curent]=TRUE),"NF")&gt;0,1,0)</f>
        <v>0</v>
      </c>
      <c r="AK66" cm="1">
        <f t="array" ref="AK66">IF(_xlfn._xlws.FILTER(Table1[Spend - Sams China],(Table1[Execution Year]=Table2[[#This Row],[Execution Year]])*(Table1[SBU]=Table2[[#This Row],[SBU]])*(Table1[Category]=Table2[[#This Row],[Category]])*(Table1[Most curent]=TRUE),"NF")&gt;0,1,0)</f>
        <v>0</v>
      </c>
      <c r="AL66" cm="1">
        <f t="array" ref="AL66">IF(_xlfn._xlws.FILTER(Table1[Spend - IND],(Table1[Execution Year]=Table2[[#This Row],[Execution Year]])*(Table1[SBU]=Table2[[#This Row],[SBU]])*(Table1[Category]=Table2[[#This Row],[Category]])*(Table1[Most curent]=TRUE),"NF")&gt;0,1,0)</f>
        <v>0</v>
      </c>
    </row>
    <row r="67" spans="1:38">
      <c r="A67" t="str">
        <f>Table2[[#This Row],[Execution Year]]&amp;Table2[[#This Row],[SBU]]&amp;Table2[[#This Row],[Category]]</f>
        <v>FY23FoodFrozen Dough (pucks)</v>
      </c>
      <c r="B67" t="s">
        <v>539</v>
      </c>
      <c r="C67" t="s">
        <v>33</v>
      </c>
      <c r="D67" t="s">
        <v>322</v>
      </c>
      <c r="E67" s="185"/>
      <c r="F67" s="185"/>
      <c r="G67" s="185"/>
      <c r="H67" s="185"/>
      <c r="I67" t="s">
        <v>135</v>
      </c>
      <c r="J67" t="s">
        <v>459</v>
      </c>
      <c r="K67" t="s">
        <v>514</v>
      </c>
      <c r="O67" s="16"/>
      <c r="V67">
        <f>_xlfn.XLOOKUP(Table2[[#This Row],[Primary Dept Description]],'Lookup tables'!$U$17:$U$117,'Lookup tables'!$T$17:$T$117,"")</f>
        <v>0</v>
      </c>
      <c r="W67" s="15" t="str">
        <f>IF(OR(Table2[[#This Row],[Revised Award]]=0,Table2[[#This Row],[Revised Award]]=""),IF(OR(Table2[[#This Row],[Planned Award]]=0,Table2[[#This Row],[Planned Award]]=""),"Not Updated",Table2[[#This Row],[Planned Award]]),Table2[[#This Row],[Revised Award]])</f>
        <v>Not Updated</v>
      </c>
      <c r="X67" t="str">
        <f>_xlfn.XLOOKUP(Table2[[#This Row],[Milestone]],'Lookup tables'!$Y$27:$Y$60,'Lookup tables'!$Z$27:$Z$60,"Not Updated")</f>
        <v>Pipeline</v>
      </c>
      <c r="Y67" cm="1">
        <f t="array" ref="Y67">IF(_xlfn._xlws.FILTER(Table1[Spend - CAN],(Table1[Execution Year]=Table2[[#This Row],[Execution Year]])*(Table1[SBU]=Table2[[#This Row],[SBU]])*(Table1[Category]=Table2[[#This Row],[Category]])*(Table1[Most curent]=TRUE),"NF")&gt;0,1,0)</f>
        <v>0</v>
      </c>
      <c r="Z67" cm="1">
        <f t="array" ref="Z67">IF(_xlfn._xlws.FILTER(Table1[Spend - MEX],(Table1[Execution Year]=Table2[[#This Row],[Execution Year]])*(Table1[SBU]=Table2[[#This Row],[SBU]])*(Table1[Category]=Table2[[#This Row],[Category]])*(Table1[Most curent]=TRUE),"NF")&gt;0,1,0)</f>
        <v>0</v>
      </c>
      <c r="AA67" cm="1">
        <f t="array" ref="AA67">IF(_xlfn._xlws.FILTER(Table1[Spend - CAM],(Table1[Execution Year]=Table2[[#This Row],[Execution Year]])*(Table1[SBU]=Table2[[#This Row],[SBU]])*(Table1[Category]=Table2[[#This Row],[Category]])*(Table1[Most curent]=TRUE),"NF")&gt;0,1,0)</f>
        <v>0</v>
      </c>
      <c r="AB67" cm="1">
        <f t="array" ref="AB67">IF(_xlfn._xlws.FILTER(Table1[Spend - CHL],(Table1[Execution Year]=Table2[[#This Row],[Execution Year]])*(Table1[SBU]=Table2[[#This Row],[SBU]])*(Table1[Category]=Table2[[#This Row],[Category]])*(Table1[Most curent]=TRUE),"NF")&gt;0,1,0)</f>
        <v>0</v>
      </c>
      <c r="AC67" cm="1">
        <f t="array" ref="AC67">IF(_xlfn._xlws.FILTER(Table1[Spend - ARG],(Table1[Execution Year]=Table2[[#This Row],[Execution Year]])*(Table1[SBU]=Table2[[#This Row],[SBU]])*(Table1[Category]=Table2[[#This Row],[Category]])*(Table1[Most curent]=TRUE),"NF")&gt;0,1,0)</f>
        <v>0</v>
      </c>
      <c r="AD67" cm="1">
        <f t="array" ref="AD67">IF(_xlfn._xlws.FILTER(Table1[Spend - CHN],(Table1[Execution Year]=Table2[[#This Row],[Execution Year]])*(Table1[SBU]=Table2[[#This Row],[SBU]])*(Table1[Category]=Table2[[#This Row],[Category]])*(Table1[Most curent]=TRUE),"NF")&gt;0,1,0)</f>
        <v>0</v>
      </c>
      <c r="AE67" cm="1">
        <f t="array" ref="AE67">IF(_xlfn._xlws.FILTER(Table1[Spend - JAP],(Table1[Execution Year]=Table2[[#This Row],[Execution Year]])*(Table1[SBU]=Table2[[#This Row],[SBU]])*(Table1[Category]=Table2[[#This Row],[Category]])*(Table1[Most curent]=TRUE),"NF")&gt;0,1,0)</f>
        <v>0</v>
      </c>
      <c r="AF67" cm="1">
        <f t="array" ref="AF67">IF(_xlfn._xlws.FILTER(Table1[Spend - UKN],(Table1[Execution Year]=Table2[[#This Row],[Execution Year]])*(Table1[SBU]=Table2[[#This Row],[SBU]])*(Table1[Category]=Table2[[#This Row],[Category]])*(Table1[Most curent]=TRUE),"NF")&gt;0,1,0)</f>
        <v>0</v>
      </c>
      <c r="AG67" cm="1">
        <f t="array" ref="AG67">IF(_xlfn._xlws.FILTER(Table1[Spend - SAF],(Table1[Execution Year]=Table2[[#This Row],[Execution Year]])*(Table1[SBU]=Table2[[#This Row],[SBU]])*(Table1[Category]=Table2[[#This Row],[Category]])*(Table1[Most curent]=TRUE),"NF")&gt;0,1,0)</f>
        <v>0</v>
      </c>
      <c r="AH67" cm="1">
        <f t="array" ref="AH67">IF(_xlfn._xlws.FILTER(Table1[Spend - US],(Table1[Execution Year]=Table2[[#This Row],[Execution Year]])*(Table1[SBU]=Table2[[#This Row],[SBU]])*(Table1[Category]=Table2[[#This Row],[Category]])*(Table1[Most curent]=TRUE),"NF")&gt;0,1,0)</f>
        <v>0</v>
      </c>
      <c r="AI67" cm="1">
        <f t="array" ref="AI67">IF(_xlfn._xlws.FILTER(Table1[Spend - Sams],(Table1[Execution Year]=Table2[[#This Row],[Execution Year]])*(Table1[SBU]=Table2[[#This Row],[SBU]])*(Table1[Category]=Table2[[#This Row],[Category]])*(Table1[Most curent]=TRUE),"NF")&gt;0,1,0)</f>
        <v>0</v>
      </c>
      <c r="AJ67" cm="1">
        <f t="array" ref="AJ67">IF(_xlfn._xlws.FILTER(Table1[Spend - Sams Mexico],(Table1[Execution Year]=Table2[[#This Row],[Execution Year]])*(Table1[SBU]=Table2[[#This Row],[SBU]])*(Table1[Category]=Table2[[#This Row],[Category]])*(Table1[Most curent]=TRUE),"NF")&gt;0,1,0)</f>
        <v>0</v>
      </c>
      <c r="AK67" cm="1">
        <f t="array" ref="AK67">IF(_xlfn._xlws.FILTER(Table1[Spend - Sams China],(Table1[Execution Year]=Table2[[#This Row],[Execution Year]])*(Table1[SBU]=Table2[[#This Row],[SBU]])*(Table1[Category]=Table2[[#This Row],[Category]])*(Table1[Most curent]=TRUE),"NF")&gt;0,1,0)</f>
        <v>0</v>
      </c>
      <c r="AL67" cm="1">
        <f t="array" ref="AL67">IF(_xlfn._xlws.FILTER(Table1[Spend - IND],(Table1[Execution Year]=Table2[[#This Row],[Execution Year]])*(Table1[SBU]=Table2[[#This Row],[SBU]])*(Table1[Category]=Table2[[#This Row],[Category]])*(Table1[Most curent]=TRUE),"NF")&gt;0,1,0)</f>
        <v>0</v>
      </c>
    </row>
    <row r="68" spans="1:38">
      <c r="A68" t="str">
        <f>Table2[[#This Row],[Execution Year]]&amp;Table2[[#This Row],[SBU]]&amp;Table2[[#This Row],[Category]]</f>
        <v>FY23FoodPies (4” 8” &amp; 10” &amp; holiday)</v>
      </c>
      <c r="B68" t="s">
        <v>540</v>
      </c>
      <c r="C68" t="s">
        <v>33</v>
      </c>
      <c r="D68" t="s">
        <v>322</v>
      </c>
      <c r="E68" s="185"/>
      <c r="F68" s="185"/>
      <c r="G68" s="185"/>
      <c r="H68" s="185"/>
      <c r="I68" t="s">
        <v>135</v>
      </c>
      <c r="J68" t="s">
        <v>459</v>
      </c>
      <c r="K68" t="s">
        <v>514</v>
      </c>
      <c r="O68" s="16"/>
      <c r="V68">
        <f>_xlfn.XLOOKUP(Table2[[#This Row],[Primary Dept Description]],'Lookup tables'!$U$17:$U$117,'Lookup tables'!$T$17:$T$117,"")</f>
        <v>0</v>
      </c>
      <c r="W68" s="15" t="str">
        <f>IF(OR(Table2[[#This Row],[Revised Award]]=0,Table2[[#This Row],[Revised Award]]=""),IF(OR(Table2[[#This Row],[Planned Award]]=0,Table2[[#This Row],[Planned Award]]=""),"Not Updated",Table2[[#This Row],[Planned Award]]),Table2[[#This Row],[Revised Award]])</f>
        <v>Not Updated</v>
      </c>
      <c r="X68" t="str">
        <f>_xlfn.XLOOKUP(Table2[[#This Row],[Milestone]],'Lookup tables'!$Y$27:$Y$60,'Lookup tables'!$Z$27:$Z$60,"Not Updated")</f>
        <v>Pipeline</v>
      </c>
      <c r="Y68" cm="1">
        <f t="array" ref="Y68">IF(_xlfn._xlws.FILTER(Table1[Spend - CAN],(Table1[Execution Year]=Table2[[#This Row],[Execution Year]])*(Table1[SBU]=Table2[[#This Row],[SBU]])*(Table1[Category]=Table2[[#This Row],[Category]])*(Table1[Most curent]=TRUE),"NF")&gt;0,1,0)</f>
        <v>0</v>
      </c>
      <c r="Z68" cm="1">
        <f t="array" ref="Z68">IF(_xlfn._xlws.FILTER(Table1[Spend - MEX],(Table1[Execution Year]=Table2[[#This Row],[Execution Year]])*(Table1[SBU]=Table2[[#This Row],[SBU]])*(Table1[Category]=Table2[[#This Row],[Category]])*(Table1[Most curent]=TRUE),"NF")&gt;0,1,0)</f>
        <v>0</v>
      </c>
      <c r="AA68" cm="1">
        <f t="array" ref="AA68">IF(_xlfn._xlws.FILTER(Table1[Spend - CAM],(Table1[Execution Year]=Table2[[#This Row],[Execution Year]])*(Table1[SBU]=Table2[[#This Row],[SBU]])*(Table1[Category]=Table2[[#This Row],[Category]])*(Table1[Most curent]=TRUE),"NF")&gt;0,1,0)</f>
        <v>0</v>
      </c>
      <c r="AB68" cm="1">
        <f t="array" ref="AB68">IF(_xlfn._xlws.FILTER(Table1[Spend - CHL],(Table1[Execution Year]=Table2[[#This Row],[Execution Year]])*(Table1[SBU]=Table2[[#This Row],[SBU]])*(Table1[Category]=Table2[[#This Row],[Category]])*(Table1[Most curent]=TRUE),"NF")&gt;0,1,0)</f>
        <v>0</v>
      </c>
      <c r="AC68" cm="1">
        <f t="array" ref="AC68">IF(_xlfn._xlws.FILTER(Table1[Spend - ARG],(Table1[Execution Year]=Table2[[#This Row],[Execution Year]])*(Table1[SBU]=Table2[[#This Row],[SBU]])*(Table1[Category]=Table2[[#This Row],[Category]])*(Table1[Most curent]=TRUE),"NF")&gt;0,1,0)</f>
        <v>0</v>
      </c>
      <c r="AD68" cm="1">
        <f t="array" ref="AD68">IF(_xlfn._xlws.FILTER(Table1[Spend - CHN],(Table1[Execution Year]=Table2[[#This Row],[Execution Year]])*(Table1[SBU]=Table2[[#This Row],[SBU]])*(Table1[Category]=Table2[[#This Row],[Category]])*(Table1[Most curent]=TRUE),"NF")&gt;0,1,0)</f>
        <v>0</v>
      </c>
      <c r="AE68" cm="1">
        <f t="array" ref="AE68">IF(_xlfn._xlws.FILTER(Table1[Spend - JAP],(Table1[Execution Year]=Table2[[#This Row],[Execution Year]])*(Table1[SBU]=Table2[[#This Row],[SBU]])*(Table1[Category]=Table2[[#This Row],[Category]])*(Table1[Most curent]=TRUE),"NF")&gt;0,1,0)</f>
        <v>0</v>
      </c>
      <c r="AF68" cm="1">
        <f t="array" ref="AF68">IF(_xlfn._xlws.FILTER(Table1[Spend - UKN],(Table1[Execution Year]=Table2[[#This Row],[Execution Year]])*(Table1[SBU]=Table2[[#This Row],[SBU]])*(Table1[Category]=Table2[[#This Row],[Category]])*(Table1[Most curent]=TRUE),"NF")&gt;0,1,0)</f>
        <v>0</v>
      </c>
      <c r="AG68" cm="1">
        <f t="array" ref="AG68">IF(_xlfn._xlws.FILTER(Table1[Spend - SAF],(Table1[Execution Year]=Table2[[#This Row],[Execution Year]])*(Table1[SBU]=Table2[[#This Row],[SBU]])*(Table1[Category]=Table2[[#This Row],[Category]])*(Table1[Most curent]=TRUE),"NF")&gt;0,1,0)</f>
        <v>0</v>
      </c>
      <c r="AH68" cm="1">
        <f t="array" ref="AH68">IF(_xlfn._xlws.FILTER(Table1[Spend - US],(Table1[Execution Year]=Table2[[#This Row],[Execution Year]])*(Table1[SBU]=Table2[[#This Row],[SBU]])*(Table1[Category]=Table2[[#This Row],[Category]])*(Table1[Most curent]=TRUE),"NF")&gt;0,1,0)</f>
        <v>0</v>
      </c>
      <c r="AI68" cm="1">
        <f t="array" ref="AI68">IF(_xlfn._xlws.FILTER(Table1[Spend - Sams],(Table1[Execution Year]=Table2[[#This Row],[Execution Year]])*(Table1[SBU]=Table2[[#This Row],[SBU]])*(Table1[Category]=Table2[[#This Row],[Category]])*(Table1[Most curent]=TRUE),"NF")&gt;0,1,0)</f>
        <v>0</v>
      </c>
      <c r="AJ68" cm="1">
        <f t="array" ref="AJ68">IF(_xlfn._xlws.FILTER(Table1[Spend - Sams Mexico],(Table1[Execution Year]=Table2[[#This Row],[Execution Year]])*(Table1[SBU]=Table2[[#This Row],[SBU]])*(Table1[Category]=Table2[[#This Row],[Category]])*(Table1[Most curent]=TRUE),"NF")&gt;0,1,0)</f>
        <v>0</v>
      </c>
      <c r="AK68" cm="1">
        <f t="array" ref="AK68">IF(_xlfn._xlws.FILTER(Table1[Spend - Sams China],(Table1[Execution Year]=Table2[[#This Row],[Execution Year]])*(Table1[SBU]=Table2[[#This Row],[SBU]])*(Table1[Category]=Table2[[#This Row],[Category]])*(Table1[Most curent]=TRUE),"NF")&gt;0,1,0)</f>
        <v>0</v>
      </c>
      <c r="AL68" cm="1">
        <f t="array" ref="AL68">IF(_xlfn._xlws.FILTER(Table1[Spend - IND],(Table1[Execution Year]=Table2[[#This Row],[Execution Year]])*(Table1[SBU]=Table2[[#This Row],[SBU]])*(Table1[Category]=Table2[[#This Row],[Category]])*(Table1[Most curent]=TRUE),"NF")&gt;0,1,0)</f>
        <v>0</v>
      </c>
    </row>
    <row r="69" spans="1:38">
      <c r="A69" t="str">
        <f>Table2[[#This Row],[Execution Year]]&amp;Table2[[#This Row],[SBU]]&amp;Table2[[#This Row],[Category]]</f>
        <v>FY23FoodPre-decorated Cakes</v>
      </c>
      <c r="B69" t="s">
        <v>541</v>
      </c>
      <c r="C69" t="s">
        <v>33</v>
      </c>
      <c r="D69" t="s">
        <v>322</v>
      </c>
      <c r="E69" s="185"/>
      <c r="F69" s="185"/>
      <c r="G69" s="185"/>
      <c r="H69" s="185"/>
      <c r="I69" t="s">
        <v>135</v>
      </c>
      <c r="J69" t="s">
        <v>459</v>
      </c>
      <c r="K69" t="s">
        <v>514</v>
      </c>
      <c r="O69" s="16"/>
      <c r="V69">
        <f>_xlfn.XLOOKUP(Table2[[#This Row],[Primary Dept Description]],'Lookup tables'!$U$17:$U$117,'Lookup tables'!$T$17:$T$117,"")</f>
        <v>0</v>
      </c>
      <c r="W69" s="15" t="str">
        <f>IF(OR(Table2[[#This Row],[Revised Award]]=0,Table2[[#This Row],[Revised Award]]=""),IF(OR(Table2[[#This Row],[Planned Award]]=0,Table2[[#This Row],[Planned Award]]=""),"Not Updated",Table2[[#This Row],[Planned Award]]),Table2[[#This Row],[Revised Award]])</f>
        <v>Not Updated</v>
      </c>
      <c r="X69" t="str">
        <f>_xlfn.XLOOKUP(Table2[[#This Row],[Milestone]],'Lookup tables'!$Y$27:$Y$60,'Lookup tables'!$Z$27:$Z$60,"Not Updated")</f>
        <v>Pipeline</v>
      </c>
      <c r="Y69" cm="1">
        <f t="array" ref="Y69">IF(_xlfn._xlws.FILTER(Table1[Spend - CAN],(Table1[Execution Year]=Table2[[#This Row],[Execution Year]])*(Table1[SBU]=Table2[[#This Row],[SBU]])*(Table1[Category]=Table2[[#This Row],[Category]])*(Table1[Most curent]=TRUE),"NF")&gt;0,1,0)</f>
        <v>0</v>
      </c>
      <c r="Z69" cm="1">
        <f t="array" ref="Z69">IF(_xlfn._xlws.FILTER(Table1[Spend - MEX],(Table1[Execution Year]=Table2[[#This Row],[Execution Year]])*(Table1[SBU]=Table2[[#This Row],[SBU]])*(Table1[Category]=Table2[[#This Row],[Category]])*(Table1[Most curent]=TRUE),"NF")&gt;0,1,0)</f>
        <v>0</v>
      </c>
      <c r="AA69" cm="1">
        <f t="array" ref="AA69">IF(_xlfn._xlws.FILTER(Table1[Spend - CAM],(Table1[Execution Year]=Table2[[#This Row],[Execution Year]])*(Table1[SBU]=Table2[[#This Row],[SBU]])*(Table1[Category]=Table2[[#This Row],[Category]])*(Table1[Most curent]=TRUE),"NF")&gt;0,1,0)</f>
        <v>0</v>
      </c>
      <c r="AB69" cm="1">
        <f t="array" ref="AB69">IF(_xlfn._xlws.FILTER(Table1[Spend - CHL],(Table1[Execution Year]=Table2[[#This Row],[Execution Year]])*(Table1[SBU]=Table2[[#This Row],[SBU]])*(Table1[Category]=Table2[[#This Row],[Category]])*(Table1[Most curent]=TRUE),"NF")&gt;0,1,0)</f>
        <v>0</v>
      </c>
      <c r="AC69" cm="1">
        <f t="array" ref="AC69">IF(_xlfn._xlws.FILTER(Table1[Spend - ARG],(Table1[Execution Year]=Table2[[#This Row],[Execution Year]])*(Table1[SBU]=Table2[[#This Row],[SBU]])*(Table1[Category]=Table2[[#This Row],[Category]])*(Table1[Most curent]=TRUE),"NF")&gt;0,1,0)</f>
        <v>0</v>
      </c>
      <c r="AD69" cm="1">
        <f t="array" ref="AD69">IF(_xlfn._xlws.FILTER(Table1[Spend - CHN],(Table1[Execution Year]=Table2[[#This Row],[Execution Year]])*(Table1[SBU]=Table2[[#This Row],[SBU]])*(Table1[Category]=Table2[[#This Row],[Category]])*(Table1[Most curent]=TRUE),"NF")&gt;0,1,0)</f>
        <v>0</v>
      </c>
      <c r="AE69" cm="1">
        <f t="array" ref="AE69">IF(_xlfn._xlws.FILTER(Table1[Spend - JAP],(Table1[Execution Year]=Table2[[#This Row],[Execution Year]])*(Table1[SBU]=Table2[[#This Row],[SBU]])*(Table1[Category]=Table2[[#This Row],[Category]])*(Table1[Most curent]=TRUE),"NF")&gt;0,1,0)</f>
        <v>0</v>
      </c>
      <c r="AF69" cm="1">
        <f t="array" ref="AF69">IF(_xlfn._xlws.FILTER(Table1[Spend - UKN],(Table1[Execution Year]=Table2[[#This Row],[Execution Year]])*(Table1[SBU]=Table2[[#This Row],[SBU]])*(Table1[Category]=Table2[[#This Row],[Category]])*(Table1[Most curent]=TRUE),"NF")&gt;0,1,0)</f>
        <v>0</v>
      </c>
      <c r="AG69" cm="1">
        <f t="array" ref="AG69">IF(_xlfn._xlws.FILTER(Table1[Spend - SAF],(Table1[Execution Year]=Table2[[#This Row],[Execution Year]])*(Table1[SBU]=Table2[[#This Row],[SBU]])*(Table1[Category]=Table2[[#This Row],[Category]])*(Table1[Most curent]=TRUE),"NF")&gt;0,1,0)</f>
        <v>0</v>
      </c>
      <c r="AH69" cm="1">
        <f t="array" ref="AH69">IF(_xlfn._xlws.FILTER(Table1[Spend - US],(Table1[Execution Year]=Table2[[#This Row],[Execution Year]])*(Table1[SBU]=Table2[[#This Row],[SBU]])*(Table1[Category]=Table2[[#This Row],[Category]])*(Table1[Most curent]=TRUE),"NF")&gt;0,1,0)</f>
        <v>0</v>
      </c>
      <c r="AI69" cm="1">
        <f t="array" ref="AI69">IF(_xlfn._xlws.FILTER(Table1[Spend - Sams],(Table1[Execution Year]=Table2[[#This Row],[Execution Year]])*(Table1[SBU]=Table2[[#This Row],[SBU]])*(Table1[Category]=Table2[[#This Row],[Category]])*(Table1[Most curent]=TRUE),"NF")&gt;0,1,0)</f>
        <v>0</v>
      </c>
      <c r="AJ69" cm="1">
        <f t="array" ref="AJ69">IF(_xlfn._xlws.FILTER(Table1[Spend - Sams Mexico],(Table1[Execution Year]=Table2[[#This Row],[Execution Year]])*(Table1[SBU]=Table2[[#This Row],[SBU]])*(Table1[Category]=Table2[[#This Row],[Category]])*(Table1[Most curent]=TRUE),"NF")&gt;0,1,0)</f>
        <v>0</v>
      </c>
      <c r="AK69" cm="1">
        <f t="array" ref="AK69">IF(_xlfn._xlws.FILTER(Table1[Spend - Sams China],(Table1[Execution Year]=Table2[[#This Row],[Execution Year]])*(Table1[SBU]=Table2[[#This Row],[SBU]])*(Table1[Category]=Table2[[#This Row],[Category]])*(Table1[Most curent]=TRUE),"NF")&gt;0,1,0)</f>
        <v>0</v>
      </c>
      <c r="AL69" cm="1">
        <f t="array" ref="AL69">IF(_xlfn._xlws.FILTER(Table1[Spend - IND],(Table1[Execution Year]=Table2[[#This Row],[Execution Year]])*(Table1[SBU]=Table2[[#This Row],[SBU]])*(Table1[Category]=Table2[[#This Row],[Category]])*(Table1[Most curent]=TRUE),"NF")&gt;0,1,0)</f>
        <v>0</v>
      </c>
    </row>
    <row r="70" spans="1:38">
      <c r="A70" t="str">
        <f>Table2[[#This Row],[Execution Year]]&amp;Table2[[#This Row],[SBU]]&amp;Table2[[#This Row],[Category]]</f>
        <v>FY23SeafoodSalmon</v>
      </c>
      <c r="B70" t="s">
        <v>542</v>
      </c>
      <c r="C70" t="s">
        <v>543</v>
      </c>
      <c r="D70" t="s">
        <v>322</v>
      </c>
      <c r="E70" s="185"/>
      <c r="F70" s="185"/>
      <c r="G70" s="185"/>
      <c r="H70" s="185"/>
      <c r="I70" t="s">
        <v>135</v>
      </c>
      <c r="J70" t="s">
        <v>459</v>
      </c>
      <c r="K70" t="s">
        <v>533</v>
      </c>
      <c r="O70" s="16"/>
      <c r="V70">
        <f>_xlfn.XLOOKUP(Table2[[#This Row],[Primary Dept Description]],'Lookup tables'!$U$17:$U$117,'Lookup tables'!$T$17:$T$117,"")</f>
        <v>0</v>
      </c>
      <c r="W70" s="15" t="str">
        <f>IF(OR(Table2[[#This Row],[Revised Award]]=0,Table2[[#This Row],[Revised Award]]=""),IF(OR(Table2[[#This Row],[Planned Award]]=0,Table2[[#This Row],[Planned Award]]=""),"Not Updated",Table2[[#This Row],[Planned Award]]),Table2[[#This Row],[Revised Award]])</f>
        <v>Not Updated</v>
      </c>
      <c r="X70" t="str">
        <f>_xlfn.XLOOKUP(Table2[[#This Row],[Milestone]],'Lookup tables'!$Y$27:$Y$60,'Lookup tables'!$Z$27:$Z$60,"Not Updated")</f>
        <v>Pipeline</v>
      </c>
      <c r="Y70" cm="1">
        <f t="array" ref="Y70">IF(_xlfn._xlws.FILTER(Table1[Spend - CAN],(Table1[Execution Year]=Table2[[#This Row],[Execution Year]])*(Table1[SBU]=Table2[[#This Row],[SBU]])*(Table1[Category]=Table2[[#This Row],[Category]])*(Table1[Most curent]=TRUE),"NF")&gt;0,1,0)</f>
        <v>0</v>
      </c>
      <c r="Z70" cm="1">
        <f t="array" ref="Z70">IF(_xlfn._xlws.FILTER(Table1[Spend - MEX],(Table1[Execution Year]=Table2[[#This Row],[Execution Year]])*(Table1[SBU]=Table2[[#This Row],[SBU]])*(Table1[Category]=Table2[[#This Row],[Category]])*(Table1[Most curent]=TRUE),"NF")&gt;0,1,0)</f>
        <v>0</v>
      </c>
      <c r="AA70" cm="1">
        <f t="array" ref="AA70">IF(_xlfn._xlws.FILTER(Table1[Spend - CAM],(Table1[Execution Year]=Table2[[#This Row],[Execution Year]])*(Table1[SBU]=Table2[[#This Row],[SBU]])*(Table1[Category]=Table2[[#This Row],[Category]])*(Table1[Most curent]=TRUE),"NF")&gt;0,1,0)</f>
        <v>0</v>
      </c>
      <c r="AB70" cm="1">
        <f t="array" ref="AB70">IF(_xlfn._xlws.FILTER(Table1[Spend - CHL],(Table1[Execution Year]=Table2[[#This Row],[Execution Year]])*(Table1[SBU]=Table2[[#This Row],[SBU]])*(Table1[Category]=Table2[[#This Row],[Category]])*(Table1[Most curent]=TRUE),"NF")&gt;0,1,0)</f>
        <v>0</v>
      </c>
      <c r="AC70" cm="1">
        <f t="array" ref="AC70">IF(_xlfn._xlws.FILTER(Table1[Spend - ARG],(Table1[Execution Year]=Table2[[#This Row],[Execution Year]])*(Table1[SBU]=Table2[[#This Row],[SBU]])*(Table1[Category]=Table2[[#This Row],[Category]])*(Table1[Most curent]=TRUE),"NF")&gt;0,1,0)</f>
        <v>0</v>
      </c>
      <c r="AD70" cm="1">
        <f t="array" ref="AD70">IF(_xlfn._xlws.FILTER(Table1[Spend - CHN],(Table1[Execution Year]=Table2[[#This Row],[Execution Year]])*(Table1[SBU]=Table2[[#This Row],[SBU]])*(Table1[Category]=Table2[[#This Row],[Category]])*(Table1[Most curent]=TRUE),"NF")&gt;0,1,0)</f>
        <v>0</v>
      </c>
      <c r="AE70" cm="1">
        <f t="array" ref="AE70">IF(_xlfn._xlws.FILTER(Table1[Spend - JAP],(Table1[Execution Year]=Table2[[#This Row],[Execution Year]])*(Table1[SBU]=Table2[[#This Row],[SBU]])*(Table1[Category]=Table2[[#This Row],[Category]])*(Table1[Most curent]=TRUE),"NF")&gt;0,1,0)</f>
        <v>0</v>
      </c>
      <c r="AF70" cm="1">
        <f t="array" ref="AF70">IF(_xlfn._xlws.FILTER(Table1[Spend - UKN],(Table1[Execution Year]=Table2[[#This Row],[Execution Year]])*(Table1[SBU]=Table2[[#This Row],[SBU]])*(Table1[Category]=Table2[[#This Row],[Category]])*(Table1[Most curent]=TRUE),"NF")&gt;0,1,0)</f>
        <v>0</v>
      </c>
      <c r="AG70" cm="1">
        <f t="array" ref="AG70">IF(_xlfn._xlws.FILTER(Table1[Spend - SAF],(Table1[Execution Year]=Table2[[#This Row],[Execution Year]])*(Table1[SBU]=Table2[[#This Row],[SBU]])*(Table1[Category]=Table2[[#This Row],[Category]])*(Table1[Most curent]=TRUE),"NF")&gt;0,1,0)</f>
        <v>0</v>
      </c>
      <c r="AH70" cm="1">
        <f t="array" ref="AH70">IF(_xlfn._xlws.FILTER(Table1[Spend - US],(Table1[Execution Year]=Table2[[#This Row],[Execution Year]])*(Table1[SBU]=Table2[[#This Row],[SBU]])*(Table1[Category]=Table2[[#This Row],[Category]])*(Table1[Most curent]=TRUE),"NF")&gt;0,1,0)</f>
        <v>0</v>
      </c>
      <c r="AI70" cm="1">
        <f t="array" ref="AI70">IF(_xlfn._xlws.FILTER(Table1[Spend - Sams],(Table1[Execution Year]=Table2[[#This Row],[Execution Year]])*(Table1[SBU]=Table2[[#This Row],[SBU]])*(Table1[Category]=Table2[[#This Row],[Category]])*(Table1[Most curent]=TRUE),"NF")&gt;0,1,0)</f>
        <v>0</v>
      </c>
      <c r="AJ70" cm="1">
        <f t="array" ref="AJ70">IF(_xlfn._xlws.FILTER(Table1[Spend - Sams Mexico],(Table1[Execution Year]=Table2[[#This Row],[Execution Year]])*(Table1[SBU]=Table2[[#This Row],[SBU]])*(Table1[Category]=Table2[[#This Row],[Category]])*(Table1[Most curent]=TRUE),"NF")&gt;0,1,0)</f>
        <v>0</v>
      </c>
      <c r="AK70" cm="1">
        <f t="array" ref="AK70">IF(_xlfn._xlws.FILTER(Table1[Spend - Sams China],(Table1[Execution Year]=Table2[[#This Row],[Execution Year]])*(Table1[SBU]=Table2[[#This Row],[SBU]])*(Table1[Category]=Table2[[#This Row],[Category]])*(Table1[Most curent]=TRUE),"NF")&gt;0,1,0)</f>
        <v>0</v>
      </c>
      <c r="AL70" cm="1">
        <f t="array" ref="AL70">IF(_xlfn._xlws.FILTER(Table1[Spend - IND],(Table1[Execution Year]=Table2[[#This Row],[Execution Year]])*(Table1[SBU]=Table2[[#This Row],[SBU]])*(Table1[Category]=Table2[[#This Row],[Category]])*(Table1[Most curent]=TRUE),"NF")&gt;0,1,0)</f>
        <v>0</v>
      </c>
    </row>
    <row r="71" spans="1:38">
      <c r="A71" t="str">
        <f>Table2[[#This Row],[Execution Year]]&amp;Table2[[#This Row],[SBU]]&amp;Table2[[#This Row],[Category]]</f>
        <v xml:space="preserve">FY23SeafoodShrimp </v>
      </c>
      <c r="B71" t="s">
        <v>544</v>
      </c>
      <c r="C71" t="s">
        <v>543</v>
      </c>
      <c r="D71" t="s">
        <v>322</v>
      </c>
      <c r="E71" s="185"/>
      <c r="F71" s="185"/>
      <c r="G71" s="185"/>
      <c r="H71" s="185"/>
      <c r="I71" t="s">
        <v>135</v>
      </c>
      <c r="J71" t="s">
        <v>459</v>
      </c>
      <c r="K71" t="s">
        <v>533</v>
      </c>
      <c r="O71" s="16"/>
      <c r="V71">
        <f>_xlfn.XLOOKUP(Table2[[#This Row],[Primary Dept Description]],'Lookup tables'!$U$17:$U$117,'Lookup tables'!$T$17:$T$117,"")</f>
        <v>0</v>
      </c>
      <c r="W71" s="15" t="str">
        <f>IF(OR(Table2[[#This Row],[Revised Award]]=0,Table2[[#This Row],[Revised Award]]=""),IF(OR(Table2[[#This Row],[Planned Award]]=0,Table2[[#This Row],[Planned Award]]=""),"Not Updated",Table2[[#This Row],[Planned Award]]),Table2[[#This Row],[Revised Award]])</f>
        <v>Not Updated</v>
      </c>
      <c r="X71" t="str">
        <f>_xlfn.XLOOKUP(Table2[[#This Row],[Milestone]],'Lookup tables'!$Y$27:$Y$60,'Lookup tables'!$Z$27:$Z$60,"Not Updated")</f>
        <v>Pipeline</v>
      </c>
      <c r="Y71" cm="1">
        <f t="array" ref="Y71">IF(_xlfn._xlws.FILTER(Table1[Spend - CAN],(Table1[Execution Year]=Table2[[#This Row],[Execution Year]])*(Table1[SBU]=Table2[[#This Row],[SBU]])*(Table1[Category]=Table2[[#This Row],[Category]])*(Table1[Most curent]=TRUE),"NF")&gt;0,1,0)</f>
        <v>0</v>
      </c>
      <c r="Z71" cm="1">
        <f t="array" ref="Z71">IF(_xlfn._xlws.FILTER(Table1[Spend - MEX],(Table1[Execution Year]=Table2[[#This Row],[Execution Year]])*(Table1[SBU]=Table2[[#This Row],[SBU]])*(Table1[Category]=Table2[[#This Row],[Category]])*(Table1[Most curent]=TRUE),"NF")&gt;0,1,0)</f>
        <v>0</v>
      </c>
      <c r="AA71" cm="1">
        <f t="array" ref="AA71">IF(_xlfn._xlws.FILTER(Table1[Spend - CAM],(Table1[Execution Year]=Table2[[#This Row],[Execution Year]])*(Table1[SBU]=Table2[[#This Row],[SBU]])*(Table1[Category]=Table2[[#This Row],[Category]])*(Table1[Most curent]=TRUE),"NF")&gt;0,1,0)</f>
        <v>0</v>
      </c>
      <c r="AB71" cm="1">
        <f t="array" ref="AB71">IF(_xlfn._xlws.FILTER(Table1[Spend - CHL],(Table1[Execution Year]=Table2[[#This Row],[Execution Year]])*(Table1[SBU]=Table2[[#This Row],[SBU]])*(Table1[Category]=Table2[[#This Row],[Category]])*(Table1[Most curent]=TRUE),"NF")&gt;0,1,0)</f>
        <v>0</v>
      </c>
      <c r="AC71" cm="1">
        <f t="array" ref="AC71">IF(_xlfn._xlws.FILTER(Table1[Spend - ARG],(Table1[Execution Year]=Table2[[#This Row],[Execution Year]])*(Table1[SBU]=Table2[[#This Row],[SBU]])*(Table1[Category]=Table2[[#This Row],[Category]])*(Table1[Most curent]=TRUE),"NF")&gt;0,1,0)</f>
        <v>0</v>
      </c>
      <c r="AD71" cm="1">
        <f t="array" ref="AD71">IF(_xlfn._xlws.FILTER(Table1[Spend - CHN],(Table1[Execution Year]=Table2[[#This Row],[Execution Year]])*(Table1[SBU]=Table2[[#This Row],[SBU]])*(Table1[Category]=Table2[[#This Row],[Category]])*(Table1[Most curent]=TRUE),"NF")&gt;0,1,0)</f>
        <v>0</v>
      </c>
      <c r="AE71" cm="1">
        <f t="array" ref="AE71">IF(_xlfn._xlws.FILTER(Table1[Spend - JAP],(Table1[Execution Year]=Table2[[#This Row],[Execution Year]])*(Table1[SBU]=Table2[[#This Row],[SBU]])*(Table1[Category]=Table2[[#This Row],[Category]])*(Table1[Most curent]=TRUE),"NF")&gt;0,1,0)</f>
        <v>0</v>
      </c>
      <c r="AF71" cm="1">
        <f t="array" ref="AF71">IF(_xlfn._xlws.FILTER(Table1[Spend - UKN],(Table1[Execution Year]=Table2[[#This Row],[Execution Year]])*(Table1[SBU]=Table2[[#This Row],[SBU]])*(Table1[Category]=Table2[[#This Row],[Category]])*(Table1[Most curent]=TRUE),"NF")&gt;0,1,0)</f>
        <v>0</v>
      </c>
      <c r="AG71" cm="1">
        <f t="array" ref="AG71">IF(_xlfn._xlws.FILTER(Table1[Spend - SAF],(Table1[Execution Year]=Table2[[#This Row],[Execution Year]])*(Table1[SBU]=Table2[[#This Row],[SBU]])*(Table1[Category]=Table2[[#This Row],[Category]])*(Table1[Most curent]=TRUE),"NF")&gt;0,1,0)</f>
        <v>0</v>
      </c>
      <c r="AH71" cm="1">
        <f t="array" ref="AH71">IF(_xlfn._xlws.FILTER(Table1[Spend - US],(Table1[Execution Year]=Table2[[#This Row],[Execution Year]])*(Table1[SBU]=Table2[[#This Row],[SBU]])*(Table1[Category]=Table2[[#This Row],[Category]])*(Table1[Most curent]=TRUE),"NF")&gt;0,1,0)</f>
        <v>0</v>
      </c>
      <c r="AI71" cm="1">
        <f t="array" ref="AI71">IF(_xlfn._xlws.FILTER(Table1[Spend - Sams],(Table1[Execution Year]=Table2[[#This Row],[Execution Year]])*(Table1[SBU]=Table2[[#This Row],[SBU]])*(Table1[Category]=Table2[[#This Row],[Category]])*(Table1[Most curent]=TRUE),"NF")&gt;0,1,0)</f>
        <v>0</v>
      </c>
      <c r="AJ71" cm="1">
        <f t="array" ref="AJ71">IF(_xlfn._xlws.FILTER(Table1[Spend - Sams Mexico],(Table1[Execution Year]=Table2[[#This Row],[Execution Year]])*(Table1[SBU]=Table2[[#This Row],[SBU]])*(Table1[Category]=Table2[[#This Row],[Category]])*(Table1[Most curent]=TRUE),"NF")&gt;0,1,0)</f>
        <v>0</v>
      </c>
      <c r="AK71" cm="1">
        <f t="array" ref="AK71">IF(_xlfn._xlws.FILTER(Table1[Spend - Sams China],(Table1[Execution Year]=Table2[[#This Row],[Execution Year]])*(Table1[SBU]=Table2[[#This Row],[SBU]])*(Table1[Category]=Table2[[#This Row],[Category]])*(Table1[Most curent]=TRUE),"NF")&gt;0,1,0)</f>
        <v>0</v>
      </c>
      <c r="AL71" cm="1">
        <f t="array" ref="AL71">IF(_xlfn._xlws.FILTER(Table1[Spend - IND],(Table1[Execution Year]=Table2[[#This Row],[Execution Year]])*(Table1[SBU]=Table2[[#This Row],[SBU]])*(Table1[Category]=Table2[[#This Row],[Category]])*(Table1[Most curent]=TRUE),"NF")&gt;0,1,0)</f>
        <v>0</v>
      </c>
    </row>
    <row r="72" spans="1:38">
      <c r="A72" t="str">
        <f>Table2[[#This Row],[Execution Year]]&amp;Table2[[#This Row],[SBU]]&amp;Table2[[#This Row],[Category]]</f>
        <v>FY23SeafoodTilapia</v>
      </c>
      <c r="B72" t="s">
        <v>545</v>
      </c>
      <c r="C72" t="s">
        <v>543</v>
      </c>
      <c r="D72" t="s">
        <v>322</v>
      </c>
      <c r="E72" s="185"/>
      <c r="F72" s="185"/>
      <c r="G72" s="185"/>
      <c r="H72" s="185"/>
      <c r="I72" t="s">
        <v>135</v>
      </c>
      <c r="J72" t="s">
        <v>459</v>
      </c>
      <c r="K72" t="s">
        <v>533</v>
      </c>
      <c r="O72" s="16"/>
      <c r="V72">
        <f>_xlfn.XLOOKUP(Table2[[#This Row],[Primary Dept Description]],'Lookup tables'!$U$17:$U$117,'Lookup tables'!$T$17:$T$117,"")</f>
        <v>0</v>
      </c>
      <c r="W72" s="15" t="str">
        <f>IF(OR(Table2[[#This Row],[Revised Award]]=0,Table2[[#This Row],[Revised Award]]=""),IF(OR(Table2[[#This Row],[Planned Award]]=0,Table2[[#This Row],[Planned Award]]=""),"Not Updated",Table2[[#This Row],[Planned Award]]),Table2[[#This Row],[Revised Award]])</f>
        <v>Not Updated</v>
      </c>
      <c r="X72" t="str">
        <f>_xlfn.XLOOKUP(Table2[[#This Row],[Milestone]],'Lookup tables'!$Y$27:$Y$60,'Lookup tables'!$Z$27:$Z$60,"Not Updated")</f>
        <v>Pipeline</v>
      </c>
      <c r="Y72" cm="1">
        <f t="array" ref="Y72">IF(_xlfn._xlws.FILTER(Table1[Spend - CAN],(Table1[Execution Year]=Table2[[#This Row],[Execution Year]])*(Table1[SBU]=Table2[[#This Row],[SBU]])*(Table1[Category]=Table2[[#This Row],[Category]])*(Table1[Most curent]=TRUE),"NF")&gt;0,1,0)</f>
        <v>0</v>
      </c>
      <c r="Z72" cm="1">
        <f t="array" ref="Z72">IF(_xlfn._xlws.FILTER(Table1[Spend - MEX],(Table1[Execution Year]=Table2[[#This Row],[Execution Year]])*(Table1[SBU]=Table2[[#This Row],[SBU]])*(Table1[Category]=Table2[[#This Row],[Category]])*(Table1[Most curent]=TRUE),"NF")&gt;0,1,0)</f>
        <v>0</v>
      </c>
      <c r="AA72" cm="1">
        <f t="array" ref="AA72">IF(_xlfn._xlws.FILTER(Table1[Spend - CAM],(Table1[Execution Year]=Table2[[#This Row],[Execution Year]])*(Table1[SBU]=Table2[[#This Row],[SBU]])*(Table1[Category]=Table2[[#This Row],[Category]])*(Table1[Most curent]=TRUE),"NF")&gt;0,1,0)</f>
        <v>0</v>
      </c>
      <c r="AB72" cm="1">
        <f t="array" ref="AB72">IF(_xlfn._xlws.FILTER(Table1[Spend - CHL],(Table1[Execution Year]=Table2[[#This Row],[Execution Year]])*(Table1[SBU]=Table2[[#This Row],[SBU]])*(Table1[Category]=Table2[[#This Row],[Category]])*(Table1[Most curent]=TRUE),"NF")&gt;0,1,0)</f>
        <v>0</v>
      </c>
      <c r="AC72" cm="1">
        <f t="array" ref="AC72">IF(_xlfn._xlws.FILTER(Table1[Spend - ARG],(Table1[Execution Year]=Table2[[#This Row],[Execution Year]])*(Table1[SBU]=Table2[[#This Row],[SBU]])*(Table1[Category]=Table2[[#This Row],[Category]])*(Table1[Most curent]=TRUE),"NF")&gt;0,1,0)</f>
        <v>0</v>
      </c>
      <c r="AD72" cm="1">
        <f t="array" ref="AD72">IF(_xlfn._xlws.FILTER(Table1[Spend - CHN],(Table1[Execution Year]=Table2[[#This Row],[Execution Year]])*(Table1[SBU]=Table2[[#This Row],[SBU]])*(Table1[Category]=Table2[[#This Row],[Category]])*(Table1[Most curent]=TRUE),"NF")&gt;0,1,0)</f>
        <v>0</v>
      </c>
      <c r="AE72" cm="1">
        <f t="array" ref="AE72">IF(_xlfn._xlws.FILTER(Table1[Spend - JAP],(Table1[Execution Year]=Table2[[#This Row],[Execution Year]])*(Table1[SBU]=Table2[[#This Row],[SBU]])*(Table1[Category]=Table2[[#This Row],[Category]])*(Table1[Most curent]=TRUE),"NF")&gt;0,1,0)</f>
        <v>0</v>
      </c>
      <c r="AF72" cm="1">
        <f t="array" ref="AF72">IF(_xlfn._xlws.FILTER(Table1[Spend - UKN],(Table1[Execution Year]=Table2[[#This Row],[Execution Year]])*(Table1[SBU]=Table2[[#This Row],[SBU]])*(Table1[Category]=Table2[[#This Row],[Category]])*(Table1[Most curent]=TRUE),"NF")&gt;0,1,0)</f>
        <v>0</v>
      </c>
      <c r="AG72" cm="1">
        <f t="array" ref="AG72">IF(_xlfn._xlws.FILTER(Table1[Spend - SAF],(Table1[Execution Year]=Table2[[#This Row],[Execution Year]])*(Table1[SBU]=Table2[[#This Row],[SBU]])*(Table1[Category]=Table2[[#This Row],[Category]])*(Table1[Most curent]=TRUE),"NF")&gt;0,1,0)</f>
        <v>0</v>
      </c>
      <c r="AH72" cm="1">
        <f t="array" ref="AH72">IF(_xlfn._xlws.FILTER(Table1[Spend - US],(Table1[Execution Year]=Table2[[#This Row],[Execution Year]])*(Table1[SBU]=Table2[[#This Row],[SBU]])*(Table1[Category]=Table2[[#This Row],[Category]])*(Table1[Most curent]=TRUE),"NF")&gt;0,1,0)</f>
        <v>0</v>
      </c>
      <c r="AI72" cm="1">
        <f t="array" ref="AI72">IF(_xlfn._xlws.FILTER(Table1[Spend - Sams],(Table1[Execution Year]=Table2[[#This Row],[Execution Year]])*(Table1[SBU]=Table2[[#This Row],[SBU]])*(Table1[Category]=Table2[[#This Row],[Category]])*(Table1[Most curent]=TRUE),"NF")&gt;0,1,0)</f>
        <v>0</v>
      </c>
      <c r="AJ72" cm="1">
        <f t="array" ref="AJ72">IF(_xlfn._xlws.FILTER(Table1[Spend - Sams Mexico],(Table1[Execution Year]=Table2[[#This Row],[Execution Year]])*(Table1[SBU]=Table2[[#This Row],[SBU]])*(Table1[Category]=Table2[[#This Row],[Category]])*(Table1[Most curent]=TRUE),"NF")&gt;0,1,0)</f>
        <v>0</v>
      </c>
      <c r="AK72" cm="1">
        <f t="array" ref="AK72">IF(_xlfn._xlws.FILTER(Table1[Spend - Sams China],(Table1[Execution Year]=Table2[[#This Row],[Execution Year]])*(Table1[SBU]=Table2[[#This Row],[SBU]])*(Table1[Category]=Table2[[#This Row],[Category]])*(Table1[Most curent]=TRUE),"NF")&gt;0,1,0)</f>
        <v>0</v>
      </c>
      <c r="AL72" cm="1">
        <f t="array" ref="AL72">IF(_xlfn._xlws.FILTER(Table1[Spend - IND],(Table1[Execution Year]=Table2[[#This Row],[Execution Year]])*(Table1[SBU]=Table2[[#This Row],[SBU]])*(Table1[Category]=Table2[[#This Row],[Category]])*(Table1[Most curent]=TRUE),"NF")&gt;0,1,0)</f>
        <v>0</v>
      </c>
    </row>
    <row r="73" spans="1:38">
      <c r="A73" t="str">
        <f>Table2[[#This Row],[Execution Year]]&amp;Table2[[#This Row],[SBU]]&amp;Table2[[#This Row],[Category]]</f>
        <v>FY23SeafoodFrozen Grouper &amp; Snapper</v>
      </c>
      <c r="B73" t="s">
        <v>546</v>
      </c>
      <c r="C73" t="s">
        <v>543</v>
      </c>
      <c r="D73" t="s">
        <v>322</v>
      </c>
      <c r="E73" s="185">
        <v>0</v>
      </c>
      <c r="F73" s="185">
        <v>0</v>
      </c>
      <c r="G73" s="185">
        <v>0</v>
      </c>
      <c r="H73" s="185">
        <v>0</v>
      </c>
      <c r="I73" t="s">
        <v>470</v>
      </c>
      <c r="J73" t="s">
        <v>444</v>
      </c>
      <c r="K73" t="s">
        <v>533</v>
      </c>
      <c r="L73">
        <v>0</v>
      </c>
      <c r="M73">
        <v>44593</v>
      </c>
      <c r="N73" t="s">
        <v>533</v>
      </c>
      <c r="O73" s="16">
        <v>44732.334050810183</v>
      </c>
      <c r="P73" t="s">
        <v>492</v>
      </c>
      <c r="Q73" t="s">
        <v>547</v>
      </c>
      <c r="R73" t="s">
        <v>353</v>
      </c>
      <c r="S73" t="s">
        <v>548</v>
      </c>
      <c r="T73" t="s">
        <v>470</v>
      </c>
      <c r="U73">
        <v>0</v>
      </c>
      <c r="V73">
        <f>_xlfn.XLOOKUP(Table2[[#This Row],[Primary Dept Description]],'Lookup tables'!$U$17:$U$117,'Lookup tables'!$T$17:$T$117,"")</f>
        <v>83</v>
      </c>
      <c r="W73" s="15" t="str">
        <f>IF(OR(Table2[[#This Row],[Revised Award]]=0,Table2[[#This Row],[Revised Award]]=""),IF(OR(Table2[[#This Row],[Planned Award]]=0,Table2[[#This Row],[Planned Award]]=""),"Not Updated",Table2[[#This Row],[Planned Award]]),Table2[[#This Row],[Revised Award]])</f>
        <v>Not Updated</v>
      </c>
      <c r="X73" t="str">
        <f>_xlfn.XLOOKUP(Table2[[#This Row],[Milestone]],'Lookup tables'!$Y$27:$Y$60,'Lookup tables'!$Z$27:$Z$60,"Not Updated")</f>
        <v>Complete</v>
      </c>
      <c r="Y73" cm="1">
        <f t="array" ref="Y73">IF(_xlfn._xlws.FILTER(Table1[Spend - CAN],(Table1[Execution Year]=Table2[[#This Row],[Execution Year]])*(Table1[SBU]=Table2[[#This Row],[SBU]])*(Table1[Category]=Table2[[#This Row],[Category]])*(Table1[Most curent]=TRUE),"NF")&gt;0,1,0)</f>
        <v>0</v>
      </c>
      <c r="Z73" cm="1">
        <f t="array" ref="Z73">IF(_xlfn._xlws.FILTER(Table1[Spend - MEX],(Table1[Execution Year]=Table2[[#This Row],[Execution Year]])*(Table1[SBU]=Table2[[#This Row],[SBU]])*(Table1[Category]=Table2[[#This Row],[Category]])*(Table1[Most curent]=TRUE),"NF")&gt;0,1,0)</f>
        <v>0</v>
      </c>
      <c r="AA73" cm="1">
        <f t="array" ref="AA73">IF(_xlfn._xlws.FILTER(Table1[Spend - CAM],(Table1[Execution Year]=Table2[[#This Row],[Execution Year]])*(Table1[SBU]=Table2[[#This Row],[SBU]])*(Table1[Category]=Table2[[#This Row],[Category]])*(Table1[Most curent]=TRUE),"NF")&gt;0,1,0)</f>
        <v>0</v>
      </c>
      <c r="AB73" cm="1">
        <f t="array" ref="AB73">IF(_xlfn._xlws.FILTER(Table1[Spend - CHL],(Table1[Execution Year]=Table2[[#This Row],[Execution Year]])*(Table1[SBU]=Table2[[#This Row],[SBU]])*(Table1[Category]=Table2[[#This Row],[Category]])*(Table1[Most curent]=TRUE),"NF")&gt;0,1,0)</f>
        <v>0</v>
      </c>
      <c r="AC73" cm="1">
        <f t="array" ref="AC73">IF(_xlfn._xlws.FILTER(Table1[Spend - ARG],(Table1[Execution Year]=Table2[[#This Row],[Execution Year]])*(Table1[SBU]=Table2[[#This Row],[SBU]])*(Table1[Category]=Table2[[#This Row],[Category]])*(Table1[Most curent]=TRUE),"NF")&gt;0,1,0)</f>
        <v>0</v>
      </c>
      <c r="AD73" cm="1">
        <f t="array" ref="AD73">IF(_xlfn._xlws.FILTER(Table1[Spend - CHN],(Table1[Execution Year]=Table2[[#This Row],[Execution Year]])*(Table1[SBU]=Table2[[#This Row],[SBU]])*(Table1[Category]=Table2[[#This Row],[Category]])*(Table1[Most curent]=TRUE),"NF")&gt;0,1,0)</f>
        <v>0</v>
      </c>
      <c r="AE73" cm="1">
        <f t="array" ref="AE73">IF(_xlfn._xlws.FILTER(Table1[Spend - JAP],(Table1[Execution Year]=Table2[[#This Row],[Execution Year]])*(Table1[SBU]=Table2[[#This Row],[SBU]])*(Table1[Category]=Table2[[#This Row],[Category]])*(Table1[Most curent]=TRUE),"NF")&gt;0,1,0)</f>
        <v>0</v>
      </c>
      <c r="AF73" cm="1">
        <f t="array" ref="AF73">IF(_xlfn._xlws.FILTER(Table1[Spend - UKN],(Table1[Execution Year]=Table2[[#This Row],[Execution Year]])*(Table1[SBU]=Table2[[#This Row],[SBU]])*(Table1[Category]=Table2[[#This Row],[Category]])*(Table1[Most curent]=TRUE),"NF")&gt;0,1,0)</f>
        <v>0</v>
      </c>
      <c r="AG73" cm="1">
        <f t="array" ref="AG73">IF(_xlfn._xlws.FILTER(Table1[Spend - SAF],(Table1[Execution Year]=Table2[[#This Row],[Execution Year]])*(Table1[SBU]=Table2[[#This Row],[SBU]])*(Table1[Category]=Table2[[#This Row],[Category]])*(Table1[Most curent]=TRUE),"NF")&gt;0,1,0)</f>
        <v>0</v>
      </c>
      <c r="AH73" cm="1">
        <f t="array" ref="AH73">IF(_xlfn._xlws.FILTER(Table1[Spend - US],(Table1[Execution Year]=Table2[[#This Row],[Execution Year]])*(Table1[SBU]=Table2[[#This Row],[SBU]])*(Table1[Category]=Table2[[#This Row],[Category]])*(Table1[Most curent]=TRUE),"NF")&gt;0,1,0)</f>
        <v>1</v>
      </c>
      <c r="AI73" cm="1">
        <f t="array" ref="AI73">IF(_xlfn._xlws.FILTER(Table1[Spend - Sams],(Table1[Execution Year]=Table2[[#This Row],[Execution Year]])*(Table1[SBU]=Table2[[#This Row],[SBU]])*(Table1[Category]=Table2[[#This Row],[Category]])*(Table1[Most curent]=TRUE),"NF")&gt;0,1,0)</f>
        <v>0</v>
      </c>
      <c r="AJ73" cm="1">
        <f t="array" ref="AJ73">IF(_xlfn._xlws.FILTER(Table1[Spend - Sams Mexico],(Table1[Execution Year]=Table2[[#This Row],[Execution Year]])*(Table1[SBU]=Table2[[#This Row],[SBU]])*(Table1[Category]=Table2[[#This Row],[Category]])*(Table1[Most curent]=TRUE),"NF")&gt;0,1,0)</f>
        <v>0</v>
      </c>
      <c r="AK73" cm="1">
        <f t="array" ref="AK73">IF(_xlfn._xlws.FILTER(Table1[Spend - Sams China],(Table1[Execution Year]=Table2[[#This Row],[Execution Year]])*(Table1[SBU]=Table2[[#This Row],[SBU]])*(Table1[Category]=Table2[[#This Row],[Category]])*(Table1[Most curent]=TRUE),"NF")&gt;0,1,0)</f>
        <v>0</v>
      </c>
      <c r="AL73" cm="1">
        <f t="array" ref="AL73">IF(_xlfn._xlws.FILTER(Table1[Spend - IND],(Table1[Execution Year]=Table2[[#This Row],[Execution Year]])*(Table1[SBU]=Table2[[#This Row],[SBU]])*(Table1[Category]=Table2[[#This Row],[Category]])*(Table1[Most curent]=TRUE),"NF")&gt;0,1,0)</f>
        <v>0</v>
      </c>
    </row>
    <row r="74" spans="1:38">
      <c r="A74" t="str">
        <f>Table2[[#This Row],[Execution Year]]&amp;Table2[[#This Row],[SBU]]&amp;Table2[[#This Row],[Category]]</f>
        <v>FY23SeafoodFrozen Mahi Mahi</v>
      </c>
      <c r="B74" t="s">
        <v>549</v>
      </c>
      <c r="C74" t="s">
        <v>543</v>
      </c>
      <c r="D74" t="s">
        <v>322</v>
      </c>
      <c r="E74" s="185">
        <v>0</v>
      </c>
      <c r="F74" s="185">
        <v>0</v>
      </c>
      <c r="G74" s="185">
        <v>0</v>
      </c>
      <c r="H74" s="185">
        <v>0</v>
      </c>
      <c r="I74" t="s">
        <v>470</v>
      </c>
      <c r="J74" t="s">
        <v>444</v>
      </c>
      <c r="K74" t="s">
        <v>533</v>
      </c>
      <c r="L74">
        <v>0</v>
      </c>
      <c r="M74">
        <v>44593</v>
      </c>
      <c r="N74" t="s">
        <v>533</v>
      </c>
      <c r="O74" s="16">
        <v>44732.33587372685</v>
      </c>
      <c r="P74" t="s">
        <v>492</v>
      </c>
      <c r="Q74" t="s">
        <v>547</v>
      </c>
      <c r="R74" t="s">
        <v>353</v>
      </c>
      <c r="S74" t="s">
        <v>548</v>
      </c>
      <c r="T74" t="s">
        <v>470</v>
      </c>
      <c r="U74">
        <v>0</v>
      </c>
      <c r="V74">
        <f>_xlfn.XLOOKUP(Table2[[#This Row],[Primary Dept Description]],'Lookup tables'!$U$17:$U$117,'Lookup tables'!$T$17:$T$117,"")</f>
        <v>83</v>
      </c>
      <c r="W74" s="15" t="str">
        <f>IF(OR(Table2[[#This Row],[Revised Award]]=0,Table2[[#This Row],[Revised Award]]=""),IF(OR(Table2[[#This Row],[Planned Award]]=0,Table2[[#This Row],[Planned Award]]=""),"Not Updated",Table2[[#This Row],[Planned Award]]),Table2[[#This Row],[Revised Award]])</f>
        <v>Not Updated</v>
      </c>
      <c r="X74" t="str">
        <f>_xlfn.XLOOKUP(Table2[[#This Row],[Milestone]],'Lookup tables'!$Y$27:$Y$60,'Lookup tables'!$Z$27:$Z$60,"Not Updated")</f>
        <v>Complete</v>
      </c>
      <c r="Y74" cm="1">
        <f t="array" ref="Y74">IF(_xlfn._xlws.FILTER(Table1[Spend - CAN],(Table1[Execution Year]=Table2[[#This Row],[Execution Year]])*(Table1[SBU]=Table2[[#This Row],[SBU]])*(Table1[Category]=Table2[[#This Row],[Category]])*(Table1[Most curent]=TRUE),"NF")&gt;0,1,0)</f>
        <v>0</v>
      </c>
      <c r="Z74" cm="1">
        <f t="array" ref="Z74">IF(_xlfn._xlws.FILTER(Table1[Spend - MEX],(Table1[Execution Year]=Table2[[#This Row],[Execution Year]])*(Table1[SBU]=Table2[[#This Row],[SBU]])*(Table1[Category]=Table2[[#This Row],[Category]])*(Table1[Most curent]=TRUE),"NF")&gt;0,1,0)</f>
        <v>0</v>
      </c>
      <c r="AA74" cm="1">
        <f t="array" ref="AA74">IF(_xlfn._xlws.FILTER(Table1[Spend - CAM],(Table1[Execution Year]=Table2[[#This Row],[Execution Year]])*(Table1[SBU]=Table2[[#This Row],[SBU]])*(Table1[Category]=Table2[[#This Row],[Category]])*(Table1[Most curent]=TRUE),"NF")&gt;0,1,0)</f>
        <v>0</v>
      </c>
      <c r="AB74" cm="1">
        <f t="array" ref="AB74">IF(_xlfn._xlws.FILTER(Table1[Spend - CHL],(Table1[Execution Year]=Table2[[#This Row],[Execution Year]])*(Table1[SBU]=Table2[[#This Row],[SBU]])*(Table1[Category]=Table2[[#This Row],[Category]])*(Table1[Most curent]=TRUE),"NF")&gt;0,1,0)</f>
        <v>0</v>
      </c>
      <c r="AC74" cm="1">
        <f t="array" ref="AC74">IF(_xlfn._xlws.FILTER(Table1[Spend - ARG],(Table1[Execution Year]=Table2[[#This Row],[Execution Year]])*(Table1[SBU]=Table2[[#This Row],[SBU]])*(Table1[Category]=Table2[[#This Row],[Category]])*(Table1[Most curent]=TRUE),"NF")&gt;0,1,0)</f>
        <v>0</v>
      </c>
      <c r="AD74" cm="1">
        <f t="array" ref="AD74">IF(_xlfn._xlws.FILTER(Table1[Spend - CHN],(Table1[Execution Year]=Table2[[#This Row],[Execution Year]])*(Table1[SBU]=Table2[[#This Row],[SBU]])*(Table1[Category]=Table2[[#This Row],[Category]])*(Table1[Most curent]=TRUE),"NF")&gt;0,1,0)</f>
        <v>0</v>
      </c>
      <c r="AE74" cm="1">
        <f t="array" ref="AE74">IF(_xlfn._xlws.FILTER(Table1[Spend - JAP],(Table1[Execution Year]=Table2[[#This Row],[Execution Year]])*(Table1[SBU]=Table2[[#This Row],[SBU]])*(Table1[Category]=Table2[[#This Row],[Category]])*(Table1[Most curent]=TRUE),"NF")&gt;0,1,0)</f>
        <v>0</v>
      </c>
      <c r="AF74" cm="1">
        <f t="array" ref="AF74">IF(_xlfn._xlws.FILTER(Table1[Spend - UKN],(Table1[Execution Year]=Table2[[#This Row],[Execution Year]])*(Table1[SBU]=Table2[[#This Row],[SBU]])*(Table1[Category]=Table2[[#This Row],[Category]])*(Table1[Most curent]=TRUE),"NF")&gt;0,1,0)</f>
        <v>0</v>
      </c>
      <c r="AG74" cm="1">
        <f t="array" ref="AG74">IF(_xlfn._xlws.FILTER(Table1[Spend - SAF],(Table1[Execution Year]=Table2[[#This Row],[Execution Year]])*(Table1[SBU]=Table2[[#This Row],[SBU]])*(Table1[Category]=Table2[[#This Row],[Category]])*(Table1[Most curent]=TRUE),"NF")&gt;0,1,0)</f>
        <v>0</v>
      </c>
      <c r="AH74" cm="1">
        <f t="array" ref="AH74">IF(_xlfn._xlws.FILTER(Table1[Spend - US],(Table1[Execution Year]=Table2[[#This Row],[Execution Year]])*(Table1[SBU]=Table2[[#This Row],[SBU]])*(Table1[Category]=Table2[[#This Row],[Category]])*(Table1[Most curent]=TRUE),"NF")&gt;0,1,0)</f>
        <v>1</v>
      </c>
      <c r="AI74" cm="1">
        <f t="array" ref="AI74">IF(_xlfn._xlws.FILTER(Table1[Spend - Sams],(Table1[Execution Year]=Table2[[#This Row],[Execution Year]])*(Table1[SBU]=Table2[[#This Row],[SBU]])*(Table1[Category]=Table2[[#This Row],[Category]])*(Table1[Most curent]=TRUE),"NF")&gt;0,1,0)</f>
        <v>0</v>
      </c>
      <c r="AJ74" cm="1">
        <f t="array" ref="AJ74">IF(_xlfn._xlws.FILTER(Table1[Spend - Sams Mexico],(Table1[Execution Year]=Table2[[#This Row],[Execution Year]])*(Table1[SBU]=Table2[[#This Row],[SBU]])*(Table1[Category]=Table2[[#This Row],[Category]])*(Table1[Most curent]=TRUE),"NF")&gt;0,1,0)</f>
        <v>0</v>
      </c>
      <c r="AK74" cm="1">
        <f t="array" ref="AK74">IF(_xlfn._xlws.FILTER(Table1[Spend - Sams China],(Table1[Execution Year]=Table2[[#This Row],[Execution Year]])*(Table1[SBU]=Table2[[#This Row],[SBU]])*(Table1[Category]=Table2[[#This Row],[Category]])*(Table1[Most curent]=TRUE),"NF")&gt;0,1,0)</f>
        <v>0</v>
      </c>
      <c r="AL74" cm="1">
        <f t="array" ref="AL74">IF(_xlfn._xlws.FILTER(Table1[Spend - IND],(Table1[Execution Year]=Table2[[#This Row],[Execution Year]])*(Table1[SBU]=Table2[[#This Row],[SBU]])*(Table1[Category]=Table2[[#This Row],[Category]])*(Table1[Most curent]=TRUE),"NF")&gt;0,1,0)</f>
        <v>0</v>
      </c>
    </row>
    <row r="75" spans="1:38">
      <c r="A75" t="str">
        <f>Table2[[#This Row],[Execution Year]]&amp;Table2[[#This Row],[SBU]]&amp;Table2[[#This Row],[Category]]</f>
        <v>FY23SeafoodFrozen Swordfish</v>
      </c>
      <c r="B75" t="s">
        <v>550</v>
      </c>
      <c r="C75" t="s">
        <v>543</v>
      </c>
      <c r="D75" t="s">
        <v>322</v>
      </c>
      <c r="E75" s="185">
        <v>0</v>
      </c>
      <c r="F75" s="185">
        <v>0</v>
      </c>
      <c r="G75" s="185">
        <v>0</v>
      </c>
      <c r="H75" s="185">
        <v>0</v>
      </c>
      <c r="I75" t="s">
        <v>470</v>
      </c>
      <c r="J75" t="s">
        <v>444</v>
      </c>
      <c r="K75" t="s">
        <v>533</v>
      </c>
      <c r="L75">
        <v>0</v>
      </c>
      <c r="M75">
        <v>44593</v>
      </c>
      <c r="N75" t="s">
        <v>533</v>
      </c>
      <c r="O75" s="16">
        <v>44732.379987037035</v>
      </c>
      <c r="P75" t="s">
        <v>492</v>
      </c>
      <c r="Q75" t="s">
        <v>547</v>
      </c>
      <c r="R75" t="s">
        <v>353</v>
      </c>
      <c r="S75" t="s">
        <v>548</v>
      </c>
      <c r="T75" t="s">
        <v>470</v>
      </c>
      <c r="U75">
        <v>0</v>
      </c>
      <c r="V75">
        <f>_xlfn.XLOOKUP(Table2[[#This Row],[Primary Dept Description]],'Lookup tables'!$U$17:$U$117,'Lookup tables'!$T$17:$T$117,"")</f>
        <v>83</v>
      </c>
      <c r="W75" s="15" t="str">
        <f>IF(OR(Table2[[#This Row],[Revised Award]]=0,Table2[[#This Row],[Revised Award]]=""),IF(OR(Table2[[#This Row],[Planned Award]]=0,Table2[[#This Row],[Planned Award]]=""),"Not Updated",Table2[[#This Row],[Planned Award]]),Table2[[#This Row],[Revised Award]])</f>
        <v>Not Updated</v>
      </c>
      <c r="X75" t="str">
        <f>_xlfn.XLOOKUP(Table2[[#This Row],[Milestone]],'Lookup tables'!$Y$27:$Y$60,'Lookup tables'!$Z$27:$Z$60,"Not Updated")</f>
        <v>Complete</v>
      </c>
      <c r="Y75" cm="1">
        <f t="array" ref="Y75">IF(_xlfn._xlws.FILTER(Table1[Spend - CAN],(Table1[Execution Year]=Table2[[#This Row],[Execution Year]])*(Table1[SBU]=Table2[[#This Row],[SBU]])*(Table1[Category]=Table2[[#This Row],[Category]])*(Table1[Most curent]=TRUE),"NF")&gt;0,1,0)</f>
        <v>0</v>
      </c>
      <c r="Z75" cm="1">
        <f t="array" ref="Z75">IF(_xlfn._xlws.FILTER(Table1[Spend - MEX],(Table1[Execution Year]=Table2[[#This Row],[Execution Year]])*(Table1[SBU]=Table2[[#This Row],[SBU]])*(Table1[Category]=Table2[[#This Row],[Category]])*(Table1[Most curent]=TRUE),"NF")&gt;0,1,0)</f>
        <v>0</v>
      </c>
      <c r="AA75" cm="1">
        <f t="array" ref="AA75">IF(_xlfn._xlws.FILTER(Table1[Spend - CAM],(Table1[Execution Year]=Table2[[#This Row],[Execution Year]])*(Table1[SBU]=Table2[[#This Row],[SBU]])*(Table1[Category]=Table2[[#This Row],[Category]])*(Table1[Most curent]=TRUE),"NF")&gt;0,1,0)</f>
        <v>0</v>
      </c>
      <c r="AB75" cm="1">
        <f t="array" ref="AB75">IF(_xlfn._xlws.FILTER(Table1[Spend - CHL],(Table1[Execution Year]=Table2[[#This Row],[Execution Year]])*(Table1[SBU]=Table2[[#This Row],[SBU]])*(Table1[Category]=Table2[[#This Row],[Category]])*(Table1[Most curent]=TRUE),"NF")&gt;0,1,0)</f>
        <v>0</v>
      </c>
      <c r="AC75" cm="1">
        <f t="array" ref="AC75">IF(_xlfn._xlws.FILTER(Table1[Spend - ARG],(Table1[Execution Year]=Table2[[#This Row],[Execution Year]])*(Table1[SBU]=Table2[[#This Row],[SBU]])*(Table1[Category]=Table2[[#This Row],[Category]])*(Table1[Most curent]=TRUE),"NF")&gt;0,1,0)</f>
        <v>0</v>
      </c>
      <c r="AD75" cm="1">
        <f t="array" ref="AD75">IF(_xlfn._xlws.FILTER(Table1[Spend - CHN],(Table1[Execution Year]=Table2[[#This Row],[Execution Year]])*(Table1[SBU]=Table2[[#This Row],[SBU]])*(Table1[Category]=Table2[[#This Row],[Category]])*(Table1[Most curent]=TRUE),"NF")&gt;0,1,0)</f>
        <v>0</v>
      </c>
      <c r="AE75" cm="1">
        <f t="array" ref="AE75">IF(_xlfn._xlws.FILTER(Table1[Spend - JAP],(Table1[Execution Year]=Table2[[#This Row],[Execution Year]])*(Table1[SBU]=Table2[[#This Row],[SBU]])*(Table1[Category]=Table2[[#This Row],[Category]])*(Table1[Most curent]=TRUE),"NF")&gt;0,1,0)</f>
        <v>0</v>
      </c>
      <c r="AF75" cm="1">
        <f t="array" ref="AF75">IF(_xlfn._xlws.FILTER(Table1[Spend - UKN],(Table1[Execution Year]=Table2[[#This Row],[Execution Year]])*(Table1[SBU]=Table2[[#This Row],[SBU]])*(Table1[Category]=Table2[[#This Row],[Category]])*(Table1[Most curent]=TRUE),"NF")&gt;0,1,0)</f>
        <v>0</v>
      </c>
      <c r="AG75" cm="1">
        <f t="array" ref="AG75">IF(_xlfn._xlws.FILTER(Table1[Spend - SAF],(Table1[Execution Year]=Table2[[#This Row],[Execution Year]])*(Table1[SBU]=Table2[[#This Row],[SBU]])*(Table1[Category]=Table2[[#This Row],[Category]])*(Table1[Most curent]=TRUE),"NF")&gt;0,1,0)</f>
        <v>0</v>
      </c>
      <c r="AH75" cm="1">
        <f t="array" ref="AH75">IF(_xlfn._xlws.FILTER(Table1[Spend - US],(Table1[Execution Year]=Table2[[#This Row],[Execution Year]])*(Table1[SBU]=Table2[[#This Row],[SBU]])*(Table1[Category]=Table2[[#This Row],[Category]])*(Table1[Most curent]=TRUE),"NF")&gt;0,1,0)</f>
        <v>1</v>
      </c>
      <c r="AI75" cm="1">
        <f t="array" ref="AI75">IF(_xlfn._xlws.FILTER(Table1[Spend - Sams],(Table1[Execution Year]=Table2[[#This Row],[Execution Year]])*(Table1[SBU]=Table2[[#This Row],[SBU]])*(Table1[Category]=Table2[[#This Row],[Category]])*(Table1[Most curent]=TRUE),"NF")&gt;0,1,0)</f>
        <v>0</v>
      </c>
      <c r="AJ75" cm="1">
        <f t="array" ref="AJ75">IF(_xlfn._xlws.FILTER(Table1[Spend - Sams Mexico],(Table1[Execution Year]=Table2[[#This Row],[Execution Year]])*(Table1[SBU]=Table2[[#This Row],[SBU]])*(Table1[Category]=Table2[[#This Row],[Category]])*(Table1[Most curent]=TRUE),"NF")&gt;0,1,0)</f>
        <v>0</v>
      </c>
      <c r="AK75" cm="1">
        <f t="array" ref="AK75">IF(_xlfn._xlws.FILTER(Table1[Spend - Sams China],(Table1[Execution Year]=Table2[[#This Row],[Execution Year]])*(Table1[SBU]=Table2[[#This Row],[SBU]])*(Table1[Category]=Table2[[#This Row],[Category]])*(Table1[Most curent]=TRUE),"NF")&gt;0,1,0)</f>
        <v>0</v>
      </c>
      <c r="AL75" cm="1">
        <f t="array" ref="AL75">IF(_xlfn._xlws.FILTER(Table1[Spend - IND],(Table1[Execution Year]=Table2[[#This Row],[Execution Year]])*(Table1[SBU]=Table2[[#This Row],[SBU]])*(Table1[Category]=Table2[[#This Row],[Category]])*(Table1[Most curent]=TRUE),"NF")&gt;0,1,0)</f>
        <v>0</v>
      </c>
    </row>
    <row r="76" spans="1:38">
      <c r="A76" t="str">
        <f>Table2[[#This Row],[Execution Year]]&amp;Table2[[#This Row],[SBU]]&amp;Table2[[#This Row],[Category]]</f>
        <v>FY23SeafoodFrozen Wild Salmon</v>
      </c>
      <c r="B76" t="s">
        <v>551</v>
      </c>
      <c r="C76" t="s">
        <v>543</v>
      </c>
      <c r="D76" t="s">
        <v>322</v>
      </c>
      <c r="E76" s="185">
        <v>0</v>
      </c>
      <c r="F76" s="185">
        <v>0</v>
      </c>
      <c r="G76" s="185">
        <v>0</v>
      </c>
      <c r="H76" s="185">
        <v>0</v>
      </c>
      <c r="I76" t="s">
        <v>470</v>
      </c>
      <c r="J76" t="s">
        <v>470</v>
      </c>
      <c r="K76" t="s">
        <v>533</v>
      </c>
      <c r="L76">
        <v>0</v>
      </c>
      <c r="M76">
        <v>44593</v>
      </c>
      <c r="N76" t="s">
        <v>47</v>
      </c>
      <c r="O76" s="16">
        <v>44735.712249189812</v>
      </c>
      <c r="P76" t="s">
        <v>492</v>
      </c>
      <c r="Q76" t="s">
        <v>547</v>
      </c>
      <c r="R76" t="s">
        <v>353</v>
      </c>
      <c r="S76" t="s">
        <v>548</v>
      </c>
      <c r="T76" t="s">
        <v>470</v>
      </c>
      <c r="U76">
        <v>0</v>
      </c>
      <c r="V76">
        <f>_xlfn.XLOOKUP(Table2[[#This Row],[Primary Dept Description]],'Lookup tables'!$U$17:$U$117,'Lookup tables'!$T$17:$T$117,"")</f>
        <v>83</v>
      </c>
      <c r="W76" s="15" t="str">
        <f>IF(OR(Table2[[#This Row],[Revised Award]]=0,Table2[[#This Row],[Revised Award]]=""),IF(OR(Table2[[#This Row],[Planned Award]]=0,Table2[[#This Row],[Planned Award]]=""),"Not Updated",Table2[[#This Row],[Planned Award]]),Table2[[#This Row],[Revised Award]])</f>
        <v>Not Updated</v>
      </c>
      <c r="X76" t="str">
        <f>_xlfn.XLOOKUP(Table2[[#This Row],[Milestone]],'Lookup tables'!$Y$27:$Y$60,'Lookup tables'!$Z$27:$Z$60,"Not Updated")</f>
        <v>Complete</v>
      </c>
      <c r="Y76" cm="1">
        <f t="array" ref="Y76">IF(_xlfn._xlws.FILTER(Table1[Spend - CAN],(Table1[Execution Year]=Table2[[#This Row],[Execution Year]])*(Table1[SBU]=Table2[[#This Row],[SBU]])*(Table1[Category]=Table2[[#This Row],[Category]])*(Table1[Most curent]=TRUE),"NF")&gt;0,1,0)</f>
        <v>0</v>
      </c>
      <c r="Z76" cm="1">
        <f t="array" ref="Z76">IF(_xlfn._xlws.FILTER(Table1[Spend - MEX],(Table1[Execution Year]=Table2[[#This Row],[Execution Year]])*(Table1[SBU]=Table2[[#This Row],[SBU]])*(Table1[Category]=Table2[[#This Row],[Category]])*(Table1[Most curent]=TRUE),"NF")&gt;0,1,0)</f>
        <v>0</v>
      </c>
      <c r="AA76" cm="1">
        <f t="array" ref="AA76">IF(_xlfn._xlws.FILTER(Table1[Spend - CAM],(Table1[Execution Year]=Table2[[#This Row],[Execution Year]])*(Table1[SBU]=Table2[[#This Row],[SBU]])*(Table1[Category]=Table2[[#This Row],[Category]])*(Table1[Most curent]=TRUE),"NF")&gt;0,1,0)</f>
        <v>0</v>
      </c>
      <c r="AB76" cm="1">
        <f t="array" ref="AB76">IF(_xlfn._xlws.FILTER(Table1[Spend - CHL],(Table1[Execution Year]=Table2[[#This Row],[Execution Year]])*(Table1[SBU]=Table2[[#This Row],[SBU]])*(Table1[Category]=Table2[[#This Row],[Category]])*(Table1[Most curent]=TRUE),"NF")&gt;0,1,0)</f>
        <v>0</v>
      </c>
      <c r="AC76" cm="1">
        <f t="array" ref="AC76">IF(_xlfn._xlws.FILTER(Table1[Spend - ARG],(Table1[Execution Year]=Table2[[#This Row],[Execution Year]])*(Table1[SBU]=Table2[[#This Row],[SBU]])*(Table1[Category]=Table2[[#This Row],[Category]])*(Table1[Most curent]=TRUE),"NF")&gt;0,1,0)</f>
        <v>0</v>
      </c>
      <c r="AD76" cm="1">
        <f t="array" ref="AD76">IF(_xlfn._xlws.FILTER(Table1[Spend - CHN],(Table1[Execution Year]=Table2[[#This Row],[Execution Year]])*(Table1[SBU]=Table2[[#This Row],[SBU]])*(Table1[Category]=Table2[[#This Row],[Category]])*(Table1[Most curent]=TRUE),"NF")&gt;0,1,0)</f>
        <v>0</v>
      </c>
      <c r="AE76" cm="1">
        <f t="array" ref="AE76">IF(_xlfn._xlws.FILTER(Table1[Spend - JAP],(Table1[Execution Year]=Table2[[#This Row],[Execution Year]])*(Table1[SBU]=Table2[[#This Row],[SBU]])*(Table1[Category]=Table2[[#This Row],[Category]])*(Table1[Most curent]=TRUE),"NF")&gt;0,1,0)</f>
        <v>0</v>
      </c>
      <c r="AF76" cm="1">
        <f t="array" ref="AF76">IF(_xlfn._xlws.FILTER(Table1[Spend - UKN],(Table1[Execution Year]=Table2[[#This Row],[Execution Year]])*(Table1[SBU]=Table2[[#This Row],[SBU]])*(Table1[Category]=Table2[[#This Row],[Category]])*(Table1[Most curent]=TRUE),"NF")&gt;0,1,0)</f>
        <v>0</v>
      </c>
      <c r="AG76" cm="1">
        <f t="array" ref="AG76">IF(_xlfn._xlws.FILTER(Table1[Spend - SAF],(Table1[Execution Year]=Table2[[#This Row],[Execution Year]])*(Table1[SBU]=Table2[[#This Row],[SBU]])*(Table1[Category]=Table2[[#This Row],[Category]])*(Table1[Most curent]=TRUE),"NF")&gt;0,1,0)</f>
        <v>0</v>
      </c>
      <c r="AH76" cm="1">
        <f t="array" ref="AH76">IF(_xlfn._xlws.FILTER(Table1[Spend - US],(Table1[Execution Year]=Table2[[#This Row],[Execution Year]])*(Table1[SBU]=Table2[[#This Row],[SBU]])*(Table1[Category]=Table2[[#This Row],[Category]])*(Table1[Most curent]=TRUE),"NF")&gt;0,1,0)</f>
        <v>1</v>
      </c>
      <c r="AI76" cm="1">
        <f t="array" ref="AI76">IF(_xlfn._xlws.FILTER(Table1[Spend - Sams],(Table1[Execution Year]=Table2[[#This Row],[Execution Year]])*(Table1[SBU]=Table2[[#This Row],[SBU]])*(Table1[Category]=Table2[[#This Row],[Category]])*(Table1[Most curent]=TRUE),"NF")&gt;0,1,0)</f>
        <v>0</v>
      </c>
      <c r="AJ76" cm="1">
        <f t="array" ref="AJ76">IF(_xlfn._xlws.FILTER(Table1[Spend - Sams Mexico],(Table1[Execution Year]=Table2[[#This Row],[Execution Year]])*(Table1[SBU]=Table2[[#This Row],[SBU]])*(Table1[Category]=Table2[[#This Row],[Category]])*(Table1[Most curent]=TRUE),"NF")&gt;0,1,0)</f>
        <v>0</v>
      </c>
      <c r="AK76" cm="1">
        <f t="array" ref="AK76">IF(_xlfn._xlws.FILTER(Table1[Spend - Sams China],(Table1[Execution Year]=Table2[[#This Row],[Execution Year]])*(Table1[SBU]=Table2[[#This Row],[SBU]])*(Table1[Category]=Table2[[#This Row],[Category]])*(Table1[Most curent]=TRUE),"NF")&gt;0,1,0)</f>
        <v>0</v>
      </c>
      <c r="AL76" cm="1">
        <f t="array" ref="AL76">IF(_xlfn._xlws.FILTER(Table1[Spend - IND],(Table1[Execution Year]=Table2[[#This Row],[Execution Year]])*(Table1[SBU]=Table2[[#This Row],[SBU]])*(Table1[Category]=Table2[[#This Row],[Category]])*(Table1[Most curent]=TRUE),"NF")&gt;0,1,0)</f>
        <v>0</v>
      </c>
    </row>
    <row r="77" spans="1:38">
      <c r="A77" t="str">
        <f>Table2[[#This Row],[Execution Year]]&amp;Table2[[#This Row],[SBU]]&amp;Table2[[#This Row],[Category]]</f>
        <v>FY23SeafoodFrozen Swai</v>
      </c>
      <c r="B77" t="s">
        <v>552</v>
      </c>
      <c r="C77" t="s">
        <v>543</v>
      </c>
      <c r="D77" t="s">
        <v>322</v>
      </c>
      <c r="E77" s="185">
        <v>0</v>
      </c>
      <c r="F77" s="185">
        <v>0</v>
      </c>
      <c r="G77" s="185">
        <v>0</v>
      </c>
      <c r="H77" s="185">
        <v>0</v>
      </c>
      <c r="I77" t="s">
        <v>470</v>
      </c>
      <c r="J77" t="s">
        <v>444</v>
      </c>
      <c r="K77" t="s">
        <v>533</v>
      </c>
      <c r="L77">
        <v>0</v>
      </c>
      <c r="M77">
        <v>44676</v>
      </c>
      <c r="N77" t="s">
        <v>533</v>
      </c>
      <c r="O77" s="16">
        <v>44732.38257962963</v>
      </c>
      <c r="P77" t="s">
        <v>492</v>
      </c>
      <c r="Q77" t="s">
        <v>547</v>
      </c>
      <c r="R77" t="s">
        <v>353</v>
      </c>
      <c r="S77" t="s">
        <v>548</v>
      </c>
      <c r="T77" t="s">
        <v>470</v>
      </c>
      <c r="U77">
        <v>0</v>
      </c>
      <c r="V77">
        <f>_xlfn.XLOOKUP(Table2[[#This Row],[Primary Dept Description]],'Lookup tables'!$U$17:$U$117,'Lookup tables'!$T$17:$T$117,"")</f>
        <v>83</v>
      </c>
      <c r="W77" s="15" t="str">
        <f>IF(OR(Table2[[#This Row],[Revised Award]]=0,Table2[[#This Row],[Revised Award]]=""),IF(OR(Table2[[#This Row],[Planned Award]]=0,Table2[[#This Row],[Planned Award]]=""),"Not Updated",Table2[[#This Row],[Planned Award]]),Table2[[#This Row],[Revised Award]])</f>
        <v>Not Updated</v>
      </c>
      <c r="X77" t="str">
        <f>_xlfn.XLOOKUP(Table2[[#This Row],[Milestone]],'Lookup tables'!$Y$27:$Y$60,'Lookup tables'!$Z$27:$Z$60,"Not Updated")</f>
        <v>Complete</v>
      </c>
      <c r="Y77" cm="1">
        <f t="array" ref="Y77">IF(_xlfn._xlws.FILTER(Table1[Spend - CAN],(Table1[Execution Year]=Table2[[#This Row],[Execution Year]])*(Table1[SBU]=Table2[[#This Row],[SBU]])*(Table1[Category]=Table2[[#This Row],[Category]])*(Table1[Most curent]=TRUE),"NF")&gt;0,1,0)</f>
        <v>0</v>
      </c>
      <c r="Z77" cm="1">
        <f t="array" ref="Z77">IF(_xlfn._xlws.FILTER(Table1[Spend - MEX],(Table1[Execution Year]=Table2[[#This Row],[Execution Year]])*(Table1[SBU]=Table2[[#This Row],[SBU]])*(Table1[Category]=Table2[[#This Row],[Category]])*(Table1[Most curent]=TRUE),"NF")&gt;0,1,0)</f>
        <v>0</v>
      </c>
      <c r="AA77" cm="1">
        <f t="array" ref="AA77">IF(_xlfn._xlws.FILTER(Table1[Spend - CAM],(Table1[Execution Year]=Table2[[#This Row],[Execution Year]])*(Table1[SBU]=Table2[[#This Row],[SBU]])*(Table1[Category]=Table2[[#This Row],[Category]])*(Table1[Most curent]=TRUE),"NF")&gt;0,1,0)</f>
        <v>0</v>
      </c>
      <c r="AB77" cm="1">
        <f t="array" ref="AB77">IF(_xlfn._xlws.FILTER(Table1[Spend - CHL],(Table1[Execution Year]=Table2[[#This Row],[Execution Year]])*(Table1[SBU]=Table2[[#This Row],[SBU]])*(Table1[Category]=Table2[[#This Row],[Category]])*(Table1[Most curent]=TRUE),"NF")&gt;0,1,0)</f>
        <v>0</v>
      </c>
      <c r="AC77" cm="1">
        <f t="array" ref="AC77">IF(_xlfn._xlws.FILTER(Table1[Spend - ARG],(Table1[Execution Year]=Table2[[#This Row],[Execution Year]])*(Table1[SBU]=Table2[[#This Row],[SBU]])*(Table1[Category]=Table2[[#This Row],[Category]])*(Table1[Most curent]=TRUE),"NF")&gt;0,1,0)</f>
        <v>0</v>
      </c>
      <c r="AD77" cm="1">
        <f t="array" ref="AD77">IF(_xlfn._xlws.FILTER(Table1[Spend - CHN],(Table1[Execution Year]=Table2[[#This Row],[Execution Year]])*(Table1[SBU]=Table2[[#This Row],[SBU]])*(Table1[Category]=Table2[[#This Row],[Category]])*(Table1[Most curent]=TRUE),"NF")&gt;0,1,0)</f>
        <v>0</v>
      </c>
      <c r="AE77" cm="1">
        <f t="array" ref="AE77">IF(_xlfn._xlws.FILTER(Table1[Spend - JAP],(Table1[Execution Year]=Table2[[#This Row],[Execution Year]])*(Table1[SBU]=Table2[[#This Row],[SBU]])*(Table1[Category]=Table2[[#This Row],[Category]])*(Table1[Most curent]=TRUE),"NF")&gt;0,1,0)</f>
        <v>0</v>
      </c>
      <c r="AF77" cm="1">
        <f t="array" ref="AF77">IF(_xlfn._xlws.FILTER(Table1[Spend - UKN],(Table1[Execution Year]=Table2[[#This Row],[Execution Year]])*(Table1[SBU]=Table2[[#This Row],[SBU]])*(Table1[Category]=Table2[[#This Row],[Category]])*(Table1[Most curent]=TRUE),"NF")&gt;0,1,0)</f>
        <v>0</v>
      </c>
      <c r="AG77" cm="1">
        <f t="array" ref="AG77">IF(_xlfn._xlws.FILTER(Table1[Spend - SAF],(Table1[Execution Year]=Table2[[#This Row],[Execution Year]])*(Table1[SBU]=Table2[[#This Row],[SBU]])*(Table1[Category]=Table2[[#This Row],[Category]])*(Table1[Most curent]=TRUE),"NF")&gt;0,1,0)</f>
        <v>0</v>
      </c>
      <c r="AH77" cm="1">
        <f t="array" ref="AH77">IF(_xlfn._xlws.FILTER(Table1[Spend - US],(Table1[Execution Year]=Table2[[#This Row],[Execution Year]])*(Table1[SBU]=Table2[[#This Row],[SBU]])*(Table1[Category]=Table2[[#This Row],[Category]])*(Table1[Most curent]=TRUE),"NF")&gt;0,1,0)</f>
        <v>1</v>
      </c>
      <c r="AI77" cm="1">
        <f t="array" ref="AI77">IF(_xlfn._xlws.FILTER(Table1[Spend - Sams],(Table1[Execution Year]=Table2[[#This Row],[Execution Year]])*(Table1[SBU]=Table2[[#This Row],[SBU]])*(Table1[Category]=Table2[[#This Row],[Category]])*(Table1[Most curent]=TRUE),"NF")&gt;0,1,0)</f>
        <v>0</v>
      </c>
      <c r="AJ77" cm="1">
        <f t="array" ref="AJ77">IF(_xlfn._xlws.FILTER(Table1[Spend - Sams Mexico],(Table1[Execution Year]=Table2[[#This Row],[Execution Year]])*(Table1[SBU]=Table2[[#This Row],[SBU]])*(Table1[Category]=Table2[[#This Row],[Category]])*(Table1[Most curent]=TRUE),"NF")&gt;0,1,0)</f>
        <v>0</v>
      </c>
      <c r="AK77" cm="1">
        <f t="array" ref="AK77">IF(_xlfn._xlws.FILTER(Table1[Spend - Sams China],(Table1[Execution Year]=Table2[[#This Row],[Execution Year]])*(Table1[SBU]=Table2[[#This Row],[SBU]])*(Table1[Category]=Table2[[#This Row],[Category]])*(Table1[Most curent]=TRUE),"NF")&gt;0,1,0)</f>
        <v>0</v>
      </c>
      <c r="AL77" cm="1">
        <f t="array" ref="AL77">IF(_xlfn._xlws.FILTER(Table1[Spend - IND],(Table1[Execution Year]=Table2[[#This Row],[Execution Year]])*(Table1[SBU]=Table2[[#This Row],[SBU]])*(Table1[Category]=Table2[[#This Row],[Category]])*(Table1[Most curent]=TRUE),"NF")&gt;0,1,0)</f>
        <v>0</v>
      </c>
    </row>
    <row r="78" spans="1:38">
      <c r="A78" t="str">
        <f>Table2[[#This Row],[Execution Year]]&amp;Table2[[#This Row],[SBU]]&amp;Table2[[#This Row],[Category]]</f>
        <v>FY23SeafoodFrozen Gulf Shrimp</v>
      </c>
      <c r="B78" t="s">
        <v>553</v>
      </c>
      <c r="C78" t="s">
        <v>543</v>
      </c>
      <c r="D78" t="s">
        <v>322</v>
      </c>
      <c r="E78" s="185">
        <v>0</v>
      </c>
      <c r="F78" s="185">
        <v>0</v>
      </c>
      <c r="G78" s="185">
        <v>0</v>
      </c>
      <c r="H78" s="185">
        <v>0</v>
      </c>
      <c r="I78" t="s">
        <v>470</v>
      </c>
      <c r="J78" t="s">
        <v>444</v>
      </c>
      <c r="K78" t="s">
        <v>533</v>
      </c>
      <c r="L78">
        <v>0</v>
      </c>
      <c r="M78">
        <v>44676</v>
      </c>
      <c r="N78" t="s">
        <v>533</v>
      </c>
      <c r="O78" s="16">
        <v>44732.383226157406</v>
      </c>
      <c r="P78" t="s">
        <v>492</v>
      </c>
      <c r="Q78" t="s">
        <v>547</v>
      </c>
      <c r="R78" t="s">
        <v>353</v>
      </c>
      <c r="S78" t="s">
        <v>548</v>
      </c>
      <c r="T78" t="s">
        <v>470</v>
      </c>
      <c r="U78">
        <v>0</v>
      </c>
      <c r="V78">
        <f>_xlfn.XLOOKUP(Table2[[#This Row],[Primary Dept Description]],'Lookup tables'!$U$17:$U$117,'Lookup tables'!$T$17:$T$117,"")</f>
        <v>83</v>
      </c>
      <c r="W78" s="15" t="str">
        <f>IF(OR(Table2[[#This Row],[Revised Award]]=0,Table2[[#This Row],[Revised Award]]=""),IF(OR(Table2[[#This Row],[Planned Award]]=0,Table2[[#This Row],[Planned Award]]=""),"Not Updated",Table2[[#This Row],[Planned Award]]),Table2[[#This Row],[Revised Award]])</f>
        <v>Not Updated</v>
      </c>
      <c r="X78" t="str">
        <f>_xlfn.XLOOKUP(Table2[[#This Row],[Milestone]],'Lookup tables'!$Y$27:$Y$60,'Lookup tables'!$Z$27:$Z$60,"Not Updated")</f>
        <v>Complete</v>
      </c>
      <c r="Y78" cm="1">
        <f t="array" ref="Y78">IF(_xlfn._xlws.FILTER(Table1[Spend - CAN],(Table1[Execution Year]=Table2[[#This Row],[Execution Year]])*(Table1[SBU]=Table2[[#This Row],[SBU]])*(Table1[Category]=Table2[[#This Row],[Category]])*(Table1[Most curent]=TRUE),"NF")&gt;0,1,0)</f>
        <v>0</v>
      </c>
      <c r="Z78" cm="1">
        <f t="array" ref="Z78">IF(_xlfn._xlws.FILTER(Table1[Spend - MEX],(Table1[Execution Year]=Table2[[#This Row],[Execution Year]])*(Table1[SBU]=Table2[[#This Row],[SBU]])*(Table1[Category]=Table2[[#This Row],[Category]])*(Table1[Most curent]=TRUE),"NF")&gt;0,1,0)</f>
        <v>0</v>
      </c>
      <c r="AA78" cm="1">
        <f t="array" ref="AA78">IF(_xlfn._xlws.FILTER(Table1[Spend - CAM],(Table1[Execution Year]=Table2[[#This Row],[Execution Year]])*(Table1[SBU]=Table2[[#This Row],[SBU]])*(Table1[Category]=Table2[[#This Row],[Category]])*(Table1[Most curent]=TRUE),"NF")&gt;0,1,0)</f>
        <v>0</v>
      </c>
      <c r="AB78" cm="1">
        <f t="array" ref="AB78">IF(_xlfn._xlws.FILTER(Table1[Spend - CHL],(Table1[Execution Year]=Table2[[#This Row],[Execution Year]])*(Table1[SBU]=Table2[[#This Row],[SBU]])*(Table1[Category]=Table2[[#This Row],[Category]])*(Table1[Most curent]=TRUE),"NF")&gt;0,1,0)</f>
        <v>0</v>
      </c>
      <c r="AC78" cm="1">
        <f t="array" ref="AC78">IF(_xlfn._xlws.FILTER(Table1[Spend - ARG],(Table1[Execution Year]=Table2[[#This Row],[Execution Year]])*(Table1[SBU]=Table2[[#This Row],[SBU]])*(Table1[Category]=Table2[[#This Row],[Category]])*(Table1[Most curent]=TRUE),"NF")&gt;0,1,0)</f>
        <v>0</v>
      </c>
      <c r="AD78" cm="1">
        <f t="array" ref="AD78">IF(_xlfn._xlws.FILTER(Table1[Spend - CHN],(Table1[Execution Year]=Table2[[#This Row],[Execution Year]])*(Table1[SBU]=Table2[[#This Row],[SBU]])*(Table1[Category]=Table2[[#This Row],[Category]])*(Table1[Most curent]=TRUE),"NF")&gt;0,1,0)</f>
        <v>0</v>
      </c>
      <c r="AE78" cm="1">
        <f t="array" ref="AE78">IF(_xlfn._xlws.FILTER(Table1[Spend - JAP],(Table1[Execution Year]=Table2[[#This Row],[Execution Year]])*(Table1[SBU]=Table2[[#This Row],[SBU]])*(Table1[Category]=Table2[[#This Row],[Category]])*(Table1[Most curent]=TRUE),"NF")&gt;0,1,0)</f>
        <v>0</v>
      </c>
      <c r="AF78" cm="1">
        <f t="array" ref="AF78">IF(_xlfn._xlws.FILTER(Table1[Spend - UKN],(Table1[Execution Year]=Table2[[#This Row],[Execution Year]])*(Table1[SBU]=Table2[[#This Row],[SBU]])*(Table1[Category]=Table2[[#This Row],[Category]])*(Table1[Most curent]=TRUE),"NF")&gt;0,1,0)</f>
        <v>0</v>
      </c>
      <c r="AG78" cm="1">
        <f t="array" ref="AG78">IF(_xlfn._xlws.FILTER(Table1[Spend - SAF],(Table1[Execution Year]=Table2[[#This Row],[Execution Year]])*(Table1[SBU]=Table2[[#This Row],[SBU]])*(Table1[Category]=Table2[[#This Row],[Category]])*(Table1[Most curent]=TRUE),"NF")&gt;0,1,0)</f>
        <v>0</v>
      </c>
      <c r="AH78" cm="1">
        <f t="array" ref="AH78">IF(_xlfn._xlws.FILTER(Table1[Spend - US],(Table1[Execution Year]=Table2[[#This Row],[Execution Year]])*(Table1[SBU]=Table2[[#This Row],[SBU]])*(Table1[Category]=Table2[[#This Row],[Category]])*(Table1[Most curent]=TRUE),"NF")&gt;0,1,0)</f>
        <v>1</v>
      </c>
      <c r="AI78" cm="1">
        <f t="array" ref="AI78">IF(_xlfn._xlws.FILTER(Table1[Spend - Sams],(Table1[Execution Year]=Table2[[#This Row],[Execution Year]])*(Table1[SBU]=Table2[[#This Row],[SBU]])*(Table1[Category]=Table2[[#This Row],[Category]])*(Table1[Most curent]=TRUE),"NF")&gt;0,1,0)</f>
        <v>0</v>
      </c>
      <c r="AJ78" cm="1">
        <f t="array" ref="AJ78">IF(_xlfn._xlws.FILTER(Table1[Spend - Sams Mexico],(Table1[Execution Year]=Table2[[#This Row],[Execution Year]])*(Table1[SBU]=Table2[[#This Row],[SBU]])*(Table1[Category]=Table2[[#This Row],[Category]])*(Table1[Most curent]=TRUE),"NF")&gt;0,1,0)</f>
        <v>0</v>
      </c>
      <c r="AK78" cm="1">
        <f t="array" ref="AK78">IF(_xlfn._xlws.FILTER(Table1[Spend - Sams China],(Table1[Execution Year]=Table2[[#This Row],[Execution Year]])*(Table1[SBU]=Table2[[#This Row],[SBU]])*(Table1[Category]=Table2[[#This Row],[Category]])*(Table1[Most curent]=TRUE),"NF")&gt;0,1,0)</f>
        <v>0</v>
      </c>
      <c r="AL78" cm="1">
        <f t="array" ref="AL78">IF(_xlfn._xlws.FILTER(Table1[Spend - IND],(Table1[Execution Year]=Table2[[#This Row],[Execution Year]])*(Table1[SBU]=Table2[[#This Row],[SBU]])*(Table1[Category]=Table2[[#This Row],[Category]])*(Table1[Most curent]=TRUE),"NF")&gt;0,1,0)</f>
        <v>0</v>
      </c>
    </row>
    <row r="79" spans="1:38">
      <c r="A79" t="str">
        <f>Table2[[#This Row],[Execution Year]]&amp;Table2[[#This Row],[SBU]]&amp;Table2[[#This Row],[Category]]</f>
        <v>FY23SeafoodFrozen Shrimp Bag Q2, 2022</v>
      </c>
      <c r="B79" t="s">
        <v>554</v>
      </c>
      <c r="C79" t="s">
        <v>543</v>
      </c>
      <c r="D79" t="s">
        <v>322</v>
      </c>
      <c r="E79" s="185">
        <v>0</v>
      </c>
      <c r="F79" s="185">
        <v>0</v>
      </c>
      <c r="G79" s="185">
        <v>0</v>
      </c>
      <c r="H79" s="185">
        <v>0</v>
      </c>
      <c r="I79" t="s">
        <v>470</v>
      </c>
      <c r="J79" t="s">
        <v>444</v>
      </c>
      <c r="K79" t="s">
        <v>533</v>
      </c>
      <c r="L79">
        <v>0</v>
      </c>
      <c r="M79">
        <v>44683</v>
      </c>
      <c r="N79" t="s">
        <v>533</v>
      </c>
      <c r="O79" s="16">
        <v>44732.383938078703</v>
      </c>
      <c r="P79" t="s">
        <v>492</v>
      </c>
      <c r="Q79" t="s">
        <v>547</v>
      </c>
      <c r="R79" t="s">
        <v>353</v>
      </c>
      <c r="S79" t="s">
        <v>548</v>
      </c>
      <c r="T79" t="s">
        <v>470</v>
      </c>
      <c r="U79">
        <v>0</v>
      </c>
      <c r="V79">
        <f>_xlfn.XLOOKUP(Table2[[#This Row],[Primary Dept Description]],'Lookup tables'!$U$17:$U$117,'Lookup tables'!$T$17:$T$117,"")</f>
        <v>83</v>
      </c>
      <c r="W79" s="15" t="str">
        <f>IF(OR(Table2[[#This Row],[Revised Award]]=0,Table2[[#This Row],[Revised Award]]=""),IF(OR(Table2[[#This Row],[Planned Award]]=0,Table2[[#This Row],[Planned Award]]=""),"Not Updated",Table2[[#This Row],[Planned Award]]),Table2[[#This Row],[Revised Award]])</f>
        <v>Not Updated</v>
      </c>
      <c r="X79" t="str">
        <f>_xlfn.XLOOKUP(Table2[[#This Row],[Milestone]],'Lookup tables'!$Y$27:$Y$60,'Lookup tables'!$Z$27:$Z$60,"Not Updated")</f>
        <v>Complete</v>
      </c>
      <c r="Y79" cm="1">
        <f t="array" ref="Y79">IF(_xlfn._xlws.FILTER(Table1[Spend - CAN],(Table1[Execution Year]=Table2[[#This Row],[Execution Year]])*(Table1[SBU]=Table2[[#This Row],[SBU]])*(Table1[Category]=Table2[[#This Row],[Category]])*(Table1[Most curent]=TRUE),"NF")&gt;0,1,0)</f>
        <v>0</v>
      </c>
      <c r="Z79" cm="1">
        <f t="array" ref="Z79">IF(_xlfn._xlws.FILTER(Table1[Spend - MEX],(Table1[Execution Year]=Table2[[#This Row],[Execution Year]])*(Table1[SBU]=Table2[[#This Row],[SBU]])*(Table1[Category]=Table2[[#This Row],[Category]])*(Table1[Most curent]=TRUE),"NF")&gt;0,1,0)</f>
        <v>0</v>
      </c>
      <c r="AA79" cm="1">
        <f t="array" ref="AA79">IF(_xlfn._xlws.FILTER(Table1[Spend - CAM],(Table1[Execution Year]=Table2[[#This Row],[Execution Year]])*(Table1[SBU]=Table2[[#This Row],[SBU]])*(Table1[Category]=Table2[[#This Row],[Category]])*(Table1[Most curent]=TRUE),"NF")&gt;0,1,0)</f>
        <v>0</v>
      </c>
      <c r="AB79" cm="1">
        <f t="array" ref="AB79">IF(_xlfn._xlws.FILTER(Table1[Spend - CHL],(Table1[Execution Year]=Table2[[#This Row],[Execution Year]])*(Table1[SBU]=Table2[[#This Row],[SBU]])*(Table1[Category]=Table2[[#This Row],[Category]])*(Table1[Most curent]=TRUE),"NF")&gt;0,1,0)</f>
        <v>0</v>
      </c>
      <c r="AC79" cm="1">
        <f t="array" ref="AC79">IF(_xlfn._xlws.FILTER(Table1[Spend - ARG],(Table1[Execution Year]=Table2[[#This Row],[Execution Year]])*(Table1[SBU]=Table2[[#This Row],[SBU]])*(Table1[Category]=Table2[[#This Row],[Category]])*(Table1[Most curent]=TRUE),"NF")&gt;0,1,0)</f>
        <v>0</v>
      </c>
      <c r="AD79" cm="1">
        <f t="array" ref="AD79">IF(_xlfn._xlws.FILTER(Table1[Spend - CHN],(Table1[Execution Year]=Table2[[#This Row],[Execution Year]])*(Table1[SBU]=Table2[[#This Row],[SBU]])*(Table1[Category]=Table2[[#This Row],[Category]])*(Table1[Most curent]=TRUE),"NF")&gt;0,1,0)</f>
        <v>0</v>
      </c>
      <c r="AE79" cm="1">
        <f t="array" ref="AE79">IF(_xlfn._xlws.FILTER(Table1[Spend - JAP],(Table1[Execution Year]=Table2[[#This Row],[Execution Year]])*(Table1[SBU]=Table2[[#This Row],[SBU]])*(Table1[Category]=Table2[[#This Row],[Category]])*(Table1[Most curent]=TRUE),"NF")&gt;0,1,0)</f>
        <v>0</v>
      </c>
      <c r="AF79" cm="1">
        <f t="array" ref="AF79">IF(_xlfn._xlws.FILTER(Table1[Spend - UKN],(Table1[Execution Year]=Table2[[#This Row],[Execution Year]])*(Table1[SBU]=Table2[[#This Row],[SBU]])*(Table1[Category]=Table2[[#This Row],[Category]])*(Table1[Most curent]=TRUE),"NF")&gt;0,1,0)</f>
        <v>0</v>
      </c>
      <c r="AG79" cm="1">
        <f t="array" ref="AG79">IF(_xlfn._xlws.FILTER(Table1[Spend - SAF],(Table1[Execution Year]=Table2[[#This Row],[Execution Year]])*(Table1[SBU]=Table2[[#This Row],[SBU]])*(Table1[Category]=Table2[[#This Row],[Category]])*(Table1[Most curent]=TRUE),"NF")&gt;0,1,0)</f>
        <v>0</v>
      </c>
      <c r="AH79" cm="1">
        <f t="array" ref="AH79">IF(_xlfn._xlws.FILTER(Table1[Spend - US],(Table1[Execution Year]=Table2[[#This Row],[Execution Year]])*(Table1[SBU]=Table2[[#This Row],[SBU]])*(Table1[Category]=Table2[[#This Row],[Category]])*(Table1[Most curent]=TRUE),"NF")&gt;0,1,0)</f>
        <v>1</v>
      </c>
      <c r="AI79" cm="1">
        <f t="array" ref="AI79">IF(_xlfn._xlws.FILTER(Table1[Spend - Sams],(Table1[Execution Year]=Table2[[#This Row],[Execution Year]])*(Table1[SBU]=Table2[[#This Row],[SBU]])*(Table1[Category]=Table2[[#This Row],[Category]])*(Table1[Most curent]=TRUE),"NF")&gt;0,1,0)</f>
        <v>0</v>
      </c>
      <c r="AJ79" cm="1">
        <f t="array" ref="AJ79">IF(_xlfn._xlws.FILTER(Table1[Spend - Sams Mexico],(Table1[Execution Year]=Table2[[#This Row],[Execution Year]])*(Table1[SBU]=Table2[[#This Row],[SBU]])*(Table1[Category]=Table2[[#This Row],[Category]])*(Table1[Most curent]=TRUE),"NF")&gt;0,1,0)</f>
        <v>0</v>
      </c>
      <c r="AK79" cm="1">
        <f t="array" ref="AK79">IF(_xlfn._xlws.FILTER(Table1[Spend - Sams China],(Table1[Execution Year]=Table2[[#This Row],[Execution Year]])*(Table1[SBU]=Table2[[#This Row],[SBU]])*(Table1[Category]=Table2[[#This Row],[Category]])*(Table1[Most curent]=TRUE),"NF")&gt;0,1,0)</f>
        <v>0</v>
      </c>
      <c r="AL79" cm="1">
        <f t="array" ref="AL79">IF(_xlfn._xlws.FILTER(Table1[Spend - IND],(Table1[Execution Year]=Table2[[#This Row],[Execution Year]])*(Table1[SBU]=Table2[[#This Row],[SBU]])*(Table1[Category]=Table2[[#This Row],[Category]])*(Table1[Most curent]=TRUE),"NF")&gt;0,1,0)</f>
        <v>0</v>
      </c>
    </row>
    <row r="80" spans="1:38">
      <c r="A80" t="str">
        <f>Table2[[#This Row],[Execution Year]]&amp;Table2[[#This Row],[SBU]]&amp;Table2[[#This Row],[Category]]</f>
        <v>FY23SeafoodFrozen Atlantic Salmon</v>
      </c>
      <c r="B80" t="s">
        <v>555</v>
      </c>
      <c r="C80" t="s">
        <v>543</v>
      </c>
      <c r="D80" t="s">
        <v>322</v>
      </c>
      <c r="E80" s="185">
        <v>0</v>
      </c>
      <c r="F80" s="185">
        <v>0</v>
      </c>
      <c r="G80" s="185">
        <v>0</v>
      </c>
      <c r="H80" s="185">
        <v>0</v>
      </c>
      <c r="I80" t="s">
        <v>470</v>
      </c>
      <c r="J80" t="s">
        <v>444</v>
      </c>
      <c r="K80" t="s">
        <v>533</v>
      </c>
      <c r="L80">
        <v>0</v>
      </c>
      <c r="M80">
        <v>44620</v>
      </c>
      <c r="N80" t="s">
        <v>533</v>
      </c>
      <c r="O80" s="16">
        <v>44732.384683101853</v>
      </c>
      <c r="P80" t="s">
        <v>492</v>
      </c>
      <c r="Q80" t="s">
        <v>547</v>
      </c>
      <c r="R80" t="s">
        <v>353</v>
      </c>
      <c r="S80" t="s">
        <v>548</v>
      </c>
      <c r="T80" t="s">
        <v>470</v>
      </c>
      <c r="U80">
        <v>0</v>
      </c>
      <c r="V80">
        <f>_xlfn.XLOOKUP(Table2[[#This Row],[Primary Dept Description]],'Lookup tables'!$U$17:$U$117,'Lookup tables'!$T$17:$T$117,"")</f>
        <v>83</v>
      </c>
      <c r="W80" s="15" t="str">
        <f>IF(OR(Table2[[#This Row],[Revised Award]]=0,Table2[[#This Row],[Revised Award]]=""),IF(OR(Table2[[#This Row],[Planned Award]]=0,Table2[[#This Row],[Planned Award]]=""),"Not Updated",Table2[[#This Row],[Planned Award]]),Table2[[#This Row],[Revised Award]])</f>
        <v>Not Updated</v>
      </c>
      <c r="X80" t="str">
        <f>_xlfn.XLOOKUP(Table2[[#This Row],[Milestone]],'Lookup tables'!$Y$27:$Y$60,'Lookup tables'!$Z$27:$Z$60,"Not Updated")</f>
        <v>Complete</v>
      </c>
      <c r="Y80" cm="1">
        <f t="array" ref="Y80">IF(_xlfn._xlws.FILTER(Table1[Spend - CAN],(Table1[Execution Year]=Table2[[#This Row],[Execution Year]])*(Table1[SBU]=Table2[[#This Row],[SBU]])*(Table1[Category]=Table2[[#This Row],[Category]])*(Table1[Most curent]=TRUE),"NF")&gt;0,1,0)</f>
        <v>0</v>
      </c>
      <c r="Z80" cm="1">
        <f t="array" ref="Z80">IF(_xlfn._xlws.FILTER(Table1[Spend - MEX],(Table1[Execution Year]=Table2[[#This Row],[Execution Year]])*(Table1[SBU]=Table2[[#This Row],[SBU]])*(Table1[Category]=Table2[[#This Row],[Category]])*(Table1[Most curent]=TRUE),"NF")&gt;0,1,0)</f>
        <v>0</v>
      </c>
      <c r="AA80" cm="1">
        <f t="array" ref="AA80">IF(_xlfn._xlws.FILTER(Table1[Spend - CAM],(Table1[Execution Year]=Table2[[#This Row],[Execution Year]])*(Table1[SBU]=Table2[[#This Row],[SBU]])*(Table1[Category]=Table2[[#This Row],[Category]])*(Table1[Most curent]=TRUE),"NF")&gt;0,1,0)</f>
        <v>0</v>
      </c>
      <c r="AB80" cm="1">
        <f t="array" ref="AB80">IF(_xlfn._xlws.FILTER(Table1[Spend - CHL],(Table1[Execution Year]=Table2[[#This Row],[Execution Year]])*(Table1[SBU]=Table2[[#This Row],[SBU]])*(Table1[Category]=Table2[[#This Row],[Category]])*(Table1[Most curent]=TRUE),"NF")&gt;0,1,0)</f>
        <v>0</v>
      </c>
      <c r="AC80" cm="1">
        <f t="array" ref="AC80">IF(_xlfn._xlws.FILTER(Table1[Spend - ARG],(Table1[Execution Year]=Table2[[#This Row],[Execution Year]])*(Table1[SBU]=Table2[[#This Row],[SBU]])*(Table1[Category]=Table2[[#This Row],[Category]])*(Table1[Most curent]=TRUE),"NF")&gt;0,1,0)</f>
        <v>0</v>
      </c>
      <c r="AD80" cm="1">
        <f t="array" ref="AD80">IF(_xlfn._xlws.FILTER(Table1[Spend - CHN],(Table1[Execution Year]=Table2[[#This Row],[Execution Year]])*(Table1[SBU]=Table2[[#This Row],[SBU]])*(Table1[Category]=Table2[[#This Row],[Category]])*(Table1[Most curent]=TRUE),"NF")&gt;0,1,0)</f>
        <v>0</v>
      </c>
      <c r="AE80" cm="1">
        <f t="array" ref="AE80">IF(_xlfn._xlws.FILTER(Table1[Spend - JAP],(Table1[Execution Year]=Table2[[#This Row],[Execution Year]])*(Table1[SBU]=Table2[[#This Row],[SBU]])*(Table1[Category]=Table2[[#This Row],[Category]])*(Table1[Most curent]=TRUE),"NF")&gt;0,1,0)</f>
        <v>0</v>
      </c>
      <c r="AF80" cm="1">
        <f t="array" ref="AF80">IF(_xlfn._xlws.FILTER(Table1[Spend - UKN],(Table1[Execution Year]=Table2[[#This Row],[Execution Year]])*(Table1[SBU]=Table2[[#This Row],[SBU]])*(Table1[Category]=Table2[[#This Row],[Category]])*(Table1[Most curent]=TRUE),"NF")&gt;0,1,0)</f>
        <v>0</v>
      </c>
      <c r="AG80" cm="1">
        <f t="array" ref="AG80">IF(_xlfn._xlws.FILTER(Table1[Spend - SAF],(Table1[Execution Year]=Table2[[#This Row],[Execution Year]])*(Table1[SBU]=Table2[[#This Row],[SBU]])*(Table1[Category]=Table2[[#This Row],[Category]])*(Table1[Most curent]=TRUE),"NF")&gt;0,1,0)</f>
        <v>0</v>
      </c>
      <c r="AH80" cm="1">
        <f t="array" ref="AH80">IF(_xlfn._xlws.FILTER(Table1[Spend - US],(Table1[Execution Year]=Table2[[#This Row],[Execution Year]])*(Table1[SBU]=Table2[[#This Row],[SBU]])*(Table1[Category]=Table2[[#This Row],[Category]])*(Table1[Most curent]=TRUE),"NF")&gt;0,1,0)</f>
        <v>1</v>
      </c>
      <c r="AI80" cm="1">
        <f t="array" ref="AI80">IF(_xlfn._xlws.FILTER(Table1[Spend - Sams],(Table1[Execution Year]=Table2[[#This Row],[Execution Year]])*(Table1[SBU]=Table2[[#This Row],[SBU]])*(Table1[Category]=Table2[[#This Row],[Category]])*(Table1[Most curent]=TRUE),"NF")&gt;0,1,0)</f>
        <v>0</v>
      </c>
      <c r="AJ80" cm="1">
        <f t="array" ref="AJ80">IF(_xlfn._xlws.FILTER(Table1[Spend - Sams Mexico],(Table1[Execution Year]=Table2[[#This Row],[Execution Year]])*(Table1[SBU]=Table2[[#This Row],[SBU]])*(Table1[Category]=Table2[[#This Row],[Category]])*(Table1[Most curent]=TRUE),"NF")&gt;0,1,0)</f>
        <v>0</v>
      </c>
      <c r="AK80" cm="1">
        <f t="array" ref="AK80">IF(_xlfn._xlws.FILTER(Table1[Spend - Sams China],(Table1[Execution Year]=Table2[[#This Row],[Execution Year]])*(Table1[SBU]=Table2[[#This Row],[SBU]])*(Table1[Category]=Table2[[#This Row],[Category]])*(Table1[Most curent]=TRUE),"NF")&gt;0,1,0)</f>
        <v>0</v>
      </c>
      <c r="AL80" cm="1">
        <f t="array" ref="AL80">IF(_xlfn._xlws.FILTER(Table1[Spend - IND],(Table1[Execution Year]=Table2[[#This Row],[Execution Year]])*(Table1[SBU]=Table2[[#This Row],[SBU]])*(Table1[Category]=Table2[[#This Row],[Category]])*(Table1[Most curent]=TRUE),"NF")&gt;0,1,0)</f>
        <v>0</v>
      </c>
    </row>
    <row r="81" spans="1:38">
      <c r="A81" t="str">
        <f>Table2[[#This Row],[Execution Year]]&amp;Table2[[#This Row],[SBU]]&amp;Table2[[#This Row],[Category]]</f>
        <v>FY23SeafoodFrozen Bay Scallops</v>
      </c>
      <c r="B81" t="s">
        <v>556</v>
      </c>
      <c r="C81" t="s">
        <v>543</v>
      </c>
      <c r="D81" t="s">
        <v>322</v>
      </c>
      <c r="E81" s="185">
        <v>0</v>
      </c>
      <c r="F81" s="185">
        <v>0</v>
      </c>
      <c r="G81" s="185">
        <v>0</v>
      </c>
      <c r="H81" s="185">
        <v>0</v>
      </c>
      <c r="I81" t="s">
        <v>470</v>
      </c>
      <c r="J81" t="s">
        <v>444</v>
      </c>
      <c r="K81" t="s">
        <v>533</v>
      </c>
      <c r="L81">
        <v>0</v>
      </c>
      <c r="M81">
        <v>44593</v>
      </c>
      <c r="N81" t="s">
        <v>533</v>
      </c>
      <c r="O81" s="16">
        <v>44732.418095601854</v>
      </c>
      <c r="P81" t="s">
        <v>492</v>
      </c>
      <c r="Q81" t="s">
        <v>547</v>
      </c>
      <c r="R81" t="s">
        <v>353</v>
      </c>
      <c r="S81" t="s">
        <v>548</v>
      </c>
      <c r="T81" t="s">
        <v>470</v>
      </c>
      <c r="U81">
        <v>0</v>
      </c>
      <c r="V81">
        <f>_xlfn.XLOOKUP(Table2[[#This Row],[Primary Dept Description]],'Lookup tables'!$U$17:$U$117,'Lookup tables'!$T$17:$T$117,"")</f>
        <v>83</v>
      </c>
      <c r="W81" s="15" t="str">
        <f>IF(OR(Table2[[#This Row],[Revised Award]]=0,Table2[[#This Row],[Revised Award]]=""),IF(OR(Table2[[#This Row],[Planned Award]]=0,Table2[[#This Row],[Planned Award]]=""),"Not Updated",Table2[[#This Row],[Planned Award]]),Table2[[#This Row],[Revised Award]])</f>
        <v>Not Updated</v>
      </c>
      <c r="X81" t="str">
        <f>_xlfn.XLOOKUP(Table2[[#This Row],[Milestone]],'Lookup tables'!$Y$27:$Y$60,'Lookup tables'!$Z$27:$Z$60,"Not Updated")</f>
        <v>Complete</v>
      </c>
      <c r="Y81" cm="1">
        <f t="array" ref="Y81">IF(_xlfn._xlws.FILTER(Table1[Spend - CAN],(Table1[Execution Year]=Table2[[#This Row],[Execution Year]])*(Table1[SBU]=Table2[[#This Row],[SBU]])*(Table1[Category]=Table2[[#This Row],[Category]])*(Table1[Most curent]=TRUE),"NF")&gt;0,1,0)</f>
        <v>0</v>
      </c>
      <c r="Z81" cm="1">
        <f t="array" ref="Z81">IF(_xlfn._xlws.FILTER(Table1[Spend - MEX],(Table1[Execution Year]=Table2[[#This Row],[Execution Year]])*(Table1[SBU]=Table2[[#This Row],[SBU]])*(Table1[Category]=Table2[[#This Row],[Category]])*(Table1[Most curent]=TRUE),"NF")&gt;0,1,0)</f>
        <v>0</v>
      </c>
      <c r="AA81" cm="1">
        <f t="array" ref="AA81">IF(_xlfn._xlws.FILTER(Table1[Spend - CAM],(Table1[Execution Year]=Table2[[#This Row],[Execution Year]])*(Table1[SBU]=Table2[[#This Row],[SBU]])*(Table1[Category]=Table2[[#This Row],[Category]])*(Table1[Most curent]=TRUE),"NF")&gt;0,1,0)</f>
        <v>0</v>
      </c>
      <c r="AB81" cm="1">
        <f t="array" ref="AB81">IF(_xlfn._xlws.FILTER(Table1[Spend - CHL],(Table1[Execution Year]=Table2[[#This Row],[Execution Year]])*(Table1[SBU]=Table2[[#This Row],[SBU]])*(Table1[Category]=Table2[[#This Row],[Category]])*(Table1[Most curent]=TRUE),"NF")&gt;0,1,0)</f>
        <v>0</v>
      </c>
      <c r="AC81" cm="1">
        <f t="array" ref="AC81">IF(_xlfn._xlws.FILTER(Table1[Spend - ARG],(Table1[Execution Year]=Table2[[#This Row],[Execution Year]])*(Table1[SBU]=Table2[[#This Row],[SBU]])*(Table1[Category]=Table2[[#This Row],[Category]])*(Table1[Most curent]=TRUE),"NF")&gt;0,1,0)</f>
        <v>0</v>
      </c>
      <c r="AD81" cm="1">
        <f t="array" ref="AD81">IF(_xlfn._xlws.FILTER(Table1[Spend - CHN],(Table1[Execution Year]=Table2[[#This Row],[Execution Year]])*(Table1[SBU]=Table2[[#This Row],[SBU]])*(Table1[Category]=Table2[[#This Row],[Category]])*(Table1[Most curent]=TRUE),"NF")&gt;0,1,0)</f>
        <v>0</v>
      </c>
      <c r="AE81" cm="1">
        <f t="array" ref="AE81">IF(_xlfn._xlws.FILTER(Table1[Spend - JAP],(Table1[Execution Year]=Table2[[#This Row],[Execution Year]])*(Table1[SBU]=Table2[[#This Row],[SBU]])*(Table1[Category]=Table2[[#This Row],[Category]])*(Table1[Most curent]=TRUE),"NF")&gt;0,1,0)</f>
        <v>0</v>
      </c>
      <c r="AF81" cm="1">
        <f t="array" ref="AF81">IF(_xlfn._xlws.FILTER(Table1[Spend - UKN],(Table1[Execution Year]=Table2[[#This Row],[Execution Year]])*(Table1[SBU]=Table2[[#This Row],[SBU]])*(Table1[Category]=Table2[[#This Row],[Category]])*(Table1[Most curent]=TRUE),"NF")&gt;0,1,0)</f>
        <v>0</v>
      </c>
      <c r="AG81" cm="1">
        <f t="array" ref="AG81">IF(_xlfn._xlws.FILTER(Table1[Spend - SAF],(Table1[Execution Year]=Table2[[#This Row],[Execution Year]])*(Table1[SBU]=Table2[[#This Row],[SBU]])*(Table1[Category]=Table2[[#This Row],[Category]])*(Table1[Most curent]=TRUE),"NF")&gt;0,1,0)</f>
        <v>0</v>
      </c>
      <c r="AH81" cm="1">
        <f t="array" ref="AH81">IF(_xlfn._xlws.FILTER(Table1[Spend - US],(Table1[Execution Year]=Table2[[#This Row],[Execution Year]])*(Table1[SBU]=Table2[[#This Row],[SBU]])*(Table1[Category]=Table2[[#This Row],[Category]])*(Table1[Most curent]=TRUE),"NF")&gt;0,1,0)</f>
        <v>1</v>
      </c>
      <c r="AI81" cm="1">
        <f t="array" ref="AI81">IF(_xlfn._xlws.FILTER(Table1[Spend - Sams],(Table1[Execution Year]=Table2[[#This Row],[Execution Year]])*(Table1[SBU]=Table2[[#This Row],[SBU]])*(Table1[Category]=Table2[[#This Row],[Category]])*(Table1[Most curent]=TRUE),"NF")&gt;0,1,0)</f>
        <v>0</v>
      </c>
      <c r="AJ81" cm="1">
        <f t="array" ref="AJ81">IF(_xlfn._xlws.FILTER(Table1[Spend - Sams Mexico],(Table1[Execution Year]=Table2[[#This Row],[Execution Year]])*(Table1[SBU]=Table2[[#This Row],[SBU]])*(Table1[Category]=Table2[[#This Row],[Category]])*(Table1[Most curent]=TRUE),"NF")&gt;0,1,0)</f>
        <v>0</v>
      </c>
      <c r="AK81" cm="1">
        <f t="array" ref="AK81">IF(_xlfn._xlws.FILTER(Table1[Spend - Sams China],(Table1[Execution Year]=Table2[[#This Row],[Execution Year]])*(Table1[SBU]=Table2[[#This Row],[SBU]])*(Table1[Category]=Table2[[#This Row],[Category]])*(Table1[Most curent]=TRUE),"NF")&gt;0,1,0)</f>
        <v>0</v>
      </c>
      <c r="AL81" cm="1">
        <f t="array" ref="AL81">IF(_xlfn._xlws.FILTER(Table1[Spend - IND],(Table1[Execution Year]=Table2[[#This Row],[Execution Year]])*(Table1[SBU]=Table2[[#This Row],[SBU]])*(Table1[Category]=Table2[[#This Row],[Category]])*(Table1[Most curent]=TRUE),"NF")&gt;0,1,0)</f>
        <v>0</v>
      </c>
    </row>
    <row r="82" spans="1:38">
      <c r="A82" t="str">
        <f>Table2[[#This Row],[Execution Year]]&amp;Table2[[#This Row],[SBU]]&amp;Table2[[#This Row],[Category]]</f>
        <v>FY23SeafoodFrozen Haddock</v>
      </c>
      <c r="B82" t="s">
        <v>557</v>
      </c>
      <c r="C82" t="s">
        <v>543</v>
      </c>
      <c r="D82" t="s">
        <v>322</v>
      </c>
      <c r="E82" s="185">
        <v>0</v>
      </c>
      <c r="F82" s="185">
        <v>0</v>
      </c>
      <c r="G82" s="185">
        <v>0</v>
      </c>
      <c r="H82" s="185">
        <v>0</v>
      </c>
      <c r="I82" t="s">
        <v>470</v>
      </c>
      <c r="J82" t="s">
        <v>444</v>
      </c>
      <c r="K82" t="s">
        <v>533</v>
      </c>
      <c r="L82">
        <v>0</v>
      </c>
      <c r="M82">
        <v>44593</v>
      </c>
      <c r="N82" t="s">
        <v>533</v>
      </c>
      <c r="O82" s="16">
        <v>44732.418550694441</v>
      </c>
      <c r="P82" t="s">
        <v>492</v>
      </c>
      <c r="Q82" t="s">
        <v>547</v>
      </c>
      <c r="R82" t="s">
        <v>353</v>
      </c>
      <c r="S82" t="s">
        <v>548</v>
      </c>
      <c r="T82" t="s">
        <v>470</v>
      </c>
      <c r="U82">
        <v>0</v>
      </c>
      <c r="V82">
        <f>_xlfn.XLOOKUP(Table2[[#This Row],[Primary Dept Description]],'Lookup tables'!$U$17:$U$117,'Lookup tables'!$T$17:$T$117,"")</f>
        <v>83</v>
      </c>
      <c r="W82" s="15" t="str">
        <f>IF(OR(Table2[[#This Row],[Revised Award]]=0,Table2[[#This Row],[Revised Award]]=""),IF(OR(Table2[[#This Row],[Planned Award]]=0,Table2[[#This Row],[Planned Award]]=""),"Not Updated",Table2[[#This Row],[Planned Award]]),Table2[[#This Row],[Revised Award]])</f>
        <v>Not Updated</v>
      </c>
      <c r="X82" t="str">
        <f>_xlfn.XLOOKUP(Table2[[#This Row],[Milestone]],'Lookup tables'!$Y$27:$Y$60,'Lookup tables'!$Z$27:$Z$60,"Not Updated")</f>
        <v>Complete</v>
      </c>
      <c r="Y82" cm="1">
        <f t="array" ref="Y82">IF(_xlfn._xlws.FILTER(Table1[Spend - CAN],(Table1[Execution Year]=Table2[[#This Row],[Execution Year]])*(Table1[SBU]=Table2[[#This Row],[SBU]])*(Table1[Category]=Table2[[#This Row],[Category]])*(Table1[Most curent]=TRUE),"NF")&gt;0,1,0)</f>
        <v>0</v>
      </c>
      <c r="Z82" cm="1">
        <f t="array" ref="Z82">IF(_xlfn._xlws.FILTER(Table1[Spend - MEX],(Table1[Execution Year]=Table2[[#This Row],[Execution Year]])*(Table1[SBU]=Table2[[#This Row],[SBU]])*(Table1[Category]=Table2[[#This Row],[Category]])*(Table1[Most curent]=TRUE),"NF")&gt;0,1,0)</f>
        <v>0</v>
      </c>
      <c r="AA82" cm="1">
        <f t="array" ref="AA82">IF(_xlfn._xlws.FILTER(Table1[Spend - CAM],(Table1[Execution Year]=Table2[[#This Row],[Execution Year]])*(Table1[SBU]=Table2[[#This Row],[SBU]])*(Table1[Category]=Table2[[#This Row],[Category]])*(Table1[Most curent]=TRUE),"NF")&gt;0,1,0)</f>
        <v>0</v>
      </c>
      <c r="AB82" cm="1">
        <f t="array" ref="AB82">IF(_xlfn._xlws.FILTER(Table1[Spend - CHL],(Table1[Execution Year]=Table2[[#This Row],[Execution Year]])*(Table1[SBU]=Table2[[#This Row],[SBU]])*(Table1[Category]=Table2[[#This Row],[Category]])*(Table1[Most curent]=TRUE),"NF")&gt;0,1,0)</f>
        <v>0</v>
      </c>
      <c r="AC82" cm="1">
        <f t="array" ref="AC82">IF(_xlfn._xlws.FILTER(Table1[Spend - ARG],(Table1[Execution Year]=Table2[[#This Row],[Execution Year]])*(Table1[SBU]=Table2[[#This Row],[SBU]])*(Table1[Category]=Table2[[#This Row],[Category]])*(Table1[Most curent]=TRUE),"NF")&gt;0,1,0)</f>
        <v>0</v>
      </c>
      <c r="AD82" cm="1">
        <f t="array" ref="AD82">IF(_xlfn._xlws.FILTER(Table1[Spend - CHN],(Table1[Execution Year]=Table2[[#This Row],[Execution Year]])*(Table1[SBU]=Table2[[#This Row],[SBU]])*(Table1[Category]=Table2[[#This Row],[Category]])*(Table1[Most curent]=TRUE),"NF")&gt;0,1,0)</f>
        <v>0</v>
      </c>
      <c r="AE82" cm="1">
        <f t="array" ref="AE82">IF(_xlfn._xlws.FILTER(Table1[Spend - JAP],(Table1[Execution Year]=Table2[[#This Row],[Execution Year]])*(Table1[SBU]=Table2[[#This Row],[SBU]])*(Table1[Category]=Table2[[#This Row],[Category]])*(Table1[Most curent]=TRUE),"NF")&gt;0,1,0)</f>
        <v>0</v>
      </c>
      <c r="AF82" cm="1">
        <f t="array" ref="AF82">IF(_xlfn._xlws.FILTER(Table1[Spend - UKN],(Table1[Execution Year]=Table2[[#This Row],[Execution Year]])*(Table1[SBU]=Table2[[#This Row],[SBU]])*(Table1[Category]=Table2[[#This Row],[Category]])*(Table1[Most curent]=TRUE),"NF")&gt;0,1,0)</f>
        <v>0</v>
      </c>
      <c r="AG82" cm="1">
        <f t="array" ref="AG82">IF(_xlfn._xlws.FILTER(Table1[Spend - SAF],(Table1[Execution Year]=Table2[[#This Row],[Execution Year]])*(Table1[SBU]=Table2[[#This Row],[SBU]])*(Table1[Category]=Table2[[#This Row],[Category]])*(Table1[Most curent]=TRUE),"NF")&gt;0,1,0)</f>
        <v>0</v>
      </c>
      <c r="AH82" cm="1">
        <f t="array" ref="AH82">IF(_xlfn._xlws.FILTER(Table1[Spend - US],(Table1[Execution Year]=Table2[[#This Row],[Execution Year]])*(Table1[SBU]=Table2[[#This Row],[SBU]])*(Table1[Category]=Table2[[#This Row],[Category]])*(Table1[Most curent]=TRUE),"NF")&gt;0,1,0)</f>
        <v>1</v>
      </c>
      <c r="AI82" cm="1">
        <f t="array" ref="AI82">IF(_xlfn._xlws.FILTER(Table1[Spend - Sams],(Table1[Execution Year]=Table2[[#This Row],[Execution Year]])*(Table1[SBU]=Table2[[#This Row],[SBU]])*(Table1[Category]=Table2[[#This Row],[Category]])*(Table1[Most curent]=TRUE),"NF")&gt;0,1,0)</f>
        <v>0</v>
      </c>
      <c r="AJ82" cm="1">
        <f t="array" ref="AJ82">IF(_xlfn._xlws.FILTER(Table1[Spend - Sams Mexico],(Table1[Execution Year]=Table2[[#This Row],[Execution Year]])*(Table1[SBU]=Table2[[#This Row],[SBU]])*(Table1[Category]=Table2[[#This Row],[Category]])*(Table1[Most curent]=TRUE),"NF")&gt;0,1,0)</f>
        <v>0</v>
      </c>
      <c r="AK82" cm="1">
        <f t="array" ref="AK82">IF(_xlfn._xlws.FILTER(Table1[Spend - Sams China],(Table1[Execution Year]=Table2[[#This Row],[Execution Year]])*(Table1[SBU]=Table2[[#This Row],[SBU]])*(Table1[Category]=Table2[[#This Row],[Category]])*(Table1[Most curent]=TRUE),"NF")&gt;0,1,0)</f>
        <v>0</v>
      </c>
      <c r="AL82" cm="1">
        <f t="array" ref="AL82">IF(_xlfn._xlws.FILTER(Table1[Spend - IND],(Table1[Execution Year]=Table2[[#This Row],[Execution Year]])*(Table1[SBU]=Table2[[#This Row],[SBU]])*(Table1[Category]=Table2[[#This Row],[Category]])*(Table1[Most curent]=TRUE),"NF")&gt;0,1,0)</f>
        <v>0</v>
      </c>
    </row>
    <row r="83" spans="1:38">
      <c r="A83" t="str">
        <f>Table2[[#This Row],[Execution Year]]&amp;Table2[[#This Row],[SBU]]&amp;Table2[[#This Row],[Category]]</f>
        <v>FY23SeafoodFrozen Cod</v>
      </c>
      <c r="B83" t="s">
        <v>558</v>
      </c>
      <c r="C83" t="s">
        <v>543</v>
      </c>
      <c r="D83" t="s">
        <v>322</v>
      </c>
      <c r="E83" s="185">
        <v>0</v>
      </c>
      <c r="F83" s="185">
        <v>0</v>
      </c>
      <c r="G83" s="185">
        <v>0</v>
      </c>
      <c r="H83" s="185">
        <v>0</v>
      </c>
      <c r="I83" t="s">
        <v>470</v>
      </c>
      <c r="J83" t="s">
        <v>444</v>
      </c>
      <c r="K83" t="s">
        <v>533</v>
      </c>
      <c r="L83">
        <v>0</v>
      </c>
      <c r="M83">
        <v>44593</v>
      </c>
      <c r="N83" t="s">
        <v>533</v>
      </c>
      <c r="O83" s="16">
        <v>44732.419163078703</v>
      </c>
      <c r="P83" t="s">
        <v>492</v>
      </c>
      <c r="Q83" t="s">
        <v>547</v>
      </c>
      <c r="R83" t="s">
        <v>353</v>
      </c>
      <c r="S83" t="s">
        <v>548</v>
      </c>
      <c r="T83" t="s">
        <v>470</v>
      </c>
      <c r="U83">
        <v>0</v>
      </c>
      <c r="V83">
        <f>_xlfn.XLOOKUP(Table2[[#This Row],[Primary Dept Description]],'Lookup tables'!$U$17:$U$117,'Lookup tables'!$T$17:$T$117,"")</f>
        <v>83</v>
      </c>
      <c r="W83" s="15" t="str">
        <f>IF(OR(Table2[[#This Row],[Revised Award]]=0,Table2[[#This Row],[Revised Award]]=""),IF(OR(Table2[[#This Row],[Planned Award]]=0,Table2[[#This Row],[Planned Award]]=""),"Not Updated",Table2[[#This Row],[Planned Award]]),Table2[[#This Row],[Revised Award]])</f>
        <v>Not Updated</v>
      </c>
      <c r="X83" t="str">
        <f>_xlfn.XLOOKUP(Table2[[#This Row],[Milestone]],'Lookup tables'!$Y$27:$Y$60,'Lookup tables'!$Z$27:$Z$60,"Not Updated")</f>
        <v>Complete</v>
      </c>
      <c r="Y83" cm="1">
        <f t="array" ref="Y83">IF(_xlfn._xlws.FILTER(Table1[Spend - CAN],(Table1[Execution Year]=Table2[[#This Row],[Execution Year]])*(Table1[SBU]=Table2[[#This Row],[SBU]])*(Table1[Category]=Table2[[#This Row],[Category]])*(Table1[Most curent]=TRUE),"NF")&gt;0,1,0)</f>
        <v>0</v>
      </c>
      <c r="Z83" cm="1">
        <f t="array" ref="Z83">IF(_xlfn._xlws.FILTER(Table1[Spend - MEX],(Table1[Execution Year]=Table2[[#This Row],[Execution Year]])*(Table1[SBU]=Table2[[#This Row],[SBU]])*(Table1[Category]=Table2[[#This Row],[Category]])*(Table1[Most curent]=TRUE),"NF")&gt;0,1,0)</f>
        <v>0</v>
      </c>
      <c r="AA83" cm="1">
        <f t="array" ref="AA83">IF(_xlfn._xlws.FILTER(Table1[Spend - CAM],(Table1[Execution Year]=Table2[[#This Row],[Execution Year]])*(Table1[SBU]=Table2[[#This Row],[SBU]])*(Table1[Category]=Table2[[#This Row],[Category]])*(Table1[Most curent]=TRUE),"NF")&gt;0,1,0)</f>
        <v>0</v>
      </c>
      <c r="AB83" cm="1">
        <f t="array" ref="AB83">IF(_xlfn._xlws.FILTER(Table1[Spend - CHL],(Table1[Execution Year]=Table2[[#This Row],[Execution Year]])*(Table1[SBU]=Table2[[#This Row],[SBU]])*(Table1[Category]=Table2[[#This Row],[Category]])*(Table1[Most curent]=TRUE),"NF")&gt;0,1,0)</f>
        <v>0</v>
      </c>
      <c r="AC83" cm="1">
        <f t="array" ref="AC83">IF(_xlfn._xlws.FILTER(Table1[Spend - ARG],(Table1[Execution Year]=Table2[[#This Row],[Execution Year]])*(Table1[SBU]=Table2[[#This Row],[SBU]])*(Table1[Category]=Table2[[#This Row],[Category]])*(Table1[Most curent]=TRUE),"NF")&gt;0,1,0)</f>
        <v>0</v>
      </c>
      <c r="AD83" cm="1">
        <f t="array" ref="AD83">IF(_xlfn._xlws.FILTER(Table1[Spend - CHN],(Table1[Execution Year]=Table2[[#This Row],[Execution Year]])*(Table1[SBU]=Table2[[#This Row],[SBU]])*(Table1[Category]=Table2[[#This Row],[Category]])*(Table1[Most curent]=TRUE),"NF")&gt;0,1,0)</f>
        <v>0</v>
      </c>
      <c r="AE83" cm="1">
        <f t="array" ref="AE83">IF(_xlfn._xlws.FILTER(Table1[Spend - JAP],(Table1[Execution Year]=Table2[[#This Row],[Execution Year]])*(Table1[SBU]=Table2[[#This Row],[SBU]])*(Table1[Category]=Table2[[#This Row],[Category]])*(Table1[Most curent]=TRUE),"NF")&gt;0,1,0)</f>
        <v>0</v>
      </c>
      <c r="AF83" cm="1">
        <f t="array" ref="AF83">IF(_xlfn._xlws.FILTER(Table1[Spend - UKN],(Table1[Execution Year]=Table2[[#This Row],[Execution Year]])*(Table1[SBU]=Table2[[#This Row],[SBU]])*(Table1[Category]=Table2[[#This Row],[Category]])*(Table1[Most curent]=TRUE),"NF")&gt;0,1,0)</f>
        <v>0</v>
      </c>
      <c r="AG83" cm="1">
        <f t="array" ref="AG83">IF(_xlfn._xlws.FILTER(Table1[Spend - SAF],(Table1[Execution Year]=Table2[[#This Row],[Execution Year]])*(Table1[SBU]=Table2[[#This Row],[SBU]])*(Table1[Category]=Table2[[#This Row],[Category]])*(Table1[Most curent]=TRUE),"NF")&gt;0,1,0)</f>
        <v>0</v>
      </c>
      <c r="AH83" cm="1">
        <f t="array" ref="AH83">IF(_xlfn._xlws.FILTER(Table1[Spend - US],(Table1[Execution Year]=Table2[[#This Row],[Execution Year]])*(Table1[SBU]=Table2[[#This Row],[SBU]])*(Table1[Category]=Table2[[#This Row],[Category]])*(Table1[Most curent]=TRUE),"NF")&gt;0,1,0)</f>
        <v>1</v>
      </c>
      <c r="AI83" cm="1">
        <f t="array" ref="AI83">IF(_xlfn._xlws.FILTER(Table1[Spend - Sams],(Table1[Execution Year]=Table2[[#This Row],[Execution Year]])*(Table1[SBU]=Table2[[#This Row],[SBU]])*(Table1[Category]=Table2[[#This Row],[Category]])*(Table1[Most curent]=TRUE),"NF")&gt;0,1,0)</f>
        <v>0</v>
      </c>
      <c r="AJ83" cm="1">
        <f t="array" ref="AJ83">IF(_xlfn._xlws.FILTER(Table1[Spend - Sams Mexico],(Table1[Execution Year]=Table2[[#This Row],[Execution Year]])*(Table1[SBU]=Table2[[#This Row],[SBU]])*(Table1[Category]=Table2[[#This Row],[Category]])*(Table1[Most curent]=TRUE),"NF")&gt;0,1,0)</f>
        <v>0</v>
      </c>
      <c r="AK83" cm="1">
        <f t="array" ref="AK83">IF(_xlfn._xlws.FILTER(Table1[Spend - Sams China],(Table1[Execution Year]=Table2[[#This Row],[Execution Year]])*(Table1[SBU]=Table2[[#This Row],[SBU]])*(Table1[Category]=Table2[[#This Row],[Category]])*(Table1[Most curent]=TRUE),"NF")&gt;0,1,0)</f>
        <v>0</v>
      </c>
      <c r="AL83" cm="1">
        <f t="array" ref="AL83">IF(_xlfn._xlws.FILTER(Table1[Spend - IND],(Table1[Execution Year]=Table2[[#This Row],[Execution Year]])*(Table1[SBU]=Table2[[#This Row],[SBU]])*(Table1[Category]=Table2[[#This Row],[Category]])*(Table1[Most curent]=TRUE),"NF")&gt;0,1,0)</f>
        <v>0</v>
      </c>
    </row>
    <row r="84" spans="1:38">
      <c r="A84" t="str">
        <f>Table2[[#This Row],[Execution Year]]&amp;Table2[[#This Row],[SBU]]&amp;Table2[[#This Row],[Category]]</f>
        <v>FY23SeafoodFrozen Shrimp Ring</v>
      </c>
      <c r="B84" t="s">
        <v>559</v>
      </c>
      <c r="C84" t="s">
        <v>543</v>
      </c>
      <c r="D84" t="s">
        <v>322</v>
      </c>
      <c r="E84" s="185">
        <v>0</v>
      </c>
      <c r="F84" s="185">
        <v>0</v>
      </c>
      <c r="G84" s="185">
        <v>0</v>
      </c>
      <c r="H84" s="185">
        <v>0</v>
      </c>
      <c r="I84" t="s">
        <v>415</v>
      </c>
      <c r="J84" t="s">
        <v>459</v>
      </c>
      <c r="K84" t="s">
        <v>533</v>
      </c>
      <c r="L84">
        <v>0</v>
      </c>
      <c r="M84">
        <v>44837</v>
      </c>
      <c r="N84" t="s">
        <v>533</v>
      </c>
      <c r="O84" s="16">
        <v>44732.420883680556</v>
      </c>
      <c r="P84" t="s">
        <v>492</v>
      </c>
      <c r="Q84" t="s">
        <v>547</v>
      </c>
      <c r="R84" t="s">
        <v>353</v>
      </c>
      <c r="S84" t="s">
        <v>548</v>
      </c>
      <c r="T84" t="s">
        <v>466</v>
      </c>
      <c r="U84">
        <v>0</v>
      </c>
      <c r="V84">
        <f>_xlfn.XLOOKUP(Table2[[#This Row],[Primary Dept Description]],'Lookup tables'!$U$17:$U$117,'Lookup tables'!$T$17:$T$117,"")</f>
        <v>83</v>
      </c>
      <c r="W84" s="15" t="str">
        <f>IF(OR(Table2[[#This Row],[Revised Award]]=0,Table2[[#This Row],[Revised Award]]=""),IF(OR(Table2[[#This Row],[Planned Award]]=0,Table2[[#This Row],[Planned Award]]=""),"Not Updated",Table2[[#This Row],[Planned Award]]),Table2[[#This Row],[Revised Award]])</f>
        <v>Not Updated</v>
      </c>
      <c r="X84" t="str">
        <f>_xlfn.XLOOKUP(Table2[[#This Row],[Milestone]],'Lookup tables'!$Y$27:$Y$60,'Lookup tables'!$Z$27:$Z$60,"Not Updated")</f>
        <v>Award</v>
      </c>
      <c r="Y84" cm="1">
        <f t="array" ref="Y84">IF(_xlfn._xlws.FILTER(Table1[Spend - CAN],(Table1[Execution Year]=Table2[[#This Row],[Execution Year]])*(Table1[SBU]=Table2[[#This Row],[SBU]])*(Table1[Category]=Table2[[#This Row],[Category]])*(Table1[Most curent]=TRUE),"NF")&gt;0,1,0)</f>
        <v>0</v>
      </c>
      <c r="Z84" cm="1">
        <f t="array" ref="Z84">IF(_xlfn._xlws.FILTER(Table1[Spend - MEX],(Table1[Execution Year]=Table2[[#This Row],[Execution Year]])*(Table1[SBU]=Table2[[#This Row],[SBU]])*(Table1[Category]=Table2[[#This Row],[Category]])*(Table1[Most curent]=TRUE),"NF")&gt;0,1,0)</f>
        <v>0</v>
      </c>
      <c r="AA84" cm="1">
        <f t="array" ref="AA84">IF(_xlfn._xlws.FILTER(Table1[Spend - CAM],(Table1[Execution Year]=Table2[[#This Row],[Execution Year]])*(Table1[SBU]=Table2[[#This Row],[SBU]])*(Table1[Category]=Table2[[#This Row],[Category]])*(Table1[Most curent]=TRUE),"NF")&gt;0,1,0)</f>
        <v>0</v>
      </c>
      <c r="AB84" cm="1">
        <f t="array" ref="AB84">IF(_xlfn._xlws.FILTER(Table1[Spend - CHL],(Table1[Execution Year]=Table2[[#This Row],[Execution Year]])*(Table1[SBU]=Table2[[#This Row],[SBU]])*(Table1[Category]=Table2[[#This Row],[Category]])*(Table1[Most curent]=TRUE),"NF")&gt;0,1,0)</f>
        <v>0</v>
      </c>
      <c r="AC84" cm="1">
        <f t="array" ref="AC84">IF(_xlfn._xlws.FILTER(Table1[Spend - ARG],(Table1[Execution Year]=Table2[[#This Row],[Execution Year]])*(Table1[SBU]=Table2[[#This Row],[SBU]])*(Table1[Category]=Table2[[#This Row],[Category]])*(Table1[Most curent]=TRUE),"NF")&gt;0,1,0)</f>
        <v>0</v>
      </c>
      <c r="AD84" cm="1">
        <f t="array" ref="AD84">IF(_xlfn._xlws.FILTER(Table1[Spend - CHN],(Table1[Execution Year]=Table2[[#This Row],[Execution Year]])*(Table1[SBU]=Table2[[#This Row],[SBU]])*(Table1[Category]=Table2[[#This Row],[Category]])*(Table1[Most curent]=TRUE),"NF")&gt;0,1,0)</f>
        <v>0</v>
      </c>
      <c r="AE84" cm="1">
        <f t="array" ref="AE84">IF(_xlfn._xlws.FILTER(Table1[Spend - JAP],(Table1[Execution Year]=Table2[[#This Row],[Execution Year]])*(Table1[SBU]=Table2[[#This Row],[SBU]])*(Table1[Category]=Table2[[#This Row],[Category]])*(Table1[Most curent]=TRUE),"NF")&gt;0,1,0)</f>
        <v>0</v>
      </c>
      <c r="AF84" cm="1">
        <f t="array" ref="AF84">IF(_xlfn._xlws.FILTER(Table1[Spend - UKN],(Table1[Execution Year]=Table2[[#This Row],[Execution Year]])*(Table1[SBU]=Table2[[#This Row],[SBU]])*(Table1[Category]=Table2[[#This Row],[Category]])*(Table1[Most curent]=TRUE),"NF")&gt;0,1,0)</f>
        <v>0</v>
      </c>
      <c r="AG84" cm="1">
        <f t="array" ref="AG84">IF(_xlfn._xlws.FILTER(Table1[Spend - SAF],(Table1[Execution Year]=Table2[[#This Row],[Execution Year]])*(Table1[SBU]=Table2[[#This Row],[SBU]])*(Table1[Category]=Table2[[#This Row],[Category]])*(Table1[Most curent]=TRUE),"NF")&gt;0,1,0)</f>
        <v>0</v>
      </c>
      <c r="AH84" cm="1">
        <f t="array" ref="AH84">IF(_xlfn._xlws.FILTER(Table1[Spend - US],(Table1[Execution Year]=Table2[[#This Row],[Execution Year]])*(Table1[SBU]=Table2[[#This Row],[SBU]])*(Table1[Category]=Table2[[#This Row],[Category]])*(Table1[Most curent]=TRUE),"NF")&gt;0,1,0)</f>
        <v>1</v>
      </c>
      <c r="AI84" cm="1">
        <f t="array" ref="AI84">IF(_xlfn._xlws.FILTER(Table1[Spend - Sams],(Table1[Execution Year]=Table2[[#This Row],[Execution Year]])*(Table1[SBU]=Table2[[#This Row],[SBU]])*(Table1[Category]=Table2[[#This Row],[Category]])*(Table1[Most curent]=TRUE),"NF")&gt;0,1,0)</f>
        <v>0</v>
      </c>
      <c r="AJ84" cm="1">
        <f t="array" ref="AJ84">IF(_xlfn._xlws.FILTER(Table1[Spend - Sams Mexico],(Table1[Execution Year]=Table2[[#This Row],[Execution Year]])*(Table1[SBU]=Table2[[#This Row],[SBU]])*(Table1[Category]=Table2[[#This Row],[Category]])*(Table1[Most curent]=TRUE),"NF")&gt;0,1,0)</f>
        <v>0</v>
      </c>
      <c r="AK84" cm="1">
        <f t="array" ref="AK84">IF(_xlfn._xlws.FILTER(Table1[Spend - Sams China],(Table1[Execution Year]=Table2[[#This Row],[Execution Year]])*(Table1[SBU]=Table2[[#This Row],[SBU]])*(Table1[Category]=Table2[[#This Row],[Category]])*(Table1[Most curent]=TRUE),"NF")&gt;0,1,0)</f>
        <v>0</v>
      </c>
      <c r="AL84" cm="1">
        <f t="array" ref="AL84">IF(_xlfn._xlws.FILTER(Table1[Spend - IND],(Table1[Execution Year]=Table2[[#This Row],[Execution Year]])*(Table1[SBU]=Table2[[#This Row],[SBU]])*(Table1[Category]=Table2[[#This Row],[Category]])*(Table1[Most curent]=TRUE),"NF")&gt;0,1,0)</f>
        <v>0</v>
      </c>
    </row>
    <row r="85" spans="1:38">
      <c r="A85" t="str">
        <f>Table2[[#This Row],[Execution Year]]&amp;Table2[[#This Row],[SBU]]&amp;Table2[[#This Row],[Category]]</f>
        <v>FY23SeafoodFrozen Flounder</v>
      </c>
      <c r="B85" t="s">
        <v>560</v>
      </c>
      <c r="C85" t="s">
        <v>543</v>
      </c>
      <c r="D85" t="s">
        <v>322</v>
      </c>
      <c r="E85" s="185">
        <v>0</v>
      </c>
      <c r="F85" s="185">
        <v>0</v>
      </c>
      <c r="G85" s="185">
        <v>0</v>
      </c>
      <c r="H85" s="185">
        <v>0</v>
      </c>
      <c r="I85" t="s">
        <v>470</v>
      </c>
      <c r="J85" t="s">
        <v>444</v>
      </c>
      <c r="K85" t="s">
        <v>533</v>
      </c>
      <c r="L85">
        <v>0</v>
      </c>
      <c r="M85">
        <v>44593</v>
      </c>
      <c r="N85" t="s">
        <v>533</v>
      </c>
      <c r="O85" s="16">
        <v>44732.420294212963</v>
      </c>
      <c r="P85" t="s">
        <v>492</v>
      </c>
      <c r="Q85" t="s">
        <v>547</v>
      </c>
      <c r="R85" t="s">
        <v>353</v>
      </c>
      <c r="S85" t="s">
        <v>548</v>
      </c>
      <c r="T85" t="s">
        <v>470</v>
      </c>
      <c r="U85">
        <v>0</v>
      </c>
      <c r="V85">
        <f>_xlfn.XLOOKUP(Table2[[#This Row],[Primary Dept Description]],'Lookup tables'!$U$17:$U$117,'Lookup tables'!$T$17:$T$117,"")</f>
        <v>83</v>
      </c>
      <c r="W85" s="15" t="str">
        <f>IF(OR(Table2[[#This Row],[Revised Award]]=0,Table2[[#This Row],[Revised Award]]=""),IF(OR(Table2[[#This Row],[Planned Award]]=0,Table2[[#This Row],[Planned Award]]=""),"Not Updated",Table2[[#This Row],[Planned Award]]),Table2[[#This Row],[Revised Award]])</f>
        <v>Not Updated</v>
      </c>
      <c r="X85" t="str">
        <f>_xlfn.XLOOKUP(Table2[[#This Row],[Milestone]],'Lookup tables'!$Y$27:$Y$60,'Lookup tables'!$Z$27:$Z$60,"Not Updated")</f>
        <v>Complete</v>
      </c>
      <c r="Y85" cm="1">
        <f t="array" ref="Y85">IF(_xlfn._xlws.FILTER(Table1[Spend - CAN],(Table1[Execution Year]=Table2[[#This Row],[Execution Year]])*(Table1[SBU]=Table2[[#This Row],[SBU]])*(Table1[Category]=Table2[[#This Row],[Category]])*(Table1[Most curent]=TRUE),"NF")&gt;0,1,0)</f>
        <v>0</v>
      </c>
      <c r="Z85" cm="1">
        <f t="array" ref="Z85">IF(_xlfn._xlws.FILTER(Table1[Spend - MEX],(Table1[Execution Year]=Table2[[#This Row],[Execution Year]])*(Table1[SBU]=Table2[[#This Row],[SBU]])*(Table1[Category]=Table2[[#This Row],[Category]])*(Table1[Most curent]=TRUE),"NF")&gt;0,1,0)</f>
        <v>0</v>
      </c>
      <c r="AA85" cm="1">
        <f t="array" ref="AA85">IF(_xlfn._xlws.FILTER(Table1[Spend - CAM],(Table1[Execution Year]=Table2[[#This Row],[Execution Year]])*(Table1[SBU]=Table2[[#This Row],[SBU]])*(Table1[Category]=Table2[[#This Row],[Category]])*(Table1[Most curent]=TRUE),"NF")&gt;0,1,0)</f>
        <v>0</v>
      </c>
      <c r="AB85" cm="1">
        <f t="array" ref="AB85">IF(_xlfn._xlws.FILTER(Table1[Spend - CHL],(Table1[Execution Year]=Table2[[#This Row],[Execution Year]])*(Table1[SBU]=Table2[[#This Row],[SBU]])*(Table1[Category]=Table2[[#This Row],[Category]])*(Table1[Most curent]=TRUE),"NF")&gt;0,1,0)</f>
        <v>0</v>
      </c>
      <c r="AC85" cm="1">
        <f t="array" ref="AC85">IF(_xlfn._xlws.FILTER(Table1[Spend - ARG],(Table1[Execution Year]=Table2[[#This Row],[Execution Year]])*(Table1[SBU]=Table2[[#This Row],[SBU]])*(Table1[Category]=Table2[[#This Row],[Category]])*(Table1[Most curent]=TRUE),"NF")&gt;0,1,0)</f>
        <v>0</v>
      </c>
      <c r="AD85" cm="1">
        <f t="array" ref="AD85">IF(_xlfn._xlws.FILTER(Table1[Spend - CHN],(Table1[Execution Year]=Table2[[#This Row],[Execution Year]])*(Table1[SBU]=Table2[[#This Row],[SBU]])*(Table1[Category]=Table2[[#This Row],[Category]])*(Table1[Most curent]=TRUE),"NF")&gt;0,1,0)</f>
        <v>0</v>
      </c>
      <c r="AE85" cm="1">
        <f t="array" ref="AE85">IF(_xlfn._xlws.FILTER(Table1[Spend - JAP],(Table1[Execution Year]=Table2[[#This Row],[Execution Year]])*(Table1[SBU]=Table2[[#This Row],[SBU]])*(Table1[Category]=Table2[[#This Row],[Category]])*(Table1[Most curent]=TRUE),"NF")&gt;0,1,0)</f>
        <v>0</v>
      </c>
      <c r="AF85" cm="1">
        <f t="array" ref="AF85">IF(_xlfn._xlws.FILTER(Table1[Spend - UKN],(Table1[Execution Year]=Table2[[#This Row],[Execution Year]])*(Table1[SBU]=Table2[[#This Row],[SBU]])*(Table1[Category]=Table2[[#This Row],[Category]])*(Table1[Most curent]=TRUE),"NF")&gt;0,1,0)</f>
        <v>0</v>
      </c>
      <c r="AG85" cm="1">
        <f t="array" ref="AG85">IF(_xlfn._xlws.FILTER(Table1[Spend - SAF],(Table1[Execution Year]=Table2[[#This Row],[Execution Year]])*(Table1[SBU]=Table2[[#This Row],[SBU]])*(Table1[Category]=Table2[[#This Row],[Category]])*(Table1[Most curent]=TRUE),"NF")&gt;0,1,0)</f>
        <v>0</v>
      </c>
      <c r="AH85" cm="1">
        <f t="array" ref="AH85">IF(_xlfn._xlws.FILTER(Table1[Spend - US],(Table1[Execution Year]=Table2[[#This Row],[Execution Year]])*(Table1[SBU]=Table2[[#This Row],[SBU]])*(Table1[Category]=Table2[[#This Row],[Category]])*(Table1[Most curent]=TRUE),"NF")&gt;0,1,0)</f>
        <v>1</v>
      </c>
      <c r="AI85" cm="1">
        <f t="array" ref="AI85">IF(_xlfn._xlws.FILTER(Table1[Spend - Sams],(Table1[Execution Year]=Table2[[#This Row],[Execution Year]])*(Table1[SBU]=Table2[[#This Row],[SBU]])*(Table1[Category]=Table2[[#This Row],[Category]])*(Table1[Most curent]=TRUE),"NF")&gt;0,1,0)</f>
        <v>0</v>
      </c>
      <c r="AJ85" cm="1">
        <f t="array" ref="AJ85">IF(_xlfn._xlws.FILTER(Table1[Spend - Sams Mexico],(Table1[Execution Year]=Table2[[#This Row],[Execution Year]])*(Table1[SBU]=Table2[[#This Row],[SBU]])*(Table1[Category]=Table2[[#This Row],[Category]])*(Table1[Most curent]=TRUE),"NF")&gt;0,1,0)</f>
        <v>0</v>
      </c>
      <c r="AK85" cm="1">
        <f t="array" ref="AK85">IF(_xlfn._xlws.FILTER(Table1[Spend - Sams China],(Table1[Execution Year]=Table2[[#This Row],[Execution Year]])*(Table1[SBU]=Table2[[#This Row],[SBU]])*(Table1[Category]=Table2[[#This Row],[Category]])*(Table1[Most curent]=TRUE),"NF")&gt;0,1,0)</f>
        <v>0</v>
      </c>
      <c r="AL85" cm="1">
        <f t="array" ref="AL85">IF(_xlfn._xlws.FILTER(Table1[Spend - IND],(Table1[Execution Year]=Table2[[#This Row],[Execution Year]])*(Table1[SBU]=Table2[[#This Row],[SBU]])*(Table1[Category]=Table2[[#This Row],[Category]])*(Table1[Most curent]=TRUE),"NF")&gt;0,1,0)</f>
        <v>0</v>
      </c>
    </row>
    <row r="86" spans="1:38">
      <c r="A86" t="str">
        <f>Table2[[#This Row],[Execution Year]]&amp;Table2[[#This Row],[SBU]]&amp;Table2[[#This Row],[Category]]</f>
        <v>FY23FoodSpices</v>
      </c>
      <c r="B86" t="s">
        <v>561</v>
      </c>
      <c r="C86" t="s">
        <v>33</v>
      </c>
      <c r="D86" t="s">
        <v>322</v>
      </c>
      <c r="E86" s="185"/>
      <c r="F86" s="185"/>
      <c r="G86" s="185"/>
      <c r="H86" s="185"/>
      <c r="I86" t="s">
        <v>412</v>
      </c>
      <c r="J86" t="s">
        <v>459</v>
      </c>
      <c r="K86" t="s">
        <v>562</v>
      </c>
      <c r="O86" s="16"/>
      <c r="V86">
        <f>_xlfn.XLOOKUP(Table2[[#This Row],[Primary Dept Description]],'Lookup tables'!$U$17:$U$117,'Lookup tables'!$T$17:$T$117,"")</f>
        <v>0</v>
      </c>
      <c r="W86" s="15" t="str">
        <f>IF(OR(Table2[[#This Row],[Revised Award]]=0,Table2[[#This Row],[Revised Award]]=""),IF(OR(Table2[[#This Row],[Planned Award]]=0,Table2[[#This Row],[Planned Award]]=""),"Not Updated",Table2[[#This Row],[Planned Award]]),Table2[[#This Row],[Revised Award]])</f>
        <v>Not Updated</v>
      </c>
      <c r="X86" t="str">
        <f>_xlfn.XLOOKUP(Table2[[#This Row],[Milestone]],'Lookup tables'!$Y$27:$Y$60,'Lookup tables'!$Z$27:$Z$60,"Not Updated")</f>
        <v>Exploratory</v>
      </c>
      <c r="Y86" cm="1">
        <f t="array" ref="Y86">IF(_xlfn._xlws.FILTER(Table1[Spend - CAN],(Table1[Execution Year]=Table2[[#This Row],[Execution Year]])*(Table1[SBU]=Table2[[#This Row],[SBU]])*(Table1[Category]=Table2[[#This Row],[Category]])*(Table1[Most curent]=TRUE),"NF")&gt;0,1,0)</f>
        <v>0</v>
      </c>
      <c r="Z86" cm="1">
        <f t="array" ref="Z86">IF(_xlfn._xlws.FILTER(Table1[Spend - MEX],(Table1[Execution Year]=Table2[[#This Row],[Execution Year]])*(Table1[SBU]=Table2[[#This Row],[SBU]])*(Table1[Category]=Table2[[#This Row],[Category]])*(Table1[Most curent]=TRUE),"NF")&gt;0,1,0)</f>
        <v>0</v>
      </c>
      <c r="AA86" cm="1">
        <f t="array" ref="AA86">IF(_xlfn._xlws.FILTER(Table1[Spend - CAM],(Table1[Execution Year]=Table2[[#This Row],[Execution Year]])*(Table1[SBU]=Table2[[#This Row],[SBU]])*(Table1[Category]=Table2[[#This Row],[Category]])*(Table1[Most curent]=TRUE),"NF")&gt;0,1,0)</f>
        <v>0</v>
      </c>
      <c r="AB86" cm="1">
        <f t="array" ref="AB86">IF(_xlfn._xlws.FILTER(Table1[Spend - CHL],(Table1[Execution Year]=Table2[[#This Row],[Execution Year]])*(Table1[SBU]=Table2[[#This Row],[SBU]])*(Table1[Category]=Table2[[#This Row],[Category]])*(Table1[Most curent]=TRUE),"NF")&gt;0,1,0)</f>
        <v>0</v>
      </c>
      <c r="AC86" cm="1">
        <f t="array" ref="AC86">IF(_xlfn._xlws.FILTER(Table1[Spend - ARG],(Table1[Execution Year]=Table2[[#This Row],[Execution Year]])*(Table1[SBU]=Table2[[#This Row],[SBU]])*(Table1[Category]=Table2[[#This Row],[Category]])*(Table1[Most curent]=TRUE),"NF")&gt;0,1,0)</f>
        <v>0</v>
      </c>
      <c r="AD86" cm="1">
        <f t="array" ref="AD86">IF(_xlfn._xlws.FILTER(Table1[Spend - CHN],(Table1[Execution Year]=Table2[[#This Row],[Execution Year]])*(Table1[SBU]=Table2[[#This Row],[SBU]])*(Table1[Category]=Table2[[#This Row],[Category]])*(Table1[Most curent]=TRUE),"NF")&gt;0,1,0)</f>
        <v>0</v>
      </c>
      <c r="AE86" cm="1">
        <f t="array" ref="AE86">IF(_xlfn._xlws.FILTER(Table1[Spend - JAP],(Table1[Execution Year]=Table2[[#This Row],[Execution Year]])*(Table1[SBU]=Table2[[#This Row],[SBU]])*(Table1[Category]=Table2[[#This Row],[Category]])*(Table1[Most curent]=TRUE),"NF")&gt;0,1,0)</f>
        <v>0</v>
      </c>
      <c r="AF86" cm="1">
        <f t="array" ref="AF86">IF(_xlfn._xlws.FILTER(Table1[Spend - UKN],(Table1[Execution Year]=Table2[[#This Row],[Execution Year]])*(Table1[SBU]=Table2[[#This Row],[SBU]])*(Table1[Category]=Table2[[#This Row],[Category]])*(Table1[Most curent]=TRUE),"NF")&gt;0,1,0)</f>
        <v>0</v>
      </c>
      <c r="AG86" cm="1">
        <f t="array" ref="AG86">IF(_xlfn._xlws.FILTER(Table1[Spend - SAF],(Table1[Execution Year]=Table2[[#This Row],[Execution Year]])*(Table1[SBU]=Table2[[#This Row],[SBU]])*(Table1[Category]=Table2[[#This Row],[Category]])*(Table1[Most curent]=TRUE),"NF")&gt;0,1,0)</f>
        <v>0</v>
      </c>
      <c r="AH86" cm="1">
        <f t="array" ref="AH86">IF(_xlfn._xlws.FILTER(Table1[Spend - US],(Table1[Execution Year]=Table2[[#This Row],[Execution Year]])*(Table1[SBU]=Table2[[#This Row],[SBU]])*(Table1[Category]=Table2[[#This Row],[Category]])*(Table1[Most curent]=TRUE),"NF")&gt;0,1,0)</f>
        <v>0</v>
      </c>
      <c r="AI86" cm="1">
        <f t="array" ref="AI86">IF(_xlfn._xlws.FILTER(Table1[Spend - Sams],(Table1[Execution Year]=Table2[[#This Row],[Execution Year]])*(Table1[SBU]=Table2[[#This Row],[SBU]])*(Table1[Category]=Table2[[#This Row],[Category]])*(Table1[Most curent]=TRUE),"NF")&gt;0,1,0)</f>
        <v>0</v>
      </c>
      <c r="AJ86" cm="1">
        <f t="array" ref="AJ86">IF(_xlfn._xlws.FILTER(Table1[Spend - Sams Mexico],(Table1[Execution Year]=Table2[[#This Row],[Execution Year]])*(Table1[SBU]=Table2[[#This Row],[SBU]])*(Table1[Category]=Table2[[#This Row],[Category]])*(Table1[Most curent]=TRUE),"NF")&gt;0,1,0)</f>
        <v>0</v>
      </c>
      <c r="AK86" cm="1">
        <f t="array" ref="AK86">IF(_xlfn._xlws.FILTER(Table1[Spend - Sams China],(Table1[Execution Year]=Table2[[#This Row],[Execution Year]])*(Table1[SBU]=Table2[[#This Row],[SBU]])*(Table1[Category]=Table2[[#This Row],[Category]])*(Table1[Most curent]=TRUE),"NF")&gt;0,1,0)</f>
        <v>0</v>
      </c>
      <c r="AL86" cm="1">
        <f t="array" ref="AL86">IF(_xlfn._xlws.FILTER(Table1[Spend - IND],(Table1[Execution Year]=Table2[[#This Row],[Execution Year]])*(Table1[SBU]=Table2[[#This Row],[SBU]])*(Table1[Category]=Table2[[#This Row],[Category]])*(Table1[Most curent]=TRUE),"NF")&gt;0,1,0)</f>
        <v>0</v>
      </c>
    </row>
    <row r="87" spans="1:38">
      <c r="A87" t="str">
        <f>Table2[[#This Row],[Execution Year]]&amp;Table2[[#This Row],[SBU]]&amp;Table2[[#This Row],[Category]]</f>
        <v>FY23FoodCanned Seafood</v>
      </c>
      <c r="B87" t="s">
        <v>563</v>
      </c>
      <c r="C87" t="s">
        <v>33</v>
      </c>
      <c r="D87" t="s">
        <v>322</v>
      </c>
      <c r="E87" s="185"/>
      <c r="F87" s="185"/>
      <c r="G87" s="185"/>
      <c r="H87" s="185"/>
      <c r="I87" t="s">
        <v>470</v>
      </c>
      <c r="J87" t="s">
        <v>444</v>
      </c>
      <c r="K87" t="s">
        <v>562</v>
      </c>
      <c r="O87" s="16"/>
      <c r="V87">
        <f>_xlfn.XLOOKUP(Table2[[#This Row],[Primary Dept Description]],'Lookup tables'!$U$17:$U$117,'Lookup tables'!$T$17:$T$117,"")</f>
        <v>0</v>
      </c>
      <c r="W87" s="15" t="str">
        <f>IF(OR(Table2[[#This Row],[Revised Award]]=0,Table2[[#This Row],[Revised Award]]=""),IF(OR(Table2[[#This Row],[Planned Award]]=0,Table2[[#This Row],[Planned Award]]=""),"Not Updated",Table2[[#This Row],[Planned Award]]),Table2[[#This Row],[Revised Award]])</f>
        <v>Not Updated</v>
      </c>
      <c r="X87" t="str">
        <f>_xlfn.XLOOKUP(Table2[[#This Row],[Milestone]],'Lookup tables'!$Y$27:$Y$60,'Lookup tables'!$Z$27:$Z$60,"Not Updated")</f>
        <v>Complete</v>
      </c>
      <c r="Y87" cm="1">
        <f t="array" ref="Y87">IF(_xlfn._xlws.FILTER(Table1[Spend - CAN],(Table1[Execution Year]=Table2[[#This Row],[Execution Year]])*(Table1[SBU]=Table2[[#This Row],[SBU]])*(Table1[Category]=Table2[[#This Row],[Category]])*(Table1[Most curent]=TRUE),"NF")&gt;0,1,0)</f>
        <v>0</v>
      </c>
      <c r="Z87" cm="1">
        <f t="array" ref="Z87">IF(_xlfn._xlws.FILTER(Table1[Spend - MEX],(Table1[Execution Year]=Table2[[#This Row],[Execution Year]])*(Table1[SBU]=Table2[[#This Row],[SBU]])*(Table1[Category]=Table2[[#This Row],[Category]])*(Table1[Most curent]=TRUE),"NF")&gt;0,1,0)</f>
        <v>0</v>
      </c>
      <c r="AA87" cm="1">
        <f t="array" ref="AA87">IF(_xlfn._xlws.FILTER(Table1[Spend - CAM],(Table1[Execution Year]=Table2[[#This Row],[Execution Year]])*(Table1[SBU]=Table2[[#This Row],[SBU]])*(Table1[Category]=Table2[[#This Row],[Category]])*(Table1[Most curent]=TRUE),"NF")&gt;0,1,0)</f>
        <v>0</v>
      </c>
      <c r="AB87" cm="1">
        <f t="array" ref="AB87">IF(_xlfn._xlws.FILTER(Table1[Spend - CHL],(Table1[Execution Year]=Table2[[#This Row],[Execution Year]])*(Table1[SBU]=Table2[[#This Row],[SBU]])*(Table1[Category]=Table2[[#This Row],[Category]])*(Table1[Most curent]=TRUE),"NF")&gt;0,1,0)</f>
        <v>0</v>
      </c>
      <c r="AC87" cm="1">
        <f t="array" ref="AC87">IF(_xlfn._xlws.FILTER(Table1[Spend - ARG],(Table1[Execution Year]=Table2[[#This Row],[Execution Year]])*(Table1[SBU]=Table2[[#This Row],[SBU]])*(Table1[Category]=Table2[[#This Row],[Category]])*(Table1[Most curent]=TRUE),"NF")&gt;0,1,0)</f>
        <v>0</v>
      </c>
      <c r="AD87" cm="1">
        <f t="array" ref="AD87">IF(_xlfn._xlws.FILTER(Table1[Spend - CHN],(Table1[Execution Year]=Table2[[#This Row],[Execution Year]])*(Table1[SBU]=Table2[[#This Row],[SBU]])*(Table1[Category]=Table2[[#This Row],[Category]])*(Table1[Most curent]=TRUE),"NF")&gt;0,1,0)</f>
        <v>0</v>
      </c>
      <c r="AE87" cm="1">
        <f t="array" ref="AE87">IF(_xlfn._xlws.FILTER(Table1[Spend - JAP],(Table1[Execution Year]=Table2[[#This Row],[Execution Year]])*(Table1[SBU]=Table2[[#This Row],[SBU]])*(Table1[Category]=Table2[[#This Row],[Category]])*(Table1[Most curent]=TRUE),"NF")&gt;0,1,0)</f>
        <v>0</v>
      </c>
      <c r="AF87" cm="1">
        <f t="array" ref="AF87">IF(_xlfn._xlws.FILTER(Table1[Spend - UKN],(Table1[Execution Year]=Table2[[#This Row],[Execution Year]])*(Table1[SBU]=Table2[[#This Row],[SBU]])*(Table1[Category]=Table2[[#This Row],[Category]])*(Table1[Most curent]=TRUE),"NF")&gt;0,1,0)</f>
        <v>0</v>
      </c>
      <c r="AG87" cm="1">
        <f t="array" ref="AG87">IF(_xlfn._xlws.FILTER(Table1[Spend - SAF],(Table1[Execution Year]=Table2[[#This Row],[Execution Year]])*(Table1[SBU]=Table2[[#This Row],[SBU]])*(Table1[Category]=Table2[[#This Row],[Category]])*(Table1[Most curent]=TRUE),"NF")&gt;0,1,0)</f>
        <v>0</v>
      </c>
      <c r="AH87" cm="1">
        <f t="array" ref="AH87">IF(_xlfn._xlws.FILTER(Table1[Spend - US],(Table1[Execution Year]=Table2[[#This Row],[Execution Year]])*(Table1[SBU]=Table2[[#This Row],[SBU]])*(Table1[Category]=Table2[[#This Row],[Category]])*(Table1[Most curent]=TRUE),"NF")&gt;0,1,0)</f>
        <v>0</v>
      </c>
      <c r="AI87" cm="1">
        <f t="array" ref="AI87">IF(_xlfn._xlws.FILTER(Table1[Spend - Sams],(Table1[Execution Year]=Table2[[#This Row],[Execution Year]])*(Table1[SBU]=Table2[[#This Row],[SBU]])*(Table1[Category]=Table2[[#This Row],[Category]])*(Table1[Most curent]=TRUE),"NF")&gt;0,1,0)</f>
        <v>0</v>
      </c>
      <c r="AJ87" cm="1">
        <f t="array" ref="AJ87">IF(_xlfn._xlws.FILTER(Table1[Spend - Sams Mexico],(Table1[Execution Year]=Table2[[#This Row],[Execution Year]])*(Table1[SBU]=Table2[[#This Row],[SBU]])*(Table1[Category]=Table2[[#This Row],[Category]])*(Table1[Most curent]=TRUE),"NF")&gt;0,1,0)</f>
        <v>0</v>
      </c>
      <c r="AK87" cm="1">
        <f t="array" ref="AK87">IF(_xlfn._xlws.FILTER(Table1[Spend - Sams China],(Table1[Execution Year]=Table2[[#This Row],[Execution Year]])*(Table1[SBU]=Table2[[#This Row],[SBU]])*(Table1[Category]=Table2[[#This Row],[Category]])*(Table1[Most curent]=TRUE),"NF")&gt;0,1,0)</f>
        <v>0</v>
      </c>
      <c r="AL87" cm="1">
        <f t="array" ref="AL87">IF(_xlfn._xlws.FILTER(Table1[Spend - IND],(Table1[Execution Year]=Table2[[#This Row],[Execution Year]])*(Table1[SBU]=Table2[[#This Row],[SBU]])*(Table1[Category]=Table2[[#This Row],[Category]])*(Table1[Most curent]=TRUE),"NF")&gt;0,1,0)</f>
        <v>0</v>
      </c>
    </row>
    <row r="88" spans="1:38">
      <c r="A88" t="str">
        <f>Table2[[#This Row],[Execution Year]]&amp;Table2[[#This Row],[SBU]]&amp;Table2[[#This Row],[Category]]</f>
        <v>FY23FoodApplesauce - Pouch</v>
      </c>
      <c r="B88" t="s">
        <v>564</v>
      </c>
      <c r="C88" t="s">
        <v>33</v>
      </c>
      <c r="D88" t="s">
        <v>322</v>
      </c>
      <c r="E88" s="185"/>
      <c r="F88" s="185"/>
      <c r="G88" s="185"/>
      <c r="H88" s="185"/>
      <c r="I88" t="s">
        <v>466</v>
      </c>
      <c r="J88" t="s">
        <v>459</v>
      </c>
      <c r="K88" t="s">
        <v>562</v>
      </c>
      <c r="O88" s="16"/>
      <c r="V88">
        <f>_xlfn.XLOOKUP(Table2[[#This Row],[Primary Dept Description]],'Lookup tables'!$U$17:$U$117,'Lookup tables'!$T$17:$T$117,"")</f>
        <v>0</v>
      </c>
      <c r="W88" s="15" t="str">
        <f>IF(OR(Table2[[#This Row],[Revised Award]]=0,Table2[[#This Row],[Revised Award]]=""),IF(OR(Table2[[#This Row],[Planned Award]]=0,Table2[[#This Row],[Planned Award]]=""),"Not Updated",Table2[[#This Row],[Planned Award]]),Table2[[#This Row],[Revised Award]])</f>
        <v>Not Updated</v>
      </c>
      <c r="X88" t="str">
        <f>_xlfn.XLOOKUP(Table2[[#This Row],[Milestone]],'Lookup tables'!$Y$27:$Y$60,'Lookup tables'!$Z$27:$Z$60,"Not Updated")</f>
        <v>Post Award</v>
      </c>
      <c r="Y88" cm="1">
        <f t="array" ref="Y88">IF(_xlfn._xlws.FILTER(Table1[Spend - CAN],(Table1[Execution Year]=Table2[[#This Row],[Execution Year]])*(Table1[SBU]=Table2[[#This Row],[SBU]])*(Table1[Category]=Table2[[#This Row],[Category]])*(Table1[Most curent]=TRUE),"NF")&gt;0,1,0)</f>
        <v>0</v>
      </c>
      <c r="Z88" cm="1">
        <f t="array" ref="Z88">IF(_xlfn._xlws.FILTER(Table1[Spend - MEX],(Table1[Execution Year]=Table2[[#This Row],[Execution Year]])*(Table1[SBU]=Table2[[#This Row],[SBU]])*(Table1[Category]=Table2[[#This Row],[Category]])*(Table1[Most curent]=TRUE),"NF")&gt;0,1,0)</f>
        <v>0</v>
      </c>
      <c r="AA88" cm="1">
        <f t="array" ref="AA88">IF(_xlfn._xlws.FILTER(Table1[Spend - CAM],(Table1[Execution Year]=Table2[[#This Row],[Execution Year]])*(Table1[SBU]=Table2[[#This Row],[SBU]])*(Table1[Category]=Table2[[#This Row],[Category]])*(Table1[Most curent]=TRUE),"NF")&gt;0,1,0)</f>
        <v>0</v>
      </c>
      <c r="AB88" cm="1">
        <f t="array" ref="AB88">IF(_xlfn._xlws.FILTER(Table1[Spend - CHL],(Table1[Execution Year]=Table2[[#This Row],[Execution Year]])*(Table1[SBU]=Table2[[#This Row],[SBU]])*(Table1[Category]=Table2[[#This Row],[Category]])*(Table1[Most curent]=TRUE),"NF")&gt;0,1,0)</f>
        <v>0</v>
      </c>
      <c r="AC88" cm="1">
        <f t="array" ref="AC88">IF(_xlfn._xlws.FILTER(Table1[Spend - ARG],(Table1[Execution Year]=Table2[[#This Row],[Execution Year]])*(Table1[SBU]=Table2[[#This Row],[SBU]])*(Table1[Category]=Table2[[#This Row],[Category]])*(Table1[Most curent]=TRUE),"NF")&gt;0,1,0)</f>
        <v>0</v>
      </c>
      <c r="AD88" cm="1">
        <f t="array" ref="AD88">IF(_xlfn._xlws.FILTER(Table1[Spend - CHN],(Table1[Execution Year]=Table2[[#This Row],[Execution Year]])*(Table1[SBU]=Table2[[#This Row],[SBU]])*(Table1[Category]=Table2[[#This Row],[Category]])*(Table1[Most curent]=TRUE),"NF")&gt;0,1,0)</f>
        <v>0</v>
      </c>
      <c r="AE88" cm="1">
        <f t="array" ref="AE88">IF(_xlfn._xlws.FILTER(Table1[Spend - JAP],(Table1[Execution Year]=Table2[[#This Row],[Execution Year]])*(Table1[SBU]=Table2[[#This Row],[SBU]])*(Table1[Category]=Table2[[#This Row],[Category]])*(Table1[Most curent]=TRUE),"NF")&gt;0,1,0)</f>
        <v>0</v>
      </c>
      <c r="AF88" cm="1">
        <f t="array" ref="AF88">IF(_xlfn._xlws.FILTER(Table1[Spend - UKN],(Table1[Execution Year]=Table2[[#This Row],[Execution Year]])*(Table1[SBU]=Table2[[#This Row],[SBU]])*(Table1[Category]=Table2[[#This Row],[Category]])*(Table1[Most curent]=TRUE),"NF")&gt;0,1,0)</f>
        <v>0</v>
      </c>
      <c r="AG88" cm="1">
        <f t="array" ref="AG88">IF(_xlfn._xlws.FILTER(Table1[Spend - SAF],(Table1[Execution Year]=Table2[[#This Row],[Execution Year]])*(Table1[SBU]=Table2[[#This Row],[SBU]])*(Table1[Category]=Table2[[#This Row],[Category]])*(Table1[Most curent]=TRUE),"NF")&gt;0,1,0)</f>
        <v>0</v>
      </c>
      <c r="AH88" cm="1">
        <f t="array" ref="AH88">IF(_xlfn._xlws.FILTER(Table1[Spend - US],(Table1[Execution Year]=Table2[[#This Row],[Execution Year]])*(Table1[SBU]=Table2[[#This Row],[SBU]])*(Table1[Category]=Table2[[#This Row],[Category]])*(Table1[Most curent]=TRUE),"NF")&gt;0,1,0)</f>
        <v>0</v>
      </c>
      <c r="AI88" cm="1">
        <f t="array" ref="AI88">IF(_xlfn._xlws.FILTER(Table1[Spend - Sams],(Table1[Execution Year]=Table2[[#This Row],[Execution Year]])*(Table1[SBU]=Table2[[#This Row],[SBU]])*(Table1[Category]=Table2[[#This Row],[Category]])*(Table1[Most curent]=TRUE),"NF")&gt;0,1,0)</f>
        <v>0</v>
      </c>
      <c r="AJ88" cm="1">
        <f t="array" ref="AJ88">IF(_xlfn._xlws.FILTER(Table1[Spend - Sams Mexico],(Table1[Execution Year]=Table2[[#This Row],[Execution Year]])*(Table1[SBU]=Table2[[#This Row],[SBU]])*(Table1[Category]=Table2[[#This Row],[Category]])*(Table1[Most curent]=TRUE),"NF")&gt;0,1,0)</f>
        <v>0</v>
      </c>
      <c r="AK88" cm="1">
        <f t="array" ref="AK88">IF(_xlfn._xlws.FILTER(Table1[Spend - Sams China],(Table1[Execution Year]=Table2[[#This Row],[Execution Year]])*(Table1[SBU]=Table2[[#This Row],[SBU]])*(Table1[Category]=Table2[[#This Row],[Category]])*(Table1[Most curent]=TRUE),"NF")&gt;0,1,0)</f>
        <v>0</v>
      </c>
      <c r="AL88" cm="1">
        <f t="array" ref="AL88">IF(_xlfn._xlws.FILTER(Table1[Spend - IND],(Table1[Execution Year]=Table2[[#This Row],[Execution Year]])*(Table1[SBU]=Table2[[#This Row],[SBU]])*(Table1[Category]=Table2[[#This Row],[Category]])*(Table1[Most curent]=TRUE),"NF")&gt;0,1,0)</f>
        <v>0</v>
      </c>
    </row>
    <row r="89" spans="1:38">
      <c r="A89" t="str">
        <f>Table2[[#This Row],[Execution Year]]&amp;Table2[[#This Row],[SBU]]&amp;Table2[[#This Row],[Category]]</f>
        <v>FY23FoodCanned - Pumpkin</v>
      </c>
      <c r="B89" t="s">
        <v>565</v>
      </c>
      <c r="C89" t="s">
        <v>33</v>
      </c>
      <c r="D89" t="s">
        <v>322</v>
      </c>
      <c r="E89" s="185"/>
      <c r="F89" s="185"/>
      <c r="G89" s="185"/>
      <c r="H89" s="185"/>
      <c r="I89" t="s">
        <v>466</v>
      </c>
      <c r="J89" t="s">
        <v>459</v>
      </c>
      <c r="K89" t="s">
        <v>562</v>
      </c>
      <c r="O89" s="16"/>
      <c r="V89">
        <f>_xlfn.XLOOKUP(Table2[[#This Row],[Primary Dept Description]],'Lookup tables'!$U$17:$U$117,'Lookup tables'!$T$17:$T$117,"")</f>
        <v>0</v>
      </c>
      <c r="W89" s="15" t="str">
        <f>IF(OR(Table2[[#This Row],[Revised Award]]=0,Table2[[#This Row],[Revised Award]]=""),IF(OR(Table2[[#This Row],[Planned Award]]=0,Table2[[#This Row],[Planned Award]]=""),"Not Updated",Table2[[#This Row],[Planned Award]]),Table2[[#This Row],[Revised Award]])</f>
        <v>Not Updated</v>
      </c>
      <c r="X89" t="str">
        <f>_xlfn.XLOOKUP(Table2[[#This Row],[Milestone]],'Lookup tables'!$Y$27:$Y$60,'Lookup tables'!$Z$27:$Z$60,"Not Updated")</f>
        <v>Post Award</v>
      </c>
      <c r="Y89" cm="1">
        <f t="array" ref="Y89">IF(_xlfn._xlws.FILTER(Table1[Spend - CAN],(Table1[Execution Year]=Table2[[#This Row],[Execution Year]])*(Table1[SBU]=Table2[[#This Row],[SBU]])*(Table1[Category]=Table2[[#This Row],[Category]])*(Table1[Most curent]=TRUE),"NF")&gt;0,1,0)</f>
        <v>0</v>
      </c>
      <c r="Z89" cm="1">
        <f t="array" ref="Z89">IF(_xlfn._xlws.FILTER(Table1[Spend - MEX],(Table1[Execution Year]=Table2[[#This Row],[Execution Year]])*(Table1[SBU]=Table2[[#This Row],[SBU]])*(Table1[Category]=Table2[[#This Row],[Category]])*(Table1[Most curent]=TRUE),"NF")&gt;0,1,0)</f>
        <v>0</v>
      </c>
      <c r="AA89" cm="1">
        <f t="array" ref="AA89">IF(_xlfn._xlws.FILTER(Table1[Spend - CAM],(Table1[Execution Year]=Table2[[#This Row],[Execution Year]])*(Table1[SBU]=Table2[[#This Row],[SBU]])*(Table1[Category]=Table2[[#This Row],[Category]])*(Table1[Most curent]=TRUE),"NF")&gt;0,1,0)</f>
        <v>0</v>
      </c>
      <c r="AB89" cm="1">
        <f t="array" ref="AB89">IF(_xlfn._xlws.FILTER(Table1[Spend - CHL],(Table1[Execution Year]=Table2[[#This Row],[Execution Year]])*(Table1[SBU]=Table2[[#This Row],[SBU]])*(Table1[Category]=Table2[[#This Row],[Category]])*(Table1[Most curent]=TRUE),"NF")&gt;0,1,0)</f>
        <v>0</v>
      </c>
      <c r="AC89" cm="1">
        <f t="array" ref="AC89">IF(_xlfn._xlws.FILTER(Table1[Spend - ARG],(Table1[Execution Year]=Table2[[#This Row],[Execution Year]])*(Table1[SBU]=Table2[[#This Row],[SBU]])*(Table1[Category]=Table2[[#This Row],[Category]])*(Table1[Most curent]=TRUE),"NF")&gt;0,1,0)</f>
        <v>0</v>
      </c>
      <c r="AD89" cm="1">
        <f t="array" ref="AD89">IF(_xlfn._xlws.FILTER(Table1[Spend - CHN],(Table1[Execution Year]=Table2[[#This Row],[Execution Year]])*(Table1[SBU]=Table2[[#This Row],[SBU]])*(Table1[Category]=Table2[[#This Row],[Category]])*(Table1[Most curent]=TRUE),"NF")&gt;0,1,0)</f>
        <v>0</v>
      </c>
      <c r="AE89" cm="1">
        <f t="array" ref="AE89">IF(_xlfn._xlws.FILTER(Table1[Spend - JAP],(Table1[Execution Year]=Table2[[#This Row],[Execution Year]])*(Table1[SBU]=Table2[[#This Row],[SBU]])*(Table1[Category]=Table2[[#This Row],[Category]])*(Table1[Most curent]=TRUE),"NF")&gt;0,1,0)</f>
        <v>0</v>
      </c>
      <c r="AF89" cm="1">
        <f t="array" ref="AF89">IF(_xlfn._xlws.FILTER(Table1[Spend - UKN],(Table1[Execution Year]=Table2[[#This Row],[Execution Year]])*(Table1[SBU]=Table2[[#This Row],[SBU]])*(Table1[Category]=Table2[[#This Row],[Category]])*(Table1[Most curent]=TRUE),"NF")&gt;0,1,0)</f>
        <v>0</v>
      </c>
      <c r="AG89" cm="1">
        <f t="array" ref="AG89">IF(_xlfn._xlws.FILTER(Table1[Spend - SAF],(Table1[Execution Year]=Table2[[#This Row],[Execution Year]])*(Table1[SBU]=Table2[[#This Row],[SBU]])*(Table1[Category]=Table2[[#This Row],[Category]])*(Table1[Most curent]=TRUE),"NF")&gt;0,1,0)</f>
        <v>0</v>
      </c>
      <c r="AH89" cm="1">
        <f t="array" ref="AH89">IF(_xlfn._xlws.FILTER(Table1[Spend - US],(Table1[Execution Year]=Table2[[#This Row],[Execution Year]])*(Table1[SBU]=Table2[[#This Row],[SBU]])*(Table1[Category]=Table2[[#This Row],[Category]])*(Table1[Most curent]=TRUE),"NF")&gt;0,1,0)</f>
        <v>0</v>
      </c>
      <c r="AI89" cm="1">
        <f t="array" ref="AI89">IF(_xlfn._xlws.FILTER(Table1[Spend - Sams],(Table1[Execution Year]=Table2[[#This Row],[Execution Year]])*(Table1[SBU]=Table2[[#This Row],[SBU]])*(Table1[Category]=Table2[[#This Row],[Category]])*(Table1[Most curent]=TRUE),"NF")&gt;0,1,0)</f>
        <v>0</v>
      </c>
      <c r="AJ89" cm="1">
        <f t="array" ref="AJ89">IF(_xlfn._xlws.FILTER(Table1[Spend - Sams Mexico],(Table1[Execution Year]=Table2[[#This Row],[Execution Year]])*(Table1[SBU]=Table2[[#This Row],[SBU]])*(Table1[Category]=Table2[[#This Row],[Category]])*(Table1[Most curent]=TRUE),"NF")&gt;0,1,0)</f>
        <v>0</v>
      </c>
      <c r="AK89" cm="1">
        <f t="array" ref="AK89">IF(_xlfn._xlws.FILTER(Table1[Spend - Sams China],(Table1[Execution Year]=Table2[[#This Row],[Execution Year]])*(Table1[SBU]=Table2[[#This Row],[SBU]])*(Table1[Category]=Table2[[#This Row],[Category]])*(Table1[Most curent]=TRUE),"NF")&gt;0,1,0)</f>
        <v>0</v>
      </c>
      <c r="AL89" cm="1">
        <f t="array" ref="AL89">IF(_xlfn._xlws.FILTER(Table1[Spend - IND],(Table1[Execution Year]=Table2[[#This Row],[Execution Year]])*(Table1[SBU]=Table2[[#This Row],[SBU]])*(Table1[Category]=Table2[[#This Row],[Category]])*(Table1[Most curent]=TRUE),"NF")&gt;0,1,0)</f>
        <v>0</v>
      </c>
    </row>
    <row r="90" spans="1:38">
      <c r="A90" t="str">
        <f>Table2[[#This Row],[Execution Year]]&amp;Table2[[#This Row],[SBU]]&amp;Table2[[#This Row],[Category]]</f>
        <v>FY23FoodFrozen Pancakes/Waffles</v>
      </c>
      <c r="B90" t="s">
        <v>566</v>
      </c>
      <c r="C90" t="s">
        <v>33</v>
      </c>
      <c r="D90" t="s">
        <v>322</v>
      </c>
      <c r="E90" s="185">
        <v>0</v>
      </c>
      <c r="F90" s="185">
        <v>0</v>
      </c>
      <c r="G90" s="185">
        <v>0</v>
      </c>
      <c r="H90" s="185">
        <v>0</v>
      </c>
      <c r="I90" t="s">
        <v>417</v>
      </c>
      <c r="J90" t="s">
        <v>459</v>
      </c>
      <c r="K90" t="s">
        <v>567</v>
      </c>
      <c r="L90">
        <v>0</v>
      </c>
      <c r="M90">
        <v>60</v>
      </c>
      <c r="N90" t="s">
        <v>567</v>
      </c>
      <c r="O90" s="16">
        <v>44729.579335416667</v>
      </c>
      <c r="P90">
        <v>0</v>
      </c>
      <c r="Q90">
        <v>0</v>
      </c>
      <c r="R90" t="s">
        <v>353</v>
      </c>
      <c r="S90">
        <v>0</v>
      </c>
      <c r="T90">
        <v>0</v>
      </c>
      <c r="U90">
        <v>0</v>
      </c>
      <c r="V90" t="str">
        <f>_xlfn.XLOOKUP(Table2[[#This Row],[Primary Dept Description]],'Lookup tables'!$U$17:$U$117,'Lookup tables'!$T$17:$T$117,"")</f>
        <v/>
      </c>
      <c r="W90" s="15" t="str">
        <f>IF(OR(Table2[[#This Row],[Revised Award]]=0,Table2[[#This Row],[Revised Award]]=""),IF(OR(Table2[[#This Row],[Planned Award]]=0,Table2[[#This Row],[Planned Award]]=""),"Not Updated",Table2[[#This Row],[Planned Award]]),Table2[[#This Row],[Revised Award]])</f>
        <v>Not Updated</v>
      </c>
      <c r="X90" t="str">
        <f>_xlfn.XLOOKUP(Table2[[#This Row],[Milestone]],'Lookup tables'!$Y$27:$Y$60,'Lookup tables'!$Z$27:$Z$60,"Not Updated")</f>
        <v>Cancelled</v>
      </c>
      <c r="Y90" cm="1">
        <f t="array" ref="Y90">IF(_xlfn._xlws.FILTER(Table1[Spend - CAN],(Table1[Execution Year]=Table2[[#This Row],[Execution Year]])*(Table1[SBU]=Table2[[#This Row],[SBU]])*(Table1[Category]=Table2[[#This Row],[Category]])*(Table1[Most curent]=TRUE),"NF")&gt;0,1,0)</f>
        <v>0</v>
      </c>
      <c r="Z90" cm="1">
        <f t="array" ref="Z90">IF(_xlfn._xlws.FILTER(Table1[Spend - MEX],(Table1[Execution Year]=Table2[[#This Row],[Execution Year]])*(Table1[SBU]=Table2[[#This Row],[SBU]])*(Table1[Category]=Table2[[#This Row],[Category]])*(Table1[Most curent]=TRUE),"NF")&gt;0,1,0)</f>
        <v>0</v>
      </c>
      <c r="AA90" cm="1">
        <f t="array" ref="AA90">IF(_xlfn._xlws.FILTER(Table1[Spend - CAM],(Table1[Execution Year]=Table2[[#This Row],[Execution Year]])*(Table1[SBU]=Table2[[#This Row],[SBU]])*(Table1[Category]=Table2[[#This Row],[Category]])*(Table1[Most curent]=TRUE),"NF")&gt;0,1,0)</f>
        <v>0</v>
      </c>
      <c r="AB90" cm="1">
        <f t="array" ref="AB90">IF(_xlfn._xlws.FILTER(Table1[Spend - CHL],(Table1[Execution Year]=Table2[[#This Row],[Execution Year]])*(Table1[SBU]=Table2[[#This Row],[SBU]])*(Table1[Category]=Table2[[#This Row],[Category]])*(Table1[Most curent]=TRUE),"NF")&gt;0,1,0)</f>
        <v>0</v>
      </c>
      <c r="AC90" cm="1">
        <f t="array" ref="AC90">IF(_xlfn._xlws.FILTER(Table1[Spend - ARG],(Table1[Execution Year]=Table2[[#This Row],[Execution Year]])*(Table1[SBU]=Table2[[#This Row],[SBU]])*(Table1[Category]=Table2[[#This Row],[Category]])*(Table1[Most curent]=TRUE),"NF")&gt;0,1,0)</f>
        <v>0</v>
      </c>
      <c r="AD90" cm="1">
        <f t="array" ref="AD90">IF(_xlfn._xlws.FILTER(Table1[Spend - CHN],(Table1[Execution Year]=Table2[[#This Row],[Execution Year]])*(Table1[SBU]=Table2[[#This Row],[SBU]])*(Table1[Category]=Table2[[#This Row],[Category]])*(Table1[Most curent]=TRUE),"NF")&gt;0,1,0)</f>
        <v>0</v>
      </c>
      <c r="AE90" cm="1">
        <f t="array" ref="AE90">IF(_xlfn._xlws.FILTER(Table1[Spend - JAP],(Table1[Execution Year]=Table2[[#This Row],[Execution Year]])*(Table1[SBU]=Table2[[#This Row],[SBU]])*(Table1[Category]=Table2[[#This Row],[Category]])*(Table1[Most curent]=TRUE),"NF")&gt;0,1,0)</f>
        <v>0</v>
      </c>
      <c r="AF90" cm="1">
        <f t="array" ref="AF90">IF(_xlfn._xlws.FILTER(Table1[Spend - UKN],(Table1[Execution Year]=Table2[[#This Row],[Execution Year]])*(Table1[SBU]=Table2[[#This Row],[SBU]])*(Table1[Category]=Table2[[#This Row],[Category]])*(Table1[Most curent]=TRUE),"NF")&gt;0,1,0)</f>
        <v>0</v>
      </c>
      <c r="AG90" cm="1">
        <f t="array" ref="AG90">IF(_xlfn._xlws.FILTER(Table1[Spend - SAF],(Table1[Execution Year]=Table2[[#This Row],[Execution Year]])*(Table1[SBU]=Table2[[#This Row],[SBU]])*(Table1[Category]=Table2[[#This Row],[Category]])*(Table1[Most curent]=TRUE),"NF")&gt;0,1,0)</f>
        <v>0</v>
      </c>
      <c r="AH90" cm="1">
        <f t="array" ref="AH90">IF(_xlfn._xlws.FILTER(Table1[Spend - US],(Table1[Execution Year]=Table2[[#This Row],[Execution Year]])*(Table1[SBU]=Table2[[#This Row],[SBU]])*(Table1[Category]=Table2[[#This Row],[Category]])*(Table1[Most curent]=TRUE),"NF")&gt;0,1,0)</f>
        <v>0</v>
      </c>
      <c r="AI90" cm="1">
        <f t="array" ref="AI90">IF(_xlfn._xlws.FILTER(Table1[Spend - Sams],(Table1[Execution Year]=Table2[[#This Row],[Execution Year]])*(Table1[SBU]=Table2[[#This Row],[SBU]])*(Table1[Category]=Table2[[#This Row],[Category]])*(Table1[Most curent]=TRUE),"NF")&gt;0,1,0)</f>
        <v>0</v>
      </c>
      <c r="AJ90" cm="1">
        <f t="array" ref="AJ90">IF(_xlfn._xlws.FILTER(Table1[Spend - Sams Mexico],(Table1[Execution Year]=Table2[[#This Row],[Execution Year]])*(Table1[SBU]=Table2[[#This Row],[SBU]])*(Table1[Category]=Table2[[#This Row],[Category]])*(Table1[Most curent]=TRUE),"NF")&gt;0,1,0)</f>
        <v>0</v>
      </c>
      <c r="AK90" cm="1">
        <f t="array" ref="AK90">IF(_xlfn._xlws.FILTER(Table1[Spend - Sams China],(Table1[Execution Year]=Table2[[#This Row],[Execution Year]])*(Table1[SBU]=Table2[[#This Row],[SBU]])*(Table1[Category]=Table2[[#This Row],[Category]])*(Table1[Most curent]=TRUE),"NF")&gt;0,1,0)</f>
        <v>0</v>
      </c>
      <c r="AL90" cm="1">
        <f t="array" ref="AL90">IF(_xlfn._xlws.FILTER(Table1[Spend - IND],(Table1[Execution Year]=Table2[[#This Row],[Execution Year]])*(Table1[SBU]=Table2[[#This Row],[SBU]])*(Table1[Category]=Table2[[#This Row],[Category]])*(Table1[Most curent]=TRUE),"NF")&gt;0,1,0)</f>
        <v>0</v>
      </c>
    </row>
    <row r="91" spans="1:38">
      <c r="A91" t="str">
        <f>Table2[[#This Row],[Execution Year]]&amp;Table2[[#This Row],[SBU]]&amp;Table2[[#This Row],[Category]]</f>
        <v>FY23FoodFrozen Fruit 2021</v>
      </c>
      <c r="B91" t="s">
        <v>568</v>
      </c>
      <c r="C91" t="s">
        <v>33</v>
      </c>
      <c r="D91" t="s">
        <v>322</v>
      </c>
      <c r="E91" s="185">
        <v>0</v>
      </c>
      <c r="F91" s="185">
        <v>0</v>
      </c>
      <c r="G91" s="185">
        <v>0</v>
      </c>
      <c r="H91" s="185">
        <v>0</v>
      </c>
      <c r="I91" t="s">
        <v>470</v>
      </c>
      <c r="J91" t="s">
        <v>459</v>
      </c>
      <c r="K91" t="s">
        <v>567</v>
      </c>
      <c r="L91">
        <v>0</v>
      </c>
      <c r="M91">
        <v>60</v>
      </c>
      <c r="N91" t="s">
        <v>567</v>
      </c>
      <c r="O91" s="16">
        <v>44729.578803819444</v>
      </c>
      <c r="P91">
        <v>0</v>
      </c>
      <c r="Q91">
        <v>0</v>
      </c>
      <c r="R91" t="s">
        <v>353</v>
      </c>
      <c r="S91">
        <v>0</v>
      </c>
      <c r="T91">
        <v>0</v>
      </c>
      <c r="U91">
        <v>0</v>
      </c>
      <c r="V91" t="str">
        <f>_xlfn.XLOOKUP(Table2[[#This Row],[Primary Dept Description]],'Lookup tables'!$U$17:$U$117,'Lookup tables'!$T$17:$T$117,"")</f>
        <v/>
      </c>
      <c r="W91" s="15" t="str">
        <f>IF(OR(Table2[[#This Row],[Revised Award]]=0,Table2[[#This Row],[Revised Award]]=""),IF(OR(Table2[[#This Row],[Planned Award]]=0,Table2[[#This Row],[Planned Award]]=""),"Not Updated",Table2[[#This Row],[Planned Award]]),Table2[[#This Row],[Revised Award]])</f>
        <v>Not Updated</v>
      </c>
      <c r="X91" t="str">
        <f>_xlfn.XLOOKUP(Table2[[#This Row],[Milestone]],'Lookup tables'!$Y$27:$Y$60,'Lookup tables'!$Z$27:$Z$60,"Not Updated")</f>
        <v>Complete</v>
      </c>
      <c r="Y91" cm="1">
        <f t="array" ref="Y91">IF(_xlfn._xlws.FILTER(Table1[Spend - CAN],(Table1[Execution Year]=Table2[[#This Row],[Execution Year]])*(Table1[SBU]=Table2[[#This Row],[SBU]])*(Table1[Category]=Table2[[#This Row],[Category]])*(Table1[Most curent]=TRUE),"NF")&gt;0,1,0)</f>
        <v>0</v>
      </c>
      <c r="Z91" cm="1">
        <f t="array" ref="Z91">IF(_xlfn._xlws.FILTER(Table1[Spend - MEX],(Table1[Execution Year]=Table2[[#This Row],[Execution Year]])*(Table1[SBU]=Table2[[#This Row],[SBU]])*(Table1[Category]=Table2[[#This Row],[Category]])*(Table1[Most curent]=TRUE),"NF")&gt;0,1,0)</f>
        <v>0</v>
      </c>
      <c r="AA91" cm="1">
        <f t="array" ref="AA91">IF(_xlfn._xlws.FILTER(Table1[Spend - CAM],(Table1[Execution Year]=Table2[[#This Row],[Execution Year]])*(Table1[SBU]=Table2[[#This Row],[SBU]])*(Table1[Category]=Table2[[#This Row],[Category]])*(Table1[Most curent]=TRUE),"NF")&gt;0,1,0)</f>
        <v>0</v>
      </c>
      <c r="AB91" cm="1">
        <f t="array" ref="AB91">IF(_xlfn._xlws.FILTER(Table1[Spend - CHL],(Table1[Execution Year]=Table2[[#This Row],[Execution Year]])*(Table1[SBU]=Table2[[#This Row],[SBU]])*(Table1[Category]=Table2[[#This Row],[Category]])*(Table1[Most curent]=TRUE),"NF")&gt;0,1,0)</f>
        <v>0</v>
      </c>
      <c r="AC91" cm="1">
        <f t="array" ref="AC91">IF(_xlfn._xlws.FILTER(Table1[Spend - ARG],(Table1[Execution Year]=Table2[[#This Row],[Execution Year]])*(Table1[SBU]=Table2[[#This Row],[SBU]])*(Table1[Category]=Table2[[#This Row],[Category]])*(Table1[Most curent]=TRUE),"NF")&gt;0,1,0)</f>
        <v>0</v>
      </c>
      <c r="AD91" cm="1">
        <f t="array" ref="AD91">IF(_xlfn._xlws.FILTER(Table1[Spend - CHN],(Table1[Execution Year]=Table2[[#This Row],[Execution Year]])*(Table1[SBU]=Table2[[#This Row],[SBU]])*(Table1[Category]=Table2[[#This Row],[Category]])*(Table1[Most curent]=TRUE),"NF")&gt;0,1,0)</f>
        <v>0</v>
      </c>
      <c r="AE91" cm="1">
        <f t="array" ref="AE91">IF(_xlfn._xlws.FILTER(Table1[Spend - JAP],(Table1[Execution Year]=Table2[[#This Row],[Execution Year]])*(Table1[SBU]=Table2[[#This Row],[SBU]])*(Table1[Category]=Table2[[#This Row],[Category]])*(Table1[Most curent]=TRUE),"NF")&gt;0,1,0)</f>
        <v>0</v>
      </c>
      <c r="AF91" cm="1">
        <f t="array" ref="AF91">IF(_xlfn._xlws.FILTER(Table1[Spend - UKN],(Table1[Execution Year]=Table2[[#This Row],[Execution Year]])*(Table1[SBU]=Table2[[#This Row],[SBU]])*(Table1[Category]=Table2[[#This Row],[Category]])*(Table1[Most curent]=TRUE),"NF")&gt;0,1,0)</f>
        <v>0</v>
      </c>
      <c r="AG91" cm="1">
        <f t="array" ref="AG91">IF(_xlfn._xlws.FILTER(Table1[Spend - SAF],(Table1[Execution Year]=Table2[[#This Row],[Execution Year]])*(Table1[SBU]=Table2[[#This Row],[SBU]])*(Table1[Category]=Table2[[#This Row],[Category]])*(Table1[Most curent]=TRUE),"NF")&gt;0,1,0)</f>
        <v>0</v>
      </c>
      <c r="AH91" cm="1">
        <f t="array" ref="AH91">IF(_xlfn._xlws.FILTER(Table1[Spend - US],(Table1[Execution Year]=Table2[[#This Row],[Execution Year]])*(Table1[SBU]=Table2[[#This Row],[SBU]])*(Table1[Category]=Table2[[#This Row],[Category]])*(Table1[Most curent]=TRUE),"NF")&gt;0,1,0)</f>
        <v>1</v>
      </c>
      <c r="AI91" cm="1">
        <f t="array" ref="AI91">IF(_xlfn._xlws.FILTER(Table1[Spend - Sams],(Table1[Execution Year]=Table2[[#This Row],[Execution Year]])*(Table1[SBU]=Table2[[#This Row],[SBU]])*(Table1[Category]=Table2[[#This Row],[Category]])*(Table1[Most curent]=TRUE),"NF")&gt;0,1,0)</f>
        <v>0</v>
      </c>
      <c r="AJ91" cm="1">
        <f t="array" ref="AJ91">IF(_xlfn._xlws.FILTER(Table1[Spend - Sams Mexico],(Table1[Execution Year]=Table2[[#This Row],[Execution Year]])*(Table1[SBU]=Table2[[#This Row],[SBU]])*(Table1[Category]=Table2[[#This Row],[Category]])*(Table1[Most curent]=TRUE),"NF")&gt;0,1,0)</f>
        <v>0</v>
      </c>
      <c r="AK91" cm="1">
        <f t="array" ref="AK91">IF(_xlfn._xlws.FILTER(Table1[Spend - Sams China],(Table1[Execution Year]=Table2[[#This Row],[Execution Year]])*(Table1[SBU]=Table2[[#This Row],[SBU]])*(Table1[Category]=Table2[[#This Row],[Category]])*(Table1[Most curent]=TRUE),"NF")&gt;0,1,0)</f>
        <v>0</v>
      </c>
      <c r="AL91" cm="1">
        <f t="array" ref="AL91">IF(_xlfn._xlws.FILTER(Table1[Spend - IND],(Table1[Execution Year]=Table2[[#This Row],[Execution Year]])*(Table1[SBU]=Table2[[#This Row],[SBU]])*(Table1[Category]=Table2[[#This Row],[Category]])*(Table1[Most curent]=TRUE),"NF")&gt;0,1,0)</f>
        <v>0</v>
      </c>
    </row>
    <row r="92" spans="1:38">
      <c r="A92" t="str">
        <f>Table2[[#This Row],[Execution Year]]&amp;Table2[[#This Row],[SBU]]&amp;Table2[[#This Row],[Category]]</f>
        <v>FY23FoodCanned Soups</v>
      </c>
      <c r="B92" t="s">
        <v>569</v>
      </c>
      <c r="C92" t="s">
        <v>33</v>
      </c>
      <c r="D92" t="s">
        <v>322</v>
      </c>
      <c r="E92" s="185">
        <v>0</v>
      </c>
      <c r="F92" s="185">
        <v>0</v>
      </c>
      <c r="G92" s="185">
        <v>0</v>
      </c>
      <c r="H92" s="185">
        <v>0</v>
      </c>
      <c r="I92" t="s">
        <v>417</v>
      </c>
      <c r="J92" t="s">
        <v>417</v>
      </c>
      <c r="K92" t="s">
        <v>570</v>
      </c>
      <c r="L92">
        <v>0</v>
      </c>
      <c r="M92">
        <v>60</v>
      </c>
      <c r="N92" t="s">
        <v>570</v>
      </c>
      <c r="O92" s="16">
        <v>44730.738490277778</v>
      </c>
      <c r="P92">
        <v>0</v>
      </c>
      <c r="Q92">
        <v>0</v>
      </c>
      <c r="R92" t="s">
        <v>353</v>
      </c>
      <c r="S92">
        <v>0</v>
      </c>
      <c r="T92">
        <v>0</v>
      </c>
      <c r="U92">
        <v>0</v>
      </c>
      <c r="V92" t="str">
        <f>_xlfn.XLOOKUP(Table2[[#This Row],[Primary Dept Description]],'Lookup tables'!$U$17:$U$117,'Lookup tables'!$T$17:$T$117,"")</f>
        <v/>
      </c>
      <c r="W92" s="15" t="str">
        <f>IF(OR(Table2[[#This Row],[Revised Award]]=0,Table2[[#This Row],[Revised Award]]=""),IF(OR(Table2[[#This Row],[Planned Award]]=0,Table2[[#This Row],[Planned Award]]=""),"Not Updated",Table2[[#This Row],[Planned Award]]),Table2[[#This Row],[Revised Award]])</f>
        <v>Not Updated</v>
      </c>
      <c r="X92" t="str">
        <f>_xlfn.XLOOKUP(Table2[[#This Row],[Milestone]],'Lookup tables'!$Y$27:$Y$60,'Lookup tables'!$Z$27:$Z$60,"Not Updated")</f>
        <v>Cancelled</v>
      </c>
      <c r="Y92" cm="1">
        <f t="array" ref="Y92">IF(_xlfn._xlws.FILTER(Table1[Spend - CAN],(Table1[Execution Year]=Table2[[#This Row],[Execution Year]])*(Table1[SBU]=Table2[[#This Row],[SBU]])*(Table1[Category]=Table2[[#This Row],[Category]])*(Table1[Most curent]=TRUE),"NF")&gt;0,1,0)</f>
        <v>0</v>
      </c>
      <c r="Z92" cm="1">
        <f t="array" ref="Z92">IF(_xlfn._xlws.FILTER(Table1[Spend - MEX],(Table1[Execution Year]=Table2[[#This Row],[Execution Year]])*(Table1[SBU]=Table2[[#This Row],[SBU]])*(Table1[Category]=Table2[[#This Row],[Category]])*(Table1[Most curent]=TRUE),"NF")&gt;0,1,0)</f>
        <v>0</v>
      </c>
      <c r="AA92" cm="1">
        <f t="array" ref="AA92">IF(_xlfn._xlws.FILTER(Table1[Spend - CAM],(Table1[Execution Year]=Table2[[#This Row],[Execution Year]])*(Table1[SBU]=Table2[[#This Row],[SBU]])*(Table1[Category]=Table2[[#This Row],[Category]])*(Table1[Most curent]=TRUE),"NF")&gt;0,1,0)</f>
        <v>0</v>
      </c>
      <c r="AB92" cm="1">
        <f t="array" ref="AB92">IF(_xlfn._xlws.FILTER(Table1[Spend - CHL],(Table1[Execution Year]=Table2[[#This Row],[Execution Year]])*(Table1[SBU]=Table2[[#This Row],[SBU]])*(Table1[Category]=Table2[[#This Row],[Category]])*(Table1[Most curent]=TRUE),"NF")&gt;0,1,0)</f>
        <v>0</v>
      </c>
      <c r="AC92" cm="1">
        <f t="array" ref="AC92">IF(_xlfn._xlws.FILTER(Table1[Spend - ARG],(Table1[Execution Year]=Table2[[#This Row],[Execution Year]])*(Table1[SBU]=Table2[[#This Row],[SBU]])*(Table1[Category]=Table2[[#This Row],[Category]])*(Table1[Most curent]=TRUE),"NF")&gt;0,1,0)</f>
        <v>0</v>
      </c>
      <c r="AD92" cm="1">
        <f t="array" ref="AD92">IF(_xlfn._xlws.FILTER(Table1[Spend - CHN],(Table1[Execution Year]=Table2[[#This Row],[Execution Year]])*(Table1[SBU]=Table2[[#This Row],[SBU]])*(Table1[Category]=Table2[[#This Row],[Category]])*(Table1[Most curent]=TRUE),"NF")&gt;0,1,0)</f>
        <v>0</v>
      </c>
      <c r="AE92" cm="1">
        <f t="array" ref="AE92">IF(_xlfn._xlws.FILTER(Table1[Spend - JAP],(Table1[Execution Year]=Table2[[#This Row],[Execution Year]])*(Table1[SBU]=Table2[[#This Row],[SBU]])*(Table1[Category]=Table2[[#This Row],[Category]])*(Table1[Most curent]=TRUE),"NF")&gt;0,1,0)</f>
        <v>0</v>
      </c>
      <c r="AF92" cm="1">
        <f t="array" ref="AF92">IF(_xlfn._xlws.FILTER(Table1[Spend - UKN],(Table1[Execution Year]=Table2[[#This Row],[Execution Year]])*(Table1[SBU]=Table2[[#This Row],[SBU]])*(Table1[Category]=Table2[[#This Row],[Category]])*(Table1[Most curent]=TRUE),"NF")&gt;0,1,0)</f>
        <v>0</v>
      </c>
      <c r="AG92" cm="1">
        <f t="array" ref="AG92">IF(_xlfn._xlws.FILTER(Table1[Spend - SAF],(Table1[Execution Year]=Table2[[#This Row],[Execution Year]])*(Table1[SBU]=Table2[[#This Row],[SBU]])*(Table1[Category]=Table2[[#This Row],[Category]])*(Table1[Most curent]=TRUE),"NF")&gt;0,1,0)</f>
        <v>0</v>
      </c>
      <c r="AH92" cm="1">
        <f t="array" ref="AH92">IF(_xlfn._xlws.FILTER(Table1[Spend - US],(Table1[Execution Year]=Table2[[#This Row],[Execution Year]])*(Table1[SBU]=Table2[[#This Row],[SBU]])*(Table1[Category]=Table2[[#This Row],[Category]])*(Table1[Most curent]=TRUE),"NF")&gt;0,1,0)</f>
        <v>0</v>
      </c>
      <c r="AI92" cm="1">
        <f t="array" ref="AI92">IF(_xlfn._xlws.FILTER(Table1[Spend - Sams],(Table1[Execution Year]=Table2[[#This Row],[Execution Year]])*(Table1[SBU]=Table2[[#This Row],[SBU]])*(Table1[Category]=Table2[[#This Row],[Category]])*(Table1[Most curent]=TRUE),"NF")&gt;0,1,0)</f>
        <v>0</v>
      </c>
      <c r="AJ92" cm="1">
        <f t="array" ref="AJ92">IF(_xlfn._xlws.FILTER(Table1[Spend - Sams Mexico],(Table1[Execution Year]=Table2[[#This Row],[Execution Year]])*(Table1[SBU]=Table2[[#This Row],[SBU]])*(Table1[Category]=Table2[[#This Row],[Category]])*(Table1[Most curent]=TRUE),"NF")&gt;0,1,0)</f>
        <v>0</v>
      </c>
      <c r="AK92" cm="1">
        <f t="array" ref="AK92">IF(_xlfn._xlws.FILTER(Table1[Spend - Sams China],(Table1[Execution Year]=Table2[[#This Row],[Execution Year]])*(Table1[SBU]=Table2[[#This Row],[SBU]])*(Table1[Category]=Table2[[#This Row],[Category]])*(Table1[Most curent]=TRUE),"NF")&gt;0,1,0)</f>
        <v>0</v>
      </c>
      <c r="AL92" cm="1">
        <f t="array" ref="AL92">IF(_xlfn._xlws.FILTER(Table1[Spend - IND],(Table1[Execution Year]=Table2[[#This Row],[Execution Year]])*(Table1[SBU]=Table2[[#This Row],[SBU]])*(Table1[Category]=Table2[[#This Row],[Category]])*(Table1[Most curent]=TRUE),"NF")&gt;0,1,0)</f>
        <v>0</v>
      </c>
    </row>
    <row r="93" spans="1:38">
      <c r="A93" t="str">
        <f>Table2[[#This Row],[Execution Year]]&amp;Table2[[#This Row],[SBU]]&amp;Table2[[#This Row],[Category]]</f>
        <v>FY23FoodCoconut Water</v>
      </c>
      <c r="B93" t="s">
        <v>571</v>
      </c>
      <c r="C93" t="s">
        <v>33</v>
      </c>
      <c r="D93" t="s">
        <v>322</v>
      </c>
      <c r="E93" s="185"/>
      <c r="F93" s="185"/>
      <c r="G93" s="185"/>
      <c r="H93" s="185"/>
      <c r="I93" t="s">
        <v>417</v>
      </c>
      <c r="J93" t="s">
        <v>417</v>
      </c>
      <c r="K93" t="s">
        <v>570</v>
      </c>
      <c r="O93" s="16"/>
      <c r="V93">
        <f>_xlfn.XLOOKUP(Table2[[#This Row],[Primary Dept Description]],'Lookup tables'!$U$17:$U$117,'Lookup tables'!$T$17:$T$117,"")</f>
        <v>0</v>
      </c>
      <c r="W93" s="15" t="str">
        <f>IF(OR(Table2[[#This Row],[Revised Award]]=0,Table2[[#This Row],[Revised Award]]=""),IF(OR(Table2[[#This Row],[Planned Award]]=0,Table2[[#This Row],[Planned Award]]=""),"Not Updated",Table2[[#This Row],[Planned Award]]),Table2[[#This Row],[Revised Award]])</f>
        <v>Not Updated</v>
      </c>
      <c r="X93" t="str">
        <f>_xlfn.XLOOKUP(Table2[[#This Row],[Milestone]],'Lookup tables'!$Y$27:$Y$60,'Lookup tables'!$Z$27:$Z$60,"Not Updated")</f>
        <v>Cancelled</v>
      </c>
      <c r="Y93" cm="1">
        <f t="array" ref="Y93">IF(_xlfn._xlws.FILTER(Table1[Spend - CAN],(Table1[Execution Year]=Table2[[#This Row],[Execution Year]])*(Table1[SBU]=Table2[[#This Row],[SBU]])*(Table1[Category]=Table2[[#This Row],[Category]])*(Table1[Most curent]=TRUE),"NF")&gt;0,1,0)</f>
        <v>0</v>
      </c>
      <c r="Z93" cm="1">
        <f t="array" ref="Z93">IF(_xlfn._xlws.FILTER(Table1[Spend - MEX],(Table1[Execution Year]=Table2[[#This Row],[Execution Year]])*(Table1[SBU]=Table2[[#This Row],[SBU]])*(Table1[Category]=Table2[[#This Row],[Category]])*(Table1[Most curent]=TRUE),"NF")&gt;0,1,0)</f>
        <v>0</v>
      </c>
      <c r="AA93" cm="1">
        <f t="array" ref="AA93">IF(_xlfn._xlws.FILTER(Table1[Spend - CAM],(Table1[Execution Year]=Table2[[#This Row],[Execution Year]])*(Table1[SBU]=Table2[[#This Row],[SBU]])*(Table1[Category]=Table2[[#This Row],[Category]])*(Table1[Most curent]=TRUE),"NF")&gt;0,1,0)</f>
        <v>0</v>
      </c>
      <c r="AB93" cm="1">
        <f t="array" ref="AB93">IF(_xlfn._xlws.FILTER(Table1[Spend - CHL],(Table1[Execution Year]=Table2[[#This Row],[Execution Year]])*(Table1[SBU]=Table2[[#This Row],[SBU]])*(Table1[Category]=Table2[[#This Row],[Category]])*(Table1[Most curent]=TRUE),"NF")&gt;0,1,0)</f>
        <v>0</v>
      </c>
      <c r="AC93" cm="1">
        <f t="array" ref="AC93">IF(_xlfn._xlws.FILTER(Table1[Spend - ARG],(Table1[Execution Year]=Table2[[#This Row],[Execution Year]])*(Table1[SBU]=Table2[[#This Row],[SBU]])*(Table1[Category]=Table2[[#This Row],[Category]])*(Table1[Most curent]=TRUE),"NF")&gt;0,1,0)</f>
        <v>0</v>
      </c>
      <c r="AD93" cm="1">
        <f t="array" ref="AD93">IF(_xlfn._xlws.FILTER(Table1[Spend - CHN],(Table1[Execution Year]=Table2[[#This Row],[Execution Year]])*(Table1[SBU]=Table2[[#This Row],[SBU]])*(Table1[Category]=Table2[[#This Row],[Category]])*(Table1[Most curent]=TRUE),"NF")&gt;0,1,0)</f>
        <v>0</v>
      </c>
      <c r="AE93" cm="1">
        <f t="array" ref="AE93">IF(_xlfn._xlws.FILTER(Table1[Spend - JAP],(Table1[Execution Year]=Table2[[#This Row],[Execution Year]])*(Table1[SBU]=Table2[[#This Row],[SBU]])*(Table1[Category]=Table2[[#This Row],[Category]])*(Table1[Most curent]=TRUE),"NF")&gt;0,1,0)</f>
        <v>0</v>
      </c>
      <c r="AF93" cm="1">
        <f t="array" ref="AF93">IF(_xlfn._xlws.FILTER(Table1[Spend - UKN],(Table1[Execution Year]=Table2[[#This Row],[Execution Year]])*(Table1[SBU]=Table2[[#This Row],[SBU]])*(Table1[Category]=Table2[[#This Row],[Category]])*(Table1[Most curent]=TRUE),"NF")&gt;0,1,0)</f>
        <v>0</v>
      </c>
      <c r="AG93" cm="1">
        <f t="array" ref="AG93">IF(_xlfn._xlws.FILTER(Table1[Spend - SAF],(Table1[Execution Year]=Table2[[#This Row],[Execution Year]])*(Table1[SBU]=Table2[[#This Row],[SBU]])*(Table1[Category]=Table2[[#This Row],[Category]])*(Table1[Most curent]=TRUE),"NF")&gt;0,1,0)</f>
        <v>0</v>
      </c>
      <c r="AH93" cm="1">
        <f t="array" ref="AH93">IF(_xlfn._xlws.FILTER(Table1[Spend - US],(Table1[Execution Year]=Table2[[#This Row],[Execution Year]])*(Table1[SBU]=Table2[[#This Row],[SBU]])*(Table1[Category]=Table2[[#This Row],[Category]])*(Table1[Most curent]=TRUE),"NF")&gt;0,1,0)</f>
        <v>0</v>
      </c>
      <c r="AI93" cm="1">
        <f t="array" ref="AI93">IF(_xlfn._xlws.FILTER(Table1[Spend - Sams],(Table1[Execution Year]=Table2[[#This Row],[Execution Year]])*(Table1[SBU]=Table2[[#This Row],[SBU]])*(Table1[Category]=Table2[[#This Row],[Category]])*(Table1[Most curent]=TRUE),"NF")&gt;0,1,0)</f>
        <v>0</v>
      </c>
      <c r="AJ93" cm="1">
        <f t="array" ref="AJ93">IF(_xlfn._xlws.FILTER(Table1[Spend - Sams Mexico],(Table1[Execution Year]=Table2[[#This Row],[Execution Year]])*(Table1[SBU]=Table2[[#This Row],[SBU]])*(Table1[Category]=Table2[[#This Row],[Category]])*(Table1[Most curent]=TRUE),"NF")&gt;0,1,0)</f>
        <v>0</v>
      </c>
      <c r="AK93" cm="1">
        <f t="array" ref="AK93">IF(_xlfn._xlws.FILTER(Table1[Spend - Sams China],(Table1[Execution Year]=Table2[[#This Row],[Execution Year]])*(Table1[SBU]=Table2[[#This Row],[SBU]])*(Table1[Category]=Table2[[#This Row],[Category]])*(Table1[Most curent]=TRUE),"NF")&gt;0,1,0)</f>
        <v>0</v>
      </c>
      <c r="AL93" cm="1">
        <f t="array" ref="AL93">IF(_xlfn._xlws.FILTER(Table1[Spend - IND],(Table1[Execution Year]=Table2[[#This Row],[Execution Year]])*(Table1[SBU]=Table2[[#This Row],[SBU]])*(Table1[Category]=Table2[[#This Row],[Category]])*(Table1[Most curent]=TRUE),"NF")&gt;0,1,0)</f>
        <v>0</v>
      </c>
    </row>
    <row r="94" spans="1:38">
      <c r="A94" t="str">
        <f>Table2[[#This Row],[Execution Year]]&amp;Table2[[#This Row],[SBU]]&amp;Table2[[#This Row],[Category]]</f>
        <v>FY23FoodFruit Snacks</v>
      </c>
      <c r="B94" t="s">
        <v>60</v>
      </c>
      <c r="C94" t="s">
        <v>33</v>
      </c>
      <c r="D94" t="s">
        <v>322</v>
      </c>
      <c r="E94" s="185">
        <v>0</v>
      </c>
      <c r="F94" s="185">
        <v>0</v>
      </c>
      <c r="G94" s="185">
        <v>0</v>
      </c>
      <c r="H94" s="185">
        <v>0</v>
      </c>
      <c r="I94" t="s">
        <v>135</v>
      </c>
      <c r="J94" t="s">
        <v>459</v>
      </c>
      <c r="K94" t="s">
        <v>570</v>
      </c>
      <c r="L94" t="s">
        <v>572</v>
      </c>
      <c r="M94">
        <v>60</v>
      </c>
      <c r="N94" t="s">
        <v>570</v>
      </c>
      <c r="O94" s="16">
        <v>44730.809570370373</v>
      </c>
      <c r="P94" t="s">
        <v>475</v>
      </c>
      <c r="Q94" t="s">
        <v>499</v>
      </c>
      <c r="R94" t="s">
        <v>353</v>
      </c>
      <c r="S94" t="s">
        <v>573</v>
      </c>
      <c r="T94">
        <v>0</v>
      </c>
      <c r="U94">
        <v>0</v>
      </c>
      <c r="V94">
        <f>_xlfn.XLOOKUP(Table2[[#This Row],[Primary Dept Description]],'Lookup tables'!$U$17:$U$117,'Lookup tables'!$T$17:$T$117,"")</f>
        <v>92</v>
      </c>
      <c r="W94" s="15" t="str">
        <f>IF(OR(Table2[[#This Row],[Revised Award]]=0,Table2[[#This Row],[Revised Award]]=""),IF(OR(Table2[[#This Row],[Planned Award]]=0,Table2[[#This Row],[Planned Award]]=""),"Not Updated",Table2[[#This Row],[Planned Award]]),Table2[[#This Row],[Revised Award]])</f>
        <v>Not Updated</v>
      </c>
      <c r="X94" t="str">
        <f>_xlfn.XLOOKUP(Table2[[#This Row],[Milestone]],'Lookup tables'!$Y$27:$Y$60,'Lookup tables'!$Z$27:$Z$60,"Not Updated")</f>
        <v>Pipeline</v>
      </c>
      <c r="Y94" cm="1">
        <f t="array" ref="Y94">IF(_xlfn._xlws.FILTER(Table1[Spend - CAN],(Table1[Execution Year]=Table2[[#This Row],[Execution Year]])*(Table1[SBU]=Table2[[#This Row],[SBU]])*(Table1[Category]=Table2[[#This Row],[Category]])*(Table1[Most curent]=TRUE),"NF")&gt;0,1,0)</f>
        <v>0</v>
      </c>
      <c r="Z94" cm="1">
        <f t="array" ref="Z94">IF(_xlfn._xlws.FILTER(Table1[Spend - MEX],(Table1[Execution Year]=Table2[[#This Row],[Execution Year]])*(Table1[SBU]=Table2[[#This Row],[SBU]])*(Table1[Category]=Table2[[#This Row],[Category]])*(Table1[Most curent]=TRUE),"NF")&gt;0,1,0)</f>
        <v>0</v>
      </c>
      <c r="AA94" cm="1">
        <f t="array" ref="AA94">IF(_xlfn._xlws.FILTER(Table1[Spend - CAM],(Table1[Execution Year]=Table2[[#This Row],[Execution Year]])*(Table1[SBU]=Table2[[#This Row],[SBU]])*(Table1[Category]=Table2[[#This Row],[Category]])*(Table1[Most curent]=TRUE),"NF")&gt;0,1,0)</f>
        <v>0</v>
      </c>
      <c r="AB94" cm="1">
        <f t="array" ref="AB94">IF(_xlfn._xlws.FILTER(Table1[Spend - CHL],(Table1[Execution Year]=Table2[[#This Row],[Execution Year]])*(Table1[SBU]=Table2[[#This Row],[SBU]])*(Table1[Category]=Table2[[#This Row],[Category]])*(Table1[Most curent]=TRUE),"NF")&gt;0,1,0)</f>
        <v>0</v>
      </c>
      <c r="AC94" cm="1">
        <f t="array" ref="AC94">IF(_xlfn._xlws.FILTER(Table1[Spend - ARG],(Table1[Execution Year]=Table2[[#This Row],[Execution Year]])*(Table1[SBU]=Table2[[#This Row],[SBU]])*(Table1[Category]=Table2[[#This Row],[Category]])*(Table1[Most curent]=TRUE),"NF")&gt;0,1,0)</f>
        <v>0</v>
      </c>
      <c r="AD94" cm="1">
        <f t="array" ref="AD94">IF(_xlfn._xlws.FILTER(Table1[Spend - CHN],(Table1[Execution Year]=Table2[[#This Row],[Execution Year]])*(Table1[SBU]=Table2[[#This Row],[SBU]])*(Table1[Category]=Table2[[#This Row],[Category]])*(Table1[Most curent]=TRUE),"NF")&gt;0,1,0)</f>
        <v>0</v>
      </c>
      <c r="AE94" cm="1">
        <f t="array" ref="AE94">IF(_xlfn._xlws.FILTER(Table1[Spend - JAP],(Table1[Execution Year]=Table2[[#This Row],[Execution Year]])*(Table1[SBU]=Table2[[#This Row],[SBU]])*(Table1[Category]=Table2[[#This Row],[Category]])*(Table1[Most curent]=TRUE),"NF")&gt;0,1,0)</f>
        <v>0</v>
      </c>
      <c r="AF94" cm="1">
        <f t="array" ref="AF94">IF(_xlfn._xlws.FILTER(Table1[Spend - UKN],(Table1[Execution Year]=Table2[[#This Row],[Execution Year]])*(Table1[SBU]=Table2[[#This Row],[SBU]])*(Table1[Category]=Table2[[#This Row],[Category]])*(Table1[Most curent]=TRUE),"NF")&gt;0,1,0)</f>
        <v>0</v>
      </c>
      <c r="AG94" cm="1">
        <f t="array" ref="AG94">IF(_xlfn._xlws.FILTER(Table1[Spend - SAF],(Table1[Execution Year]=Table2[[#This Row],[Execution Year]])*(Table1[SBU]=Table2[[#This Row],[SBU]])*(Table1[Category]=Table2[[#This Row],[Category]])*(Table1[Most curent]=TRUE),"NF")&gt;0,1,0)</f>
        <v>0</v>
      </c>
      <c r="AH94" cm="1">
        <f t="array" ref="AH94">IF(_xlfn._xlws.FILTER(Table1[Spend - US],(Table1[Execution Year]=Table2[[#This Row],[Execution Year]])*(Table1[SBU]=Table2[[#This Row],[SBU]])*(Table1[Category]=Table2[[#This Row],[Category]])*(Table1[Most curent]=TRUE),"NF")&gt;0,1,0)</f>
        <v>0</v>
      </c>
      <c r="AI94" cm="1">
        <f t="array" ref="AI94">IF(_xlfn._xlws.FILTER(Table1[Spend - Sams],(Table1[Execution Year]=Table2[[#This Row],[Execution Year]])*(Table1[SBU]=Table2[[#This Row],[SBU]])*(Table1[Category]=Table2[[#This Row],[Category]])*(Table1[Most curent]=TRUE),"NF")&gt;0,1,0)</f>
        <v>0</v>
      </c>
      <c r="AJ94" cm="1">
        <f t="array" ref="AJ94">IF(_xlfn._xlws.FILTER(Table1[Spend - Sams Mexico],(Table1[Execution Year]=Table2[[#This Row],[Execution Year]])*(Table1[SBU]=Table2[[#This Row],[SBU]])*(Table1[Category]=Table2[[#This Row],[Category]])*(Table1[Most curent]=TRUE),"NF")&gt;0,1,0)</f>
        <v>0</v>
      </c>
      <c r="AK94" cm="1">
        <f t="array" ref="AK94">IF(_xlfn._xlws.FILTER(Table1[Spend - Sams China],(Table1[Execution Year]=Table2[[#This Row],[Execution Year]])*(Table1[SBU]=Table2[[#This Row],[SBU]])*(Table1[Category]=Table2[[#This Row],[Category]])*(Table1[Most curent]=TRUE),"NF")&gt;0,1,0)</f>
        <v>0</v>
      </c>
      <c r="AL94" cm="1">
        <f t="array" ref="AL94">IF(_xlfn._xlws.FILTER(Table1[Spend - IND],(Table1[Execution Year]=Table2[[#This Row],[Execution Year]])*(Table1[SBU]=Table2[[#This Row],[SBU]])*(Table1[Category]=Table2[[#This Row],[Category]])*(Table1[Most curent]=TRUE),"NF")&gt;0,1,0)</f>
        <v>0</v>
      </c>
    </row>
    <row r="95" spans="1:38">
      <c r="A95" t="str">
        <f>Table2[[#This Row],[Execution Year]]&amp;Table2[[#This Row],[SBU]]&amp;Table2[[#This Row],[Category]]</f>
        <v>FY23FoodGraham Crackers</v>
      </c>
      <c r="B95" t="s">
        <v>574</v>
      </c>
      <c r="C95" t="s">
        <v>33</v>
      </c>
      <c r="D95" t="s">
        <v>322</v>
      </c>
      <c r="E95" s="185">
        <v>44348</v>
      </c>
      <c r="F95" s="185">
        <v>0</v>
      </c>
      <c r="G95" s="185">
        <v>0</v>
      </c>
      <c r="H95" s="185">
        <v>0</v>
      </c>
      <c r="I95" t="s">
        <v>412</v>
      </c>
      <c r="J95" t="s">
        <v>459</v>
      </c>
      <c r="K95" t="s">
        <v>570</v>
      </c>
      <c r="L95" t="s">
        <v>575</v>
      </c>
      <c r="M95">
        <v>60</v>
      </c>
      <c r="N95" t="s">
        <v>570</v>
      </c>
      <c r="O95" s="16">
        <v>44730.816762268521</v>
      </c>
      <c r="P95" t="s">
        <v>475</v>
      </c>
      <c r="Q95" t="s">
        <v>499</v>
      </c>
      <c r="R95" t="s">
        <v>353</v>
      </c>
      <c r="S95" t="s">
        <v>573</v>
      </c>
      <c r="T95">
        <v>0</v>
      </c>
      <c r="U95">
        <v>0</v>
      </c>
      <c r="V95">
        <f>_xlfn.XLOOKUP(Table2[[#This Row],[Primary Dept Description]],'Lookup tables'!$U$17:$U$117,'Lookup tables'!$T$17:$T$117,"")</f>
        <v>92</v>
      </c>
      <c r="W95" s="15" t="str">
        <f>IF(OR(Table2[[#This Row],[Revised Award]]=0,Table2[[#This Row],[Revised Award]]=""),IF(OR(Table2[[#This Row],[Planned Award]]=0,Table2[[#This Row],[Planned Award]]=""),"Not Updated",Table2[[#This Row],[Planned Award]]),Table2[[#This Row],[Revised Award]])</f>
        <v>Not Updated</v>
      </c>
      <c r="X95" t="str">
        <f>_xlfn.XLOOKUP(Table2[[#This Row],[Milestone]],'Lookup tables'!$Y$27:$Y$60,'Lookup tables'!$Z$27:$Z$60,"Not Updated")</f>
        <v>Exploratory</v>
      </c>
      <c r="Y95" cm="1">
        <f t="array" ref="Y95">IF(_xlfn._xlws.FILTER(Table1[Spend - CAN],(Table1[Execution Year]=Table2[[#This Row],[Execution Year]])*(Table1[SBU]=Table2[[#This Row],[SBU]])*(Table1[Category]=Table2[[#This Row],[Category]])*(Table1[Most curent]=TRUE),"NF")&gt;0,1,0)</f>
        <v>0</v>
      </c>
      <c r="Z95" cm="1">
        <f t="array" ref="Z95">IF(_xlfn._xlws.FILTER(Table1[Spend - MEX],(Table1[Execution Year]=Table2[[#This Row],[Execution Year]])*(Table1[SBU]=Table2[[#This Row],[SBU]])*(Table1[Category]=Table2[[#This Row],[Category]])*(Table1[Most curent]=TRUE),"NF")&gt;0,1,0)</f>
        <v>0</v>
      </c>
      <c r="AA95" cm="1">
        <f t="array" ref="AA95">IF(_xlfn._xlws.FILTER(Table1[Spend - CAM],(Table1[Execution Year]=Table2[[#This Row],[Execution Year]])*(Table1[SBU]=Table2[[#This Row],[SBU]])*(Table1[Category]=Table2[[#This Row],[Category]])*(Table1[Most curent]=TRUE),"NF")&gt;0,1,0)</f>
        <v>0</v>
      </c>
      <c r="AB95" cm="1">
        <f t="array" ref="AB95">IF(_xlfn._xlws.FILTER(Table1[Spend - CHL],(Table1[Execution Year]=Table2[[#This Row],[Execution Year]])*(Table1[SBU]=Table2[[#This Row],[SBU]])*(Table1[Category]=Table2[[#This Row],[Category]])*(Table1[Most curent]=TRUE),"NF")&gt;0,1,0)</f>
        <v>0</v>
      </c>
      <c r="AC95" cm="1">
        <f t="array" ref="AC95">IF(_xlfn._xlws.FILTER(Table1[Spend - ARG],(Table1[Execution Year]=Table2[[#This Row],[Execution Year]])*(Table1[SBU]=Table2[[#This Row],[SBU]])*(Table1[Category]=Table2[[#This Row],[Category]])*(Table1[Most curent]=TRUE),"NF")&gt;0,1,0)</f>
        <v>0</v>
      </c>
      <c r="AD95" cm="1">
        <f t="array" ref="AD95">IF(_xlfn._xlws.FILTER(Table1[Spend - CHN],(Table1[Execution Year]=Table2[[#This Row],[Execution Year]])*(Table1[SBU]=Table2[[#This Row],[SBU]])*(Table1[Category]=Table2[[#This Row],[Category]])*(Table1[Most curent]=TRUE),"NF")&gt;0,1,0)</f>
        <v>0</v>
      </c>
      <c r="AE95" cm="1">
        <f t="array" ref="AE95">IF(_xlfn._xlws.FILTER(Table1[Spend - JAP],(Table1[Execution Year]=Table2[[#This Row],[Execution Year]])*(Table1[SBU]=Table2[[#This Row],[SBU]])*(Table1[Category]=Table2[[#This Row],[Category]])*(Table1[Most curent]=TRUE),"NF")&gt;0,1,0)</f>
        <v>0</v>
      </c>
      <c r="AF95" cm="1">
        <f t="array" ref="AF95">IF(_xlfn._xlws.FILTER(Table1[Spend - UKN],(Table1[Execution Year]=Table2[[#This Row],[Execution Year]])*(Table1[SBU]=Table2[[#This Row],[SBU]])*(Table1[Category]=Table2[[#This Row],[Category]])*(Table1[Most curent]=TRUE),"NF")&gt;0,1,0)</f>
        <v>0</v>
      </c>
      <c r="AG95" cm="1">
        <f t="array" ref="AG95">IF(_xlfn._xlws.FILTER(Table1[Spend - SAF],(Table1[Execution Year]=Table2[[#This Row],[Execution Year]])*(Table1[SBU]=Table2[[#This Row],[SBU]])*(Table1[Category]=Table2[[#This Row],[Category]])*(Table1[Most curent]=TRUE),"NF")&gt;0,1,0)</f>
        <v>0</v>
      </c>
      <c r="AH95" cm="1">
        <f t="array" ref="AH95">IF(_xlfn._xlws.FILTER(Table1[Spend - US],(Table1[Execution Year]=Table2[[#This Row],[Execution Year]])*(Table1[SBU]=Table2[[#This Row],[SBU]])*(Table1[Category]=Table2[[#This Row],[Category]])*(Table1[Most curent]=TRUE),"NF")&gt;0,1,0)</f>
        <v>1</v>
      </c>
      <c r="AI95" cm="1">
        <f t="array" ref="AI95">IF(_xlfn._xlws.FILTER(Table1[Spend - Sams],(Table1[Execution Year]=Table2[[#This Row],[Execution Year]])*(Table1[SBU]=Table2[[#This Row],[SBU]])*(Table1[Category]=Table2[[#This Row],[Category]])*(Table1[Most curent]=TRUE),"NF")&gt;0,1,0)</f>
        <v>0</v>
      </c>
      <c r="AJ95" cm="1">
        <f t="array" ref="AJ95">IF(_xlfn._xlws.FILTER(Table1[Spend - Sams Mexico],(Table1[Execution Year]=Table2[[#This Row],[Execution Year]])*(Table1[SBU]=Table2[[#This Row],[SBU]])*(Table1[Category]=Table2[[#This Row],[Category]])*(Table1[Most curent]=TRUE),"NF")&gt;0,1,0)</f>
        <v>0</v>
      </c>
      <c r="AK95" cm="1">
        <f t="array" ref="AK95">IF(_xlfn._xlws.FILTER(Table1[Spend - Sams China],(Table1[Execution Year]=Table2[[#This Row],[Execution Year]])*(Table1[SBU]=Table2[[#This Row],[SBU]])*(Table1[Category]=Table2[[#This Row],[Category]])*(Table1[Most curent]=TRUE),"NF")&gt;0,1,0)</f>
        <v>0</v>
      </c>
      <c r="AL95" cm="1">
        <f t="array" ref="AL95">IF(_xlfn._xlws.FILTER(Table1[Spend - IND],(Table1[Execution Year]=Table2[[#This Row],[Execution Year]])*(Table1[SBU]=Table2[[#This Row],[SBU]])*(Table1[Category]=Table2[[#This Row],[Category]])*(Table1[Most curent]=TRUE),"NF")&gt;0,1,0)</f>
        <v>0</v>
      </c>
    </row>
    <row r="96" spans="1:38">
      <c r="A96" t="str">
        <f>Table2[[#This Row],[Execution Year]]&amp;Table2[[#This Row],[SBU]]&amp;Table2[[#This Row],[Category]]</f>
        <v>FY23FoodCorn Chips</v>
      </c>
      <c r="B96" t="s">
        <v>576</v>
      </c>
      <c r="C96" t="s">
        <v>33</v>
      </c>
      <c r="D96" t="s">
        <v>322</v>
      </c>
      <c r="E96" s="185">
        <v>44378</v>
      </c>
      <c r="F96" s="185">
        <v>0</v>
      </c>
      <c r="G96" s="185">
        <v>0</v>
      </c>
      <c r="H96" s="185">
        <v>0</v>
      </c>
      <c r="I96" t="s">
        <v>412</v>
      </c>
      <c r="J96" t="s">
        <v>459</v>
      </c>
      <c r="K96" t="s">
        <v>570</v>
      </c>
      <c r="L96" t="s">
        <v>577</v>
      </c>
      <c r="M96">
        <v>60</v>
      </c>
      <c r="N96" t="s">
        <v>570</v>
      </c>
      <c r="O96" s="16">
        <v>44730.803317129627</v>
      </c>
      <c r="P96" t="s">
        <v>475</v>
      </c>
      <c r="Q96" t="s">
        <v>499</v>
      </c>
      <c r="R96" t="s">
        <v>353</v>
      </c>
      <c r="S96" t="s">
        <v>573</v>
      </c>
      <c r="T96">
        <v>0</v>
      </c>
      <c r="U96">
        <v>0</v>
      </c>
      <c r="V96">
        <f>_xlfn.XLOOKUP(Table2[[#This Row],[Primary Dept Description]],'Lookup tables'!$U$17:$U$117,'Lookup tables'!$T$17:$T$117,"")</f>
        <v>92</v>
      </c>
      <c r="W96" s="15" t="str">
        <f>IF(OR(Table2[[#This Row],[Revised Award]]=0,Table2[[#This Row],[Revised Award]]=""),IF(OR(Table2[[#This Row],[Planned Award]]=0,Table2[[#This Row],[Planned Award]]=""),"Not Updated",Table2[[#This Row],[Planned Award]]),Table2[[#This Row],[Revised Award]])</f>
        <v>Not Updated</v>
      </c>
      <c r="X96" t="str">
        <f>_xlfn.XLOOKUP(Table2[[#This Row],[Milestone]],'Lookup tables'!$Y$27:$Y$60,'Lookup tables'!$Z$27:$Z$60,"Not Updated")</f>
        <v>Exploratory</v>
      </c>
      <c r="Y96" cm="1">
        <f t="array" ref="Y96">IF(_xlfn._xlws.FILTER(Table1[Spend - CAN],(Table1[Execution Year]=Table2[[#This Row],[Execution Year]])*(Table1[SBU]=Table2[[#This Row],[SBU]])*(Table1[Category]=Table2[[#This Row],[Category]])*(Table1[Most curent]=TRUE),"NF")&gt;0,1,0)</f>
        <v>0</v>
      </c>
      <c r="Z96" cm="1">
        <f t="array" ref="Z96">IF(_xlfn._xlws.FILTER(Table1[Spend - MEX],(Table1[Execution Year]=Table2[[#This Row],[Execution Year]])*(Table1[SBU]=Table2[[#This Row],[SBU]])*(Table1[Category]=Table2[[#This Row],[Category]])*(Table1[Most curent]=TRUE),"NF")&gt;0,1,0)</f>
        <v>0</v>
      </c>
      <c r="AA96" cm="1">
        <f t="array" ref="AA96">IF(_xlfn._xlws.FILTER(Table1[Spend - CAM],(Table1[Execution Year]=Table2[[#This Row],[Execution Year]])*(Table1[SBU]=Table2[[#This Row],[SBU]])*(Table1[Category]=Table2[[#This Row],[Category]])*(Table1[Most curent]=TRUE),"NF")&gt;0,1,0)</f>
        <v>0</v>
      </c>
      <c r="AB96" cm="1">
        <f t="array" ref="AB96">IF(_xlfn._xlws.FILTER(Table1[Spend - CHL],(Table1[Execution Year]=Table2[[#This Row],[Execution Year]])*(Table1[SBU]=Table2[[#This Row],[SBU]])*(Table1[Category]=Table2[[#This Row],[Category]])*(Table1[Most curent]=TRUE),"NF")&gt;0,1,0)</f>
        <v>0</v>
      </c>
      <c r="AC96" cm="1">
        <f t="array" ref="AC96">IF(_xlfn._xlws.FILTER(Table1[Spend - ARG],(Table1[Execution Year]=Table2[[#This Row],[Execution Year]])*(Table1[SBU]=Table2[[#This Row],[SBU]])*(Table1[Category]=Table2[[#This Row],[Category]])*(Table1[Most curent]=TRUE),"NF")&gt;0,1,0)</f>
        <v>0</v>
      </c>
      <c r="AD96" cm="1">
        <f t="array" ref="AD96">IF(_xlfn._xlws.FILTER(Table1[Spend - CHN],(Table1[Execution Year]=Table2[[#This Row],[Execution Year]])*(Table1[SBU]=Table2[[#This Row],[SBU]])*(Table1[Category]=Table2[[#This Row],[Category]])*(Table1[Most curent]=TRUE),"NF")&gt;0,1,0)</f>
        <v>0</v>
      </c>
      <c r="AE96" cm="1">
        <f t="array" ref="AE96">IF(_xlfn._xlws.FILTER(Table1[Spend - JAP],(Table1[Execution Year]=Table2[[#This Row],[Execution Year]])*(Table1[SBU]=Table2[[#This Row],[SBU]])*(Table1[Category]=Table2[[#This Row],[Category]])*(Table1[Most curent]=TRUE),"NF")&gt;0,1,0)</f>
        <v>0</v>
      </c>
      <c r="AF96" cm="1">
        <f t="array" ref="AF96">IF(_xlfn._xlws.FILTER(Table1[Spend - UKN],(Table1[Execution Year]=Table2[[#This Row],[Execution Year]])*(Table1[SBU]=Table2[[#This Row],[SBU]])*(Table1[Category]=Table2[[#This Row],[Category]])*(Table1[Most curent]=TRUE),"NF")&gt;0,1,0)</f>
        <v>0</v>
      </c>
      <c r="AG96" cm="1">
        <f t="array" ref="AG96">IF(_xlfn._xlws.FILTER(Table1[Spend - SAF],(Table1[Execution Year]=Table2[[#This Row],[Execution Year]])*(Table1[SBU]=Table2[[#This Row],[SBU]])*(Table1[Category]=Table2[[#This Row],[Category]])*(Table1[Most curent]=TRUE),"NF")&gt;0,1,0)</f>
        <v>0</v>
      </c>
      <c r="AH96" cm="1">
        <f t="array" ref="AH96">IF(_xlfn._xlws.FILTER(Table1[Spend - US],(Table1[Execution Year]=Table2[[#This Row],[Execution Year]])*(Table1[SBU]=Table2[[#This Row],[SBU]])*(Table1[Category]=Table2[[#This Row],[Category]])*(Table1[Most curent]=TRUE),"NF")&gt;0,1,0)</f>
        <v>1</v>
      </c>
      <c r="AI96" cm="1">
        <f t="array" ref="AI96">IF(_xlfn._xlws.FILTER(Table1[Spend - Sams],(Table1[Execution Year]=Table2[[#This Row],[Execution Year]])*(Table1[SBU]=Table2[[#This Row],[SBU]])*(Table1[Category]=Table2[[#This Row],[Category]])*(Table1[Most curent]=TRUE),"NF")&gt;0,1,0)</f>
        <v>0</v>
      </c>
      <c r="AJ96" cm="1">
        <f t="array" ref="AJ96">IF(_xlfn._xlws.FILTER(Table1[Spend - Sams Mexico],(Table1[Execution Year]=Table2[[#This Row],[Execution Year]])*(Table1[SBU]=Table2[[#This Row],[SBU]])*(Table1[Category]=Table2[[#This Row],[Category]])*(Table1[Most curent]=TRUE),"NF")&gt;0,1,0)</f>
        <v>0</v>
      </c>
      <c r="AK96" cm="1">
        <f t="array" ref="AK96">IF(_xlfn._xlws.FILTER(Table1[Spend - Sams China],(Table1[Execution Year]=Table2[[#This Row],[Execution Year]])*(Table1[SBU]=Table2[[#This Row],[SBU]])*(Table1[Category]=Table2[[#This Row],[Category]])*(Table1[Most curent]=TRUE),"NF")&gt;0,1,0)</f>
        <v>0</v>
      </c>
      <c r="AL96" cm="1">
        <f t="array" ref="AL96">IF(_xlfn._xlws.FILTER(Table1[Spend - IND],(Table1[Execution Year]=Table2[[#This Row],[Execution Year]])*(Table1[SBU]=Table2[[#This Row],[SBU]])*(Table1[Category]=Table2[[#This Row],[Category]])*(Table1[Most curent]=TRUE),"NF")&gt;0,1,0)</f>
        <v>0</v>
      </c>
    </row>
    <row r="97" spans="1:38">
      <c r="A97" t="str">
        <f>Table2[[#This Row],[Execution Year]]&amp;Table2[[#This Row],[SBU]]&amp;Table2[[#This Row],[Category]]</f>
        <v>FY23FoodAlfredo Pasta Sauce</v>
      </c>
      <c r="B97" t="s">
        <v>578</v>
      </c>
      <c r="C97" t="s">
        <v>33</v>
      </c>
      <c r="D97" t="s">
        <v>322</v>
      </c>
      <c r="E97" s="185">
        <v>0</v>
      </c>
      <c r="F97" s="185">
        <v>0</v>
      </c>
      <c r="G97" s="185">
        <v>0</v>
      </c>
      <c r="H97" s="185">
        <v>0</v>
      </c>
      <c r="I97" t="s">
        <v>417</v>
      </c>
      <c r="J97" t="s">
        <v>417</v>
      </c>
      <c r="K97" t="s">
        <v>570</v>
      </c>
      <c r="L97">
        <v>0</v>
      </c>
      <c r="M97">
        <v>60</v>
      </c>
      <c r="N97" t="s">
        <v>570</v>
      </c>
      <c r="O97" s="16">
        <v>44730.789055787034</v>
      </c>
      <c r="P97" t="s">
        <v>475</v>
      </c>
      <c r="Q97" t="s">
        <v>499</v>
      </c>
      <c r="R97" t="s">
        <v>353</v>
      </c>
      <c r="S97" t="s">
        <v>531</v>
      </c>
      <c r="T97" t="s">
        <v>463</v>
      </c>
      <c r="U97">
        <v>0</v>
      </c>
      <c r="V97">
        <f>_xlfn.XLOOKUP(Table2[[#This Row],[Primary Dept Description]],'Lookup tables'!$U$17:$U$117,'Lookup tables'!$T$17:$T$117,"")</f>
        <v>92</v>
      </c>
      <c r="W97" s="15" t="str">
        <f>IF(OR(Table2[[#This Row],[Revised Award]]=0,Table2[[#This Row],[Revised Award]]=""),IF(OR(Table2[[#This Row],[Planned Award]]=0,Table2[[#This Row],[Planned Award]]=""),"Not Updated",Table2[[#This Row],[Planned Award]]),Table2[[#This Row],[Revised Award]])</f>
        <v>Not Updated</v>
      </c>
      <c r="X97" t="str">
        <f>_xlfn.XLOOKUP(Table2[[#This Row],[Milestone]],'Lookup tables'!$Y$27:$Y$60,'Lookup tables'!$Z$27:$Z$60,"Not Updated")</f>
        <v>Cancelled</v>
      </c>
      <c r="Y97" cm="1">
        <f t="array" ref="Y97">IF(_xlfn._xlws.FILTER(Table1[Spend - CAN],(Table1[Execution Year]=Table2[[#This Row],[Execution Year]])*(Table1[SBU]=Table2[[#This Row],[SBU]])*(Table1[Category]=Table2[[#This Row],[Category]])*(Table1[Most curent]=TRUE),"NF")&gt;0,1,0)</f>
        <v>0</v>
      </c>
      <c r="Z97" cm="1">
        <f t="array" ref="Z97">IF(_xlfn._xlws.FILTER(Table1[Spend - MEX],(Table1[Execution Year]=Table2[[#This Row],[Execution Year]])*(Table1[SBU]=Table2[[#This Row],[SBU]])*(Table1[Category]=Table2[[#This Row],[Category]])*(Table1[Most curent]=TRUE),"NF")&gt;0,1,0)</f>
        <v>0</v>
      </c>
      <c r="AA97" cm="1">
        <f t="array" ref="AA97">IF(_xlfn._xlws.FILTER(Table1[Spend - CAM],(Table1[Execution Year]=Table2[[#This Row],[Execution Year]])*(Table1[SBU]=Table2[[#This Row],[SBU]])*(Table1[Category]=Table2[[#This Row],[Category]])*(Table1[Most curent]=TRUE),"NF")&gt;0,1,0)</f>
        <v>0</v>
      </c>
      <c r="AB97" cm="1">
        <f t="array" ref="AB97">IF(_xlfn._xlws.FILTER(Table1[Spend - CHL],(Table1[Execution Year]=Table2[[#This Row],[Execution Year]])*(Table1[SBU]=Table2[[#This Row],[SBU]])*(Table1[Category]=Table2[[#This Row],[Category]])*(Table1[Most curent]=TRUE),"NF")&gt;0,1,0)</f>
        <v>0</v>
      </c>
      <c r="AC97" cm="1">
        <f t="array" ref="AC97">IF(_xlfn._xlws.FILTER(Table1[Spend - ARG],(Table1[Execution Year]=Table2[[#This Row],[Execution Year]])*(Table1[SBU]=Table2[[#This Row],[SBU]])*(Table1[Category]=Table2[[#This Row],[Category]])*(Table1[Most curent]=TRUE),"NF")&gt;0,1,0)</f>
        <v>0</v>
      </c>
      <c r="AD97" cm="1">
        <f t="array" ref="AD97">IF(_xlfn._xlws.FILTER(Table1[Spend - CHN],(Table1[Execution Year]=Table2[[#This Row],[Execution Year]])*(Table1[SBU]=Table2[[#This Row],[SBU]])*(Table1[Category]=Table2[[#This Row],[Category]])*(Table1[Most curent]=TRUE),"NF")&gt;0,1,0)</f>
        <v>0</v>
      </c>
      <c r="AE97" cm="1">
        <f t="array" ref="AE97">IF(_xlfn._xlws.FILTER(Table1[Spend - JAP],(Table1[Execution Year]=Table2[[#This Row],[Execution Year]])*(Table1[SBU]=Table2[[#This Row],[SBU]])*(Table1[Category]=Table2[[#This Row],[Category]])*(Table1[Most curent]=TRUE),"NF")&gt;0,1,0)</f>
        <v>0</v>
      </c>
      <c r="AF97" cm="1">
        <f t="array" ref="AF97">IF(_xlfn._xlws.FILTER(Table1[Spend - UKN],(Table1[Execution Year]=Table2[[#This Row],[Execution Year]])*(Table1[SBU]=Table2[[#This Row],[SBU]])*(Table1[Category]=Table2[[#This Row],[Category]])*(Table1[Most curent]=TRUE),"NF")&gt;0,1,0)</f>
        <v>0</v>
      </c>
      <c r="AG97" cm="1">
        <f t="array" ref="AG97">IF(_xlfn._xlws.FILTER(Table1[Spend - SAF],(Table1[Execution Year]=Table2[[#This Row],[Execution Year]])*(Table1[SBU]=Table2[[#This Row],[SBU]])*(Table1[Category]=Table2[[#This Row],[Category]])*(Table1[Most curent]=TRUE),"NF")&gt;0,1,0)</f>
        <v>0</v>
      </c>
      <c r="AH97" cm="1">
        <f t="array" ref="AH97">IF(_xlfn._xlws.FILTER(Table1[Spend - US],(Table1[Execution Year]=Table2[[#This Row],[Execution Year]])*(Table1[SBU]=Table2[[#This Row],[SBU]])*(Table1[Category]=Table2[[#This Row],[Category]])*(Table1[Most curent]=TRUE),"NF")&gt;0,1,0)</f>
        <v>1</v>
      </c>
      <c r="AI97" cm="1">
        <f t="array" ref="AI97">IF(_xlfn._xlws.FILTER(Table1[Spend - Sams],(Table1[Execution Year]=Table2[[#This Row],[Execution Year]])*(Table1[SBU]=Table2[[#This Row],[SBU]])*(Table1[Category]=Table2[[#This Row],[Category]])*(Table1[Most curent]=TRUE),"NF")&gt;0,1,0)</f>
        <v>0</v>
      </c>
      <c r="AJ97" cm="1">
        <f t="array" ref="AJ97">IF(_xlfn._xlws.FILTER(Table1[Spend - Sams Mexico],(Table1[Execution Year]=Table2[[#This Row],[Execution Year]])*(Table1[SBU]=Table2[[#This Row],[SBU]])*(Table1[Category]=Table2[[#This Row],[Category]])*(Table1[Most curent]=TRUE),"NF")&gt;0,1,0)</f>
        <v>0</v>
      </c>
      <c r="AK97" cm="1">
        <f t="array" ref="AK97">IF(_xlfn._xlws.FILTER(Table1[Spend - Sams China],(Table1[Execution Year]=Table2[[#This Row],[Execution Year]])*(Table1[SBU]=Table2[[#This Row],[SBU]])*(Table1[Category]=Table2[[#This Row],[Category]])*(Table1[Most curent]=TRUE),"NF")&gt;0,1,0)</f>
        <v>0</v>
      </c>
      <c r="AL97" cm="1">
        <f t="array" ref="AL97">IF(_xlfn._xlws.FILTER(Table1[Spend - IND],(Table1[Execution Year]=Table2[[#This Row],[Execution Year]])*(Table1[SBU]=Table2[[#This Row],[SBU]])*(Table1[Category]=Table2[[#This Row],[Category]])*(Table1[Most curent]=TRUE),"NF")&gt;0,1,0)</f>
        <v>0</v>
      </c>
    </row>
    <row r="98" spans="1:38">
      <c r="A98" t="str">
        <f>Table2[[#This Row],[Execution Year]]&amp;Table2[[#This Row],[SBU]]&amp;Table2[[#This Row],[Category]]</f>
        <v>FY23FoodInstant Noodles</v>
      </c>
      <c r="B98" t="s">
        <v>579</v>
      </c>
      <c r="C98" t="s">
        <v>33</v>
      </c>
      <c r="D98" t="s">
        <v>322</v>
      </c>
      <c r="E98" s="185"/>
      <c r="F98" s="185"/>
      <c r="G98" s="185"/>
      <c r="H98" s="185"/>
      <c r="I98" t="s">
        <v>412</v>
      </c>
      <c r="J98" t="s">
        <v>459</v>
      </c>
      <c r="K98" t="s">
        <v>562</v>
      </c>
      <c r="O98" s="16"/>
      <c r="V98">
        <f>_xlfn.XLOOKUP(Table2[[#This Row],[Primary Dept Description]],'Lookup tables'!$U$17:$U$117,'Lookup tables'!$T$17:$T$117,"")</f>
        <v>0</v>
      </c>
      <c r="W98" s="15" t="str">
        <f>IF(OR(Table2[[#This Row],[Revised Award]]=0,Table2[[#This Row],[Revised Award]]=""),IF(OR(Table2[[#This Row],[Planned Award]]=0,Table2[[#This Row],[Planned Award]]=""),"Not Updated",Table2[[#This Row],[Planned Award]]),Table2[[#This Row],[Revised Award]])</f>
        <v>Not Updated</v>
      </c>
      <c r="X98" t="str">
        <f>_xlfn.XLOOKUP(Table2[[#This Row],[Milestone]],'Lookup tables'!$Y$27:$Y$60,'Lookup tables'!$Z$27:$Z$60,"Not Updated")</f>
        <v>Exploratory</v>
      </c>
      <c r="Y98" cm="1">
        <f t="array" ref="Y98">IF(_xlfn._xlws.FILTER(Table1[Spend - CAN],(Table1[Execution Year]=Table2[[#This Row],[Execution Year]])*(Table1[SBU]=Table2[[#This Row],[SBU]])*(Table1[Category]=Table2[[#This Row],[Category]])*(Table1[Most curent]=TRUE),"NF")&gt;0,1,0)</f>
        <v>0</v>
      </c>
      <c r="Z98" cm="1">
        <f t="array" ref="Z98">IF(_xlfn._xlws.FILTER(Table1[Spend - MEX],(Table1[Execution Year]=Table2[[#This Row],[Execution Year]])*(Table1[SBU]=Table2[[#This Row],[SBU]])*(Table1[Category]=Table2[[#This Row],[Category]])*(Table1[Most curent]=TRUE),"NF")&gt;0,1,0)</f>
        <v>0</v>
      </c>
      <c r="AA98" cm="1">
        <f t="array" ref="AA98">IF(_xlfn._xlws.FILTER(Table1[Spend - CAM],(Table1[Execution Year]=Table2[[#This Row],[Execution Year]])*(Table1[SBU]=Table2[[#This Row],[SBU]])*(Table1[Category]=Table2[[#This Row],[Category]])*(Table1[Most curent]=TRUE),"NF")&gt;0,1,0)</f>
        <v>0</v>
      </c>
      <c r="AB98" cm="1">
        <f t="array" ref="AB98">IF(_xlfn._xlws.FILTER(Table1[Spend - CHL],(Table1[Execution Year]=Table2[[#This Row],[Execution Year]])*(Table1[SBU]=Table2[[#This Row],[SBU]])*(Table1[Category]=Table2[[#This Row],[Category]])*(Table1[Most curent]=TRUE),"NF")&gt;0,1,0)</f>
        <v>0</v>
      </c>
      <c r="AC98" cm="1">
        <f t="array" ref="AC98">IF(_xlfn._xlws.FILTER(Table1[Spend - ARG],(Table1[Execution Year]=Table2[[#This Row],[Execution Year]])*(Table1[SBU]=Table2[[#This Row],[SBU]])*(Table1[Category]=Table2[[#This Row],[Category]])*(Table1[Most curent]=TRUE),"NF")&gt;0,1,0)</f>
        <v>0</v>
      </c>
      <c r="AD98" cm="1">
        <f t="array" ref="AD98">IF(_xlfn._xlws.FILTER(Table1[Spend - CHN],(Table1[Execution Year]=Table2[[#This Row],[Execution Year]])*(Table1[SBU]=Table2[[#This Row],[SBU]])*(Table1[Category]=Table2[[#This Row],[Category]])*(Table1[Most curent]=TRUE),"NF")&gt;0,1,0)</f>
        <v>0</v>
      </c>
      <c r="AE98" cm="1">
        <f t="array" ref="AE98">IF(_xlfn._xlws.FILTER(Table1[Spend - JAP],(Table1[Execution Year]=Table2[[#This Row],[Execution Year]])*(Table1[SBU]=Table2[[#This Row],[SBU]])*(Table1[Category]=Table2[[#This Row],[Category]])*(Table1[Most curent]=TRUE),"NF")&gt;0,1,0)</f>
        <v>0</v>
      </c>
      <c r="AF98" cm="1">
        <f t="array" ref="AF98">IF(_xlfn._xlws.FILTER(Table1[Spend - UKN],(Table1[Execution Year]=Table2[[#This Row],[Execution Year]])*(Table1[SBU]=Table2[[#This Row],[SBU]])*(Table1[Category]=Table2[[#This Row],[Category]])*(Table1[Most curent]=TRUE),"NF")&gt;0,1,0)</f>
        <v>0</v>
      </c>
      <c r="AG98" cm="1">
        <f t="array" ref="AG98">IF(_xlfn._xlws.FILTER(Table1[Spend - SAF],(Table1[Execution Year]=Table2[[#This Row],[Execution Year]])*(Table1[SBU]=Table2[[#This Row],[SBU]])*(Table1[Category]=Table2[[#This Row],[Category]])*(Table1[Most curent]=TRUE),"NF")&gt;0,1,0)</f>
        <v>0</v>
      </c>
      <c r="AH98" cm="1">
        <f t="array" ref="AH98">IF(_xlfn._xlws.FILTER(Table1[Spend - US],(Table1[Execution Year]=Table2[[#This Row],[Execution Year]])*(Table1[SBU]=Table2[[#This Row],[SBU]])*(Table1[Category]=Table2[[#This Row],[Category]])*(Table1[Most curent]=TRUE),"NF")&gt;0,1,0)</f>
        <v>0</v>
      </c>
      <c r="AI98" cm="1">
        <f t="array" ref="AI98">IF(_xlfn._xlws.FILTER(Table1[Spend - Sams],(Table1[Execution Year]=Table2[[#This Row],[Execution Year]])*(Table1[SBU]=Table2[[#This Row],[SBU]])*(Table1[Category]=Table2[[#This Row],[Category]])*(Table1[Most curent]=TRUE),"NF")&gt;0,1,0)</f>
        <v>0</v>
      </c>
      <c r="AJ98" cm="1">
        <f t="array" ref="AJ98">IF(_xlfn._xlws.FILTER(Table1[Spend - Sams Mexico],(Table1[Execution Year]=Table2[[#This Row],[Execution Year]])*(Table1[SBU]=Table2[[#This Row],[SBU]])*(Table1[Category]=Table2[[#This Row],[Category]])*(Table1[Most curent]=TRUE),"NF")&gt;0,1,0)</f>
        <v>0</v>
      </c>
      <c r="AK98" cm="1">
        <f t="array" ref="AK98">IF(_xlfn._xlws.FILTER(Table1[Spend - Sams China],(Table1[Execution Year]=Table2[[#This Row],[Execution Year]])*(Table1[SBU]=Table2[[#This Row],[SBU]])*(Table1[Category]=Table2[[#This Row],[Category]])*(Table1[Most curent]=TRUE),"NF")&gt;0,1,0)</f>
        <v>0</v>
      </c>
      <c r="AL98" cm="1">
        <f t="array" ref="AL98">IF(_xlfn._xlws.FILTER(Table1[Spend - IND],(Table1[Execution Year]=Table2[[#This Row],[Execution Year]])*(Table1[SBU]=Table2[[#This Row],[SBU]])*(Table1[Category]=Table2[[#This Row],[Category]])*(Table1[Most curent]=TRUE),"NF")&gt;0,1,0)</f>
        <v>0</v>
      </c>
    </row>
    <row r="99" spans="1:38">
      <c r="A99" t="str">
        <f>Table2[[#This Row],[Execution Year]]&amp;Table2[[#This Row],[SBU]]&amp;Table2[[#This Row],[Category]]</f>
        <v>FY23FoodMulti-Pack Juice</v>
      </c>
      <c r="B99" t="s">
        <v>580</v>
      </c>
      <c r="C99" t="s">
        <v>33</v>
      </c>
      <c r="D99" t="s">
        <v>322</v>
      </c>
      <c r="E99" s="185">
        <v>44743</v>
      </c>
      <c r="F99" s="185">
        <v>0</v>
      </c>
      <c r="G99" s="185">
        <v>0</v>
      </c>
      <c r="H99" s="185">
        <v>0</v>
      </c>
      <c r="I99" t="s">
        <v>135</v>
      </c>
      <c r="J99" t="s">
        <v>459</v>
      </c>
      <c r="K99" t="s">
        <v>570</v>
      </c>
      <c r="L99" t="s">
        <v>581</v>
      </c>
      <c r="M99">
        <v>60</v>
      </c>
      <c r="N99" t="s">
        <v>570</v>
      </c>
      <c r="O99" s="16">
        <v>44730.819708796298</v>
      </c>
      <c r="P99" t="s">
        <v>475</v>
      </c>
      <c r="Q99" t="s">
        <v>499</v>
      </c>
      <c r="R99" t="s">
        <v>353</v>
      </c>
      <c r="S99" t="s">
        <v>573</v>
      </c>
      <c r="T99">
        <v>0</v>
      </c>
      <c r="U99">
        <v>0</v>
      </c>
      <c r="V99">
        <f>_xlfn.XLOOKUP(Table2[[#This Row],[Primary Dept Description]],'Lookup tables'!$U$17:$U$117,'Lookup tables'!$T$17:$T$117,"")</f>
        <v>92</v>
      </c>
      <c r="W99" s="15" t="str">
        <f>IF(OR(Table2[[#This Row],[Revised Award]]=0,Table2[[#This Row],[Revised Award]]=""),IF(OR(Table2[[#This Row],[Planned Award]]=0,Table2[[#This Row],[Planned Award]]=""),"Not Updated",Table2[[#This Row],[Planned Award]]),Table2[[#This Row],[Revised Award]])</f>
        <v>Not Updated</v>
      </c>
      <c r="X99" t="str">
        <f>_xlfn.XLOOKUP(Table2[[#This Row],[Milestone]],'Lookup tables'!$Y$27:$Y$60,'Lookup tables'!$Z$27:$Z$60,"Not Updated")</f>
        <v>Pipeline</v>
      </c>
      <c r="Y99" cm="1">
        <f t="array" ref="Y99">IF(_xlfn._xlws.FILTER(Table1[Spend - CAN],(Table1[Execution Year]=Table2[[#This Row],[Execution Year]])*(Table1[SBU]=Table2[[#This Row],[SBU]])*(Table1[Category]=Table2[[#This Row],[Category]])*(Table1[Most curent]=TRUE),"NF")&gt;0,1,0)</f>
        <v>0</v>
      </c>
      <c r="Z99" cm="1">
        <f t="array" ref="Z99">IF(_xlfn._xlws.FILTER(Table1[Spend - MEX],(Table1[Execution Year]=Table2[[#This Row],[Execution Year]])*(Table1[SBU]=Table2[[#This Row],[SBU]])*(Table1[Category]=Table2[[#This Row],[Category]])*(Table1[Most curent]=TRUE),"NF")&gt;0,1,0)</f>
        <v>0</v>
      </c>
      <c r="AA99" cm="1">
        <f t="array" ref="AA99">IF(_xlfn._xlws.FILTER(Table1[Spend - CAM],(Table1[Execution Year]=Table2[[#This Row],[Execution Year]])*(Table1[SBU]=Table2[[#This Row],[SBU]])*(Table1[Category]=Table2[[#This Row],[Category]])*(Table1[Most curent]=TRUE),"NF")&gt;0,1,0)</f>
        <v>0</v>
      </c>
      <c r="AB99" cm="1">
        <f t="array" ref="AB99">IF(_xlfn._xlws.FILTER(Table1[Spend - CHL],(Table1[Execution Year]=Table2[[#This Row],[Execution Year]])*(Table1[SBU]=Table2[[#This Row],[SBU]])*(Table1[Category]=Table2[[#This Row],[Category]])*(Table1[Most curent]=TRUE),"NF")&gt;0,1,0)</f>
        <v>0</v>
      </c>
      <c r="AC99" cm="1">
        <f t="array" ref="AC99">IF(_xlfn._xlws.FILTER(Table1[Spend - ARG],(Table1[Execution Year]=Table2[[#This Row],[Execution Year]])*(Table1[SBU]=Table2[[#This Row],[SBU]])*(Table1[Category]=Table2[[#This Row],[Category]])*(Table1[Most curent]=TRUE),"NF")&gt;0,1,0)</f>
        <v>0</v>
      </c>
      <c r="AD99" cm="1">
        <f t="array" ref="AD99">IF(_xlfn._xlws.FILTER(Table1[Spend - CHN],(Table1[Execution Year]=Table2[[#This Row],[Execution Year]])*(Table1[SBU]=Table2[[#This Row],[SBU]])*(Table1[Category]=Table2[[#This Row],[Category]])*(Table1[Most curent]=TRUE),"NF")&gt;0,1,0)</f>
        <v>0</v>
      </c>
      <c r="AE99" cm="1">
        <f t="array" ref="AE99">IF(_xlfn._xlws.FILTER(Table1[Spend - JAP],(Table1[Execution Year]=Table2[[#This Row],[Execution Year]])*(Table1[SBU]=Table2[[#This Row],[SBU]])*(Table1[Category]=Table2[[#This Row],[Category]])*(Table1[Most curent]=TRUE),"NF")&gt;0,1,0)</f>
        <v>0</v>
      </c>
      <c r="AF99" cm="1">
        <f t="array" ref="AF99">IF(_xlfn._xlws.FILTER(Table1[Spend - UKN],(Table1[Execution Year]=Table2[[#This Row],[Execution Year]])*(Table1[SBU]=Table2[[#This Row],[SBU]])*(Table1[Category]=Table2[[#This Row],[Category]])*(Table1[Most curent]=TRUE),"NF")&gt;0,1,0)</f>
        <v>0</v>
      </c>
      <c r="AG99" cm="1">
        <f t="array" ref="AG99">IF(_xlfn._xlws.FILTER(Table1[Spend - SAF],(Table1[Execution Year]=Table2[[#This Row],[Execution Year]])*(Table1[SBU]=Table2[[#This Row],[SBU]])*(Table1[Category]=Table2[[#This Row],[Category]])*(Table1[Most curent]=TRUE),"NF")&gt;0,1,0)</f>
        <v>0</v>
      </c>
      <c r="AH99" cm="1">
        <f t="array" ref="AH99">IF(_xlfn._xlws.FILTER(Table1[Spend - US],(Table1[Execution Year]=Table2[[#This Row],[Execution Year]])*(Table1[SBU]=Table2[[#This Row],[SBU]])*(Table1[Category]=Table2[[#This Row],[Category]])*(Table1[Most curent]=TRUE),"NF")&gt;0,1,0)</f>
        <v>0</v>
      </c>
      <c r="AI99" cm="1">
        <f t="array" ref="AI99">IF(_xlfn._xlws.FILTER(Table1[Spend - Sams],(Table1[Execution Year]=Table2[[#This Row],[Execution Year]])*(Table1[SBU]=Table2[[#This Row],[SBU]])*(Table1[Category]=Table2[[#This Row],[Category]])*(Table1[Most curent]=TRUE),"NF")&gt;0,1,0)</f>
        <v>0</v>
      </c>
      <c r="AJ99" cm="1">
        <f t="array" ref="AJ99">IF(_xlfn._xlws.FILTER(Table1[Spend - Sams Mexico],(Table1[Execution Year]=Table2[[#This Row],[Execution Year]])*(Table1[SBU]=Table2[[#This Row],[SBU]])*(Table1[Category]=Table2[[#This Row],[Category]])*(Table1[Most curent]=TRUE),"NF")&gt;0,1,0)</f>
        <v>0</v>
      </c>
      <c r="AK99" cm="1">
        <f t="array" ref="AK99">IF(_xlfn._xlws.FILTER(Table1[Spend - Sams China],(Table1[Execution Year]=Table2[[#This Row],[Execution Year]])*(Table1[SBU]=Table2[[#This Row],[SBU]])*(Table1[Category]=Table2[[#This Row],[Category]])*(Table1[Most curent]=TRUE),"NF")&gt;0,1,0)</f>
        <v>0</v>
      </c>
      <c r="AL99" cm="1">
        <f t="array" ref="AL99">IF(_xlfn._xlws.FILTER(Table1[Spend - IND],(Table1[Execution Year]=Table2[[#This Row],[Execution Year]])*(Table1[SBU]=Table2[[#This Row],[SBU]])*(Table1[Category]=Table2[[#This Row],[Category]])*(Table1[Most curent]=TRUE),"NF")&gt;0,1,0)</f>
        <v>0</v>
      </c>
    </row>
    <row r="100" spans="1:38">
      <c r="A100" t="str">
        <f>Table2[[#This Row],[Execution Year]]&amp;Table2[[#This Row],[SBU]]&amp;Table2[[#This Row],[Category]]</f>
        <v>FY23FoodGreen Olives</v>
      </c>
      <c r="B100" t="s">
        <v>582</v>
      </c>
      <c r="C100" t="s">
        <v>33</v>
      </c>
      <c r="D100" t="s">
        <v>322</v>
      </c>
      <c r="E100" s="185">
        <v>44501</v>
      </c>
      <c r="F100" s="185">
        <v>44591</v>
      </c>
      <c r="G100" s="185">
        <v>0</v>
      </c>
      <c r="H100" s="185">
        <v>0</v>
      </c>
      <c r="I100" t="s">
        <v>470</v>
      </c>
      <c r="J100" t="s">
        <v>459</v>
      </c>
      <c r="K100" t="s">
        <v>567</v>
      </c>
      <c r="L100">
        <v>0</v>
      </c>
      <c r="M100">
        <v>44651</v>
      </c>
      <c r="N100" t="s">
        <v>567</v>
      </c>
      <c r="O100" s="16">
        <v>44729.576902430555</v>
      </c>
      <c r="P100">
        <v>0</v>
      </c>
      <c r="Q100">
        <v>0</v>
      </c>
      <c r="R100" t="s">
        <v>353</v>
      </c>
      <c r="S100">
        <v>0</v>
      </c>
      <c r="T100">
        <v>0</v>
      </c>
      <c r="U100">
        <v>0</v>
      </c>
      <c r="V100" t="str">
        <f>_xlfn.XLOOKUP(Table2[[#This Row],[Primary Dept Description]],'Lookup tables'!$U$17:$U$117,'Lookup tables'!$T$17:$T$117,"")</f>
        <v/>
      </c>
      <c r="W100" s="15">
        <f>IF(OR(Table2[[#This Row],[Revised Award]]=0,Table2[[#This Row],[Revised Award]]=""),IF(OR(Table2[[#This Row],[Planned Award]]=0,Table2[[#This Row],[Planned Award]]=""),"Not Updated",Table2[[#This Row],[Planned Award]]),Table2[[#This Row],[Revised Award]])</f>
        <v>44591</v>
      </c>
      <c r="X100" t="str">
        <f>_xlfn.XLOOKUP(Table2[[#This Row],[Milestone]],'Lookup tables'!$Y$27:$Y$60,'Lookup tables'!$Z$27:$Z$60,"Not Updated")</f>
        <v>Complete</v>
      </c>
      <c r="Y100" cm="1">
        <f t="array" ref="Y100">IF(_xlfn._xlws.FILTER(Table1[Spend - CAN],(Table1[Execution Year]=Table2[[#This Row],[Execution Year]])*(Table1[SBU]=Table2[[#This Row],[SBU]])*(Table1[Category]=Table2[[#This Row],[Category]])*(Table1[Most curent]=TRUE),"NF")&gt;0,1,0)</f>
        <v>0</v>
      </c>
      <c r="Z100" cm="1">
        <f t="array" ref="Z100">IF(_xlfn._xlws.FILTER(Table1[Spend - MEX],(Table1[Execution Year]=Table2[[#This Row],[Execution Year]])*(Table1[SBU]=Table2[[#This Row],[SBU]])*(Table1[Category]=Table2[[#This Row],[Category]])*(Table1[Most curent]=TRUE),"NF")&gt;0,1,0)</f>
        <v>0</v>
      </c>
      <c r="AA100" cm="1">
        <f t="array" ref="AA100">IF(_xlfn._xlws.FILTER(Table1[Spend - CAM],(Table1[Execution Year]=Table2[[#This Row],[Execution Year]])*(Table1[SBU]=Table2[[#This Row],[SBU]])*(Table1[Category]=Table2[[#This Row],[Category]])*(Table1[Most curent]=TRUE),"NF")&gt;0,1,0)</f>
        <v>0</v>
      </c>
      <c r="AB100" cm="1">
        <f t="array" ref="AB100">IF(_xlfn._xlws.FILTER(Table1[Spend - CHL],(Table1[Execution Year]=Table2[[#This Row],[Execution Year]])*(Table1[SBU]=Table2[[#This Row],[SBU]])*(Table1[Category]=Table2[[#This Row],[Category]])*(Table1[Most curent]=TRUE),"NF")&gt;0,1,0)</f>
        <v>0</v>
      </c>
      <c r="AC100" cm="1">
        <f t="array" ref="AC100">IF(_xlfn._xlws.FILTER(Table1[Spend - ARG],(Table1[Execution Year]=Table2[[#This Row],[Execution Year]])*(Table1[SBU]=Table2[[#This Row],[SBU]])*(Table1[Category]=Table2[[#This Row],[Category]])*(Table1[Most curent]=TRUE),"NF")&gt;0,1,0)</f>
        <v>0</v>
      </c>
      <c r="AD100" cm="1">
        <f t="array" ref="AD100">IF(_xlfn._xlws.FILTER(Table1[Spend - CHN],(Table1[Execution Year]=Table2[[#This Row],[Execution Year]])*(Table1[SBU]=Table2[[#This Row],[SBU]])*(Table1[Category]=Table2[[#This Row],[Category]])*(Table1[Most curent]=TRUE),"NF")&gt;0,1,0)</f>
        <v>0</v>
      </c>
      <c r="AE100" cm="1">
        <f t="array" ref="AE100">IF(_xlfn._xlws.FILTER(Table1[Spend - JAP],(Table1[Execution Year]=Table2[[#This Row],[Execution Year]])*(Table1[SBU]=Table2[[#This Row],[SBU]])*(Table1[Category]=Table2[[#This Row],[Category]])*(Table1[Most curent]=TRUE),"NF")&gt;0,1,0)</f>
        <v>0</v>
      </c>
      <c r="AF100" cm="1">
        <f t="array" ref="AF100">IF(_xlfn._xlws.FILTER(Table1[Spend - UKN],(Table1[Execution Year]=Table2[[#This Row],[Execution Year]])*(Table1[SBU]=Table2[[#This Row],[SBU]])*(Table1[Category]=Table2[[#This Row],[Category]])*(Table1[Most curent]=TRUE),"NF")&gt;0,1,0)</f>
        <v>0</v>
      </c>
      <c r="AG100" cm="1">
        <f t="array" ref="AG100">IF(_xlfn._xlws.FILTER(Table1[Spend - SAF],(Table1[Execution Year]=Table2[[#This Row],[Execution Year]])*(Table1[SBU]=Table2[[#This Row],[SBU]])*(Table1[Category]=Table2[[#This Row],[Category]])*(Table1[Most curent]=TRUE),"NF")&gt;0,1,0)</f>
        <v>0</v>
      </c>
      <c r="AH100" cm="1">
        <f t="array" ref="AH100">IF(_xlfn._xlws.FILTER(Table1[Spend - US],(Table1[Execution Year]=Table2[[#This Row],[Execution Year]])*(Table1[SBU]=Table2[[#This Row],[SBU]])*(Table1[Category]=Table2[[#This Row],[Category]])*(Table1[Most curent]=TRUE),"NF")&gt;0,1,0)</f>
        <v>1</v>
      </c>
      <c r="AI100" cm="1">
        <f t="array" ref="AI100">IF(_xlfn._xlws.FILTER(Table1[Spend - Sams],(Table1[Execution Year]=Table2[[#This Row],[Execution Year]])*(Table1[SBU]=Table2[[#This Row],[SBU]])*(Table1[Category]=Table2[[#This Row],[Category]])*(Table1[Most curent]=TRUE),"NF")&gt;0,1,0)</f>
        <v>1</v>
      </c>
      <c r="AJ100" cm="1">
        <f t="array" ref="AJ100">IF(_xlfn._xlws.FILTER(Table1[Spend - Sams Mexico],(Table1[Execution Year]=Table2[[#This Row],[Execution Year]])*(Table1[SBU]=Table2[[#This Row],[SBU]])*(Table1[Category]=Table2[[#This Row],[Category]])*(Table1[Most curent]=TRUE),"NF")&gt;0,1,0)</f>
        <v>0</v>
      </c>
      <c r="AK100" cm="1">
        <f t="array" ref="AK100">IF(_xlfn._xlws.FILTER(Table1[Spend - Sams China],(Table1[Execution Year]=Table2[[#This Row],[Execution Year]])*(Table1[SBU]=Table2[[#This Row],[SBU]])*(Table1[Category]=Table2[[#This Row],[Category]])*(Table1[Most curent]=TRUE),"NF")&gt;0,1,0)</f>
        <v>0</v>
      </c>
      <c r="AL100" cm="1">
        <f t="array" ref="AL100">IF(_xlfn._xlws.FILTER(Table1[Spend - IND],(Table1[Execution Year]=Table2[[#This Row],[Execution Year]])*(Table1[SBU]=Table2[[#This Row],[SBU]])*(Table1[Category]=Table2[[#This Row],[Category]])*(Table1[Most curent]=TRUE),"NF")&gt;0,1,0)</f>
        <v>0</v>
      </c>
    </row>
    <row r="101" spans="1:38">
      <c r="A101" t="str">
        <f>Table2[[#This Row],[Execution Year]]&amp;Table2[[#This Row],[SBU]]&amp;Table2[[#This Row],[Category]]</f>
        <v>FY23FoodPickles</v>
      </c>
      <c r="B101" t="s">
        <v>67</v>
      </c>
      <c r="C101" t="s">
        <v>33</v>
      </c>
      <c r="D101" t="s">
        <v>322</v>
      </c>
      <c r="E101" s="185">
        <v>0</v>
      </c>
      <c r="F101" s="185">
        <v>0</v>
      </c>
      <c r="G101" s="185">
        <v>0</v>
      </c>
      <c r="H101" s="185">
        <v>0</v>
      </c>
      <c r="I101" t="s">
        <v>470</v>
      </c>
      <c r="J101" t="s">
        <v>459</v>
      </c>
      <c r="K101" t="s">
        <v>567</v>
      </c>
      <c r="L101" t="s">
        <v>583</v>
      </c>
      <c r="M101">
        <v>60</v>
      </c>
      <c r="N101" t="s">
        <v>567</v>
      </c>
      <c r="O101" s="16">
        <v>44729.574062500003</v>
      </c>
      <c r="P101">
        <v>0</v>
      </c>
      <c r="Q101">
        <v>0</v>
      </c>
      <c r="R101" t="s">
        <v>353</v>
      </c>
      <c r="S101">
        <v>0</v>
      </c>
      <c r="T101">
        <v>0</v>
      </c>
      <c r="U101">
        <v>0</v>
      </c>
      <c r="V101" t="str">
        <f>_xlfn.XLOOKUP(Table2[[#This Row],[Primary Dept Description]],'Lookup tables'!$U$17:$U$117,'Lookup tables'!$T$17:$T$117,"")</f>
        <v/>
      </c>
      <c r="W101" s="15" t="str">
        <f>IF(OR(Table2[[#This Row],[Revised Award]]=0,Table2[[#This Row],[Revised Award]]=""),IF(OR(Table2[[#This Row],[Planned Award]]=0,Table2[[#This Row],[Planned Award]]=""),"Not Updated",Table2[[#This Row],[Planned Award]]),Table2[[#This Row],[Revised Award]])</f>
        <v>Not Updated</v>
      </c>
      <c r="X101" t="str">
        <f>_xlfn.XLOOKUP(Table2[[#This Row],[Milestone]],'Lookup tables'!$Y$27:$Y$60,'Lookup tables'!$Z$27:$Z$60,"Not Updated")</f>
        <v>Complete</v>
      </c>
      <c r="Y101" cm="1">
        <f t="array" ref="Y101">IF(_xlfn._xlws.FILTER(Table1[Spend - CAN],(Table1[Execution Year]=Table2[[#This Row],[Execution Year]])*(Table1[SBU]=Table2[[#This Row],[SBU]])*(Table1[Category]=Table2[[#This Row],[Category]])*(Table1[Most curent]=TRUE),"NF")&gt;0,1,0)</f>
        <v>0</v>
      </c>
      <c r="Z101" cm="1">
        <f t="array" ref="Z101">IF(_xlfn._xlws.FILTER(Table1[Spend - MEX],(Table1[Execution Year]=Table2[[#This Row],[Execution Year]])*(Table1[SBU]=Table2[[#This Row],[SBU]])*(Table1[Category]=Table2[[#This Row],[Category]])*(Table1[Most curent]=TRUE),"NF")&gt;0,1,0)</f>
        <v>0</v>
      </c>
      <c r="AA101" cm="1">
        <f t="array" ref="AA101">IF(_xlfn._xlws.FILTER(Table1[Spend - CAM],(Table1[Execution Year]=Table2[[#This Row],[Execution Year]])*(Table1[SBU]=Table2[[#This Row],[SBU]])*(Table1[Category]=Table2[[#This Row],[Category]])*(Table1[Most curent]=TRUE),"NF")&gt;0,1,0)</f>
        <v>0</v>
      </c>
      <c r="AB101" cm="1">
        <f t="array" ref="AB101">IF(_xlfn._xlws.FILTER(Table1[Spend - CHL],(Table1[Execution Year]=Table2[[#This Row],[Execution Year]])*(Table1[SBU]=Table2[[#This Row],[SBU]])*(Table1[Category]=Table2[[#This Row],[Category]])*(Table1[Most curent]=TRUE),"NF")&gt;0,1,0)</f>
        <v>0</v>
      </c>
      <c r="AC101" cm="1">
        <f t="array" ref="AC101">IF(_xlfn._xlws.FILTER(Table1[Spend - ARG],(Table1[Execution Year]=Table2[[#This Row],[Execution Year]])*(Table1[SBU]=Table2[[#This Row],[SBU]])*(Table1[Category]=Table2[[#This Row],[Category]])*(Table1[Most curent]=TRUE),"NF")&gt;0,1,0)</f>
        <v>0</v>
      </c>
      <c r="AD101" cm="1">
        <f t="array" ref="AD101">IF(_xlfn._xlws.FILTER(Table1[Spend - CHN],(Table1[Execution Year]=Table2[[#This Row],[Execution Year]])*(Table1[SBU]=Table2[[#This Row],[SBU]])*(Table1[Category]=Table2[[#This Row],[Category]])*(Table1[Most curent]=TRUE),"NF")&gt;0,1,0)</f>
        <v>0</v>
      </c>
      <c r="AE101" cm="1">
        <f t="array" ref="AE101">IF(_xlfn._xlws.FILTER(Table1[Spend - JAP],(Table1[Execution Year]=Table2[[#This Row],[Execution Year]])*(Table1[SBU]=Table2[[#This Row],[SBU]])*(Table1[Category]=Table2[[#This Row],[Category]])*(Table1[Most curent]=TRUE),"NF")&gt;0,1,0)</f>
        <v>0</v>
      </c>
      <c r="AF101" cm="1">
        <f t="array" ref="AF101">IF(_xlfn._xlws.FILTER(Table1[Spend - UKN],(Table1[Execution Year]=Table2[[#This Row],[Execution Year]])*(Table1[SBU]=Table2[[#This Row],[SBU]])*(Table1[Category]=Table2[[#This Row],[Category]])*(Table1[Most curent]=TRUE),"NF")&gt;0,1,0)</f>
        <v>0</v>
      </c>
      <c r="AG101" cm="1">
        <f t="array" ref="AG101">IF(_xlfn._xlws.FILTER(Table1[Spend - SAF],(Table1[Execution Year]=Table2[[#This Row],[Execution Year]])*(Table1[SBU]=Table2[[#This Row],[SBU]])*(Table1[Category]=Table2[[#This Row],[Category]])*(Table1[Most curent]=TRUE),"NF")&gt;0,1,0)</f>
        <v>0</v>
      </c>
      <c r="AH101" cm="1">
        <f t="array" ref="AH101">IF(_xlfn._xlws.FILTER(Table1[Spend - US],(Table1[Execution Year]=Table2[[#This Row],[Execution Year]])*(Table1[SBU]=Table2[[#This Row],[SBU]])*(Table1[Category]=Table2[[#This Row],[Category]])*(Table1[Most curent]=TRUE),"NF")&gt;0,1,0)</f>
        <v>1</v>
      </c>
      <c r="AI101" cm="1">
        <f t="array" ref="AI101">IF(_xlfn._xlws.FILTER(Table1[Spend - Sams],(Table1[Execution Year]=Table2[[#This Row],[Execution Year]])*(Table1[SBU]=Table2[[#This Row],[SBU]])*(Table1[Category]=Table2[[#This Row],[Category]])*(Table1[Most curent]=TRUE),"NF")&gt;0,1,0)</f>
        <v>1</v>
      </c>
      <c r="AJ101" cm="1">
        <f t="array" ref="AJ101">IF(_xlfn._xlws.FILTER(Table1[Spend - Sams Mexico],(Table1[Execution Year]=Table2[[#This Row],[Execution Year]])*(Table1[SBU]=Table2[[#This Row],[SBU]])*(Table1[Category]=Table2[[#This Row],[Category]])*(Table1[Most curent]=TRUE),"NF")&gt;0,1,0)</f>
        <v>0</v>
      </c>
      <c r="AK101" cm="1">
        <f t="array" ref="AK101">IF(_xlfn._xlws.FILTER(Table1[Spend - Sams China],(Table1[Execution Year]=Table2[[#This Row],[Execution Year]])*(Table1[SBU]=Table2[[#This Row],[SBU]])*(Table1[Category]=Table2[[#This Row],[Category]])*(Table1[Most curent]=TRUE),"NF")&gt;0,1,0)</f>
        <v>0</v>
      </c>
      <c r="AL101" cm="1">
        <f t="array" ref="AL101">IF(_xlfn._xlws.FILTER(Table1[Spend - IND],(Table1[Execution Year]=Table2[[#This Row],[Execution Year]])*(Table1[SBU]=Table2[[#This Row],[SBU]])*(Table1[Category]=Table2[[#This Row],[Category]])*(Table1[Most curent]=TRUE),"NF")&gt;0,1,0)</f>
        <v>0</v>
      </c>
    </row>
    <row r="102" spans="1:38">
      <c r="A102" t="str">
        <f>Table2[[#This Row],[Execution Year]]&amp;Table2[[#This Row],[SBU]]&amp;Table2[[#This Row],[Category]]</f>
        <v>FY23FoodRMA - Cocoa - BKF</v>
      </c>
      <c r="B102" t="s">
        <v>584</v>
      </c>
      <c r="C102" t="s">
        <v>33</v>
      </c>
      <c r="D102" t="s">
        <v>322</v>
      </c>
      <c r="E102" s="185">
        <v>0</v>
      </c>
      <c r="F102" s="185">
        <v>0</v>
      </c>
      <c r="G102" s="185">
        <v>0</v>
      </c>
      <c r="H102" s="185">
        <v>0</v>
      </c>
      <c r="I102" t="s">
        <v>463</v>
      </c>
      <c r="J102" t="s">
        <v>459</v>
      </c>
      <c r="K102" t="s">
        <v>396</v>
      </c>
      <c r="L102">
        <v>0</v>
      </c>
      <c r="M102">
        <v>44774</v>
      </c>
      <c r="N102" t="s">
        <v>396</v>
      </c>
      <c r="O102" s="16">
        <v>44722.571196527781</v>
      </c>
      <c r="P102" t="s">
        <v>585</v>
      </c>
      <c r="Q102" t="s">
        <v>493</v>
      </c>
      <c r="R102" t="s">
        <v>353</v>
      </c>
      <c r="S102">
        <v>0</v>
      </c>
      <c r="T102" t="s">
        <v>415</v>
      </c>
      <c r="U102">
        <v>0</v>
      </c>
      <c r="V102">
        <f>_xlfn.XLOOKUP(Table2[[#This Row],[Primary Dept Description]],'Lookup tables'!$U$17:$U$117,'Lookup tables'!$T$17:$T$117,"")</f>
        <v>90</v>
      </c>
      <c r="W102" s="15" t="str">
        <f>IF(OR(Table2[[#This Row],[Revised Award]]=0,Table2[[#This Row],[Revised Award]]=""),IF(OR(Table2[[#This Row],[Planned Award]]=0,Table2[[#This Row],[Planned Award]]=""),"Not Updated",Table2[[#This Row],[Planned Award]]),Table2[[#This Row],[Revised Award]])</f>
        <v>Not Updated</v>
      </c>
      <c r="X102" t="str">
        <f>_xlfn.XLOOKUP(Table2[[#This Row],[Milestone]],'Lookup tables'!$Y$27:$Y$60,'Lookup tables'!$Z$27:$Z$60,"Not Updated")</f>
        <v>Pending PB/Merch Approval</v>
      </c>
      <c r="Y102" cm="1">
        <f t="array" ref="Y102">IF(_xlfn._xlws.FILTER(Table1[Spend - CAN],(Table1[Execution Year]=Table2[[#This Row],[Execution Year]])*(Table1[SBU]=Table2[[#This Row],[SBU]])*(Table1[Category]=Table2[[#This Row],[Category]])*(Table1[Most curent]=TRUE),"NF")&gt;0,1,0)</f>
        <v>0</v>
      </c>
      <c r="Z102" cm="1">
        <f t="array" ref="Z102">IF(_xlfn._xlws.FILTER(Table1[Spend - MEX],(Table1[Execution Year]=Table2[[#This Row],[Execution Year]])*(Table1[SBU]=Table2[[#This Row],[SBU]])*(Table1[Category]=Table2[[#This Row],[Category]])*(Table1[Most curent]=TRUE),"NF")&gt;0,1,0)</f>
        <v>0</v>
      </c>
      <c r="AA102" cm="1">
        <f t="array" ref="AA102">IF(_xlfn._xlws.FILTER(Table1[Spend - CAM],(Table1[Execution Year]=Table2[[#This Row],[Execution Year]])*(Table1[SBU]=Table2[[#This Row],[SBU]])*(Table1[Category]=Table2[[#This Row],[Category]])*(Table1[Most curent]=TRUE),"NF")&gt;0,1,0)</f>
        <v>0</v>
      </c>
      <c r="AB102" cm="1">
        <f t="array" ref="AB102">IF(_xlfn._xlws.FILTER(Table1[Spend - CHL],(Table1[Execution Year]=Table2[[#This Row],[Execution Year]])*(Table1[SBU]=Table2[[#This Row],[SBU]])*(Table1[Category]=Table2[[#This Row],[Category]])*(Table1[Most curent]=TRUE),"NF")&gt;0,1,0)</f>
        <v>0</v>
      </c>
      <c r="AC102" cm="1">
        <f t="array" ref="AC102">IF(_xlfn._xlws.FILTER(Table1[Spend - ARG],(Table1[Execution Year]=Table2[[#This Row],[Execution Year]])*(Table1[SBU]=Table2[[#This Row],[SBU]])*(Table1[Category]=Table2[[#This Row],[Category]])*(Table1[Most curent]=TRUE),"NF")&gt;0,1,0)</f>
        <v>0</v>
      </c>
      <c r="AD102" cm="1">
        <f t="array" ref="AD102">IF(_xlfn._xlws.FILTER(Table1[Spend - CHN],(Table1[Execution Year]=Table2[[#This Row],[Execution Year]])*(Table1[SBU]=Table2[[#This Row],[SBU]])*(Table1[Category]=Table2[[#This Row],[Category]])*(Table1[Most curent]=TRUE),"NF")&gt;0,1,0)</f>
        <v>0</v>
      </c>
      <c r="AE102" cm="1">
        <f t="array" ref="AE102">IF(_xlfn._xlws.FILTER(Table1[Spend - JAP],(Table1[Execution Year]=Table2[[#This Row],[Execution Year]])*(Table1[SBU]=Table2[[#This Row],[SBU]])*(Table1[Category]=Table2[[#This Row],[Category]])*(Table1[Most curent]=TRUE),"NF")&gt;0,1,0)</f>
        <v>0</v>
      </c>
      <c r="AF102" cm="1">
        <f t="array" ref="AF102">IF(_xlfn._xlws.FILTER(Table1[Spend - UKN],(Table1[Execution Year]=Table2[[#This Row],[Execution Year]])*(Table1[SBU]=Table2[[#This Row],[SBU]])*(Table1[Category]=Table2[[#This Row],[Category]])*(Table1[Most curent]=TRUE),"NF")&gt;0,1,0)</f>
        <v>0</v>
      </c>
      <c r="AG102" cm="1">
        <f t="array" ref="AG102">IF(_xlfn._xlws.FILTER(Table1[Spend - SAF],(Table1[Execution Year]=Table2[[#This Row],[Execution Year]])*(Table1[SBU]=Table2[[#This Row],[SBU]])*(Table1[Category]=Table2[[#This Row],[Category]])*(Table1[Most curent]=TRUE),"NF")&gt;0,1,0)</f>
        <v>0</v>
      </c>
      <c r="AH102" cm="1">
        <f t="array" ref="AH102">IF(_xlfn._xlws.FILTER(Table1[Spend - US],(Table1[Execution Year]=Table2[[#This Row],[Execution Year]])*(Table1[SBU]=Table2[[#This Row],[SBU]])*(Table1[Category]=Table2[[#This Row],[Category]])*(Table1[Most curent]=TRUE),"NF")&gt;0,1,0)</f>
        <v>0</v>
      </c>
      <c r="AI102" cm="1">
        <f t="array" ref="AI102">IF(_xlfn._xlws.FILTER(Table1[Spend - Sams],(Table1[Execution Year]=Table2[[#This Row],[Execution Year]])*(Table1[SBU]=Table2[[#This Row],[SBU]])*(Table1[Category]=Table2[[#This Row],[Category]])*(Table1[Most curent]=TRUE),"NF")&gt;0,1,0)</f>
        <v>0</v>
      </c>
      <c r="AJ102" cm="1">
        <f t="array" ref="AJ102">IF(_xlfn._xlws.FILTER(Table1[Spend - Sams Mexico],(Table1[Execution Year]=Table2[[#This Row],[Execution Year]])*(Table1[SBU]=Table2[[#This Row],[SBU]])*(Table1[Category]=Table2[[#This Row],[Category]])*(Table1[Most curent]=TRUE),"NF")&gt;0,1,0)</f>
        <v>0</v>
      </c>
      <c r="AK102" cm="1">
        <f t="array" ref="AK102">IF(_xlfn._xlws.FILTER(Table1[Spend - Sams China],(Table1[Execution Year]=Table2[[#This Row],[Execution Year]])*(Table1[SBU]=Table2[[#This Row],[SBU]])*(Table1[Category]=Table2[[#This Row],[Category]])*(Table1[Most curent]=TRUE),"NF")&gt;0,1,0)</f>
        <v>0</v>
      </c>
      <c r="AL102" cm="1">
        <f t="array" ref="AL102">IF(_xlfn._xlws.FILTER(Table1[Spend - IND],(Table1[Execution Year]=Table2[[#This Row],[Execution Year]])*(Table1[SBU]=Table2[[#This Row],[SBU]])*(Table1[Category]=Table2[[#This Row],[Category]])*(Table1[Most curent]=TRUE),"NF")&gt;0,1,0)</f>
        <v>0</v>
      </c>
    </row>
    <row r="103" spans="1:38">
      <c r="A103" t="str">
        <f>Table2[[#This Row],[Execution Year]]&amp;Table2[[#This Row],[SBU]]&amp;Table2[[#This Row],[Category]]</f>
        <v>FY23FoodRMA - Cocoa - GV Choc Milk</v>
      </c>
      <c r="B103" t="s">
        <v>586</v>
      </c>
      <c r="C103" t="s">
        <v>33</v>
      </c>
      <c r="D103" t="s">
        <v>322</v>
      </c>
      <c r="E103" s="185">
        <v>0</v>
      </c>
      <c r="F103" s="185">
        <v>0</v>
      </c>
      <c r="G103" s="185">
        <v>0</v>
      </c>
      <c r="H103" s="185">
        <v>0</v>
      </c>
      <c r="I103" t="s">
        <v>413</v>
      </c>
      <c r="J103" t="s">
        <v>459</v>
      </c>
      <c r="K103" t="s">
        <v>396</v>
      </c>
      <c r="L103">
        <v>0</v>
      </c>
      <c r="M103">
        <v>44927</v>
      </c>
      <c r="N103" t="s">
        <v>396</v>
      </c>
      <c r="O103" s="16">
        <v>44722.577420717593</v>
      </c>
      <c r="P103" t="s">
        <v>585</v>
      </c>
      <c r="Q103" t="s">
        <v>493</v>
      </c>
      <c r="R103" t="s">
        <v>353</v>
      </c>
      <c r="S103">
        <v>0</v>
      </c>
      <c r="T103" t="s">
        <v>481</v>
      </c>
      <c r="U103">
        <v>0</v>
      </c>
      <c r="V103">
        <f>_xlfn.XLOOKUP(Table2[[#This Row],[Primary Dept Description]],'Lookup tables'!$U$17:$U$117,'Lookup tables'!$T$17:$T$117,"")</f>
        <v>90</v>
      </c>
      <c r="W103" s="15" t="str">
        <f>IF(OR(Table2[[#This Row],[Revised Award]]=0,Table2[[#This Row],[Revised Award]]=""),IF(OR(Table2[[#This Row],[Planned Award]]=0,Table2[[#This Row],[Planned Award]]=""),"Not Updated",Table2[[#This Row],[Planned Award]]),Table2[[#This Row],[Revised Award]])</f>
        <v>Not Updated</v>
      </c>
      <c r="X103" t="str">
        <f>_xlfn.XLOOKUP(Table2[[#This Row],[Milestone]],'Lookup tables'!$Y$27:$Y$60,'Lookup tables'!$Z$27:$Z$60,"Not Updated")</f>
        <v>Bid Prep</v>
      </c>
      <c r="Y103" cm="1">
        <f t="array" ref="Y103">IF(_xlfn._xlws.FILTER(Table1[Spend - CAN],(Table1[Execution Year]=Table2[[#This Row],[Execution Year]])*(Table1[SBU]=Table2[[#This Row],[SBU]])*(Table1[Category]=Table2[[#This Row],[Category]])*(Table1[Most curent]=TRUE),"NF")&gt;0,1,0)</f>
        <v>0</v>
      </c>
      <c r="Z103" cm="1">
        <f t="array" ref="Z103">IF(_xlfn._xlws.FILTER(Table1[Spend - MEX],(Table1[Execution Year]=Table2[[#This Row],[Execution Year]])*(Table1[SBU]=Table2[[#This Row],[SBU]])*(Table1[Category]=Table2[[#This Row],[Category]])*(Table1[Most curent]=TRUE),"NF")&gt;0,1,0)</f>
        <v>0</v>
      </c>
      <c r="AA103" cm="1">
        <f t="array" ref="AA103">IF(_xlfn._xlws.FILTER(Table1[Spend - CAM],(Table1[Execution Year]=Table2[[#This Row],[Execution Year]])*(Table1[SBU]=Table2[[#This Row],[SBU]])*(Table1[Category]=Table2[[#This Row],[Category]])*(Table1[Most curent]=TRUE),"NF")&gt;0,1,0)</f>
        <v>0</v>
      </c>
      <c r="AB103" cm="1">
        <f t="array" ref="AB103">IF(_xlfn._xlws.FILTER(Table1[Spend - CHL],(Table1[Execution Year]=Table2[[#This Row],[Execution Year]])*(Table1[SBU]=Table2[[#This Row],[SBU]])*(Table1[Category]=Table2[[#This Row],[Category]])*(Table1[Most curent]=TRUE),"NF")&gt;0,1,0)</f>
        <v>0</v>
      </c>
      <c r="AC103" cm="1">
        <f t="array" ref="AC103">IF(_xlfn._xlws.FILTER(Table1[Spend - ARG],(Table1[Execution Year]=Table2[[#This Row],[Execution Year]])*(Table1[SBU]=Table2[[#This Row],[SBU]])*(Table1[Category]=Table2[[#This Row],[Category]])*(Table1[Most curent]=TRUE),"NF")&gt;0,1,0)</f>
        <v>0</v>
      </c>
      <c r="AD103" cm="1">
        <f t="array" ref="AD103">IF(_xlfn._xlws.FILTER(Table1[Spend - CHN],(Table1[Execution Year]=Table2[[#This Row],[Execution Year]])*(Table1[SBU]=Table2[[#This Row],[SBU]])*(Table1[Category]=Table2[[#This Row],[Category]])*(Table1[Most curent]=TRUE),"NF")&gt;0,1,0)</f>
        <v>0</v>
      </c>
      <c r="AE103" cm="1">
        <f t="array" ref="AE103">IF(_xlfn._xlws.FILTER(Table1[Spend - JAP],(Table1[Execution Year]=Table2[[#This Row],[Execution Year]])*(Table1[SBU]=Table2[[#This Row],[SBU]])*(Table1[Category]=Table2[[#This Row],[Category]])*(Table1[Most curent]=TRUE),"NF")&gt;0,1,0)</f>
        <v>0</v>
      </c>
      <c r="AF103" cm="1">
        <f t="array" ref="AF103">IF(_xlfn._xlws.FILTER(Table1[Spend - UKN],(Table1[Execution Year]=Table2[[#This Row],[Execution Year]])*(Table1[SBU]=Table2[[#This Row],[SBU]])*(Table1[Category]=Table2[[#This Row],[Category]])*(Table1[Most curent]=TRUE),"NF")&gt;0,1,0)</f>
        <v>0</v>
      </c>
      <c r="AG103" cm="1">
        <f t="array" ref="AG103">IF(_xlfn._xlws.FILTER(Table1[Spend - SAF],(Table1[Execution Year]=Table2[[#This Row],[Execution Year]])*(Table1[SBU]=Table2[[#This Row],[SBU]])*(Table1[Category]=Table2[[#This Row],[Category]])*(Table1[Most curent]=TRUE),"NF")&gt;0,1,0)</f>
        <v>0</v>
      </c>
      <c r="AH103" cm="1">
        <f t="array" ref="AH103">IF(_xlfn._xlws.FILTER(Table1[Spend - US],(Table1[Execution Year]=Table2[[#This Row],[Execution Year]])*(Table1[SBU]=Table2[[#This Row],[SBU]])*(Table1[Category]=Table2[[#This Row],[Category]])*(Table1[Most curent]=TRUE),"NF")&gt;0,1,0)</f>
        <v>1</v>
      </c>
      <c r="AI103" cm="1">
        <f t="array" ref="AI103">IF(_xlfn._xlws.FILTER(Table1[Spend - Sams],(Table1[Execution Year]=Table2[[#This Row],[Execution Year]])*(Table1[SBU]=Table2[[#This Row],[SBU]])*(Table1[Category]=Table2[[#This Row],[Category]])*(Table1[Most curent]=TRUE),"NF")&gt;0,1,0)</f>
        <v>0</v>
      </c>
      <c r="AJ103" cm="1">
        <f t="array" ref="AJ103">IF(_xlfn._xlws.FILTER(Table1[Spend - Sams Mexico],(Table1[Execution Year]=Table2[[#This Row],[Execution Year]])*(Table1[SBU]=Table2[[#This Row],[SBU]])*(Table1[Category]=Table2[[#This Row],[Category]])*(Table1[Most curent]=TRUE),"NF")&gt;0,1,0)</f>
        <v>0</v>
      </c>
      <c r="AK103" cm="1">
        <f t="array" ref="AK103">IF(_xlfn._xlws.FILTER(Table1[Spend - Sams China],(Table1[Execution Year]=Table2[[#This Row],[Execution Year]])*(Table1[SBU]=Table2[[#This Row],[SBU]])*(Table1[Category]=Table2[[#This Row],[Category]])*(Table1[Most curent]=TRUE),"NF")&gt;0,1,0)</f>
        <v>0</v>
      </c>
      <c r="AL103" cm="1">
        <f t="array" ref="AL103">IF(_xlfn._xlws.FILTER(Table1[Spend - IND],(Table1[Execution Year]=Table2[[#This Row],[Execution Year]])*(Table1[SBU]=Table2[[#This Row],[SBU]])*(Table1[Category]=Table2[[#This Row],[Category]])*(Table1[Most curent]=TRUE),"NF")&gt;0,1,0)</f>
        <v>0</v>
      </c>
    </row>
    <row r="104" spans="1:38">
      <c r="A104" t="str">
        <f>Table2[[#This Row],[Execution Year]]&amp;Table2[[#This Row],[SBU]]&amp;Table2[[#This Row],[Category]]</f>
        <v>FY23FoodRMA - Cocoa - PB</v>
      </c>
      <c r="B104" t="s">
        <v>587</v>
      </c>
      <c r="C104" t="s">
        <v>33</v>
      </c>
      <c r="D104" t="s">
        <v>322</v>
      </c>
      <c r="E104" s="185">
        <v>0</v>
      </c>
      <c r="F104" s="185">
        <v>0</v>
      </c>
      <c r="G104" s="185">
        <v>0</v>
      </c>
      <c r="H104" s="185">
        <v>0</v>
      </c>
      <c r="I104" t="s">
        <v>412</v>
      </c>
      <c r="J104" t="s">
        <v>459</v>
      </c>
      <c r="K104" t="s">
        <v>396</v>
      </c>
      <c r="L104">
        <v>0</v>
      </c>
      <c r="M104">
        <v>60</v>
      </c>
      <c r="N104" t="s">
        <v>396</v>
      </c>
      <c r="O104" s="16">
        <v>44722.583131597225</v>
      </c>
      <c r="P104" t="s">
        <v>585</v>
      </c>
      <c r="Q104">
        <v>0</v>
      </c>
      <c r="R104" t="s">
        <v>353</v>
      </c>
      <c r="S104">
        <v>0</v>
      </c>
      <c r="T104" t="s">
        <v>413</v>
      </c>
      <c r="U104">
        <v>0</v>
      </c>
      <c r="V104" t="str">
        <f>_xlfn.XLOOKUP(Table2[[#This Row],[Primary Dept Description]],'Lookup tables'!$U$17:$U$117,'Lookup tables'!$T$17:$T$117,"")</f>
        <v/>
      </c>
      <c r="W104" s="15" t="str">
        <f>IF(OR(Table2[[#This Row],[Revised Award]]=0,Table2[[#This Row],[Revised Award]]=""),IF(OR(Table2[[#This Row],[Planned Award]]=0,Table2[[#This Row],[Planned Award]]=""),"Not Updated",Table2[[#This Row],[Planned Award]]),Table2[[#This Row],[Revised Award]])</f>
        <v>Not Updated</v>
      </c>
      <c r="X104" t="str">
        <f>_xlfn.XLOOKUP(Table2[[#This Row],[Milestone]],'Lookup tables'!$Y$27:$Y$60,'Lookup tables'!$Z$27:$Z$60,"Not Updated")</f>
        <v>Exploratory</v>
      </c>
      <c r="Y104" cm="1">
        <f t="array" ref="Y104">IF(_xlfn._xlws.FILTER(Table1[Spend - CAN],(Table1[Execution Year]=Table2[[#This Row],[Execution Year]])*(Table1[SBU]=Table2[[#This Row],[SBU]])*(Table1[Category]=Table2[[#This Row],[Category]])*(Table1[Most curent]=TRUE),"NF")&gt;0,1,0)</f>
        <v>0</v>
      </c>
      <c r="Z104" cm="1">
        <f t="array" ref="Z104">IF(_xlfn._xlws.FILTER(Table1[Spend - MEX],(Table1[Execution Year]=Table2[[#This Row],[Execution Year]])*(Table1[SBU]=Table2[[#This Row],[SBU]])*(Table1[Category]=Table2[[#This Row],[Category]])*(Table1[Most curent]=TRUE),"NF")&gt;0,1,0)</f>
        <v>0</v>
      </c>
      <c r="AA104" cm="1">
        <f t="array" ref="AA104">IF(_xlfn._xlws.FILTER(Table1[Spend - CAM],(Table1[Execution Year]=Table2[[#This Row],[Execution Year]])*(Table1[SBU]=Table2[[#This Row],[SBU]])*(Table1[Category]=Table2[[#This Row],[Category]])*(Table1[Most curent]=TRUE),"NF")&gt;0,1,0)</f>
        <v>0</v>
      </c>
      <c r="AB104" cm="1">
        <f t="array" ref="AB104">IF(_xlfn._xlws.FILTER(Table1[Spend - CHL],(Table1[Execution Year]=Table2[[#This Row],[Execution Year]])*(Table1[SBU]=Table2[[#This Row],[SBU]])*(Table1[Category]=Table2[[#This Row],[Category]])*(Table1[Most curent]=TRUE),"NF")&gt;0,1,0)</f>
        <v>0</v>
      </c>
      <c r="AC104" cm="1">
        <f t="array" ref="AC104">IF(_xlfn._xlws.FILTER(Table1[Spend - ARG],(Table1[Execution Year]=Table2[[#This Row],[Execution Year]])*(Table1[SBU]=Table2[[#This Row],[SBU]])*(Table1[Category]=Table2[[#This Row],[Category]])*(Table1[Most curent]=TRUE),"NF")&gt;0,1,0)</f>
        <v>0</v>
      </c>
      <c r="AD104" cm="1">
        <f t="array" ref="AD104">IF(_xlfn._xlws.FILTER(Table1[Spend - CHN],(Table1[Execution Year]=Table2[[#This Row],[Execution Year]])*(Table1[SBU]=Table2[[#This Row],[SBU]])*(Table1[Category]=Table2[[#This Row],[Category]])*(Table1[Most curent]=TRUE),"NF")&gt;0,1,0)</f>
        <v>0</v>
      </c>
      <c r="AE104" cm="1">
        <f t="array" ref="AE104">IF(_xlfn._xlws.FILTER(Table1[Spend - JAP],(Table1[Execution Year]=Table2[[#This Row],[Execution Year]])*(Table1[SBU]=Table2[[#This Row],[SBU]])*(Table1[Category]=Table2[[#This Row],[Category]])*(Table1[Most curent]=TRUE),"NF")&gt;0,1,0)</f>
        <v>0</v>
      </c>
      <c r="AF104" cm="1">
        <f t="array" ref="AF104">IF(_xlfn._xlws.FILTER(Table1[Spend - UKN],(Table1[Execution Year]=Table2[[#This Row],[Execution Year]])*(Table1[SBU]=Table2[[#This Row],[SBU]])*(Table1[Category]=Table2[[#This Row],[Category]])*(Table1[Most curent]=TRUE),"NF")&gt;0,1,0)</f>
        <v>0</v>
      </c>
      <c r="AG104" cm="1">
        <f t="array" ref="AG104">IF(_xlfn._xlws.FILTER(Table1[Spend - SAF],(Table1[Execution Year]=Table2[[#This Row],[Execution Year]])*(Table1[SBU]=Table2[[#This Row],[SBU]])*(Table1[Category]=Table2[[#This Row],[Category]])*(Table1[Most curent]=TRUE),"NF")&gt;0,1,0)</f>
        <v>0</v>
      </c>
      <c r="AH104" cm="1">
        <f t="array" ref="AH104">IF(_xlfn._xlws.FILTER(Table1[Spend - US],(Table1[Execution Year]=Table2[[#This Row],[Execution Year]])*(Table1[SBU]=Table2[[#This Row],[SBU]])*(Table1[Category]=Table2[[#This Row],[Category]])*(Table1[Most curent]=TRUE),"NF")&gt;0,1,0)</f>
        <v>1</v>
      </c>
      <c r="AI104" cm="1">
        <f t="array" ref="AI104">IF(_xlfn._xlws.FILTER(Table1[Spend - Sams],(Table1[Execution Year]=Table2[[#This Row],[Execution Year]])*(Table1[SBU]=Table2[[#This Row],[SBU]])*(Table1[Category]=Table2[[#This Row],[Category]])*(Table1[Most curent]=TRUE),"NF")&gt;0,1,0)</f>
        <v>0</v>
      </c>
      <c r="AJ104" cm="1">
        <f t="array" ref="AJ104">IF(_xlfn._xlws.FILTER(Table1[Spend - Sams Mexico],(Table1[Execution Year]=Table2[[#This Row],[Execution Year]])*(Table1[SBU]=Table2[[#This Row],[SBU]])*(Table1[Category]=Table2[[#This Row],[Category]])*(Table1[Most curent]=TRUE),"NF")&gt;0,1,0)</f>
        <v>0</v>
      </c>
      <c r="AK104" cm="1">
        <f t="array" ref="AK104">IF(_xlfn._xlws.FILTER(Table1[Spend - Sams China],(Table1[Execution Year]=Table2[[#This Row],[Execution Year]])*(Table1[SBU]=Table2[[#This Row],[SBU]])*(Table1[Category]=Table2[[#This Row],[Category]])*(Table1[Most curent]=TRUE),"NF")&gt;0,1,0)</f>
        <v>0</v>
      </c>
      <c r="AL104" cm="1">
        <f t="array" ref="AL104">IF(_xlfn._xlws.FILTER(Table1[Spend - IND],(Table1[Execution Year]=Table2[[#This Row],[Execution Year]])*(Table1[SBU]=Table2[[#This Row],[SBU]])*(Table1[Category]=Table2[[#This Row],[Category]])*(Table1[Most curent]=TRUE),"NF")&gt;0,1,0)</f>
        <v>0</v>
      </c>
    </row>
    <row r="105" spans="1:38">
      <c r="A105" t="str">
        <f>Table2[[#This Row],[Execution Year]]&amp;Table2[[#This Row],[SBU]]&amp;Table2[[#This Row],[Category]]</f>
        <v>FY23FoodRMA - Cocoa - Placed Based</v>
      </c>
      <c r="B105" t="s">
        <v>588</v>
      </c>
      <c r="C105" t="s">
        <v>33</v>
      </c>
      <c r="D105" t="s">
        <v>322</v>
      </c>
      <c r="E105" s="185">
        <v>0</v>
      </c>
      <c r="F105" s="185">
        <v>0</v>
      </c>
      <c r="G105" s="185">
        <v>0</v>
      </c>
      <c r="H105" s="185">
        <v>0</v>
      </c>
      <c r="I105" t="s">
        <v>412</v>
      </c>
      <c r="J105" t="s">
        <v>459</v>
      </c>
      <c r="K105" t="s">
        <v>396</v>
      </c>
      <c r="L105">
        <v>0</v>
      </c>
      <c r="M105">
        <v>60</v>
      </c>
      <c r="N105" t="s">
        <v>396</v>
      </c>
      <c r="O105" s="16">
        <v>44722.583877199075</v>
      </c>
      <c r="P105" t="s">
        <v>585</v>
      </c>
      <c r="Q105">
        <v>0</v>
      </c>
      <c r="R105" t="s">
        <v>353</v>
      </c>
      <c r="S105">
        <v>0</v>
      </c>
      <c r="T105" t="s">
        <v>413</v>
      </c>
      <c r="U105">
        <v>0</v>
      </c>
      <c r="V105" t="str">
        <f>_xlfn.XLOOKUP(Table2[[#This Row],[Primary Dept Description]],'Lookup tables'!$U$17:$U$117,'Lookup tables'!$T$17:$T$117,"")</f>
        <v/>
      </c>
      <c r="W105" s="15" t="str">
        <f>IF(OR(Table2[[#This Row],[Revised Award]]=0,Table2[[#This Row],[Revised Award]]=""),IF(OR(Table2[[#This Row],[Planned Award]]=0,Table2[[#This Row],[Planned Award]]=""),"Not Updated",Table2[[#This Row],[Planned Award]]),Table2[[#This Row],[Revised Award]])</f>
        <v>Not Updated</v>
      </c>
      <c r="X105" t="str">
        <f>_xlfn.XLOOKUP(Table2[[#This Row],[Milestone]],'Lookup tables'!$Y$27:$Y$60,'Lookup tables'!$Z$27:$Z$60,"Not Updated")</f>
        <v>Exploratory</v>
      </c>
      <c r="Y105" cm="1">
        <f t="array" ref="Y105">IF(_xlfn._xlws.FILTER(Table1[Spend - CAN],(Table1[Execution Year]=Table2[[#This Row],[Execution Year]])*(Table1[SBU]=Table2[[#This Row],[SBU]])*(Table1[Category]=Table2[[#This Row],[Category]])*(Table1[Most curent]=TRUE),"NF")&gt;0,1,0)</f>
        <v>0</v>
      </c>
      <c r="Z105" cm="1">
        <f t="array" ref="Z105">IF(_xlfn._xlws.FILTER(Table1[Spend - MEX],(Table1[Execution Year]=Table2[[#This Row],[Execution Year]])*(Table1[SBU]=Table2[[#This Row],[SBU]])*(Table1[Category]=Table2[[#This Row],[Category]])*(Table1[Most curent]=TRUE),"NF")&gt;0,1,0)</f>
        <v>0</v>
      </c>
      <c r="AA105" cm="1">
        <f t="array" ref="AA105">IF(_xlfn._xlws.FILTER(Table1[Spend - CAM],(Table1[Execution Year]=Table2[[#This Row],[Execution Year]])*(Table1[SBU]=Table2[[#This Row],[SBU]])*(Table1[Category]=Table2[[#This Row],[Category]])*(Table1[Most curent]=TRUE),"NF")&gt;0,1,0)</f>
        <v>0</v>
      </c>
      <c r="AB105" cm="1">
        <f t="array" ref="AB105">IF(_xlfn._xlws.FILTER(Table1[Spend - CHL],(Table1[Execution Year]=Table2[[#This Row],[Execution Year]])*(Table1[SBU]=Table2[[#This Row],[SBU]])*(Table1[Category]=Table2[[#This Row],[Category]])*(Table1[Most curent]=TRUE),"NF")&gt;0,1,0)</f>
        <v>0</v>
      </c>
      <c r="AC105" cm="1">
        <f t="array" ref="AC105">IF(_xlfn._xlws.FILTER(Table1[Spend - ARG],(Table1[Execution Year]=Table2[[#This Row],[Execution Year]])*(Table1[SBU]=Table2[[#This Row],[SBU]])*(Table1[Category]=Table2[[#This Row],[Category]])*(Table1[Most curent]=TRUE),"NF")&gt;0,1,0)</f>
        <v>0</v>
      </c>
      <c r="AD105" cm="1">
        <f t="array" ref="AD105">IF(_xlfn._xlws.FILTER(Table1[Spend - CHN],(Table1[Execution Year]=Table2[[#This Row],[Execution Year]])*(Table1[SBU]=Table2[[#This Row],[SBU]])*(Table1[Category]=Table2[[#This Row],[Category]])*(Table1[Most curent]=TRUE),"NF")&gt;0,1,0)</f>
        <v>0</v>
      </c>
      <c r="AE105" cm="1">
        <f t="array" ref="AE105">IF(_xlfn._xlws.FILTER(Table1[Spend - JAP],(Table1[Execution Year]=Table2[[#This Row],[Execution Year]])*(Table1[SBU]=Table2[[#This Row],[SBU]])*(Table1[Category]=Table2[[#This Row],[Category]])*(Table1[Most curent]=TRUE),"NF")&gt;0,1,0)</f>
        <v>0</v>
      </c>
      <c r="AF105" cm="1">
        <f t="array" ref="AF105">IF(_xlfn._xlws.FILTER(Table1[Spend - UKN],(Table1[Execution Year]=Table2[[#This Row],[Execution Year]])*(Table1[SBU]=Table2[[#This Row],[SBU]])*(Table1[Category]=Table2[[#This Row],[Category]])*(Table1[Most curent]=TRUE),"NF")&gt;0,1,0)</f>
        <v>0</v>
      </c>
      <c r="AG105" cm="1">
        <f t="array" ref="AG105">IF(_xlfn._xlws.FILTER(Table1[Spend - SAF],(Table1[Execution Year]=Table2[[#This Row],[Execution Year]])*(Table1[SBU]=Table2[[#This Row],[SBU]])*(Table1[Category]=Table2[[#This Row],[Category]])*(Table1[Most curent]=TRUE),"NF")&gt;0,1,0)</f>
        <v>0</v>
      </c>
      <c r="AH105" cm="1">
        <f t="array" ref="AH105">IF(_xlfn._xlws.FILTER(Table1[Spend - US],(Table1[Execution Year]=Table2[[#This Row],[Execution Year]])*(Table1[SBU]=Table2[[#This Row],[SBU]])*(Table1[Category]=Table2[[#This Row],[Category]])*(Table1[Most curent]=TRUE),"NF")&gt;0,1,0)</f>
        <v>1</v>
      </c>
      <c r="AI105" cm="1">
        <f t="array" ref="AI105">IF(_xlfn._xlws.FILTER(Table1[Spend - Sams],(Table1[Execution Year]=Table2[[#This Row],[Execution Year]])*(Table1[SBU]=Table2[[#This Row],[SBU]])*(Table1[Category]=Table2[[#This Row],[Category]])*(Table1[Most curent]=TRUE),"NF")&gt;0,1,0)</f>
        <v>0</v>
      </c>
      <c r="AJ105" cm="1">
        <f t="array" ref="AJ105">IF(_xlfn._xlws.FILTER(Table1[Spend - Sams Mexico],(Table1[Execution Year]=Table2[[#This Row],[Execution Year]])*(Table1[SBU]=Table2[[#This Row],[SBU]])*(Table1[Category]=Table2[[#This Row],[Category]])*(Table1[Most curent]=TRUE),"NF")&gt;0,1,0)</f>
        <v>0</v>
      </c>
      <c r="AK105" cm="1">
        <f t="array" ref="AK105">IF(_xlfn._xlws.FILTER(Table1[Spend - Sams China],(Table1[Execution Year]=Table2[[#This Row],[Execution Year]])*(Table1[SBU]=Table2[[#This Row],[SBU]])*(Table1[Category]=Table2[[#This Row],[Category]])*(Table1[Most curent]=TRUE),"NF")&gt;0,1,0)</f>
        <v>0</v>
      </c>
      <c r="AL105" cm="1">
        <f t="array" ref="AL105">IF(_xlfn._xlws.FILTER(Table1[Spend - IND],(Table1[Execution Year]=Table2[[#This Row],[Execution Year]])*(Table1[SBU]=Table2[[#This Row],[SBU]])*(Table1[Category]=Table2[[#This Row],[Category]])*(Table1[Most curent]=TRUE),"NF")&gt;0,1,0)</f>
        <v>0</v>
      </c>
    </row>
    <row r="106" spans="1:38">
      <c r="A106" t="str">
        <f>Table2[[#This Row],[Execution Year]]&amp;Table2[[#This Row],[SBU]]&amp;Table2[[#This Row],[Category]]</f>
        <v>FY23FoodRMA - SBO/Egg</v>
      </c>
      <c r="B106" t="s">
        <v>589</v>
      </c>
      <c r="C106" t="s">
        <v>33</v>
      </c>
      <c r="D106" t="s">
        <v>322</v>
      </c>
      <c r="E106" s="185">
        <v>0</v>
      </c>
      <c r="F106" s="185">
        <v>0</v>
      </c>
      <c r="G106" s="185">
        <v>0</v>
      </c>
      <c r="H106" s="185">
        <v>0</v>
      </c>
      <c r="I106" t="s">
        <v>463</v>
      </c>
      <c r="J106" t="s">
        <v>459</v>
      </c>
      <c r="K106" t="s">
        <v>396</v>
      </c>
      <c r="L106">
        <v>0</v>
      </c>
      <c r="M106">
        <v>44774</v>
      </c>
      <c r="N106" t="s">
        <v>396</v>
      </c>
      <c r="O106" s="16">
        <v>44722.585759374997</v>
      </c>
      <c r="P106" t="s">
        <v>585</v>
      </c>
      <c r="Q106" t="s">
        <v>499</v>
      </c>
      <c r="R106" t="s">
        <v>353</v>
      </c>
      <c r="S106">
        <v>0</v>
      </c>
      <c r="T106" t="s">
        <v>415</v>
      </c>
      <c r="U106">
        <v>0</v>
      </c>
      <c r="V106">
        <f>_xlfn.XLOOKUP(Table2[[#This Row],[Primary Dept Description]],'Lookup tables'!$U$17:$U$117,'Lookup tables'!$T$17:$T$117,"")</f>
        <v>92</v>
      </c>
      <c r="W106" s="15" t="str">
        <f>IF(OR(Table2[[#This Row],[Revised Award]]=0,Table2[[#This Row],[Revised Award]]=""),IF(OR(Table2[[#This Row],[Planned Award]]=0,Table2[[#This Row],[Planned Award]]=""),"Not Updated",Table2[[#This Row],[Planned Award]]),Table2[[#This Row],[Revised Award]])</f>
        <v>Not Updated</v>
      </c>
      <c r="X106" t="str">
        <f>_xlfn.XLOOKUP(Table2[[#This Row],[Milestone]],'Lookup tables'!$Y$27:$Y$60,'Lookup tables'!$Z$27:$Z$60,"Not Updated")</f>
        <v>Pending PB/Merch Approval</v>
      </c>
      <c r="Y106" cm="1">
        <f t="array" ref="Y106">IF(_xlfn._xlws.FILTER(Table1[Spend - CAN],(Table1[Execution Year]=Table2[[#This Row],[Execution Year]])*(Table1[SBU]=Table2[[#This Row],[SBU]])*(Table1[Category]=Table2[[#This Row],[Category]])*(Table1[Most curent]=TRUE),"NF")&gt;0,1,0)</f>
        <v>0</v>
      </c>
      <c r="Z106" cm="1">
        <f t="array" ref="Z106">IF(_xlfn._xlws.FILTER(Table1[Spend - MEX],(Table1[Execution Year]=Table2[[#This Row],[Execution Year]])*(Table1[SBU]=Table2[[#This Row],[SBU]])*(Table1[Category]=Table2[[#This Row],[Category]])*(Table1[Most curent]=TRUE),"NF")&gt;0,1,0)</f>
        <v>0</v>
      </c>
      <c r="AA106" cm="1">
        <f t="array" ref="AA106">IF(_xlfn._xlws.FILTER(Table1[Spend - CAM],(Table1[Execution Year]=Table2[[#This Row],[Execution Year]])*(Table1[SBU]=Table2[[#This Row],[SBU]])*(Table1[Category]=Table2[[#This Row],[Category]])*(Table1[Most curent]=TRUE),"NF")&gt;0,1,0)</f>
        <v>0</v>
      </c>
      <c r="AB106" cm="1">
        <f t="array" ref="AB106">IF(_xlfn._xlws.FILTER(Table1[Spend - CHL],(Table1[Execution Year]=Table2[[#This Row],[Execution Year]])*(Table1[SBU]=Table2[[#This Row],[SBU]])*(Table1[Category]=Table2[[#This Row],[Category]])*(Table1[Most curent]=TRUE),"NF")&gt;0,1,0)</f>
        <v>0</v>
      </c>
      <c r="AC106" cm="1">
        <f t="array" ref="AC106">IF(_xlfn._xlws.FILTER(Table1[Spend - ARG],(Table1[Execution Year]=Table2[[#This Row],[Execution Year]])*(Table1[SBU]=Table2[[#This Row],[SBU]])*(Table1[Category]=Table2[[#This Row],[Category]])*(Table1[Most curent]=TRUE),"NF")&gt;0,1,0)</f>
        <v>0</v>
      </c>
      <c r="AD106" cm="1">
        <f t="array" ref="AD106">IF(_xlfn._xlws.FILTER(Table1[Spend - CHN],(Table1[Execution Year]=Table2[[#This Row],[Execution Year]])*(Table1[SBU]=Table2[[#This Row],[SBU]])*(Table1[Category]=Table2[[#This Row],[Category]])*(Table1[Most curent]=TRUE),"NF")&gt;0,1,0)</f>
        <v>0</v>
      </c>
      <c r="AE106" cm="1">
        <f t="array" ref="AE106">IF(_xlfn._xlws.FILTER(Table1[Spend - JAP],(Table1[Execution Year]=Table2[[#This Row],[Execution Year]])*(Table1[SBU]=Table2[[#This Row],[SBU]])*(Table1[Category]=Table2[[#This Row],[Category]])*(Table1[Most curent]=TRUE),"NF")&gt;0,1,0)</f>
        <v>0</v>
      </c>
      <c r="AF106" cm="1">
        <f t="array" ref="AF106">IF(_xlfn._xlws.FILTER(Table1[Spend - UKN],(Table1[Execution Year]=Table2[[#This Row],[Execution Year]])*(Table1[SBU]=Table2[[#This Row],[SBU]])*(Table1[Category]=Table2[[#This Row],[Category]])*(Table1[Most curent]=TRUE),"NF")&gt;0,1,0)</f>
        <v>0</v>
      </c>
      <c r="AG106" cm="1">
        <f t="array" ref="AG106">IF(_xlfn._xlws.FILTER(Table1[Spend - SAF],(Table1[Execution Year]=Table2[[#This Row],[Execution Year]])*(Table1[SBU]=Table2[[#This Row],[SBU]])*(Table1[Category]=Table2[[#This Row],[Category]])*(Table1[Most curent]=TRUE),"NF")&gt;0,1,0)</f>
        <v>0</v>
      </c>
      <c r="AH106" cm="1">
        <f t="array" ref="AH106">IF(_xlfn._xlws.FILTER(Table1[Spend - US],(Table1[Execution Year]=Table2[[#This Row],[Execution Year]])*(Table1[SBU]=Table2[[#This Row],[SBU]])*(Table1[Category]=Table2[[#This Row],[Category]])*(Table1[Most curent]=TRUE),"NF")&gt;0,1,0)</f>
        <v>1</v>
      </c>
      <c r="AI106" cm="1">
        <f t="array" ref="AI106">IF(_xlfn._xlws.FILTER(Table1[Spend - Sams],(Table1[Execution Year]=Table2[[#This Row],[Execution Year]])*(Table1[SBU]=Table2[[#This Row],[SBU]])*(Table1[Category]=Table2[[#This Row],[Category]])*(Table1[Most curent]=TRUE),"NF")&gt;0,1,0)</f>
        <v>0</v>
      </c>
      <c r="AJ106" cm="1">
        <f t="array" ref="AJ106">IF(_xlfn._xlws.FILTER(Table1[Spend - Sams Mexico],(Table1[Execution Year]=Table2[[#This Row],[Execution Year]])*(Table1[SBU]=Table2[[#This Row],[SBU]])*(Table1[Category]=Table2[[#This Row],[Category]])*(Table1[Most curent]=TRUE),"NF")&gt;0,1,0)</f>
        <v>0</v>
      </c>
      <c r="AK106" cm="1">
        <f t="array" ref="AK106">IF(_xlfn._xlws.FILTER(Table1[Spend - Sams China],(Table1[Execution Year]=Table2[[#This Row],[Execution Year]])*(Table1[SBU]=Table2[[#This Row],[SBU]])*(Table1[Category]=Table2[[#This Row],[Category]])*(Table1[Most curent]=TRUE),"NF")&gt;0,1,0)</f>
        <v>0</v>
      </c>
      <c r="AL106" cm="1">
        <f t="array" ref="AL106">IF(_xlfn._xlws.FILTER(Table1[Spend - IND],(Table1[Execution Year]=Table2[[#This Row],[Execution Year]])*(Table1[SBU]=Table2[[#This Row],[SBU]])*(Table1[Category]=Table2[[#This Row],[Category]])*(Table1[Most curent]=TRUE),"NF")&gt;0,1,0)</f>
        <v>0</v>
      </c>
    </row>
    <row r="107" spans="1:38">
      <c r="A107" t="str">
        <f>Table2[[#This Row],[Execution Year]]&amp;Table2[[#This Row],[SBU]]&amp;Table2[[#This Row],[Category]]</f>
        <v>FY23FoodRMA - Buttercream</v>
      </c>
      <c r="B107" t="s">
        <v>590</v>
      </c>
      <c r="C107" t="s">
        <v>33</v>
      </c>
      <c r="D107" t="s">
        <v>322</v>
      </c>
      <c r="E107" s="185">
        <v>0</v>
      </c>
      <c r="F107" s="185">
        <v>0</v>
      </c>
      <c r="G107" s="185">
        <v>0</v>
      </c>
      <c r="H107" s="185">
        <v>0</v>
      </c>
      <c r="I107" t="s">
        <v>412</v>
      </c>
      <c r="J107" t="s">
        <v>459</v>
      </c>
      <c r="K107" t="s">
        <v>396</v>
      </c>
      <c r="L107">
        <v>0</v>
      </c>
      <c r="M107">
        <v>60</v>
      </c>
      <c r="N107" t="s">
        <v>396</v>
      </c>
      <c r="O107" s="16">
        <v>44722.587741319447</v>
      </c>
      <c r="P107" t="s">
        <v>585</v>
      </c>
      <c r="Q107" t="s">
        <v>591</v>
      </c>
      <c r="R107" t="s">
        <v>353</v>
      </c>
      <c r="S107">
        <v>0</v>
      </c>
      <c r="T107" t="s">
        <v>413</v>
      </c>
      <c r="U107">
        <v>0</v>
      </c>
      <c r="V107">
        <f>_xlfn.XLOOKUP(Table2[[#This Row],[Primary Dept Description]],'Lookup tables'!$U$17:$U$117,'Lookup tables'!$T$17:$T$117,"")</f>
        <v>98</v>
      </c>
      <c r="W107" s="15" t="str">
        <f>IF(OR(Table2[[#This Row],[Revised Award]]=0,Table2[[#This Row],[Revised Award]]=""),IF(OR(Table2[[#This Row],[Planned Award]]=0,Table2[[#This Row],[Planned Award]]=""),"Not Updated",Table2[[#This Row],[Planned Award]]),Table2[[#This Row],[Revised Award]])</f>
        <v>Not Updated</v>
      </c>
      <c r="X107" t="str">
        <f>_xlfn.XLOOKUP(Table2[[#This Row],[Milestone]],'Lookup tables'!$Y$27:$Y$60,'Lookup tables'!$Z$27:$Z$60,"Not Updated")</f>
        <v>Exploratory</v>
      </c>
      <c r="Y107" cm="1">
        <f t="array" ref="Y107">IF(_xlfn._xlws.FILTER(Table1[Spend - CAN],(Table1[Execution Year]=Table2[[#This Row],[Execution Year]])*(Table1[SBU]=Table2[[#This Row],[SBU]])*(Table1[Category]=Table2[[#This Row],[Category]])*(Table1[Most curent]=TRUE),"NF")&gt;0,1,0)</f>
        <v>0</v>
      </c>
      <c r="Z107" cm="1">
        <f t="array" ref="Z107">IF(_xlfn._xlws.FILTER(Table1[Spend - MEX],(Table1[Execution Year]=Table2[[#This Row],[Execution Year]])*(Table1[SBU]=Table2[[#This Row],[SBU]])*(Table1[Category]=Table2[[#This Row],[Category]])*(Table1[Most curent]=TRUE),"NF")&gt;0,1,0)</f>
        <v>0</v>
      </c>
      <c r="AA107" cm="1">
        <f t="array" ref="AA107">IF(_xlfn._xlws.FILTER(Table1[Spend - CAM],(Table1[Execution Year]=Table2[[#This Row],[Execution Year]])*(Table1[SBU]=Table2[[#This Row],[SBU]])*(Table1[Category]=Table2[[#This Row],[Category]])*(Table1[Most curent]=TRUE),"NF")&gt;0,1,0)</f>
        <v>0</v>
      </c>
      <c r="AB107" cm="1">
        <f t="array" ref="AB107">IF(_xlfn._xlws.FILTER(Table1[Spend - CHL],(Table1[Execution Year]=Table2[[#This Row],[Execution Year]])*(Table1[SBU]=Table2[[#This Row],[SBU]])*(Table1[Category]=Table2[[#This Row],[Category]])*(Table1[Most curent]=TRUE),"NF")&gt;0,1,0)</f>
        <v>0</v>
      </c>
      <c r="AC107" cm="1">
        <f t="array" ref="AC107">IF(_xlfn._xlws.FILTER(Table1[Spend - ARG],(Table1[Execution Year]=Table2[[#This Row],[Execution Year]])*(Table1[SBU]=Table2[[#This Row],[SBU]])*(Table1[Category]=Table2[[#This Row],[Category]])*(Table1[Most curent]=TRUE),"NF")&gt;0,1,0)</f>
        <v>0</v>
      </c>
      <c r="AD107" cm="1">
        <f t="array" ref="AD107">IF(_xlfn._xlws.FILTER(Table1[Spend - CHN],(Table1[Execution Year]=Table2[[#This Row],[Execution Year]])*(Table1[SBU]=Table2[[#This Row],[SBU]])*(Table1[Category]=Table2[[#This Row],[Category]])*(Table1[Most curent]=TRUE),"NF")&gt;0,1,0)</f>
        <v>0</v>
      </c>
      <c r="AE107" cm="1">
        <f t="array" ref="AE107">IF(_xlfn._xlws.FILTER(Table1[Spend - JAP],(Table1[Execution Year]=Table2[[#This Row],[Execution Year]])*(Table1[SBU]=Table2[[#This Row],[SBU]])*(Table1[Category]=Table2[[#This Row],[Category]])*(Table1[Most curent]=TRUE),"NF")&gt;0,1,0)</f>
        <v>0</v>
      </c>
      <c r="AF107" cm="1">
        <f t="array" ref="AF107">IF(_xlfn._xlws.FILTER(Table1[Spend - UKN],(Table1[Execution Year]=Table2[[#This Row],[Execution Year]])*(Table1[SBU]=Table2[[#This Row],[SBU]])*(Table1[Category]=Table2[[#This Row],[Category]])*(Table1[Most curent]=TRUE),"NF")&gt;0,1,0)</f>
        <v>0</v>
      </c>
      <c r="AG107" cm="1">
        <f t="array" ref="AG107">IF(_xlfn._xlws.FILTER(Table1[Spend - SAF],(Table1[Execution Year]=Table2[[#This Row],[Execution Year]])*(Table1[SBU]=Table2[[#This Row],[SBU]])*(Table1[Category]=Table2[[#This Row],[Category]])*(Table1[Most curent]=TRUE),"NF")&gt;0,1,0)</f>
        <v>0</v>
      </c>
      <c r="AH107" cm="1">
        <f t="array" ref="AH107">IF(_xlfn._xlws.FILTER(Table1[Spend - US],(Table1[Execution Year]=Table2[[#This Row],[Execution Year]])*(Table1[SBU]=Table2[[#This Row],[SBU]])*(Table1[Category]=Table2[[#This Row],[Category]])*(Table1[Most curent]=TRUE),"NF")&gt;0,1,0)</f>
        <v>1</v>
      </c>
      <c r="AI107" cm="1">
        <f t="array" ref="AI107">IF(_xlfn._xlws.FILTER(Table1[Spend - Sams],(Table1[Execution Year]=Table2[[#This Row],[Execution Year]])*(Table1[SBU]=Table2[[#This Row],[SBU]])*(Table1[Category]=Table2[[#This Row],[Category]])*(Table1[Most curent]=TRUE),"NF")&gt;0,1,0)</f>
        <v>0</v>
      </c>
      <c r="AJ107" cm="1">
        <f t="array" ref="AJ107">IF(_xlfn._xlws.FILTER(Table1[Spend - Sams Mexico],(Table1[Execution Year]=Table2[[#This Row],[Execution Year]])*(Table1[SBU]=Table2[[#This Row],[SBU]])*(Table1[Category]=Table2[[#This Row],[Category]])*(Table1[Most curent]=TRUE),"NF")&gt;0,1,0)</f>
        <v>0</v>
      </c>
      <c r="AK107" cm="1">
        <f t="array" ref="AK107">IF(_xlfn._xlws.FILTER(Table1[Spend - Sams China],(Table1[Execution Year]=Table2[[#This Row],[Execution Year]])*(Table1[SBU]=Table2[[#This Row],[SBU]])*(Table1[Category]=Table2[[#This Row],[Category]])*(Table1[Most curent]=TRUE),"NF")&gt;0,1,0)</f>
        <v>0</v>
      </c>
      <c r="AL107" cm="1">
        <f t="array" ref="AL107">IF(_xlfn._xlws.FILTER(Table1[Spend - IND],(Table1[Execution Year]=Table2[[#This Row],[Execution Year]])*(Table1[SBU]=Table2[[#This Row],[SBU]])*(Table1[Category]=Table2[[#This Row],[Category]])*(Table1[Most curent]=TRUE),"NF")&gt;0,1,0)</f>
        <v>0</v>
      </c>
    </row>
    <row r="108" spans="1:38">
      <c r="A108" t="str">
        <f>Table2[[#This Row],[Execution Year]]&amp;Table2[[#This Row],[SBU]]&amp;Table2[[#This Row],[Category]]</f>
        <v>FY23FoodRMA - Cut Fruit &amp; Vav</v>
      </c>
      <c r="B108" t="s">
        <v>592</v>
      </c>
      <c r="C108" t="s">
        <v>33</v>
      </c>
      <c r="D108" t="s">
        <v>322</v>
      </c>
      <c r="E108" s="185">
        <v>0</v>
      </c>
      <c r="F108" s="185">
        <v>0</v>
      </c>
      <c r="G108" s="185">
        <v>0</v>
      </c>
      <c r="H108" s="185">
        <v>0</v>
      </c>
      <c r="I108" t="s">
        <v>412</v>
      </c>
      <c r="J108" t="s">
        <v>459</v>
      </c>
      <c r="K108" t="s">
        <v>396</v>
      </c>
      <c r="L108">
        <v>0</v>
      </c>
      <c r="M108">
        <v>60</v>
      </c>
      <c r="N108" t="s">
        <v>396</v>
      </c>
      <c r="O108" s="16">
        <v>44722.588734259261</v>
      </c>
      <c r="P108" t="s">
        <v>585</v>
      </c>
      <c r="Q108" t="s">
        <v>593</v>
      </c>
      <c r="R108" t="s">
        <v>353</v>
      </c>
      <c r="S108">
        <v>0</v>
      </c>
      <c r="T108" t="s">
        <v>413</v>
      </c>
      <c r="U108">
        <v>0</v>
      </c>
      <c r="V108">
        <f>_xlfn.XLOOKUP(Table2[[#This Row],[Primary Dept Description]],'Lookup tables'!$U$17:$U$117,'Lookup tables'!$T$17:$T$117,"")</f>
        <v>93</v>
      </c>
      <c r="W108" s="15" t="str">
        <f>IF(OR(Table2[[#This Row],[Revised Award]]=0,Table2[[#This Row],[Revised Award]]=""),IF(OR(Table2[[#This Row],[Planned Award]]=0,Table2[[#This Row],[Planned Award]]=""),"Not Updated",Table2[[#This Row],[Planned Award]]),Table2[[#This Row],[Revised Award]])</f>
        <v>Not Updated</v>
      </c>
      <c r="X108" t="str">
        <f>_xlfn.XLOOKUP(Table2[[#This Row],[Milestone]],'Lookup tables'!$Y$27:$Y$60,'Lookup tables'!$Z$27:$Z$60,"Not Updated")</f>
        <v>Exploratory</v>
      </c>
      <c r="Y108" cm="1">
        <f t="array" ref="Y108">IF(_xlfn._xlws.FILTER(Table1[Spend - CAN],(Table1[Execution Year]=Table2[[#This Row],[Execution Year]])*(Table1[SBU]=Table2[[#This Row],[SBU]])*(Table1[Category]=Table2[[#This Row],[Category]])*(Table1[Most curent]=TRUE),"NF")&gt;0,1,0)</f>
        <v>0</v>
      </c>
      <c r="Z108" cm="1">
        <f t="array" ref="Z108">IF(_xlfn._xlws.FILTER(Table1[Spend - MEX],(Table1[Execution Year]=Table2[[#This Row],[Execution Year]])*(Table1[SBU]=Table2[[#This Row],[SBU]])*(Table1[Category]=Table2[[#This Row],[Category]])*(Table1[Most curent]=TRUE),"NF")&gt;0,1,0)</f>
        <v>0</v>
      </c>
      <c r="AA108" cm="1">
        <f t="array" ref="AA108">IF(_xlfn._xlws.FILTER(Table1[Spend - CAM],(Table1[Execution Year]=Table2[[#This Row],[Execution Year]])*(Table1[SBU]=Table2[[#This Row],[SBU]])*(Table1[Category]=Table2[[#This Row],[Category]])*(Table1[Most curent]=TRUE),"NF")&gt;0,1,0)</f>
        <v>0</v>
      </c>
      <c r="AB108" cm="1">
        <f t="array" ref="AB108">IF(_xlfn._xlws.FILTER(Table1[Spend - CHL],(Table1[Execution Year]=Table2[[#This Row],[Execution Year]])*(Table1[SBU]=Table2[[#This Row],[SBU]])*(Table1[Category]=Table2[[#This Row],[Category]])*(Table1[Most curent]=TRUE),"NF")&gt;0,1,0)</f>
        <v>0</v>
      </c>
      <c r="AC108" cm="1">
        <f t="array" ref="AC108">IF(_xlfn._xlws.FILTER(Table1[Spend - ARG],(Table1[Execution Year]=Table2[[#This Row],[Execution Year]])*(Table1[SBU]=Table2[[#This Row],[SBU]])*(Table1[Category]=Table2[[#This Row],[Category]])*(Table1[Most curent]=TRUE),"NF")&gt;0,1,0)</f>
        <v>0</v>
      </c>
      <c r="AD108" cm="1">
        <f t="array" ref="AD108">IF(_xlfn._xlws.FILTER(Table1[Spend - CHN],(Table1[Execution Year]=Table2[[#This Row],[Execution Year]])*(Table1[SBU]=Table2[[#This Row],[SBU]])*(Table1[Category]=Table2[[#This Row],[Category]])*(Table1[Most curent]=TRUE),"NF")&gt;0,1,0)</f>
        <v>0</v>
      </c>
      <c r="AE108" cm="1">
        <f t="array" ref="AE108">IF(_xlfn._xlws.FILTER(Table1[Spend - JAP],(Table1[Execution Year]=Table2[[#This Row],[Execution Year]])*(Table1[SBU]=Table2[[#This Row],[SBU]])*(Table1[Category]=Table2[[#This Row],[Category]])*(Table1[Most curent]=TRUE),"NF")&gt;0,1,0)</f>
        <v>0</v>
      </c>
      <c r="AF108" cm="1">
        <f t="array" ref="AF108">IF(_xlfn._xlws.FILTER(Table1[Spend - UKN],(Table1[Execution Year]=Table2[[#This Row],[Execution Year]])*(Table1[SBU]=Table2[[#This Row],[SBU]])*(Table1[Category]=Table2[[#This Row],[Category]])*(Table1[Most curent]=TRUE),"NF")&gt;0,1,0)</f>
        <v>0</v>
      </c>
      <c r="AG108" cm="1">
        <f t="array" ref="AG108">IF(_xlfn._xlws.FILTER(Table1[Spend - SAF],(Table1[Execution Year]=Table2[[#This Row],[Execution Year]])*(Table1[SBU]=Table2[[#This Row],[SBU]])*(Table1[Category]=Table2[[#This Row],[Category]])*(Table1[Most curent]=TRUE),"NF")&gt;0,1,0)</f>
        <v>0</v>
      </c>
      <c r="AH108" cm="1">
        <f t="array" ref="AH108">IF(_xlfn._xlws.FILTER(Table1[Spend - US],(Table1[Execution Year]=Table2[[#This Row],[Execution Year]])*(Table1[SBU]=Table2[[#This Row],[SBU]])*(Table1[Category]=Table2[[#This Row],[Category]])*(Table1[Most curent]=TRUE),"NF")&gt;0,1,0)</f>
        <v>1</v>
      </c>
      <c r="AI108" cm="1">
        <f t="array" ref="AI108">IF(_xlfn._xlws.FILTER(Table1[Spend - Sams],(Table1[Execution Year]=Table2[[#This Row],[Execution Year]])*(Table1[SBU]=Table2[[#This Row],[SBU]])*(Table1[Category]=Table2[[#This Row],[Category]])*(Table1[Most curent]=TRUE),"NF")&gt;0,1,0)</f>
        <v>0</v>
      </c>
      <c r="AJ108" cm="1">
        <f t="array" ref="AJ108">IF(_xlfn._xlws.FILTER(Table1[Spend - Sams Mexico],(Table1[Execution Year]=Table2[[#This Row],[Execution Year]])*(Table1[SBU]=Table2[[#This Row],[SBU]])*(Table1[Category]=Table2[[#This Row],[Category]])*(Table1[Most curent]=TRUE),"NF")&gt;0,1,0)</f>
        <v>0</v>
      </c>
      <c r="AK108" cm="1">
        <f t="array" ref="AK108">IF(_xlfn._xlws.FILTER(Table1[Spend - Sams China],(Table1[Execution Year]=Table2[[#This Row],[Execution Year]])*(Table1[SBU]=Table2[[#This Row],[SBU]])*(Table1[Category]=Table2[[#This Row],[Category]])*(Table1[Most curent]=TRUE),"NF")&gt;0,1,0)</f>
        <v>0</v>
      </c>
      <c r="AL108" cm="1">
        <f t="array" ref="AL108">IF(_xlfn._xlws.FILTER(Table1[Spend - IND],(Table1[Execution Year]=Table2[[#This Row],[Execution Year]])*(Table1[SBU]=Table2[[#This Row],[SBU]])*(Table1[Category]=Table2[[#This Row],[Category]])*(Table1[Most curent]=TRUE),"NF")&gt;0,1,0)</f>
        <v>0</v>
      </c>
    </row>
    <row r="109" spans="1:38">
      <c r="A109" t="str">
        <f>Table2[[#This Row],[Execution Year]]&amp;Table2[[#This Row],[SBU]]&amp;Table2[[#This Row],[Category]]</f>
        <v>FY23FoodRMA - Garlic</v>
      </c>
      <c r="B109" t="s">
        <v>594</v>
      </c>
      <c r="C109" t="s">
        <v>33</v>
      </c>
      <c r="D109" t="s">
        <v>322</v>
      </c>
      <c r="E109" s="185">
        <v>0</v>
      </c>
      <c r="F109" s="185">
        <v>0</v>
      </c>
      <c r="G109" s="185">
        <v>0</v>
      </c>
      <c r="H109" s="185">
        <v>0</v>
      </c>
      <c r="I109" t="s">
        <v>412</v>
      </c>
      <c r="J109" t="s">
        <v>459</v>
      </c>
      <c r="K109" t="s">
        <v>396</v>
      </c>
      <c r="L109">
        <v>0</v>
      </c>
      <c r="M109">
        <v>60</v>
      </c>
      <c r="N109" t="s">
        <v>396</v>
      </c>
      <c r="O109" s="16">
        <v>44722.593353587959</v>
      </c>
      <c r="P109" t="s">
        <v>585</v>
      </c>
      <c r="Q109">
        <v>0</v>
      </c>
      <c r="R109" t="s">
        <v>353</v>
      </c>
      <c r="S109">
        <v>0</v>
      </c>
      <c r="T109" t="s">
        <v>413</v>
      </c>
      <c r="U109">
        <v>0</v>
      </c>
      <c r="V109" t="str">
        <f>_xlfn.XLOOKUP(Table2[[#This Row],[Primary Dept Description]],'Lookup tables'!$U$17:$U$117,'Lookup tables'!$T$17:$T$117,"")</f>
        <v/>
      </c>
      <c r="W109" s="15" t="str">
        <f>IF(OR(Table2[[#This Row],[Revised Award]]=0,Table2[[#This Row],[Revised Award]]=""),IF(OR(Table2[[#This Row],[Planned Award]]=0,Table2[[#This Row],[Planned Award]]=""),"Not Updated",Table2[[#This Row],[Planned Award]]),Table2[[#This Row],[Revised Award]])</f>
        <v>Not Updated</v>
      </c>
      <c r="X109" t="str">
        <f>_xlfn.XLOOKUP(Table2[[#This Row],[Milestone]],'Lookup tables'!$Y$27:$Y$60,'Lookup tables'!$Z$27:$Z$60,"Not Updated")</f>
        <v>Exploratory</v>
      </c>
      <c r="Y109" cm="1">
        <f t="array" ref="Y109">IF(_xlfn._xlws.FILTER(Table1[Spend - CAN],(Table1[Execution Year]=Table2[[#This Row],[Execution Year]])*(Table1[SBU]=Table2[[#This Row],[SBU]])*(Table1[Category]=Table2[[#This Row],[Category]])*(Table1[Most curent]=TRUE),"NF")&gt;0,1,0)</f>
        <v>0</v>
      </c>
      <c r="Z109" cm="1">
        <f t="array" ref="Z109">IF(_xlfn._xlws.FILTER(Table1[Spend - MEX],(Table1[Execution Year]=Table2[[#This Row],[Execution Year]])*(Table1[SBU]=Table2[[#This Row],[SBU]])*(Table1[Category]=Table2[[#This Row],[Category]])*(Table1[Most curent]=TRUE),"NF")&gt;0,1,0)</f>
        <v>0</v>
      </c>
      <c r="AA109" cm="1">
        <f t="array" ref="AA109">IF(_xlfn._xlws.FILTER(Table1[Spend - CAM],(Table1[Execution Year]=Table2[[#This Row],[Execution Year]])*(Table1[SBU]=Table2[[#This Row],[SBU]])*(Table1[Category]=Table2[[#This Row],[Category]])*(Table1[Most curent]=TRUE),"NF")&gt;0,1,0)</f>
        <v>0</v>
      </c>
      <c r="AB109" cm="1">
        <f t="array" ref="AB109">IF(_xlfn._xlws.FILTER(Table1[Spend - CHL],(Table1[Execution Year]=Table2[[#This Row],[Execution Year]])*(Table1[SBU]=Table2[[#This Row],[SBU]])*(Table1[Category]=Table2[[#This Row],[Category]])*(Table1[Most curent]=TRUE),"NF")&gt;0,1,0)</f>
        <v>0</v>
      </c>
      <c r="AC109" cm="1">
        <f t="array" ref="AC109">IF(_xlfn._xlws.FILTER(Table1[Spend - ARG],(Table1[Execution Year]=Table2[[#This Row],[Execution Year]])*(Table1[SBU]=Table2[[#This Row],[SBU]])*(Table1[Category]=Table2[[#This Row],[Category]])*(Table1[Most curent]=TRUE),"NF")&gt;0,1,0)</f>
        <v>0</v>
      </c>
      <c r="AD109" cm="1">
        <f t="array" ref="AD109">IF(_xlfn._xlws.FILTER(Table1[Spend - CHN],(Table1[Execution Year]=Table2[[#This Row],[Execution Year]])*(Table1[SBU]=Table2[[#This Row],[SBU]])*(Table1[Category]=Table2[[#This Row],[Category]])*(Table1[Most curent]=TRUE),"NF")&gt;0,1,0)</f>
        <v>0</v>
      </c>
      <c r="AE109" cm="1">
        <f t="array" ref="AE109">IF(_xlfn._xlws.FILTER(Table1[Spend - JAP],(Table1[Execution Year]=Table2[[#This Row],[Execution Year]])*(Table1[SBU]=Table2[[#This Row],[SBU]])*(Table1[Category]=Table2[[#This Row],[Category]])*(Table1[Most curent]=TRUE),"NF")&gt;0,1,0)</f>
        <v>0</v>
      </c>
      <c r="AF109" cm="1">
        <f t="array" ref="AF109">IF(_xlfn._xlws.FILTER(Table1[Spend - UKN],(Table1[Execution Year]=Table2[[#This Row],[Execution Year]])*(Table1[SBU]=Table2[[#This Row],[SBU]])*(Table1[Category]=Table2[[#This Row],[Category]])*(Table1[Most curent]=TRUE),"NF")&gt;0,1,0)</f>
        <v>0</v>
      </c>
      <c r="AG109" cm="1">
        <f t="array" ref="AG109">IF(_xlfn._xlws.FILTER(Table1[Spend - SAF],(Table1[Execution Year]=Table2[[#This Row],[Execution Year]])*(Table1[SBU]=Table2[[#This Row],[SBU]])*(Table1[Category]=Table2[[#This Row],[Category]])*(Table1[Most curent]=TRUE),"NF")&gt;0,1,0)</f>
        <v>0</v>
      </c>
      <c r="AH109" cm="1">
        <f t="array" ref="AH109">IF(_xlfn._xlws.FILTER(Table1[Spend - US],(Table1[Execution Year]=Table2[[#This Row],[Execution Year]])*(Table1[SBU]=Table2[[#This Row],[SBU]])*(Table1[Category]=Table2[[#This Row],[Category]])*(Table1[Most curent]=TRUE),"NF")&gt;0,1,0)</f>
        <v>1</v>
      </c>
      <c r="AI109" cm="1">
        <f t="array" ref="AI109">IF(_xlfn._xlws.FILTER(Table1[Spend - Sams],(Table1[Execution Year]=Table2[[#This Row],[Execution Year]])*(Table1[SBU]=Table2[[#This Row],[SBU]])*(Table1[Category]=Table2[[#This Row],[Category]])*(Table1[Most curent]=TRUE),"NF")&gt;0,1,0)</f>
        <v>0</v>
      </c>
      <c r="AJ109" cm="1">
        <f t="array" ref="AJ109">IF(_xlfn._xlws.FILTER(Table1[Spend - Sams Mexico],(Table1[Execution Year]=Table2[[#This Row],[Execution Year]])*(Table1[SBU]=Table2[[#This Row],[SBU]])*(Table1[Category]=Table2[[#This Row],[Category]])*(Table1[Most curent]=TRUE),"NF")&gt;0,1,0)</f>
        <v>0</v>
      </c>
      <c r="AK109" cm="1">
        <f t="array" ref="AK109">IF(_xlfn._xlws.FILTER(Table1[Spend - Sams China],(Table1[Execution Year]=Table2[[#This Row],[Execution Year]])*(Table1[SBU]=Table2[[#This Row],[SBU]])*(Table1[Category]=Table2[[#This Row],[Category]])*(Table1[Most curent]=TRUE),"NF")&gt;0,1,0)</f>
        <v>0</v>
      </c>
      <c r="AL109" cm="1">
        <f t="array" ref="AL109">IF(_xlfn._xlws.FILTER(Table1[Spend - IND],(Table1[Execution Year]=Table2[[#This Row],[Execution Year]])*(Table1[SBU]=Table2[[#This Row],[SBU]])*(Table1[Category]=Table2[[#This Row],[Category]])*(Table1[Most curent]=TRUE),"NF")&gt;0,1,0)</f>
        <v>0</v>
      </c>
    </row>
    <row r="110" spans="1:38">
      <c r="A110" t="str">
        <f>Table2[[#This Row],[Execution Year]]&amp;Table2[[#This Row],[SBU]]&amp;Table2[[#This Row],[Category]]</f>
        <v>FY23FoodRMA - Cashews</v>
      </c>
      <c r="B110" t="s">
        <v>595</v>
      </c>
      <c r="C110" t="s">
        <v>33</v>
      </c>
      <c r="D110" t="s">
        <v>322</v>
      </c>
      <c r="E110" s="185">
        <v>0</v>
      </c>
      <c r="F110" s="185">
        <v>0</v>
      </c>
      <c r="G110" s="185">
        <v>0</v>
      </c>
      <c r="H110" s="185">
        <v>0</v>
      </c>
      <c r="I110" t="s">
        <v>412</v>
      </c>
      <c r="J110" t="s">
        <v>459</v>
      </c>
      <c r="K110" t="s">
        <v>396</v>
      </c>
      <c r="L110">
        <v>0</v>
      </c>
      <c r="M110">
        <v>60</v>
      </c>
      <c r="N110" t="s">
        <v>396</v>
      </c>
      <c r="O110" s="16">
        <v>44722.594162499998</v>
      </c>
      <c r="P110" t="s">
        <v>585</v>
      </c>
      <c r="Q110">
        <v>0</v>
      </c>
      <c r="R110" t="s">
        <v>353</v>
      </c>
      <c r="S110">
        <v>0</v>
      </c>
      <c r="T110" t="s">
        <v>413</v>
      </c>
      <c r="U110">
        <v>0</v>
      </c>
      <c r="V110" t="str">
        <f>_xlfn.XLOOKUP(Table2[[#This Row],[Primary Dept Description]],'Lookup tables'!$U$17:$U$117,'Lookup tables'!$T$17:$T$117,"")</f>
        <v/>
      </c>
      <c r="W110" s="15" t="str">
        <f>IF(OR(Table2[[#This Row],[Revised Award]]=0,Table2[[#This Row],[Revised Award]]=""),IF(OR(Table2[[#This Row],[Planned Award]]=0,Table2[[#This Row],[Planned Award]]=""),"Not Updated",Table2[[#This Row],[Planned Award]]),Table2[[#This Row],[Revised Award]])</f>
        <v>Not Updated</v>
      </c>
      <c r="X110" t="str">
        <f>_xlfn.XLOOKUP(Table2[[#This Row],[Milestone]],'Lookup tables'!$Y$27:$Y$60,'Lookup tables'!$Z$27:$Z$60,"Not Updated")</f>
        <v>Exploratory</v>
      </c>
      <c r="Y110" cm="1">
        <f t="array" ref="Y110">IF(_xlfn._xlws.FILTER(Table1[Spend - CAN],(Table1[Execution Year]=Table2[[#This Row],[Execution Year]])*(Table1[SBU]=Table2[[#This Row],[SBU]])*(Table1[Category]=Table2[[#This Row],[Category]])*(Table1[Most curent]=TRUE),"NF")&gt;0,1,0)</f>
        <v>0</v>
      </c>
      <c r="Z110" cm="1">
        <f t="array" ref="Z110">IF(_xlfn._xlws.FILTER(Table1[Spend - MEX],(Table1[Execution Year]=Table2[[#This Row],[Execution Year]])*(Table1[SBU]=Table2[[#This Row],[SBU]])*(Table1[Category]=Table2[[#This Row],[Category]])*(Table1[Most curent]=TRUE),"NF")&gt;0,1,0)</f>
        <v>0</v>
      </c>
      <c r="AA110" cm="1">
        <f t="array" ref="AA110">IF(_xlfn._xlws.FILTER(Table1[Spend - CAM],(Table1[Execution Year]=Table2[[#This Row],[Execution Year]])*(Table1[SBU]=Table2[[#This Row],[SBU]])*(Table1[Category]=Table2[[#This Row],[Category]])*(Table1[Most curent]=TRUE),"NF")&gt;0,1,0)</f>
        <v>0</v>
      </c>
      <c r="AB110" cm="1">
        <f t="array" ref="AB110">IF(_xlfn._xlws.FILTER(Table1[Spend - CHL],(Table1[Execution Year]=Table2[[#This Row],[Execution Year]])*(Table1[SBU]=Table2[[#This Row],[SBU]])*(Table1[Category]=Table2[[#This Row],[Category]])*(Table1[Most curent]=TRUE),"NF")&gt;0,1,0)</f>
        <v>0</v>
      </c>
      <c r="AC110" cm="1">
        <f t="array" ref="AC110">IF(_xlfn._xlws.FILTER(Table1[Spend - ARG],(Table1[Execution Year]=Table2[[#This Row],[Execution Year]])*(Table1[SBU]=Table2[[#This Row],[SBU]])*(Table1[Category]=Table2[[#This Row],[Category]])*(Table1[Most curent]=TRUE),"NF")&gt;0,1,0)</f>
        <v>0</v>
      </c>
      <c r="AD110" cm="1">
        <f t="array" ref="AD110">IF(_xlfn._xlws.FILTER(Table1[Spend - CHN],(Table1[Execution Year]=Table2[[#This Row],[Execution Year]])*(Table1[SBU]=Table2[[#This Row],[SBU]])*(Table1[Category]=Table2[[#This Row],[Category]])*(Table1[Most curent]=TRUE),"NF")&gt;0,1,0)</f>
        <v>0</v>
      </c>
      <c r="AE110" cm="1">
        <f t="array" ref="AE110">IF(_xlfn._xlws.FILTER(Table1[Spend - JAP],(Table1[Execution Year]=Table2[[#This Row],[Execution Year]])*(Table1[SBU]=Table2[[#This Row],[SBU]])*(Table1[Category]=Table2[[#This Row],[Category]])*(Table1[Most curent]=TRUE),"NF")&gt;0,1,0)</f>
        <v>0</v>
      </c>
      <c r="AF110" cm="1">
        <f t="array" ref="AF110">IF(_xlfn._xlws.FILTER(Table1[Spend - UKN],(Table1[Execution Year]=Table2[[#This Row],[Execution Year]])*(Table1[SBU]=Table2[[#This Row],[SBU]])*(Table1[Category]=Table2[[#This Row],[Category]])*(Table1[Most curent]=TRUE),"NF")&gt;0,1,0)</f>
        <v>0</v>
      </c>
      <c r="AG110" cm="1">
        <f t="array" ref="AG110">IF(_xlfn._xlws.FILTER(Table1[Spend - SAF],(Table1[Execution Year]=Table2[[#This Row],[Execution Year]])*(Table1[SBU]=Table2[[#This Row],[SBU]])*(Table1[Category]=Table2[[#This Row],[Category]])*(Table1[Most curent]=TRUE),"NF")&gt;0,1,0)</f>
        <v>0</v>
      </c>
      <c r="AH110" cm="1">
        <f t="array" ref="AH110">IF(_xlfn._xlws.FILTER(Table1[Spend - US],(Table1[Execution Year]=Table2[[#This Row],[Execution Year]])*(Table1[SBU]=Table2[[#This Row],[SBU]])*(Table1[Category]=Table2[[#This Row],[Category]])*(Table1[Most curent]=TRUE),"NF")&gt;0,1,0)</f>
        <v>1</v>
      </c>
      <c r="AI110" cm="1">
        <f t="array" ref="AI110">IF(_xlfn._xlws.FILTER(Table1[Spend - Sams],(Table1[Execution Year]=Table2[[#This Row],[Execution Year]])*(Table1[SBU]=Table2[[#This Row],[SBU]])*(Table1[Category]=Table2[[#This Row],[Category]])*(Table1[Most curent]=TRUE),"NF")&gt;0,1,0)</f>
        <v>0</v>
      </c>
      <c r="AJ110" cm="1">
        <f t="array" ref="AJ110">IF(_xlfn._xlws.FILTER(Table1[Spend - Sams Mexico],(Table1[Execution Year]=Table2[[#This Row],[Execution Year]])*(Table1[SBU]=Table2[[#This Row],[SBU]])*(Table1[Category]=Table2[[#This Row],[Category]])*(Table1[Most curent]=TRUE),"NF")&gt;0,1,0)</f>
        <v>0</v>
      </c>
      <c r="AK110" cm="1">
        <f t="array" ref="AK110">IF(_xlfn._xlws.FILTER(Table1[Spend - Sams China],(Table1[Execution Year]=Table2[[#This Row],[Execution Year]])*(Table1[SBU]=Table2[[#This Row],[SBU]])*(Table1[Category]=Table2[[#This Row],[Category]])*(Table1[Most curent]=TRUE),"NF")&gt;0,1,0)</f>
        <v>0</v>
      </c>
      <c r="AL110" cm="1">
        <f t="array" ref="AL110">IF(_xlfn._xlws.FILTER(Table1[Spend - IND],(Table1[Execution Year]=Table2[[#This Row],[Execution Year]])*(Table1[SBU]=Table2[[#This Row],[SBU]])*(Table1[Category]=Table2[[#This Row],[Category]])*(Table1[Most curent]=TRUE),"NF")&gt;0,1,0)</f>
        <v>0</v>
      </c>
    </row>
    <row r="111" spans="1:38">
      <c r="A111" t="str">
        <f>Table2[[#This Row],[Execution Year]]&amp;Table2[[#This Row],[SBU]]&amp;Table2[[#This Row],[Category]]</f>
        <v>FY23FoodCookies &amp; Crackers</v>
      </c>
      <c r="B111" t="s">
        <v>596</v>
      </c>
      <c r="C111" t="s">
        <v>33</v>
      </c>
      <c r="D111" t="s">
        <v>322</v>
      </c>
      <c r="E111" s="185">
        <v>44682</v>
      </c>
      <c r="F111" s="185">
        <v>44804</v>
      </c>
      <c r="G111" s="185">
        <v>0</v>
      </c>
      <c r="H111" s="185">
        <v>0</v>
      </c>
      <c r="I111" t="s">
        <v>413</v>
      </c>
      <c r="J111" t="s">
        <v>459</v>
      </c>
      <c r="K111" t="s">
        <v>516</v>
      </c>
      <c r="L111" t="s">
        <v>575</v>
      </c>
      <c r="M111">
        <v>44864</v>
      </c>
      <c r="N111" t="s">
        <v>516</v>
      </c>
      <c r="O111" s="16">
        <v>44729.634485416667</v>
      </c>
      <c r="P111" t="s">
        <v>446</v>
      </c>
      <c r="Q111" t="s">
        <v>597</v>
      </c>
      <c r="R111" t="s">
        <v>353</v>
      </c>
      <c r="S111" t="s">
        <v>504</v>
      </c>
      <c r="T111" t="s">
        <v>481</v>
      </c>
      <c r="U111">
        <v>0</v>
      </c>
      <c r="V111">
        <f>_xlfn.XLOOKUP(Table2[[#This Row],[Primary Dept Description]],'Lookup tables'!$U$17:$U$117,'Lookup tables'!$T$17:$T$117,"")</f>
        <v>95</v>
      </c>
      <c r="W111" s="15">
        <f>IF(OR(Table2[[#This Row],[Revised Award]]=0,Table2[[#This Row],[Revised Award]]=""),IF(OR(Table2[[#This Row],[Planned Award]]=0,Table2[[#This Row],[Planned Award]]=""),"Not Updated",Table2[[#This Row],[Planned Award]]),Table2[[#This Row],[Revised Award]])</f>
        <v>44804</v>
      </c>
      <c r="X111" t="str">
        <f>_xlfn.XLOOKUP(Table2[[#This Row],[Milestone]],'Lookup tables'!$Y$27:$Y$60,'Lookup tables'!$Z$27:$Z$60,"Not Updated")</f>
        <v>Bid Prep</v>
      </c>
      <c r="Y111" cm="1">
        <f t="array" ref="Y111">IF(_xlfn._xlws.FILTER(Table1[Spend - CAN],(Table1[Execution Year]=Table2[[#This Row],[Execution Year]])*(Table1[SBU]=Table2[[#This Row],[SBU]])*(Table1[Category]=Table2[[#This Row],[Category]])*(Table1[Most curent]=TRUE),"NF")&gt;0,1,0)</f>
        <v>0</v>
      </c>
      <c r="Z111" cm="1">
        <f t="array" ref="Z111">IF(_xlfn._xlws.FILTER(Table1[Spend - MEX],(Table1[Execution Year]=Table2[[#This Row],[Execution Year]])*(Table1[SBU]=Table2[[#This Row],[SBU]])*(Table1[Category]=Table2[[#This Row],[Category]])*(Table1[Most curent]=TRUE),"NF")&gt;0,1,0)</f>
        <v>1</v>
      </c>
      <c r="AA111" cm="1">
        <f t="array" ref="AA111">IF(_xlfn._xlws.FILTER(Table1[Spend - CAM],(Table1[Execution Year]=Table2[[#This Row],[Execution Year]])*(Table1[SBU]=Table2[[#This Row],[SBU]])*(Table1[Category]=Table2[[#This Row],[Category]])*(Table1[Most curent]=TRUE),"NF")&gt;0,1,0)</f>
        <v>0</v>
      </c>
      <c r="AB111" cm="1">
        <f t="array" ref="AB111">IF(_xlfn._xlws.FILTER(Table1[Spend - CHL],(Table1[Execution Year]=Table2[[#This Row],[Execution Year]])*(Table1[SBU]=Table2[[#This Row],[SBU]])*(Table1[Category]=Table2[[#This Row],[Category]])*(Table1[Most curent]=TRUE),"NF")&gt;0,1,0)</f>
        <v>0</v>
      </c>
      <c r="AC111" cm="1">
        <f t="array" ref="AC111">IF(_xlfn._xlws.FILTER(Table1[Spend - ARG],(Table1[Execution Year]=Table2[[#This Row],[Execution Year]])*(Table1[SBU]=Table2[[#This Row],[SBU]])*(Table1[Category]=Table2[[#This Row],[Category]])*(Table1[Most curent]=TRUE),"NF")&gt;0,1,0)</f>
        <v>0</v>
      </c>
      <c r="AD111" cm="1">
        <f t="array" ref="AD111">IF(_xlfn._xlws.FILTER(Table1[Spend - CHN],(Table1[Execution Year]=Table2[[#This Row],[Execution Year]])*(Table1[SBU]=Table2[[#This Row],[SBU]])*(Table1[Category]=Table2[[#This Row],[Category]])*(Table1[Most curent]=TRUE),"NF")&gt;0,1,0)</f>
        <v>0</v>
      </c>
      <c r="AE111" cm="1">
        <f t="array" ref="AE111">IF(_xlfn._xlws.FILTER(Table1[Spend - JAP],(Table1[Execution Year]=Table2[[#This Row],[Execution Year]])*(Table1[SBU]=Table2[[#This Row],[SBU]])*(Table1[Category]=Table2[[#This Row],[Category]])*(Table1[Most curent]=TRUE),"NF")&gt;0,1,0)</f>
        <v>0</v>
      </c>
      <c r="AF111" cm="1">
        <f t="array" ref="AF111">IF(_xlfn._xlws.FILTER(Table1[Spend - UKN],(Table1[Execution Year]=Table2[[#This Row],[Execution Year]])*(Table1[SBU]=Table2[[#This Row],[SBU]])*(Table1[Category]=Table2[[#This Row],[Category]])*(Table1[Most curent]=TRUE),"NF")&gt;0,1,0)</f>
        <v>0</v>
      </c>
      <c r="AG111" cm="1">
        <f t="array" ref="AG111">IF(_xlfn._xlws.FILTER(Table1[Spend - SAF],(Table1[Execution Year]=Table2[[#This Row],[Execution Year]])*(Table1[SBU]=Table2[[#This Row],[SBU]])*(Table1[Category]=Table2[[#This Row],[Category]])*(Table1[Most curent]=TRUE),"NF")&gt;0,1,0)</f>
        <v>0</v>
      </c>
      <c r="AH111" cm="1">
        <f t="array" ref="AH111">IF(_xlfn._xlws.FILTER(Table1[Spend - US],(Table1[Execution Year]=Table2[[#This Row],[Execution Year]])*(Table1[SBU]=Table2[[#This Row],[SBU]])*(Table1[Category]=Table2[[#This Row],[Category]])*(Table1[Most curent]=TRUE),"NF")&gt;0,1,0)</f>
        <v>1</v>
      </c>
      <c r="AI111" cm="1">
        <f t="array" ref="AI111">IF(_xlfn._xlws.FILTER(Table1[Spend - Sams],(Table1[Execution Year]=Table2[[#This Row],[Execution Year]])*(Table1[SBU]=Table2[[#This Row],[SBU]])*(Table1[Category]=Table2[[#This Row],[Category]])*(Table1[Most curent]=TRUE),"NF")&gt;0,1,0)</f>
        <v>1</v>
      </c>
      <c r="AJ111" cm="1">
        <f t="array" ref="AJ111">IF(_xlfn._xlws.FILTER(Table1[Spend - Sams Mexico],(Table1[Execution Year]=Table2[[#This Row],[Execution Year]])*(Table1[SBU]=Table2[[#This Row],[SBU]])*(Table1[Category]=Table2[[#This Row],[Category]])*(Table1[Most curent]=TRUE),"NF")&gt;0,1,0)</f>
        <v>0</v>
      </c>
      <c r="AK111" cm="1">
        <f t="array" ref="AK111">IF(_xlfn._xlws.FILTER(Table1[Spend - Sams China],(Table1[Execution Year]=Table2[[#This Row],[Execution Year]])*(Table1[SBU]=Table2[[#This Row],[SBU]])*(Table1[Category]=Table2[[#This Row],[Category]])*(Table1[Most curent]=TRUE),"NF")&gt;0,1,0)</f>
        <v>0</v>
      </c>
      <c r="AL111" cm="1">
        <f t="array" ref="AL111">IF(_xlfn._xlws.FILTER(Table1[Spend - IND],(Table1[Execution Year]=Table2[[#This Row],[Execution Year]])*(Table1[SBU]=Table2[[#This Row],[SBU]])*(Table1[Category]=Table2[[#This Row],[Category]])*(Table1[Most curent]=TRUE),"NF")&gt;0,1,0)</f>
        <v>0</v>
      </c>
    </row>
    <row r="112" spans="1:38">
      <c r="A112" t="str">
        <f>Table2[[#This Row],[Execution Year]]&amp;Table2[[#This Row],[SBU]]&amp;Table2[[#This Row],[Category]]</f>
        <v>FY23FoodHoliday Gift Tea</v>
      </c>
      <c r="B112" t="s">
        <v>598</v>
      </c>
      <c r="C112" t="s">
        <v>33</v>
      </c>
      <c r="D112" t="s">
        <v>322</v>
      </c>
      <c r="E112" s="185"/>
      <c r="F112" s="185"/>
      <c r="G112" s="185"/>
      <c r="H112" s="185"/>
      <c r="K112" t="s">
        <v>570</v>
      </c>
      <c r="N112" t="s">
        <v>47</v>
      </c>
      <c r="O112" s="16">
        <v>44734.41238425926</v>
      </c>
      <c r="V112">
        <f>_xlfn.XLOOKUP(Table2[[#This Row],[Primary Dept Description]],'Lookup tables'!$U$17:$U$117,'Lookup tables'!$T$17:$T$117,"")</f>
        <v>0</v>
      </c>
      <c r="W112" s="15" t="str">
        <f>IF(OR(Table2[[#This Row],[Revised Award]]=0,Table2[[#This Row],[Revised Award]]=""),IF(OR(Table2[[#This Row],[Planned Award]]=0,Table2[[#This Row],[Planned Award]]=""),"Not Updated",Table2[[#This Row],[Planned Award]]),Table2[[#This Row],[Revised Award]])</f>
        <v>Not Updated</v>
      </c>
      <c r="X112" t="str">
        <f>_xlfn.XLOOKUP(Table2[[#This Row],[Milestone]],'Lookup tables'!$Y$27:$Y$60,'Lookup tables'!$Z$27:$Z$60,"Not Updated")</f>
        <v>Not Updated</v>
      </c>
      <c r="Y112" cm="1">
        <f t="array" ref="Y112">IF(_xlfn._xlws.FILTER(Table1[Spend - CAN],(Table1[Execution Year]=Table2[[#This Row],[Execution Year]])*(Table1[SBU]=Table2[[#This Row],[SBU]])*(Table1[Category]=Table2[[#This Row],[Category]])*(Table1[Most curent]=TRUE),"NF")&gt;0,1,0)</f>
        <v>0</v>
      </c>
      <c r="Z112" cm="1">
        <f t="array" ref="Z112">IF(_xlfn._xlws.FILTER(Table1[Spend - MEX],(Table1[Execution Year]=Table2[[#This Row],[Execution Year]])*(Table1[SBU]=Table2[[#This Row],[SBU]])*(Table1[Category]=Table2[[#This Row],[Category]])*(Table1[Most curent]=TRUE),"NF")&gt;0,1,0)</f>
        <v>0</v>
      </c>
      <c r="AA112" cm="1">
        <f t="array" ref="AA112">IF(_xlfn._xlws.FILTER(Table1[Spend - CAM],(Table1[Execution Year]=Table2[[#This Row],[Execution Year]])*(Table1[SBU]=Table2[[#This Row],[SBU]])*(Table1[Category]=Table2[[#This Row],[Category]])*(Table1[Most curent]=TRUE),"NF")&gt;0,1,0)</f>
        <v>0</v>
      </c>
      <c r="AB112" cm="1">
        <f t="array" ref="AB112">IF(_xlfn._xlws.FILTER(Table1[Spend - CHL],(Table1[Execution Year]=Table2[[#This Row],[Execution Year]])*(Table1[SBU]=Table2[[#This Row],[SBU]])*(Table1[Category]=Table2[[#This Row],[Category]])*(Table1[Most curent]=TRUE),"NF")&gt;0,1,0)</f>
        <v>0</v>
      </c>
      <c r="AC112" cm="1">
        <f t="array" ref="AC112">IF(_xlfn._xlws.FILTER(Table1[Spend - ARG],(Table1[Execution Year]=Table2[[#This Row],[Execution Year]])*(Table1[SBU]=Table2[[#This Row],[SBU]])*(Table1[Category]=Table2[[#This Row],[Category]])*(Table1[Most curent]=TRUE),"NF")&gt;0,1,0)</f>
        <v>0</v>
      </c>
      <c r="AD112" cm="1">
        <f t="array" ref="AD112">IF(_xlfn._xlws.FILTER(Table1[Spend - CHN],(Table1[Execution Year]=Table2[[#This Row],[Execution Year]])*(Table1[SBU]=Table2[[#This Row],[SBU]])*(Table1[Category]=Table2[[#This Row],[Category]])*(Table1[Most curent]=TRUE),"NF")&gt;0,1,0)</f>
        <v>0</v>
      </c>
      <c r="AE112" cm="1">
        <f t="array" ref="AE112">IF(_xlfn._xlws.FILTER(Table1[Spend - JAP],(Table1[Execution Year]=Table2[[#This Row],[Execution Year]])*(Table1[SBU]=Table2[[#This Row],[SBU]])*(Table1[Category]=Table2[[#This Row],[Category]])*(Table1[Most curent]=TRUE),"NF")&gt;0,1,0)</f>
        <v>0</v>
      </c>
      <c r="AF112" cm="1">
        <f t="array" ref="AF112">IF(_xlfn._xlws.FILTER(Table1[Spend - UKN],(Table1[Execution Year]=Table2[[#This Row],[Execution Year]])*(Table1[SBU]=Table2[[#This Row],[SBU]])*(Table1[Category]=Table2[[#This Row],[Category]])*(Table1[Most curent]=TRUE),"NF")&gt;0,1,0)</f>
        <v>0</v>
      </c>
      <c r="AG112" cm="1">
        <f t="array" ref="AG112">IF(_xlfn._xlws.FILTER(Table1[Spend - SAF],(Table1[Execution Year]=Table2[[#This Row],[Execution Year]])*(Table1[SBU]=Table2[[#This Row],[SBU]])*(Table1[Category]=Table2[[#This Row],[Category]])*(Table1[Most curent]=TRUE),"NF")&gt;0,1,0)</f>
        <v>0</v>
      </c>
      <c r="AH112" cm="1">
        <f t="array" ref="AH112">IF(_xlfn._xlws.FILTER(Table1[Spend - US],(Table1[Execution Year]=Table2[[#This Row],[Execution Year]])*(Table1[SBU]=Table2[[#This Row],[SBU]])*(Table1[Category]=Table2[[#This Row],[Category]])*(Table1[Most curent]=TRUE),"NF")&gt;0,1,0)</f>
        <v>0</v>
      </c>
      <c r="AI112" cm="1">
        <f t="array" ref="AI112">IF(_xlfn._xlws.FILTER(Table1[Spend - Sams],(Table1[Execution Year]=Table2[[#This Row],[Execution Year]])*(Table1[SBU]=Table2[[#This Row],[SBU]])*(Table1[Category]=Table2[[#This Row],[Category]])*(Table1[Most curent]=TRUE),"NF")&gt;0,1,0)</f>
        <v>0</v>
      </c>
      <c r="AJ112" cm="1">
        <f t="array" ref="AJ112">IF(_xlfn._xlws.FILTER(Table1[Spend - Sams Mexico],(Table1[Execution Year]=Table2[[#This Row],[Execution Year]])*(Table1[SBU]=Table2[[#This Row],[SBU]])*(Table1[Category]=Table2[[#This Row],[Category]])*(Table1[Most curent]=TRUE),"NF")&gt;0,1,0)</f>
        <v>0</v>
      </c>
      <c r="AK112" cm="1">
        <f t="array" ref="AK112">IF(_xlfn._xlws.FILTER(Table1[Spend - Sams China],(Table1[Execution Year]=Table2[[#This Row],[Execution Year]])*(Table1[SBU]=Table2[[#This Row],[SBU]])*(Table1[Category]=Table2[[#This Row],[Category]])*(Table1[Most curent]=TRUE),"NF")&gt;0,1,0)</f>
        <v>0</v>
      </c>
      <c r="AL112" cm="1">
        <f t="array" ref="AL112">IF(_xlfn._xlws.FILTER(Table1[Spend - IND],(Table1[Execution Year]=Table2[[#This Row],[Execution Year]])*(Table1[SBU]=Table2[[#This Row],[SBU]])*(Table1[Category]=Table2[[#This Row],[Category]])*(Table1[Most curent]=TRUE),"NF")&gt;0,1,0)</f>
        <v>0</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D489"/>
  <sheetViews>
    <sheetView topLeftCell="O465" workbookViewId="0">
      <selection activeCell="Y488" sqref="Y488"/>
    </sheetView>
  </sheetViews>
  <sheetFormatPr defaultColWidth="8.5703125" defaultRowHeight="14.45"/>
  <cols>
    <col min="2" max="2" width="26.28515625" customWidth="1"/>
    <col min="3" max="3" width="16.5703125" customWidth="1"/>
    <col min="4" max="4" width="15.42578125" customWidth="1"/>
    <col min="5" max="5" width="14.42578125" customWidth="1"/>
    <col min="6" max="6" width="16" customWidth="1"/>
    <col min="7" max="7" width="12.5703125" customWidth="1"/>
    <col min="8" max="8" width="13.42578125" customWidth="1"/>
    <col min="9" max="9" width="25.42578125" customWidth="1"/>
    <col min="10" max="10" width="16" customWidth="1"/>
    <col min="11" max="11" width="9.5703125" customWidth="1"/>
    <col min="12" max="12" width="10.42578125" customWidth="1"/>
    <col min="13" max="13" width="13.42578125" customWidth="1"/>
    <col min="14" max="14" width="13.5703125" customWidth="1"/>
    <col min="15" max="18" width="13.42578125" customWidth="1"/>
    <col min="19" max="19" width="12.5703125" customWidth="1"/>
    <col min="20" max="20" width="13.5703125" customWidth="1"/>
    <col min="21" max="23" width="13.42578125" customWidth="1"/>
    <col min="24" max="24" width="12.5703125" customWidth="1"/>
    <col min="25" max="25" width="16.42578125" customWidth="1"/>
    <col min="26" max="26" width="30.28515625" customWidth="1"/>
    <col min="27" max="27" width="10.42578125" customWidth="1"/>
    <col min="28" max="28" width="14.42578125" customWidth="1"/>
    <col min="29" max="29" width="14.5703125" customWidth="1"/>
    <col min="30" max="30" width="14.42578125" customWidth="1"/>
    <col min="31" max="31" width="14" customWidth="1"/>
    <col min="32" max="33" width="14.42578125" customWidth="1"/>
    <col min="34" max="34" width="13.5703125" customWidth="1"/>
    <col min="35" max="35" width="14.5703125" customWidth="1"/>
    <col min="36" max="36" width="14" customWidth="1"/>
    <col min="37" max="37" width="14.42578125" customWidth="1"/>
    <col min="38" max="48" width="13.42578125" customWidth="1"/>
    <col min="49" max="69" width="12.5703125" customWidth="1"/>
    <col min="70" max="70" width="13.42578125" customWidth="1"/>
    <col min="71" max="71" width="17.28515625" customWidth="1"/>
    <col min="72" max="72" width="13.5703125" customWidth="1"/>
    <col min="73" max="73" width="12.5703125" customWidth="1"/>
    <col min="74" max="74" width="16.42578125" bestFit="1" customWidth="1"/>
    <col min="75" max="75" width="14.28515625" customWidth="1"/>
    <col min="76" max="76" width="9.7109375" bestFit="1" customWidth="1"/>
  </cols>
  <sheetData>
    <row r="1" spans="1:82" s="58" customFormat="1" ht="43.5">
      <c r="A1" s="147" t="s">
        <v>0</v>
      </c>
      <c r="B1" s="148" t="s">
        <v>1</v>
      </c>
      <c r="C1" s="148" t="s">
        <v>4</v>
      </c>
      <c r="D1" s="148" t="s">
        <v>194</v>
      </c>
      <c r="E1" s="148" t="s">
        <v>216</v>
      </c>
      <c r="F1" s="148" t="s">
        <v>217</v>
      </c>
      <c r="G1" s="148" t="s">
        <v>218</v>
      </c>
      <c r="H1" s="148" t="s">
        <v>219</v>
      </c>
      <c r="I1" s="148" t="s">
        <v>330</v>
      </c>
      <c r="J1" s="148" t="s">
        <v>166</v>
      </c>
      <c r="K1" s="148" t="s">
        <v>208</v>
      </c>
      <c r="L1" s="148" t="s">
        <v>209</v>
      </c>
      <c r="M1" s="148" t="s">
        <v>237</v>
      </c>
      <c r="N1" s="148" t="s">
        <v>238</v>
      </c>
      <c r="O1" s="148" t="s">
        <v>599</v>
      </c>
      <c r="P1" s="148" t="s">
        <v>239</v>
      </c>
      <c r="Q1" s="148" t="s">
        <v>240</v>
      </c>
      <c r="R1" s="148" t="s">
        <v>241</v>
      </c>
      <c r="S1" s="148" t="s">
        <v>242</v>
      </c>
      <c r="T1" s="148" t="s">
        <v>600</v>
      </c>
      <c r="U1" s="148" t="s">
        <v>244</v>
      </c>
      <c r="V1" s="148" t="s">
        <v>245</v>
      </c>
      <c r="W1" s="148" t="s">
        <v>246</v>
      </c>
      <c r="X1" s="148" t="s">
        <v>28</v>
      </c>
      <c r="Y1" s="148" t="s">
        <v>29</v>
      </c>
      <c r="Z1" s="148" t="s">
        <v>220</v>
      </c>
      <c r="AA1" s="148" t="s">
        <v>146</v>
      </c>
      <c r="AB1" s="148" t="s">
        <v>253</v>
      </c>
      <c r="AC1" s="148" t="s">
        <v>254</v>
      </c>
      <c r="AD1" s="148" t="s">
        <v>601</v>
      </c>
      <c r="AE1" s="148" t="s">
        <v>256</v>
      </c>
      <c r="AF1" s="148" t="s">
        <v>257</v>
      </c>
      <c r="AG1" s="148" t="s">
        <v>258</v>
      </c>
      <c r="AH1" s="148" t="s">
        <v>259</v>
      </c>
      <c r="AI1" s="148" t="s">
        <v>602</v>
      </c>
      <c r="AJ1" s="148" t="s">
        <v>261</v>
      </c>
      <c r="AK1" s="148" t="s">
        <v>603</v>
      </c>
      <c r="AL1" s="148" t="s">
        <v>604</v>
      </c>
      <c r="AM1" s="148" t="s">
        <v>605</v>
      </c>
      <c r="AN1" s="148" t="s">
        <v>606</v>
      </c>
      <c r="AO1" s="148" t="s">
        <v>607</v>
      </c>
      <c r="AP1" s="148" t="s">
        <v>608</v>
      </c>
      <c r="AQ1" s="148" t="s">
        <v>609</v>
      </c>
      <c r="AR1" s="148" t="s">
        <v>610</v>
      </c>
      <c r="AS1" s="148" t="s">
        <v>611</v>
      </c>
      <c r="AT1" s="148" t="s">
        <v>612</v>
      </c>
      <c r="AU1" s="148" t="s">
        <v>613</v>
      </c>
      <c r="AV1" s="148" t="s">
        <v>614</v>
      </c>
      <c r="AW1" s="148" t="s">
        <v>615</v>
      </c>
      <c r="AX1" s="148" t="s">
        <v>231</v>
      </c>
      <c r="AY1" s="148" t="s">
        <v>233</v>
      </c>
      <c r="AZ1" s="148" t="s">
        <v>235</v>
      </c>
      <c r="BA1" s="148" t="s">
        <v>249</v>
      </c>
      <c r="BB1" s="148" t="s">
        <v>250</v>
      </c>
      <c r="BC1" s="148" t="s">
        <v>266</v>
      </c>
      <c r="BD1" s="148" t="s">
        <v>267</v>
      </c>
      <c r="BE1" s="148" t="s">
        <v>281</v>
      </c>
      <c r="BF1" s="148" t="s">
        <v>282</v>
      </c>
      <c r="BG1" s="148" t="s">
        <v>285</v>
      </c>
      <c r="BH1" s="148" t="s">
        <v>286</v>
      </c>
      <c r="BI1" s="148" t="s">
        <v>287</v>
      </c>
      <c r="BJ1" s="148" t="s">
        <v>288</v>
      </c>
      <c r="BK1" s="148" t="s">
        <v>289</v>
      </c>
      <c r="BL1" s="148" t="s">
        <v>291</v>
      </c>
      <c r="BM1" s="148" t="s">
        <v>294</v>
      </c>
      <c r="BN1" s="148" t="s">
        <v>296</v>
      </c>
      <c r="BO1" s="148" t="s">
        <v>298</v>
      </c>
      <c r="BP1" s="148" t="s">
        <v>300</v>
      </c>
      <c r="BQ1" s="148" t="s">
        <v>301</v>
      </c>
      <c r="BR1" s="148" t="s">
        <v>303</v>
      </c>
      <c r="BS1" s="148" t="s">
        <v>305</v>
      </c>
      <c r="BT1" s="148" t="s">
        <v>307</v>
      </c>
      <c r="BU1" s="148" t="s">
        <v>30</v>
      </c>
      <c r="BV1" s="148" t="s">
        <v>399</v>
      </c>
      <c r="BW1" s="149" t="s">
        <v>616</v>
      </c>
      <c r="BX1" s="148" t="s">
        <v>400</v>
      </c>
      <c r="BY1" s="148" t="s">
        <v>617</v>
      </c>
      <c r="BZ1" s="148" t="s">
        <v>401</v>
      </c>
      <c r="CA1" s="148" t="s">
        <v>618</v>
      </c>
      <c r="CB1" s="148" t="s">
        <v>619</v>
      </c>
      <c r="CC1" s="148" t="s">
        <v>620</v>
      </c>
      <c r="CD1" s="148" t="s">
        <v>621</v>
      </c>
    </row>
    <row r="2" spans="1:82">
      <c r="A2">
        <v>1</v>
      </c>
      <c r="B2" t="s">
        <v>483</v>
      </c>
      <c r="C2" t="s">
        <v>43</v>
      </c>
      <c r="D2" t="s">
        <v>322</v>
      </c>
      <c r="E2" s="15"/>
      <c r="F2" s="15"/>
      <c r="G2" s="15"/>
      <c r="H2" s="15"/>
      <c r="X2" t="s">
        <v>78</v>
      </c>
      <c r="Y2" s="16">
        <v>44635.34952546296</v>
      </c>
      <c r="Z2" s="17" t="str">
        <f>_xlfn.XLOOKUP(Table1[[#This Row],[Phase]],'Lookup tables'!$Y$27:$Y$60,'Lookup tables'!$Z$27:$Z$60,"Not Updated")</f>
        <v>Not Updated</v>
      </c>
      <c r="AA2" s="17"/>
      <c r="BG2" s="185"/>
      <c r="BH2" s="185"/>
      <c r="BI2" s="185"/>
      <c r="BJ2" s="185"/>
      <c r="BK2" s="185"/>
      <c r="BL2" s="185"/>
      <c r="BM2" s="185"/>
      <c r="BN2" s="185"/>
      <c r="BO2" s="185"/>
      <c r="BP2" s="185"/>
      <c r="BQ2" s="185"/>
      <c r="BR2" s="185"/>
      <c r="BS2" s="185"/>
      <c r="BT2" s="185"/>
      <c r="BU2" t="b">
        <f>IF(_xlfn.MAXIFS(Table1[Sl No],Table1[Category],Table1[[#This Row],[Category]],Table1[Execution Year],Table1[[#This Row],[Execution Year]])=Table1[[#This Row],[Sl No]],TRUE,FALSE)</f>
        <v>0</v>
      </c>
      <c r="BV2" s="201">
        <f>SUM(Table1[[#This Row],[Spend - CAN]:[Spend - Sams]])+SUM(Table1[[#This Row],[Spend - Sams Mexico]:[Spend - Sams China]])+Table1[[#This Row],[Spend - IND]]</f>
        <v>0</v>
      </c>
      <c r="BW2">
        <f>SUM(Table1[[#This Row],[Savings - CAN]:[Savings - Sams]])+SUM(Table1[[#This Row],[Savings - Sams Mexico]:[Savings - Sams China]])+Table1[[#This Row],[Savings - IND]]</f>
        <v>0</v>
      </c>
      <c r="BX2">
        <f>SUM(Table1[[#This Row],[Spend - CAN]:[Spend - SAF]])+SUM(Table1[[#This Row],[Spend - Sams Mexico]:[Spend - Sams China]])+Table1[[#This Row],[Spend - IND]]</f>
        <v>0</v>
      </c>
      <c r="BY2">
        <f>SUM(Table1[[#This Row],[Savings - CAN]:[Savings - SAF]])+SUM(Table1[[#This Row],[Savings - Sams Mexico]:[Savings - Sams China]])+Table1[[#This Row],[Savings - IND]]</f>
        <v>0</v>
      </c>
      <c r="BZ2">
        <f>SUM(Table1[[#This Row],[Spend - US]:[Spend - Sams]])</f>
        <v>0</v>
      </c>
      <c r="CA2">
        <f>SUM(Table1[[#This Row],[Savings - US]:[Savings - Sams]])</f>
        <v>0</v>
      </c>
      <c r="CB2">
        <f>SUM(Table1[[#This Row],[Cost Avoidance - CAN2]:[Cost Avoidance - SAF10]])+SUM(Table1[[#This Row],[Cost Avoidance - Sams Mexico]:[Cost Avoidance - Sams China]])+Table1[[#This Row],[Cost Avoidance - IND]]</f>
        <v>0</v>
      </c>
      <c r="CC2">
        <f>SUM(Table1[[#This Row],[Cost Avoidance - US11]:[Cost Avoidance - Sams12]])</f>
        <v>0</v>
      </c>
      <c r="CD2" t="str">
        <f>_xlfn.XLOOKUP(Table1[[#This Row],[Status]],Status_Lookups[Status],Status_Lookups[Value],"")</f>
        <v/>
      </c>
    </row>
    <row r="3" spans="1:82">
      <c r="A3">
        <v>2</v>
      </c>
      <c r="B3" t="s">
        <v>483</v>
      </c>
      <c r="C3" t="s">
        <v>43</v>
      </c>
      <c r="D3" t="s">
        <v>322</v>
      </c>
      <c r="E3" s="15">
        <v>44621</v>
      </c>
      <c r="F3" s="15">
        <v>44743</v>
      </c>
      <c r="G3" s="15">
        <v>0</v>
      </c>
      <c r="H3" s="15">
        <v>0</v>
      </c>
      <c r="I3" t="s">
        <v>484</v>
      </c>
      <c r="J3" t="s">
        <v>459</v>
      </c>
      <c r="K3" t="s">
        <v>454</v>
      </c>
      <c r="L3">
        <v>0</v>
      </c>
      <c r="M3">
        <v>2200000</v>
      </c>
      <c r="N3">
        <v>0</v>
      </c>
      <c r="O3">
        <v>0</v>
      </c>
      <c r="P3">
        <v>0</v>
      </c>
      <c r="Q3">
        <v>0</v>
      </c>
      <c r="R3">
        <v>0</v>
      </c>
      <c r="S3">
        <v>0</v>
      </c>
      <c r="T3">
        <v>0</v>
      </c>
      <c r="U3">
        <v>0</v>
      </c>
      <c r="V3">
        <v>79400000</v>
      </c>
      <c r="W3">
        <v>0</v>
      </c>
      <c r="X3" t="s">
        <v>78</v>
      </c>
      <c r="Y3" s="16">
        <v>44635.350278935184</v>
      </c>
      <c r="Z3" s="17" t="str">
        <f>_xlfn.XLOOKUP(Table1[[#This Row],[Phase]],'Lookup tables'!$Y$27:$Y$60,'Lookup tables'!$Z$27:$Z$60,"Not Updated")</f>
        <v>Bid Prep</v>
      </c>
      <c r="AA3" s="17">
        <v>0</v>
      </c>
      <c r="AB3">
        <v>0</v>
      </c>
      <c r="AC3">
        <v>0</v>
      </c>
      <c r="AD3">
        <v>0</v>
      </c>
      <c r="AE3">
        <v>0</v>
      </c>
      <c r="AF3">
        <v>0</v>
      </c>
      <c r="AG3">
        <v>0</v>
      </c>
      <c r="AH3">
        <v>0</v>
      </c>
      <c r="AI3">
        <v>0</v>
      </c>
      <c r="AJ3">
        <v>0</v>
      </c>
      <c r="AK3">
        <v>0</v>
      </c>
      <c r="AL3">
        <v>0</v>
      </c>
      <c r="AM3">
        <v>0</v>
      </c>
      <c r="AN3">
        <v>0</v>
      </c>
      <c r="AO3">
        <v>0</v>
      </c>
      <c r="AP3">
        <v>0</v>
      </c>
      <c r="AQ3">
        <v>0</v>
      </c>
      <c r="AR3">
        <v>0</v>
      </c>
      <c r="AS3">
        <v>0</v>
      </c>
      <c r="AT3">
        <v>0</v>
      </c>
      <c r="AU3">
        <v>0</v>
      </c>
      <c r="AV3">
        <v>0</v>
      </c>
      <c r="AW3">
        <v>0</v>
      </c>
      <c r="AX3">
        <v>0</v>
      </c>
      <c r="AY3">
        <v>0</v>
      </c>
      <c r="AZ3">
        <v>0</v>
      </c>
      <c r="BA3">
        <v>0</v>
      </c>
      <c r="BB3">
        <v>0</v>
      </c>
      <c r="BC3">
        <v>0</v>
      </c>
      <c r="BD3">
        <v>0</v>
      </c>
      <c r="BE3">
        <v>0</v>
      </c>
      <c r="BF3">
        <v>0</v>
      </c>
      <c r="BG3" s="185">
        <v>0</v>
      </c>
      <c r="BH3" s="185">
        <v>0</v>
      </c>
      <c r="BI3" s="185">
        <v>0</v>
      </c>
      <c r="BJ3" s="185">
        <v>0</v>
      </c>
      <c r="BK3" s="185">
        <v>0</v>
      </c>
      <c r="BL3" s="185">
        <v>0</v>
      </c>
      <c r="BM3" s="185">
        <v>0</v>
      </c>
      <c r="BN3" s="185">
        <v>0</v>
      </c>
      <c r="BO3" s="185">
        <v>0</v>
      </c>
      <c r="BP3" s="185">
        <v>0</v>
      </c>
      <c r="BQ3" s="185">
        <v>0</v>
      </c>
      <c r="BR3" s="185">
        <v>0</v>
      </c>
      <c r="BS3" s="185">
        <v>0</v>
      </c>
      <c r="BT3" s="185">
        <v>0</v>
      </c>
      <c r="BU3" t="b">
        <f>IF(_xlfn.MAXIFS(Table1[Sl No],Table1[Category],Table1[[#This Row],[Category]],Table1[Execution Year],Table1[[#This Row],[Execution Year]])=Table1[[#This Row],[Sl No]],TRUE,FALSE)</f>
        <v>0</v>
      </c>
      <c r="BV3" s="201">
        <f>SUM(Table1[[#This Row],[Spend - CAN]:[Spend - Sams]])+SUM(Table1[[#This Row],[Spend - Sams Mexico]:[Spend - Sams China]])+Table1[[#This Row],[Spend - IND]]</f>
        <v>81600000</v>
      </c>
      <c r="BW3">
        <f>SUM(Table1[[#This Row],[Savings - CAN]:[Savings - Sams]])+SUM(Table1[[#This Row],[Savings - Sams Mexico]:[Savings - Sams China]])+Table1[[#This Row],[Savings - IND]]</f>
        <v>0</v>
      </c>
      <c r="BX3">
        <f>SUM(Table1[[#This Row],[Spend - CAN]:[Spend - SAF]])+SUM(Table1[[#This Row],[Spend - Sams Mexico]:[Spend - Sams China]])+Table1[[#This Row],[Spend - IND]]</f>
        <v>2200000</v>
      </c>
      <c r="BY3">
        <f>SUM(Table1[[#This Row],[Savings - CAN]:[Savings - SAF]])+SUM(Table1[[#This Row],[Savings - Sams Mexico]:[Savings - Sams China]])+Table1[[#This Row],[Savings - IND]]</f>
        <v>0</v>
      </c>
      <c r="BZ3">
        <f>SUM(Table1[[#This Row],[Spend - US]:[Spend - Sams]])</f>
        <v>79400000</v>
      </c>
      <c r="CA3">
        <f>SUM(Table1[[#This Row],[Savings - US]:[Savings - Sams]])</f>
        <v>0</v>
      </c>
      <c r="CB3">
        <f>SUM(Table1[[#This Row],[Cost Avoidance - CAN2]:[Cost Avoidance - SAF10]])+SUM(Table1[[#This Row],[Cost Avoidance - Sams Mexico]:[Cost Avoidance - Sams China]])+Table1[[#This Row],[Cost Avoidance - IND]]</f>
        <v>0</v>
      </c>
      <c r="CC3">
        <f>SUM(Table1[[#This Row],[Cost Avoidance - US11]:[Cost Avoidance - Sams12]])</f>
        <v>0</v>
      </c>
      <c r="CD3">
        <f>_xlfn.XLOOKUP(Table1[[#This Row],[Status]],Status_Lookups[Status],Status_Lookups[Value],"")</f>
        <v>0.3</v>
      </c>
    </row>
    <row r="4" spans="1:82">
      <c r="A4">
        <v>3</v>
      </c>
      <c r="B4" t="s">
        <v>483</v>
      </c>
      <c r="C4" t="s">
        <v>43</v>
      </c>
      <c r="D4" t="s">
        <v>322</v>
      </c>
      <c r="E4" s="15">
        <v>44682</v>
      </c>
      <c r="F4" s="15">
        <v>44866</v>
      </c>
      <c r="G4" s="15">
        <v>0</v>
      </c>
      <c r="H4" s="15">
        <v>0</v>
      </c>
      <c r="I4" t="s">
        <v>484</v>
      </c>
      <c r="J4" t="s">
        <v>459</v>
      </c>
      <c r="K4" t="s">
        <v>454</v>
      </c>
      <c r="L4">
        <v>0</v>
      </c>
      <c r="M4">
        <v>2200000</v>
      </c>
      <c r="N4">
        <v>0</v>
      </c>
      <c r="O4">
        <v>0</v>
      </c>
      <c r="P4">
        <v>0</v>
      </c>
      <c r="Q4">
        <v>0</v>
      </c>
      <c r="R4">
        <v>0</v>
      </c>
      <c r="S4">
        <v>0</v>
      </c>
      <c r="T4">
        <v>0</v>
      </c>
      <c r="U4">
        <v>0</v>
      </c>
      <c r="V4">
        <v>79400000</v>
      </c>
      <c r="W4">
        <v>0</v>
      </c>
      <c r="X4" t="s">
        <v>78</v>
      </c>
      <c r="Y4" s="16">
        <v>44649.330155787036</v>
      </c>
      <c r="Z4" s="17" t="str">
        <f>_xlfn.XLOOKUP(Table1[[#This Row],[Phase]],'Lookup tables'!$Y$27:$Y$60,'Lookup tables'!$Z$27:$Z$60,"Not Updated")</f>
        <v>Bid Prep</v>
      </c>
      <c r="AA4" s="17">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s="185">
        <v>0</v>
      </c>
      <c r="BH4" s="185">
        <v>0</v>
      </c>
      <c r="BI4" s="185">
        <v>0</v>
      </c>
      <c r="BJ4" s="185">
        <v>0</v>
      </c>
      <c r="BK4" s="185">
        <v>0</v>
      </c>
      <c r="BL4" s="185">
        <v>0</v>
      </c>
      <c r="BM4" s="185">
        <v>0</v>
      </c>
      <c r="BN4" s="185">
        <v>0</v>
      </c>
      <c r="BO4" s="185">
        <v>0</v>
      </c>
      <c r="BP4" s="185">
        <v>0</v>
      </c>
      <c r="BQ4" s="185">
        <v>0</v>
      </c>
      <c r="BR4" s="185">
        <v>0</v>
      </c>
      <c r="BS4" s="185">
        <v>0</v>
      </c>
      <c r="BT4" s="185">
        <v>0</v>
      </c>
      <c r="BU4" t="b">
        <f>IF(_xlfn.MAXIFS(Table1[Sl No],Table1[Category],Table1[[#This Row],[Category]],Table1[Execution Year],Table1[[#This Row],[Execution Year]])=Table1[[#This Row],[Sl No]],TRUE,FALSE)</f>
        <v>0</v>
      </c>
      <c r="BV4" s="201">
        <f>SUM(Table1[[#This Row],[Spend - CAN]:[Spend - Sams]])+SUM(Table1[[#This Row],[Spend - Sams Mexico]:[Spend - Sams China]])+Table1[[#This Row],[Spend - IND]]</f>
        <v>81600000</v>
      </c>
      <c r="BW4">
        <f>SUM(Table1[[#This Row],[Savings - CAN]:[Savings - Sams]])+SUM(Table1[[#This Row],[Savings - Sams Mexico]:[Savings - Sams China]])+Table1[[#This Row],[Savings - IND]]</f>
        <v>0</v>
      </c>
      <c r="BX4">
        <f>SUM(Table1[[#This Row],[Spend - CAN]:[Spend - SAF]])+SUM(Table1[[#This Row],[Spend - Sams Mexico]:[Spend - Sams China]])+Table1[[#This Row],[Spend - IND]]</f>
        <v>2200000</v>
      </c>
      <c r="BY4">
        <f>SUM(Table1[[#This Row],[Savings - CAN]:[Savings - SAF]])+SUM(Table1[[#This Row],[Savings - Sams Mexico]:[Savings - Sams China]])+Table1[[#This Row],[Savings - IND]]</f>
        <v>0</v>
      </c>
      <c r="BZ4">
        <f>SUM(Table1[[#This Row],[Spend - US]:[Spend - Sams]])</f>
        <v>79400000</v>
      </c>
      <c r="CA4">
        <f>SUM(Table1[[#This Row],[Savings - US]:[Savings - Sams]])</f>
        <v>0</v>
      </c>
      <c r="CB4">
        <f>SUM(Table1[[#This Row],[Cost Avoidance - CAN2]:[Cost Avoidance - SAF10]])+SUM(Table1[[#This Row],[Cost Avoidance - Sams Mexico]:[Cost Avoidance - Sams China]])+Table1[[#This Row],[Cost Avoidance - IND]]</f>
        <v>0</v>
      </c>
      <c r="CC4">
        <f>SUM(Table1[[#This Row],[Cost Avoidance - US11]:[Cost Avoidance - Sams12]])</f>
        <v>0</v>
      </c>
      <c r="CD4">
        <f>_xlfn.XLOOKUP(Table1[[#This Row],[Status]],Status_Lookups[Status],Status_Lookups[Value],"")</f>
        <v>0.3</v>
      </c>
    </row>
    <row r="5" spans="1:82">
      <c r="A5">
        <v>4</v>
      </c>
      <c r="B5" t="s">
        <v>483</v>
      </c>
      <c r="C5" t="s">
        <v>43</v>
      </c>
      <c r="D5" t="s">
        <v>322</v>
      </c>
      <c r="E5" s="15">
        <v>44682</v>
      </c>
      <c r="F5" s="15">
        <v>44774</v>
      </c>
      <c r="G5" s="15">
        <v>0</v>
      </c>
      <c r="H5" s="15">
        <v>0</v>
      </c>
      <c r="I5" t="s">
        <v>484</v>
      </c>
      <c r="J5" t="s">
        <v>459</v>
      </c>
      <c r="K5" t="s">
        <v>454</v>
      </c>
      <c r="L5">
        <v>0</v>
      </c>
      <c r="M5">
        <v>2200000</v>
      </c>
      <c r="N5">
        <v>0</v>
      </c>
      <c r="O5">
        <v>0</v>
      </c>
      <c r="P5">
        <v>0</v>
      </c>
      <c r="Q5">
        <v>0</v>
      </c>
      <c r="R5">
        <v>0</v>
      </c>
      <c r="S5">
        <v>0</v>
      </c>
      <c r="T5">
        <v>0</v>
      </c>
      <c r="U5">
        <v>0</v>
      </c>
      <c r="V5">
        <v>79400000</v>
      </c>
      <c r="W5">
        <v>0</v>
      </c>
      <c r="X5" t="s">
        <v>78</v>
      </c>
      <c r="Y5" s="16">
        <v>44649.330555902779</v>
      </c>
      <c r="Z5" s="17" t="str">
        <f>_xlfn.XLOOKUP(Table1[[#This Row],[Phase]],'Lookup tables'!$Y$27:$Y$60,'Lookup tables'!$Z$27:$Z$60,"Not Updated")</f>
        <v>Bid Prep</v>
      </c>
      <c r="AA5" s="17">
        <v>0</v>
      </c>
      <c r="AB5">
        <v>0</v>
      </c>
      <c r="AC5">
        <v>0</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0</v>
      </c>
      <c r="BD5">
        <v>0</v>
      </c>
      <c r="BE5">
        <v>0</v>
      </c>
      <c r="BF5">
        <v>0</v>
      </c>
      <c r="BG5" s="185">
        <v>0</v>
      </c>
      <c r="BH5" s="185">
        <v>0</v>
      </c>
      <c r="BI5" s="185">
        <v>0</v>
      </c>
      <c r="BJ5" s="185">
        <v>0</v>
      </c>
      <c r="BK5" s="185">
        <v>0</v>
      </c>
      <c r="BL5" s="185">
        <v>0</v>
      </c>
      <c r="BM5" s="185">
        <v>0</v>
      </c>
      <c r="BN5" s="185">
        <v>0</v>
      </c>
      <c r="BO5" s="185">
        <v>0</v>
      </c>
      <c r="BP5" s="185">
        <v>0</v>
      </c>
      <c r="BQ5" s="185">
        <v>0</v>
      </c>
      <c r="BR5" s="185">
        <v>0</v>
      </c>
      <c r="BS5" s="185">
        <v>0</v>
      </c>
      <c r="BT5" s="185">
        <v>0</v>
      </c>
      <c r="BU5" t="b">
        <f>IF(_xlfn.MAXIFS(Table1[Sl No],Table1[Category],Table1[[#This Row],[Category]],Table1[Execution Year],Table1[[#This Row],[Execution Year]])=Table1[[#This Row],[Sl No]],TRUE,FALSE)</f>
        <v>0</v>
      </c>
      <c r="BV5" s="201">
        <f>SUM(Table1[[#This Row],[Spend - CAN]:[Spend - Sams]])+SUM(Table1[[#This Row],[Spend - Sams Mexico]:[Spend - Sams China]])+Table1[[#This Row],[Spend - IND]]</f>
        <v>81600000</v>
      </c>
      <c r="BW5">
        <f>SUM(Table1[[#This Row],[Savings - CAN]:[Savings - Sams]])+SUM(Table1[[#This Row],[Savings - Sams Mexico]:[Savings - Sams China]])+Table1[[#This Row],[Savings - IND]]</f>
        <v>0</v>
      </c>
      <c r="BX5">
        <f>SUM(Table1[[#This Row],[Spend - CAN]:[Spend - SAF]])+SUM(Table1[[#This Row],[Spend - Sams Mexico]:[Spend - Sams China]])+Table1[[#This Row],[Spend - IND]]</f>
        <v>2200000</v>
      </c>
      <c r="BY5">
        <f>SUM(Table1[[#This Row],[Savings - CAN]:[Savings - SAF]])+SUM(Table1[[#This Row],[Savings - Sams Mexico]:[Savings - Sams China]])+Table1[[#This Row],[Savings - IND]]</f>
        <v>0</v>
      </c>
      <c r="BZ5">
        <f>SUM(Table1[[#This Row],[Spend - US]:[Spend - Sams]])</f>
        <v>79400000</v>
      </c>
      <c r="CA5">
        <f>SUM(Table1[[#This Row],[Savings - US]:[Savings - Sams]])</f>
        <v>0</v>
      </c>
      <c r="CB5">
        <f>SUM(Table1[[#This Row],[Cost Avoidance - CAN2]:[Cost Avoidance - SAF10]])+SUM(Table1[[#This Row],[Cost Avoidance - Sams Mexico]:[Cost Avoidance - Sams China]])+Table1[[#This Row],[Cost Avoidance - IND]]</f>
        <v>0</v>
      </c>
      <c r="CC5">
        <f>SUM(Table1[[#This Row],[Cost Avoidance - US11]:[Cost Avoidance - Sams12]])</f>
        <v>0</v>
      </c>
      <c r="CD5">
        <f>_xlfn.XLOOKUP(Table1[[#This Row],[Status]],Status_Lookups[Status],Status_Lookups[Value],"")</f>
        <v>0.3</v>
      </c>
    </row>
    <row r="6" spans="1:82">
      <c r="A6">
        <v>5</v>
      </c>
      <c r="B6" t="s">
        <v>483</v>
      </c>
      <c r="C6" t="s">
        <v>43</v>
      </c>
      <c r="D6" t="s">
        <v>322</v>
      </c>
      <c r="E6" s="15">
        <v>44682</v>
      </c>
      <c r="F6" s="15">
        <v>44774</v>
      </c>
      <c r="G6" s="15">
        <v>0</v>
      </c>
      <c r="H6" s="15">
        <v>0</v>
      </c>
      <c r="I6" t="s">
        <v>484</v>
      </c>
      <c r="J6" t="s">
        <v>459</v>
      </c>
      <c r="K6" t="s">
        <v>454</v>
      </c>
      <c r="L6">
        <v>0</v>
      </c>
      <c r="M6">
        <v>3900000</v>
      </c>
      <c r="N6">
        <v>0</v>
      </c>
      <c r="O6">
        <v>0</v>
      </c>
      <c r="P6">
        <v>0</v>
      </c>
      <c r="Q6">
        <v>0</v>
      </c>
      <c r="R6">
        <v>0</v>
      </c>
      <c r="S6">
        <v>0</v>
      </c>
      <c r="T6">
        <v>0</v>
      </c>
      <c r="U6">
        <v>0</v>
      </c>
      <c r="V6">
        <v>79400000</v>
      </c>
      <c r="W6">
        <v>0</v>
      </c>
      <c r="X6" t="s">
        <v>78</v>
      </c>
      <c r="Y6" s="16">
        <v>44676.34955324074</v>
      </c>
      <c r="Z6" s="17" t="str">
        <f>_xlfn.XLOOKUP(Table1[[#This Row],[Phase]],'Lookup tables'!$Y$27:$Y$60,'Lookup tables'!$Z$27:$Z$60,"Not Updated")</f>
        <v>Bid Prep</v>
      </c>
      <c r="AA6" s="17">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s="185">
        <v>0</v>
      </c>
      <c r="BH6" s="185">
        <v>0</v>
      </c>
      <c r="BI6" s="185">
        <v>0</v>
      </c>
      <c r="BJ6" s="185">
        <v>0</v>
      </c>
      <c r="BK6" s="185">
        <v>0</v>
      </c>
      <c r="BL6" s="185">
        <v>0</v>
      </c>
      <c r="BM6" s="185">
        <v>0</v>
      </c>
      <c r="BN6" s="185">
        <v>0</v>
      </c>
      <c r="BO6" s="185">
        <v>0</v>
      </c>
      <c r="BP6" s="185">
        <v>0</v>
      </c>
      <c r="BQ6" s="185">
        <v>0</v>
      </c>
      <c r="BR6" s="185">
        <v>0</v>
      </c>
      <c r="BS6" s="185">
        <v>0</v>
      </c>
      <c r="BT6" s="185">
        <v>0</v>
      </c>
      <c r="BU6" t="b">
        <f>IF(_xlfn.MAXIFS(Table1[Sl No],Table1[Category],Table1[[#This Row],[Category]],Table1[Execution Year],Table1[[#This Row],[Execution Year]])=Table1[[#This Row],[Sl No]],TRUE,FALSE)</f>
        <v>1</v>
      </c>
      <c r="BV6" s="201">
        <f>SUM(Table1[[#This Row],[Spend - CAN]:[Spend - Sams]])+SUM(Table1[[#This Row],[Spend - Sams Mexico]:[Spend - Sams China]])+Table1[[#This Row],[Spend - IND]]</f>
        <v>83300000</v>
      </c>
      <c r="BW6">
        <f>SUM(Table1[[#This Row],[Savings - CAN]:[Savings - Sams]])+SUM(Table1[[#This Row],[Savings - Sams Mexico]:[Savings - Sams China]])+Table1[[#This Row],[Savings - IND]]</f>
        <v>0</v>
      </c>
      <c r="BX6">
        <f>SUM(Table1[[#This Row],[Spend - CAN]:[Spend - SAF]])+SUM(Table1[[#This Row],[Spend - Sams Mexico]:[Spend - Sams China]])+Table1[[#This Row],[Spend - IND]]</f>
        <v>3900000</v>
      </c>
      <c r="BY6">
        <f>SUM(Table1[[#This Row],[Savings - CAN]:[Savings - SAF]])+SUM(Table1[[#This Row],[Savings - Sams Mexico]:[Savings - Sams China]])+Table1[[#This Row],[Savings - IND]]</f>
        <v>0</v>
      </c>
      <c r="BZ6">
        <f>SUM(Table1[[#This Row],[Spend - US]:[Spend - Sams]])</f>
        <v>79400000</v>
      </c>
      <c r="CA6">
        <f>SUM(Table1[[#This Row],[Savings - US]:[Savings - Sams]])</f>
        <v>0</v>
      </c>
      <c r="CB6">
        <f>SUM(Table1[[#This Row],[Cost Avoidance - CAN2]:[Cost Avoidance - SAF10]])+SUM(Table1[[#This Row],[Cost Avoidance - Sams Mexico]:[Cost Avoidance - Sams China]])+Table1[[#This Row],[Cost Avoidance - IND]]</f>
        <v>0</v>
      </c>
      <c r="CC6">
        <f>SUM(Table1[[#This Row],[Cost Avoidance - US11]:[Cost Avoidance - Sams12]])</f>
        <v>0</v>
      </c>
      <c r="CD6">
        <f>_xlfn.XLOOKUP(Table1[[#This Row],[Status]],Status_Lookups[Status],Status_Lookups[Value],"")</f>
        <v>0.3</v>
      </c>
    </row>
    <row r="7" spans="1:82">
      <c r="A7">
        <v>1</v>
      </c>
      <c r="B7" t="s">
        <v>578</v>
      </c>
      <c r="C7" t="s">
        <v>33</v>
      </c>
      <c r="D7" t="s">
        <v>322</v>
      </c>
      <c r="E7" s="15"/>
      <c r="F7" s="15"/>
      <c r="G7" s="15"/>
      <c r="H7" s="15"/>
      <c r="I7" t="s">
        <v>622</v>
      </c>
      <c r="J7" t="s">
        <v>459</v>
      </c>
      <c r="K7" t="s">
        <v>570</v>
      </c>
      <c r="X7" t="s">
        <v>47</v>
      </c>
      <c r="Y7" s="16">
        <v>44701.387036342596</v>
      </c>
      <c r="Z7" s="17" t="str">
        <f>_xlfn.XLOOKUP(Table1[[#This Row],[Phase]],'Lookup tables'!$Y$27:$Y$60,'Lookup tables'!$Z$27:$Z$60,"Not Updated")</f>
        <v>SCO Analysis</v>
      </c>
      <c r="AA7" s="17"/>
      <c r="BG7" s="185"/>
      <c r="BH7" s="185"/>
      <c r="BI7" s="185"/>
      <c r="BJ7" s="185"/>
      <c r="BK7" s="185"/>
      <c r="BL7" s="185"/>
      <c r="BM7" s="185"/>
      <c r="BN7" s="185"/>
      <c r="BO7" s="185"/>
      <c r="BP7" s="185"/>
      <c r="BQ7" s="185"/>
      <c r="BR7" s="185"/>
      <c r="BS7" s="185"/>
      <c r="BT7" s="185"/>
      <c r="BU7" t="b">
        <f>IF(_xlfn.MAXIFS(Table1[Sl No],Table1[Category],Table1[[#This Row],[Category]],Table1[Execution Year],Table1[[#This Row],[Execution Year]])=Table1[[#This Row],[Sl No]],TRUE,FALSE)</f>
        <v>0</v>
      </c>
      <c r="BV7" s="201">
        <f>SUM(Table1[[#This Row],[Spend - CAN]:[Spend - Sams]])+SUM(Table1[[#This Row],[Spend - Sams Mexico]:[Spend - Sams China]])+Table1[[#This Row],[Spend - IND]]</f>
        <v>0</v>
      </c>
      <c r="BW7">
        <f>SUM(Table1[[#This Row],[Savings - CAN]:[Savings - Sams]])+SUM(Table1[[#This Row],[Savings - Sams Mexico]:[Savings - Sams China]])+Table1[[#This Row],[Savings - IND]]</f>
        <v>0</v>
      </c>
      <c r="BX7">
        <f>SUM(Table1[[#This Row],[Spend - CAN]:[Spend - SAF]])+SUM(Table1[[#This Row],[Spend - Sams Mexico]:[Spend - Sams China]])+Table1[[#This Row],[Spend - IND]]</f>
        <v>0</v>
      </c>
      <c r="BY7">
        <f>SUM(Table1[[#This Row],[Savings - CAN]:[Savings - SAF]])+SUM(Table1[[#This Row],[Savings - Sams Mexico]:[Savings - Sams China]])+Table1[[#This Row],[Savings - IND]]</f>
        <v>0</v>
      </c>
      <c r="BZ7">
        <f>SUM(Table1[[#This Row],[Spend - US]:[Spend - Sams]])</f>
        <v>0</v>
      </c>
      <c r="CA7">
        <f>SUM(Table1[[#This Row],[Savings - US]:[Savings - Sams]])</f>
        <v>0</v>
      </c>
      <c r="CB7">
        <f>SUM(Table1[[#This Row],[Cost Avoidance - CAN2]:[Cost Avoidance - SAF10]])+SUM(Table1[[#This Row],[Cost Avoidance - Sams Mexico]:[Cost Avoidance - Sams China]])+Table1[[#This Row],[Cost Avoidance - IND]]</f>
        <v>0</v>
      </c>
      <c r="CC7">
        <f>SUM(Table1[[#This Row],[Cost Avoidance - US11]:[Cost Avoidance - Sams12]])</f>
        <v>0</v>
      </c>
      <c r="CD7">
        <f>_xlfn.XLOOKUP(Table1[[#This Row],[Status]],Status_Lookups[Status],Status_Lookups[Value],"")</f>
        <v>0.3</v>
      </c>
    </row>
    <row r="8" spans="1:82">
      <c r="A8">
        <v>2</v>
      </c>
      <c r="B8" t="s">
        <v>578</v>
      </c>
      <c r="C8" t="s">
        <v>33</v>
      </c>
      <c r="D8" t="s">
        <v>322</v>
      </c>
      <c r="E8" s="15"/>
      <c r="F8" s="15"/>
      <c r="G8" s="15"/>
      <c r="H8" s="15">
        <v>0</v>
      </c>
      <c r="I8" t="s">
        <v>622</v>
      </c>
      <c r="J8" t="s">
        <v>459</v>
      </c>
      <c r="K8" t="s">
        <v>570</v>
      </c>
      <c r="L8">
        <v>0</v>
      </c>
      <c r="M8">
        <v>0</v>
      </c>
      <c r="N8">
        <v>0</v>
      </c>
      <c r="O8">
        <v>0</v>
      </c>
      <c r="P8">
        <v>0</v>
      </c>
      <c r="Q8">
        <v>0</v>
      </c>
      <c r="R8">
        <v>0</v>
      </c>
      <c r="S8">
        <v>0</v>
      </c>
      <c r="T8">
        <v>0</v>
      </c>
      <c r="U8">
        <v>0</v>
      </c>
      <c r="V8">
        <v>1E-4</v>
      </c>
      <c r="W8">
        <v>0</v>
      </c>
      <c r="X8" t="s">
        <v>570</v>
      </c>
      <c r="Y8" s="16">
        <v>44725.556418749999</v>
      </c>
      <c r="Z8" s="17" t="str">
        <f>_xlfn.XLOOKUP(Table1[[#This Row],[Phase]],'Lookup tables'!$Y$27:$Y$60,'Lookup tables'!$Z$27:$Z$60,"Not Updated")</f>
        <v>SCO Analysis</v>
      </c>
      <c r="AA8" s="17" t="s">
        <v>623</v>
      </c>
      <c r="AB8">
        <v>0</v>
      </c>
      <c r="AC8">
        <v>0</v>
      </c>
      <c r="AD8">
        <v>0</v>
      </c>
      <c r="AE8">
        <v>0</v>
      </c>
      <c r="AF8">
        <v>0</v>
      </c>
      <c r="AG8">
        <v>0</v>
      </c>
      <c r="AH8">
        <v>0</v>
      </c>
      <c r="AI8">
        <v>0</v>
      </c>
      <c r="AJ8">
        <v>0</v>
      </c>
      <c r="AK8">
        <v>0</v>
      </c>
      <c r="AL8">
        <v>0</v>
      </c>
      <c r="AM8">
        <v>0</v>
      </c>
      <c r="AN8">
        <v>0</v>
      </c>
      <c r="AO8">
        <v>0</v>
      </c>
      <c r="AP8">
        <v>0</v>
      </c>
      <c r="AQ8">
        <v>0</v>
      </c>
      <c r="AR8">
        <v>0</v>
      </c>
      <c r="AS8">
        <v>0</v>
      </c>
      <c r="AT8">
        <v>0</v>
      </c>
      <c r="AU8">
        <v>0</v>
      </c>
      <c r="AV8">
        <v>0</v>
      </c>
      <c r="AW8">
        <v>0</v>
      </c>
      <c r="AX8">
        <v>0</v>
      </c>
      <c r="AY8">
        <v>0</v>
      </c>
      <c r="AZ8">
        <v>0</v>
      </c>
      <c r="BA8">
        <v>0</v>
      </c>
      <c r="BB8">
        <v>0</v>
      </c>
      <c r="BC8">
        <v>0</v>
      </c>
      <c r="BD8">
        <v>0</v>
      </c>
      <c r="BE8">
        <v>0</v>
      </c>
      <c r="BF8">
        <v>0</v>
      </c>
      <c r="BG8" s="185">
        <v>0</v>
      </c>
      <c r="BH8" s="185">
        <v>0</v>
      </c>
      <c r="BI8" s="185">
        <v>0</v>
      </c>
      <c r="BJ8" s="185">
        <v>0</v>
      </c>
      <c r="BK8" s="185">
        <v>0</v>
      </c>
      <c r="BL8" s="185">
        <v>0</v>
      </c>
      <c r="BM8" s="185">
        <v>0</v>
      </c>
      <c r="BN8" s="185">
        <v>0</v>
      </c>
      <c r="BO8" s="185">
        <v>0</v>
      </c>
      <c r="BP8" s="185">
        <v>0</v>
      </c>
      <c r="BQ8" s="185">
        <v>0</v>
      </c>
      <c r="BR8" s="185">
        <v>0</v>
      </c>
      <c r="BS8" s="185">
        <v>0</v>
      </c>
      <c r="BT8" s="185">
        <v>0</v>
      </c>
      <c r="BU8" t="b">
        <f>IF(_xlfn.MAXIFS(Table1[Sl No],Table1[Category],Table1[[#This Row],[Category]],Table1[Execution Year],Table1[[#This Row],[Execution Year]])=Table1[[#This Row],[Sl No]],TRUE,FALSE)</f>
        <v>0</v>
      </c>
      <c r="BV8" s="201">
        <f>SUM(Table1[[#This Row],[Spend - CAN]:[Spend - Sams]])+SUM(Table1[[#This Row],[Spend - Sams Mexico]:[Spend - Sams China]])+Table1[[#This Row],[Spend - IND]]</f>
        <v>1E-4</v>
      </c>
      <c r="BW8">
        <f>SUM(Table1[[#This Row],[Savings - CAN]:[Savings - Sams]])+SUM(Table1[[#This Row],[Savings - Sams Mexico]:[Savings - Sams China]])+Table1[[#This Row],[Savings - IND]]</f>
        <v>0</v>
      </c>
      <c r="BX8">
        <f>SUM(Table1[[#This Row],[Spend - CAN]:[Spend - SAF]])+SUM(Table1[[#This Row],[Spend - Sams Mexico]:[Spend - Sams China]])+Table1[[#This Row],[Spend - IND]]</f>
        <v>0</v>
      </c>
      <c r="BY8">
        <f>SUM(Table1[[#This Row],[Savings - CAN]:[Savings - SAF]])+SUM(Table1[[#This Row],[Savings - Sams Mexico]:[Savings - Sams China]])+Table1[[#This Row],[Savings - IND]]</f>
        <v>0</v>
      </c>
      <c r="BZ8">
        <f>SUM(Table1[[#This Row],[Spend - US]:[Spend - Sams]])</f>
        <v>1E-4</v>
      </c>
      <c r="CA8">
        <f>SUM(Table1[[#This Row],[Savings - US]:[Savings - Sams]])</f>
        <v>0</v>
      </c>
      <c r="CB8">
        <f>SUM(Table1[[#This Row],[Cost Avoidance - CAN2]:[Cost Avoidance - SAF10]])+SUM(Table1[[#This Row],[Cost Avoidance - Sams Mexico]:[Cost Avoidance - Sams China]])+Table1[[#This Row],[Cost Avoidance - IND]]</f>
        <v>0</v>
      </c>
      <c r="CC8">
        <f>SUM(Table1[[#This Row],[Cost Avoidance - US11]:[Cost Avoidance - Sams12]])</f>
        <v>0</v>
      </c>
      <c r="CD8">
        <f>_xlfn.XLOOKUP(Table1[[#This Row],[Status]],Status_Lookups[Status],Status_Lookups[Value],"")</f>
        <v>0.3</v>
      </c>
    </row>
    <row r="9" spans="1:82">
      <c r="A9">
        <v>1</v>
      </c>
      <c r="B9" t="s">
        <v>564</v>
      </c>
      <c r="C9" t="s">
        <v>33</v>
      </c>
      <c r="D9" t="s">
        <v>322</v>
      </c>
      <c r="E9" s="15"/>
      <c r="F9" s="15"/>
      <c r="G9" s="15"/>
      <c r="H9" s="15"/>
      <c r="I9" t="s">
        <v>466</v>
      </c>
      <c r="J9" t="s">
        <v>459</v>
      </c>
      <c r="K9" t="s">
        <v>562</v>
      </c>
      <c r="X9" t="s">
        <v>47</v>
      </c>
      <c r="Y9" s="16">
        <v>44701.387036342596</v>
      </c>
      <c r="Z9" s="17" t="str">
        <f>_xlfn.XLOOKUP(Table1[[#This Row],[Phase]],'Lookup tables'!$Y$27:$Y$60,'Lookup tables'!$Z$27:$Z$60,"Not Updated")</f>
        <v>Post Award</v>
      </c>
      <c r="AA9" s="17"/>
      <c r="BG9" s="185"/>
      <c r="BH9" s="185"/>
      <c r="BI9" s="185"/>
      <c r="BJ9" s="185"/>
      <c r="BK9" s="185"/>
      <c r="BL9" s="185"/>
      <c r="BM9" s="185"/>
      <c r="BN9" s="185"/>
      <c r="BO9" s="185"/>
      <c r="BP9" s="185"/>
      <c r="BQ9" s="185"/>
      <c r="BR9" s="185"/>
      <c r="BS9" s="185"/>
      <c r="BT9" s="185"/>
      <c r="BU9" t="b">
        <f>IF(_xlfn.MAXIFS(Table1[Sl No],Table1[Category],Table1[[#This Row],[Category]],Table1[Execution Year],Table1[[#This Row],[Execution Year]])=Table1[[#This Row],[Sl No]],TRUE,FALSE)</f>
        <v>1</v>
      </c>
      <c r="BV9" s="201">
        <f>SUM(Table1[[#This Row],[Spend - CAN]:[Spend - Sams]])+SUM(Table1[[#This Row],[Spend - Sams Mexico]:[Spend - Sams China]])+Table1[[#This Row],[Spend - IND]]</f>
        <v>0</v>
      </c>
      <c r="BW9">
        <f>SUM(Table1[[#This Row],[Savings - CAN]:[Savings - Sams]])+SUM(Table1[[#This Row],[Savings - Sams Mexico]:[Savings - Sams China]])+Table1[[#This Row],[Savings - IND]]</f>
        <v>0</v>
      </c>
      <c r="BX9">
        <f>SUM(Table1[[#This Row],[Spend - CAN]:[Spend - SAF]])+SUM(Table1[[#This Row],[Spend - Sams Mexico]:[Spend - Sams China]])+Table1[[#This Row],[Spend - IND]]</f>
        <v>0</v>
      </c>
      <c r="BY9">
        <f>SUM(Table1[[#This Row],[Savings - CAN]:[Savings - SAF]])+SUM(Table1[[#This Row],[Savings - Sams Mexico]:[Savings - Sams China]])+Table1[[#This Row],[Savings - IND]]</f>
        <v>0</v>
      </c>
      <c r="BZ9">
        <f>SUM(Table1[[#This Row],[Spend - US]:[Spend - Sams]])</f>
        <v>0</v>
      </c>
      <c r="CA9">
        <f>SUM(Table1[[#This Row],[Savings - US]:[Savings - Sams]])</f>
        <v>0</v>
      </c>
      <c r="CB9">
        <f>SUM(Table1[[#This Row],[Cost Avoidance - CAN2]:[Cost Avoidance - SAF10]])+SUM(Table1[[#This Row],[Cost Avoidance - Sams Mexico]:[Cost Avoidance - Sams China]])+Table1[[#This Row],[Cost Avoidance - IND]]</f>
        <v>0</v>
      </c>
      <c r="CC9">
        <f>SUM(Table1[[#This Row],[Cost Avoidance - US11]:[Cost Avoidance - Sams12]])</f>
        <v>0</v>
      </c>
      <c r="CD9">
        <f>_xlfn.XLOOKUP(Table1[[#This Row],[Status]],Status_Lookups[Status],Status_Lookups[Value],"")</f>
        <v>0.3</v>
      </c>
    </row>
    <row r="10" spans="1:82">
      <c r="A10">
        <v>1</v>
      </c>
      <c r="B10" t="s">
        <v>479</v>
      </c>
      <c r="C10" t="s">
        <v>43</v>
      </c>
      <c r="D10" t="s">
        <v>322</v>
      </c>
      <c r="E10" s="15"/>
      <c r="F10" s="15"/>
      <c r="G10" s="15"/>
      <c r="H10" s="15"/>
      <c r="X10" t="s">
        <v>78</v>
      </c>
      <c r="Y10" s="16">
        <v>44594.715810185182</v>
      </c>
      <c r="Z10" s="17" t="str">
        <f>_xlfn.XLOOKUP(Table1[[#This Row],[Phase]],'Lookup tables'!$Y$27:$Y$60,'Lookup tables'!$Z$27:$Z$60,"Not Updated")</f>
        <v>Not Updated</v>
      </c>
      <c r="AA10" s="17"/>
      <c r="BG10" s="185"/>
      <c r="BH10" s="185"/>
      <c r="BI10" s="185"/>
      <c r="BJ10" s="185"/>
      <c r="BK10" s="185"/>
      <c r="BL10" s="185"/>
      <c r="BM10" s="185"/>
      <c r="BN10" s="185"/>
      <c r="BO10" s="185"/>
      <c r="BP10" s="185"/>
      <c r="BQ10" s="185"/>
      <c r="BR10" s="185"/>
      <c r="BS10" s="185"/>
      <c r="BT10" s="185"/>
      <c r="BU10" t="b">
        <f>IF(_xlfn.MAXIFS(Table1[Sl No],Table1[Category],Table1[[#This Row],[Category]],Table1[Execution Year],Table1[[#This Row],[Execution Year]])=Table1[[#This Row],[Sl No]],TRUE,FALSE)</f>
        <v>0</v>
      </c>
      <c r="BV10" s="201">
        <f>SUM(Table1[[#This Row],[Spend - CAN]:[Spend - Sams]])+SUM(Table1[[#This Row],[Spend - Sams Mexico]:[Spend - Sams China]])+Table1[[#This Row],[Spend - IND]]</f>
        <v>0</v>
      </c>
      <c r="BW10">
        <f>SUM(Table1[[#This Row],[Savings - CAN]:[Savings - Sams]])+SUM(Table1[[#This Row],[Savings - Sams Mexico]:[Savings - Sams China]])+Table1[[#This Row],[Savings - IND]]</f>
        <v>0</v>
      </c>
      <c r="BX10">
        <f>SUM(Table1[[#This Row],[Spend - CAN]:[Spend - SAF]])+SUM(Table1[[#This Row],[Spend - Sams Mexico]:[Spend - Sams China]])+Table1[[#This Row],[Spend - IND]]</f>
        <v>0</v>
      </c>
      <c r="BY10">
        <f>SUM(Table1[[#This Row],[Savings - CAN]:[Savings - SAF]])+SUM(Table1[[#This Row],[Savings - Sams Mexico]:[Savings - Sams China]])+Table1[[#This Row],[Savings - IND]]</f>
        <v>0</v>
      </c>
      <c r="BZ10">
        <f>SUM(Table1[[#This Row],[Spend - US]:[Spend - Sams]])</f>
        <v>0</v>
      </c>
      <c r="CA10">
        <f>SUM(Table1[[#This Row],[Savings - US]:[Savings - Sams]])</f>
        <v>0</v>
      </c>
      <c r="CB10">
        <f>SUM(Table1[[#This Row],[Cost Avoidance - CAN2]:[Cost Avoidance - SAF10]])+SUM(Table1[[#This Row],[Cost Avoidance - Sams Mexico]:[Cost Avoidance - Sams China]])+Table1[[#This Row],[Cost Avoidance - IND]]</f>
        <v>0</v>
      </c>
      <c r="CC10">
        <f>SUM(Table1[[#This Row],[Cost Avoidance - US11]:[Cost Avoidance - Sams12]])</f>
        <v>0</v>
      </c>
      <c r="CD10" t="str">
        <f>_xlfn.XLOOKUP(Table1[[#This Row],[Status]],Status_Lookups[Status],Status_Lookups[Value],"")</f>
        <v/>
      </c>
    </row>
    <row r="11" spans="1:82">
      <c r="A11">
        <v>2</v>
      </c>
      <c r="B11" t="s">
        <v>479</v>
      </c>
      <c r="C11" t="s">
        <v>43</v>
      </c>
      <c r="D11" t="s">
        <v>322</v>
      </c>
      <c r="E11" s="15">
        <v>44774</v>
      </c>
      <c r="F11" s="15">
        <v>0</v>
      </c>
      <c r="G11" s="15">
        <v>0</v>
      </c>
      <c r="H11" s="15">
        <v>0</v>
      </c>
      <c r="I11" t="s">
        <v>458</v>
      </c>
      <c r="J11">
        <v>0</v>
      </c>
      <c r="K11" t="s">
        <v>474</v>
      </c>
      <c r="L11">
        <v>0</v>
      </c>
      <c r="M11">
        <v>0</v>
      </c>
      <c r="N11">
        <v>0</v>
      </c>
      <c r="O11">
        <v>0</v>
      </c>
      <c r="P11">
        <v>0</v>
      </c>
      <c r="Q11">
        <v>0</v>
      </c>
      <c r="R11">
        <v>0</v>
      </c>
      <c r="S11">
        <v>0</v>
      </c>
      <c r="T11">
        <v>0</v>
      </c>
      <c r="U11">
        <v>0</v>
      </c>
      <c r="V11">
        <v>0</v>
      </c>
      <c r="W11">
        <v>0</v>
      </c>
      <c r="X11" t="s">
        <v>78</v>
      </c>
      <c r="Y11" s="16">
        <v>44594.718999074074</v>
      </c>
      <c r="Z11" s="17" t="str">
        <f>_xlfn.XLOOKUP(Table1[[#This Row],[Phase]],'Lookup tables'!$Y$27:$Y$60,'Lookup tables'!$Z$27:$Z$60,"Not Updated")</f>
        <v>Exploratory</v>
      </c>
      <c r="AA11" s="17">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0</v>
      </c>
      <c r="AY11">
        <v>0</v>
      </c>
      <c r="AZ11">
        <v>0</v>
      </c>
      <c r="BA11">
        <v>0</v>
      </c>
      <c r="BB11">
        <v>0</v>
      </c>
      <c r="BC11">
        <v>0</v>
      </c>
      <c r="BD11">
        <v>0</v>
      </c>
      <c r="BE11">
        <v>0</v>
      </c>
      <c r="BF11">
        <v>0</v>
      </c>
      <c r="BG11" s="185">
        <v>0</v>
      </c>
      <c r="BH11" s="185">
        <v>0</v>
      </c>
      <c r="BI11" s="185">
        <v>0</v>
      </c>
      <c r="BJ11" s="185">
        <v>0</v>
      </c>
      <c r="BK11" s="185">
        <v>0</v>
      </c>
      <c r="BL11" s="185">
        <v>0</v>
      </c>
      <c r="BM11" s="185">
        <v>0</v>
      </c>
      <c r="BN11" s="185">
        <v>0</v>
      </c>
      <c r="BO11" s="185">
        <v>0</v>
      </c>
      <c r="BP11" s="185">
        <v>0</v>
      </c>
      <c r="BQ11" s="185">
        <v>0</v>
      </c>
      <c r="BR11" s="185">
        <v>0</v>
      </c>
      <c r="BS11" s="185">
        <v>0</v>
      </c>
      <c r="BT11" s="185">
        <v>0</v>
      </c>
      <c r="BU11" t="b">
        <f>IF(_xlfn.MAXIFS(Table1[Sl No],Table1[Category],Table1[[#This Row],[Category]],Table1[Execution Year],Table1[[#This Row],[Execution Year]])=Table1[[#This Row],[Sl No]],TRUE,FALSE)</f>
        <v>0</v>
      </c>
      <c r="BV11" s="201">
        <f>SUM(Table1[[#This Row],[Spend - CAN]:[Spend - Sams]])+SUM(Table1[[#This Row],[Spend - Sams Mexico]:[Spend - Sams China]])+Table1[[#This Row],[Spend - IND]]</f>
        <v>0</v>
      </c>
      <c r="BW11">
        <f>SUM(Table1[[#This Row],[Savings - CAN]:[Savings - Sams]])+SUM(Table1[[#This Row],[Savings - Sams Mexico]:[Savings - Sams China]])+Table1[[#This Row],[Savings - IND]]</f>
        <v>0</v>
      </c>
      <c r="BX11">
        <f>SUM(Table1[[#This Row],[Spend - CAN]:[Spend - SAF]])+SUM(Table1[[#This Row],[Spend - Sams Mexico]:[Spend - Sams China]])+Table1[[#This Row],[Spend - IND]]</f>
        <v>0</v>
      </c>
      <c r="BY11">
        <f>SUM(Table1[[#This Row],[Savings - CAN]:[Savings - SAF]])+SUM(Table1[[#This Row],[Savings - Sams Mexico]:[Savings - Sams China]])+Table1[[#This Row],[Savings - IND]]</f>
        <v>0</v>
      </c>
      <c r="BZ11">
        <f>SUM(Table1[[#This Row],[Spend - US]:[Spend - Sams]])</f>
        <v>0</v>
      </c>
      <c r="CA11">
        <f>SUM(Table1[[#This Row],[Savings - US]:[Savings - Sams]])</f>
        <v>0</v>
      </c>
      <c r="CB11">
        <f>SUM(Table1[[#This Row],[Cost Avoidance - CAN2]:[Cost Avoidance - SAF10]])+SUM(Table1[[#This Row],[Cost Avoidance - Sams Mexico]:[Cost Avoidance - Sams China]])+Table1[[#This Row],[Cost Avoidance - IND]]</f>
        <v>0</v>
      </c>
      <c r="CC11">
        <f>SUM(Table1[[#This Row],[Cost Avoidance - US11]:[Cost Avoidance - Sams12]])</f>
        <v>0</v>
      </c>
      <c r="CD11" t="str">
        <f>_xlfn.XLOOKUP(Table1[[#This Row],[Status]],Status_Lookups[Status],Status_Lookups[Value],"")</f>
        <v/>
      </c>
    </row>
    <row r="12" spans="1:82">
      <c r="A12">
        <v>3</v>
      </c>
      <c r="B12" t="s">
        <v>479</v>
      </c>
      <c r="C12" t="s">
        <v>43</v>
      </c>
      <c r="D12" t="s">
        <v>322</v>
      </c>
      <c r="E12" s="15">
        <v>44774</v>
      </c>
      <c r="F12" s="15">
        <v>0</v>
      </c>
      <c r="G12" s="15">
        <v>0</v>
      </c>
      <c r="H12" s="15">
        <v>0</v>
      </c>
      <c r="I12" t="s">
        <v>458</v>
      </c>
      <c r="J12">
        <v>0</v>
      </c>
      <c r="K12" t="s">
        <v>474</v>
      </c>
      <c r="L12">
        <v>0</v>
      </c>
      <c r="M12">
        <v>0</v>
      </c>
      <c r="N12">
        <v>0</v>
      </c>
      <c r="O12">
        <v>0</v>
      </c>
      <c r="P12">
        <v>0</v>
      </c>
      <c r="Q12">
        <v>0</v>
      </c>
      <c r="R12">
        <v>0</v>
      </c>
      <c r="S12">
        <v>0</v>
      </c>
      <c r="T12">
        <v>0</v>
      </c>
      <c r="U12">
        <v>0</v>
      </c>
      <c r="V12">
        <v>0</v>
      </c>
      <c r="W12">
        <v>0</v>
      </c>
      <c r="X12" t="s">
        <v>34</v>
      </c>
      <c r="Y12" s="16">
        <v>44594.731672916663</v>
      </c>
      <c r="Z12" s="17" t="str">
        <f>_xlfn.XLOOKUP(Table1[[#This Row],[Phase]],'Lookup tables'!$Y$27:$Y$60,'Lookup tables'!$Z$27:$Z$60,"Not Updated")</f>
        <v>Exploratory</v>
      </c>
      <c r="AA12" s="17" t="s">
        <v>624</v>
      </c>
      <c r="AB12">
        <v>0</v>
      </c>
      <c r="AC12">
        <v>0</v>
      </c>
      <c r="AD12">
        <v>0</v>
      </c>
      <c r="AE12">
        <v>0</v>
      </c>
      <c r="AF12">
        <v>0</v>
      </c>
      <c r="AG12">
        <v>0</v>
      </c>
      <c r="AH12">
        <v>0</v>
      </c>
      <c r="AI12">
        <v>0</v>
      </c>
      <c r="AJ12">
        <v>0</v>
      </c>
      <c r="AK12">
        <v>0</v>
      </c>
      <c r="AL12">
        <v>0</v>
      </c>
      <c r="AM12">
        <v>0</v>
      </c>
      <c r="AN12">
        <v>0</v>
      </c>
      <c r="AO12">
        <v>0</v>
      </c>
      <c r="AP12">
        <v>0</v>
      </c>
      <c r="AQ12">
        <v>0</v>
      </c>
      <c r="AR12">
        <v>0</v>
      </c>
      <c r="AS12">
        <v>0</v>
      </c>
      <c r="AT12">
        <v>0</v>
      </c>
      <c r="AU12">
        <v>0</v>
      </c>
      <c r="AV12">
        <v>0</v>
      </c>
      <c r="AW12">
        <v>0</v>
      </c>
      <c r="AX12">
        <v>0</v>
      </c>
      <c r="AY12">
        <v>0</v>
      </c>
      <c r="AZ12">
        <v>0</v>
      </c>
      <c r="BA12">
        <v>0</v>
      </c>
      <c r="BB12">
        <v>0</v>
      </c>
      <c r="BC12">
        <v>0</v>
      </c>
      <c r="BD12">
        <v>0</v>
      </c>
      <c r="BE12">
        <v>0</v>
      </c>
      <c r="BF12">
        <v>0</v>
      </c>
      <c r="BG12" s="185">
        <v>0</v>
      </c>
      <c r="BH12" s="185">
        <v>0</v>
      </c>
      <c r="BI12" s="185">
        <v>0</v>
      </c>
      <c r="BJ12" s="185">
        <v>0</v>
      </c>
      <c r="BK12" s="185">
        <v>0</v>
      </c>
      <c r="BL12" s="185">
        <v>0</v>
      </c>
      <c r="BM12" s="185">
        <v>0</v>
      </c>
      <c r="BN12" s="185">
        <v>0</v>
      </c>
      <c r="BO12" s="185">
        <v>0</v>
      </c>
      <c r="BP12" s="185">
        <v>0</v>
      </c>
      <c r="BQ12" s="185">
        <v>0</v>
      </c>
      <c r="BR12" s="185">
        <v>0</v>
      </c>
      <c r="BS12" s="185">
        <v>0</v>
      </c>
      <c r="BT12" s="185">
        <v>0</v>
      </c>
      <c r="BU12" t="b">
        <f>IF(_xlfn.MAXIFS(Table1[Sl No],Table1[Category],Table1[[#This Row],[Category]],Table1[Execution Year],Table1[[#This Row],[Execution Year]])=Table1[[#This Row],[Sl No]],TRUE,FALSE)</f>
        <v>0</v>
      </c>
      <c r="BV12" s="201">
        <f>SUM(Table1[[#This Row],[Spend - CAN]:[Spend - Sams]])+SUM(Table1[[#This Row],[Spend - Sams Mexico]:[Spend - Sams China]])+Table1[[#This Row],[Spend - IND]]</f>
        <v>0</v>
      </c>
      <c r="BW12">
        <f>SUM(Table1[[#This Row],[Savings - CAN]:[Savings - Sams]])+SUM(Table1[[#This Row],[Savings - Sams Mexico]:[Savings - Sams China]])+Table1[[#This Row],[Savings - IND]]</f>
        <v>0</v>
      </c>
      <c r="BX12">
        <f>SUM(Table1[[#This Row],[Spend - CAN]:[Spend - SAF]])+SUM(Table1[[#This Row],[Spend - Sams Mexico]:[Spend - Sams China]])+Table1[[#This Row],[Spend - IND]]</f>
        <v>0</v>
      </c>
      <c r="BY12">
        <f>SUM(Table1[[#This Row],[Savings - CAN]:[Savings - SAF]])+SUM(Table1[[#This Row],[Savings - Sams Mexico]:[Savings - Sams China]])+Table1[[#This Row],[Savings - IND]]</f>
        <v>0</v>
      </c>
      <c r="BZ12">
        <f>SUM(Table1[[#This Row],[Spend - US]:[Spend - Sams]])</f>
        <v>0</v>
      </c>
      <c r="CA12">
        <f>SUM(Table1[[#This Row],[Savings - US]:[Savings - Sams]])</f>
        <v>0</v>
      </c>
      <c r="CB12">
        <f>SUM(Table1[[#This Row],[Cost Avoidance - CAN2]:[Cost Avoidance - SAF10]])+SUM(Table1[[#This Row],[Cost Avoidance - Sams Mexico]:[Cost Avoidance - Sams China]])+Table1[[#This Row],[Cost Avoidance - IND]]</f>
        <v>0</v>
      </c>
      <c r="CC12">
        <f>SUM(Table1[[#This Row],[Cost Avoidance - US11]:[Cost Avoidance - Sams12]])</f>
        <v>0</v>
      </c>
      <c r="CD12" t="str">
        <f>_xlfn.XLOOKUP(Table1[[#This Row],[Status]],Status_Lookups[Status],Status_Lookups[Value],"")</f>
        <v/>
      </c>
    </row>
    <row r="13" spans="1:82">
      <c r="A13">
        <v>4</v>
      </c>
      <c r="B13" t="s">
        <v>479</v>
      </c>
      <c r="C13" t="s">
        <v>43</v>
      </c>
      <c r="D13" t="s">
        <v>322</v>
      </c>
      <c r="E13" s="15">
        <v>44774</v>
      </c>
      <c r="F13" s="15">
        <v>0</v>
      </c>
      <c r="G13" s="15">
        <v>0</v>
      </c>
      <c r="H13" s="15">
        <v>0</v>
      </c>
      <c r="I13" t="s">
        <v>458</v>
      </c>
      <c r="J13">
        <v>0</v>
      </c>
      <c r="K13" t="s">
        <v>474</v>
      </c>
      <c r="L13">
        <v>0</v>
      </c>
      <c r="W13">
        <v>184000000</v>
      </c>
      <c r="X13" t="s">
        <v>78</v>
      </c>
      <c r="Y13" s="16">
        <v>44599.460440162038</v>
      </c>
      <c r="Z13" s="17" t="str">
        <f>_xlfn.XLOOKUP(Table1[[#This Row],[Phase]],'Lookup tables'!$Y$27:$Y$60,'Lookup tables'!$Z$27:$Z$60,"Not Updated")</f>
        <v>Exploratory</v>
      </c>
      <c r="AA13" s="17" t="s">
        <v>624</v>
      </c>
      <c r="AB13">
        <v>0</v>
      </c>
      <c r="AC13">
        <v>0</v>
      </c>
      <c r="AD13">
        <v>0</v>
      </c>
      <c r="AE13">
        <v>0</v>
      </c>
      <c r="AF13">
        <v>0</v>
      </c>
      <c r="AG13">
        <v>0</v>
      </c>
      <c r="AH13">
        <v>0</v>
      </c>
      <c r="AI13">
        <v>0</v>
      </c>
      <c r="AJ13">
        <v>0</v>
      </c>
      <c r="AK13">
        <v>0</v>
      </c>
      <c r="AL13">
        <v>0</v>
      </c>
      <c r="AM13">
        <v>0</v>
      </c>
      <c r="AN13">
        <v>0</v>
      </c>
      <c r="AO13">
        <v>0</v>
      </c>
      <c r="AP13">
        <v>0</v>
      </c>
      <c r="AQ13">
        <v>0</v>
      </c>
      <c r="AR13">
        <v>0</v>
      </c>
      <c r="AS13">
        <v>0</v>
      </c>
      <c r="AT13">
        <v>0</v>
      </c>
      <c r="AU13">
        <v>0</v>
      </c>
      <c r="AV13">
        <v>0</v>
      </c>
      <c r="AW13">
        <v>0</v>
      </c>
      <c r="AX13">
        <v>0</v>
      </c>
      <c r="AY13">
        <v>0</v>
      </c>
      <c r="AZ13">
        <v>0</v>
      </c>
      <c r="BA13">
        <v>0</v>
      </c>
      <c r="BB13">
        <v>0</v>
      </c>
      <c r="BC13">
        <v>0</v>
      </c>
      <c r="BD13">
        <v>0</v>
      </c>
      <c r="BE13">
        <v>0</v>
      </c>
      <c r="BF13">
        <v>0</v>
      </c>
      <c r="BG13" s="185">
        <v>0</v>
      </c>
      <c r="BH13" s="185">
        <v>0</v>
      </c>
      <c r="BI13" s="185">
        <v>0</v>
      </c>
      <c r="BJ13" s="185">
        <v>0</v>
      </c>
      <c r="BK13" s="185">
        <v>0</v>
      </c>
      <c r="BL13" s="185">
        <v>0</v>
      </c>
      <c r="BM13" s="185">
        <v>0</v>
      </c>
      <c r="BN13" s="185">
        <v>0</v>
      </c>
      <c r="BO13" s="185">
        <v>0</v>
      </c>
      <c r="BP13" s="185">
        <v>0</v>
      </c>
      <c r="BQ13" s="185">
        <v>0</v>
      </c>
      <c r="BR13" s="185">
        <v>0</v>
      </c>
      <c r="BS13" s="185">
        <v>0</v>
      </c>
      <c r="BT13" s="185">
        <v>0</v>
      </c>
      <c r="BU13" t="b">
        <f>IF(_xlfn.MAXIFS(Table1[Sl No],Table1[Category],Table1[[#This Row],[Category]],Table1[Execution Year],Table1[[#This Row],[Execution Year]])=Table1[[#This Row],[Sl No]],TRUE,FALSE)</f>
        <v>0</v>
      </c>
      <c r="BV13" s="201">
        <f>SUM(Table1[[#This Row],[Spend - CAN]:[Spend - Sams]])+SUM(Table1[[#This Row],[Spend - Sams Mexico]:[Spend - Sams China]])+Table1[[#This Row],[Spend - IND]]</f>
        <v>184000000</v>
      </c>
      <c r="BW13">
        <f>SUM(Table1[[#This Row],[Savings - CAN]:[Savings - Sams]])+SUM(Table1[[#This Row],[Savings - Sams Mexico]:[Savings - Sams China]])+Table1[[#This Row],[Savings - IND]]</f>
        <v>0</v>
      </c>
      <c r="BX13">
        <f>SUM(Table1[[#This Row],[Spend - CAN]:[Spend - SAF]])+SUM(Table1[[#This Row],[Spend - Sams Mexico]:[Spend - Sams China]])+Table1[[#This Row],[Spend - IND]]</f>
        <v>0</v>
      </c>
      <c r="BY13">
        <f>SUM(Table1[[#This Row],[Savings - CAN]:[Savings - SAF]])+SUM(Table1[[#This Row],[Savings - Sams Mexico]:[Savings - Sams China]])+Table1[[#This Row],[Savings - IND]]</f>
        <v>0</v>
      </c>
      <c r="BZ13">
        <f>SUM(Table1[[#This Row],[Spend - US]:[Spend - Sams]])</f>
        <v>184000000</v>
      </c>
      <c r="CA13">
        <f>SUM(Table1[[#This Row],[Savings - US]:[Savings - Sams]])</f>
        <v>0</v>
      </c>
      <c r="CB13">
        <f>SUM(Table1[[#This Row],[Cost Avoidance - CAN2]:[Cost Avoidance - SAF10]])+SUM(Table1[[#This Row],[Cost Avoidance - Sams Mexico]:[Cost Avoidance - Sams China]])+Table1[[#This Row],[Cost Avoidance - IND]]</f>
        <v>0</v>
      </c>
      <c r="CC13">
        <f>SUM(Table1[[#This Row],[Cost Avoidance - US11]:[Cost Avoidance - Sams12]])</f>
        <v>0</v>
      </c>
      <c r="CD13" t="str">
        <f>_xlfn.XLOOKUP(Table1[[#This Row],[Status]],Status_Lookups[Status],Status_Lookups[Value],"")</f>
        <v/>
      </c>
    </row>
    <row r="14" spans="1:82">
      <c r="A14">
        <v>5</v>
      </c>
      <c r="B14" t="s">
        <v>479</v>
      </c>
      <c r="C14" t="s">
        <v>43</v>
      </c>
      <c r="D14" t="s">
        <v>322</v>
      </c>
      <c r="E14" s="15">
        <v>44774</v>
      </c>
      <c r="F14" s="15">
        <v>44866</v>
      </c>
      <c r="G14" s="15">
        <v>0</v>
      </c>
      <c r="H14" s="15">
        <v>0</v>
      </c>
      <c r="I14" t="s">
        <v>458</v>
      </c>
      <c r="J14">
        <v>0</v>
      </c>
      <c r="K14" t="s">
        <v>474</v>
      </c>
      <c r="L14">
        <v>0</v>
      </c>
      <c r="W14">
        <v>184000000</v>
      </c>
      <c r="X14" t="s">
        <v>78</v>
      </c>
      <c r="Y14" s="16">
        <v>44600.464820023146</v>
      </c>
      <c r="Z14" s="17" t="str">
        <f>_xlfn.XLOOKUP(Table1[[#This Row],[Phase]],'Lookup tables'!$Y$27:$Y$60,'Lookup tables'!$Z$27:$Z$60,"Not Updated")</f>
        <v>Exploratory</v>
      </c>
      <c r="AA14" s="17" t="s">
        <v>624</v>
      </c>
      <c r="AB14">
        <v>0</v>
      </c>
      <c r="AC14">
        <v>0</v>
      </c>
      <c r="AD14">
        <v>0</v>
      </c>
      <c r="AE14">
        <v>0</v>
      </c>
      <c r="AF14">
        <v>0</v>
      </c>
      <c r="AG14">
        <v>0</v>
      </c>
      <c r="AH14">
        <v>0</v>
      </c>
      <c r="AI14">
        <v>0</v>
      </c>
      <c r="AJ14">
        <v>0</v>
      </c>
      <c r="AK14">
        <v>0</v>
      </c>
      <c r="AL14">
        <v>0</v>
      </c>
      <c r="AM14">
        <v>0</v>
      </c>
      <c r="AN14">
        <v>0</v>
      </c>
      <c r="AO14">
        <v>0</v>
      </c>
      <c r="AP14">
        <v>0</v>
      </c>
      <c r="AQ14">
        <v>0</v>
      </c>
      <c r="AR14">
        <v>0</v>
      </c>
      <c r="AS14">
        <v>0</v>
      </c>
      <c r="AT14">
        <v>0</v>
      </c>
      <c r="AU14">
        <v>0</v>
      </c>
      <c r="AV14">
        <v>0</v>
      </c>
      <c r="AW14">
        <v>0</v>
      </c>
      <c r="AX14">
        <v>0</v>
      </c>
      <c r="AY14">
        <v>0</v>
      </c>
      <c r="AZ14">
        <v>0</v>
      </c>
      <c r="BA14">
        <v>0</v>
      </c>
      <c r="BB14">
        <v>0</v>
      </c>
      <c r="BC14">
        <v>0</v>
      </c>
      <c r="BD14">
        <v>0</v>
      </c>
      <c r="BE14">
        <v>0</v>
      </c>
      <c r="BF14">
        <v>0</v>
      </c>
      <c r="BG14" s="185">
        <v>0</v>
      </c>
      <c r="BH14" s="185">
        <v>0</v>
      </c>
      <c r="BI14" s="185">
        <v>0</v>
      </c>
      <c r="BJ14" s="185">
        <v>0</v>
      </c>
      <c r="BK14" s="185">
        <v>0</v>
      </c>
      <c r="BL14" s="185">
        <v>0</v>
      </c>
      <c r="BM14" s="185">
        <v>0</v>
      </c>
      <c r="BN14" s="185">
        <v>0</v>
      </c>
      <c r="BO14" s="185">
        <v>0</v>
      </c>
      <c r="BP14" s="185">
        <v>0</v>
      </c>
      <c r="BQ14" s="185">
        <v>0</v>
      </c>
      <c r="BR14" s="185">
        <v>0</v>
      </c>
      <c r="BS14" s="185">
        <v>0</v>
      </c>
      <c r="BT14" s="185">
        <v>0</v>
      </c>
      <c r="BU14" t="b">
        <f>IF(_xlfn.MAXIFS(Table1[Sl No],Table1[Category],Table1[[#This Row],[Category]],Table1[Execution Year],Table1[[#This Row],[Execution Year]])=Table1[[#This Row],[Sl No]],TRUE,FALSE)</f>
        <v>0</v>
      </c>
      <c r="BV14" s="201">
        <f>SUM(Table1[[#This Row],[Spend - CAN]:[Spend - Sams]])+SUM(Table1[[#This Row],[Spend - Sams Mexico]:[Spend - Sams China]])+Table1[[#This Row],[Spend - IND]]</f>
        <v>184000000</v>
      </c>
      <c r="BW14">
        <f>SUM(Table1[[#This Row],[Savings - CAN]:[Savings - Sams]])+SUM(Table1[[#This Row],[Savings - Sams Mexico]:[Savings - Sams China]])+Table1[[#This Row],[Savings - IND]]</f>
        <v>0</v>
      </c>
      <c r="BX14">
        <f>SUM(Table1[[#This Row],[Spend - CAN]:[Spend - SAF]])+SUM(Table1[[#This Row],[Spend - Sams Mexico]:[Spend - Sams China]])+Table1[[#This Row],[Spend - IND]]</f>
        <v>0</v>
      </c>
      <c r="BY14">
        <f>SUM(Table1[[#This Row],[Savings - CAN]:[Savings - SAF]])+SUM(Table1[[#This Row],[Savings - Sams Mexico]:[Savings - Sams China]])+Table1[[#This Row],[Savings - IND]]</f>
        <v>0</v>
      </c>
      <c r="BZ14">
        <f>SUM(Table1[[#This Row],[Spend - US]:[Spend - Sams]])</f>
        <v>184000000</v>
      </c>
      <c r="CA14">
        <f>SUM(Table1[[#This Row],[Savings - US]:[Savings - Sams]])</f>
        <v>0</v>
      </c>
      <c r="CB14">
        <f>SUM(Table1[[#This Row],[Cost Avoidance - CAN2]:[Cost Avoidance - SAF10]])+SUM(Table1[[#This Row],[Cost Avoidance - Sams Mexico]:[Cost Avoidance - Sams China]])+Table1[[#This Row],[Cost Avoidance - IND]]</f>
        <v>0</v>
      </c>
      <c r="CC14">
        <f>SUM(Table1[[#This Row],[Cost Avoidance - US11]:[Cost Avoidance - Sams12]])</f>
        <v>0</v>
      </c>
      <c r="CD14" t="str">
        <f>_xlfn.XLOOKUP(Table1[[#This Row],[Status]],Status_Lookups[Status],Status_Lookups[Value],"")</f>
        <v/>
      </c>
    </row>
    <row r="15" spans="1:82">
      <c r="A15">
        <v>6</v>
      </c>
      <c r="B15" t="s">
        <v>479</v>
      </c>
      <c r="C15" t="s">
        <v>43</v>
      </c>
      <c r="D15" t="s">
        <v>322</v>
      </c>
      <c r="E15" s="15">
        <v>44774</v>
      </c>
      <c r="F15" s="15">
        <v>44866</v>
      </c>
      <c r="G15" s="15">
        <v>0</v>
      </c>
      <c r="H15" s="15">
        <v>0</v>
      </c>
      <c r="I15" t="s">
        <v>458</v>
      </c>
      <c r="J15">
        <v>0</v>
      </c>
      <c r="K15" t="s">
        <v>474</v>
      </c>
      <c r="L15">
        <v>0</v>
      </c>
      <c r="M15">
        <v>0</v>
      </c>
      <c r="N15">
        <v>0</v>
      </c>
      <c r="O15">
        <v>0</v>
      </c>
      <c r="P15">
        <v>0</v>
      </c>
      <c r="Q15">
        <v>0</v>
      </c>
      <c r="R15">
        <v>0</v>
      </c>
      <c r="S15">
        <v>0</v>
      </c>
      <c r="T15">
        <v>0</v>
      </c>
      <c r="U15">
        <v>0</v>
      </c>
      <c r="V15">
        <v>0</v>
      </c>
      <c r="W15">
        <v>184000000</v>
      </c>
      <c r="X15" t="s">
        <v>78</v>
      </c>
      <c r="Y15" s="16">
        <v>44607.381718287033</v>
      </c>
      <c r="Z15" s="17" t="str">
        <f>_xlfn.XLOOKUP(Table1[[#This Row],[Phase]],'Lookup tables'!$Y$27:$Y$60,'Lookup tables'!$Z$27:$Z$60,"Not Updated")</f>
        <v>Exploratory</v>
      </c>
      <c r="AA15" s="17" t="s">
        <v>624</v>
      </c>
      <c r="AB15">
        <v>0</v>
      </c>
      <c r="AC15">
        <v>0</v>
      </c>
      <c r="AD15">
        <v>0</v>
      </c>
      <c r="AE15">
        <v>0</v>
      </c>
      <c r="AF15">
        <v>0</v>
      </c>
      <c r="AG15">
        <v>0</v>
      </c>
      <c r="AH15">
        <v>0</v>
      </c>
      <c r="AI15">
        <v>0</v>
      </c>
      <c r="AJ15">
        <v>0</v>
      </c>
      <c r="AK15">
        <v>0</v>
      </c>
      <c r="AL15">
        <v>0</v>
      </c>
      <c r="AM15">
        <v>0</v>
      </c>
      <c r="AN15">
        <v>0</v>
      </c>
      <c r="AO15">
        <v>0</v>
      </c>
      <c r="AP15">
        <v>0</v>
      </c>
      <c r="AQ15">
        <v>0</v>
      </c>
      <c r="AR15">
        <v>0</v>
      </c>
      <c r="AS15">
        <v>0</v>
      </c>
      <c r="AT15">
        <v>0</v>
      </c>
      <c r="AU15">
        <v>0</v>
      </c>
      <c r="AV15">
        <v>0</v>
      </c>
      <c r="AW15">
        <v>0</v>
      </c>
      <c r="AX15">
        <v>0</v>
      </c>
      <c r="AY15">
        <v>0</v>
      </c>
      <c r="AZ15">
        <v>0</v>
      </c>
      <c r="BA15">
        <v>0</v>
      </c>
      <c r="BB15">
        <v>0</v>
      </c>
      <c r="BC15">
        <v>0</v>
      </c>
      <c r="BD15">
        <v>0</v>
      </c>
      <c r="BE15">
        <v>0</v>
      </c>
      <c r="BF15">
        <v>0</v>
      </c>
      <c r="BG15" s="185">
        <v>0</v>
      </c>
      <c r="BH15" s="185">
        <v>0</v>
      </c>
      <c r="BI15" s="185">
        <v>0</v>
      </c>
      <c r="BJ15" s="185">
        <v>0</v>
      </c>
      <c r="BK15" s="185">
        <v>0</v>
      </c>
      <c r="BL15" s="185">
        <v>0</v>
      </c>
      <c r="BM15" s="185">
        <v>0</v>
      </c>
      <c r="BN15" s="185">
        <v>0</v>
      </c>
      <c r="BO15" s="185">
        <v>0</v>
      </c>
      <c r="BP15" s="185">
        <v>0</v>
      </c>
      <c r="BQ15" s="185">
        <v>0</v>
      </c>
      <c r="BR15" s="185">
        <v>0</v>
      </c>
      <c r="BS15" s="185">
        <v>0</v>
      </c>
      <c r="BT15" s="185">
        <v>0</v>
      </c>
      <c r="BU15" t="b">
        <f>IF(_xlfn.MAXIFS(Table1[Sl No],Table1[Category],Table1[[#This Row],[Category]],Table1[Execution Year],Table1[[#This Row],[Execution Year]])=Table1[[#This Row],[Sl No]],TRUE,FALSE)</f>
        <v>0</v>
      </c>
      <c r="BV15" s="201">
        <f>SUM(Table1[[#This Row],[Spend - CAN]:[Spend - Sams]])+SUM(Table1[[#This Row],[Spend - Sams Mexico]:[Spend - Sams China]])+Table1[[#This Row],[Spend - IND]]</f>
        <v>184000000</v>
      </c>
      <c r="BW15">
        <f>SUM(Table1[[#This Row],[Savings - CAN]:[Savings - Sams]])+SUM(Table1[[#This Row],[Savings - Sams Mexico]:[Savings - Sams China]])+Table1[[#This Row],[Savings - IND]]</f>
        <v>0</v>
      </c>
      <c r="BX15">
        <f>SUM(Table1[[#This Row],[Spend - CAN]:[Spend - SAF]])+SUM(Table1[[#This Row],[Spend - Sams Mexico]:[Spend - Sams China]])+Table1[[#This Row],[Spend - IND]]</f>
        <v>0</v>
      </c>
      <c r="BY15">
        <f>SUM(Table1[[#This Row],[Savings - CAN]:[Savings - SAF]])+SUM(Table1[[#This Row],[Savings - Sams Mexico]:[Savings - Sams China]])+Table1[[#This Row],[Savings - IND]]</f>
        <v>0</v>
      </c>
      <c r="BZ15">
        <f>SUM(Table1[[#This Row],[Spend - US]:[Spend - Sams]])</f>
        <v>184000000</v>
      </c>
      <c r="CA15">
        <f>SUM(Table1[[#This Row],[Savings - US]:[Savings - Sams]])</f>
        <v>0</v>
      </c>
      <c r="CB15">
        <f>SUM(Table1[[#This Row],[Cost Avoidance - CAN2]:[Cost Avoidance - SAF10]])+SUM(Table1[[#This Row],[Cost Avoidance - Sams Mexico]:[Cost Avoidance - Sams China]])+Table1[[#This Row],[Cost Avoidance - IND]]</f>
        <v>0</v>
      </c>
      <c r="CC15">
        <f>SUM(Table1[[#This Row],[Cost Avoidance - US11]:[Cost Avoidance - Sams12]])</f>
        <v>0</v>
      </c>
      <c r="CD15" t="str">
        <f>_xlfn.XLOOKUP(Table1[[#This Row],[Status]],Status_Lookups[Status],Status_Lookups[Value],"")</f>
        <v/>
      </c>
    </row>
    <row r="16" spans="1:82">
      <c r="A16">
        <v>7</v>
      </c>
      <c r="B16" t="s">
        <v>479</v>
      </c>
      <c r="C16" t="s">
        <v>43</v>
      </c>
      <c r="D16" t="s">
        <v>322</v>
      </c>
      <c r="E16" s="15">
        <v>44835</v>
      </c>
      <c r="F16" s="15">
        <v>44926</v>
      </c>
      <c r="G16" s="15">
        <v>0</v>
      </c>
      <c r="H16" s="15">
        <v>0</v>
      </c>
      <c r="I16" t="s">
        <v>458</v>
      </c>
      <c r="J16">
        <v>0</v>
      </c>
      <c r="K16" t="s">
        <v>474</v>
      </c>
      <c r="L16">
        <v>0</v>
      </c>
      <c r="M16">
        <v>0</v>
      </c>
      <c r="N16">
        <v>0</v>
      </c>
      <c r="O16">
        <v>0</v>
      </c>
      <c r="P16">
        <v>0</v>
      </c>
      <c r="Q16">
        <v>0</v>
      </c>
      <c r="R16">
        <v>0</v>
      </c>
      <c r="S16">
        <v>0</v>
      </c>
      <c r="T16">
        <v>0</v>
      </c>
      <c r="U16">
        <v>0</v>
      </c>
      <c r="V16">
        <v>0</v>
      </c>
      <c r="W16">
        <v>184000000</v>
      </c>
      <c r="X16" t="s">
        <v>78</v>
      </c>
      <c r="Y16" s="16">
        <v>44677.556369560189</v>
      </c>
      <c r="Z16" s="17" t="str">
        <f>_xlfn.XLOOKUP(Table1[[#This Row],[Phase]],'Lookup tables'!$Y$27:$Y$60,'Lookup tables'!$Z$27:$Z$60,"Not Updated")</f>
        <v>Exploratory</v>
      </c>
      <c r="AA16" s="17" t="s">
        <v>624</v>
      </c>
      <c r="AB16">
        <v>0</v>
      </c>
      <c r="AC16">
        <v>0</v>
      </c>
      <c r="AD16">
        <v>0</v>
      </c>
      <c r="AE16">
        <v>0</v>
      </c>
      <c r="AF16">
        <v>0</v>
      </c>
      <c r="AG16">
        <v>0</v>
      </c>
      <c r="AH16">
        <v>0</v>
      </c>
      <c r="AI16">
        <v>0</v>
      </c>
      <c r="AJ16">
        <v>0</v>
      </c>
      <c r="AK16">
        <v>0</v>
      </c>
      <c r="AL16">
        <v>0</v>
      </c>
      <c r="AM16">
        <v>0</v>
      </c>
      <c r="AN16">
        <v>0</v>
      </c>
      <c r="AO16">
        <v>0</v>
      </c>
      <c r="AP16">
        <v>0</v>
      </c>
      <c r="AQ16">
        <v>0</v>
      </c>
      <c r="AR16">
        <v>0</v>
      </c>
      <c r="AS16">
        <v>0</v>
      </c>
      <c r="AT16">
        <v>0</v>
      </c>
      <c r="AU16">
        <v>0</v>
      </c>
      <c r="AV16">
        <v>0</v>
      </c>
      <c r="AW16">
        <v>0</v>
      </c>
      <c r="AX16">
        <v>0</v>
      </c>
      <c r="AY16">
        <v>0</v>
      </c>
      <c r="AZ16">
        <v>0</v>
      </c>
      <c r="BA16">
        <v>0</v>
      </c>
      <c r="BB16">
        <v>0</v>
      </c>
      <c r="BC16">
        <v>0</v>
      </c>
      <c r="BD16">
        <v>0</v>
      </c>
      <c r="BE16">
        <v>0</v>
      </c>
      <c r="BF16">
        <v>0</v>
      </c>
      <c r="BG16" s="185">
        <v>0</v>
      </c>
      <c r="BH16" s="185">
        <v>0</v>
      </c>
      <c r="BI16" s="185">
        <v>0</v>
      </c>
      <c r="BJ16" s="185">
        <v>0</v>
      </c>
      <c r="BK16" s="185">
        <v>0</v>
      </c>
      <c r="BL16" s="185">
        <v>0</v>
      </c>
      <c r="BM16" s="185">
        <v>0</v>
      </c>
      <c r="BN16" s="185">
        <v>0</v>
      </c>
      <c r="BO16" s="185">
        <v>0</v>
      </c>
      <c r="BP16" s="185">
        <v>0</v>
      </c>
      <c r="BQ16" s="185">
        <v>0</v>
      </c>
      <c r="BR16" s="185">
        <v>0</v>
      </c>
      <c r="BS16" s="185">
        <v>0</v>
      </c>
      <c r="BT16" s="185">
        <v>0</v>
      </c>
      <c r="BU16" t="b">
        <f>IF(_xlfn.MAXIFS(Table1[Sl No],Table1[Category],Table1[[#This Row],[Category]],Table1[Execution Year],Table1[[#This Row],[Execution Year]])=Table1[[#This Row],[Sl No]],TRUE,FALSE)</f>
        <v>1</v>
      </c>
      <c r="BV16" s="201">
        <f>SUM(Table1[[#This Row],[Spend - CAN]:[Spend - Sams]])+SUM(Table1[[#This Row],[Spend - Sams Mexico]:[Spend - Sams China]])+Table1[[#This Row],[Spend - IND]]</f>
        <v>184000000</v>
      </c>
      <c r="BW16">
        <f>SUM(Table1[[#This Row],[Savings - CAN]:[Savings - Sams]])+SUM(Table1[[#This Row],[Savings - Sams Mexico]:[Savings - Sams China]])+Table1[[#This Row],[Savings - IND]]</f>
        <v>0</v>
      </c>
      <c r="BX16">
        <f>SUM(Table1[[#This Row],[Spend - CAN]:[Spend - SAF]])+SUM(Table1[[#This Row],[Spend - Sams Mexico]:[Spend - Sams China]])+Table1[[#This Row],[Spend - IND]]</f>
        <v>0</v>
      </c>
      <c r="BY16">
        <f>SUM(Table1[[#This Row],[Savings - CAN]:[Savings - SAF]])+SUM(Table1[[#This Row],[Savings - Sams Mexico]:[Savings - Sams China]])+Table1[[#This Row],[Savings - IND]]</f>
        <v>0</v>
      </c>
      <c r="BZ16">
        <f>SUM(Table1[[#This Row],[Spend - US]:[Spend - Sams]])</f>
        <v>184000000</v>
      </c>
      <c r="CA16">
        <f>SUM(Table1[[#This Row],[Savings - US]:[Savings - Sams]])</f>
        <v>0</v>
      </c>
      <c r="CB16">
        <f>SUM(Table1[[#This Row],[Cost Avoidance - CAN2]:[Cost Avoidance - SAF10]])+SUM(Table1[[#This Row],[Cost Avoidance - Sams Mexico]:[Cost Avoidance - Sams China]])+Table1[[#This Row],[Cost Avoidance - IND]]</f>
        <v>0</v>
      </c>
      <c r="CC16">
        <f>SUM(Table1[[#This Row],[Cost Avoidance - US11]:[Cost Avoidance - Sams12]])</f>
        <v>0</v>
      </c>
      <c r="CD16" t="str">
        <f>_xlfn.XLOOKUP(Table1[[#This Row],[Status]],Status_Lookups[Status],Status_Lookups[Value],"")</f>
        <v/>
      </c>
    </row>
    <row r="17" spans="1:82">
      <c r="A17">
        <v>1</v>
      </c>
      <c r="B17" t="s">
        <v>495</v>
      </c>
      <c r="C17" t="s">
        <v>33</v>
      </c>
      <c r="D17" t="s">
        <v>322</v>
      </c>
      <c r="E17" s="15">
        <v>44593</v>
      </c>
      <c r="F17" s="15">
        <v>44711</v>
      </c>
      <c r="G17" s="15"/>
      <c r="H17" s="15"/>
      <c r="I17" t="s">
        <v>413</v>
      </c>
      <c r="J17" t="s">
        <v>459</v>
      </c>
      <c r="K17" t="s">
        <v>496</v>
      </c>
      <c r="X17" t="s">
        <v>47</v>
      </c>
      <c r="Y17" s="16">
        <v>44701.387036342596</v>
      </c>
      <c r="Z17" s="17" t="str">
        <f>_xlfn.XLOOKUP(Table1[[#This Row],[Phase]],'Lookup tables'!$Y$27:$Y$60,'Lookup tables'!$Z$27:$Z$60,"Not Updated")</f>
        <v>Bid Prep</v>
      </c>
      <c r="AA17" s="17"/>
      <c r="BG17" s="185"/>
      <c r="BH17" s="185"/>
      <c r="BI17" s="185"/>
      <c r="BJ17" s="185"/>
      <c r="BK17" s="185"/>
      <c r="BL17" s="185"/>
      <c r="BM17" s="185"/>
      <c r="BN17" s="185"/>
      <c r="BO17" s="185"/>
      <c r="BP17" s="185"/>
      <c r="BQ17" s="185"/>
      <c r="BR17" s="185"/>
      <c r="BS17" s="185"/>
      <c r="BT17" s="185"/>
      <c r="BU17" t="b">
        <f>IF(_xlfn.MAXIFS(Table1[Sl No],Table1[Category],Table1[[#This Row],[Category]],Table1[Execution Year],Table1[[#This Row],[Execution Year]])=Table1[[#This Row],[Sl No]],TRUE,FALSE)</f>
        <v>1</v>
      </c>
      <c r="BV17" s="201">
        <f>SUM(Table1[[#This Row],[Spend - CAN]:[Spend - Sams]])+SUM(Table1[[#This Row],[Spend - Sams Mexico]:[Spend - Sams China]])+Table1[[#This Row],[Spend - IND]]</f>
        <v>0</v>
      </c>
      <c r="BW17">
        <f>SUM(Table1[[#This Row],[Savings - CAN]:[Savings - Sams]])+SUM(Table1[[#This Row],[Savings - Sams Mexico]:[Savings - Sams China]])+Table1[[#This Row],[Savings - IND]]</f>
        <v>0</v>
      </c>
      <c r="BX17">
        <f>SUM(Table1[[#This Row],[Spend - CAN]:[Spend - SAF]])+SUM(Table1[[#This Row],[Spend - Sams Mexico]:[Spend - Sams China]])+Table1[[#This Row],[Spend - IND]]</f>
        <v>0</v>
      </c>
      <c r="BY17">
        <f>SUM(Table1[[#This Row],[Savings - CAN]:[Savings - SAF]])+SUM(Table1[[#This Row],[Savings - Sams Mexico]:[Savings - Sams China]])+Table1[[#This Row],[Savings - IND]]</f>
        <v>0</v>
      </c>
      <c r="BZ17">
        <f>SUM(Table1[[#This Row],[Spend - US]:[Spend - Sams]])</f>
        <v>0</v>
      </c>
      <c r="CA17">
        <f>SUM(Table1[[#This Row],[Savings - US]:[Savings - Sams]])</f>
        <v>0</v>
      </c>
      <c r="CB17">
        <f>SUM(Table1[[#This Row],[Cost Avoidance - CAN2]:[Cost Avoidance - SAF10]])+SUM(Table1[[#This Row],[Cost Avoidance - Sams Mexico]:[Cost Avoidance - Sams China]])+Table1[[#This Row],[Cost Avoidance - IND]]</f>
        <v>0</v>
      </c>
      <c r="CC17">
        <f>SUM(Table1[[#This Row],[Cost Avoidance - US11]:[Cost Avoidance - Sams12]])</f>
        <v>0</v>
      </c>
      <c r="CD17">
        <f>_xlfn.XLOOKUP(Table1[[#This Row],[Status]],Status_Lookups[Status],Status_Lookups[Value],"")</f>
        <v>0.3</v>
      </c>
    </row>
    <row r="18" spans="1:82">
      <c r="A18">
        <v>1</v>
      </c>
      <c r="B18" t="s">
        <v>513</v>
      </c>
      <c r="C18" t="s">
        <v>33</v>
      </c>
      <c r="D18" t="s">
        <v>322</v>
      </c>
      <c r="E18" s="15">
        <v>44682</v>
      </c>
      <c r="F18" s="15">
        <v>44772</v>
      </c>
      <c r="G18" s="15"/>
      <c r="H18" s="15"/>
      <c r="I18" t="s">
        <v>135</v>
      </c>
      <c r="J18" t="s">
        <v>459</v>
      </c>
      <c r="K18" t="s">
        <v>514</v>
      </c>
      <c r="X18" t="s">
        <v>47</v>
      </c>
      <c r="Y18" s="16">
        <v>44701.387036342596</v>
      </c>
      <c r="Z18" s="17" t="str">
        <f>_xlfn.XLOOKUP(Table1[[#This Row],[Phase]],'Lookup tables'!$Y$27:$Y$60,'Lookup tables'!$Z$27:$Z$60,"Not Updated")</f>
        <v>Pipeline</v>
      </c>
      <c r="AA18" s="17"/>
      <c r="BG18" s="185"/>
      <c r="BH18" s="185"/>
      <c r="BI18" s="185"/>
      <c r="BJ18" s="185"/>
      <c r="BK18" s="185"/>
      <c r="BL18" s="185"/>
      <c r="BM18" s="185"/>
      <c r="BN18" s="185"/>
      <c r="BO18" s="185"/>
      <c r="BP18" s="185"/>
      <c r="BQ18" s="185"/>
      <c r="BR18" s="185"/>
      <c r="BS18" s="185"/>
      <c r="BT18" s="185"/>
      <c r="BU18" t="b">
        <f>IF(_xlfn.MAXIFS(Table1[Sl No],Table1[Category],Table1[[#This Row],[Category]],Table1[Execution Year],Table1[[#This Row],[Execution Year]])=Table1[[#This Row],[Sl No]],TRUE,FALSE)</f>
        <v>1</v>
      </c>
      <c r="BV18" s="201">
        <f>SUM(Table1[[#This Row],[Spend - CAN]:[Spend - Sams]])+SUM(Table1[[#This Row],[Spend - Sams Mexico]:[Spend - Sams China]])+Table1[[#This Row],[Spend - IND]]</f>
        <v>0</v>
      </c>
      <c r="BW18">
        <f>SUM(Table1[[#This Row],[Savings - CAN]:[Savings - Sams]])+SUM(Table1[[#This Row],[Savings - Sams Mexico]:[Savings - Sams China]])+Table1[[#This Row],[Savings - IND]]</f>
        <v>0</v>
      </c>
      <c r="BX18">
        <f>SUM(Table1[[#This Row],[Spend - CAN]:[Spend - SAF]])+SUM(Table1[[#This Row],[Spend - Sams Mexico]:[Spend - Sams China]])+Table1[[#This Row],[Spend - IND]]</f>
        <v>0</v>
      </c>
      <c r="BY18">
        <f>SUM(Table1[[#This Row],[Savings - CAN]:[Savings - SAF]])+SUM(Table1[[#This Row],[Savings - Sams Mexico]:[Savings - Sams China]])+Table1[[#This Row],[Savings - IND]]</f>
        <v>0</v>
      </c>
      <c r="BZ18">
        <f>SUM(Table1[[#This Row],[Spend - US]:[Spend - Sams]])</f>
        <v>0</v>
      </c>
      <c r="CA18">
        <f>SUM(Table1[[#This Row],[Savings - US]:[Savings - Sams]])</f>
        <v>0</v>
      </c>
      <c r="CB18">
        <f>SUM(Table1[[#This Row],[Cost Avoidance - CAN2]:[Cost Avoidance - SAF10]])+SUM(Table1[[#This Row],[Cost Avoidance - Sams Mexico]:[Cost Avoidance - Sams China]])+Table1[[#This Row],[Cost Avoidance - IND]]</f>
        <v>0</v>
      </c>
      <c r="CC18">
        <f>SUM(Table1[[#This Row],[Cost Avoidance - US11]:[Cost Avoidance - Sams12]])</f>
        <v>0</v>
      </c>
      <c r="CD18">
        <f>_xlfn.XLOOKUP(Table1[[#This Row],[Status]],Status_Lookups[Status],Status_Lookups[Value],"")</f>
        <v>0.3</v>
      </c>
    </row>
    <row r="19" spans="1:82">
      <c r="A19">
        <v>1</v>
      </c>
      <c r="B19" t="s">
        <v>48</v>
      </c>
      <c r="C19" t="s">
        <v>33</v>
      </c>
      <c r="D19" t="s">
        <v>322</v>
      </c>
      <c r="E19" s="15">
        <v>44805</v>
      </c>
      <c r="F19" s="15">
        <v>44895</v>
      </c>
      <c r="G19" s="15"/>
      <c r="H19" s="15"/>
      <c r="I19" t="s">
        <v>135</v>
      </c>
      <c r="J19" t="s">
        <v>459</v>
      </c>
      <c r="K19" t="s">
        <v>490</v>
      </c>
      <c r="X19" t="s">
        <v>47</v>
      </c>
      <c r="Y19" s="16">
        <v>44701.387036342596</v>
      </c>
      <c r="Z19" s="17" t="str">
        <f>_xlfn.XLOOKUP(Table1[[#This Row],[Phase]],'Lookup tables'!$Y$27:$Y$60,'Lookup tables'!$Z$27:$Z$60,"Not Updated")</f>
        <v>Pipeline</v>
      </c>
      <c r="AA19" s="17"/>
      <c r="BG19" s="185"/>
      <c r="BH19" s="185"/>
      <c r="BI19" s="185"/>
      <c r="BJ19" s="185"/>
      <c r="BK19" s="185"/>
      <c r="BL19" s="185"/>
      <c r="BM19" s="185"/>
      <c r="BN19" s="185"/>
      <c r="BO19" s="185"/>
      <c r="BP19" s="185"/>
      <c r="BQ19" s="185"/>
      <c r="BR19" s="185"/>
      <c r="BS19" s="185"/>
      <c r="BT19" s="185"/>
      <c r="BU19" t="b">
        <f>IF(_xlfn.MAXIFS(Table1[Sl No],Table1[Category],Table1[[#This Row],[Category]],Table1[Execution Year],Table1[[#This Row],[Execution Year]])=Table1[[#This Row],[Sl No]],TRUE,FALSE)</f>
        <v>0</v>
      </c>
      <c r="BV19" s="201">
        <f>SUM(Table1[[#This Row],[Spend - CAN]:[Spend - Sams]])+SUM(Table1[[#This Row],[Spend - Sams Mexico]:[Spend - Sams China]])+Table1[[#This Row],[Spend - IND]]</f>
        <v>0</v>
      </c>
      <c r="BW19">
        <f>SUM(Table1[[#This Row],[Savings - CAN]:[Savings - Sams]])+SUM(Table1[[#This Row],[Savings - Sams Mexico]:[Savings - Sams China]])+Table1[[#This Row],[Savings - IND]]</f>
        <v>0</v>
      </c>
      <c r="BX19">
        <f>SUM(Table1[[#This Row],[Spend - CAN]:[Spend - SAF]])+SUM(Table1[[#This Row],[Spend - Sams Mexico]:[Spend - Sams China]])+Table1[[#This Row],[Spend - IND]]</f>
        <v>0</v>
      </c>
      <c r="BY19">
        <f>SUM(Table1[[#This Row],[Savings - CAN]:[Savings - SAF]])+SUM(Table1[[#This Row],[Savings - Sams Mexico]:[Savings - Sams China]])+Table1[[#This Row],[Savings - IND]]</f>
        <v>0</v>
      </c>
      <c r="BZ19">
        <f>SUM(Table1[[#This Row],[Spend - US]:[Spend - Sams]])</f>
        <v>0</v>
      </c>
      <c r="CA19">
        <f>SUM(Table1[[#This Row],[Savings - US]:[Savings - Sams]])</f>
        <v>0</v>
      </c>
      <c r="CB19">
        <f>SUM(Table1[[#This Row],[Cost Avoidance - CAN2]:[Cost Avoidance - SAF10]])+SUM(Table1[[#This Row],[Cost Avoidance - Sams Mexico]:[Cost Avoidance - Sams China]])+Table1[[#This Row],[Cost Avoidance - IND]]</f>
        <v>0</v>
      </c>
      <c r="CC19">
        <f>SUM(Table1[[#This Row],[Cost Avoidance - US11]:[Cost Avoidance - Sams12]])</f>
        <v>0</v>
      </c>
      <c r="CD19">
        <f>_xlfn.XLOOKUP(Table1[[#This Row],[Status]],Status_Lookups[Status],Status_Lookups[Value],"")</f>
        <v>0.3</v>
      </c>
    </row>
    <row r="20" spans="1:82">
      <c r="A20">
        <v>2</v>
      </c>
      <c r="B20" t="s">
        <v>48</v>
      </c>
      <c r="C20" t="s">
        <v>33</v>
      </c>
      <c r="D20" t="s">
        <v>322</v>
      </c>
      <c r="E20" s="15">
        <v>44805</v>
      </c>
      <c r="F20" s="15">
        <v>44895</v>
      </c>
      <c r="G20" s="15">
        <v>0</v>
      </c>
      <c r="H20" s="15">
        <v>0</v>
      </c>
      <c r="I20" t="s">
        <v>135</v>
      </c>
      <c r="J20" t="s">
        <v>459</v>
      </c>
      <c r="K20" t="s">
        <v>516</v>
      </c>
      <c r="L20">
        <v>0</v>
      </c>
      <c r="M20">
        <v>0</v>
      </c>
      <c r="N20">
        <v>0</v>
      </c>
      <c r="O20">
        <v>0</v>
      </c>
      <c r="P20">
        <v>0</v>
      </c>
      <c r="Q20">
        <v>0</v>
      </c>
      <c r="R20">
        <v>0</v>
      </c>
      <c r="S20">
        <v>0</v>
      </c>
      <c r="T20">
        <v>0</v>
      </c>
      <c r="U20">
        <v>0</v>
      </c>
      <c r="V20">
        <v>0</v>
      </c>
      <c r="W20">
        <v>0</v>
      </c>
      <c r="X20" t="s">
        <v>490</v>
      </c>
      <c r="Y20" s="16">
        <v>44729.61650034722</v>
      </c>
      <c r="Z20" s="17" t="str">
        <f>_xlfn.XLOOKUP(Table1[[#This Row],[Phase]],'Lookup tables'!$Y$27:$Y$60,'Lookup tables'!$Z$27:$Z$60,"Not Updated")</f>
        <v>Pipeline</v>
      </c>
      <c r="AA20" s="17">
        <v>0</v>
      </c>
      <c r="AB20">
        <v>0</v>
      </c>
      <c r="AC20">
        <v>0</v>
      </c>
      <c r="AD20">
        <v>0</v>
      </c>
      <c r="AE20">
        <v>0</v>
      </c>
      <c r="AF20">
        <v>0</v>
      </c>
      <c r="AG20">
        <v>0</v>
      </c>
      <c r="AH20">
        <v>0</v>
      </c>
      <c r="AI20">
        <v>0</v>
      </c>
      <c r="AJ20">
        <v>0</v>
      </c>
      <c r="AK20">
        <v>0</v>
      </c>
      <c r="AL20">
        <v>0</v>
      </c>
      <c r="AM20">
        <v>0</v>
      </c>
      <c r="AN20">
        <v>0</v>
      </c>
      <c r="AO20">
        <v>0</v>
      </c>
      <c r="AP20">
        <v>0</v>
      </c>
      <c r="AQ20">
        <v>0</v>
      </c>
      <c r="AR20">
        <v>0</v>
      </c>
      <c r="AS20">
        <v>0</v>
      </c>
      <c r="AT20">
        <v>0</v>
      </c>
      <c r="AU20">
        <v>0</v>
      </c>
      <c r="AV20">
        <v>0</v>
      </c>
      <c r="AW20">
        <v>0</v>
      </c>
      <c r="AX20">
        <v>0</v>
      </c>
      <c r="AY20">
        <v>0</v>
      </c>
      <c r="AZ20">
        <v>0</v>
      </c>
      <c r="BA20">
        <v>0</v>
      </c>
      <c r="BB20">
        <v>0</v>
      </c>
      <c r="BC20">
        <v>0</v>
      </c>
      <c r="BD20">
        <v>0</v>
      </c>
      <c r="BE20">
        <v>0</v>
      </c>
      <c r="BF20">
        <v>0</v>
      </c>
      <c r="BG20" s="185">
        <v>0</v>
      </c>
      <c r="BH20" s="185">
        <v>0</v>
      </c>
      <c r="BI20" s="185">
        <v>0</v>
      </c>
      <c r="BJ20" s="185">
        <v>0</v>
      </c>
      <c r="BK20" s="185">
        <v>0</v>
      </c>
      <c r="BL20" s="185">
        <v>0</v>
      </c>
      <c r="BM20" s="185">
        <v>0</v>
      </c>
      <c r="BN20" s="185">
        <v>0</v>
      </c>
      <c r="BO20" s="185">
        <v>0</v>
      </c>
      <c r="BP20" s="185">
        <v>0</v>
      </c>
      <c r="BQ20" s="185">
        <v>0</v>
      </c>
      <c r="BR20" s="185">
        <v>0</v>
      </c>
      <c r="BS20" s="185">
        <v>0</v>
      </c>
      <c r="BT20" s="185">
        <v>0</v>
      </c>
      <c r="BU20" t="b">
        <f>IF(_xlfn.MAXIFS(Table1[Sl No],Table1[Category],Table1[[#This Row],[Category]],Table1[Execution Year],Table1[[#This Row],[Execution Year]])=Table1[[#This Row],[Sl No]],TRUE,FALSE)</f>
        <v>0</v>
      </c>
      <c r="BV20" s="201">
        <f>SUM(Table1[[#This Row],[Spend - CAN]:[Spend - Sams]])+SUM(Table1[[#This Row],[Spend - Sams Mexico]:[Spend - Sams China]])+Table1[[#This Row],[Spend - IND]]</f>
        <v>0</v>
      </c>
      <c r="BW20">
        <f>SUM(Table1[[#This Row],[Savings - CAN]:[Savings - Sams]])+SUM(Table1[[#This Row],[Savings - Sams Mexico]:[Savings - Sams China]])+Table1[[#This Row],[Savings - IND]]</f>
        <v>0</v>
      </c>
      <c r="BX20">
        <f>SUM(Table1[[#This Row],[Spend - CAN]:[Spend - SAF]])+SUM(Table1[[#This Row],[Spend - Sams Mexico]:[Spend - Sams China]])+Table1[[#This Row],[Spend - IND]]</f>
        <v>0</v>
      </c>
      <c r="BY20">
        <f>SUM(Table1[[#This Row],[Savings - CAN]:[Savings - SAF]])+SUM(Table1[[#This Row],[Savings - Sams Mexico]:[Savings - Sams China]])+Table1[[#This Row],[Savings - IND]]</f>
        <v>0</v>
      </c>
      <c r="BZ20">
        <f>SUM(Table1[[#This Row],[Spend - US]:[Spend - Sams]])</f>
        <v>0</v>
      </c>
      <c r="CA20">
        <f>SUM(Table1[[#This Row],[Savings - US]:[Savings - Sams]])</f>
        <v>0</v>
      </c>
      <c r="CB20">
        <f>SUM(Table1[[#This Row],[Cost Avoidance - CAN2]:[Cost Avoidance - SAF10]])+SUM(Table1[[#This Row],[Cost Avoidance - Sams Mexico]:[Cost Avoidance - Sams China]])+Table1[[#This Row],[Cost Avoidance - IND]]</f>
        <v>0</v>
      </c>
      <c r="CC20">
        <f>SUM(Table1[[#This Row],[Cost Avoidance - US11]:[Cost Avoidance - Sams12]])</f>
        <v>0</v>
      </c>
      <c r="CD20">
        <f>_xlfn.XLOOKUP(Table1[[#This Row],[Status]],Status_Lookups[Status],Status_Lookups[Value],"")</f>
        <v>0.3</v>
      </c>
    </row>
    <row r="21" spans="1:82">
      <c r="A21">
        <v>3</v>
      </c>
      <c r="B21" t="s">
        <v>48</v>
      </c>
      <c r="C21" t="s">
        <v>33</v>
      </c>
      <c r="D21" t="s">
        <v>322</v>
      </c>
      <c r="E21" s="15">
        <v>44713</v>
      </c>
      <c r="F21" s="15">
        <v>44773</v>
      </c>
      <c r="G21" s="15">
        <v>0</v>
      </c>
      <c r="H21" s="15">
        <v>0</v>
      </c>
      <c r="I21" t="s">
        <v>135</v>
      </c>
      <c r="J21" t="s">
        <v>459</v>
      </c>
      <c r="K21" t="s">
        <v>516</v>
      </c>
      <c r="L21">
        <v>0</v>
      </c>
      <c r="M21">
        <v>0</v>
      </c>
      <c r="N21">
        <v>0</v>
      </c>
      <c r="O21">
        <v>0</v>
      </c>
      <c r="P21">
        <v>0</v>
      </c>
      <c r="Q21">
        <v>0</v>
      </c>
      <c r="R21">
        <v>0</v>
      </c>
      <c r="S21">
        <v>0</v>
      </c>
      <c r="T21">
        <v>0</v>
      </c>
      <c r="U21">
        <v>0</v>
      </c>
      <c r="V21">
        <v>0</v>
      </c>
      <c r="W21">
        <v>0</v>
      </c>
      <c r="X21" t="s">
        <v>516</v>
      </c>
      <c r="Y21" s="16">
        <v>44729.619995023146</v>
      </c>
      <c r="Z21" s="17" t="str">
        <f>_xlfn.XLOOKUP(Table1[[#This Row],[Phase]],'Lookup tables'!$Y$27:$Y$60,'Lookup tables'!$Z$27:$Z$60,"Not Updated")</f>
        <v>Pipeline</v>
      </c>
      <c r="AA21" s="17">
        <v>0</v>
      </c>
      <c r="AB21">
        <v>0</v>
      </c>
      <c r="AC21">
        <v>0</v>
      </c>
      <c r="AD21">
        <v>0</v>
      </c>
      <c r="AE21">
        <v>0</v>
      </c>
      <c r="AF21">
        <v>0</v>
      </c>
      <c r="AG21">
        <v>0</v>
      </c>
      <c r="AH21">
        <v>0</v>
      </c>
      <c r="AI21">
        <v>0</v>
      </c>
      <c r="AJ21">
        <v>0</v>
      </c>
      <c r="AK21">
        <v>0</v>
      </c>
      <c r="AL21">
        <v>0</v>
      </c>
      <c r="AM21">
        <v>0</v>
      </c>
      <c r="AN21">
        <v>0</v>
      </c>
      <c r="AO21">
        <v>0</v>
      </c>
      <c r="AP21">
        <v>0</v>
      </c>
      <c r="AQ21">
        <v>0</v>
      </c>
      <c r="AR21">
        <v>0</v>
      </c>
      <c r="AS21">
        <v>0</v>
      </c>
      <c r="AT21">
        <v>0</v>
      </c>
      <c r="AU21">
        <v>0</v>
      </c>
      <c r="AV21">
        <v>0</v>
      </c>
      <c r="AW21">
        <v>0</v>
      </c>
      <c r="AX21">
        <v>0</v>
      </c>
      <c r="AY21">
        <v>0</v>
      </c>
      <c r="AZ21">
        <v>0</v>
      </c>
      <c r="BA21">
        <v>0</v>
      </c>
      <c r="BB21">
        <v>0</v>
      </c>
      <c r="BC21">
        <v>0</v>
      </c>
      <c r="BD21">
        <v>0</v>
      </c>
      <c r="BE21">
        <v>0</v>
      </c>
      <c r="BF21">
        <v>0</v>
      </c>
      <c r="BG21" s="185">
        <v>0</v>
      </c>
      <c r="BH21" s="185">
        <v>0</v>
      </c>
      <c r="BI21" s="185">
        <v>0</v>
      </c>
      <c r="BJ21" s="185">
        <v>0</v>
      </c>
      <c r="BK21" s="185">
        <v>0</v>
      </c>
      <c r="BL21" s="185">
        <v>0</v>
      </c>
      <c r="BM21" s="185">
        <v>0</v>
      </c>
      <c r="BN21" s="185">
        <v>0</v>
      </c>
      <c r="BO21" s="185">
        <v>0</v>
      </c>
      <c r="BP21" s="185">
        <v>0</v>
      </c>
      <c r="BQ21" s="185">
        <v>0</v>
      </c>
      <c r="BR21" s="185">
        <v>0</v>
      </c>
      <c r="BS21" s="185">
        <v>0</v>
      </c>
      <c r="BT21" s="185">
        <v>0</v>
      </c>
      <c r="BU21" t="b">
        <f>IF(_xlfn.MAXIFS(Table1[Sl No],Table1[Category],Table1[[#This Row],[Category]],Table1[Execution Year],Table1[[#This Row],[Execution Year]])=Table1[[#This Row],[Sl No]],TRUE,FALSE)</f>
        <v>0</v>
      </c>
      <c r="BV21" s="201">
        <f>SUM(Table1[[#This Row],[Spend - CAN]:[Spend - Sams]])+SUM(Table1[[#This Row],[Spend - Sams Mexico]:[Spend - Sams China]])+Table1[[#This Row],[Spend - IND]]</f>
        <v>0</v>
      </c>
      <c r="BW21">
        <f>SUM(Table1[[#This Row],[Savings - CAN]:[Savings - Sams]])+SUM(Table1[[#This Row],[Savings - Sams Mexico]:[Savings - Sams China]])+Table1[[#This Row],[Savings - IND]]</f>
        <v>0</v>
      </c>
      <c r="BX21">
        <f>SUM(Table1[[#This Row],[Spend - CAN]:[Spend - SAF]])+SUM(Table1[[#This Row],[Spend - Sams Mexico]:[Spend - Sams China]])+Table1[[#This Row],[Spend - IND]]</f>
        <v>0</v>
      </c>
      <c r="BY21">
        <f>SUM(Table1[[#This Row],[Savings - CAN]:[Savings - SAF]])+SUM(Table1[[#This Row],[Savings - Sams Mexico]:[Savings - Sams China]])+Table1[[#This Row],[Savings - IND]]</f>
        <v>0</v>
      </c>
      <c r="BZ21">
        <f>SUM(Table1[[#This Row],[Spend - US]:[Spend - Sams]])</f>
        <v>0</v>
      </c>
      <c r="CA21">
        <f>SUM(Table1[[#This Row],[Savings - US]:[Savings - Sams]])</f>
        <v>0</v>
      </c>
      <c r="CB21">
        <f>SUM(Table1[[#This Row],[Cost Avoidance - CAN2]:[Cost Avoidance - SAF10]])+SUM(Table1[[#This Row],[Cost Avoidance - Sams Mexico]:[Cost Avoidance - Sams China]])+Table1[[#This Row],[Cost Avoidance - IND]]</f>
        <v>0</v>
      </c>
      <c r="CC21">
        <f>SUM(Table1[[#This Row],[Cost Avoidance - US11]:[Cost Avoidance - Sams12]])</f>
        <v>0</v>
      </c>
      <c r="CD21">
        <f>_xlfn.XLOOKUP(Table1[[#This Row],[Status]],Status_Lookups[Status],Status_Lookups[Value],"")</f>
        <v>0.3</v>
      </c>
    </row>
    <row r="22" spans="1:82">
      <c r="A22">
        <v>4</v>
      </c>
      <c r="B22" t="s">
        <v>48</v>
      </c>
      <c r="C22" t="s">
        <v>33</v>
      </c>
      <c r="D22" t="s">
        <v>322</v>
      </c>
      <c r="E22" s="15">
        <v>44713</v>
      </c>
      <c r="F22" s="15">
        <v>44773</v>
      </c>
      <c r="G22" s="15">
        <v>0</v>
      </c>
      <c r="H22" s="15">
        <v>0</v>
      </c>
      <c r="I22" t="s">
        <v>135</v>
      </c>
      <c r="J22" t="s">
        <v>459</v>
      </c>
      <c r="K22" t="s">
        <v>516</v>
      </c>
      <c r="L22" t="s">
        <v>526</v>
      </c>
      <c r="M22">
        <v>0</v>
      </c>
      <c r="N22">
        <v>0</v>
      </c>
      <c r="O22">
        <v>0</v>
      </c>
      <c r="P22">
        <v>0</v>
      </c>
      <c r="Q22">
        <v>0</v>
      </c>
      <c r="R22">
        <v>0</v>
      </c>
      <c r="S22">
        <v>0</v>
      </c>
      <c r="T22">
        <v>0</v>
      </c>
      <c r="U22">
        <v>0</v>
      </c>
      <c r="V22">
        <v>121000000</v>
      </c>
      <c r="W22">
        <v>0</v>
      </c>
      <c r="X22" t="s">
        <v>516</v>
      </c>
      <c r="Y22" s="16">
        <v>44729.63338136574</v>
      </c>
      <c r="Z22" s="17" t="str">
        <f>_xlfn.XLOOKUP(Table1[[#This Row],[Phase]],'Lookup tables'!$Y$27:$Y$60,'Lookup tables'!$Z$27:$Z$60,"Not Updated")</f>
        <v>Pipeline</v>
      </c>
      <c r="AA22" s="17">
        <v>0</v>
      </c>
      <c r="AB22">
        <v>0</v>
      </c>
      <c r="AC22">
        <v>0</v>
      </c>
      <c r="AD22">
        <v>0</v>
      </c>
      <c r="AE22">
        <v>0</v>
      </c>
      <c r="AF22">
        <v>0</v>
      </c>
      <c r="AG22">
        <v>0</v>
      </c>
      <c r="AH22">
        <v>0</v>
      </c>
      <c r="AI22">
        <v>0</v>
      </c>
      <c r="AJ22">
        <v>0</v>
      </c>
      <c r="AK22">
        <v>0</v>
      </c>
      <c r="AL22">
        <v>0</v>
      </c>
      <c r="AM22">
        <v>0</v>
      </c>
      <c r="AN22">
        <v>0</v>
      </c>
      <c r="AO22">
        <v>0</v>
      </c>
      <c r="AP22">
        <v>0</v>
      </c>
      <c r="AQ22">
        <v>0</v>
      </c>
      <c r="AR22">
        <v>0</v>
      </c>
      <c r="AS22">
        <v>0</v>
      </c>
      <c r="AT22">
        <v>0</v>
      </c>
      <c r="AU22">
        <v>0</v>
      </c>
      <c r="AV22">
        <v>0</v>
      </c>
      <c r="AW22">
        <v>0</v>
      </c>
      <c r="AX22">
        <v>0</v>
      </c>
      <c r="AY22">
        <v>0</v>
      </c>
      <c r="AZ22">
        <v>0</v>
      </c>
      <c r="BA22">
        <v>0</v>
      </c>
      <c r="BB22">
        <v>0</v>
      </c>
      <c r="BC22">
        <v>0</v>
      </c>
      <c r="BD22">
        <v>0</v>
      </c>
      <c r="BE22">
        <v>0</v>
      </c>
      <c r="BF22">
        <v>0</v>
      </c>
      <c r="BG22" s="185">
        <v>0</v>
      </c>
      <c r="BH22" s="185">
        <v>0</v>
      </c>
      <c r="BI22" s="185">
        <v>0</v>
      </c>
      <c r="BJ22" s="185">
        <v>0</v>
      </c>
      <c r="BK22" s="185">
        <v>0</v>
      </c>
      <c r="BL22" s="185">
        <v>0</v>
      </c>
      <c r="BM22" s="185">
        <v>0</v>
      </c>
      <c r="BN22" s="185">
        <v>0</v>
      </c>
      <c r="BO22" s="185">
        <v>0</v>
      </c>
      <c r="BP22" s="185">
        <v>0</v>
      </c>
      <c r="BQ22" s="185">
        <v>0</v>
      </c>
      <c r="BR22" s="185">
        <v>0</v>
      </c>
      <c r="BS22" s="185">
        <v>0</v>
      </c>
      <c r="BT22" s="185">
        <v>0</v>
      </c>
      <c r="BU22" t="b">
        <f>IF(_xlfn.MAXIFS(Table1[Sl No],Table1[Category],Table1[[#This Row],[Category]],Table1[Execution Year],Table1[[#This Row],[Execution Year]])=Table1[[#This Row],[Sl No]],TRUE,FALSE)</f>
        <v>1</v>
      </c>
      <c r="BV22" s="201">
        <f>SUM(Table1[[#This Row],[Spend - CAN]:[Spend - Sams]])+SUM(Table1[[#This Row],[Spend - Sams Mexico]:[Spend - Sams China]])+Table1[[#This Row],[Spend - IND]]</f>
        <v>121000000</v>
      </c>
      <c r="BW22">
        <f>SUM(Table1[[#This Row],[Savings - CAN]:[Savings - Sams]])+SUM(Table1[[#This Row],[Savings - Sams Mexico]:[Savings - Sams China]])+Table1[[#This Row],[Savings - IND]]</f>
        <v>0</v>
      </c>
      <c r="BX22">
        <f>SUM(Table1[[#This Row],[Spend - CAN]:[Spend - SAF]])+SUM(Table1[[#This Row],[Spend - Sams Mexico]:[Spend - Sams China]])+Table1[[#This Row],[Spend - IND]]</f>
        <v>0</v>
      </c>
      <c r="BY22">
        <f>SUM(Table1[[#This Row],[Savings - CAN]:[Savings - SAF]])+SUM(Table1[[#This Row],[Savings - Sams Mexico]:[Savings - Sams China]])+Table1[[#This Row],[Savings - IND]]</f>
        <v>0</v>
      </c>
      <c r="BZ22">
        <f>SUM(Table1[[#This Row],[Spend - US]:[Spend - Sams]])</f>
        <v>121000000</v>
      </c>
      <c r="CA22">
        <f>SUM(Table1[[#This Row],[Savings - US]:[Savings - Sams]])</f>
        <v>0</v>
      </c>
      <c r="CB22">
        <f>SUM(Table1[[#This Row],[Cost Avoidance - CAN2]:[Cost Avoidance - SAF10]])+SUM(Table1[[#This Row],[Cost Avoidance - Sams Mexico]:[Cost Avoidance - Sams China]])+Table1[[#This Row],[Cost Avoidance - IND]]</f>
        <v>0</v>
      </c>
      <c r="CC22">
        <f>SUM(Table1[[#This Row],[Cost Avoidance - US11]:[Cost Avoidance - Sams12]])</f>
        <v>0</v>
      </c>
      <c r="CD22">
        <f>_xlfn.XLOOKUP(Table1[[#This Row],[Status]],Status_Lookups[Status],Status_Lookups[Value],"")</f>
        <v>0.3</v>
      </c>
    </row>
    <row r="23" spans="1:82">
      <c r="A23">
        <v>1</v>
      </c>
      <c r="B23" t="s">
        <v>480</v>
      </c>
      <c r="C23" t="s">
        <v>43</v>
      </c>
      <c r="D23" t="s">
        <v>322</v>
      </c>
      <c r="E23" s="15"/>
      <c r="F23" s="15"/>
      <c r="G23" s="15"/>
      <c r="H23" s="15"/>
      <c r="X23" t="s">
        <v>78</v>
      </c>
      <c r="Y23" s="16">
        <v>44620.579386574071</v>
      </c>
      <c r="Z23" s="17" t="str">
        <f>_xlfn.XLOOKUP(Table1[[#This Row],[Phase]],'Lookup tables'!$Y$27:$Y$60,'Lookup tables'!$Z$27:$Z$60,"Not Updated")</f>
        <v>Not Updated</v>
      </c>
      <c r="AA23" s="17"/>
      <c r="BG23" s="185"/>
      <c r="BH23" s="185"/>
      <c r="BI23" s="185"/>
      <c r="BJ23" s="185"/>
      <c r="BK23" s="185"/>
      <c r="BL23" s="185"/>
      <c r="BM23" s="185"/>
      <c r="BN23" s="185"/>
      <c r="BO23" s="185"/>
      <c r="BP23" s="185"/>
      <c r="BQ23" s="185"/>
      <c r="BR23" s="185"/>
      <c r="BS23" s="185"/>
      <c r="BT23" s="185"/>
      <c r="BU23" t="b">
        <f>IF(_xlfn.MAXIFS(Table1[Sl No],Table1[Category],Table1[[#This Row],[Category]],Table1[Execution Year],Table1[[#This Row],[Execution Year]])=Table1[[#This Row],[Sl No]],TRUE,FALSE)</f>
        <v>0</v>
      </c>
      <c r="BV23" s="201">
        <f>SUM(Table1[[#This Row],[Spend - CAN]:[Spend - Sams]])+SUM(Table1[[#This Row],[Spend - Sams Mexico]:[Spend - Sams China]])+Table1[[#This Row],[Spend - IND]]</f>
        <v>0</v>
      </c>
      <c r="BW23">
        <f>SUM(Table1[[#This Row],[Savings - CAN]:[Savings - Sams]])+SUM(Table1[[#This Row],[Savings - Sams Mexico]:[Savings - Sams China]])+Table1[[#This Row],[Savings - IND]]</f>
        <v>0</v>
      </c>
      <c r="BX23">
        <f>SUM(Table1[[#This Row],[Spend - CAN]:[Spend - SAF]])+SUM(Table1[[#This Row],[Spend - Sams Mexico]:[Spend - Sams China]])+Table1[[#This Row],[Spend - IND]]</f>
        <v>0</v>
      </c>
      <c r="BY23">
        <f>SUM(Table1[[#This Row],[Savings - CAN]:[Savings - SAF]])+SUM(Table1[[#This Row],[Savings - Sams Mexico]:[Savings - Sams China]])+Table1[[#This Row],[Savings - IND]]</f>
        <v>0</v>
      </c>
      <c r="BZ23">
        <f>SUM(Table1[[#This Row],[Spend - US]:[Spend - Sams]])</f>
        <v>0</v>
      </c>
      <c r="CA23">
        <f>SUM(Table1[[#This Row],[Savings - US]:[Savings - Sams]])</f>
        <v>0</v>
      </c>
      <c r="CB23">
        <f>SUM(Table1[[#This Row],[Cost Avoidance - CAN2]:[Cost Avoidance - SAF10]])+SUM(Table1[[#This Row],[Cost Avoidance - Sams Mexico]:[Cost Avoidance - Sams China]])+Table1[[#This Row],[Cost Avoidance - IND]]</f>
        <v>0</v>
      </c>
      <c r="CC23">
        <f>SUM(Table1[[#This Row],[Cost Avoidance - US11]:[Cost Avoidance - Sams12]])</f>
        <v>0</v>
      </c>
      <c r="CD23" t="str">
        <f>_xlfn.XLOOKUP(Table1[[#This Row],[Status]],Status_Lookups[Status],Status_Lookups[Value],"")</f>
        <v/>
      </c>
    </row>
    <row r="24" spans="1:82">
      <c r="A24">
        <v>2</v>
      </c>
      <c r="B24" t="s">
        <v>480</v>
      </c>
      <c r="C24" t="s">
        <v>43</v>
      </c>
      <c r="D24" t="s">
        <v>322</v>
      </c>
      <c r="E24" s="15">
        <v>44593</v>
      </c>
      <c r="F24" s="15">
        <v>44682</v>
      </c>
      <c r="G24" s="15">
        <v>0</v>
      </c>
      <c r="H24" s="15">
        <v>0</v>
      </c>
      <c r="I24" t="s">
        <v>484</v>
      </c>
      <c r="J24" t="s">
        <v>459</v>
      </c>
      <c r="K24" t="s">
        <v>474</v>
      </c>
      <c r="L24">
        <v>0</v>
      </c>
      <c r="M24">
        <v>0</v>
      </c>
      <c r="N24">
        <v>0</v>
      </c>
      <c r="O24">
        <v>0</v>
      </c>
      <c r="P24">
        <v>0</v>
      </c>
      <c r="Q24">
        <v>0</v>
      </c>
      <c r="R24">
        <v>0</v>
      </c>
      <c r="S24">
        <v>0</v>
      </c>
      <c r="T24">
        <v>0</v>
      </c>
      <c r="U24">
        <v>0</v>
      </c>
      <c r="V24">
        <v>0</v>
      </c>
      <c r="W24">
        <v>0</v>
      </c>
      <c r="X24" t="s">
        <v>78</v>
      </c>
      <c r="Y24" s="16">
        <v>44620.581430092592</v>
      </c>
      <c r="Z24" s="17" t="str">
        <f>_xlfn.XLOOKUP(Table1[[#This Row],[Phase]],'Lookup tables'!$Y$27:$Y$60,'Lookup tables'!$Z$27:$Z$60,"Not Updated")</f>
        <v>Bid Prep</v>
      </c>
      <c r="AA24" s="17">
        <v>0</v>
      </c>
      <c r="AB24">
        <v>0</v>
      </c>
      <c r="AC24">
        <v>0</v>
      </c>
      <c r="AD24">
        <v>0</v>
      </c>
      <c r="AE24">
        <v>0</v>
      </c>
      <c r="AF24">
        <v>0</v>
      </c>
      <c r="AG24">
        <v>0</v>
      </c>
      <c r="AH24">
        <v>0</v>
      </c>
      <c r="AI24">
        <v>0</v>
      </c>
      <c r="AJ24">
        <v>0</v>
      </c>
      <c r="AK24">
        <v>0</v>
      </c>
      <c r="AL24">
        <v>0</v>
      </c>
      <c r="AM24">
        <v>0</v>
      </c>
      <c r="AN24">
        <v>0</v>
      </c>
      <c r="AO24">
        <v>0</v>
      </c>
      <c r="AP24">
        <v>0</v>
      </c>
      <c r="AQ24">
        <v>0</v>
      </c>
      <c r="AR24">
        <v>0</v>
      </c>
      <c r="AS24">
        <v>0</v>
      </c>
      <c r="AT24">
        <v>0</v>
      </c>
      <c r="AU24">
        <v>0</v>
      </c>
      <c r="AV24">
        <v>0</v>
      </c>
      <c r="AW24">
        <v>0</v>
      </c>
      <c r="AX24">
        <v>0</v>
      </c>
      <c r="AY24">
        <v>0</v>
      </c>
      <c r="AZ24">
        <v>0</v>
      </c>
      <c r="BA24">
        <v>0</v>
      </c>
      <c r="BB24">
        <v>0</v>
      </c>
      <c r="BC24">
        <v>0</v>
      </c>
      <c r="BD24">
        <v>0</v>
      </c>
      <c r="BE24">
        <v>0</v>
      </c>
      <c r="BF24">
        <v>0</v>
      </c>
      <c r="BG24" s="185">
        <v>0</v>
      </c>
      <c r="BH24" s="185">
        <v>0</v>
      </c>
      <c r="BI24" s="185">
        <v>0</v>
      </c>
      <c r="BJ24" s="185">
        <v>0</v>
      </c>
      <c r="BK24" s="185">
        <v>0</v>
      </c>
      <c r="BL24" s="185">
        <v>0</v>
      </c>
      <c r="BM24" s="185">
        <v>0</v>
      </c>
      <c r="BN24" s="185">
        <v>0</v>
      </c>
      <c r="BO24" s="185">
        <v>0</v>
      </c>
      <c r="BP24" s="185">
        <v>0</v>
      </c>
      <c r="BQ24" s="185">
        <v>0</v>
      </c>
      <c r="BR24" s="185">
        <v>0</v>
      </c>
      <c r="BS24" s="185">
        <v>0</v>
      </c>
      <c r="BT24" s="185">
        <v>0</v>
      </c>
      <c r="BU24" t="b">
        <f>IF(_xlfn.MAXIFS(Table1[Sl No],Table1[Category],Table1[[#This Row],[Category]],Table1[Execution Year],Table1[[#This Row],[Execution Year]])=Table1[[#This Row],[Sl No]],TRUE,FALSE)</f>
        <v>0</v>
      </c>
      <c r="BV24" s="201">
        <f>SUM(Table1[[#This Row],[Spend - CAN]:[Spend - Sams]])+SUM(Table1[[#This Row],[Spend - Sams Mexico]:[Spend - Sams China]])+Table1[[#This Row],[Spend - IND]]</f>
        <v>0</v>
      </c>
      <c r="BW24">
        <f>SUM(Table1[[#This Row],[Savings - CAN]:[Savings - Sams]])+SUM(Table1[[#This Row],[Savings - Sams Mexico]:[Savings - Sams China]])+Table1[[#This Row],[Savings - IND]]</f>
        <v>0</v>
      </c>
      <c r="BX24">
        <f>SUM(Table1[[#This Row],[Spend - CAN]:[Spend - SAF]])+SUM(Table1[[#This Row],[Spend - Sams Mexico]:[Spend - Sams China]])+Table1[[#This Row],[Spend - IND]]</f>
        <v>0</v>
      </c>
      <c r="BY24">
        <f>SUM(Table1[[#This Row],[Savings - CAN]:[Savings - SAF]])+SUM(Table1[[#This Row],[Savings - Sams Mexico]:[Savings - Sams China]])+Table1[[#This Row],[Savings - IND]]</f>
        <v>0</v>
      </c>
      <c r="BZ24">
        <f>SUM(Table1[[#This Row],[Spend - US]:[Spend - Sams]])</f>
        <v>0</v>
      </c>
      <c r="CA24">
        <f>SUM(Table1[[#This Row],[Savings - US]:[Savings - Sams]])</f>
        <v>0</v>
      </c>
      <c r="CB24">
        <f>SUM(Table1[[#This Row],[Cost Avoidance - CAN2]:[Cost Avoidance - SAF10]])+SUM(Table1[[#This Row],[Cost Avoidance - Sams Mexico]:[Cost Avoidance - Sams China]])+Table1[[#This Row],[Cost Avoidance - IND]]</f>
        <v>0</v>
      </c>
      <c r="CC24">
        <f>SUM(Table1[[#This Row],[Cost Avoidance - US11]:[Cost Avoidance - Sams12]])</f>
        <v>0</v>
      </c>
      <c r="CD24">
        <f>_xlfn.XLOOKUP(Table1[[#This Row],[Status]],Status_Lookups[Status],Status_Lookups[Value],"")</f>
        <v>0.3</v>
      </c>
    </row>
    <row r="25" spans="1:82">
      <c r="A25">
        <v>3</v>
      </c>
      <c r="B25" t="s">
        <v>480</v>
      </c>
      <c r="C25" t="s">
        <v>43</v>
      </c>
      <c r="D25" t="s">
        <v>322</v>
      </c>
      <c r="E25" s="15">
        <v>44621</v>
      </c>
      <c r="F25" s="15">
        <v>44681</v>
      </c>
      <c r="G25" s="15">
        <v>0</v>
      </c>
      <c r="H25" s="15">
        <v>0</v>
      </c>
      <c r="I25" t="s">
        <v>484</v>
      </c>
      <c r="J25" t="s">
        <v>459</v>
      </c>
      <c r="K25" t="s">
        <v>474</v>
      </c>
      <c r="L25">
        <v>0</v>
      </c>
      <c r="M25">
        <v>0</v>
      </c>
      <c r="N25">
        <v>0</v>
      </c>
      <c r="O25">
        <v>0</v>
      </c>
      <c r="P25">
        <v>0</v>
      </c>
      <c r="Q25">
        <v>0</v>
      </c>
      <c r="R25">
        <v>0</v>
      </c>
      <c r="S25">
        <v>0</v>
      </c>
      <c r="T25">
        <v>0</v>
      </c>
      <c r="U25">
        <v>0</v>
      </c>
      <c r="V25">
        <v>0</v>
      </c>
      <c r="W25">
        <v>0</v>
      </c>
      <c r="X25" t="s">
        <v>78</v>
      </c>
      <c r="Y25" s="16">
        <v>44620.582330902776</v>
      </c>
      <c r="Z25" s="17" t="str">
        <f>_xlfn.XLOOKUP(Table1[[#This Row],[Phase]],'Lookup tables'!$Y$27:$Y$60,'Lookup tables'!$Z$27:$Z$60,"Not Updated")</f>
        <v>Bid Prep</v>
      </c>
      <c r="AA25" s="17">
        <v>0</v>
      </c>
      <c r="AB25">
        <v>0</v>
      </c>
      <c r="AC25">
        <v>0</v>
      </c>
      <c r="AD25">
        <v>0</v>
      </c>
      <c r="AE25">
        <v>0</v>
      </c>
      <c r="AF25">
        <v>0</v>
      </c>
      <c r="AG25">
        <v>0</v>
      </c>
      <c r="AH25">
        <v>0</v>
      </c>
      <c r="AI25">
        <v>0</v>
      </c>
      <c r="AJ25">
        <v>0</v>
      </c>
      <c r="AK25">
        <v>0</v>
      </c>
      <c r="AL25">
        <v>0</v>
      </c>
      <c r="AM25">
        <v>0</v>
      </c>
      <c r="AN25">
        <v>0</v>
      </c>
      <c r="AO25">
        <v>0</v>
      </c>
      <c r="AP25">
        <v>0</v>
      </c>
      <c r="AQ25">
        <v>0</v>
      </c>
      <c r="AR25">
        <v>0</v>
      </c>
      <c r="AS25">
        <v>0</v>
      </c>
      <c r="AT25">
        <v>0</v>
      </c>
      <c r="AU25">
        <v>0</v>
      </c>
      <c r="AV25">
        <v>0</v>
      </c>
      <c r="AW25">
        <v>0</v>
      </c>
      <c r="AX25">
        <v>0</v>
      </c>
      <c r="AY25">
        <v>0</v>
      </c>
      <c r="AZ25">
        <v>0</v>
      </c>
      <c r="BA25">
        <v>0</v>
      </c>
      <c r="BB25">
        <v>0</v>
      </c>
      <c r="BC25">
        <v>0</v>
      </c>
      <c r="BD25">
        <v>0</v>
      </c>
      <c r="BE25">
        <v>0</v>
      </c>
      <c r="BF25">
        <v>0</v>
      </c>
      <c r="BG25" s="185">
        <v>0</v>
      </c>
      <c r="BH25" s="185">
        <v>0</v>
      </c>
      <c r="BI25" s="185">
        <v>0</v>
      </c>
      <c r="BJ25" s="185">
        <v>0</v>
      </c>
      <c r="BK25" s="185">
        <v>0</v>
      </c>
      <c r="BL25" s="185">
        <v>0</v>
      </c>
      <c r="BM25" s="185">
        <v>0</v>
      </c>
      <c r="BN25" s="185">
        <v>0</v>
      </c>
      <c r="BO25" s="185">
        <v>0</v>
      </c>
      <c r="BP25" s="185">
        <v>0</v>
      </c>
      <c r="BQ25" s="185">
        <v>0</v>
      </c>
      <c r="BR25" s="185">
        <v>0</v>
      </c>
      <c r="BS25" s="185">
        <v>0</v>
      </c>
      <c r="BT25" s="185">
        <v>0</v>
      </c>
      <c r="BU25" t="b">
        <f>IF(_xlfn.MAXIFS(Table1[Sl No],Table1[Category],Table1[[#This Row],[Category]],Table1[Execution Year],Table1[[#This Row],[Execution Year]])=Table1[[#This Row],[Sl No]],TRUE,FALSE)</f>
        <v>0</v>
      </c>
      <c r="BV25" s="201">
        <f>SUM(Table1[[#This Row],[Spend - CAN]:[Spend - Sams]])+SUM(Table1[[#This Row],[Spend - Sams Mexico]:[Spend - Sams China]])+Table1[[#This Row],[Spend - IND]]</f>
        <v>0</v>
      </c>
      <c r="BW25">
        <f>SUM(Table1[[#This Row],[Savings - CAN]:[Savings - Sams]])+SUM(Table1[[#This Row],[Savings - Sams Mexico]:[Savings - Sams China]])+Table1[[#This Row],[Savings - IND]]</f>
        <v>0</v>
      </c>
      <c r="BX25">
        <f>SUM(Table1[[#This Row],[Spend - CAN]:[Spend - SAF]])+SUM(Table1[[#This Row],[Spend - Sams Mexico]:[Spend - Sams China]])+Table1[[#This Row],[Spend - IND]]</f>
        <v>0</v>
      </c>
      <c r="BY25">
        <f>SUM(Table1[[#This Row],[Savings - CAN]:[Savings - SAF]])+SUM(Table1[[#This Row],[Savings - Sams Mexico]:[Savings - Sams China]])+Table1[[#This Row],[Savings - IND]]</f>
        <v>0</v>
      </c>
      <c r="BZ25">
        <f>SUM(Table1[[#This Row],[Spend - US]:[Spend - Sams]])</f>
        <v>0</v>
      </c>
      <c r="CA25">
        <f>SUM(Table1[[#This Row],[Savings - US]:[Savings - Sams]])</f>
        <v>0</v>
      </c>
      <c r="CB25">
        <f>SUM(Table1[[#This Row],[Cost Avoidance - CAN2]:[Cost Avoidance - SAF10]])+SUM(Table1[[#This Row],[Cost Avoidance - Sams Mexico]:[Cost Avoidance - Sams China]])+Table1[[#This Row],[Cost Avoidance - IND]]</f>
        <v>0</v>
      </c>
      <c r="CC25">
        <f>SUM(Table1[[#This Row],[Cost Avoidance - US11]:[Cost Avoidance - Sams12]])</f>
        <v>0</v>
      </c>
      <c r="CD25">
        <f>_xlfn.XLOOKUP(Table1[[#This Row],[Status]],Status_Lookups[Status],Status_Lookups[Value],"")</f>
        <v>0.3</v>
      </c>
    </row>
    <row r="26" spans="1:82">
      <c r="A26">
        <v>4</v>
      </c>
      <c r="B26" t="s">
        <v>480</v>
      </c>
      <c r="C26" t="s">
        <v>43</v>
      </c>
      <c r="D26" t="s">
        <v>322</v>
      </c>
      <c r="E26" s="15">
        <v>44657</v>
      </c>
      <c r="F26" s="15">
        <v>44727</v>
      </c>
      <c r="G26" s="15">
        <v>0</v>
      </c>
      <c r="H26" s="15">
        <v>0</v>
      </c>
      <c r="I26" t="s">
        <v>484</v>
      </c>
      <c r="J26" t="s">
        <v>459</v>
      </c>
      <c r="K26" t="s">
        <v>474</v>
      </c>
      <c r="L26">
        <v>0</v>
      </c>
      <c r="M26">
        <v>4900000</v>
      </c>
      <c r="N26">
        <v>0</v>
      </c>
      <c r="O26">
        <v>0</v>
      </c>
      <c r="P26">
        <v>200000</v>
      </c>
      <c r="Q26">
        <v>0</v>
      </c>
      <c r="R26">
        <v>0</v>
      </c>
      <c r="S26">
        <v>0</v>
      </c>
      <c r="T26">
        <v>0</v>
      </c>
      <c r="U26">
        <v>0</v>
      </c>
      <c r="V26">
        <v>8000000</v>
      </c>
      <c r="W26">
        <v>0</v>
      </c>
      <c r="X26" t="s">
        <v>78</v>
      </c>
      <c r="Y26" s="16">
        <v>44648.504781018521</v>
      </c>
      <c r="Z26" s="17" t="str">
        <f>_xlfn.XLOOKUP(Table1[[#This Row],[Phase]],'Lookup tables'!$Y$27:$Y$60,'Lookup tables'!$Z$27:$Z$60,"Not Updated")</f>
        <v>Bid Prep</v>
      </c>
      <c r="AA26" s="17">
        <v>0</v>
      </c>
      <c r="AB26">
        <v>0</v>
      </c>
      <c r="AC26">
        <v>0</v>
      </c>
      <c r="AD26">
        <v>0</v>
      </c>
      <c r="AE26">
        <v>0</v>
      </c>
      <c r="AF26">
        <v>0</v>
      </c>
      <c r="AG26">
        <v>0</v>
      </c>
      <c r="AH26">
        <v>0</v>
      </c>
      <c r="AI26">
        <v>0</v>
      </c>
      <c r="AJ26">
        <v>0</v>
      </c>
      <c r="AK26">
        <v>0</v>
      </c>
      <c r="AL26">
        <v>0</v>
      </c>
      <c r="AM26">
        <v>0</v>
      </c>
      <c r="AN26">
        <v>0</v>
      </c>
      <c r="AO26">
        <v>0</v>
      </c>
      <c r="AP26">
        <v>0</v>
      </c>
      <c r="AQ26">
        <v>0</v>
      </c>
      <c r="AR26">
        <v>0</v>
      </c>
      <c r="AS26">
        <v>0</v>
      </c>
      <c r="AT26">
        <v>0</v>
      </c>
      <c r="AU26">
        <v>0</v>
      </c>
      <c r="AV26">
        <v>0</v>
      </c>
      <c r="AW26">
        <v>0</v>
      </c>
      <c r="AX26">
        <v>0</v>
      </c>
      <c r="AY26">
        <v>0</v>
      </c>
      <c r="AZ26">
        <v>0</v>
      </c>
      <c r="BA26">
        <v>0</v>
      </c>
      <c r="BB26">
        <v>0</v>
      </c>
      <c r="BC26">
        <v>0</v>
      </c>
      <c r="BD26">
        <v>0</v>
      </c>
      <c r="BE26">
        <v>0</v>
      </c>
      <c r="BF26">
        <v>0</v>
      </c>
      <c r="BG26" s="185">
        <v>0</v>
      </c>
      <c r="BH26" s="185">
        <v>0</v>
      </c>
      <c r="BI26" s="185">
        <v>0</v>
      </c>
      <c r="BJ26" s="185">
        <v>0</v>
      </c>
      <c r="BK26" s="185">
        <v>0</v>
      </c>
      <c r="BL26" s="185">
        <v>0</v>
      </c>
      <c r="BM26" s="185">
        <v>0</v>
      </c>
      <c r="BN26" s="185">
        <v>0</v>
      </c>
      <c r="BO26" s="185">
        <v>0</v>
      </c>
      <c r="BP26" s="185">
        <v>0</v>
      </c>
      <c r="BQ26" s="185">
        <v>0</v>
      </c>
      <c r="BR26" s="185">
        <v>0</v>
      </c>
      <c r="BS26" s="185">
        <v>0</v>
      </c>
      <c r="BT26" s="185">
        <v>0</v>
      </c>
      <c r="BU26" t="b">
        <f>IF(_xlfn.MAXIFS(Table1[Sl No],Table1[Category],Table1[[#This Row],[Category]],Table1[Execution Year],Table1[[#This Row],[Execution Year]])=Table1[[#This Row],[Sl No]],TRUE,FALSE)</f>
        <v>0</v>
      </c>
      <c r="BV26" s="201">
        <f>SUM(Table1[[#This Row],[Spend - CAN]:[Spend - Sams]])+SUM(Table1[[#This Row],[Spend - Sams Mexico]:[Spend - Sams China]])+Table1[[#This Row],[Spend - IND]]</f>
        <v>13100000</v>
      </c>
      <c r="BW26">
        <f>SUM(Table1[[#This Row],[Savings - CAN]:[Savings - Sams]])+SUM(Table1[[#This Row],[Savings - Sams Mexico]:[Savings - Sams China]])+Table1[[#This Row],[Savings - IND]]</f>
        <v>0</v>
      </c>
      <c r="BX26">
        <f>SUM(Table1[[#This Row],[Spend - CAN]:[Spend - SAF]])+SUM(Table1[[#This Row],[Spend - Sams Mexico]:[Spend - Sams China]])+Table1[[#This Row],[Spend - IND]]</f>
        <v>5100000</v>
      </c>
      <c r="BY26">
        <f>SUM(Table1[[#This Row],[Savings - CAN]:[Savings - SAF]])+SUM(Table1[[#This Row],[Savings - Sams Mexico]:[Savings - Sams China]])+Table1[[#This Row],[Savings - IND]]</f>
        <v>0</v>
      </c>
      <c r="BZ26">
        <f>SUM(Table1[[#This Row],[Spend - US]:[Spend - Sams]])</f>
        <v>8000000</v>
      </c>
      <c r="CA26">
        <f>SUM(Table1[[#This Row],[Savings - US]:[Savings - Sams]])</f>
        <v>0</v>
      </c>
      <c r="CB26">
        <f>SUM(Table1[[#This Row],[Cost Avoidance - CAN2]:[Cost Avoidance - SAF10]])+SUM(Table1[[#This Row],[Cost Avoidance - Sams Mexico]:[Cost Avoidance - Sams China]])+Table1[[#This Row],[Cost Avoidance - IND]]</f>
        <v>0</v>
      </c>
      <c r="CC26">
        <f>SUM(Table1[[#This Row],[Cost Avoidance - US11]:[Cost Avoidance - Sams12]])</f>
        <v>0</v>
      </c>
      <c r="CD26">
        <f>_xlfn.XLOOKUP(Table1[[#This Row],[Status]],Status_Lookups[Status],Status_Lookups[Value],"")</f>
        <v>0.3</v>
      </c>
    </row>
    <row r="27" spans="1:82">
      <c r="A27">
        <v>5</v>
      </c>
      <c r="B27" t="s">
        <v>480</v>
      </c>
      <c r="C27" t="s">
        <v>43</v>
      </c>
      <c r="D27" t="s">
        <v>322</v>
      </c>
      <c r="E27" s="15">
        <v>44657</v>
      </c>
      <c r="F27" s="15">
        <v>44727</v>
      </c>
      <c r="G27" s="15">
        <v>0</v>
      </c>
      <c r="H27" s="15">
        <v>0</v>
      </c>
      <c r="I27" t="s">
        <v>484</v>
      </c>
      <c r="J27" t="s">
        <v>459</v>
      </c>
      <c r="K27" t="s">
        <v>474</v>
      </c>
      <c r="L27">
        <v>0</v>
      </c>
      <c r="M27">
        <v>4900000</v>
      </c>
      <c r="N27">
        <v>0</v>
      </c>
      <c r="O27">
        <v>0</v>
      </c>
      <c r="P27">
        <v>300000</v>
      </c>
      <c r="Q27">
        <v>0</v>
      </c>
      <c r="R27">
        <v>0</v>
      </c>
      <c r="S27">
        <v>0</v>
      </c>
      <c r="T27">
        <v>0</v>
      </c>
      <c r="U27">
        <v>0</v>
      </c>
      <c r="V27">
        <v>8000000</v>
      </c>
      <c r="W27">
        <v>0</v>
      </c>
      <c r="X27" t="s">
        <v>78</v>
      </c>
      <c r="Y27" s="16">
        <v>44648.505700347225</v>
      </c>
      <c r="Z27" s="17" t="str">
        <f>_xlfn.XLOOKUP(Table1[[#This Row],[Phase]],'Lookup tables'!$Y$27:$Y$60,'Lookup tables'!$Z$27:$Z$60,"Not Updated")</f>
        <v>Bid Prep</v>
      </c>
      <c r="AA27" s="17">
        <v>0</v>
      </c>
      <c r="AB27">
        <v>0</v>
      </c>
      <c r="AC27">
        <v>0</v>
      </c>
      <c r="AD27">
        <v>0</v>
      </c>
      <c r="AE27">
        <v>0</v>
      </c>
      <c r="AF27">
        <v>0</v>
      </c>
      <c r="AG27">
        <v>0</v>
      </c>
      <c r="AH27">
        <v>0</v>
      </c>
      <c r="AI27">
        <v>0</v>
      </c>
      <c r="AJ27">
        <v>0</v>
      </c>
      <c r="AK27">
        <v>0</v>
      </c>
      <c r="AL27">
        <v>0</v>
      </c>
      <c r="AM27">
        <v>0</v>
      </c>
      <c r="AN27">
        <v>0</v>
      </c>
      <c r="AO27">
        <v>0</v>
      </c>
      <c r="AP27">
        <v>0</v>
      </c>
      <c r="AQ27">
        <v>0</v>
      </c>
      <c r="AR27">
        <v>0</v>
      </c>
      <c r="AS27">
        <v>0</v>
      </c>
      <c r="AT27">
        <v>0</v>
      </c>
      <c r="AU27">
        <v>0</v>
      </c>
      <c r="AV27">
        <v>0</v>
      </c>
      <c r="AW27">
        <v>0</v>
      </c>
      <c r="AX27">
        <v>0</v>
      </c>
      <c r="AY27">
        <v>0</v>
      </c>
      <c r="AZ27">
        <v>0</v>
      </c>
      <c r="BA27">
        <v>0</v>
      </c>
      <c r="BB27">
        <v>0</v>
      </c>
      <c r="BC27">
        <v>0</v>
      </c>
      <c r="BD27">
        <v>0</v>
      </c>
      <c r="BE27">
        <v>0</v>
      </c>
      <c r="BF27">
        <v>0</v>
      </c>
      <c r="BG27" s="185">
        <v>0</v>
      </c>
      <c r="BH27" s="185">
        <v>0</v>
      </c>
      <c r="BI27" s="185">
        <v>0</v>
      </c>
      <c r="BJ27" s="185">
        <v>0</v>
      </c>
      <c r="BK27" s="185">
        <v>0</v>
      </c>
      <c r="BL27" s="185">
        <v>0</v>
      </c>
      <c r="BM27" s="185">
        <v>0</v>
      </c>
      <c r="BN27" s="185">
        <v>0</v>
      </c>
      <c r="BO27" s="185">
        <v>0</v>
      </c>
      <c r="BP27" s="185">
        <v>0</v>
      </c>
      <c r="BQ27" s="185">
        <v>0</v>
      </c>
      <c r="BR27" s="185">
        <v>0</v>
      </c>
      <c r="BS27" s="185">
        <v>0</v>
      </c>
      <c r="BT27" s="185">
        <v>0</v>
      </c>
      <c r="BU27" t="b">
        <f>IF(_xlfn.MAXIFS(Table1[Sl No],Table1[Category],Table1[[#This Row],[Category]],Table1[Execution Year],Table1[[#This Row],[Execution Year]])=Table1[[#This Row],[Sl No]],TRUE,FALSE)</f>
        <v>0</v>
      </c>
      <c r="BV27" s="201">
        <f>SUM(Table1[[#This Row],[Spend - CAN]:[Spend - Sams]])+SUM(Table1[[#This Row],[Spend - Sams Mexico]:[Spend - Sams China]])+Table1[[#This Row],[Spend - IND]]</f>
        <v>13200000</v>
      </c>
      <c r="BW27">
        <f>SUM(Table1[[#This Row],[Savings - CAN]:[Savings - Sams]])+SUM(Table1[[#This Row],[Savings - Sams Mexico]:[Savings - Sams China]])+Table1[[#This Row],[Savings - IND]]</f>
        <v>0</v>
      </c>
      <c r="BX27">
        <f>SUM(Table1[[#This Row],[Spend - CAN]:[Spend - SAF]])+SUM(Table1[[#This Row],[Spend - Sams Mexico]:[Spend - Sams China]])+Table1[[#This Row],[Spend - IND]]</f>
        <v>5200000</v>
      </c>
      <c r="BY27">
        <f>SUM(Table1[[#This Row],[Savings - CAN]:[Savings - SAF]])+SUM(Table1[[#This Row],[Savings - Sams Mexico]:[Savings - Sams China]])+Table1[[#This Row],[Savings - IND]]</f>
        <v>0</v>
      </c>
      <c r="BZ27">
        <f>SUM(Table1[[#This Row],[Spend - US]:[Spend - Sams]])</f>
        <v>8000000</v>
      </c>
      <c r="CA27">
        <f>SUM(Table1[[#This Row],[Savings - US]:[Savings - Sams]])</f>
        <v>0</v>
      </c>
      <c r="CB27">
        <f>SUM(Table1[[#This Row],[Cost Avoidance - CAN2]:[Cost Avoidance - SAF10]])+SUM(Table1[[#This Row],[Cost Avoidance - Sams Mexico]:[Cost Avoidance - Sams China]])+Table1[[#This Row],[Cost Avoidance - IND]]</f>
        <v>0</v>
      </c>
      <c r="CC27">
        <f>SUM(Table1[[#This Row],[Cost Avoidance - US11]:[Cost Avoidance - Sams12]])</f>
        <v>0</v>
      </c>
      <c r="CD27">
        <f>_xlfn.XLOOKUP(Table1[[#This Row],[Status]],Status_Lookups[Status],Status_Lookups[Value],"")</f>
        <v>0.3</v>
      </c>
    </row>
    <row r="28" spans="1:82">
      <c r="A28">
        <v>6</v>
      </c>
      <c r="B28" t="s">
        <v>480</v>
      </c>
      <c r="C28" t="s">
        <v>43</v>
      </c>
      <c r="D28" t="s">
        <v>322</v>
      </c>
      <c r="E28" s="15">
        <v>44713</v>
      </c>
      <c r="F28" s="15">
        <v>44805</v>
      </c>
      <c r="G28" s="15">
        <v>0</v>
      </c>
      <c r="H28" s="15">
        <v>0</v>
      </c>
      <c r="I28" t="s">
        <v>481</v>
      </c>
      <c r="J28" t="s">
        <v>459</v>
      </c>
      <c r="K28" t="s">
        <v>474</v>
      </c>
      <c r="L28">
        <v>0</v>
      </c>
      <c r="M28">
        <v>4900000</v>
      </c>
      <c r="N28">
        <v>0</v>
      </c>
      <c r="O28">
        <v>0</v>
      </c>
      <c r="P28">
        <v>0</v>
      </c>
      <c r="Q28">
        <v>0</v>
      </c>
      <c r="R28">
        <v>0</v>
      </c>
      <c r="S28">
        <v>0</v>
      </c>
      <c r="T28">
        <v>0</v>
      </c>
      <c r="U28">
        <v>0</v>
      </c>
      <c r="V28">
        <v>8000000</v>
      </c>
      <c r="W28">
        <v>0</v>
      </c>
      <c r="X28" t="s">
        <v>78</v>
      </c>
      <c r="Y28" s="16">
        <v>44714.401483449074</v>
      </c>
      <c r="Z28" s="17" t="str">
        <f>_xlfn.XLOOKUP(Table1[[#This Row],[Phase]],'Lookup tables'!$Y$27:$Y$60,'Lookup tables'!$Z$27:$Z$60,"Not Updated")</f>
        <v>RFPX underway</v>
      </c>
      <c r="AA28" s="17">
        <v>0</v>
      </c>
      <c r="AB28">
        <v>0</v>
      </c>
      <c r="AC28">
        <v>0</v>
      </c>
      <c r="AD28">
        <v>0</v>
      </c>
      <c r="AE28">
        <v>0</v>
      </c>
      <c r="AF28">
        <v>0</v>
      </c>
      <c r="AG28">
        <v>0</v>
      </c>
      <c r="AH28">
        <v>0</v>
      </c>
      <c r="AI28">
        <v>0</v>
      </c>
      <c r="AJ28">
        <v>0</v>
      </c>
      <c r="AK28">
        <v>0</v>
      </c>
      <c r="AL28">
        <v>0</v>
      </c>
      <c r="AM28">
        <v>0</v>
      </c>
      <c r="AN28">
        <v>0</v>
      </c>
      <c r="AO28">
        <v>0</v>
      </c>
      <c r="AP28">
        <v>0</v>
      </c>
      <c r="AQ28">
        <v>0</v>
      </c>
      <c r="AR28">
        <v>0</v>
      </c>
      <c r="AS28">
        <v>0</v>
      </c>
      <c r="AT28">
        <v>0</v>
      </c>
      <c r="AU28">
        <v>0</v>
      </c>
      <c r="AV28">
        <v>0</v>
      </c>
      <c r="AW28">
        <v>0</v>
      </c>
      <c r="AX28">
        <v>0</v>
      </c>
      <c r="AY28">
        <v>0</v>
      </c>
      <c r="AZ28">
        <v>0</v>
      </c>
      <c r="BA28">
        <v>0</v>
      </c>
      <c r="BB28">
        <v>0</v>
      </c>
      <c r="BC28">
        <v>0</v>
      </c>
      <c r="BD28">
        <v>0</v>
      </c>
      <c r="BE28">
        <v>0</v>
      </c>
      <c r="BF28">
        <v>0</v>
      </c>
      <c r="BG28" s="185">
        <v>0</v>
      </c>
      <c r="BH28" s="185">
        <v>0</v>
      </c>
      <c r="BI28" s="185">
        <v>0</v>
      </c>
      <c r="BJ28" s="185">
        <v>0</v>
      </c>
      <c r="BK28" s="185">
        <v>0</v>
      </c>
      <c r="BL28" s="185">
        <v>0</v>
      </c>
      <c r="BM28" s="185">
        <v>0</v>
      </c>
      <c r="BN28" s="185">
        <v>0</v>
      </c>
      <c r="BO28" s="185">
        <v>0</v>
      </c>
      <c r="BP28" s="185">
        <v>0</v>
      </c>
      <c r="BQ28" s="185">
        <v>0</v>
      </c>
      <c r="BR28" s="185">
        <v>0</v>
      </c>
      <c r="BS28" s="185">
        <v>0</v>
      </c>
      <c r="BT28" s="185">
        <v>0</v>
      </c>
      <c r="BU28" t="b">
        <f>IF(_xlfn.MAXIFS(Table1[Sl No],Table1[Category],Table1[[#This Row],[Category]],Table1[Execution Year],Table1[[#This Row],[Execution Year]])=Table1[[#This Row],[Sl No]],TRUE,FALSE)</f>
        <v>1</v>
      </c>
      <c r="BV28" s="201">
        <f>SUM(Table1[[#This Row],[Spend - CAN]:[Spend - Sams]])+SUM(Table1[[#This Row],[Spend - Sams Mexico]:[Spend - Sams China]])+Table1[[#This Row],[Spend - IND]]</f>
        <v>12900000</v>
      </c>
      <c r="BW28">
        <f>SUM(Table1[[#This Row],[Savings - CAN]:[Savings - Sams]])+SUM(Table1[[#This Row],[Savings - Sams Mexico]:[Savings - Sams China]])+Table1[[#This Row],[Savings - IND]]</f>
        <v>0</v>
      </c>
      <c r="BX28">
        <f>SUM(Table1[[#This Row],[Spend - CAN]:[Spend - SAF]])+SUM(Table1[[#This Row],[Spend - Sams Mexico]:[Spend - Sams China]])+Table1[[#This Row],[Spend - IND]]</f>
        <v>4900000</v>
      </c>
      <c r="BY28">
        <f>SUM(Table1[[#This Row],[Savings - CAN]:[Savings - SAF]])+SUM(Table1[[#This Row],[Savings - Sams Mexico]:[Savings - Sams China]])+Table1[[#This Row],[Savings - IND]]</f>
        <v>0</v>
      </c>
      <c r="BZ28">
        <f>SUM(Table1[[#This Row],[Spend - US]:[Spend - Sams]])</f>
        <v>8000000</v>
      </c>
      <c r="CA28">
        <f>SUM(Table1[[#This Row],[Savings - US]:[Savings - Sams]])</f>
        <v>0</v>
      </c>
      <c r="CB28">
        <f>SUM(Table1[[#This Row],[Cost Avoidance - CAN2]:[Cost Avoidance - SAF10]])+SUM(Table1[[#This Row],[Cost Avoidance - Sams Mexico]:[Cost Avoidance - Sams China]])+Table1[[#This Row],[Cost Avoidance - IND]]</f>
        <v>0</v>
      </c>
      <c r="CC28">
        <f>SUM(Table1[[#This Row],[Cost Avoidance - US11]:[Cost Avoidance - Sams12]])</f>
        <v>0</v>
      </c>
      <c r="CD28">
        <f>_xlfn.XLOOKUP(Table1[[#This Row],[Status]],Status_Lookups[Status],Status_Lookups[Value],"")</f>
        <v>0.3</v>
      </c>
    </row>
    <row r="29" spans="1:82">
      <c r="A29">
        <v>1</v>
      </c>
      <c r="B29" t="s">
        <v>452</v>
      </c>
      <c r="C29" t="s">
        <v>43</v>
      </c>
      <c r="D29" t="s">
        <v>39</v>
      </c>
      <c r="E29" s="15"/>
      <c r="F29" s="15"/>
      <c r="G29" s="15"/>
      <c r="H29" s="15"/>
      <c r="I29" t="s">
        <v>625</v>
      </c>
      <c r="J29" t="s">
        <v>626</v>
      </c>
      <c r="X29" t="s">
        <v>78</v>
      </c>
      <c r="Y29" s="16">
        <v>44242.435868055552</v>
      </c>
      <c r="Z29" s="17" t="str">
        <f>_xlfn.XLOOKUP(Table1[[#This Row],[Phase]],'Lookup tables'!$Y$27:$Y$60,'Lookup tables'!$Z$27:$Z$60,"Not Updated")</f>
        <v>Proposed</v>
      </c>
      <c r="AA29" s="17"/>
      <c r="BG29" s="185"/>
      <c r="BH29" s="185"/>
      <c r="BI29" s="185"/>
      <c r="BJ29" s="185"/>
      <c r="BK29" s="185"/>
      <c r="BL29" s="185"/>
      <c r="BM29" s="185"/>
      <c r="BN29" s="185"/>
      <c r="BO29" s="185"/>
      <c r="BP29" s="185"/>
      <c r="BQ29" s="185"/>
      <c r="BR29" s="185"/>
      <c r="BS29" s="185"/>
      <c r="BT29" s="185"/>
      <c r="BU29" t="b">
        <f>IF(_xlfn.MAXIFS(Table1[Sl No],Table1[Category],Table1[[#This Row],[Category]],Table1[Execution Year],Table1[[#This Row],[Execution Year]])=Table1[[#This Row],[Sl No]],TRUE,FALSE)</f>
        <v>0</v>
      </c>
      <c r="BV29" s="201">
        <f>SUM(Table1[[#This Row],[Spend - CAN]:[Spend - Sams]])+SUM(Table1[[#This Row],[Spend - Sams Mexico]:[Spend - Sams China]])+Table1[[#This Row],[Spend - IND]]</f>
        <v>0</v>
      </c>
      <c r="BW29">
        <f>SUM(Table1[[#This Row],[Savings - CAN]:[Savings - Sams]])+SUM(Table1[[#This Row],[Savings - Sams Mexico]:[Savings - Sams China]])+Table1[[#This Row],[Savings - IND]]</f>
        <v>0</v>
      </c>
      <c r="BX29">
        <f>SUM(Table1[[#This Row],[Spend - CAN]:[Spend - SAF]])+SUM(Table1[[#This Row],[Spend - Sams Mexico]:[Spend - Sams China]])+Table1[[#This Row],[Spend - IND]]</f>
        <v>0</v>
      </c>
      <c r="BY29">
        <f>SUM(Table1[[#This Row],[Savings - CAN]:[Savings - SAF]])+SUM(Table1[[#This Row],[Savings - Sams Mexico]:[Savings - Sams China]])+Table1[[#This Row],[Savings - IND]]</f>
        <v>0</v>
      </c>
      <c r="BZ29">
        <f>SUM(Table1[[#This Row],[Spend - US]:[Spend - Sams]])</f>
        <v>0</v>
      </c>
      <c r="CA29">
        <f>SUM(Table1[[#This Row],[Savings - US]:[Savings - Sams]])</f>
        <v>0</v>
      </c>
      <c r="CB29">
        <f>SUM(Table1[[#This Row],[Cost Avoidance - CAN2]:[Cost Avoidance - SAF10]])+SUM(Table1[[#This Row],[Cost Avoidance - Sams Mexico]:[Cost Avoidance - Sams China]])+Table1[[#This Row],[Cost Avoidance - IND]]</f>
        <v>0</v>
      </c>
      <c r="CC29">
        <f>SUM(Table1[[#This Row],[Cost Avoidance - US11]:[Cost Avoidance - Sams12]])</f>
        <v>0</v>
      </c>
      <c r="CD29" t="str">
        <f>_xlfn.XLOOKUP(Table1[[#This Row],[Status]],Status_Lookups[Status],Status_Lookups[Value],"")</f>
        <v/>
      </c>
    </row>
    <row r="30" spans="1:82">
      <c r="A30">
        <v>2</v>
      </c>
      <c r="B30" t="s">
        <v>452</v>
      </c>
      <c r="C30" t="s">
        <v>43</v>
      </c>
      <c r="D30" t="s">
        <v>39</v>
      </c>
      <c r="E30" s="15">
        <v>0</v>
      </c>
      <c r="F30" s="15">
        <v>0</v>
      </c>
      <c r="G30" s="15"/>
      <c r="H30" s="15"/>
      <c r="I30" t="s">
        <v>458</v>
      </c>
      <c r="J30">
        <v>0</v>
      </c>
      <c r="K30">
        <v>0</v>
      </c>
      <c r="L30">
        <v>0</v>
      </c>
      <c r="M30">
        <v>49200000</v>
      </c>
      <c r="N30">
        <v>2300000</v>
      </c>
      <c r="O30">
        <v>500000</v>
      </c>
      <c r="P30">
        <v>400000</v>
      </c>
      <c r="Q30">
        <v>0</v>
      </c>
      <c r="R30">
        <v>0</v>
      </c>
      <c r="S30">
        <v>200000</v>
      </c>
      <c r="T30">
        <v>14700000</v>
      </c>
      <c r="U30">
        <v>0</v>
      </c>
      <c r="V30">
        <v>0</v>
      </c>
      <c r="W30">
        <v>0</v>
      </c>
      <c r="X30" t="s">
        <v>78</v>
      </c>
      <c r="Y30" s="16">
        <v>44242.484347916667</v>
      </c>
      <c r="Z30" s="17" t="str">
        <f>_xlfn.XLOOKUP(Table1[[#This Row],[Phase]],'Lookup tables'!$Y$27:$Y$60,'Lookup tables'!$Z$27:$Z$60,"Not Updated")</f>
        <v>Exploratory</v>
      </c>
      <c r="AA30" s="17" t="s">
        <v>627</v>
      </c>
      <c r="AB30">
        <v>0</v>
      </c>
      <c r="AC30">
        <v>0</v>
      </c>
      <c r="AD30">
        <v>0</v>
      </c>
      <c r="AE30">
        <v>0</v>
      </c>
      <c r="AF30">
        <v>0</v>
      </c>
      <c r="AG30">
        <v>0</v>
      </c>
      <c r="AH30">
        <v>0</v>
      </c>
      <c r="AI30">
        <v>0</v>
      </c>
      <c r="AJ30">
        <v>0</v>
      </c>
      <c r="AK30">
        <v>0</v>
      </c>
      <c r="AL30">
        <v>0</v>
      </c>
      <c r="BG30" s="185"/>
      <c r="BH30" s="185"/>
      <c r="BI30" s="185"/>
      <c r="BJ30" s="185"/>
      <c r="BK30" s="185"/>
      <c r="BL30" s="185"/>
      <c r="BM30" s="185"/>
      <c r="BN30" s="185"/>
      <c r="BO30" s="185"/>
      <c r="BP30" s="185"/>
      <c r="BQ30" s="185"/>
      <c r="BR30" s="185"/>
      <c r="BS30" s="185"/>
      <c r="BT30" s="185"/>
      <c r="BU30" t="b">
        <f>IF(_xlfn.MAXIFS(Table1[Sl No],Table1[Category],Table1[[#This Row],[Category]],Table1[Execution Year],Table1[[#This Row],[Execution Year]])=Table1[[#This Row],[Sl No]],TRUE,FALSE)</f>
        <v>0</v>
      </c>
      <c r="BV30" s="201">
        <f>SUM(Table1[[#This Row],[Spend - CAN]:[Spend - Sams]])+SUM(Table1[[#This Row],[Spend - Sams Mexico]:[Spend - Sams China]])+Table1[[#This Row],[Spend - IND]]</f>
        <v>67300000</v>
      </c>
      <c r="BW30">
        <f>SUM(Table1[[#This Row],[Savings - CAN]:[Savings - Sams]])+SUM(Table1[[#This Row],[Savings - Sams Mexico]:[Savings - Sams China]])+Table1[[#This Row],[Savings - IND]]</f>
        <v>0</v>
      </c>
      <c r="BX30">
        <f>SUM(Table1[[#This Row],[Spend - CAN]:[Spend - SAF]])+SUM(Table1[[#This Row],[Spend - Sams Mexico]:[Spend - Sams China]])+Table1[[#This Row],[Spend - IND]]</f>
        <v>67300000</v>
      </c>
      <c r="BY30">
        <f>SUM(Table1[[#This Row],[Savings - CAN]:[Savings - SAF]])+SUM(Table1[[#This Row],[Savings - Sams Mexico]:[Savings - Sams China]])+Table1[[#This Row],[Savings - IND]]</f>
        <v>0</v>
      </c>
      <c r="BZ30">
        <f>SUM(Table1[[#This Row],[Spend - US]:[Spend - Sams]])</f>
        <v>0</v>
      </c>
      <c r="CA30">
        <f>SUM(Table1[[#This Row],[Savings - US]:[Savings - Sams]])</f>
        <v>0</v>
      </c>
      <c r="CB30">
        <f>SUM(Table1[[#This Row],[Cost Avoidance - CAN2]:[Cost Avoidance - SAF10]])+SUM(Table1[[#This Row],[Cost Avoidance - Sams Mexico]:[Cost Avoidance - Sams China]])+Table1[[#This Row],[Cost Avoidance - IND]]</f>
        <v>0</v>
      </c>
      <c r="CC30">
        <f>SUM(Table1[[#This Row],[Cost Avoidance - US11]:[Cost Avoidance - Sams12]])</f>
        <v>0</v>
      </c>
      <c r="CD30" t="str">
        <f>_xlfn.XLOOKUP(Table1[[#This Row],[Status]],Status_Lookups[Status],Status_Lookups[Value],"")</f>
        <v/>
      </c>
    </row>
    <row r="31" spans="1:82">
      <c r="A31">
        <v>3</v>
      </c>
      <c r="B31" t="s">
        <v>452</v>
      </c>
      <c r="C31" t="s">
        <v>43</v>
      </c>
      <c r="D31" t="s">
        <v>39</v>
      </c>
      <c r="E31" s="15">
        <v>44440</v>
      </c>
      <c r="F31" s="15">
        <v>44530</v>
      </c>
      <c r="G31" s="15"/>
      <c r="H31" s="15"/>
      <c r="I31" t="s">
        <v>458</v>
      </c>
      <c r="J31">
        <v>0</v>
      </c>
      <c r="K31">
        <v>0</v>
      </c>
      <c r="L31">
        <v>0</v>
      </c>
      <c r="M31">
        <v>49200000</v>
      </c>
      <c r="N31">
        <v>2300000</v>
      </c>
      <c r="O31">
        <v>500000</v>
      </c>
      <c r="P31">
        <v>400000</v>
      </c>
      <c r="Q31">
        <v>0</v>
      </c>
      <c r="R31">
        <v>0</v>
      </c>
      <c r="S31">
        <v>200000</v>
      </c>
      <c r="T31">
        <v>14700000</v>
      </c>
      <c r="U31">
        <v>0</v>
      </c>
      <c r="V31">
        <v>0</v>
      </c>
      <c r="W31">
        <v>0</v>
      </c>
      <c r="X31" t="s">
        <v>78</v>
      </c>
      <c r="Y31" s="16">
        <v>44245.674892824078</v>
      </c>
      <c r="Z31" s="17" t="str">
        <f>_xlfn.XLOOKUP(Table1[[#This Row],[Phase]],'Lookup tables'!$Y$27:$Y$60,'Lookup tables'!$Z$27:$Z$60,"Not Updated")</f>
        <v>Exploratory</v>
      </c>
      <c r="AA31" s="17" t="s">
        <v>627</v>
      </c>
      <c r="AB31">
        <v>0</v>
      </c>
      <c r="AC31">
        <v>0</v>
      </c>
      <c r="AD31">
        <v>0</v>
      </c>
      <c r="AE31">
        <v>0</v>
      </c>
      <c r="AF31">
        <v>0</v>
      </c>
      <c r="AG31">
        <v>0</v>
      </c>
      <c r="AH31">
        <v>0</v>
      </c>
      <c r="AI31">
        <v>0</v>
      </c>
      <c r="AJ31">
        <v>0</v>
      </c>
      <c r="AK31">
        <v>0</v>
      </c>
      <c r="AL31">
        <v>0</v>
      </c>
      <c r="BG31" s="185"/>
      <c r="BH31" s="185"/>
      <c r="BI31" s="185"/>
      <c r="BJ31" s="185"/>
      <c r="BK31" s="185"/>
      <c r="BL31" s="185"/>
      <c r="BM31" s="185"/>
      <c r="BN31" s="185"/>
      <c r="BO31" s="185"/>
      <c r="BP31" s="185"/>
      <c r="BQ31" s="185"/>
      <c r="BR31" s="185"/>
      <c r="BS31" s="185"/>
      <c r="BT31" s="185"/>
      <c r="BU31" t="b">
        <f>IF(_xlfn.MAXIFS(Table1[Sl No],Table1[Category],Table1[[#This Row],[Category]],Table1[Execution Year],Table1[[#This Row],[Execution Year]])=Table1[[#This Row],[Sl No]],TRUE,FALSE)</f>
        <v>0</v>
      </c>
      <c r="BV31" s="201">
        <f>SUM(Table1[[#This Row],[Spend - CAN]:[Spend - Sams]])+SUM(Table1[[#This Row],[Spend - Sams Mexico]:[Spend - Sams China]])+Table1[[#This Row],[Spend - IND]]</f>
        <v>67300000</v>
      </c>
      <c r="BW31">
        <f>SUM(Table1[[#This Row],[Savings - CAN]:[Savings - Sams]])+SUM(Table1[[#This Row],[Savings - Sams Mexico]:[Savings - Sams China]])+Table1[[#This Row],[Savings - IND]]</f>
        <v>0</v>
      </c>
      <c r="BX31">
        <f>SUM(Table1[[#This Row],[Spend - CAN]:[Spend - SAF]])+SUM(Table1[[#This Row],[Spend - Sams Mexico]:[Spend - Sams China]])+Table1[[#This Row],[Spend - IND]]</f>
        <v>67300000</v>
      </c>
      <c r="BY31">
        <f>SUM(Table1[[#This Row],[Savings - CAN]:[Savings - SAF]])+SUM(Table1[[#This Row],[Savings - Sams Mexico]:[Savings - Sams China]])+Table1[[#This Row],[Savings - IND]]</f>
        <v>0</v>
      </c>
      <c r="BZ31">
        <f>SUM(Table1[[#This Row],[Spend - US]:[Spend - Sams]])</f>
        <v>0</v>
      </c>
      <c r="CA31">
        <f>SUM(Table1[[#This Row],[Savings - US]:[Savings - Sams]])</f>
        <v>0</v>
      </c>
      <c r="CB31">
        <f>SUM(Table1[[#This Row],[Cost Avoidance - CAN2]:[Cost Avoidance - SAF10]])+SUM(Table1[[#This Row],[Cost Avoidance - Sams Mexico]:[Cost Avoidance - Sams China]])+Table1[[#This Row],[Cost Avoidance - IND]]</f>
        <v>0</v>
      </c>
      <c r="CC31">
        <f>SUM(Table1[[#This Row],[Cost Avoidance - US11]:[Cost Avoidance - Sams12]])</f>
        <v>0</v>
      </c>
      <c r="CD31" t="str">
        <f>_xlfn.XLOOKUP(Table1[[#This Row],[Status]],Status_Lookups[Status],Status_Lookups[Value],"")</f>
        <v/>
      </c>
    </row>
    <row r="32" spans="1:82">
      <c r="A32">
        <v>4</v>
      </c>
      <c r="B32" t="s">
        <v>452</v>
      </c>
      <c r="C32" t="s">
        <v>43</v>
      </c>
      <c r="D32" t="s">
        <v>39</v>
      </c>
      <c r="E32" s="15">
        <v>44440</v>
      </c>
      <c r="F32" s="15">
        <v>44530</v>
      </c>
      <c r="G32" s="15"/>
      <c r="H32" s="15"/>
      <c r="I32" t="s">
        <v>458</v>
      </c>
      <c r="J32">
        <v>0</v>
      </c>
      <c r="K32">
        <v>0</v>
      </c>
      <c r="L32">
        <v>0</v>
      </c>
      <c r="M32">
        <v>2263801.75</v>
      </c>
      <c r="N32">
        <v>1875882.18</v>
      </c>
      <c r="O32">
        <v>2727526.19</v>
      </c>
      <c r="P32">
        <v>1198609.69</v>
      </c>
      <c r="Q32">
        <v>304904.07</v>
      </c>
      <c r="R32">
        <v>354460</v>
      </c>
      <c r="S32">
        <v>16795.57</v>
      </c>
      <c r="T32">
        <v>9476781.9399999995</v>
      </c>
      <c r="U32">
        <v>0</v>
      </c>
      <c r="V32">
        <v>0</v>
      </c>
      <c r="W32">
        <v>0</v>
      </c>
      <c r="X32" t="s">
        <v>78</v>
      </c>
      <c r="Y32" s="16">
        <v>44291.619049074077</v>
      </c>
      <c r="Z32" s="17" t="str">
        <f>_xlfn.XLOOKUP(Table1[[#This Row],[Phase]],'Lookup tables'!$Y$27:$Y$60,'Lookup tables'!$Z$27:$Z$60,"Not Updated")</f>
        <v>Exploratory</v>
      </c>
      <c r="AA32" s="17" t="s">
        <v>627</v>
      </c>
      <c r="AB32">
        <v>0</v>
      </c>
      <c r="AC32">
        <v>0</v>
      </c>
      <c r="AD32">
        <v>0</v>
      </c>
      <c r="AE32">
        <v>0</v>
      </c>
      <c r="AF32">
        <v>0</v>
      </c>
      <c r="AG32">
        <v>0</v>
      </c>
      <c r="AH32">
        <v>0</v>
      </c>
      <c r="AI32">
        <v>0</v>
      </c>
      <c r="AJ32">
        <v>0</v>
      </c>
      <c r="AK32">
        <v>0</v>
      </c>
      <c r="AL32">
        <v>0</v>
      </c>
      <c r="AM32">
        <v>0</v>
      </c>
      <c r="AN32">
        <v>0</v>
      </c>
      <c r="AO32">
        <v>0</v>
      </c>
      <c r="AP32">
        <v>0</v>
      </c>
      <c r="AQ32">
        <v>0</v>
      </c>
      <c r="AR32">
        <v>0</v>
      </c>
      <c r="AS32">
        <v>0</v>
      </c>
      <c r="AT32">
        <v>0</v>
      </c>
      <c r="AU32">
        <v>0</v>
      </c>
      <c r="AV32">
        <v>0</v>
      </c>
      <c r="AW32">
        <v>0</v>
      </c>
      <c r="BG32" s="185"/>
      <c r="BH32" s="185"/>
      <c r="BI32" s="185"/>
      <c r="BJ32" s="185"/>
      <c r="BK32" s="185"/>
      <c r="BL32" s="185"/>
      <c r="BM32" s="185"/>
      <c r="BN32" s="185"/>
      <c r="BO32" s="185"/>
      <c r="BP32" s="185"/>
      <c r="BQ32" s="185"/>
      <c r="BR32" s="185"/>
      <c r="BS32" s="185"/>
      <c r="BT32" s="185"/>
      <c r="BU32" t="b">
        <f>IF(_xlfn.MAXIFS(Table1[Sl No],Table1[Category],Table1[[#This Row],[Category]],Table1[Execution Year],Table1[[#This Row],[Execution Year]])=Table1[[#This Row],[Sl No]],TRUE,FALSE)</f>
        <v>0</v>
      </c>
      <c r="BV32" s="201">
        <f>SUM(Table1[[#This Row],[Spend - CAN]:[Spend - Sams]])+SUM(Table1[[#This Row],[Spend - Sams Mexico]:[Spend - Sams China]])+Table1[[#This Row],[Spend - IND]]</f>
        <v>18218761.390000001</v>
      </c>
      <c r="BW32">
        <f>SUM(Table1[[#This Row],[Savings - CAN]:[Savings - Sams]])+SUM(Table1[[#This Row],[Savings - Sams Mexico]:[Savings - Sams China]])+Table1[[#This Row],[Savings - IND]]</f>
        <v>0</v>
      </c>
      <c r="BX32">
        <f>SUM(Table1[[#This Row],[Spend - CAN]:[Spend - SAF]])+SUM(Table1[[#This Row],[Spend - Sams Mexico]:[Spend - Sams China]])+Table1[[#This Row],[Spend - IND]]</f>
        <v>18218761.390000001</v>
      </c>
      <c r="BY32">
        <f>SUM(Table1[[#This Row],[Savings - CAN]:[Savings - SAF]])+SUM(Table1[[#This Row],[Savings - Sams Mexico]:[Savings - Sams China]])+Table1[[#This Row],[Savings - IND]]</f>
        <v>0</v>
      </c>
      <c r="BZ32">
        <f>SUM(Table1[[#This Row],[Spend - US]:[Spend - Sams]])</f>
        <v>0</v>
      </c>
      <c r="CA32">
        <f>SUM(Table1[[#This Row],[Savings - US]:[Savings - Sams]])</f>
        <v>0</v>
      </c>
      <c r="CB32">
        <f>SUM(Table1[[#This Row],[Cost Avoidance - CAN2]:[Cost Avoidance - SAF10]])+SUM(Table1[[#This Row],[Cost Avoidance - Sams Mexico]:[Cost Avoidance - Sams China]])+Table1[[#This Row],[Cost Avoidance - IND]]</f>
        <v>0</v>
      </c>
      <c r="CC32">
        <f>SUM(Table1[[#This Row],[Cost Avoidance - US11]:[Cost Avoidance - Sams12]])</f>
        <v>0</v>
      </c>
      <c r="CD32" t="str">
        <f>_xlfn.XLOOKUP(Table1[[#This Row],[Status]],Status_Lookups[Status],Status_Lookups[Value],"")</f>
        <v/>
      </c>
    </row>
    <row r="33" spans="1:82">
      <c r="A33">
        <v>5</v>
      </c>
      <c r="B33" t="s">
        <v>452</v>
      </c>
      <c r="C33" t="s">
        <v>43</v>
      </c>
      <c r="D33" t="s">
        <v>39</v>
      </c>
      <c r="E33" s="15">
        <v>44440</v>
      </c>
      <c r="F33" s="15">
        <v>44530</v>
      </c>
      <c r="G33" s="15"/>
      <c r="H33" s="15"/>
      <c r="I33" t="s">
        <v>458</v>
      </c>
      <c r="J33">
        <v>0</v>
      </c>
      <c r="K33">
        <v>0</v>
      </c>
      <c r="L33">
        <v>0</v>
      </c>
      <c r="M33">
        <v>2263801.75</v>
      </c>
      <c r="N33">
        <v>1875882.18</v>
      </c>
      <c r="O33">
        <v>2727526.19</v>
      </c>
      <c r="P33">
        <v>1198609.69</v>
      </c>
      <c r="Q33">
        <v>304904.07</v>
      </c>
      <c r="R33">
        <v>354460</v>
      </c>
      <c r="S33">
        <v>16795.57</v>
      </c>
      <c r="T33">
        <v>9476781.9399999995</v>
      </c>
      <c r="U33">
        <v>0</v>
      </c>
      <c r="V33">
        <v>0</v>
      </c>
      <c r="W33">
        <v>0</v>
      </c>
      <c r="X33" t="s">
        <v>78</v>
      </c>
      <c r="Y33" s="16">
        <v>44301.59514085648</v>
      </c>
      <c r="Z33" s="17" t="str">
        <f>_xlfn.XLOOKUP(Table1[[#This Row],[Phase]],'Lookup tables'!$Y$27:$Y$60,'Lookup tables'!$Z$27:$Z$60,"Not Updated")</f>
        <v>Exploratory</v>
      </c>
      <c r="AA33" s="17" t="s">
        <v>627</v>
      </c>
      <c r="AB33">
        <v>0</v>
      </c>
      <c r="AC33">
        <v>0</v>
      </c>
      <c r="AD33">
        <v>0</v>
      </c>
      <c r="AE33">
        <v>0</v>
      </c>
      <c r="AF33">
        <v>0</v>
      </c>
      <c r="AG33">
        <v>0</v>
      </c>
      <c r="AH33">
        <v>0</v>
      </c>
      <c r="AI33">
        <v>0</v>
      </c>
      <c r="AJ33">
        <v>0</v>
      </c>
      <c r="AK33">
        <v>0</v>
      </c>
      <c r="AL33">
        <v>0</v>
      </c>
      <c r="AM33">
        <v>0</v>
      </c>
      <c r="AN33">
        <v>0</v>
      </c>
      <c r="AO33">
        <v>0</v>
      </c>
      <c r="AP33">
        <v>0</v>
      </c>
      <c r="AQ33">
        <v>0</v>
      </c>
      <c r="AR33">
        <v>0</v>
      </c>
      <c r="AS33">
        <v>0</v>
      </c>
      <c r="AT33">
        <v>0</v>
      </c>
      <c r="AU33">
        <v>0</v>
      </c>
      <c r="AV33">
        <v>0</v>
      </c>
      <c r="AW33">
        <v>0</v>
      </c>
      <c r="BG33" s="185"/>
      <c r="BH33" s="185"/>
      <c r="BI33" s="185"/>
      <c r="BJ33" s="185"/>
      <c r="BK33" s="185"/>
      <c r="BL33" s="185"/>
      <c r="BM33" s="185"/>
      <c r="BN33" s="185"/>
      <c r="BO33" s="185"/>
      <c r="BP33" s="185"/>
      <c r="BQ33" s="185"/>
      <c r="BR33" s="185"/>
      <c r="BS33" s="185"/>
      <c r="BT33" s="185"/>
      <c r="BU33" t="b">
        <f>IF(_xlfn.MAXIFS(Table1[Sl No],Table1[Category],Table1[[#This Row],[Category]],Table1[Execution Year],Table1[[#This Row],[Execution Year]])=Table1[[#This Row],[Sl No]],TRUE,FALSE)</f>
        <v>0</v>
      </c>
      <c r="BV33" s="201">
        <f>SUM(Table1[[#This Row],[Spend - CAN]:[Spend - Sams]])+SUM(Table1[[#This Row],[Spend - Sams Mexico]:[Spend - Sams China]])+Table1[[#This Row],[Spend - IND]]</f>
        <v>18218761.390000001</v>
      </c>
      <c r="BW33">
        <f>SUM(Table1[[#This Row],[Savings - CAN]:[Savings - Sams]])+SUM(Table1[[#This Row],[Savings - Sams Mexico]:[Savings - Sams China]])+Table1[[#This Row],[Savings - IND]]</f>
        <v>0</v>
      </c>
      <c r="BX33">
        <f>SUM(Table1[[#This Row],[Spend - CAN]:[Spend - SAF]])+SUM(Table1[[#This Row],[Spend - Sams Mexico]:[Spend - Sams China]])+Table1[[#This Row],[Spend - IND]]</f>
        <v>18218761.390000001</v>
      </c>
      <c r="BY33">
        <f>SUM(Table1[[#This Row],[Savings - CAN]:[Savings - SAF]])+SUM(Table1[[#This Row],[Savings - Sams Mexico]:[Savings - Sams China]])+Table1[[#This Row],[Savings - IND]]</f>
        <v>0</v>
      </c>
      <c r="BZ33">
        <f>SUM(Table1[[#This Row],[Spend - US]:[Spend - Sams]])</f>
        <v>0</v>
      </c>
      <c r="CA33">
        <f>SUM(Table1[[#This Row],[Savings - US]:[Savings - Sams]])</f>
        <v>0</v>
      </c>
      <c r="CB33">
        <f>SUM(Table1[[#This Row],[Cost Avoidance - CAN2]:[Cost Avoidance - SAF10]])+SUM(Table1[[#This Row],[Cost Avoidance - Sams Mexico]:[Cost Avoidance - Sams China]])+Table1[[#This Row],[Cost Avoidance - IND]]</f>
        <v>0</v>
      </c>
      <c r="CC33">
        <f>SUM(Table1[[#This Row],[Cost Avoidance - US11]:[Cost Avoidance - Sams12]])</f>
        <v>0</v>
      </c>
      <c r="CD33" t="str">
        <f>_xlfn.XLOOKUP(Table1[[#This Row],[Status]],Status_Lookups[Status],Status_Lookups[Value],"")</f>
        <v/>
      </c>
    </row>
    <row r="34" spans="1:82">
      <c r="A34">
        <v>6</v>
      </c>
      <c r="B34" t="s">
        <v>452</v>
      </c>
      <c r="C34" t="s">
        <v>43</v>
      </c>
      <c r="D34" t="s">
        <v>39</v>
      </c>
      <c r="E34" s="15">
        <v>44440</v>
      </c>
      <c r="F34" s="15">
        <v>44530</v>
      </c>
      <c r="G34" s="15"/>
      <c r="H34" s="15"/>
      <c r="I34" t="s">
        <v>449</v>
      </c>
      <c r="J34">
        <v>0</v>
      </c>
      <c r="K34">
        <v>0</v>
      </c>
      <c r="L34">
        <v>0</v>
      </c>
      <c r="M34">
        <v>2263801.75</v>
      </c>
      <c r="N34">
        <v>1875882.18</v>
      </c>
      <c r="O34">
        <v>2727526.19</v>
      </c>
      <c r="P34">
        <v>1198609.69</v>
      </c>
      <c r="Q34">
        <v>304904.07</v>
      </c>
      <c r="R34">
        <v>354460</v>
      </c>
      <c r="S34">
        <v>16795.57</v>
      </c>
      <c r="T34">
        <v>9476781.9399999995</v>
      </c>
      <c r="U34">
        <v>0</v>
      </c>
      <c r="V34">
        <v>0</v>
      </c>
      <c r="W34">
        <v>0</v>
      </c>
      <c r="X34" t="s">
        <v>78</v>
      </c>
      <c r="Y34" s="16">
        <v>44301.596408449077</v>
      </c>
      <c r="Z34" s="17" t="str">
        <f>_xlfn.XLOOKUP(Table1[[#This Row],[Phase]],'Lookup tables'!$Y$27:$Y$60,'Lookup tables'!$Z$27:$Z$60,"Not Updated")</f>
        <v>Cancelled</v>
      </c>
      <c r="AA34" s="17" t="s">
        <v>627</v>
      </c>
      <c r="AB34">
        <v>0</v>
      </c>
      <c r="AC34">
        <v>0</v>
      </c>
      <c r="AD34">
        <v>0</v>
      </c>
      <c r="AE34">
        <v>0</v>
      </c>
      <c r="AF34">
        <v>0</v>
      </c>
      <c r="AG34">
        <v>0</v>
      </c>
      <c r="AH34">
        <v>0</v>
      </c>
      <c r="AI34">
        <v>0</v>
      </c>
      <c r="AJ34">
        <v>0</v>
      </c>
      <c r="AK34">
        <v>0</v>
      </c>
      <c r="AL34">
        <v>0</v>
      </c>
      <c r="AM34">
        <v>0</v>
      </c>
      <c r="AN34">
        <v>0</v>
      </c>
      <c r="AO34">
        <v>0</v>
      </c>
      <c r="AP34">
        <v>0</v>
      </c>
      <c r="AQ34">
        <v>0</v>
      </c>
      <c r="AR34">
        <v>0</v>
      </c>
      <c r="AS34">
        <v>0</v>
      </c>
      <c r="AT34">
        <v>0</v>
      </c>
      <c r="AU34">
        <v>0</v>
      </c>
      <c r="AV34">
        <v>0</v>
      </c>
      <c r="AW34">
        <v>0</v>
      </c>
      <c r="BG34" s="185"/>
      <c r="BH34" s="185"/>
      <c r="BI34" s="185"/>
      <c r="BJ34" s="185"/>
      <c r="BK34" s="185"/>
      <c r="BL34" s="185"/>
      <c r="BM34" s="185"/>
      <c r="BN34" s="185"/>
      <c r="BO34" s="185"/>
      <c r="BP34" s="185"/>
      <c r="BQ34" s="185"/>
      <c r="BR34" s="185"/>
      <c r="BS34" s="185"/>
      <c r="BT34" s="185"/>
      <c r="BU34" t="b">
        <f>IF(_xlfn.MAXIFS(Table1[Sl No],Table1[Category],Table1[[#This Row],[Category]],Table1[Execution Year],Table1[[#This Row],[Execution Year]])=Table1[[#This Row],[Sl No]],TRUE,FALSE)</f>
        <v>1</v>
      </c>
      <c r="BV34" s="201">
        <f>SUM(Table1[[#This Row],[Spend - CAN]:[Spend - Sams]])+SUM(Table1[[#This Row],[Spend - Sams Mexico]:[Spend - Sams China]])+Table1[[#This Row],[Spend - IND]]</f>
        <v>18218761.390000001</v>
      </c>
      <c r="BW34">
        <f>SUM(Table1[[#This Row],[Savings - CAN]:[Savings - Sams]])+SUM(Table1[[#This Row],[Savings - Sams Mexico]:[Savings - Sams China]])+Table1[[#This Row],[Savings - IND]]</f>
        <v>0</v>
      </c>
      <c r="BX34">
        <f>SUM(Table1[[#This Row],[Spend - CAN]:[Spend - SAF]])+SUM(Table1[[#This Row],[Spend - Sams Mexico]:[Spend - Sams China]])+Table1[[#This Row],[Spend - IND]]</f>
        <v>18218761.390000001</v>
      </c>
      <c r="BY34">
        <f>SUM(Table1[[#This Row],[Savings - CAN]:[Savings - SAF]])+SUM(Table1[[#This Row],[Savings - Sams Mexico]:[Savings - Sams China]])+Table1[[#This Row],[Savings - IND]]</f>
        <v>0</v>
      </c>
      <c r="BZ34">
        <f>SUM(Table1[[#This Row],[Spend - US]:[Spend - Sams]])</f>
        <v>0</v>
      </c>
      <c r="CA34">
        <f>SUM(Table1[[#This Row],[Savings - US]:[Savings - Sams]])</f>
        <v>0</v>
      </c>
      <c r="CB34">
        <f>SUM(Table1[[#This Row],[Cost Avoidance - CAN2]:[Cost Avoidance - SAF10]])+SUM(Table1[[#This Row],[Cost Avoidance - Sams Mexico]:[Cost Avoidance - Sams China]])+Table1[[#This Row],[Cost Avoidance - IND]]</f>
        <v>0</v>
      </c>
      <c r="CC34">
        <f>SUM(Table1[[#This Row],[Cost Avoidance - US11]:[Cost Avoidance - Sams12]])</f>
        <v>0</v>
      </c>
      <c r="CD34" t="str">
        <f>_xlfn.XLOOKUP(Table1[[#This Row],[Status]],Status_Lookups[Status],Status_Lookups[Value],"")</f>
        <v/>
      </c>
    </row>
    <row r="35" spans="1:82">
      <c r="A35">
        <v>1</v>
      </c>
      <c r="B35" t="s">
        <v>536</v>
      </c>
      <c r="C35" t="s">
        <v>33</v>
      </c>
      <c r="D35" t="s">
        <v>39</v>
      </c>
      <c r="E35" s="15"/>
      <c r="F35" s="15"/>
      <c r="G35" s="15"/>
      <c r="H35" s="15"/>
      <c r="I35" t="s">
        <v>415</v>
      </c>
      <c r="J35" t="s">
        <v>459</v>
      </c>
      <c r="K35" t="s">
        <v>514</v>
      </c>
      <c r="X35" t="s">
        <v>47</v>
      </c>
      <c r="Y35" s="16">
        <v>44701.387036342596</v>
      </c>
      <c r="Z35" s="17" t="str">
        <f>_xlfn.XLOOKUP(Table1[[#This Row],[Phase]],'Lookup tables'!$Y$27:$Y$60,'Lookup tables'!$Z$27:$Z$60,"Not Updated")</f>
        <v>Award</v>
      </c>
      <c r="AA35" s="17"/>
      <c r="BG35" s="185"/>
      <c r="BH35" s="185"/>
      <c r="BI35" s="185"/>
      <c r="BJ35" s="185"/>
      <c r="BK35" s="185"/>
      <c r="BL35" s="185"/>
      <c r="BM35" s="185"/>
      <c r="BN35" s="185"/>
      <c r="BO35" s="185"/>
      <c r="BP35" s="185"/>
      <c r="BQ35" s="185"/>
      <c r="BR35" s="185"/>
      <c r="BS35" s="185"/>
      <c r="BT35" s="185"/>
      <c r="BU35" t="b">
        <f>IF(_xlfn.MAXIFS(Table1[Sl No],Table1[Category],Table1[[#This Row],[Category]],Table1[Execution Year],Table1[[#This Row],[Execution Year]])=Table1[[#This Row],[Sl No]],TRUE,FALSE)</f>
        <v>0</v>
      </c>
      <c r="BV35" s="201">
        <f>SUM(Table1[[#This Row],[Spend - CAN]:[Spend - Sams]])+SUM(Table1[[#This Row],[Spend - Sams Mexico]:[Spend - Sams China]])+Table1[[#This Row],[Spend - IND]]</f>
        <v>0</v>
      </c>
      <c r="BW35">
        <f>SUM(Table1[[#This Row],[Savings - CAN]:[Savings - Sams]])+SUM(Table1[[#This Row],[Savings - Sams Mexico]:[Savings - Sams China]])+Table1[[#This Row],[Savings - IND]]</f>
        <v>0</v>
      </c>
      <c r="BX35">
        <f>SUM(Table1[[#This Row],[Spend - CAN]:[Spend - SAF]])+SUM(Table1[[#This Row],[Spend - Sams Mexico]:[Spend - Sams China]])+Table1[[#This Row],[Spend - IND]]</f>
        <v>0</v>
      </c>
      <c r="BY35">
        <f>SUM(Table1[[#This Row],[Savings - CAN]:[Savings - SAF]])+SUM(Table1[[#This Row],[Savings - Sams Mexico]:[Savings - Sams China]])+Table1[[#This Row],[Savings - IND]]</f>
        <v>0</v>
      </c>
      <c r="BZ35">
        <f>SUM(Table1[[#This Row],[Spend - US]:[Spend - Sams]])</f>
        <v>0</v>
      </c>
      <c r="CA35">
        <f>SUM(Table1[[#This Row],[Savings - US]:[Savings - Sams]])</f>
        <v>0</v>
      </c>
      <c r="CB35">
        <f>SUM(Table1[[#This Row],[Cost Avoidance - CAN2]:[Cost Avoidance - SAF10]])+SUM(Table1[[#This Row],[Cost Avoidance - Sams Mexico]:[Cost Avoidance - Sams China]])+Table1[[#This Row],[Cost Avoidance - IND]]</f>
        <v>0</v>
      </c>
      <c r="CC35">
        <f>SUM(Table1[[#This Row],[Cost Avoidance - US11]:[Cost Avoidance - Sams12]])</f>
        <v>0</v>
      </c>
      <c r="CD35">
        <f>_xlfn.XLOOKUP(Table1[[#This Row],[Status]],Status_Lookups[Status],Status_Lookups[Value],"")</f>
        <v>0.3</v>
      </c>
    </row>
    <row r="36" spans="1:82">
      <c r="A36">
        <v>2</v>
      </c>
      <c r="B36" t="s">
        <v>536</v>
      </c>
      <c r="C36" t="s">
        <v>33</v>
      </c>
      <c r="D36" t="s">
        <v>39</v>
      </c>
      <c r="E36" s="15">
        <v>0</v>
      </c>
      <c r="F36" s="15">
        <v>0</v>
      </c>
      <c r="G36" s="15">
        <v>0</v>
      </c>
      <c r="H36" s="15">
        <v>0</v>
      </c>
      <c r="I36" t="s">
        <v>415</v>
      </c>
      <c r="J36" t="s">
        <v>459</v>
      </c>
      <c r="K36" t="s">
        <v>514</v>
      </c>
      <c r="L36">
        <v>0</v>
      </c>
      <c r="M36">
        <v>0</v>
      </c>
      <c r="N36">
        <v>0</v>
      </c>
      <c r="O36">
        <v>0</v>
      </c>
      <c r="P36">
        <v>0</v>
      </c>
      <c r="Q36">
        <v>0</v>
      </c>
      <c r="R36">
        <v>0</v>
      </c>
      <c r="S36">
        <v>0</v>
      </c>
      <c r="T36">
        <v>0</v>
      </c>
      <c r="U36">
        <v>0</v>
      </c>
      <c r="V36">
        <v>0</v>
      </c>
      <c r="W36">
        <v>0</v>
      </c>
      <c r="X36" t="s">
        <v>514</v>
      </c>
      <c r="Y36" s="16">
        <v>44705.55444537037</v>
      </c>
      <c r="Z36" s="17" t="str">
        <f>_xlfn.XLOOKUP(Table1[[#This Row],[Phase]],'Lookup tables'!$Y$27:$Y$60,'Lookup tables'!$Z$27:$Z$60,"Not Updated")</f>
        <v>Award</v>
      </c>
      <c r="AA36" s="17">
        <v>0</v>
      </c>
      <c r="AB36">
        <v>0</v>
      </c>
      <c r="AC36">
        <v>0</v>
      </c>
      <c r="AD36">
        <v>0</v>
      </c>
      <c r="AE36">
        <v>0</v>
      </c>
      <c r="AF36">
        <v>0</v>
      </c>
      <c r="AG36">
        <v>0</v>
      </c>
      <c r="AH36">
        <v>0</v>
      </c>
      <c r="AI36">
        <v>0</v>
      </c>
      <c r="AJ36">
        <v>0</v>
      </c>
      <c r="AK36">
        <v>0</v>
      </c>
      <c r="AL36">
        <v>0</v>
      </c>
      <c r="AM36">
        <v>0</v>
      </c>
      <c r="AN36">
        <v>0</v>
      </c>
      <c r="AO36">
        <v>0</v>
      </c>
      <c r="AP36">
        <v>0</v>
      </c>
      <c r="AQ36">
        <v>0</v>
      </c>
      <c r="AR36">
        <v>0</v>
      </c>
      <c r="AS36">
        <v>0</v>
      </c>
      <c r="AT36">
        <v>0</v>
      </c>
      <c r="AU36">
        <v>0</v>
      </c>
      <c r="AV36">
        <v>0</v>
      </c>
      <c r="AW36">
        <v>0</v>
      </c>
      <c r="AX36">
        <v>0</v>
      </c>
      <c r="AY36">
        <v>0</v>
      </c>
      <c r="AZ36">
        <v>0</v>
      </c>
      <c r="BA36">
        <v>0</v>
      </c>
      <c r="BB36">
        <v>0</v>
      </c>
      <c r="BC36">
        <v>0</v>
      </c>
      <c r="BD36">
        <v>0</v>
      </c>
      <c r="BE36">
        <v>0</v>
      </c>
      <c r="BF36">
        <v>0</v>
      </c>
      <c r="BG36" s="185">
        <v>0</v>
      </c>
      <c r="BH36" s="185">
        <v>0</v>
      </c>
      <c r="BI36" s="185">
        <v>0</v>
      </c>
      <c r="BJ36" s="185">
        <v>0</v>
      </c>
      <c r="BK36" s="185">
        <v>0</v>
      </c>
      <c r="BL36" s="185">
        <v>0</v>
      </c>
      <c r="BM36" s="185">
        <v>0</v>
      </c>
      <c r="BN36" s="185">
        <v>0</v>
      </c>
      <c r="BO36" s="185" t="s">
        <v>628</v>
      </c>
      <c r="BP36" s="185">
        <v>0</v>
      </c>
      <c r="BQ36" s="185">
        <v>0</v>
      </c>
      <c r="BR36" s="185">
        <v>0</v>
      </c>
      <c r="BS36" s="185">
        <v>0</v>
      </c>
      <c r="BT36" s="185">
        <v>0</v>
      </c>
      <c r="BU36" t="b">
        <f>IF(_xlfn.MAXIFS(Table1[Sl No],Table1[Category],Table1[[#This Row],[Category]],Table1[Execution Year],Table1[[#This Row],[Execution Year]])=Table1[[#This Row],[Sl No]],TRUE,FALSE)</f>
        <v>1</v>
      </c>
      <c r="BV36" s="201">
        <f>SUM(Table1[[#This Row],[Spend - CAN]:[Spend - Sams]])+SUM(Table1[[#This Row],[Spend - Sams Mexico]:[Spend - Sams China]])+Table1[[#This Row],[Spend - IND]]</f>
        <v>0</v>
      </c>
      <c r="BW36">
        <f>SUM(Table1[[#This Row],[Savings - CAN]:[Savings - Sams]])+SUM(Table1[[#This Row],[Savings - Sams Mexico]:[Savings - Sams China]])+Table1[[#This Row],[Savings - IND]]</f>
        <v>0</v>
      </c>
      <c r="BX36">
        <f>SUM(Table1[[#This Row],[Spend - CAN]:[Spend - SAF]])+SUM(Table1[[#This Row],[Spend - Sams Mexico]:[Spend - Sams China]])+Table1[[#This Row],[Spend - IND]]</f>
        <v>0</v>
      </c>
      <c r="BY36">
        <f>SUM(Table1[[#This Row],[Savings - CAN]:[Savings - SAF]])+SUM(Table1[[#This Row],[Savings - Sams Mexico]:[Savings - Sams China]])+Table1[[#This Row],[Savings - IND]]</f>
        <v>0</v>
      </c>
      <c r="BZ36">
        <f>SUM(Table1[[#This Row],[Spend - US]:[Spend - Sams]])</f>
        <v>0</v>
      </c>
      <c r="CA36">
        <f>SUM(Table1[[#This Row],[Savings - US]:[Savings - Sams]])</f>
        <v>0</v>
      </c>
      <c r="CB36">
        <f>SUM(Table1[[#This Row],[Cost Avoidance - CAN2]:[Cost Avoidance - SAF10]])+SUM(Table1[[#This Row],[Cost Avoidance - Sams Mexico]:[Cost Avoidance - Sams China]])+Table1[[#This Row],[Cost Avoidance - IND]]</f>
        <v>0</v>
      </c>
      <c r="CC36">
        <f>SUM(Table1[[#This Row],[Cost Avoidance - US11]:[Cost Avoidance - Sams12]])</f>
        <v>0</v>
      </c>
      <c r="CD36">
        <f>_xlfn.XLOOKUP(Table1[[#This Row],[Status]],Status_Lookups[Status],Status_Lookups[Value],"")</f>
        <v>0.3</v>
      </c>
    </row>
    <row r="37" spans="1:82">
      <c r="A37">
        <v>1</v>
      </c>
      <c r="B37" t="s">
        <v>538</v>
      </c>
      <c r="C37" t="s">
        <v>33</v>
      </c>
      <c r="D37" t="s">
        <v>322</v>
      </c>
      <c r="E37" s="15"/>
      <c r="F37" s="15"/>
      <c r="G37" s="15"/>
      <c r="H37" s="15"/>
      <c r="I37" t="s">
        <v>413</v>
      </c>
      <c r="J37" t="s">
        <v>459</v>
      </c>
      <c r="K37" t="s">
        <v>514</v>
      </c>
      <c r="X37" t="s">
        <v>47</v>
      </c>
      <c r="Y37" s="16">
        <v>44701.387036342596</v>
      </c>
      <c r="Z37" s="17" t="str">
        <f>_xlfn.XLOOKUP(Table1[[#This Row],[Phase]],'Lookup tables'!$Y$27:$Y$60,'Lookup tables'!$Z$27:$Z$60,"Not Updated")</f>
        <v>Bid Prep</v>
      </c>
      <c r="AA37" s="17"/>
      <c r="BG37" s="185"/>
      <c r="BH37" s="185"/>
      <c r="BI37" s="185"/>
      <c r="BJ37" s="185"/>
      <c r="BK37" s="185"/>
      <c r="BL37" s="185"/>
      <c r="BM37" s="185"/>
      <c r="BN37" s="185"/>
      <c r="BO37" s="185"/>
      <c r="BP37" s="185"/>
      <c r="BQ37" s="185"/>
      <c r="BR37" s="185"/>
      <c r="BS37" s="185"/>
      <c r="BT37" s="185"/>
      <c r="BU37" t="b">
        <f>IF(_xlfn.MAXIFS(Table1[Sl No],Table1[Category],Table1[[#This Row],[Category]],Table1[Execution Year],Table1[[#This Row],[Execution Year]])=Table1[[#This Row],[Sl No]],TRUE,FALSE)</f>
        <v>1</v>
      </c>
      <c r="BV37" s="201">
        <f>SUM(Table1[[#This Row],[Spend - CAN]:[Spend - Sams]])+SUM(Table1[[#This Row],[Spend - Sams Mexico]:[Spend - Sams China]])+Table1[[#This Row],[Spend - IND]]</f>
        <v>0</v>
      </c>
      <c r="BW37">
        <f>SUM(Table1[[#This Row],[Savings - CAN]:[Savings - Sams]])+SUM(Table1[[#This Row],[Savings - Sams Mexico]:[Savings - Sams China]])+Table1[[#This Row],[Savings - IND]]</f>
        <v>0</v>
      </c>
      <c r="BX37">
        <f>SUM(Table1[[#This Row],[Spend - CAN]:[Spend - SAF]])+SUM(Table1[[#This Row],[Spend - Sams Mexico]:[Spend - Sams China]])+Table1[[#This Row],[Spend - IND]]</f>
        <v>0</v>
      </c>
      <c r="BY37">
        <f>SUM(Table1[[#This Row],[Savings - CAN]:[Savings - SAF]])+SUM(Table1[[#This Row],[Savings - Sams Mexico]:[Savings - Sams China]])+Table1[[#This Row],[Savings - IND]]</f>
        <v>0</v>
      </c>
      <c r="BZ37">
        <f>SUM(Table1[[#This Row],[Spend - US]:[Spend - Sams]])</f>
        <v>0</v>
      </c>
      <c r="CA37">
        <f>SUM(Table1[[#This Row],[Savings - US]:[Savings - Sams]])</f>
        <v>0</v>
      </c>
      <c r="CB37">
        <f>SUM(Table1[[#This Row],[Cost Avoidance - CAN2]:[Cost Avoidance - SAF10]])+SUM(Table1[[#This Row],[Cost Avoidance - Sams Mexico]:[Cost Avoidance - Sams China]])+Table1[[#This Row],[Cost Avoidance - IND]]</f>
        <v>0</v>
      </c>
      <c r="CC37">
        <f>SUM(Table1[[#This Row],[Cost Avoidance - US11]:[Cost Avoidance - Sams12]])</f>
        <v>0</v>
      </c>
      <c r="CD37">
        <f>_xlfn.XLOOKUP(Table1[[#This Row],[Status]],Status_Lookups[Status],Status_Lookups[Value],"")</f>
        <v>0.3</v>
      </c>
    </row>
    <row r="38" spans="1:82">
      <c r="A38">
        <v>1</v>
      </c>
      <c r="B38" t="s">
        <v>565</v>
      </c>
      <c r="C38" t="s">
        <v>33</v>
      </c>
      <c r="D38" t="s">
        <v>322</v>
      </c>
      <c r="E38" s="15"/>
      <c r="F38" s="15"/>
      <c r="G38" s="15"/>
      <c r="H38" s="15"/>
      <c r="I38" t="s">
        <v>466</v>
      </c>
      <c r="J38" t="s">
        <v>459</v>
      </c>
      <c r="K38" t="s">
        <v>562</v>
      </c>
      <c r="X38" t="s">
        <v>47</v>
      </c>
      <c r="Y38" s="16">
        <v>44701.387036342596</v>
      </c>
      <c r="Z38" s="17" t="str">
        <f>_xlfn.XLOOKUP(Table1[[#This Row],[Phase]],'Lookup tables'!$Y$27:$Y$60,'Lookup tables'!$Z$27:$Z$60,"Not Updated")</f>
        <v>Post Award</v>
      </c>
      <c r="AA38" s="17"/>
      <c r="BG38" s="185"/>
      <c r="BH38" s="185"/>
      <c r="BI38" s="185"/>
      <c r="BJ38" s="185"/>
      <c r="BK38" s="185"/>
      <c r="BL38" s="185"/>
      <c r="BM38" s="185"/>
      <c r="BN38" s="185"/>
      <c r="BO38" s="185"/>
      <c r="BP38" s="185"/>
      <c r="BQ38" s="185"/>
      <c r="BR38" s="185"/>
      <c r="BS38" s="185"/>
      <c r="BT38" s="185"/>
      <c r="BU38" t="b">
        <f>IF(_xlfn.MAXIFS(Table1[Sl No],Table1[Category],Table1[[#This Row],[Category]],Table1[Execution Year],Table1[[#This Row],[Execution Year]])=Table1[[#This Row],[Sl No]],TRUE,FALSE)</f>
        <v>1</v>
      </c>
      <c r="BV38" s="201">
        <f>SUM(Table1[[#This Row],[Spend - CAN]:[Spend - Sams]])+SUM(Table1[[#This Row],[Spend - Sams Mexico]:[Spend - Sams China]])+Table1[[#This Row],[Spend - IND]]</f>
        <v>0</v>
      </c>
      <c r="BW38">
        <f>SUM(Table1[[#This Row],[Savings - CAN]:[Savings - Sams]])+SUM(Table1[[#This Row],[Savings - Sams Mexico]:[Savings - Sams China]])+Table1[[#This Row],[Savings - IND]]</f>
        <v>0</v>
      </c>
      <c r="BX38">
        <f>SUM(Table1[[#This Row],[Spend - CAN]:[Spend - SAF]])+SUM(Table1[[#This Row],[Spend - Sams Mexico]:[Spend - Sams China]])+Table1[[#This Row],[Spend - IND]]</f>
        <v>0</v>
      </c>
      <c r="BY38">
        <f>SUM(Table1[[#This Row],[Savings - CAN]:[Savings - SAF]])+SUM(Table1[[#This Row],[Savings - Sams Mexico]:[Savings - Sams China]])+Table1[[#This Row],[Savings - IND]]</f>
        <v>0</v>
      </c>
      <c r="BZ38">
        <f>SUM(Table1[[#This Row],[Spend - US]:[Spend - Sams]])</f>
        <v>0</v>
      </c>
      <c r="CA38">
        <f>SUM(Table1[[#This Row],[Savings - US]:[Savings - Sams]])</f>
        <v>0</v>
      </c>
      <c r="CB38">
        <f>SUM(Table1[[#This Row],[Cost Avoidance - CAN2]:[Cost Avoidance - SAF10]])+SUM(Table1[[#This Row],[Cost Avoidance - Sams Mexico]:[Cost Avoidance - Sams China]])+Table1[[#This Row],[Cost Avoidance - IND]]</f>
        <v>0</v>
      </c>
      <c r="CC38">
        <f>SUM(Table1[[#This Row],[Cost Avoidance - US11]:[Cost Avoidance - Sams12]])</f>
        <v>0</v>
      </c>
      <c r="CD38">
        <f>_xlfn.XLOOKUP(Table1[[#This Row],[Status]],Status_Lookups[Status],Status_Lookups[Value],"")</f>
        <v>0.3</v>
      </c>
    </row>
    <row r="39" spans="1:82">
      <c r="A39">
        <v>1</v>
      </c>
      <c r="B39" t="s">
        <v>520</v>
      </c>
      <c r="C39" t="s">
        <v>33</v>
      </c>
      <c r="D39" t="s">
        <v>322</v>
      </c>
      <c r="E39" s="15">
        <v>44774</v>
      </c>
      <c r="F39" s="15">
        <v>44895</v>
      </c>
      <c r="G39" s="15"/>
      <c r="H39" s="15"/>
      <c r="I39" t="s">
        <v>135</v>
      </c>
      <c r="J39" t="s">
        <v>459</v>
      </c>
      <c r="K39" t="s">
        <v>508</v>
      </c>
      <c r="X39" t="s">
        <v>47</v>
      </c>
      <c r="Y39" s="16">
        <v>44701.387036342596</v>
      </c>
      <c r="Z39" s="17" t="str">
        <f>_xlfn.XLOOKUP(Table1[[#This Row],[Phase]],'Lookup tables'!$Y$27:$Y$60,'Lookup tables'!$Z$27:$Z$60,"Not Updated")</f>
        <v>Pipeline</v>
      </c>
      <c r="AA39" s="17"/>
      <c r="BG39" s="185"/>
      <c r="BH39" s="185"/>
      <c r="BI39" s="185"/>
      <c r="BJ39" s="185"/>
      <c r="BK39" s="185"/>
      <c r="BL39" s="185"/>
      <c r="BM39" s="185"/>
      <c r="BN39" s="185"/>
      <c r="BO39" s="185"/>
      <c r="BP39" s="185"/>
      <c r="BQ39" s="185"/>
      <c r="BR39" s="185"/>
      <c r="BS39" s="185"/>
      <c r="BT39" s="185"/>
      <c r="BU39" t="b">
        <f>IF(_xlfn.MAXIFS(Table1[Sl No],Table1[Category],Table1[[#This Row],[Category]],Table1[Execution Year],Table1[[#This Row],[Execution Year]])=Table1[[#This Row],[Sl No]],TRUE,FALSE)</f>
        <v>0</v>
      </c>
      <c r="BV39" s="201">
        <f>SUM(Table1[[#This Row],[Spend - CAN]:[Spend - Sams]])+SUM(Table1[[#This Row],[Spend - Sams Mexico]:[Spend - Sams China]])+Table1[[#This Row],[Spend - IND]]</f>
        <v>0</v>
      </c>
      <c r="BW39">
        <f>SUM(Table1[[#This Row],[Savings - CAN]:[Savings - Sams]])+SUM(Table1[[#This Row],[Savings - Sams Mexico]:[Savings - Sams China]])+Table1[[#This Row],[Savings - IND]]</f>
        <v>0</v>
      </c>
      <c r="BX39">
        <f>SUM(Table1[[#This Row],[Spend - CAN]:[Spend - SAF]])+SUM(Table1[[#This Row],[Spend - Sams Mexico]:[Spend - Sams China]])+Table1[[#This Row],[Spend - IND]]</f>
        <v>0</v>
      </c>
      <c r="BY39">
        <f>SUM(Table1[[#This Row],[Savings - CAN]:[Savings - SAF]])+SUM(Table1[[#This Row],[Savings - Sams Mexico]:[Savings - Sams China]])+Table1[[#This Row],[Savings - IND]]</f>
        <v>0</v>
      </c>
      <c r="BZ39">
        <f>SUM(Table1[[#This Row],[Spend - US]:[Spend - Sams]])</f>
        <v>0</v>
      </c>
      <c r="CA39">
        <f>SUM(Table1[[#This Row],[Savings - US]:[Savings - Sams]])</f>
        <v>0</v>
      </c>
      <c r="CB39">
        <f>SUM(Table1[[#This Row],[Cost Avoidance - CAN2]:[Cost Avoidance - SAF10]])+SUM(Table1[[#This Row],[Cost Avoidance - Sams Mexico]:[Cost Avoidance - Sams China]])+Table1[[#This Row],[Cost Avoidance - IND]]</f>
        <v>0</v>
      </c>
      <c r="CC39">
        <f>SUM(Table1[[#This Row],[Cost Avoidance - US11]:[Cost Avoidance - Sams12]])</f>
        <v>0</v>
      </c>
      <c r="CD39">
        <f>_xlfn.XLOOKUP(Table1[[#This Row],[Status]],Status_Lookups[Status],Status_Lookups[Value],"")</f>
        <v>0.3</v>
      </c>
    </row>
    <row r="40" spans="1:82">
      <c r="A40">
        <v>2</v>
      </c>
      <c r="B40" t="s">
        <v>520</v>
      </c>
      <c r="C40" t="s">
        <v>33</v>
      </c>
      <c r="D40" t="s">
        <v>322</v>
      </c>
      <c r="E40" s="15">
        <v>44774</v>
      </c>
      <c r="F40" s="15">
        <v>44895</v>
      </c>
      <c r="G40" s="15">
        <v>0</v>
      </c>
      <c r="H40" s="15">
        <v>0</v>
      </c>
      <c r="I40" t="s">
        <v>135</v>
      </c>
      <c r="J40" t="s">
        <v>459</v>
      </c>
      <c r="K40" t="s">
        <v>508</v>
      </c>
      <c r="L40" t="s">
        <v>521</v>
      </c>
      <c r="M40">
        <v>0</v>
      </c>
      <c r="N40">
        <v>0</v>
      </c>
      <c r="O40">
        <v>0</v>
      </c>
      <c r="P40">
        <v>0</v>
      </c>
      <c r="Q40">
        <v>0</v>
      </c>
      <c r="R40">
        <v>0</v>
      </c>
      <c r="S40">
        <v>0</v>
      </c>
      <c r="T40">
        <v>0</v>
      </c>
      <c r="U40">
        <v>0</v>
      </c>
      <c r="V40">
        <v>150000000</v>
      </c>
      <c r="W40">
        <v>0</v>
      </c>
      <c r="X40" t="s">
        <v>508</v>
      </c>
      <c r="Y40" s="16">
        <v>44729.558862152779</v>
      </c>
      <c r="Z40" s="17" t="str">
        <f>_xlfn.XLOOKUP(Table1[[#This Row],[Phase]],'Lookup tables'!$Y$27:$Y$60,'Lookup tables'!$Z$27:$Z$60,"Not Updated")</f>
        <v>Pipeline</v>
      </c>
      <c r="AA40" s="17">
        <v>0</v>
      </c>
      <c r="AB40">
        <v>0</v>
      </c>
      <c r="AC40">
        <v>0</v>
      </c>
      <c r="AD40">
        <v>0</v>
      </c>
      <c r="AE40">
        <v>0</v>
      </c>
      <c r="AF40">
        <v>0</v>
      </c>
      <c r="AG40">
        <v>0</v>
      </c>
      <c r="AH40">
        <v>0</v>
      </c>
      <c r="AI40">
        <v>0</v>
      </c>
      <c r="AJ40">
        <v>0</v>
      </c>
      <c r="AK40">
        <v>0</v>
      </c>
      <c r="AL40">
        <v>0</v>
      </c>
      <c r="AM40">
        <v>0</v>
      </c>
      <c r="AN40">
        <v>0</v>
      </c>
      <c r="AO40">
        <v>0</v>
      </c>
      <c r="AP40">
        <v>0</v>
      </c>
      <c r="AQ40">
        <v>0</v>
      </c>
      <c r="AR40">
        <v>0</v>
      </c>
      <c r="AS40">
        <v>0</v>
      </c>
      <c r="AT40">
        <v>0</v>
      </c>
      <c r="AU40">
        <v>0</v>
      </c>
      <c r="AV40">
        <v>0</v>
      </c>
      <c r="AW40">
        <v>0</v>
      </c>
      <c r="AX40">
        <v>0</v>
      </c>
      <c r="AY40">
        <v>0</v>
      </c>
      <c r="AZ40">
        <v>0</v>
      </c>
      <c r="BA40">
        <v>0</v>
      </c>
      <c r="BB40">
        <v>0</v>
      </c>
      <c r="BC40">
        <v>0</v>
      </c>
      <c r="BD40">
        <v>0</v>
      </c>
      <c r="BE40">
        <v>0</v>
      </c>
      <c r="BF40">
        <v>0</v>
      </c>
      <c r="BG40" s="185">
        <v>0</v>
      </c>
      <c r="BH40" s="185">
        <v>0</v>
      </c>
      <c r="BI40" s="185">
        <v>0</v>
      </c>
      <c r="BJ40" s="185">
        <v>0</v>
      </c>
      <c r="BK40" s="185">
        <v>0</v>
      </c>
      <c r="BL40" s="185">
        <v>0</v>
      </c>
      <c r="BM40" s="185">
        <v>0</v>
      </c>
      <c r="BN40" s="185">
        <v>0</v>
      </c>
      <c r="BO40" s="185">
        <v>0</v>
      </c>
      <c r="BP40" s="185">
        <v>0</v>
      </c>
      <c r="BQ40" s="185">
        <v>0</v>
      </c>
      <c r="BR40" s="185">
        <v>0</v>
      </c>
      <c r="BS40" s="185">
        <v>0</v>
      </c>
      <c r="BT40" s="185">
        <v>0</v>
      </c>
      <c r="BU40" t="b">
        <f>IF(_xlfn.MAXIFS(Table1[Sl No],Table1[Category],Table1[[#This Row],[Category]],Table1[Execution Year],Table1[[#This Row],[Execution Year]])=Table1[[#This Row],[Sl No]],TRUE,FALSE)</f>
        <v>1</v>
      </c>
      <c r="BV40" s="201">
        <f>SUM(Table1[[#This Row],[Spend - CAN]:[Spend - Sams]])+SUM(Table1[[#This Row],[Spend - Sams Mexico]:[Spend - Sams China]])+Table1[[#This Row],[Spend - IND]]</f>
        <v>150000000</v>
      </c>
      <c r="BW40">
        <f>SUM(Table1[[#This Row],[Savings - CAN]:[Savings - Sams]])+SUM(Table1[[#This Row],[Savings - Sams Mexico]:[Savings - Sams China]])+Table1[[#This Row],[Savings - IND]]</f>
        <v>0</v>
      </c>
      <c r="BX40">
        <f>SUM(Table1[[#This Row],[Spend - CAN]:[Spend - SAF]])+SUM(Table1[[#This Row],[Spend - Sams Mexico]:[Spend - Sams China]])+Table1[[#This Row],[Spend - IND]]</f>
        <v>0</v>
      </c>
      <c r="BY40">
        <f>SUM(Table1[[#This Row],[Savings - CAN]:[Savings - SAF]])+SUM(Table1[[#This Row],[Savings - Sams Mexico]:[Savings - Sams China]])+Table1[[#This Row],[Savings - IND]]</f>
        <v>0</v>
      </c>
      <c r="BZ40">
        <f>SUM(Table1[[#This Row],[Spend - US]:[Spend - Sams]])</f>
        <v>150000000</v>
      </c>
      <c r="CA40">
        <f>SUM(Table1[[#This Row],[Savings - US]:[Savings - Sams]])</f>
        <v>0</v>
      </c>
      <c r="CB40">
        <f>SUM(Table1[[#This Row],[Cost Avoidance - CAN2]:[Cost Avoidance - SAF10]])+SUM(Table1[[#This Row],[Cost Avoidance - Sams Mexico]:[Cost Avoidance - Sams China]])+Table1[[#This Row],[Cost Avoidance - IND]]</f>
        <v>0</v>
      </c>
      <c r="CC40">
        <f>SUM(Table1[[#This Row],[Cost Avoidance - US11]:[Cost Avoidance - Sams12]])</f>
        <v>0</v>
      </c>
      <c r="CD40">
        <f>_xlfn.XLOOKUP(Table1[[#This Row],[Status]],Status_Lookups[Status],Status_Lookups[Value],"")</f>
        <v>0.3</v>
      </c>
    </row>
    <row r="41" spans="1:82">
      <c r="A41">
        <v>1</v>
      </c>
      <c r="B41" t="s">
        <v>563</v>
      </c>
      <c r="C41" t="s">
        <v>33</v>
      </c>
      <c r="D41" t="s">
        <v>322</v>
      </c>
      <c r="E41" s="15"/>
      <c r="F41" s="15"/>
      <c r="G41" s="15"/>
      <c r="H41" s="15"/>
      <c r="I41" t="s">
        <v>470</v>
      </c>
      <c r="J41" t="s">
        <v>470</v>
      </c>
      <c r="K41" t="s">
        <v>562</v>
      </c>
      <c r="X41" t="s">
        <v>47</v>
      </c>
      <c r="Y41" s="16">
        <v>44701.387036342596</v>
      </c>
      <c r="Z41" s="17" t="str">
        <f>_xlfn.XLOOKUP(Table1[[#This Row],[Phase]],'Lookup tables'!$Y$27:$Y$60,'Lookup tables'!$Z$27:$Z$60,"Not Updated")</f>
        <v>Complete</v>
      </c>
      <c r="AA41" s="17"/>
      <c r="BG41" s="185"/>
      <c r="BH41" s="185"/>
      <c r="BI41" s="185"/>
      <c r="BJ41" s="185"/>
      <c r="BK41" s="185"/>
      <c r="BL41" s="185"/>
      <c r="BM41" s="185"/>
      <c r="BN41" s="185"/>
      <c r="BO41" s="185"/>
      <c r="BP41" s="185"/>
      <c r="BQ41" s="185"/>
      <c r="BR41" s="185"/>
      <c r="BS41" s="185"/>
      <c r="BT41" s="185"/>
      <c r="BU41" t="b">
        <f>IF(_xlfn.MAXIFS(Table1[Sl No],Table1[Category],Table1[[#This Row],[Category]],Table1[Execution Year],Table1[[#This Row],[Execution Year]])=Table1[[#This Row],[Sl No]],TRUE,FALSE)</f>
        <v>1</v>
      </c>
      <c r="BV41" s="201">
        <f>SUM(Table1[[#This Row],[Spend - CAN]:[Spend - Sams]])+SUM(Table1[[#This Row],[Spend - Sams Mexico]:[Spend - Sams China]])+Table1[[#This Row],[Spend - IND]]</f>
        <v>0</v>
      </c>
      <c r="BW41">
        <f>SUM(Table1[[#This Row],[Savings - CAN]:[Savings - Sams]])+SUM(Table1[[#This Row],[Savings - Sams Mexico]:[Savings - Sams China]])+Table1[[#This Row],[Savings - IND]]</f>
        <v>0</v>
      </c>
      <c r="BX41">
        <f>SUM(Table1[[#This Row],[Spend - CAN]:[Spend - SAF]])+SUM(Table1[[#This Row],[Spend - Sams Mexico]:[Spend - Sams China]])+Table1[[#This Row],[Spend - IND]]</f>
        <v>0</v>
      </c>
      <c r="BY41">
        <f>SUM(Table1[[#This Row],[Savings - CAN]:[Savings - SAF]])+SUM(Table1[[#This Row],[Savings - Sams Mexico]:[Savings - Sams China]])+Table1[[#This Row],[Savings - IND]]</f>
        <v>0</v>
      </c>
      <c r="BZ41">
        <f>SUM(Table1[[#This Row],[Spend - US]:[Spend - Sams]])</f>
        <v>0</v>
      </c>
      <c r="CA41">
        <f>SUM(Table1[[#This Row],[Savings - US]:[Savings - Sams]])</f>
        <v>0</v>
      </c>
      <c r="CB41">
        <f>SUM(Table1[[#This Row],[Cost Avoidance - CAN2]:[Cost Avoidance - SAF10]])+SUM(Table1[[#This Row],[Cost Avoidance - Sams Mexico]:[Cost Avoidance - Sams China]])+Table1[[#This Row],[Cost Avoidance - IND]]</f>
        <v>0</v>
      </c>
      <c r="CC41">
        <f>SUM(Table1[[#This Row],[Cost Avoidance - US11]:[Cost Avoidance - Sams12]])</f>
        <v>0</v>
      </c>
      <c r="CD41" t="str">
        <f>_xlfn.XLOOKUP(Table1[[#This Row],[Status]],Status_Lookups[Status],Status_Lookups[Value],"")</f>
        <v/>
      </c>
    </row>
    <row r="42" spans="1:82">
      <c r="A42">
        <v>1</v>
      </c>
      <c r="B42" t="s">
        <v>569</v>
      </c>
      <c r="C42" t="s">
        <v>33</v>
      </c>
      <c r="D42" t="s">
        <v>322</v>
      </c>
      <c r="E42" s="15"/>
      <c r="F42" s="15"/>
      <c r="G42" s="15"/>
      <c r="H42" s="15"/>
      <c r="I42" t="s">
        <v>412</v>
      </c>
      <c r="J42" t="s">
        <v>459</v>
      </c>
      <c r="K42" t="s">
        <v>570</v>
      </c>
      <c r="X42" t="s">
        <v>47</v>
      </c>
      <c r="Y42" s="16">
        <v>44701.387036342596</v>
      </c>
      <c r="Z42" s="17" t="str">
        <f>_xlfn.XLOOKUP(Table1[[#This Row],[Phase]],'Lookup tables'!$Y$27:$Y$60,'Lookup tables'!$Z$27:$Z$60,"Not Updated")</f>
        <v>Exploratory</v>
      </c>
      <c r="AA42" s="17"/>
      <c r="BG42" s="185"/>
      <c r="BH42" s="185"/>
      <c r="BI42" s="185"/>
      <c r="BJ42" s="185"/>
      <c r="BK42" s="185"/>
      <c r="BL42" s="185"/>
      <c r="BM42" s="185"/>
      <c r="BN42" s="185"/>
      <c r="BO42" s="185"/>
      <c r="BP42" s="185"/>
      <c r="BQ42" s="185"/>
      <c r="BR42" s="185"/>
      <c r="BS42" s="185"/>
      <c r="BT42" s="185"/>
      <c r="BU42" t="b">
        <f>IF(_xlfn.MAXIFS(Table1[Sl No],Table1[Category],Table1[[#This Row],[Category]],Table1[Execution Year],Table1[[#This Row],[Execution Year]])=Table1[[#This Row],[Sl No]],TRUE,FALSE)</f>
        <v>0</v>
      </c>
      <c r="BV42" s="201">
        <f>SUM(Table1[[#This Row],[Spend - CAN]:[Spend - Sams]])+SUM(Table1[[#This Row],[Spend - Sams Mexico]:[Spend - Sams China]])+Table1[[#This Row],[Spend - IND]]</f>
        <v>0</v>
      </c>
      <c r="BW42">
        <f>SUM(Table1[[#This Row],[Savings - CAN]:[Savings - Sams]])+SUM(Table1[[#This Row],[Savings - Sams Mexico]:[Savings - Sams China]])+Table1[[#This Row],[Savings - IND]]</f>
        <v>0</v>
      </c>
      <c r="BX42">
        <f>SUM(Table1[[#This Row],[Spend - CAN]:[Spend - SAF]])+SUM(Table1[[#This Row],[Spend - Sams Mexico]:[Spend - Sams China]])+Table1[[#This Row],[Spend - IND]]</f>
        <v>0</v>
      </c>
      <c r="BY42">
        <f>SUM(Table1[[#This Row],[Savings - CAN]:[Savings - SAF]])+SUM(Table1[[#This Row],[Savings - Sams Mexico]:[Savings - Sams China]])+Table1[[#This Row],[Savings - IND]]</f>
        <v>0</v>
      </c>
      <c r="BZ42">
        <f>SUM(Table1[[#This Row],[Spend - US]:[Spend - Sams]])</f>
        <v>0</v>
      </c>
      <c r="CA42">
        <f>SUM(Table1[[#This Row],[Savings - US]:[Savings - Sams]])</f>
        <v>0</v>
      </c>
      <c r="CB42">
        <f>SUM(Table1[[#This Row],[Cost Avoidance - CAN2]:[Cost Avoidance - SAF10]])+SUM(Table1[[#This Row],[Cost Avoidance - Sams Mexico]:[Cost Avoidance - Sams China]])+Table1[[#This Row],[Cost Avoidance - IND]]</f>
        <v>0</v>
      </c>
      <c r="CC42">
        <f>SUM(Table1[[#This Row],[Cost Avoidance - US11]:[Cost Avoidance - Sams12]])</f>
        <v>0</v>
      </c>
      <c r="CD42">
        <f>_xlfn.XLOOKUP(Table1[[#This Row],[Status]],Status_Lookups[Status],Status_Lookups[Value],"")</f>
        <v>0.3</v>
      </c>
    </row>
    <row r="43" spans="1:82">
      <c r="A43">
        <v>2</v>
      </c>
      <c r="B43" t="s">
        <v>569</v>
      </c>
      <c r="C43" t="s">
        <v>33</v>
      </c>
      <c r="D43" t="s">
        <v>322</v>
      </c>
      <c r="E43" s="15">
        <v>0</v>
      </c>
      <c r="F43" s="15">
        <v>0</v>
      </c>
      <c r="G43" s="15">
        <v>0</v>
      </c>
      <c r="H43" s="15">
        <v>0</v>
      </c>
      <c r="I43" t="s">
        <v>417</v>
      </c>
      <c r="J43" t="s">
        <v>417</v>
      </c>
      <c r="K43" t="s">
        <v>570</v>
      </c>
      <c r="L43">
        <v>0</v>
      </c>
      <c r="M43">
        <v>0</v>
      </c>
      <c r="N43">
        <v>0</v>
      </c>
      <c r="O43">
        <v>0</v>
      </c>
      <c r="P43">
        <v>0</v>
      </c>
      <c r="Q43">
        <v>0</v>
      </c>
      <c r="R43">
        <v>0</v>
      </c>
      <c r="S43">
        <v>0</v>
      </c>
      <c r="T43">
        <v>0</v>
      </c>
      <c r="U43">
        <v>0</v>
      </c>
      <c r="V43">
        <v>0</v>
      </c>
      <c r="W43">
        <v>0</v>
      </c>
      <c r="X43" t="s">
        <v>570</v>
      </c>
      <c r="Y43" s="16">
        <v>44730.738480671294</v>
      </c>
      <c r="Z43" s="17" t="str">
        <f>_xlfn.XLOOKUP(Table1[[#This Row],[Phase]],'Lookup tables'!$Y$27:$Y$60,'Lookup tables'!$Z$27:$Z$60,"Not Updated")</f>
        <v>Cancelled</v>
      </c>
      <c r="AA43" s="17" t="s">
        <v>629</v>
      </c>
      <c r="AB43">
        <v>0</v>
      </c>
      <c r="AC43">
        <v>0</v>
      </c>
      <c r="AD43">
        <v>0</v>
      </c>
      <c r="AE43">
        <v>0</v>
      </c>
      <c r="AF43">
        <v>0</v>
      </c>
      <c r="AG43">
        <v>0</v>
      </c>
      <c r="AH43">
        <v>0</v>
      </c>
      <c r="AI43">
        <v>0</v>
      </c>
      <c r="AJ43">
        <v>0</v>
      </c>
      <c r="AK43">
        <v>0</v>
      </c>
      <c r="AL43">
        <v>0</v>
      </c>
      <c r="AM43">
        <v>0</v>
      </c>
      <c r="AN43">
        <v>0</v>
      </c>
      <c r="AO43">
        <v>0</v>
      </c>
      <c r="AP43">
        <v>0</v>
      </c>
      <c r="AQ43">
        <v>0</v>
      </c>
      <c r="AR43">
        <v>0</v>
      </c>
      <c r="AS43">
        <v>0</v>
      </c>
      <c r="AT43">
        <v>0</v>
      </c>
      <c r="AU43">
        <v>0</v>
      </c>
      <c r="AV43">
        <v>0</v>
      </c>
      <c r="AW43">
        <v>0</v>
      </c>
      <c r="AX43">
        <v>0</v>
      </c>
      <c r="AY43">
        <v>0</v>
      </c>
      <c r="AZ43">
        <v>0</v>
      </c>
      <c r="BA43">
        <v>0</v>
      </c>
      <c r="BB43">
        <v>0</v>
      </c>
      <c r="BC43">
        <v>0</v>
      </c>
      <c r="BD43">
        <v>0</v>
      </c>
      <c r="BE43">
        <v>0</v>
      </c>
      <c r="BF43">
        <v>0</v>
      </c>
      <c r="BG43" s="185">
        <v>0</v>
      </c>
      <c r="BH43" s="185">
        <v>0</v>
      </c>
      <c r="BI43" s="185">
        <v>0</v>
      </c>
      <c r="BJ43" s="185">
        <v>0</v>
      </c>
      <c r="BK43" s="185">
        <v>0</v>
      </c>
      <c r="BL43" s="185">
        <v>0</v>
      </c>
      <c r="BM43" s="185">
        <v>0</v>
      </c>
      <c r="BN43" s="185">
        <v>0</v>
      </c>
      <c r="BO43" s="185">
        <v>0</v>
      </c>
      <c r="BP43" s="185">
        <v>0</v>
      </c>
      <c r="BQ43" s="185">
        <v>0</v>
      </c>
      <c r="BR43" s="185">
        <v>0</v>
      </c>
      <c r="BS43" s="185">
        <v>0</v>
      </c>
      <c r="BT43" s="185">
        <v>0</v>
      </c>
      <c r="BU43" t="b">
        <f>IF(_xlfn.MAXIFS(Table1[Sl No],Table1[Category],Table1[[#This Row],[Category]],Table1[Execution Year],Table1[[#This Row],[Execution Year]])=Table1[[#This Row],[Sl No]],TRUE,FALSE)</f>
        <v>1</v>
      </c>
      <c r="BV43" s="201">
        <f>SUM(Table1[[#This Row],[Spend - CAN]:[Spend - Sams]])+SUM(Table1[[#This Row],[Spend - Sams Mexico]:[Spend - Sams China]])+Table1[[#This Row],[Spend - IND]]</f>
        <v>0</v>
      </c>
      <c r="BW43">
        <f>SUM(Table1[[#This Row],[Savings - CAN]:[Savings - Sams]])+SUM(Table1[[#This Row],[Savings - Sams Mexico]:[Savings - Sams China]])+Table1[[#This Row],[Savings - IND]]</f>
        <v>0</v>
      </c>
      <c r="BX43">
        <f>SUM(Table1[[#This Row],[Spend - CAN]:[Spend - SAF]])+SUM(Table1[[#This Row],[Spend - Sams Mexico]:[Spend - Sams China]])+Table1[[#This Row],[Spend - IND]]</f>
        <v>0</v>
      </c>
      <c r="BY43">
        <f>SUM(Table1[[#This Row],[Savings - CAN]:[Savings - SAF]])+SUM(Table1[[#This Row],[Savings - Sams Mexico]:[Savings - Sams China]])+Table1[[#This Row],[Savings - IND]]</f>
        <v>0</v>
      </c>
      <c r="BZ43">
        <f>SUM(Table1[[#This Row],[Spend - US]:[Spend - Sams]])</f>
        <v>0</v>
      </c>
      <c r="CA43">
        <f>SUM(Table1[[#This Row],[Savings - US]:[Savings - Sams]])</f>
        <v>0</v>
      </c>
      <c r="CB43">
        <f>SUM(Table1[[#This Row],[Cost Avoidance - CAN2]:[Cost Avoidance - SAF10]])+SUM(Table1[[#This Row],[Cost Avoidance - Sams Mexico]:[Cost Avoidance - Sams China]])+Table1[[#This Row],[Cost Avoidance - IND]]</f>
        <v>0</v>
      </c>
      <c r="CC43">
        <f>SUM(Table1[[#This Row],[Cost Avoidance - US11]:[Cost Avoidance - Sams12]])</f>
        <v>0</v>
      </c>
      <c r="CD43">
        <f>_xlfn.XLOOKUP(Table1[[#This Row],[Status]],Status_Lookups[Status],Status_Lookups[Value],"")</f>
        <v>0.2</v>
      </c>
    </row>
    <row r="44" spans="1:82">
      <c r="A44">
        <v>1</v>
      </c>
      <c r="B44" t="s">
        <v>51</v>
      </c>
      <c r="C44" t="s">
        <v>33</v>
      </c>
      <c r="D44" t="s">
        <v>322</v>
      </c>
      <c r="E44" s="15">
        <v>44805</v>
      </c>
      <c r="F44" s="15">
        <v>44925</v>
      </c>
      <c r="G44" s="15"/>
      <c r="H44" s="15"/>
      <c r="I44" t="s">
        <v>415</v>
      </c>
      <c r="J44" t="s">
        <v>459</v>
      </c>
      <c r="K44" t="s">
        <v>508</v>
      </c>
      <c r="X44" t="s">
        <v>47</v>
      </c>
      <c r="Y44" s="16">
        <v>44701.387036342596</v>
      </c>
      <c r="Z44" s="17" t="str">
        <f>_xlfn.XLOOKUP(Table1[[#This Row],[Phase]],'Lookup tables'!$Y$27:$Y$60,'Lookup tables'!$Z$27:$Z$60,"Not Updated")</f>
        <v>Award</v>
      </c>
      <c r="AA44" s="17"/>
      <c r="BG44" s="185"/>
      <c r="BH44" s="185"/>
      <c r="BI44" s="185"/>
      <c r="BJ44" s="185"/>
      <c r="BK44" s="185"/>
      <c r="BL44" s="185"/>
      <c r="BM44" s="185"/>
      <c r="BN44" s="185"/>
      <c r="BO44" s="185"/>
      <c r="BP44" s="185"/>
      <c r="BQ44" s="185"/>
      <c r="BR44" s="185"/>
      <c r="BS44" s="185"/>
      <c r="BT44" s="185"/>
      <c r="BU44" t="b">
        <f>IF(_xlfn.MAXIFS(Table1[Sl No],Table1[Category],Table1[[#This Row],[Category]],Table1[Execution Year],Table1[[#This Row],[Execution Year]])=Table1[[#This Row],[Sl No]],TRUE,FALSE)</f>
        <v>0</v>
      </c>
      <c r="BV44" s="201">
        <f>SUM(Table1[[#This Row],[Spend - CAN]:[Spend - Sams]])+SUM(Table1[[#This Row],[Spend - Sams Mexico]:[Spend - Sams China]])+Table1[[#This Row],[Spend - IND]]</f>
        <v>0</v>
      </c>
      <c r="BW44">
        <f>SUM(Table1[[#This Row],[Savings - CAN]:[Savings - Sams]])+SUM(Table1[[#This Row],[Savings - Sams Mexico]:[Savings - Sams China]])+Table1[[#This Row],[Savings - IND]]</f>
        <v>0</v>
      </c>
      <c r="BX44">
        <f>SUM(Table1[[#This Row],[Spend - CAN]:[Spend - SAF]])+SUM(Table1[[#This Row],[Spend - Sams Mexico]:[Spend - Sams China]])+Table1[[#This Row],[Spend - IND]]</f>
        <v>0</v>
      </c>
      <c r="BY44">
        <f>SUM(Table1[[#This Row],[Savings - CAN]:[Savings - SAF]])+SUM(Table1[[#This Row],[Savings - Sams Mexico]:[Savings - Sams China]])+Table1[[#This Row],[Savings - IND]]</f>
        <v>0</v>
      </c>
      <c r="BZ44">
        <f>SUM(Table1[[#This Row],[Spend - US]:[Spend - Sams]])</f>
        <v>0</v>
      </c>
      <c r="CA44">
        <f>SUM(Table1[[#This Row],[Savings - US]:[Savings - Sams]])</f>
        <v>0</v>
      </c>
      <c r="CB44">
        <f>SUM(Table1[[#This Row],[Cost Avoidance - CAN2]:[Cost Avoidance - SAF10]])+SUM(Table1[[#This Row],[Cost Avoidance - Sams Mexico]:[Cost Avoidance - Sams China]])+Table1[[#This Row],[Cost Avoidance - IND]]</f>
        <v>0</v>
      </c>
      <c r="CC44">
        <f>SUM(Table1[[#This Row],[Cost Avoidance - US11]:[Cost Avoidance - Sams12]])</f>
        <v>0</v>
      </c>
      <c r="CD44">
        <f>_xlfn.XLOOKUP(Table1[[#This Row],[Status]],Status_Lookups[Status],Status_Lookups[Value],"")</f>
        <v>0.3</v>
      </c>
    </row>
    <row r="45" spans="1:82">
      <c r="A45">
        <v>2</v>
      </c>
      <c r="B45" t="s">
        <v>51</v>
      </c>
      <c r="C45" t="s">
        <v>33</v>
      </c>
      <c r="D45" t="s">
        <v>322</v>
      </c>
      <c r="E45" s="15">
        <v>44805</v>
      </c>
      <c r="F45" s="15">
        <v>44925</v>
      </c>
      <c r="G45" s="15">
        <v>0</v>
      </c>
      <c r="H45" s="15">
        <v>0</v>
      </c>
      <c r="I45" t="s">
        <v>415</v>
      </c>
      <c r="J45" t="s">
        <v>459</v>
      </c>
      <c r="K45" t="s">
        <v>508</v>
      </c>
      <c r="L45">
        <v>0</v>
      </c>
      <c r="M45">
        <v>0</v>
      </c>
      <c r="N45">
        <v>0</v>
      </c>
      <c r="O45">
        <v>0</v>
      </c>
      <c r="P45">
        <v>0</v>
      </c>
      <c r="Q45">
        <v>0</v>
      </c>
      <c r="R45">
        <v>0</v>
      </c>
      <c r="S45">
        <v>0</v>
      </c>
      <c r="T45">
        <v>0</v>
      </c>
      <c r="U45">
        <v>0</v>
      </c>
      <c r="V45">
        <v>0</v>
      </c>
      <c r="W45">
        <v>0</v>
      </c>
      <c r="X45" t="s">
        <v>47</v>
      </c>
      <c r="Y45" s="16">
        <v>44701.393457986109</v>
      </c>
      <c r="Z45" s="17" t="str">
        <f>_xlfn.XLOOKUP(Table1[[#This Row],[Phase]],'Lookup tables'!$Y$27:$Y$60,'Lookup tables'!$Z$27:$Z$60,"Not Updated")</f>
        <v>Award</v>
      </c>
      <c r="AA45" s="17">
        <v>0</v>
      </c>
      <c r="AB45">
        <v>0</v>
      </c>
      <c r="AC45">
        <v>0</v>
      </c>
      <c r="AD45">
        <v>0</v>
      </c>
      <c r="AE45">
        <v>0</v>
      </c>
      <c r="AF45">
        <v>0</v>
      </c>
      <c r="AG45">
        <v>0</v>
      </c>
      <c r="AH45">
        <v>0</v>
      </c>
      <c r="AI45">
        <v>0</v>
      </c>
      <c r="AJ45">
        <v>0</v>
      </c>
      <c r="AK45">
        <v>0</v>
      </c>
      <c r="AL45">
        <v>0</v>
      </c>
      <c r="AM45">
        <v>0</v>
      </c>
      <c r="AN45">
        <v>0</v>
      </c>
      <c r="AO45">
        <v>0</v>
      </c>
      <c r="AP45">
        <v>0</v>
      </c>
      <c r="AQ45">
        <v>0</v>
      </c>
      <c r="AR45">
        <v>0</v>
      </c>
      <c r="AS45">
        <v>0</v>
      </c>
      <c r="AT45">
        <v>0</v>
      </c>
      <c r="AU45">
        <v>0</v>
      </c>
      <c r="AV45">
        <v>0</v>
      </c>
      <c r="AW45">
        <v>0</v>
      </c>
      <c r="AX45">
        <v>0</v>
      </c>
      <c r="AY45">
        <v>0</v>
      </c>
      <c r="AZ45">
        <v>0</v>
      </c>
      <c r="BA45">
        <v>0</v>
      </c>
      <c r="BB45">
        <v>0</v>
      </c>
      <c r="BC45">
        <v>0</v>
      </c>
      <c r="BD45">
        <v>0</v>
      </c>
      <c r="BE45">
        <v>0</v>
      </c>
      <c r="BF45">
        <v>0</v>
      </c>
      <c r="BG45" s="185">
        <v>0</v>
      </c>
      <c r="BH45" s="185">
        <v>0</v>
      </c>
      <c r="BI45" s="185">
        <v>0</v>
      </c>
      <c r="BJ45" s="185">
        <v>0</v>
      </c>
      <c r="BK45" s="185">
        <v>0</v>
      </c>
      <c r="BL45" s="185">
        <v>0</v>
      </c>
      <c r="BM45" s="185">
        <v>0</v>
      </c>
      <c r="BN45" s="185">
        <v>0</v>
      </c>
      <c r="BO45" s="185">
        <v>0</v>
      </c>
      <c r="BP45" s="185">
        <v>44835</v>
      </c>
      <c r="BQ45" s="185">
        <v>0</v>
      </c>
      <c r="BR45" s="185">
        <v>0</v>
      </c>
      <c r="BS45" s="185">
        <v>0</v>
      </c>
      <c r="BT45" s="185">
        <v>0</v>
      </c>
      <c r="BU45" t="b">
        <f>IF(_xlfn.MAXIFS(Table1[Sl No],Table1[Category],Table1[[#This Row],[Category]],Table1[Execution Year],Table1[[#This Row],[Execution Year]])=Table1[[#This Row],[Sl No]],TRUE,FALSE)</f>
        <v>0</v>
      </c>
      <c r="BV45" s="201">
        <f>SUM(Table1[[#This Row],[Spend - CAN]:[Spend - Sams]])+SUM(Table1[[#This Row],[Spend - Sams Mexico]:[Spend - Sams China]])+Table1[[#This Row],[Spend - IND]]</f>
        <v>0</v>
      </c>
      <c r="BW45">
        <f>SUM(Table1[[#This Row],[Savings - CAN]:[Savings - Sams]])+SUM(Table1[[#This Row],[Savings - Sams Mexico]:[Savings - Sams China]])+Table1[[#This Row],[Savings - IND]]</f>
        <v>0</v>
      </c>
      <c r="BX45">
        <f>SUM(Table1[[#This Row],[Spend - CAN]:[Spend - SAF]])+SUM(Table1[[#This Row],[Spend - Sams Mexico]:[Spend - Sams China]])+Table1[[#This Row],[Spend - IND]]</f>
        <v>0</v>
      </c>
      <c r="BY45">
        <f>SUM(Table1[[#This Row],[Savings - CAN]:[Savings - SAF]])+SUM(Table1[[#This Row],[Savings - Sams Mexico]:[Savings - Sams China]])+Table1[[#This Row],[Savings - IND]]</f>
        <v>0</v>
      </c>
      <c r="BZ45">
        <f>SUM(Table1[[#This Row],[Spend - US]:[Spend - Sams]])</f>
        <v>0</v>
      </c>
      <c r="CA45">
        <f>SUM(Table1[[#This Row],[Savings - US]:[Savings - Sams]])</f>
        <v>0</v>
      </c>
      <c r="CB45">
        <f>SUM(Table1[[#This Row],[Cost Avoidance - CAN2]:[Cost Avoidance - SAF10]])+SUM(Table1[[#This Row],[Cost Avoidance - Sams Mexico]:[Cost Avoidance - Sams China]])+Table1[[#This Row],[Cost Avoidance - IND]]</f>
        <v>0</v>
      </c>
      <c r="CC45">
        <f>SUM(Table1[[#This Row],[Cost Avoidance - US11]:[Cost Avoidance - Sams12]])</f>
        <v>0</v>
      </c>
      <c r="CD45">
        <f>_xlfn.XLOOKUP(Table1[[#This Row],[Status]],Status_Lookups[Status],Status_Lookups[Value],"")</f>
        <v>0.3</v>
      </c>
    </row>
    <row r="46" spans="1:82">
      <c r="A46">
        <v>3</v>
      </c>
      <c r="B46" t="s">
        <v>51</v>
      </c>
      <c r="C46" t="s">
        <v>33</v>
      </c>
      <c r="D46" t="s">
        <v>322</v>
      </c>
      <c r="E46" s="15">
        <v>44805</v>
      </c>
      <c r="F46" s="15">
        <v>44925</v>
      </c>
      <c r="G46" s="15">
        <v>0</v>
      </c>
      <c r="H46" s="15">
        <v>0</v>
      </c>
      <c r="I46" t="s">
        <v>415</v>
      </c>
      <c r="J46" t="s">
        <v>459</v>
      </c>
      <c r="K46" t="s">
        <v>508</v>
      </c>
      <c r="L46">
        <v>0</v>
      </c>
      <c r="M46">
        <v>0</v>
      </c>
      <c r="N46">
        <v>0</v>
      </c>
      <c r="O46">
        <v>0</v>
      </c>
      <c r="P46">
        <v>0</v>
      </c>
      <c r="Q46">
        <v>0</v>
      </c>
      <c r="R46">
        <v>0</v>
      </c>
      <c r="S46">
        <v>0</v>
      </c>
      <c r="T46">
        <v>0</v>
      </c>
      <c r="U46">
        <v>0</v>
      </c>
      <c r="V46">
        <v>0</v>
      </c>
      <c r="W46">
        <v>0</v>
      </c>
      <c r="X46" t="s">
        <v>47</v>
      </c>
      <c r="Y46" s="16">
        <v>44701.396521296294</v>
      </c>
      <c r="Z46" s="17" t="str">
        <f>_xlfn.XLOOKUP(Table1[[#This Row],[Phase]],'Lookup tables'!$Y$27:$Y$60,'Lookup tables'!$Z$27:$Z$60,"Not Updated")</f>
        <v>Award</v>
      </c>
      <c r="AA46" s="17" t="s">
        <v>630</v>
      </c>
      <c r="AB46">
        <v>0</v>
      </c>
      <c r="AC46">
        <v>0</v>
      </c>
      <c r="AD46">
        <v>0</v>
      </c>
      <c r="AE46">
        <v>0</v>
      </c>
      <c r="AF46">
        <v>0</v>
      </c>
      <c r="AG46">
        <v>0</v>
      </c>
      <c r="AH46">
        <v>0</v>
      </c>
      <c r="AI46">
        <v>0</v>
      </c>
      <c r="AJ46">
        <v>0</v>
      </c>
      <c r="AK46">
        <v>0</v>
      </c>
      <c r="AL46">
        <v>0</v>
      </c>
      <c r="AM46">
        <v>0</v>
      </c>
      <c r="AN46">
        <v>0</v>
      </c>
      <c r="AO46">
        <v>0</v>
      </c>
      <c r="AP46">
        <v>0</v>
      </c>
      <c r="AQ46">
        <v>0</v>
      </c>
      <c r="AR46">
        <v>0</v>
      </c>
      <c r="AS46">
        <v>0</v>
      </c>
      <c r="AT46">
        <v>0</v>
      </c>
      <c r="AU46">
        <v>0</v>
      </c>
      <c r="AV46">
        <v>0</v>
      </c>
      <c r="AW46">
        <v>0</v>
      </c>
      <c r="AX46">
        <v>0</v>
      </c>
      <c r="AY46">
        <v>0</v>
      </c>
      <c r="AZ46">
        <v>0</v>
      </c>
      <c r="BA46">
        <v>0</v>
      </c>
      <c r="BB46">
        <v>0</v>
      </c>
      <c r="BC46">
        <v>0</v>
      </c>
      <c r="BD46">
        <v>0</v>
      </c>
      <c r="BE46">
        <v>0</v>
      </c>
      <c r="BF46">
        <v>0</v>
      </c>
      <c r="BG46" s="185">
        <v>0</v>
      </c>
      <c r="BH46" s="185">
        <v>0</v>
      </c>
      <c r="BI46" s="185">
        <v>0</v>
      </c>
      <c r="BJ46" s="185">
        <v>0</v>
      </c>
      <c r="BK46" s="185">
        <v>0</v>
      </c>
      <c r="BL46" s="185">
        <v>0</v>
      </c>
      <c r="BM46" s="185">
        <v>0</v>
      </c>
      <c r="BN46" s="185">
        <v>0</v>
      </c>
      <c r="BO46" s="185">
        <v>0</v>
      </c>
      <c r="BP46" s="185">
        <v>44835</v>
      </c>
      <c r="BQ46" s="185">
        <v>0</v>
      </c>
      <c r="BR46" s="185">
        <v>0</v>
      </c>
      <c r="BS46" s="185">
        <v>0</v>
      </c>
      <c r="BT46" s="185">
        <v>0</v>
      </c>
      <c r="BU46" t="b">
        <f>IF(_xlfn.MAXIFS(Table1[Sl No],Table1[Category],Table1[[#This Row],[Category]],Table1[Execution Year],Table1[[#This Row],[Execution Year]])=Table1[[#This Row],[Sl No]],TRUE,FALSE)</f>
        <v>0</v>
      </c>
      <c r="BV46" s="201">
        <f>SUM(Table1[[#This Row],[Spend - CAN]:[Spend - Sams]])+SUM(Table1[[#This Row],[Spend - Sams Mexico]:[Spend - Sams China]])+Table1[[#This Row],[Spend - IND]]</f>
        <v>0</v>
      </c>
      <c r="BW46">
        <f>SUM(Table1[[#This Row],[Savings - CAN]:[Savings - Sams]])+SUM(Table1[[#This Row],[Savings - Sams Mexico]:[Savings - Sams China]])+Table1[[#This Row],[Savings - IND]]</f>
        <v>0</v>
      </c>
      <c r="BX46">
        <f>SUM(Table1[[#This Row],[Spend - CAN]:[Spend - SAF]])+SUM(Table1[[#This Row],[Spend - Sams Mexico]:[Spend - Sams China]])+Table1[[#This Row],[Spend - IND]]</f>
        <v>0</v>
      </c>
      <c r="BY46">
        <f>SUM(Table1[[#This Row],[Savings - CAN]:[Savings - SAF]])+SUM(Table1[[#This Row],[Savings - Sams Mexico]:[Savings - Sams China]])+Table1[[#This Row],[Savings - IND]]</f>
        <v>0</v>
      </c>
      <c r="BZ46">
        <f>SUM(Table1[[#This Row],[Spend - US]:[Spend - Sams]])</f>
        <v>0</v>
      </c>
      <c r="CA46">
        <f>SUM(Table1[[#This Row],[Savings - US]:[Savings - Sams]])</f>
        <v>0</v>
      </c>
      <c r="CB46">
        <f>SUM(Table1[[#This Row],[Cost Avoidance - CAN2]:[Cost Avoidance - SAF10]])+SUM(Table1[[#This Row],[Cost Avoidance - Sams Mexico]:[Cost Avoidance - Sams China]])+Table1[[#This Row],[Cost Avoidance - IND]]</f>
        <v>0</v>
      </c>
      <c r="CC46">
        <f>SUM(Table1[[#This Row],[Cost Avoidance - US11]:[Cost Avoidance - Sams12]])</f>
        <v>0</v>
      </c>
      <c r="CD46">
        <f>_xlfn.XLOOKUP(Table1[[#This Row],[Status]],Status_Lookups[Status],Status_Lookups[Value],"")</f>
        <v>0.3</v>
      </c>
    </row>
    <row r="47" spans="1:82">
      <c r="A47">
        <v>4</v>
      </c>
      <c r="B47" t="s">
        <v>51</v>
      </c>
      <c r="C47" t="s">
        <v>33</v>
      </c>
      <c r="D47" t="s">
        <v>322</v>
      </c>
      <c r="E47" s="15">
        <v>44805</v>
      </c>
      <c r="F47" s="15">
        <v>44925</v>
      </c>
      <c r="G47" s="15">
        <v>0</v>
      </c>
      <c r="H47" s="15">
        <v>0</v>
      </c>
      <c r="I47" t="s">
        <v>415</v>
      </c>
      <c r="J47" t="s">
        <v>459</v>
      </c>
      <c r="K47" t="s">
        <v>508</v>
      </c>
      <c r="L47">
        <v>0</v>
      </c>
      <c r="M47">
        <v>6800000</v>
      </c>
      <c r="N47">
        <v>4800000</v>
      </c>
      <c r="O47">
        <v>2400000</v>
      </c>
      <c r="P47">
        <v>2400000</v>
      </c>
      <c r="Q47">
        <v>0</v>
      </c>
      <c r="R47">
        <v>0</v>
      </c>
      <c r="S47">
        <v>0</v>
      </c>
      <c r="T47">
        <v>12300000</v>
      </c>
      <c r="U47">
        <v>0</v>
      </c>
      <c r="V47">
        <v>276000000</v>
      </c>
      <c r="W47">
        <v>53300000</v>
      </c>
      <c r="X47" t="s">
        <v>47</v>
      </c>
      <c r="Y47" s="16">
        <v>44701.408843750003</v>
      </c>
      <c r="Z47" s="17" t="str">
        <f>_xlfn.XLOOKUP(Table1[[#This Row],[Phase]],'Lookup tables'!$Y$27:$Y$60,'Lookup tables'!$Z$27:$Z$60,"Not Updated")</f>
        <v>Award</v>
      </c>
      <c r="AA47" s="17" t="s">
        <v>631</v>
      </c>
      <c r="AB47">
        <v>0</v>
      </c>
      <c r="AC47">
        <v>0</v>
      </c>
      <c r="AD47">
        <v>0</v>
      </c>
      <c r="AE47">
        <v>0</v>
      </c>
      <c r="AF47">
        <v>0</v>
      </c>
      <c r="AG47">
        <v>0</v>
      </c>
      <c r="AH47">
        <v>0</v>
      </c>
      <c r="AI47">
        <v>0</v>
      </c>
      <c r="AJ47">
        <v>0</v>
      </c>
      <c r="AK47">
        <v>0</v>
      </c>
      <c r="AL47">
        <v>0</v>
      </c>
      <c r="AM47">
        <v>0</v>
      </c>
      <c r="AN47">
        <v>0</v>
      </c>
      <c r="AO47">
        <v>0</v>
      </c>
      <c r="AP47">
        <v>0</v>
      </c>
      <c r="AQ47">
        <v>0</v>
      </c>
      <c r="AR47">
        <v>0</v>
      </c>
      <c r="AS47">
        <v>0</v>
      </c>
      <c r="AT47">
        <v>0</v>
      </c>
      <c r="AU47">
        <v>0</v>
      </c>
      <c r="AV47">
        <v>0</v>
      </c>
      <c r="AW47">
        <v>0</v>
      </c>
      <c r="AX47">
        <v>0</v>
      </c>
      <c r="AY47">
        <v>0</v>
      </c>
      <c r="AZ47">
        <v>0</v>
      </c>
      <c r="BA47">
        <v>0</v>
      </c>
      <c r="BB47">
        <v>0</v>
      </c>
      <c r="BC47">
        <v>0</v>
      </c>
      <c r="BD47">
        <v>0</v>
      </c>
      <c r="BE47">
        <v>0</v>
      </c>
      <c r="BF47">
        <v>0</v>
      </c>
      <c r="BG47" s="185">
        <v>0</v>
      </c>
      <c r="BH47" s="185">
        <v>0</v>
      </c>
      <c r="BI47" s="185">
        <v>0</v>
      </c>
      <c r="BJ47" s="185">
        <v>0</v>
      </c>
      <c r="BK47" s="185">
        <v>0</v>
      </c>
      <c r="BL47" s="185">
        <v>0</v>
      </c>
      <c r="BM47" s="185">
        <v>0</v>
      </c>
      <c r="BN47" s="185">
        <v>0</v>
      </c>
      <c r="BO47" s="185">
        <v>0</v>
      </c>
      <c r="BP47" s="185">
        <v>44835</v>
      </c>
      <c r="BQ47" s="185">
        <v>0</v>
      </c>
      <c r="BR47" s="185">
        <v>0</v>
      </c>
      <c r="BS47" s="185">
        <v>0</v>
      </c>
      <c r="BT47" s="185">
        <v>0</v>
      </c>
      <c r="BU47" t="b">
        <f>IF(_xlfn.MAXIFS(Table1[Sl No],Table1[Category],Table1[[#This Row],[Category]],Table1[Execution Year],Table1[[#This Row],[Execution Year]])=Table1[[#This Row],[Sl No]],TRUE,FALSE)</f>
        <v>0</v>
      </c>
      <c r="BV47" s="201">
        <f>SUM(Table1[[#This Row],[Spend - CAN]:[Spend - Sams]])+SUM(Table1[[#This Row],[Spend - Sams Mexico]:[Spend - Sams China]])+Table1[[#This Row],[Spend - IND]]</f>
        <v>358000000</v>
      </c>
      <c r="BW47">
        <f>SUM(Table1[[#This Row],[Savings - CAN]:[Savings - Sams]])+SUM(Table1[[#This Row],[Savings - Sams Mexico]:[Savings - Sams China]])+Table1[[#This Row],[Savings - IND]]</f>
        <v>0</v>
      </c>
      <c r="BX47">
        <f>SUM(Table1[[#This Row],[Spend - CAN]:[Spend - SAF]])+SUM(Table1[[#This Row],[Spend - Sams Mexico]:[Spend - Sams China]])+Table1[[#This Row],[Spend - IND]]</f>
        <v>28700000</v>
      </c>
      <c r="BY47">
        <f>SUM(Table1[[#This Row],[Savings - CAN]:[Savings - SAF]])+SUM(Table1[[#This Row],[Savings - Sams Mexico]:[Savings - Sams China]])+Table1[[#This Row],[Savings - IND]]</f>
        <v>0</v>
      </c>
      <c r="BZ47">
        <f>SUM(Table1[[#This Row],[Spend - US]:[Spend - Sams]])</f>
        <v>329300000</v>
      </c>
      <c r="CA47">
        <f>SUM(Table1[[#This Row],[Savings - US]:[Savings - Sams]])</f>
        <v>0</v>
      </c>
      <c r="CB47">
        <f>SUM(Table1[[#This Row],[Cost Avoidance - CAN2]:[Cost Avoidance - SAF10]])+SUM(Table1[[#This Row],[Cost Avoidance - Sams Mexico]:[Cost Avoidance - Sams China]])+Table1[[#This Row],[Cost Avoidance - IND]]</f>
        <v>0</v>
      </c>
      <c r="CC47">
        <f>SUM(Table1[[#This Row],[Cost Avoidance - US11]:[Cost Avoidance - Sams12]])</f>
        <v>0</v>
      </c>
      <c r="CD47">
        <f>_xlfn.XLOOKUP(Table1[[#This Row],[Status]],Status_Lookups[Status],Status_Lookups[Value],"")</f>
        <v>0.3</v>
      </c>
    </row>
    <row r="48" spans="1:82">
      <c r="A48">
        <v>5</v>
      </c>
      <c r="B48" t="s">
        <v>51</v>
      </c>
      <c r="C48" t="s">
        <v>33</v>
      </c>
      <c r="D48" t="s">
        <v>322</v>
      </c>
      <c r="E48" s="15">
        <v>44805</v>
      </c>
      <c r="F48" s="15">
        <v>44925</v>
      </c>
      <c r="G48" s="15">
        <v>0</v>
      </c>
      <c r="H48" s="15">
        <v>0</v>
      </c>
      <c r="I48" t="s">
        <v>415</v>
      </c>
      <c r="J48" t="s">
        <v>459</v>
      </c>
      <c r="K48" t="s">
        <v>508</v>
      </c>
      <c r="L48" t="s">
        <v>521</v>
      </c>
      <c r="M48">
        <v>6800000</v>
      </c>
      <c r="N48">
        <v>4800000</v>
      </c>
      <c r="O48">
        <v>2400000</v>
      </c>
      <c r="P48">
        <v>2400000</v>
      </c>
      <c r="Q48">
        <v>0</v>
      </c>
      <c r="R48">
        <v>0</v>
      </c>
      <c r="S48">
        <v>0</v>
      </c>
      <c r="T48">
        <v>12300000</v>
      </c>
      <c r="U48">
        <v>0</v>
      </c>
      <c r="V48">
        <v>276000000</v>
      </c>
      <c r="W48">
        <v>53300000</v>
      </c>
      <c r="X48" t="s">
        <v>508</v>
      </c>
      <c r="Y48" s="16">
        <v>44729.536545486109</v>
      </c>
      <c r="Z48" s="17" t="str">
        <f>_xlfn.XLOOKUP(Table1[[#This Row],[Phase]],'Lookup tables'!$Y$27:$Y$60,'Lookup tables'!$Z$27:$Z$60,"Not Updated")</f>
        <v>Award</v>
      </c>
      <c r="AA48" s="17" t="s">
        <v>631</v>
      </c>
      <c r="AB48">
        <v>0</v>
      </c>
      <c r="AC48">
        <v>0</v>
      </c>
      <c r="AD48">
        <v>0</v>
      </c>
      <c r="AE48">
        <v>0</v>
      </c>
      <c r="AF48">
        <v>0</v>
      </c>
      <c r="AG48">
        <v>0</v>
      </c>
      <c r="AH48">
        <v>0</v>
      </c>
      <c r="AI48">
        <v>0</v>
      </c>
      <c r="AJ48">
        <v>0</v>
      </c>
      <c r="AK48">
        <v>0</v>
      </c>
      <c r="AL48">
        <v>0</v>
      </c>
      <c r="AM48">
        <v>0</v>
      </c>
      <c r="AN48">
        <v>0</v>
      </c>
      <c r="AO48">
        <v>0</v>
      </c>
      <c r="AP48">
        <v>0</v>
      </c>
      <c r="AQ48">
        <v>0</v>
      </c>
      <c r="AR48">
        <v>0</v>
      </c>
      <c r="AS48">
        <v>0</v>
      </c>
      <c r="AT48">
        <v>0</v>
      </c>
      <c r="AU48">
        <v>0</v>
      </c>
      <c r="AV48">
        <v>0</v>
      </c>
      <c r="AW48">
        <v>0</v>
      </c>
      <c r="AX48">
        <v>0</v>
      </c>
      <c r="AY48">
        <v>0</v>
      </c>
      <c r="AZ48">
        <v>0</v>
      </c>
      <c r="BA48">
        <v>0</v>
      </c>
      <c r="BB48">
        <v>0</v>
      </c>
      <c r="BC48">
        <v>0</v>
      </c>
      <c r="BD48">
        <v>0</v>
      </c>
      <c r="BE48">
        <v>0</v>
      </c>
      <c r="BF48">
        <v>0</v>
      </c>
      <c r="BG48" s="185">
        <v>0</v>
      </c>
      <c r="BH48" s="185">
        <v>0</v>
      </c>
      <c r="BI48" s="185">
        <v>0</v>
      </c>
      <c r="BJ48" s="185">
        <v>0</v>
      </c>
      <c r="BK48" s="185">
        <v>0</v>
      </c>
      <c r="BL48" s="185">
        <v>0</v>
      </c>
      <c r="BM48" s="185">
        <v>0</v>
      </c>
      <c r="BN48" s="185">
        <v>0</v>
      </c>
      <c r="BO48" s="185">
        <v>0</v>
      </c>
      <c r="BP48" s="185">
        <v>44835</v>
      </c>
      <c r="BQ48" s="185">
        <v>0</v>
      </c>
      <c r="BR48" s="185">
        <v>0</v>
      </c>
      <c r="BS48" s="185">
        <v>0</v>
      </c>
      <c r="BT48" s="185">
        <v>0</v>
      </c>
      <c r="BU48" t="b">
        <f>IF(_xlfn.MAXIFS(Table1[Sl No],Table1[Category],Table1[[#This Row],[Category]],Table1[Execution Year],Table1[[#This Row],[Execution Year]])=Table1[[#This Row],[Sl No]],TRUE,FALSE)</f>
        <v>0</v>
      </c>
      <c r="BV48" s="201">
        <f>SUM(Table1[[#This Row],[Spend - CAN]:[Spend - Sams]])+SUM(Table1[[#This Row],[Spend - Sams Mexico]:[Spend - Sams China]])+Table1[[#This Row],[Spend - IND]]</f>
        <v>358000000</v>
      </c>
      <c r="BW48">
        <f>SUM(Table1[[#This Row],[Savings - CAN]:[Savings - Sams]])+SUM(Table1[[#This Row],[Savings - Sams Mexico]:[Savings - Sams China]])+Table1[[#This Row],[Savings - IND]]</f>
        <v>0</v>
      </c>
      <c r="BX48">
        <f>SUM(Table1[[#This Row],[Spend - CAN]:[Spend - SAF]])+SUM(Table1[[#This Row],[Spend - Sams Mexico]:[Spend - Sams China]])+Table1[[#This Row],[Spend - IND]]</f>
        <v>28700000</v>
      </c>
      <c r="BY48">
        <f>SUM(Table1[[#This Row],[Savings - CAN]:[Savings - SAF]])+SUM(Table1[[#This Row],[Savings - Sams Mexico]:[Savings - Sams China]])+Table1[[#This Row],[Savings - IND]]</f>
        <v>0</v>
      </c>
      <c r="BZ48">
        <f>SUM(Table1[[#This Row],[Spend - US]:[Spend - Sams]])</f>
        <v>329300000</v>
      </c>
      <c r="CA48">
        <f>SUM(Table1[[#This Row],[Savings - US]:[Savings - Sams]])</f>
        <v>0</v>
      </c>
      <c r="CB48">
        <f>SUM(Table1[[#This Row],[Cost Avoidance - CAN2]:[Cost Avoidance - SAF10]])+SUM(Table1[[#This Row],[Cost Avoidance - Sams Mexico]:[Cost Avoidance - Sams China]])+Table1[[#This Row],[Cost Avoidance - IND]]</f>
        <v>0</v>
      </c>
      <c r="CC48">
        <f>SUM(Table1[[#This Row],[Cost Avoidance - US11]:[Cost Avoidance - Sams12]])</f>
        <v>0</v>
      </c>
      <c r="CD48">
        <f>_xlfn.XLOOKUP(Table1[[#This Row],[Status]],Status_Lookups[Status],Status_Lookups[Value],"")</f>
        <v>0.3</v>
      </c>
    </row>
    <row r="49" spans="1:82">
      <c r="A49">
        <v>6</v>
      </c>
      <c r="B49" t="s">
        <v>51</v>
      </c>
      <c r="C49" t="s">
        <v>33</v>
      </c>
      <c r="D49" t="s">
        <v>322</v>
      </c>
      <c r="E49" s="15">
        <v>44805</v>
      </c>
      <c r="F49" s="15">
        <v>44925</v>
      </c>
      <c r="G49" s="15">
        <v>44742</v>
      </c>
      <c r="H49" s="15">
        <v>44676</v>
      </c>
      <c r="I49" t="s">
        <v>415</v>
      </c>
      <c r="J49" t="s">
        <v>459</v>
      </c>
      <c r="K49" t="s">
        <v>508</v>
      </c>
      <c r="L49" t="s">
        <v>521</v>
      </c>
      <c r="M49">
        <v>6800000</v>
      </c>
      <c r="N49">
        <v>4800000</v>
      </c>
      <c r="O49">
        <v>2400000</v>
      </c>
      <c r="P49">
        <v>2400000</v>
      </c>
      <c r="Q49">
        <v>0</v>
      </c>
      <c r="R49">
        <v>0</v>
      </c>
      <c r="S49">
        <v>0</v>
      </c>
      <c r="T49">
        <v>12300000</v>
      </c>
      <c r="U49">
        <v>0</v>
      </c>
      <c r="V49">
        <v>276000000</v>
      </c>
      <c r="W49">
        <v>53300000</v>
      </c>
      <c r="X49" t="s">
        <v>508</v>
      </c>
      <c r="Y49" s="16">
        <v>44729.586526967592</v>
      </c>
      <c r="Z49" s="17" t="str">
        <f>_xlfn.XLOOKUP(Table1[[#This Row],[Phase]],'Lookup tables'!$Y$27:$Y$60,'Lookup tables'!$Z$27:$Z$60,"Not Updated")</f>
        <v>Award</v>
      </c>
      <c r="AA49" s="17" t="s">
        <v>632</v>
      </c>
      <c r="AB49">
        <v>0</v>
      </c>
      <c r="AC49">
        <v>0</v>
      </c>
      <c r="AD49">
        <v>0</v>
      </c>
      <c r="AE49">
        <v>0</v>
      </c>
      <c r="AF49">
        <v>0</v>
      </c>
      <c r="AG49">
        <v>0</v>
      </c>
      <c r="AH49">
        <v>0</v>
      </c>
      <c r="AI49">
        <v>0</v>
      </c>
      <c r="AJ49">
        <v>0</v>
      </c>
      <c r="AK49">
        <v>0</v>
      </c>
      <c r="AL49">
        <v>0</v>
      </c>
      <c r="AM49">
        <v>0</v>
      </c>
      <c r="AN49">
        <v>0</v>
      </c>
      <c r="AO49">
        <v>0</v>
      </c>
      <c r="AP49">
        <v>0</v>
      </c>
      <c r="AQ49">
        <v>0</v>
      </c>
      <c r="AR49">
        <v>0</v>
      </c>
      <c r="AS49">
        <v>0</v>
      </c>
      <c r="AT49">
        <v>0</v>
      </c>
      <c r="AU49">
        <v>0</v>
      </c>
      <c r="AV49">
        <v>0</v>
      </c>
      <c r="AW49">
        <v>0</v>
      </c>
      <c r="AX49">
        <v>0</v>
      </c>
      <c r="AY49">
        <v>0</v>
      </c>
      <c r="AZ49">
        <v>0</v>
      </c>
      <c r="BA49">
        <v>0</v>
      </c>
      <c r="BB49">
        <v>0</v>
      </c>
      <c r="BC49">
        <v>0</v>
      </c>
      <c r="BD49">
        <v>0</v>
      </c>
      <c r="BE49">
        <v>0</v>
      </c>
      <c r="BF49">
        <v>0</v>
      </c>
      <c r="BG49" s="185">
        <v>44835</v>
      </c>
      <c r="BH49" s="185">
        <v>44835</v>
      </c>
      <c r="BI49" s="185">
        <v>44835</v>
      </c>
      <c r="BJ49" s="185">
        <v>44835</v>
      </c>
      <c r="BK49" s="185">
        <v>0</v>
      </c>
      <c r="BL49" s="185">
        <v>0</v>
      </c>
      <c r="BM49" s="185">
        <v>0</v>
      </c>
      <c r="BN49" s="185">
        <v>44835</v>
      </c>
      <c r="BO49" s="185">
        <v>0</v>
      </c>
      <c r="BP49" s="185">
        <v>44835</v>
      </c>
      <c r="BQ49" s="185">
        <v>0</v>
      </c>
      <c r="BR49" s="185">
        <v>0</v>
      </c>
      <c r="BS49" s="185">
        <v>0</v>
      </c>
      <c r="BT49" s="185">
        <v>0</v>
      </c>
      <c r="BU49" t="b">
        <f>IF(_xlfn.MAXIFS(Table1[Sl No],Table1[Category],Table1[[#This Row],[Category]],Table1[Execution Year],Table1[[#This Row],[Execution Year]])=Table1[[#This Row],[Sl No]],TRUE,FALSE)</f>
        <v>0</v>
      </c>
      <c r="BV49" s="201">
        <f>SUM(Table1[[#This Row],[Spend - CAN]:[Spend - Sams]])+SUM(Table1[[#This Row],[Spend - Sams Mexico]:[Spend - Sams China]])+Table1[[#This Row],[Spend - IND]]</f>
        <v>358000000</v>
      </c>
      <c r="BW49">
        <f>SUM(Table1[[#This Row],[Savings - CAN]:[Savings - Sams]])+SUM(Table1[[#This Row],[Savings - Sams Mexico]:[Savings - Sams China]])+Table1[[#This Row],[Savings - IND]]</f>
        <v>0</v>
      </c>
      <c r="BX49">
        <f>SUM(Table1[[#This Row],[Spend - CAN]:[Spend - SAF]])+SUM(Table1[[#This Row],[Spend - Sams Mexico]:[Spend - Sams China]])+Table1[[#This Row],[Spend - IND]]</f>
        <v>28700000</v>
      </c>
      <c r="BY49">
        <f>SUM(Table1[[#This Row],[Savings - CAN]:[Savings - SAF]])+SUM(Table1[[#This Row],[Savings - Sams Mexico]:[Savings - Sams China]])+Table1[[#This Row],[Savings - IND]]</f>
        <v>0</v>
      </c>
      <c r="BZ49">
        <f>SUM(Table1[[#This Row],[Spend - US]:[Spend - Sams]])</f>
        <v>329300000</v>
      </c>
      <c r="CA49">
        <f>SUM(Table1[[#This Row],[Savings - US]:[Savings - Sams]])</f>
        <v>0</v>
      </c>
      <c r="CB49">
        <f>SUM(Table1[[#This Row],[Cost Avoidance - CAN2]:[Cost Avoidance - SAF10]])+SUM(Table1[[#This Row],[Cost Avoidance - Sams Mexico]:[Cost Avoidance - Sams China]])+Table1[[#This Row],[Cost Avoidance - IND]]</f>
        <v>0</v>
      </c>
      <c r="CC49">
        <f>SUM(Table1[[#This Row],[Cost Avoidance - US11]:[Cost Avoidance - Sams12]])</f>
        <v>0</v>
      </c>
      <c r="CD49">
        <f>_xlfn.XLOOKUP(Table1[[#This Row],[Status]],Status_Lookups[Status],Status_Lookups[Value],"")</f>
        <v>0.3</v>
      </c>
    </row>
    <row r="50" spans="1:82">
      <c r="A50">
        <v>1</v>
      </c>
      <c r="B50" t="s">
        <v>87</v>
      </c>
      <c r="C50" t="s">
        <v>43</v>
      </c>
      <c r="D50" t="s">
        <v>39</v>
      </c>
      <c r="E50" s="15"/>
      <c r="F50" s="15"/>
      <c r="G50" s="15"/>
      <c r="H50" s="15"/>
      <c r="I50" t="s">
        <v>625</v>
      </c>
      <c r="J50" t="s">
        <v>626</v>
      </c>
      <c r="X50" t="s">
        <v>78</v>
      </c>
      <c r="Y50" s="16">
        <v>44242.436388888891</v>
      </c>
      <c r="Z50" s="17" t="str">
        <f>_xlfn.XLOOKUP(Table1[[#This Row],[Phase]],'Lookup tables'!$Y$27:$Y$60,'Lookup tables'!$Z$27:$Z$60,"Not Updated")</f>
        <v>Proposed</v>
      </c>
      <c r="AA50" s="17"/>
      <c r="BG50" s="185"/>
      <c r="BH50" s="185"/>
      <c r="BI50" s="185"/>
      <c r="BJ50" s="185"/>
      <c r="BK50" s="185"/>
      <c r="BL50" s="185"/>
      <c r="BM50" s="185"/>
      <c r="BN50" s="185"/>
      <c r="BO50" s="185"/>
      <c r="BP50" s="185"/>
      <c r="BQ50" s="185"/>
      <c r="BR50" s="185"/>
      <c r="BS50" s="185"/>
      <c r="BT50" s="185"/>
      <c r="BU50" t="b">
        <f>IF(_xlfn.MAXIFS(Table1[Sl No],Table1[Category],Table1[[#This Row],[Category]],Table1[Execution Year],Table1[[#This Row],[Execution Year]])=Table1[[#This Row],[Sl No]],TRUE,FALSE)</f>
        <v>0</v>
      </c>
      <c r="BV50" s="201">
        <f>SUM(Table1[[#This Row],[Spend - CAN]:[Spend - Sams]])+SUM(Table1[[#This Row],[Spend - Sams Mexico]:[Spend - Sams China]])+Table1[[#This Row],[Spend - IND]]</f>
        <v>0</v>
      </c>
      <c r="BW50">
        <f>SUM(Table1[[#This Row],[Savings - CAN]:[Savings - Sams]])+SUM(Table1[[#This Row],[Savings - Sams Mexico]:[Savings - Sams China]])+Table1[[#This Row],[Savings - IND]]</f>
        <v>0</v>
      </c>
      <c r="BX50">
        <f>SUM(Table1[[#This Row],[Spend - CAN]:[Spend - SAF]])+SUM(Table1[[#This Row],[Spend - Sams Mexico]:[Spend - Sams China]])+Table1[[#This Row],[Spend - IND]]</f>
        <v>0</v>
      </c>
      <c r="BY50">
        <f>SUM(Table1[[#This Row],[Savings - CAN]:[Savings - SAF]])+SUM(Table1[[#This Row],[Savings - Sams Mexico]:[Savings - Sams China]])+Table1[[#This Row],[Savings - IND]]</f>
        <v>0</v>
      </c>
      <c r="BZ50">
        <f>SUM(Table1[[#This Row],[Spend - US]:[Spend - Sams]])</f>
        <v>0</v>
      </c>
      <c r="CA50">
        <f>SUM(Table1[[#This Row],[Savings - US]:[Savings - Sams]])</f>
        <v>0</v>
      </c>
      <c r="CB50">
        <f>SUM(Table1[[#This Row],[Cost Avoidance - CAN2]:[Cost Avoidance - SAF10]])+SUM(Table1[[#This Row],[Cost Avoidance - Sams Mexico]:[Cost Avoidance - Sams China]])+Table1[[#This Row],[Cost Avoidance - IND]]</f>
        <v>0</v>
      </c>
      <c r="CC50">
        <f>SUM(Table1[[#This Row],[Cost Avoidance - US11]:[Cost Avoidance - Sams12]])</f>
        <v>0</v>
      </c>
      <c r="CD50" t="str">
        <f>_xlfn.XLOOKUP(Table1[[#This Row],[Status]],Status_Lookups[Status],Status_Lookups[Value],"")</f>
        <v/>
      </c>
    </row>
    <row r="51" spans="1:82">
      <c r="A51">
        <v>2</v>
      </c>
      <c r="B51" t="s">
        <v>87</v>
      </c>
      <c r="C51" t="s">
        <v>43</v>
      </c>
      <c r="D51" t="s">
        <v>39</v>
      </c>
      <c r="E51" s="15">
        <v>44470</v>
      </c>
      <c r="F51" s="15">
        <v>44561</v>
      </c>
      <c r="G51" s="15"/>
      <c r="H51" s="15"/>
      <c r="I51" t="s">
        <v>458</v>
      </c>
      <c r="J51" t="s">
        <v>626</v>
      </c>
      <c r="K51">
        <v>0</v>
      </c>
      <c r="L51">
        <v>0</v>
      </c>
      <c r="M51">
        <v>3000000</v>
      </c>
      <c r="N51">
        <v>1600000</v>
      </c>
      <c r="O51">
        <v>0</v>
      </c>
      <c r="P51">
        <v>200000</v>
      </c>
      <c r="Q51">
        <v>0</v>
      </c>
      <c r="R51">
        <v>0</v>
      </c>
      <c r="S51">
        <v>0</v>
      </c>
      <c r="T51">
        <v>200000</v>
      </c>
      <c r="U51">
        <v>0</v>
      </c>
      <c r="V51">
        <v>0</v>
      </c>
      <c r="W51">
        <v>0</v>
      </c>
      <c r="X51" t="s">
        <v>78</v>
      </c>
      <c r="Y51" s="16">
        <v>44245.680242013892</v>
      </c>
      <c r="Z51" s="17" t="str">
        <f>_xlfn.XLOOKUP(Table1[[#This Row],[Phase]],'Lookup tables'!$Y$27:$Y$60,'Lookup tables'!$Z$27:$Z$60,"Not Updated")</f>
        <v>Exploratory</v>
      </c>
      <c r="AA51" s="17">
        <v>0</v>
      </c>
      <c r="AB51">
        <v>0</v>
      </c>
      <c r="AC51">
        <v>0</v>
      </c>
      <c r="AD51">
        <v>0</v>
      </c>
      <c r="AE51">
        <v>0</v>
      </c>
      <c r="AF51">
        <v>0</v>
      </c>
      <c r="AG51">
        <v>0</v>
      </c>
      <c r="AH51">
        <v>0</v>
      </c>
      <c r="AI51">
        <v>0</v>
      </c>
      <c r="AJ51">
        <v>0</v>
      </c>
      <c r="AK51">
        <v>0</v>
      </c>
      <c r="AL51">
        <v>0</v>
      </c>
      <c r="BG51" s="185"/>
      <c r="BH51" s="185"/>
      <c r="BI51" s="185"/>
      <c r="BJ51" s="185"/>
      <c r="BK51" s="185"/>
      <c r="BL51" s="185"/>
      <c r="BM51" s="185"/>
      <c r="BN51" s="185"/>
      <c r="BO51" s="185"/>
      <c r="BP51" s="185"/>
      <c r="BQ51" s="185"/>
      <c r="BR51" s="185"/>
      <c r="BS51" s="185"/>
      <c r="BT51" s="185"/>
      <c r="BU51" t="b">
        <f>IF(_xlfn.MAXIFS(Table1[Sl No],Table1[Category],Table1[[#This Row],[Category]],Table1[Execution Year],Table1[[#This Row],[Execution Year]])=Table1[[#This Row],[Sl No]],TRUE,FALSE)</f>
        <v>0</v>
      </c>
      <c r="BV51" s="201">
        <f>SUM(Table1[[#This Row],[Spend - CAN]:[Spend - Sams]])+SUM(Table1[[#This Row],[Spend - Sams Mexico]:[Spend - Sams China]])+Table1[[#This Row],[Spend - IND]]</f>
        <v>5000000</v>
      </c>
      <c r="BW51">
        <f>SUM(Table1[[#This Row],[Savings - CAN]:[Savings - Sams]])+SUM(Table1[[#This Row],[Savings - Sams Mexico]:[Savings - Sams China]])+Table1[[#This Row],[Savings - IND]]</f>
        <v>0</v>
      </c>
      <c r="BX51">
        <f>SUM(Table1[[#This Row],[Spend - CAN]:[Spend - SAF]])+SUM(Table1[[#This Row],[Spend - Sams Mexico]:[Spend - Sams China]])+Table1[[#This Row],[Spend - IND]]</f>
        <v>5000000</v>
      </c>
      <c r="BY51">
        <f>SUM(Table1[[#This Row],[Savings - CAN]:[Savings - SAF]])+SUM(Table1[[#This Row],[Savings - Sams Mexico]:[Savings - Sams China]])+Table1[[#This Row],[Savings - IND]]</f>
        <v>0</v>
      </c>
      <c r="BZ51">
        <f>SUM(Table1[[#This Row],[Spend - US]:[Spend - Sams]])</f>
        <v>0</v>
      </c>
      <c r="CA51">
        <f>SUM(Table1[[#This Row],[Savings - US]:[Savings - Sams]])</f>
        <v>0</v>
      </c>
      <c r="CB51">
        <f>SUM(Table1[[#This Row],[Cost Avoidance - CAN2]:[Cost Avoidance - SAF10]])+SUM(Table1[[#This Row],[Cost Avoidance - Sams Mexico]:[Cost Avoidance - Sams China]])+Table1[[#This Row],[Cost Avoidance - IND]]</f>
        <v>0</v>
      </c>
      <c r="CC51">
        <f>SUM(Table1[[#This Row],[Cost Avoidance - US11]:[Cost Avoidance - Sams12]])</f>
        <v>0</v>
      </c>
      <c r="CD51" t="str">
        <f>_xlfn.XLOOKUP(Table1[[#This Row],[Status]],Status_Lookups[Status],Status_Lookups[Value],"")</f>
        <v/>
      </c>
    </row>
    <row r="52" spans="1:82">
      <c r="A52">
        <v>3</v>
      </c>
      <c r="B52" t="s">
        <v>87</v>
      </c>
      <c r="C52" t="s">
        <v>43</v>
      </c>
      <c r="D52" t="s">
        <v>39</v>
      </c>
      <c r="E52" s="15">
        <v>44470</v>
      </c>
      <c r="F52" s="15">
        <v>44561</v>
      </c>
      <c r="G52" s="15"/>
      <c r="H52" s="15"/>
      <c r="I52" t="s">
        <v>458</v>
      </c>
      <c r="J52">
        <v>0</v>
      </c>
      <c r="K52">
        <v>0</v>
      </c>
      <c r="L52">
        <v>0</v>
      </c>
      <c r="M52">
        <v>3000000</v>
      </c>
      <c r="N52">
        <v>1600000</v>
      </c>
      <c r="O52">
        <v>0</v>
      </c>
      <c r="P52">
        <v>200000</v>
      </c>
      <c r="Q52">
        <v>0</v>
      </c>
      <c r="R52">
        <v>0</v>
      </c>
      <c r="S52">
        <v>0</v>
      </c>
      <c r="T52">
        <v>200000</v>
      </c>
      <c r="U52">
        <v>0</v>
      </c>
      <c r="V52">
        <v>0</v>
      </c>
      <c r="W52">
        <v>0</v>
      </c>
      <c r="X52" t="s">
        <v>78</v>
      </c>
      <c r="Y52" s="16">
        <v>44246.591143518519</v>
      </c>
      <c r="Z52" s="17" t="str">
        <f>_xlfn.XLOOKUP(Table1[[#This Row],[Phase]],'Lookup tables'!$Y$27:$Y$60,'Lookup tables'!$Z$27:$Z$60,"Not Updated")</f>
        <v>Exploratory</v>
      </c>
      <c r="AA52" s="17">
        <v>0</v>
      </c>
      <c r="AB52">
        <v>0</v>
      </c>
      <c r="AC52">
        <v>0</v>
      </c>
      <c r="AD52">
        <v>0</v>
      </c>
      <c r="AE52">
        <v>0</v>
      </c>
      <c r="AF52">
        <v>0</v>
      </c>
      <c r="AG52">
        <v>0</v>
      </c>
      <c r="AH52">
        <v>0</v>
      </c>
      <c r="AI52">
        <v>0</v>
      </c>
      <c r="AJ52">
        <v>0</v>
      </c>
      <c r="AK52">
        <v>0</v>
      </c>
      <c r="AL52">
        <v>0</v>
      </c>
      <c r="BG52" s="185"/>
      <c r="BH52" s="185"/>
      <c r="BI52" s="185"/>
      <c r="BJ52" s="185"/>
      <c r="BK52" s="185"/>
      <c r="BL52" s="185"/>
      <c r="BM52" s="185"/>
      <c r="BN52" s="185"/>
      <c r="BO52" s="185"/>
      <c r="BP52" s="185"/>
      <c r="BQ52" s="185"/>
      <c r="BR52" s="185"/>
      <c r="BS52" s="185"/>
      <c r="BT52" s="185"/>
      <c r="BU52" t="b">
        <f>IF(_xlfn.MAXIFS(Table1[Sl No],Table1[Category],Table1[[#This Row],[Category]],Table1[Execution Year],Table1[[#This Row],[Execution Year]])=Table1[[#This Row],[Sl No]],TRUE,FALSE)</f>
        <v>0</v>
      </c>
      <c r="BV52" s="201">
        <f>SUM(Table1[[#This Row],[Spend - CAN]:[Spend - Sams]])+SUM(Table1[[#This Row],[Spend - Sams Mexico]:[Spend - Sams China]])+Table1[[#This Row],[Spend - IND]]</f>
        <v>5000000</v>
      </c>
      <c r="BW52">
        <f>SUM(Table1[[#This Row],[Savings - CAN]:[Savings - Sams]])+SUM(Table1[[#This Row],[Savings - Sams Mexico]:[Savings - Sams China]])+Table1[[#This Row],[Savings - IND]]</f>
        <v>0</v>
      </c>
      <c r="BX52">
        <f>SUM(Table1[[#This Row],[Spend - CAN]:[Spend - SAF]])+SUM(Table1[[#This Row],[Spend - Sams Mexico]:[Spend - Sams China]])+Table1[[#This Row],[Spend - IND]]</f>
        <v>5000000</v>
      </c>
      <c r="BY52">
        <f>SUM(Table1[[#This Row],[Savings - CAN]:[Savings - SAF]])+SUM(Table1[[#This Row],[Savings - Sams Mexico]:[Savings - Sams China]])+Table1[[#This Row],[Savings - IND]]</f>
        <v>0</v>
      </c>
      <c r="BZ52">
        <f>SUM(Table1[[#This Row],[Spend - US]:[Spend - Sams]])</f>
        <v>0</v>
      </c>
      <c r="CA52">
        <f>SUM(Table1[[#This Row],[Savings - US]:[Savings - Sams]])</f>
        <v>0</v>
      </c>
      <c r="CB52">
        <f>SUM(Table1[[#This Row],[Cost Avoidance - CAN2]:[Cost Avoidance - SAF10]])+SUM(Table1[[#This Row],[Cost Avoidance - Sams Mexico]:[Cost Avoidance - Sams China]])+Table1[[#This Row],[Cost Avoidance - IND]]</f>
        <v>0</v>
      </c>
      <c r="CC52">
        <f>SUM(Table1[[#This Row],[Cost Avoidance - US11]:[Cost Avoidance - Sams12]])</f>
        <v>0</v>
      </c>
      <c r="CD52" t="str">
        <f>_xlfn.XLOOKUP(Table1[[#This Row],[Status]],Status_Lookups[Status],Status_Lookups[Value],"")</f>
        <v/>
      </c>
    </row>
    <row r="53" spans="1:82">
      <c r="A53">
        <v>4</v>
      </c>
      <c r="B53" t="s">
        <v>87</v>
      </c>
      <c r="C53" t="s">
        <v>43</v>
      </c>
      <c r="D53" t="s">
        <v>39</v>
      </c>
      <c r="E53" s="15">
        <v>44287</v>
      </c>
      <c r="F53" s="15">
        <v>44378</v>
      </c>
      <c r="G53" s="15"/>
      <c r="H53" s="15"/>
      <c r="I53" t="s">
        <v>458</v>
      </c>
      <c r="J53" t="s">
        <v>633</v>
      </c>
      <c r="K53" t="s">
        <v>471</v>
      </c>
      <c r="L53" t="s">
        <v>471</v>
      </c>
      <c r="M53">
        <v>3000000</v>
      </c>
      <c r="N53">
        <v>1600000</v>
      </c>
      <c r="O53">
        <v>0</v>
      </c>
      <c r="P53">
        <v>200000</v>
      </c>
      <c r="Q53">
        <v>0</v>
      </c>
      <c r="R53">
        <v>0</v>
      </c>
      <c r="S53">
        <v>0</v>
      </c>
      <c r="T53">
        <v>200000</v>
      </c>
      <c r="U53">
        <v>0</v>
      </c>
      <c r="V53">
        <v>0</v>
      </c>
      <c r="W53">
        <v>0</v>
      </c>
      <c r="X53" t="s">
        <v>97</v>
      </c>
      <c r="Y53" s="16">
        <v>44259.421800925928</v>
      </c>
      <c r="Z53" s="17" t="str">
        <f>_xlfn.XLOOKUP(Table1[[#This Row],[Phase]],'Lookup tables'!$Y$27:$Y$60,'Lookup tables'!$Z$27:$Z$60,"Not Updated")</f>
        <v>Exploratory</v>
      </c>
      <c r="AA53" s="17">
        <v>0</v>
      </c>
      <c r="AB53">
        <v>0</v>
      </c>
      <c r="AC53">
        <v>0</v>
      </c>
      <c r="AD53">
        <v>0</v>
      </c>
      <c r="AE53">
        <v>0</v>
      </c>
      <c r="AF53">
        <v>0</v>
      </c>
      <c r="AG53">
        <v>0</v>
      </c>
      <c r="AH53">
        <v>0</v>
      </c>
      <c r="AI53">
        <v>0</v>
      </c>
      <c r="AJ53">
        <v>0</v>
      </c>
      <c r="AK53">
        <v>0</v>
      </c>
      <c r="AL53">
        <v>0</v>
      </c>
      <c r="AM53">
        <v>0</v>
      </c>
      <c r="AN53">
        <v>0</v>
      </c>
      <c r="AO53">
        <v>0</v>
      </c>
      <c r="AP53">
        <v>0</v>
      </c>
      <c r="AQ53">
        <v>0</v>
      </c>
      <c r="AR53">
        <v>0</v>
      </c>
      <c r="AS53">
        <v>0</v>
      </c>
      <c r="AT53">
        <v>0</v>
      </c>
      <c r="AU53">
        <v>0</v>
      </c>
      <c r="AV53">
        <v>0</v>
      </c>
      <c r="AW53">
        <v>0</v>
      </c>
      <c r="BG53" s="185"/>
      <c r="BH53" s="185"/>
      <c r="BI53" s="185"/>
      <c r="BJ53" s="185"/>
      <c r="BK53" s="185"/>
      <c r="BL53" s="185"/>
      <c r="BM53" s="185"/>
      <c r="BN53" s="185"/>
      <c r="BO53" s="185"/>
      <c r="BP53" s="185"/>
      <c r="BQ53" s="185"/>
      <c r="BR53" s="185"/>
      <c r="BS53" s="185"/>
      <c r="BT53" s="185"/>
      <c r="BU53" t="b">
        <f>IF(_xlfn.MAXIFS(Table1[Sl No],Table1[Category],Table1[[#This Row],[Category]],Table1[Execution Year],Table1[[#This Row],[Execution Year]])=Table1[[#This Row],[Sl No]],TRUE,FALSE)</f>
        <v>0</v>
      </c>
      <c r="BV53" s="201">
        <f>SUM(Table1[[#This Row],[Spend - CAN]:[Spend - Sams]])+SUM(Table1[[#This Row],[Spend - Sams Mexico]:[Spend - Sams China]])+Table1[[#This Row],[Spend - IND]]</f>
        <v>5000000</v>
      </c>
      <c r="BW53">
        <f>SUM(Table1[[#This Row],[Savings - CAN]:[Savings - Sams]])+SUM(Table1[[#This Row],[Savings - Sams Mexico]:[Savings - Sams China]])+Table1[[#This Row],[Savings - IND]]</f>
        <v>0</v>
      </c>
      <c r="BX53">
        <f>SUM(Table1[[#This Row],[Spend - CAN]:[Spend - SAF]])+SUM(Table1[[#This Row],[Spend - Sams Mexico]:[Spend - Sams China]])+Table1[[#This Row],[Spend - IND]]</f>
        <v>5000000</v>
      </c>
      <c r="BY53">
        <f>SUM(Table1[[#This Row],[Savings - CAN]:[Savings - SAF]])+SUM(Table1[[#This Row],[Savings - Sams Mexico]:[Savings - Sams China]])+Table1[[#This Row],[Savings - IND]]</f>
        <v>0</v>
      </c>
      <c r="BZ53">
        <f>SUM(Table1[[#This Row],[Spend - US]:[Spend - Sams]])</f>
        <v>0</v>
      </c>
      <c r="CA53">
        <f>SUM(Table1[[#This Row],[Savings - US]:[Savings - Sams]])</f>
        <v>0</v>
      </c>
      <c r="CB53">
        <f>SUM(Table1[[#This Row],[Cost Avoidance - CAN2]:[Cost Avoidance - SAF10]])+SUM(Table1[[#This Row],[Cost Avoidance - Sams Mexico]:[Cost Avoidance - Sams China]])+Table1[[#This Row],[Cost Avoidance - IND]]</f>
        <v>0</v>
      </c>
      <c r="CC53">
        <f>SUM(Table1[[#This Row],[Cost Avoidance - US11]:[Cost Avoidance - Sams12]])</f>
        <v>0</v>
      </c>
      <c r="CD53" t="str">
        <f>_xlfn.XLOOKUP(Table1[[#This Row],[Status]],Status_Lookups[Status],Status_Lookups[Value],"")</f>
        <v/>
      </c>
    </row>
    <row r="54" spans="1:82">
      <c r="A54">
        <v>5</v>
      </c>
      <c r="B54" t="s">
        <v>87</v>
      </c>
      <c r="C54" t="s">
        <v>43</v>
      </c>
      <c r="D54" t="s">
        <v>39</v>
      </c>
      <c r="E54" s="15">
        <v>44331</v>
      </c>
      <c r="F54" s="15">
        <v>44423</v>
      </c>
      <c r="G54" s="15"/>
      <c r="H54" s="15"/>
      <c r="I54" t="s">
        <v>458</v>
      </c>
      <c r="J54" t="s">
        <v>633</v>
      </c>
      <c r="K54" t="s">
        <v>471</v>
      </c>
      <c r="L54" t="s">
        <v>471</v>
      </c>
      <c r="M54">
        <v>3000000</v>
      </c>
      <c r="N54">
        <v>1600000</v>
      </c>
      <c r="O54">
        <v>0</v>
      </c>
      <c r="P54">
        <v>200000</v>
      </c>
      <c r="Q54">
        <v>0</v>
      </c>
      <c r="R54">
        <v>0</v>
      </c>
      <c r="S54">
        <v>0</v>
      </c>
      <c r="T54">
        <v>200000</v>
      </c>
      <c r="U54">
        <v>0</v>
      </c>
      <c r="V54">
        <v>0</v>
      </c>
      <c r="W54">
        <v>0</v>
      </c>
      <c r="X54" t="s">
        <v>97</v>
      </c>
      <c r="Y54" s="16">
        <v>44260.389561805554</v>
      </c>
      <c r="Z54" s="17" t="str">
        <f>_xlfn.XLOOKUP(Table1[[#This Row],[Phase]],'Lookup tables'!$Y$27:$Y$60,'Lookup tables'!$Z$27:$Z$60,"Not Updated")</f>
        <v>Exploratory</v>
      </c>
      <c r="AA54" s="17">
        <v>0</v>
      </c>
      <c r="AB54">
        <v>0</v>
      </c>
      <c r="AC54">
        <v>0</v>
      </c>
      <c r="AD54">
        <v>0</v>
      </c>
      <c r="AE54">
        <v>0</v>
      </c>
      <c r="AF54">
        <v>0</v>
      </c>
      <c r="AG54">
        <v>0</v>
      </c>
      <c r="AH54">
        <v>0</v>
      </c>
      <c r="AI54">
        <v>0</v>
      </c>
      <c r="AJ54">
        <v>0</v>
      </c>
      <c r="AK54">
        <v>0</v>
      </c>
      <c r="AL54">
        <v>0</v>
      </c>
      <c r="AM54">
        <v>0</v>
      </c>
      <c r="AN54">
        <v>0</v>
      </c>
      <c r="AO54">
        <v>0</v>
      </c>
      <c r="AP54">
        <v>0</v>
      </c>
      <c r="AQ54">
        <v>0</v>
      </c>
      <c r="AR54">
        <v>0</v>
      </c>
      <c r="AS54">
        <v>0</v>
      </c>
      <c r="AT54">
        <v>0</v>
      </c>
      <c r="AU54">
        <v>0</v>
      </c>
      <c r="AV54">
        <v>0</v>
      </c>
      <c r="AW54">
        <v>0</v>
      </c>
      <c r="BG54" s="185"/>
      <c r="BH54" s="185"/>
      <c r="BI54" s="185"/>
      <c r="BJ54" s="185"/>
      <c r="BK54" s="185"/>
      <c r="BL54" s="185"/>
      <c r="BM54" s="185"/>
      <c r="BN54" s="185"/>
      <c r="BO54" s="185"/>
      <c r="BP54" s="185"/>
      <c r="BQ54" s="185"/>
      <c r="BR54" s="185"/>
      <c r="BS54" s="185"/>
      <c r="BT54" s="185"/>
      <c r="BU54" t="b">
        <f>IF(_xlfn.MAXIFS(Table1[Sl No],Table1[Category],Table1[[#This Row],[Category]],Table1[Execution Year],Table1[[#This Row],[Execution Year]])=Table1[[#This Row],[Sl No]],TRUE,FALSE)</f>
        <v>0</v>
      </c>
      <c r="BV54" s="201">
        <f>SUM(Table1[[#This Row],[Spend - CAN]:[Spend - Sams]])+SUM(Table1[[#This Row],[Spend - Sams Mexico]:[Spend - Sams China]])+Table1[[#This Row],[Spend - IND]]</f>
        <v>5000000</v>
      </c>
      <c r="BW54">
        <f>SUM(Table1[[#This Row],[Savings - CAN]:[Savings - Sams]])+SUM(Table1[[#This Row],[Savings - Sams Mexico]:[Savings - Sams China]])+Table1[[#This Row],[Savings - IND]]</f>
        <v>0</v>
      </c>
      <c r="BX54">
        <f>SUM(Table1[[#This Row],[Spend - CAN]:[Spend - SAF]])+SUM(Table1[[#This Row],[Spend - Sams Mexico]:[Spend - Sams China]])+Table1[[#This Row],[Spend - IND]]</f>
        <v>5000000</v>
      </c>
      <c r="BY54">
        <f>SUM(Table1[[#This Row],[Savings - CAN]:[Savings - SAF]])+SUM(Table1[[#This Row],[Savings - Sams Mexico]:[Savings - Sams China]])+Table1[[#This Row],[Savings - IND]]</f>
        <v>0</v>
      </c>
      <c r="BZ54">
        <f>SUM(Table1[[#This Row],[Spend - US]:[Spend - Sams]])</f>
        <v>0</v>
      </c>
      <c r="CA54">
        <f>SUM(Table1[[#This Row],[Savings - US]:[Savings - Sams]])</f>
        <v>0</v>
      </c>
      <c r="CB54">
        <f>SUM(Table1[[#This Row],[Cost Avoidance - CAN2]:[Cost Avoidance - SAF10]])+SUM(Table1[[#This Row],[Cost Avoidance - Sams Mexico]:[Cost Avoidance - Sams China]])+Table1[[#This Row],[Cost Avoidance - IND]]</f>
        <v>0</v>
      </c>
      <c r="CC54">
        <f>SUM(Table1[[#This Row],[Cost Avoidance - US11]:[Cost Avoidance - Sams12]])</f>
        <v>0</v>
      </c>
      <c r="CD54" t="str">
        <f>_xlfn.XLOOKUP(Table1[[#This Row],[Status]],Status_Lookups[Status],Status_Lookups[Value],"")</f>
        <v/>
      </c>
    </row>
    <row r="55" spans="1:82">
      <c r="A55">
        <v>6</v>
      </c>
      <c r="B55" t="s">
        <v>87</v>
      </c>
      <c r="C55" t="s">
        <v>43</v>
      </c>
      <c r="D55" t="s">
        <v>39</v>
      </c>
      <c r="E55" s="15">
        <v>44331</v>
      </c>
      <c r="F55" s="15">
        <v>44423</v>
      </c>
      <c r="G55" s="15"/>
      <c r="H55" s="15"/>
      <c r="I55" t="s">
        <v>458</v>
      </c>
      <c r="J55" t="s">
        <v>633</v>
      </c>
      <c r="K55" t="s">
        <v>471</v>
      </c>
      <c r="L55" t="s">
        <v>471</v>
      </c>
      <c r="M55">
        <v>42000000</v>
      </c>
      <c r="N55">
        <v>1600000</v>
      </c>
      <c r="O55">
        <v>0</v>
      </c>
      <c r="P55">
        <v>300000</v>
      </c>
      <c r="Q55">
        <v>0</v>
      </c>
      <c r="R55">
        <v>100000</v>
      </c>
      <c r="S55">
        <v>0</v>
      </c>
      <c r="T55">
        <v>12400000</v>
      </c>
      <c r="U55">
        <v>0</v>
      </c>
      <c r="V55">
        <v>0</v>
      </c>
      <c r="W55">
        <v>0</v>
      </c>
      <c r="X55" t="s">
        <v>97</v>
      </c>
      <c r="Y55" s="16">
        <v>44264.397055092595</v>
      </c>
      <c r="Z55" s="17" t="str">
        <f>_xlfn.XLOOKUP(Table1[[#This Row],[Phase]],'Lookup tables'!$Y$27:$Y$60,'Lookup tables'!$Z$27:$Z$60,"Not Updated")</f>
        <v>Exploratory</v>
      </c>
      <c r="AA55" s="17">
        <v>0</v>
      </c>
      <c r="AB55">
        <v>0</v>
      </c>
      <c r="AC55">
        <v>0</v>
      </c>
      <c r="AD55">
        <v>0</v>
      </c>
      <c r="AE55">
        <v>0</v>
      </c>
      <c r="AF55">
        <v>0</v>
      </c>
      <c r="AG55">
        <v>0</v>
      </c>
      <c r="AH55">
        <v>0</v>
      </c>
      <c r="AI55">
        <v>0</v>
      </c>
      <c r="AJ55">
        <v>0</v>
      </c>
      <c r="AK55">
        <v>0</v>
      </c>
      <c r="AL55">
        <v>0</v>
      </c>
      <c r="AM55">
        <v>0</v>
      </c>
      <c r="AN55">
        <v>0</v>
      </c>
      <c r="AO55">
        <v>0</v>
      </c>
      <c r="AP55">
        <v>0</v>
      </c>
      <c r="AQ55">
        <v>0</v>
      </c>
      <c r="AR55">
        <v>0</v>
      </c>
      <c r="AS55">
        <v>0</v>
      </c>
      <c r="AT55">
        <v>0</v>
      </c>
      <c r="AU55">
        <v>0</v>
      </c>
      <c r="AV55">
        <v>0</v>
      </c>
      <c r="AW55">
        <v>0</v>
      </c>
      <c r="BG55" s="185"/>
      <c r="BH55" s="185"/>
      <c r="BI55" s="185"/>
      <c r="BJ55" s="185"/>
      <c r="BK55" s="185"/>
      <c r="BL55" s="185"/>
      <c r="BM55" s="185"/>
      <c r="BN55" s="185"/>
      <c r="BO55" s="185"/>
      <c r="BP55" s="185"/>
      <c r="BQ55" s="185"/>
      <c r="BR55" s="185"/>
      <c r="BS55" s="185"/>
      <c r="BT55" s="185"/>
      <c r="BU55" t="b">
        <f>IF(_xlfn.MAXIFS(Table1[Sl No],Table1[Category],Table1[[#This Row],[Category]],Table1[Execution Year],Table1[[#This Row],[Execution Year]])=Table1[[#This Row],[Sl No]],TRUE,FALSE)</f>
        <v>0</v>
      </c>
      <c r="BV55" s="201">
        <f>SUM(Table1[[#This Row],[Spend - CAN]:[Spend - Sams]])+SUM(Table1[[#This Row],[Spend - Sams Mexico]:[Spend - Sams China]])+Table1[[#This Row],[Spend - IND]]</f>
        <v>56400000</v>
      </c>
      <c r="BW55">
        <f>SUM(Table1[[#This Row],[Savings - CAN]:[Savings - Sams]])+SUM(Table1[[#This Row],[Savings - Sams Mexico]:[Savings - Sams China]])+Table1[[#This Row],[Savings - IND]]</f>
        <v>0</v>
      </c>
      <c r="BX55">
        <f>SUM(Table1[[#This Row],[Spend - CAN]:[Spend - SAF]])+SUM(Table1[[#This Row],[Spend - Sams Mexico]:[Spend - Sams China]])+Table1[[#This Row],[Spend - IND]]</f>
        <v>56400000</v>
      </c>
      <c r="BY55">
        <f>SUM(Table1[[#This Row],[Savings - CAN]:[Savings - SAF]])+SUM(Table1[[#This Row],[Savings - Sams Mexico]:[Savings - Sams China]])+Table1[[#This Row],[Savings - IND]]</f>
        <v>0</v>
      </c>
      <c r="BZ55">
        <f>SUM(Table1[[#This Row],[Spend - US]:[Spend - Sams]])</f>
        <v>0</v>
      </c>
      <c r="CA55">
        <f>SUM(Table1[[#This Row],[Savings - US]:[Savings - Sams]])</f>
        <v>0</v>
      </c>
      <c r="CB55">
        <f>SUM(Table1[[#This Row],[Cost Avoidance - CAN2]:[Cost Avoidance - SAF10]])+SUM(Table1[[#This Row],[Cost Avoidance - Sams Mexico]:[Cost Avoidance - Sams China]])+Table1[[#This Row],[Cost Avoidance - IND]]</f>
        <v>0</v>
      </c>
      <c r="CC55">
        <f>SUM(Table1[[#This Row],[Cost Avoidance - US11]:[Cost Avoidance - Sams12]])</f>
        <v>0</v>
      </c>
      <c r="CD55" t="str">
        <f>_xlfn.XLOOKUP(Table1[[#This Row],[Status]],Status_Lookups[Status],Status_Lookups[Value],"")</f>
        <v/>
      </c>
    </row>
    <row r="56" spans="1:82">
      <c r="A56">
        <v>7</v>
      </c>
      <c r="B56" t="s">
        <v>87</v>
      </c>
      <c r="C56" t="s">
        <v>43</v>
      </c>
      <c r="D56" t="s">
        <v>39</v>
      </c>
      <c r="E56" s="15">
        <v>44331</v>
      </c>
      <c r="F56" s="15">
        <v>44423</v>
      </c>
      <c r="G56" s="15"/>
      <c r="H56" s="15"/>
      <c r="I56" t="s">
        <v>458</v>
      </c>
      <c r="J56" t="s">
        <v>633</v>
      </c>
      <c r="K56" t="s">
        <v>471</v>
      </c>
      <c r="L56" t="s">
        <v>471</v>
      </c>
      <c r="M56">
        <v>42000000</v>
      </c>
      <c r="N56">
        <v>1600000</v>
      </c>
      <c r="O56">
        <v>0</v>
      </c>
      <c r="P56">
        <v>300000</v>
      </c>
      <c r="Q56">
        <v>0</v>
      </c>
      <c r="R56">
        <v>100000</v>
      </c>
      <c r="S56">
        <v>0</v>
      </c>
      <c r="T56">
        <v>12400000</v>
      </c>
      <c r="U56">
        <v>0</v>
      </c>
      <c r="V56">
        <v>0</v>
      </c>
      <c r="W56">
        <v>0</v>
      </c>
      <c r="X56" t="s">
        <v>97</v>
      </c>
      <c r="Y56" s="16">
        <v>44284.36810428241</v>
      </c>
      <c r="Z56" s="17" t="str">
        <f>_xlfn.XLOOKUP(Table1[[#This Row],[Phase]],'Lookup tables'!$Y$27:$Y$60,'Lookup tables'!$Z$27:$Z$60,"Not Updated")</f>
        <v>Exploratory</v>
      </c>
      <c r="AA56" s="17">
        <v>0</v>
      </c>
      <c r="AB56">
        <v>0</v>
      </c>
      <c r="AC56">
        <v>0</v>
      </c>
      <c r="AD56">
        <v>0</v>
      </c>
      <c r="AE56">
        <v>0</v>
      </c>
      <c r="AF56">
        <v>0</v>
      </c>
      <c r="AG56">
        <v>0</v>
      </c>
      <c r="AH56">
        <v>0</v>
      </c>
      <c r="AI56">
        <v>0</v>
      </c>
      <c r="AJ56">
        <v>0</v>
      </c>
      <c r="AK56">
        <v>0</v>
      </c>
      <c r="AL56">
        <v>0</v>
      </c>
      <c r="AM56">
        <v>0</v>
      </c>
      <c r="AN56">
        <v>0</v>
      </c>
      <c r="AO56">
        <v>0</v>
      </c>
      <c r="AP56">
        <v>0</v>
      </c>
      <c r="AQ56">
        <v>0</v>
      </c>
      <c r="AR56">
        <v>0</v>
      </c>
      <c r="AS56">
        <v>0</v>
      </c>
      <c r="AT56">
        <v>0</v>
      </c>
      <c r="AU56">
        <v>0</v>
      </c>
      <c r="AV56">
        <v>0</v>
      </c>
      <c r="AW56">
        <v>0</v>
      </c>
      <c r="BG56" s="185"/>
      <c r="BH56" s="185"/>
      <c r="BI56" s="185"/>
      <c r="BJ56" s="185"/>
      <c r="BK56" s="185"/>
      <c r="BL56" s="185"/>
      <c r="BM56" s="185"/>
      <c r="BN56" s="185"/>
      <c r="BO56" s="185"/>
      <c r="BP56" s="185"/>
      <c r="BQ56" s="185"/>
      <c r="BR56" s="185"/>
      <c r="BS56" s="185"/>
      <c r="BT56" s="185"/>
      <c r="BU56" t="b">
        <f>IF(_xlfn.MAXIFS(Table1[Sl No],Table1[Category],Table1[[#This Row],[Category]],Table1[Execution Year],Table1[[#This Row],[Execution Year]])=Table1[[#This Row],[Sl No]],TRUE,FALSE)</f>
        <v>0</v>
      </c>
      <c r="BV56" s="201">
        <f>SUM(Table1[[#This Row],[Spend - CAN]:[Spend - Sams]])+SUM(Table1[[#This Row],[Spend - Sams Mexico]:[Spend - Sams China]])+Table1[[#This Row],[Spend - IND]]</f>
        <v>56400000</v>
      </c>
      <c r="BW56">
        <f>SUM(Table1[[#This Row],[Savings - CAN]:[Savings - Sams]])+SUM(Table1[[#This Row],[Savings - Sams Mexico]:[Savings - Sams China]])+Table1[[#This Row],[Savings - IND]]</f>
        <v>0</v>
      </c>
      <c r="BX56">
        <f>SUM(Table1[[#This Row],[Spend - CAN]:[Spend - SAF]])+SUM(Table1[[#This Row],[Spend - Sams Mexico]:[Spend - Sams China]])+Table1[[#This Row],[Spend - IND]]</f>
        <v>56400000</v>
      </c>
      <c r="BY56">
        <f>SUM(Table1[[#This Row],[Savings - CAN]:[Savings - SAF]])+SUM(Table1[[#This Row],[Savings - Sams Mexico]:[Savings - Sams China]])+Table1[[#This Row],[Savings - IND]]</f>
        <v>0</v>
      </c>
      <c r="BZ56">
        <f>SUM(Table1[[#This Row],[Spend - US]:[Spend - Sams]])</f>
        <v>0</v>
      </c>
      <c r="CA56">
        <f>SUM(Table1[[#This Row],[Savings - US]:[Savings - Sams]])</f>
        <v>0</v>
      </c>
      <c r="CB56">
        <f>SUM(Table1[[#This Row],[Cost Avoidance - CAN2]:[Cost Avoidance - SAF10]])+SUM(Table1[[#This Row],[Cost Avoidance - Sams Mexico]:[Cost Avoidance - Sams China]])+Table1[[#This Row],[Cost Avoidance - IND]]</f>
        <v>0</v>
      </c>
      <c r="CC56">
        <f>SUM(Table1[[#This Row],[Cost Avoidance - US11]:[Cost Avoidance - Sams12]])</f>
        <v>0</v>
      </c>
      <c r="CD56" t="str">
        <f>_xlfn.XLOOKUP(Table1[[#This Row],[Status]],Status_Lookups[Status],Status_Lookups[Value],"")</f>
        <v/>
      </c>
    </row>
    <row r="57" spans="1:82">
      <c r="A57">
        <v>8</v>
      </c>
      <c r="B57" t="s">
        <v>87</v>
      </c>
      <c r="C57" t="s">
        <v>43</v>
      </c>
      <c r="D57" t="s">
        <v>39</v>
      </c>
      <c r="E57" s="15">
        <v>44331</v>
      </c>
      <c r="F57" s="15">
        <v>44423</v>
      </c>
      <c r="G57" s="15"/>
      <c r="H57" s="15"/>
      <c r="I57" t="s">
        <v>458</v>
      </c>
      <c r="J57" t="s">
        <v>633</v>
      </c>
      <c r="K57" t="s">
        <v>471</v>
      </c>
      <c r="L57" t="s">
        <v>471</v>
      </c>
      <c r="M57">
        <v>13317235.799999997</v>
      </c>
      <c r="N57">
        <v>1600000</v>
      </c>
      <c r="O57">
        <v>0</v>
      </c>
      <c r="P57">
        <v>300000</v>
      </c>
      <c r="Q57">
        <v>0</v>
      </c>
      <c r="R57">
        <v>100000</v>
      </c>
      <c r="S57">
        <v>0</v>
      </c>
      <c r="T57">
        <v>12400000</v>
      </c>
      <c r="U57">
        <v>0</v>
      </c>
      <c r="V57">
        <v>0</v>
      </c>
      <c r="W57">
        <v>0</v>
      </c>
      <c r="X57" t="s">
        <v>78</v>
      </c>
      <c r="Y57" s="16">
        <v>44291.620845486112</v>
      </c>
      <c r="Z57" s="17" t="str">
        <f>_xlfn.XLOOKUP(Table1[[#This Row],[Phase]],'Lookup tables'!$Y$27:$Y$60,'Lookup tables'!$Z$27:$Z$60,"Not Updated")</f>
        <v>Exploratory</v>
      </c>
      <c r="AA57" s="17">
        <v>0</v>
      </c>
      <c r="AB57">
        <v>0</v>
      </c>
      <c r="AC57">
        <v>0</v>
      </c>
      <c r="AD57">
        <v>0</v>
      </c>
      <c r="AE57">
        <v>0</v>
      </c>
      <c r="AF57">
        <v>0</v>
      </c>
      <c r="AG57">
        <v>0</v>
      </c>
      <c r="AH57">
        <v>0</v>
      </c>
      <c r="AI57">
        <v>0</v>
      </c>
      <c r="AJ57">
        <v>0</v>
      </c>
      <c r="AK57">
        <v>0</v>
      </c>
      <c r="AL57">
        <v>0</v>
      </c>
      <c r="AM57">
        <v>0</v>
      </c>
      <c r="AN57">
        <v>0</v>
      </c>
      <c r="AO57">
        <v>0</v>
      </c>
      <c r="AP57">
        <v>0</v>
      </c>
      <c r="AQ57">
        <v>0</v>
      </c>
      <c r="AR57">
        <v>0</v>
      </c>
      <c r="AS57">
        <v>0</v>
      </c>
      <c r="AT57">
        <v>0</v>
      </c>
      <c r="AU57">
        <v>0</v>
      </c>
      <c r="AV57">
        <v>0</v>
      </c>
      <c r="AW57">
        <v>0</v>
      </c>
      <c r="BG57" s="185"/>
      <c r="BH57" s="185"/>
      <c r="BI57" s="185"/>
      <c r="BJ57" s="185"/>
      <c r="BK57" s="185"/>
      <c r="BL57" s="185"/>
      <c r="BM57" s="185"/>
      <c r="BN57" s="185"/>
      <c r="BO57" s="185"/>
      <c r="BP57" s="185"/>
      <c r="BQ57" s="185"/>
      <c r="BR57" s="185"/>
      <c r="BS57" s="185"/>
      <c r="BT57" s="185"/>
      <c r="BU57" t="b">
        <f>IF(_xlfn.MAXIFS(Table1[Sl No],Table1[Category],Table1[[#This Row],[Category]],Table1[Execution Year],Table1[[#This Row],[Execution Year]])=Table1[[#This Row],[Sl No]],TRUE,FALSE)</f>
        <v>0</v>
      </c>
      <c r="BV57" s="201">
        <f>SUM(Table1[[#This Row],[Spend - CAN]:[Spend - Sams]])+SUM(Table1[[#This Row],[Spend - Sams Mexico]:[Spend - Sams China]])+Table1[[#This Row],[Spend - IND]]</f>
        <v>27717235.799999997</v>
      </c>
      <c r="BW57">
        <f>SUM(Table1[[#This Row],[Savings - CAN]:[Savings - Sams]])+SUM(Table1[[#This Row],[Savings - Sams Mexico]:[Savings - Sams China]])+Table1[[#This Row],[Savings - IND]]</f>
        <v>0</v>
      </c>
      <c r="BX57">
        <f>SUM(Table1[[#This Row],[Spend - CAN]:[Spend - SAF]])+SUM(Table1[[#This Row],[Spend - Sams Mexico]:[Spend - Sams China]])+Table1[[#This Row],[Spend - IND]]</f>
        <v>27717235.799999997</v>
      </c>
      <c r="BY57">
        <f>SUM(Table1[[#This Row],[Savings - CAN]:[Savings - SAF]])+SUM(Table1[[#This Row],[Savings - Sams Mexico]:[Savings - Sams China]])+Table1[[#This Row],[Savings - IND]]</f>
        <v>0</v>
      </c>
      <c r="BZ57">
        <f>SUM(Table1[[#This Row],[Spend - US]:[Spend - Sams]])</f>
        <v>0</v>
      </c>
      <c r="CA57">
        <f>SUM(Table1[[#This Row],[Savings - US]:[Savings - Sams]])</f>
        <v>0</v>
      </c>
      <c r="CB57">
        <f>SUM(Table1[[#This Row],[Cost Avoidance - CAN2]:[Cost Avoidance - SAF10]])+SUM(Table1[[#This Row],[Cost Avoidance - Sams Mexico]:[Cost Avoidance - Sams China]])+Table1[[#This Row],[Cost Avoidance - IND]]</f>
        <v>0</v>
      </c>
      <c r="CC57">
        <f>SUM(Table1[[#This Row],[Cost Avoidance - US11]:[Cost Avoidance - Sams12]])</f>
        <v>0</v>
      </c>
      <c r="CD57" t="str">
        <f>_xlfn.XLOOKUP(Table1[[#This Row],[Status]],Status_Lookups[Status],Status_Lookups[Value],"")</f>
        <v/>
      </c>
    </row>
    <row r="58" spans="1:82">
      <c r="A58">
        <v>9</v>
      </c>
      <c r="B58" t="s">
        <v>87</v>
      </c>
      <c r="C58" t="s">
        <v>43</v>
      </c>
      <c r="D58" t="s">
        <v>39</v>
      </c>
      <c r="E58" s="15">
        <v>44331</v>
      </c>
      <c r="F58" s="15">
        <v>44423</v>
      </c>
      <c r="G58" s="15"/>
      <c r="H58" s="15"/>
      <c r="I58" t="s">
        <v>458</v>
      </c>
      <c r="J58">
        <v>0</v>
      </c>
      <c r="K58" t="s">
        <v>471</v>
      </c>
      <c r="L58">
        <v>0</v>
      </c>
      <c r="M58">
        <v>13317235.799999997</v>
      </c>
      <c r="N58">
        <v>1600000</v>
      </c>
      <c r="O58">
        <v>0</v>
      </c>
      <c r="P58">
        <v>300000</v>
      </c>
      <c r="Q58">
        <v>0</v>
      </c>
      <c r="R58">
        <v>100000</v>
      </c>
      <c r="S58">
        <v>0</v>
      </c>
      <c r="T58">
        <v>12400000</v>
      </c>
      <c r="U58">
        <v>0</v>
      </c>
      <c r="V58">
        <v>0</v>
      </c>
      <c r="W58">
        <v>0</v>
      </c>
      <c r="X58" t="s">
        <v>78</v>
      </c>
      <c r="Y58" s="16">
        <v>44301.601126388887</v>
      </c>
      <c r="Z58" s="17" t="str">
        <f>_xlfn.XLOOKUP(Table1[[#This Row],[Phase]],'Lookup tables'!$Y$27:$Y$60,'Lookup tables'!$Z$27:$Z$60,"Not Updated")</f>
        <v>Exploratory</v>
      </c>
      <c r="AA58" s="17">
        <v>0</v>
      </c>
      <c r="AB58">
        <v>0</v>
      </c>
      <c r="AC58">
        <v>0</v>
      </c>
      <c r="AD58">
        <v>0</v>
      </c>
      <c r="AE58">
        <v>0</v>
      </c>
      <c r="AF58">
        <v>0</v>
      </c>
      <c r="AG58">
        <v>0</v>
      </c>
      <c r="AH58">
        <v>0</v>
      </c>
      <c r="AI58">
        <v>0</v>
      </c>
      <c r="AJ58">
        <v>0</v>
      </c>
      <c r="AK58">
        <v>0</v>
      </c>
      <c r="AL58">
        <v>0</v>
      </c>
      <c r="AM58">
        <v>0</v>
      </c>
      <c r="AN58">
        <v>0</v>
      </c>
      <c r="AO58">
        <v>0</v>
      </c>
      <c r="AP58">
        <v>0</v>
      </c>
      <c r="AQ58">
        <v>0</v>
      </c>
      <c r="AR58">
        <v>0</v>
      </c>
      <c r="AS58">
        <v>0</v>
      </c>
      <c r="AT58">
        <v>0</v>
      </c>
      <c r="AU58">
        <v>0</v>
      </c>
      <c r="AV58">
        <v>0</v>
      </c>
      <c r="AW58">
        <v>0</v>
      </c>
      <c r="BG58" s="185"/>
      <c r="BH58" s="185"/>
      <c r="BI58" s="185"/>
      <c r="BJ58" s="185"/>
      <c r="BK58" s="185"/>
      <c r="BL58" s="185"/>
      <c r="BM58" s="185"/>
      <c r="BN58" s="185"/>
      <c r="BO58" s="185"/>
      <c r="BP58" s="185"/>
      <c r="BQ58" s="185"/>
      <c r="BR58" s="185"/>
      <c r="BS58" s="185"/>
      <c r="BT58" s="185"/>
      <c r="BU58" t="b">
        <f>IF(_xlfn.MAXIFS(Table1[Sl No],Table1[Category],Table1[[#This Row],[Category]],Table1[Execution Year],Table1[[#This Row],[Execution Year]])=Table1[[#This Row],[Sl No]],TRUE,FALSE)</f>
        <v>0</v>
      </c>
      <c r="BV58" s="201">
        <f>SUM(Table1[[#This Row],[Spend - CAN]:[Spend - Sams]])+SUM(Table1[[#This Row],[Spend - Sams Mexico]:[Spend - Sams China]])+Table1[[#This Row],[Spend - IND]]</f>
        <v>27717235.799999997</v>
      </c>
      <c r="BW58">
        <f>SUM(Table1[[#This Row],[Savings - CAN]:[Savings - Sams]])+SUM(Table1[[#This Row],[Savings - Sams Mexico]:[Savings - Sams China]])+Table1[[#This Row],[Savings - IND]]</f>
        <v>0</v>
      </c>
      <c r="BX58">
        <f>SUM(Table1[[#This Row],[Spend - CAN]:[Spend - SAF]])+SUM(Table1[[#This Row],[Spend - Sams Mexico]:[Spend - Sams China]])+Table1[[#This Row],[Spend - IND]]</f>
        <v>27717235.799999997</v>
      </c>
      <c r="BY58">
        <f>SUM(Table1[[#This Row],[Savings - CAN]:[Savings - SAF]])+SUM(Table1[[#This Row],[Savings - Sams Mexico]:[Savings - Sams China]])+Table1[[#This Row],[Savings - IND]]</f>
        <v>0</v>
      </c>
      <c r="BZ58">
        <f>SUM(Table1[[#This Row],[Spend - US]:[Spend - Sams]])</f>
        <v>0</v>
      </c>
      <c r="CA58">
        <f>SUM(Table1[[#This Row],[Savings - US]:[Savings - Sams]])</f>
        <v>0</v>
      </c>
      <c r="CB58">
        <f>SUM(Table1[[#This Row],[Cost Avoidance - CAN2]:[Cost Avoidance - SAF10]])+SUM(Table1[[#This Row],[Cost Avoidance - Sams Mexico]:[Cost Avoidance - Sams China]])+Table1[[#This Row],[Cost Avoidance - IND]]</f>
        <v>0</v>
      </c>
      <c r="CC58">
        <f>SUM(Table1[[#This Row],[Cost Avoidance - US11]:[Cost Avoidance - Sams12]])</f>
        <v>0</v>
      </c>
      <c r="CD58" t="str">
        <f>_xlfn.XLOOKUP(Table1[[#This Row],[Status]],Status_Lookups[Status],Status_Lookups[Value],"")</f>
        <v/>
      </c>
    </row>
    <row r="59" spans="1:82">
      <c r="A59">
        <v>10</v>
      </c>
      <c r="B59" t="s">
        <v>87</v>
      </c>
      <c r="C59" t="s">
        <v>43</v>
      </c>
      <c r="D59" t="s">
        <v>39</v>
      </c>
      <c r="E59" s="15">
        <v>44331</v>
      </c>
      <c r="F59" s="15">
        <v>44423</v>
      </c>
      <c r="G59" s="15"/>
      <c r="H59" s="15"/>
      <c r="I59" t="s">
        <v>484</v>
      </c>
      <c r="J59">
        <v>0</v>
      </c>
      <c r="K59" t="s">
        <v>471</v>
      </c>
      <c r="L59">
        <v>0</v>
      </c>
      <c r="M59">
        <v>13317235.799999997</v>
      </c>
      <c r="N59">
        <v>1600000</v>
      </c>
      <c r="O59">
        <v>0</v>
      </c>
      <c r="P59">
        <v>300000</v>
      </c>
      <c r="Q59">
        <v>0</v>
      </c>
      <c r="R59">
        <v>100000</v>
      </c>
      <c r="S59">
        <v>0</v>
      </c>
      <c r="T59">
        <v>12400000</v>
      </c>
      <c r="U59">
        <v>0</v>
      </c>
      <c r="V59">
        <v>0</v>
      </c>
      <c r="W59">
        <v>0</v>
      </c>
      <c r="X59" t="s">
        <v>445</v>
      </c>
      <c r="Y59" s="16">
        <v>44302.642444444442</v>
      </c>
      <c r="Z59" s="17" t="str">
        <f>_xlfn.XLOOKUP(Table1[[#This Row],[Phase]],'Lookup tables'!$Y$27:$Y$60,'Lookup tables'!$Z$27:$Z$60,"Not Updated")</f>
        <v>Bid Prep</v>
      </c>
      <c r="AA59" s="17">
        <v>0</v>
      </c>
      <c r="AB59">
        <v>0</v>
      </c>
      <c r="AC59">
        <v>0</v>
      </c>
      <c r="AD59">
        <v>0</v>
      </c>
      <c r="AE59">
        <v>0</v>
      </c>
      <c r="AF59">
        <v>0</v>
      </c>
      <c r="AG59">
        <v>0</v>
      </c>
      <c r="AH59">
        <v>0</v>
      </c>
      <c r="AI59">
        <v>0</v>
      </c>
      <c r="AJ59">
        <v>0</v>
      </c>
      <c r="AK59">
        <v>0</v>
      </c>
      <c r="AL59">
        <v>0</v>
      </c>
      <c r="AM59">
        <v>0</v>
      </c>
      <c r="AN59">
        <v>0</v>
      </c>
      <c r="AO59">
        <v>0</v>
      </c>
      <c r="AP59">
        <v>0</v>
      </c>
      <c r="AQ59">
        <v>0</v>
      </c>
      <c r="AR59">
        <v>0</v>
      </c>
      <c r="AS59">
        <v>0</v>
      </c>
      <c r="AT59">
        <v>0</v>
      </c>
      <c r="AU59">
        <v>0</v>
      </c>
      <c r="AV59">
        <v>0</v>
      </c>
      <c r="AW59">
        <v>0</v>
      </c>
      <c r="BG59" s="185"/>
      <c r="BH59" s="185"/>
      <c r="BI59" s="185"/>
      <c r="BJ59" s="185"/>
      <c r="BK59" s="185"/>
      <c r="BL59" s="185"/>
      <c r="BM59" s="185"/>
      <c r="BN59" s="185"/>
      <c r="BO59" s="185"/>
      <c r="BP59" s="185"/>
      <c r="BQ59" s="185"/>
      <c r="BR59" s="185"/>
      <c r="BS59" s="185"/>
      <c r="BT59" s="185"/>
      <c r="BU59" t="b">
        <f>IF(_xlfn.MAXIFS(Table1[Sl No],Table1[Category],Table1[[#This Row],[Category]],Table1[Execution Year],Table1[[#This Row],[Execution Year]])=Table1[[#This Row],[Sl No]],TRUE,FALSE)</f>
        <v>0</v>
      </c>
      <c r="BV59" s="201">
        <f>SUM(Table1[[#This Row],[Spend - CAN]:[Spend - Sams]])+SUM(Table1[[#This Row],[Spend - Sams Mexico]:[Spend - Sams China]])+Table1[[#This Row],[Spend - IND]]</f>
        <v>27717235.799999997</v>
      </c>
      <c r="BW59">
        <f>SUM(Table1[[#This Row],[Savings - CAN]:[Savings - Sams]])+SUM(Table1[[#This Row],[Savings - Sams Mexico]:[Savings - Sams China]])+Table1[[#This Row],[Savings - IND]]</f>
        <v>0</v>
      </c>
      <c r="BX59">
        <f>SUM(Table1[[#This Row],[Spend - CAN]:[Spend - SAF]])+SUM(Table1[[#This Row],[Spend - Sams Mexico]:[Spend - Sams China]])+Table1[[#This Row],[Spend - IND]]</f>
        <v>27717235.799999997</v>
      </c>
      <c r="BY59">
        <f>SUM(Table1[[#This Row],[Savings - CAN]:[Savings - SAF]])+SUM(Table1[[#This Row],[Savings - Sams Mexico]:[Savings - Sams China]])+Table1[[#This Row],[Savings - IND]]</f>
        <v>0</v>
      </c>
      <c r="BZ59">
        <f>SUM(Table1[[#This Row],[Spend - US]:[Spend - Sams]])</f>
        <v>0</v>
      </c>
      <c r="CA59">
        <f>SUM(Table1[[#This Row],[Savings - US]:[Savings - Sams]])</f>
        <v>0</v>
      </c>
      <c r="CB59">
        <f>SUM(Table1[[#This Row],[Cost Avoidance - CAN2]:[Cost Avoidance - SAF10]])+SUM(Table1[[#This Row],[Cost Avoidance - Sams Mexico]:[Cost Avoidance - Sams China]])+Table1[[#This Row],[Cost Avoidance - IND]]</f>
        <v>0</v>
      </c>
      <c r="CC59">
        <f>SUM(Table1[[#This Row],[Cost Avoidance - US11]:[Cost Avoidance - Sams12]])</f>
        <v>0</v>
      </c>
      <c r="CD59" t="str">
        <f>_xlfn.XLOOKUP(Table1[[#This Row],[Status]],Status_Lookups[Status],Status_Lookups[Value],"")</f>
        <v/>
      </c>
    </row>
    <row r="60" spans="1:82">
      <c r="A60">
        <v>11</v>
      </c>
      <c r="B60" t="s">
        <v>87</v>
      </c>
      <c r="C60" t="s">
        <v>43</v>
      </c>
      <c r="D60" t="s">
        <v>39</v>
      </c>
      <c r="E60" s="15">
        <v>44331</v>
      </c>
      <c r="F60" s="15">
        <v>44423</v>
      </c>
      <c r="G60" s="15">
        <v>0</v>
      </c>
      <c r="H60" s="15">
        <v>0</v>
      </c>
      <c r="I60" t="s">
        <v>484</v>
      </c>
      <c r="J60" t="s">
        <v>459</v>
      </c>
      <c r="K60" t="s">
        <v>471</v>
      </c>
      <c r="L60">
        <v>0</v>
      </c>
      <c r="M60">
        <v>26500000</v>
      </c>
      <c r="N60">
        <v>6500000</v>
      </c>
      <c r="O60">
        <v>850000</v>
      </c>
      <c r="P60">
        <v>0</v>
      </c>
      <c r="Q60">
        <v>0</v>
      </c>
      <c r="R60">
        <v>500000</v>
      </c>
      <c r="S60">
        <v>0</v>
      </c>
      <c r="T60">
        <v>0</v>
      </c>
      <c r="U60">
        <v>0</v>
      </c>
      <c r="V60">
        <v>111000000</v>
      </c>
      <c r="W60">
        <v>20000000</v>
      </c>
      <c r="X60" t="s">
        <v>78</v>
      </c>
      <c r="Y60" s="16">
        <v>44309.435611921297</v>
      </c>
      <c r="Z60" s="17" t="str">
        <f>_xlfn.XLOOKUP(Table1[[#This Row],[Phase]],'Lookup tables'!$Y$27:$Y$60,'Lookup tables'!$Z$27:$Z$60,"Not Updated")</f>
        <v>Bid Prep</v>
      </c>
      <c r="AA60" s="17">
        <v>0</v>
      </c>
      <c r="AB60">
        <v>0</v>
      </c>
      <c r="AC60">
        <v>0</v>
      </c>
      <c r="AD60">
        <v>0</v>
      </c>
      <c r="AE60">
        <v>0</v>
      </c>
      <c r="AF60">
        <v>0</v>
      </c>
      <c r="AG60">
        <v>0</v>
      </c>
      <c r="AH60">
        <v>0</v>
      </c>
      <c r="AI60">
        <v>0</v>
      </c>
      <c r="AJ60">
        <v>0</v>
      </c>
      <c r="AK60">
        <v>0</v>
      </c>
      <c r="AL60">
        <v>0</v>
      </c>
      <c r="AM60">
        <v>0</v>
      </c>
      <c r="AN60">
        <v>0</v>
      </c>
      <c r="AO60">
        <v>0</v>
      </c>
      <c r="AP60">
        <v>0</v>
      </c>
      <c r="AQ60">
        <v>0</v>
      </c>
      <c r="AR60">
        <v>0</v>
      </c>
      <c r="AS60">
        <v>0</v>
      </c>
      <c r="AT60">
        <v>0</v>
      </c>
      <c r="AU60">
        <v>0</v>
      </c>
      <c r="AV60">
        <v>0</v>
      </c>
      <c r="AW60">
        <v>0</v>
      </c>
      <c r="BG60" s="185"/>
      <c r="BH60" s="185"/>
      <c r="BI60" s="185"/>
      <c r="BJ60" s="185"/>
      <c r="BK60" s="185"/>
      <c r="BL60" s="185"/>
      <c r="BM60" s="185"/>
      <c r="BN60" s="185"/>
      <c r="BO60" s="185"/>
      <c r="BP60" s="185"/>
      <c r="BQ60" s="185"/>
      <c r="BR60" s="185"/>
      <c r="BS60" s="185"/>
      <c r="BT60" s="185"/>
      <c r="BU60" t="b">
        <f>IF(_xlfn.MAXIFS(Table1[Sl No],Table1[Category],Table1[[#This Row],[Category]],Table1[Execution Year],Table1[[#This Row],[Execution Year]])=Table1[[#This Row],[Sl No]],TRUE,FALSE)</f>
        <v>0</v>
      </c>
      <c r="BV60" s="201">
        <f>SUM(Table1[[#This Row],[Spend - CAN]:[Spend - Sams]])+SUM(Table1[[#This Row],[Spend - Sams Mexico]:[Spend - Sams China]])+Table1[[#This Row],[Spend - IND]]</f>
        <v>165350000</v>
      </c>
      <c r="BW60">
        <f>SUM(Table1[[#This Row],[Savings - CAN]:[Savings - Sams]])+SUM(Table1[[#This Row],[Savings - Sams Mexico]:[Savings - Sams China]])+Table1[[#This Row],[Savings - IND]]</f>
        <v>0</v>
      </c>
      <c r="BX60">
        <f>SUM(Table1[[#This Row],[Spend - CAN]:[Spend - SAF]])+SUM(Table1[[#This Row],[Spend - Sams Mexico]:[Spend - Sams China]])+Table1[[#This Row],[Spend - IND]]</f>
        <v>34350000</v>
      </c>
      <c r="BY60">
        <f>SUM(Table1[[#This Row],[Savings - CAN]:[Savings - SAF]])+SUM(Table1[[#This Row],[Savings - Sams Mexico]:[Savings - Sams China]])+Table1[[#This Row],[Savings - IND]]</f>
        <v>0</v>
      </c>
      <c r="BZ60">
        <f>SUM(Table1[[#This Row],[Spend - US]:[Spend - Sams]])</f>
        <v>131000000</v>
      </c>
      <c r="CA60">
        <f>SUM(Table1[[#This Row],[Savings - US]:[Savings - Sams]])</f>
        <v>0</v>
      </c>
      <c r="CB60">
        <f>SUM(Table1[[#This Row],[Cost Avoidance - CAN2]:[Cost Avoidance - SAF10]])+SUM(Table1[[#This Row],[Cost Avoidance - Sams Mexico]:[Cost Avoidance - Sams China]])+Table1[[#This Row],[Cost Avoidance - IND]]</f>
        <v>0</v>
      </c>
      <c r="CC60">
        <f>SUM(Table1[[#This Row],[Cost Avoidance - US11]:[Cost Avoidance - Sams12]])</f>
        <v>0</v>
      </c>
      <c r="CD60">
        <f>_xlfn.XLOOKUP(Table1[[#This Row],[Status]],Status_Lookups[Status],Status_Lookups[Value],"")</f>
        <v>0.3</v>
      </c>
    </row>
    <row r="61" spans="1:82">
      <c r="A61">
        <v>12</v>
      </c>
      <c r="B61" t="s">
        <v>87</v>
      </c>
      <c r="C61" t="s">
        <v>43</v>
      </c>
      <c r="D61" t="s">
        <v>39</v>
      </c>
      <c r="E61" s="15">
        <v>44331</v>
      </c>
      <c r="F61" s="15">
        <v>44423</v>
      </c>
      <c r="G61" s="15">
        <v>0</v>
      </c>
      <c r="H61" s="15">
        <v>0</v>
      </c>
      <c r="I61" t="s">
        <v>484</v>
      </c>
      <c r="J61" t="s">
        <v>459</v>
      </c>
      <c r="K61" t="s">
        <v>471</v>
      </c>
      <c r="L61">
        <v>0</v>
      </c>
      <c r="M61">
        <v>26500000</v>
      </c>
      <c r="N61">
        <v>6500000</v>
      </c>
      <c r="O61">
        <v>850000</v>
      </c>
      <c r="P61">
        <v>0</v>
      </c>
      <c r="Q61">
        <v>0</v>
      </c>
      <c r="R61">
        <v>500000</v>
      </c>
      <c r="S61">
        <v>0</v>
      </c>
      <c r="T61">
        <v>0</v>
      </c>
      <c r="U61">
        <v>0</v>
      </c>
      <c r="V61">
        <v>111000000</v>
      </c>
      <c r="W61">
        <v>0</v>
      </c>
      <c r="X61" t="s">
        <v>78</v>
      </c>
      <c r="Y61" s="16">
        <v>44334.433290277775</v>
      </c>
      <c r="Z61" s="17" t="str">
        <f>_xlfn.XLOOKUP(Table1[[#This Row],[Phase]],'Lookup tables'!$Y$27:$Y$60,'Lookup tables'!$Z$27:$Z$60,"Not Updated")</f>
        <v>Bid Prep</v>
      </c>
      <c r="AA61" s="17" t="s">
        <v>634</v>
      </c>
      <c r="AB61">
        <v>0</v>
      </c>
      <c r="AC61">
        <v>0</v>
      </c>
      <c r="AD61">
        <v>0</v>
      </c>
      <c r="AE61">
        <v>0</v>
      </c>
      <c r="AF61">
        <v>0</v>
      </c>
      <c r="AG61">
        <v>0</v>
      </c>
      <c r="AH61">
        <v>0</v>
      </c>
      <c r="AI61">
        <v>0</v>
      </c>
      <c r="AJ61">
        <v>0</v>
      </c>
      <c r="AK61">
        <v>0</v>
      </c>
      <c r="AL61">
        <v>0</v>
      </c>
      <c r="AM61">
        <v>0</v>
      </c>
      <c r="AN61">
        <v>0</v>
      </c>
      <c r="AO61">
        <v>0</v>
      </c>
      <c r="AP61">
        <v>0</v>
      </c>
      <c r="AQ61">
        <v>0</v>
      </c>
      <c r="AR61">
        <v>0</v>
      </c>
      <c r="AS61">
        <v>0</v>
      </c>
      <c r="AT61">
        <v>0</v>
      </c>
      <c r="AU61">
        <v>0</v>
      </c>
      <c r="AV61">
        <v>0</v>
      </c>
      <c r="AW61">
        <v>0</v>
      </c>
      <c r="BG61" s="185"/>
      <c r="BH61" s="185"/>
      <c r="BI61" s="185"/>
      <c r="BJ61" s="185"/>
      <c r="BK61" s="185"/>
      <c r="BL61" s="185"/>
      <c r="BM61" s="185"/>
      <c r="BN61" s="185"/>
      <c r="BO61" s="185"/>
      <c r="BP61" s="185"/>
      <c r="BQ61" s="185"/>
      <c r="BR61" s="185"/>
      <c r="BS61" s="185"/>
      <c r="BT61" s="185"/>
      <c r="BU61" t="b">
        <f>IF(_xlfn.MAXIFS(Table1[Sl No],Table1[Category],Table1[[#This Row],[Category]],Table1[Execution Year],Table1[[#This Row],[Execution Year]])=Table1[[#This Row],[Sl No]],TRUE,FALSE)</f>
        <v>0</v>
      </c>
      <c r="BV61" s="201">
        <f>SUM(Table1[[#This Row],[Spend - CAN]:[Spend - Sams]])+SUM(Table1[[#This Row],[Spend - Sams Mexico]:[Spend - Sams China]])+Table1[[#This Row],[Spend - IND]]</f>
        <v>145350000</v>
      </c>
      <c r="BW61">
        <f>SUM(Table1[[#This Row],[Savings - CAN]:[Savings - Sams]])+SUM(Table1[[#This Row],[Savings - Sams Mexico]:[Savings - Sams China]])+Table1[[#This Row],[Savings - IND]]</f>
        <v>0</v>
      </c>
      <c r="BX61">
        <f>SUM(Table1[[#This Row],[Spend - CAN]:[Spend - SAF]])+SUM(Table1[[#This Row],[Spend - Sams Mexico]:[Spend - Sams China]])+Table1[[#This Row],[Spend - IND]]</f>
        <v>34350000</v>
      </c>
      <c r="BY61">
        <f>SUM(Table1[[#This Row],[Savings - CAN]:[Savings - SAF]])+SUM(Table1[[#This Row],[Savings - Sams Mexico]:[Savings - Sams China]])+Table1[[#This Row],[Savings - IND]]</f>
        <v>0</v>
      </c>
      <c r="BZ61">
        <f>SUM(Table1[[#This Row],[Spend - US]:[Spend - Sams]])</f>
        <v>111000000</v>
      </c>
      <c r="CA61">
        <f>SUM(Table1[[#This Row],[Savings - US]:[Savings - Sams]])</f>
        <v>0</v>
      </c>
      <c r="CB61">
        <f>SUM(Table1[[#This Row],[Cost Avoidance - CAN2]:[Cost Avoidance - SAF10]])+SUM(Table1[[#This Row],[Cost Avoidance - Sams Mexico]:[Cost Avoidance - Sams China]])+Table1[[#This Row],[Cost Avoidance - IND]]</f>
        <v>0</v>
      </c>
      <c r="CC61">
        <f>SUM(Table1[[#This Row],[Cost Avoidance - US11]:[Cost Avoidance - Sams12]])</f>
        <v>0</v>
      </c>
      <c r="CD61">
        <f>_xlfn.XLOOKUP(Table1[[#This Row],[Status]],Status_Lookups[Status],Status_Lookups[Value],"")</f>
        <v>0.3</v>
      </c>
    </row>
    <row r="62" spans="1:82">
      <c r="A62">
        <v>13</v>
      </c>
      <c r="B62" t="s">
        <v>87</v>
      </c>
      <c r="C62" t="s">
        <v>43</v>
      </c>
      <c r="D62" t="s">
        <v>39</v>
      </c>
      <c r="E62" s="15">
        <v>44348</v>
      </c>
      <c r="F62" s="15">
        <v>44440</v>
      </c>
      <c r="G62" s="15">
        <v>0</v>
      </c>
      <c r="H62" s="15">
        <v>0</v>
      </c>
      <c r="I62" t="s">
        <v>484</v>
      </c>
      <c r="J62" t="s">
        <v>459</v>
      </c>
      <c r="K62" t="s">
        <v>471</v>
      </c>
      <c r="L62">
        <v>0</v>
      </c>
      <c r="M62">
        <v>26500000</v>
      </c>
      <c r="N62">
        <v>6500000</v>
      </c>
      <c r="O62">
        <v>850000</v>
      </c>
      <c r="P62">
        <v>0</v>
      </c>
      <c r="Q62">
        <v>0</v>
      </c>
      <c r="R62">
        <v>500000</v>
      </c>
      <c r="S62">
        <v>0</v>
      </c>
      <c r="T62">
        <v>0</v>
      </c>
      <c r="U62">
        <v>0</v>
      </c>
      <c r="V62">
        <v>111000000</v>
      </c>
      <c r="W62">
        <v>0</v>
      </c>
      <c r="X62" t="s">
        <v>78</v>
      </c>
      <c r="Y62" s="16">
        <v>44384.692680555556</v>
      </c>
      <c r="Z62" s="17" t="str">
        <f>_xlfn.XLOOKUP(Table1[[#This Row],[Phase]],'Lookup tables'!$Y$27:$Y$60,'Lookup tables'!$Z$27:$Z$60,"Not Updated")</f>
        <v>Bid Prep</v>
      </c>
      <c r="AA62" s="17" t="s">
        <v>634</v>
      </c>
      <c r="AB62">
        <v>0</v>
      </c>
      <c r="AC62">
        <v>0</v>
      </c>
      <c r="AD62">
        <v>0</v>
      </c>
      <c r="AE62">
        <v>0</v>
      </c>
      <c r="AF62">
        <v>0</v>
      </c>
      <c r="AG62">
        <v>0</v>
      </c>
      <c r="AH62">
        <v>0</v>
      </c>
      <c r="AI62">
        <v>0</v>
      </c>
      <c r="AJ62">
        <v>0</v>
      </c>
      <c r="AK62">
        <v>0</v>
      </c>
      <c r="AL62">
        <v>0</v>
      </c>
      <c r="AM62">
        <v>0</v>
      </c>
      <c r="AN62">
        <v>0</v>
      </c>
      <c r="AO62">
        <v>0</v>
      </c>
      <c r="AP62">
        <v>0</v>
      </c>
      <c r="AQ62">
        <v>0</v>
      </c>
      <c r="AR62">
        <v>0</v>
      </c>
      <c r="AS62">
        <v>0</v>
      </c>
      <c r="AT62">
        <v>0</v>
      </c>
      <c r="AU62">
        <v>0</v>
      </c>
      <c r="AV62">
        <v>0</v>
      </c>
      <c r="AW62">
        <v>0</v>
      </c>
      <c r="BG62" s="185"/>
      <c r="BH62" s="185"/>
      <c r="BI62" s="185"/>
      <c r="BJ62" s="185"/>
      <c r="BK62" s="185"/>
      <c r="BL62" s="185"/>
      <c r="BM62" s="185"/>
      <c r="BN62" s="185"/>
      <c r="BO62" s="185"/>
      <c r="BP62" s="185"/>
      <c r="BQ62" s="185"/>
      <c r="BR62" s="185"/>
      <c r="BS62" s="185"/>
      <c r="BT62" s="185"/>
      <c r="BU62" t="b">
        <f>IF(_xlfn.MAXIFS(Table1[Sl No],Table1[Category],Table1[[#This Row],[Category]],Table1[Execution Year],Table1[[#This Row],[Execution Year]])=Table1[[#This Row],[Sl No]],TRUE,FALSE)</f>
        <v>0</v>
      </c>
      <c r="BV62" s="201">
        <f>SUM(Table1[[#This Row],[Spend - CAN]:[Spend - Sams]])+SUM(Table1[[#This Row],[Spend - Sams Mexico]:[Spend - Sams China]])+Table1[[#This Row],[Spend - IND]]</f>
        <v>145350000</v>
      </c>
      <c r="BW62">
        <f>SUM(Table1[[#This Row],[Savings - CAN]:[Savings - Sams]])+SUM(Table1[[#This Row],[Savings - Sams Mexico]:[Savings - Sams China]])+Table1[[#This Row],[Savings - IND]]</f>
        <v>0</v>
      </c>
      <c r="BX62">
        <f>SUM(Table1[[#This Row],[Spend - CAN]:[Spend - SAF]])+SUM(Table1[[#This Row],[Spend - Sams Mexico]:[Spend - Sams China]])+Table1[[#This Row],[Spend - IND]]</f>
        <v>34350000</v>
      </c>
      <c r="BY62">
        <f>SUM(Table1[[#This Row],[Savings - CAN]:[Savings - SAF]])+SUM(Table1[[#This Row],[Savings - Sams Mexico]:[Savings - Sams China]])+Table1[[#This Row],[Savings - IND]]</f>
        <v>0</v>
      </c>
      <c r="BZ62">
        <f>SUM(Table1[[#This Row],[Spend - US]:[Spend - Sams]])</f>
        <v>111000000</v>
      </c>
      <c r="CA62">
        <f>SUM(Table1[[#This Row],[Savings - US]:[Savings - Sams]])</f>
        <v>0</v>
      </c>
      <c r="CB62">
        <f>SUM(Table1[[#This Row],[Cost Avoidance - CAN2]:[Cost Avoidance - SAF10]])+SUM(Table1[[#This Row],[Cost Avoidance - Sams Mexico]:[Cost Avoidance - Sams China]])+Table1[[#This Row],[Cost Avoidance - IND]]</f>
        <v>0</v>
      </c>
      <c r="CC62">
        <f>SUM(Table1[[#This Row],[Cost Avoidance - US11]:[Cost Avoidance - Sams12]])</f>
        <v>0</v>
      </c>
      <c r="CD62">
        <f>_xlfn.XLOOKUP(Table1[[#This Row],[Status]],Status_Lookups[Status],Status_Lookups[Value],"")</f>
        <v>0.3</v>
      </c>
    </row>
    <row r="63" spans="1:82">
      <c r="A63">
        <v>14</v>
      </c>
      <c r="B63" t="s">
        <v>87</v>
      </c>
      <c r="C63" t="s">
        <v>43</v>
      </c>
      <c r="D63" t="s">
        <v>39</v>
      </c>
      <c r="E63" s="15">
        <v>44378</v>
      </c>
      <c r="F63" s="15">
        <v>44500</v>
      </c>
      <c r="G63" s="15">
        <v>0</v>
      </c>
      <c r="H63" s="15">
        <v>0</v>
      </c>
      <c r="I63" t="s">
        <v>484</v>
      </c>
      <c r="J63" t="s">
        <v>459</v>
      </c>
      <c r="K63" t="s">
        <v>471</v>
      </c>
      <c r="L63">
        <v>0</v>
      </c>
      <c r="M63">
        <v>26500000</v>
      </c>
      <c r="N63">
        <v>6500000</v>
      </c>
      <c r="O63">
        <v>850000</v>
      </c>
      <c r="P63">
        <v>0</v>
      </c>
      <c r="Q63">
        <v>0</v>
      </c>
      <c r="R63">
        <v>500000</v>
      </c>
      <c r="S63">
        <v>0</v>
      </c>
      <c r="T63">
        <v>0</v>
      </c>
      <c r="U63">
        <v>0</v>
      </c>
      <c r="V63">
        <v>111000000</v>
      </c>
      <c r="W63">
        <v>0</v>
      </c>
      <c r="X63" t="s">
        <v>445</v>
      </c>
      <c r="Y63" s="16">
        <v>44389.553603125001</v>
      </c>
      <c r="Z63" s="17" t="str">
        <f>_xlfn.XLOOKUP(Table1[[#This Row],[Phase]],'Lookup tables'!$Y$27:$Y$60,'Lookup tables'!$Z$27:$Z$60,"Not Updated")</f>
        <v>Bid Prep</v>
      </c>
      <c r="AA63" s="17" t="s">
        <v>634</v>
      </c>
      <c r="AB63">
        <v>0</v>
      </c>
      <c r="AC63">
        <v>0</v>
      </c>
      <c r="AD63">
        <v>0</v>
      </c>
      <c r="AE63">
        <v>0</v>
      </c>
      <c r="AF63">
        <v>0</v>
      </c>
      <c r="AG63">
        <v>0</v>
      </c>
      <c r="AH63">
        <v>0</v>
      </c>
      <c r="AI63">
        <v>0</v>
      </c>
      <c r="AJ63">
        <v>0</v>
      </c>
      <c r="AK63">
        <v>0</v>
      </c>
      <c r="AL63">
        <v>0</v>
      </c>
      <c r="AM63">
        <v>0</v>
      </c>
      <c r="AN63">
        <v>0</v>
      </c>
      <c r="AO63">
        <v>0</v>
      </c>
      <c r="AP63">
        <v>0</v>
      </c>
      <c r="AQ63">
        <v>0</v>
      </c>
      <c r="AR63">
        <v>0</v>
      </c>
      <c r="AS63">
        <v>0</v>
      </c>
      <c r="AT63">
        <v>0</v>
      </c>
      <c r="AU63">
        <v>0</v>
      </c>
      <c r="AV63">
        <v>0</v>
      </c>
      <c r="AW63">
        <v>0</v>
      </c>
      <c r="BG63" s="185"/>
      <c r="BH63" s="185"/>
      <c r="BI63" s="185"/>
      <c r="BJ63" s="185"/>
      <c r="BK63" s="185"/>
      <c r="BL63" s="185"/>
      <c r="BM63" s="185"/>
      <c r="BN63" s="185"/>
      <c r="BO63" s="185"/>
      <c r="BP63" s="185"/>
      <c r="BQ63" s="185"/>
      <c r="BR63" s="185"/>
      <c r="BS63" s="185"/>
      <c r="BT63" s="185"/>
      <c r="BU63" t="b">
        <f>IF(_xlfn.MAXIFS(Table1[Sl No],Table1[Category],Table1[[#This Row],[Category]],Table1[Execution Year],Table1[[#This Row],[Execution Year]])=Table1[[#This Row],[Sl No]],TRUE,FALSE)</f>
        <v>0</v>
      </c>
      <c r="BV63" s="201">
        <f>SUM(Table1[[#This Row],[Spend - CAN]:[Spend - Sams]])+SUM(Table1[[#This Row],[Spend - Sams Mexico]:[Spend - Sams China]])+Table1[[#This Row],[Spend - IND]]</f>
        <v>145350000</v>
      </c>
      <c r="BW63">
        <f>SUM(Table1[[#This Row],[Savings - CAN]:[Savings - Sams]])+SUM(Table1[[#This Row],[Savings - Sams Mexico]:[Savings - Sams China]])+Table1[[#This Row],[Savings - IND]]</f>
        <v>0</v>
      </c>
      <c r="BX63">
        <f>SUM(Table1[[#This Row],[Spend - CAN]:[Spend - SAF]])+SUM(Table1[[#This Row],[Spend - Sams Mexico]:[Spend - Sams China]])+Table1[[#This Row],[Spend - IND]]</f>
        <v>34350000</v>
      </c>
      <c r="BY63">
        <f>SUM(Table1[[#This Row],[Savings - CAN]:[Savings - SAF]])+SUM(Table1[[#This Row],[Savings - Sams Mexico]:[Savings - Sams China]])+Table1[[#This Row],[Savings - IND]]</f>
        <v>0</v>
      </c>
      <c r="BZ63">
        <f>SUM(Table1[[#This Row],[Spend - US]:[Spend - Sams]])</f>
        <v>111000000</v>
      </c>
      <c r="CA63">
        <f>SUM(Table1[[#This Row],[Savings - US]:[Savings - Sams]])</f>
        <v>0</v>
      </c>
      <c r="CB63">
        <f>SUM(Table1[[#This Row],[Cost Avoidance - CAN2]:[Cost Avoidance - SAF10]])+SUM(Table1[[#This Row],[Cost Avoidance - Sams Mexico]:[Cost Avoidance - Sams China]])+Table1[[#This Row],[Cost Avoidance - IND]]</f>
        <v>0</v>
      </c>
      <c r="CC63">
        <f>SUM(Table1[[#This Row],[Cost Avoidance - US11]:[Cost Avoidance - Sams12]])</f>
        <v>0</v>
      </c>
      <c r="CD63">
        <f>_xlfn.XLOOKUP(Table1[[#This Row],[Status]],Status_Lookups[Status],Status_Lookups[Value],"")</f>
        <v>0.3</v>
      </c>
    </row>
    <row r="64" spans="1:82">
      <c r="A64">
        <v>15</v>
      </c>
      <c r="B64" t="s">
        <v>87</v>
      </c>
      <c r="C64" t="s">
        <v>43</v>
      </c>
      <c r="D64" t="s">
        <v>39</v>
      </c>
      <c r="E64" s="15">
        <v>44378</v>
      </c>
      <c r="F64" s="15">
        <v>44500</v>
      </c>
      <c r="G64" s="15">
        <v>0</v>
      </c>
      <c r="H64" s="15">
        <v>0</v>
      </c>
      <c r="I64" t="s">
        <v>484</v>
      </c>
      <c r="J64" t="s">
        <v>459</v>
      </c>
      <c r="K64" t="s">
        <v>471</v>
      </c>
      <c r="L64">
        <v>0</v>
      </c>
      <c r="M64">
        <v>16000000</v>
      </c>
      <c r="N64">
        <v>4200000</v>
      </c>
      <c r="O64">
        <v>500000</v>
      </c>
      <c r="P64">
        <v>0</v>
      </c>
      <c r="Q64">
        <v>0</v>
      </c>
      <c r="R64">
        <v>0</v>
      </c>
      <c r="S64">
        <v>0</v>
      </c>
      <c r="T64">
        <v>0</v>
      </c>
      <c r="U64">
        <v>0</v>
      </c>
      <c r="V64">
        <v>71000000</v>
      </c>
      <c r="W64">
        <v>0</v>
      </c>
      <c r="X64" t="s">
        <v>78</v>
      </c>
      <c r="Y64" s="16">
        <v>44393.430191203704</v>
      </c>
      <c r="Z64" s="17" t="str">
        <f>_xlfn.XLOOKUP(Table1[[#This Row],[Phase]],'Lookup tables'!$Y$27:$Y$60,'Lookup tables'!$Z$27:$Z$60,"Not Updated")</f>
        <v>Bid Prep</v>
      </c>
      <c r="AA64" s="17" t="s">
        <v>634</v>
      </c>
      <c r="AB64">
        <v>0</v>
      </c>
      <c r="AC64">
        <v>0</v>
      </c>
      <c r="AD64">
        <v>0</v>
      </c>
      <c r="AE64">
        <v>0</v>
      </c>
      <c r="AF64">
        <v>0</v>
      </c>
      <c r="AG64">
        <v>0</v>
      </c>
      <c r="AH64">
        <v>0</v>
      </c>
      <c r="AI64">
        <v>0</v>
      </c>
      <c r="AJ64">
        <v>0</v>
      </c>
      <c r="AK64">
        <v>0</v>
      </c>
      <c r="AL64">
        <v>0</v>
      </c>
      <c r="AM64">
        <v>0</v>
      </c>
      <c r="AN64">
        <v>0</v>
      </c>
      <c r="AO64">
        <v>0</v>
      </c>
      <c r="AP64">
        <v>0</v>
      </c>
      <c r="AQ64">
        <v>0</v>
      </c>
      <c r="AR64">
        <v>0</v>
      </c>
      <c r="AS64">
        <v>0</v>
      </c>
      <c r="AT64">
        <v>0</v>
      </c>
      <c r="AU64">
        <v>0</v>
      </c>
      <c r="AV64">
        <v>0</v>
      </c>
      <c r="AW64">
        <v>0</v>
      </c>
      <c r="BG64" s="185"/>
      <c r="BH64" s="185"/>
      <c r="BI64" s="185"/>
      <c r="BJ64" s="185"/>
      <c r="BK64" s="185"/>
      <c r="BL64" s="185"/>
      <c r="BM64" s="185"/>
      <c r="BN64" s="185"/>
      <c r="BO64" s="185"/>
      <c r="BP64" s="185"/>
      <c r="BQ64" s="185"/>
      <c r="BR64" s="185"/>
      <c r="BS64" s="185"/>
      <c r="BT64" s="185"/>
      <c r="BU64" t="b">
        <f>IF(_xlfn.MAXIFS(Table1[Sl No],Table1[Category],Table1[[#This Row],[Category]],Table1[Execution Year],Table1[[#This Row],[Execution Year]])=Table1[[#This Row],[Sl No]],TRUE,FALSE)</f>
        <v>0</v>
      </c>
      <c r="BV64" s="201">
        <f>SUM(Table1[[#This Row],[Spend - CAN]:[Spend - Sams]])+SUM(Table1[[#This Row],[Spend - Sams Mexico]:[Spend - Sams China]])+Table1[[#This Row],[Spend - IND]]</f>
        <v>91700000</v>
      </c>
      <c r="BW64">
        <f>SUM(Table1[[#This Row],[Savings - CAN]:[Savings - Sams]])+SUM(Table1[[#This Row],[Savings - Sams Mexico]:[Savings - Sams China]])+Table1[[#This Row],[Savings - IND]]</f>
        <v>0</v>
      </c>
      <c r="BX64">
        <f>SUM(Table1[[#This Row],[Spend - CAN]:[Spend - SAF]])+SUM(Table1[[#This Row],[Spend - Sams Mexico]:[Spend - Sams China]])+Table1[[#This Row],[Spend - IND]]</f>
        <v>20700000</v>
      </c>
      <c r="BY64">
        <f>SUM(Table1[[#This Row],[Savings - CAN]:[Savings - SAF]])+SUM(Table1[[#This Row],[Savings - Sams Mexico]:[Savings - Sams China]])+Table1[[#This Row],[Savings - IND]]</f>
        <v>0</v>
      </c>
      <c r="BZ64">
        <f>SUM(Table1[[#This Row],[Spend - US]:[Spend - Sams]])</f>
        <v>71000000</v>
      </c>
      <c r="CA64">
        <f>SUM(Table1[[#This Row],[Savings - US]:[Savings - Sams]])</f>
        <v>0</v>
      </c>
      <c r="CB64">
        <f>SUM(Table1[[#This Row],[Cost Avoidance - CAN2]:[Cost Avoidance - SAF10]])+SUM(Table1[[#This Row],[Cost Avoidance - Sams Mexico]:[Cost Avoidance - Sams China]])+Table1[[#This Row],[Cost Avoidance - IND]]</f>
        <v>0</v>
      </c>
      <c r="CC64">
        <f>SUM(Table1[[#This Row],[Cost Avoidance - US11]:[Cost Avoidance - Sams12]])</f>
        <v>0</v>
      </c>
      <c r="CD64">
        <f>_xlfn.XLOOKUP(Table1[[#This Row],[Status]],Status_Lookups[Status],Status_Lookups[Value],"")</f>
        <v>0.3</v>
      </c>
    </row>
    <row r="65" spans="1:82">
      <c r="A65">
        <v>16</v>
      </c>
      <c r="B65" t="s">
        <v>87</v>
      </c>
      <c r="C65" t="s">
        <v>43</v>
      </c>
      <c r="D65" t="s">
        <v>39</v>
      </c>
      <c r="E65" s="15">
        <v>44378</v>
      </c>
      <c r="F65" s="15">
        <v>44500</v>
      </c>
      <c r="G65" s="15">
        <v>0</v>
      </c>
      <c r="H65" s="15">
        <v>0</v>
      </c>
      <c r="I65" t="s">
        <v>635</v>
      </c>
      <c r="J65" t="s">
        <v>459</v>
      </c>
      <c r="K65" t="s">
        <v>471</v>
      </c>
      <c r="L65">
        <v>0</v>
      </c>
      <c r="M65">
        <v>16000000</v>
      </c>
      <c r="N65">
        <v>4200000</v>
      </c>
      <c r="O65">
        <v>500000</v>
      </c>
      <c r="P65">
        <v>0</v>
      </c>
      <c r="Q65">
        <v>0</v>
      </c>
      <c r="R65">
        <v>0</v>
      </c>
      <c r="S65">
        <v>0</v>
      </c>
      <c r="T65">
        <v>0</v>
      </c>
      <c r="U65">
        <v>0</v>
      </c>
      <c r="V65">
        <v>71000000</v>
      </c>
      <c r="W65">
        <v>0</v>
      </c>
      <c r="X65" t="s">
        <v>78</v>
      </c>
      <c r="Y65" s="16">
        <v>44403.397375810186</v>
      </c>
      <c r="Z65" s="17" t="str">
        <f>_xlfn.XLOOKUP(Table1[[#This Row],[Phase]],'Lookup tables'!$Y$27:$Y$60,'Lookup tables'!$Z$27:$Z$60,"Not Updated")</f>
        <v>RFPX underway</v>
      </c>
      <c r="AA65" s="17" t="s">
        <v>634</v>
      </c>
      <c r="AB65">
        <v>0</v>
      </c>
      <c r="AC65">
        <v>0</v>
      </c>
      <c r="AD65">
        <v>0</v>
      </c>
      <c r="AE65">
        <v>0</v>
      </c>
      <c r="AF65">
        <v>0</v>
      </c>
      <c r="AG65">
        <v>0</v>
      </c>
      <c r="AH65">
        <v>0</v>
      </c>
      <c r="AI65">
        <v>0</v>
      </c>
      <c r="AJ65">
        <v>0</v>
      </c>
      <c r="AK65">
        <v>0</v>
      </c>
      <c r="AL65">
        <v>0</v>
      </c>
      <c r="AM65">
        <v>0</v>
      </c>
      <c r="AN65">
        <v>0</v>
      </c>
      <c r="AO65">
        <v>0</v>
      </c>
      <c r="AP65">
        <v>0</v>
      </c>
      <c r="AQ65">
        <v>0</v>
      </c>
      <c r="AR65">
        <v>0</v>
      </c>
      <c r="AS65">
        <v>0</v>
      </c>
      <c r="AT65">
        <v>0</v>
      </c>
      <c r="AU65">
        <v>0</v>
      </c>
      <c r="AV65">
        <v>0</v>
      </c>
      <c r="AW65">
        <v>0</v>
      </c>
      <c r="BG65" s="185"/>
      <c r="BH65" s="185"/>
      <c r="BI65" s="185"/>
      <c r="BJ65" s="185"/>
      <c r="BK65" s="185"/>
      <c r="BL65" s="185"/>
      <c r="BM65" s="185"/>
      <c r="BN65" s="185"/>
      <c r="BO65" s="185"/>
      <c r="BP65" s="185"/>
      <c r="BQ65" s="185"/>
      <c r="BR65" s="185"/>
      <c r="BS65" s="185"/>
      <c r="BT65" s="185"/>
      <c r="BU65" t="b">
        <f>IF(_xlfn.MAXIFS(Table1[Sl No],Table1[Category],Table1[[#This Row],[Category]],Table1[Execution Year],Table1[[#This Row],[Execution Year]])=Table1[[#This Row],[Sl No]],TRUE,FALSE)</f>
        <v>0</v>
      </c>
      <c r="BV65" s="201">
        <f>SUM(Table1[[#This Row],[Spend - CAN]:[Spend - Sams]])+SUM(Table1[[#This Row],[Spend - Sams Mexico]:[Spend - Sams China]])+Table1[[#This Row],[Spend - IND]]</f>
        <v>91700000</v>
      </c>
      <c r="BW65">
        <f>SUM(Table1[[#This Row],[Savings - CAN]:[Savings - Sams]])+SUM(Table1[[#This Row],[Savings - Sams Mexico]:[Savings - Sams China]])+Table1[[#This Row],[Savings - IND]]</f>
        <v>0</v>
      </c>
      <c r="BX65">
        <f>SUM(Table1[[#This Row],[Spend - CAN]:[Spend - SAF]])+SUM(Table1[[#This Row],[Spend - Sams Mexico]:[Spend - Sams China]])+Table1[[#This Row],[Spend - IND]]</f>
        <v>20700000</v>
      </c>
      <c r="BY65">
        <f>SUM(Table1[[#This Row],[Savings - CAN]:[Savings - SAF]])+SUM(Table1[[#This Row],[Savings - Sams Mexico]:[Savings - Sams China]])+Table1[[#This Row],[Savings - IND]]</f>
        <v>0</v>
      </c>
      <c r="BZ65">
        <f>SUM(Table1[[#This Row],[Spend - US]:[Spend - Sams]])</f>
        <v>71000000</v>
      </c>
      <c r="CA65">
        <f>SUM(Table1[[#This Row],[Savings - US]:[Savings - Sams]])</f>
        <v>0</v>
      </c>
      <c r="CB65">
        <f>SUM(Table1[[#This Row],[Cost Avoidance - CAN2]:[Cost Avoidance - SAF10]])+SUM(Table1[[#This Row],[Cost Avoidance - Sams Mexico]:[Cost Avoidance - Sams China]])+Table1[[#This Row],[Cost Avoidance - IND]]</f>
        <v>0</v>
      </c>
      <c r="CC65">
        <f>SUM(Table1[[#This Row],[Cost Avoidance - US11]:[Cost Avoidance - Sams12]])</f>
        <v>0</v>
      </c>
      <c r="CD65">
        <f>_xlfn.XLOOKUP(Table1[[#This Row],[Status]],Status_Lookups[Status],Status_Lookups[Value],"")</f>
        <v>0.3</v>
      </c>
    </row>
    <row r="66" spans="1:82">
      <c r="A66">
        <v>17</v>
      </c>
      <c r="B66" t="s">
        <v>87</v>
      </c>
      <c r="C66" t="s">
        <v>43</v>
      </c>
      <c r="D66" t="s">
        <v>39</v>
      </c>
      <c r="E66" s="15">
        <v>44378</v>
      </c>
      <c r="F66" s="15">
        <v>44540</v>
      </c>
      <c r="G66" s="15">
        <v>0</v>
      </c>
      <c r="H66" s="15">
        <v>0</v>
      </c>
      <c r="I66" t="s">
        <v>635</v>
      </c>
      <c r="J66" t="s">
        <v>459</v>
      </c>
      <c r="K66" t="s">
        <v>471</v>
      </c>
      <c r="L66">
        <v>0</v>
      </c>
      <c r="M66">
        <v>16000000</v>
      </c>
      <c r="N66">
        <v>4200000</v>
      </c>
      <c r="O66">
        <v>500000</v>
      </c>
      <c r="P66">
        <v>0</v>
      </c>
      <c r="Q66">
        <v>0</v>
      </c>
      <c r="R66">
        <v>0</v>
      </c>
      <c r="S66">
        <v>0</v>
      </c>
      <c r="T66">
        <v>0</v>
      </c>
      <c r="U66">
        <v>0</v>
      </c>
      <c r="V66">
        <v>71000000</v>
      </c>
      <c r="W66">
        <v>0</v>
      </c>
      <c r="X66" t="s">
        <v>78</v>
      </c>
      <c r="Y66" s="16">
        <v>44502.370641782407</v>
      </c>
      <c r="Z66" s="17" t="str">
        <f>_xlfn.XLOOKUP(Table1[[#This Row],[Phase]],'Lookup tables'!$Y$27:$Y$60,'Lookup tables'!$Z$27:$Z$60,"Not Updated")</f>
        <v>RFPX underway</v>
      </c>
      <c r="AA66" s="17" t="s">
        <v>634</v>
      </c>
      <c r="AB66">
        <v>0</v>
      </c>
      <c r="AC66">
        <v>0</v>
      </c>
      <c r="AD66">
        <v>0</v>
      </c>
      <c r="AE66">
        <v>0</v>
      </c>
      <c r="AF66">
        <v>0</v>
      </c>
      <c r="AG66">
        <v>0</v>
      </c>
      <c r="AH66">
        <v>0</v>
      </c>
      <c r="AI66">
        <v>0</v>
      </c>
      <c r="AJ66">
        <v>0</v>
      </c>
      <c r="AK66">
        <v>0</v>
      </c>
      <c r="AL66">
        <v>0</v>
      </c>
      <c r="AM66">
        <v>0</v>
      </c>
      <c r="AN66">
        <v>0</v>
      </c>
      <c r="AO66">
        <v>0</v>
      </c>
      <c r="AP66">
        <v>0</v>
      </c>
      <c r="AQ66">
        <v>0</v>
      </c>
      <c r="AR66">
        <v>0</v>
      </c>
      <c r="AS66">
        <v>0</v>
      </c>
      <c r="AT66">
        <v>0</v>
      </c>
      <c r="AU66">
        <v>0</v>
      </c>
      <c r="AV66">
        <v>0</v>
      </c>
      <c r="AW66">
        <v>0</v>
      </c>
      <c r="BG66" s="185"/>
      <c r="BH66" s="185"/>
      <c r="BI66" s="185"/>
      <c r="BJ66" s="185"/>
      <c r="BK66" s="185"/>
      <c r="BL66" s="185"/>
      <c r="BM66" s="185"/>
      <c r="BN66" s="185"/>
      <c r="BO66" s="185"/>
      <c r="BP66" s="185"/>
      <c r="BQ66" s="185"/>
      <c r="BR66" s="185"/>
      <c r="BS66" s="185"/>
      <c r="BT66" s="185"/>
      <c r="BU66" t="b">
        <f>IF(_xlfn.MAXIFS(Table1[Sl No],Table1[Category],Table1[[#This Row],[Category]],Table1[Execution Year],Table1[[#This Row],[Execution Year]])=Table1[[#This Row],[Sl No]],TRUE,FALSE)</f>
        <v>0</v>
      </c>
      <c r="BV66" s="201">
        <f>SUM(Table1[[#This Row],[Spend - CAN]:[Spend - Sams]])+SUM(Table1[[#This Row],[Spend - Sams Mexico]:[Spend - Sams China]])+Table1[[#This Row],[Spend - IND]]</f>
        <v>91700000</v>
      </c>
      <c r="BW66">
        <f>SUM(Table1[[#This Row],[Savings - CAN]:[Savings - Sams]])+SUM(Table1[[#This Row],[Savings - Sams Mexico]:[Savings - Sams China]])+Table1[[#This Row],[Savings - IND]]</f>
        <v>0</v>
      </c>
      <c r="BX66">
        <f>SUM(Table1[[#This Row],[Spend - CAN]:[Spend - SAF]])+SUM(Table1[[#This Row],[Spend - Sams Mexico]:[Spend - Sams China]])+Table1[[#This Row],[Spend - IND]]</f>
        <v>20700000</v>
      </c>
      <c r="BY66">
        <f>SUM(Table1[[#This Row],[Savings - CAN]:[Savings - SAF]])+SUM(Table1[[#This Row],[Savings - Sams Mexico]:[Savings - Sams China]])+Table1[[#This Row],[Savings - IND]]</f>
        <v>0</v>
      </c>
      <c r="BZ66">
        <f>SUM(Table1[[#This Row],[Spend - US]:[Spend - Sams]])</f>
        <v>71000000</v>
      </c>
      <c r="CA66">
        <f>SUM(Table1[[#This Row],[Savings - US]:[Savings - Sams]])</f>
        <v>0</v>
      </c>
      <c r="CB66">
        <f>SUM(Table1[[#This Row],[Cost Avoidance - CAN2]:[Cost Avoidance - SAF10]])+SUM(Table1[[#This Row],[Cost Avoidance - Sams Mexico]:[Cost Avoidance - Sams China]])+Table1[[#This Row],[Cost Avoidance - IND]]</f>
        <v>0</v>
      </c>
      <c r="CC66">
        <f>SUM(Table1[[#This Row],[Cost Avoidance - US11]:[Cost Avoidance - Sams12]])</f>
        <v>0</v>
      </c>
      <c r="CD66">
        <f>_xlfn.XLOOKUP(Table1[[#This Row],[Status]],Status_Lookups[Status],Status_Lookups[Value],"")</f>
        <v>0.3</v>
      </c>
    </row>
    <row r="67" spans="1:82">
      <c r="A67">
        <v>18</v>
      </c>
      <c r="B67" t="s">
        <v>87</v>
      </c>
      <c r="C67" t="s">
        <v>43</v>
      </c>
      <c r="D67" t="s">
        <v>39</v>
      </c>
      <c r="E67" s="15">
        <v>44378</v>
      </c>
      <c r="F67" s="15">
        <v>44592</v>
      </c>
      <c r="G67" s="15">
        <v>0</v>
      </c>
      <c r="H67" s="15">
        <v>0</v>
      </c>
      <c r="I67" t="s">
        <v>636</v>
      </c>
      <c r="J67" t="s">
        <v>459</v>
      </c>
      <c r="K67" t="s">
        <v>471</v>
      </c>
      <c r="L67">
        <v>0</v>
      </c>
      <c r="M67">
        <v>16000000</v>
      </c>
      <c r="N67">
        <v>4200000</v>
      </c>
      <c r="O67">
        <v>500000</v>
      </c>
      <c r="P67">
        <v>0</v>
      </c>
      <c r="Q67">
        <v>0</v>
      </c>
      <c r="R67">
        <v>0</v>
      </c>
      <c r="S67">
        <v>0</v>
      </c>
      <c r="T67">
        <v>0</v>
      </c>
      <c r="U67">
        <v>0</v>
      </c>
      <c r="V67">
        <v>71000000</v>
      </c>
      <c r="W67">
        <v>0</v>
      </c>
      <c r="X67" t="s">
        <v>471</v>
      </c>
      <c r="Y67" s="16">
        <v>44572.602785648145</v>
      </c>
      <c r="Z67" s="17" t="str">
        <f>_xlfn.XLOOKUP(Table1[[#This Row],[Phase]],'Lookup tables'!$Y$27:$Y$60,'Lookup tables'!$Z$27:$Z$60,"Not Updated")</f>
        <v>Award</v>
      </c>
      <c r="AA67" s="17" t="s">
        <v>634</v>
      </c>
      <c r="AB67">
        <v>0</v>
      </c>
      <c r="AC67">
        <v>0</v>
      </c>
      <c r="AD67">
        <v>0</v>
      </c>
      <c r="AE67">
        <v>0</v>
      </c>
      <c r="AF67">
        <v>0</v>
      </c>
      <c r="AG67">
        <v>0</v>
      </c>
      <c r="AH67">
        <v>0</v>
      </c>
      <c r="AI67">
        <v>0</v>
      </c>
      <c r="AJ67">
        <v>0</v>
      </c>
      <c r="AK67">
        <v>0</v>
      </c>
      <c r="AL67">
        <v>0</v>
      </c>
      <c r="AM67">
        <v>0</v>
      </c>
      <c r="AN67">
        <v>0</v>
      </c>
      <c r="AO67">
        <v>0</v>
      </c>
      <c r="AP67">
        <v>0</v>
      </c>
      <c r="AQ67">
        <v>0</v>
      </c>
      <c r="AR67">
        <v>0</v>
      </c>
      <c r="AS67">
        <v>0</v>
      </c>
      <c r="AT67">
        <v>0</v>
      </c>
      <c r="AU67">
        <v>0</v>
      </c>
      <c r="AV67">
        <v>0</v>
      </c>
      <c r="AW67">
        <v>0</v>
      </c>
      <c r="BG67" s="185"/>
      <c r="BH67" s="185"/>
      <c r="BI67" s="185"/>
      <c r="BJ67" s="185"/>
      <c r="BK67" s="185"/>
      <c r="BL67" s="185"/>
      <c r="BM67" s="185"/>
      <c r="BN67" s="185"/>
      <c r="BO67" s="185"/>
      <c r="BP67" s="185"/>
      <c r="BQ67" s="185"/>
      <c r="BR67" s="185"/>
      <c r="BS67" s="185"/>
      <c r="BT67" s="185"/>
      <c r="BU67" t="b">
        <f>IF(_xlfn.MAXIFS(Table1[Sl No],Table1[Category],Table1[[#This Row],[Category]],Table1[Execution Year],Table1[[#This Row],[Execution Year]])=Table1[[#This Row],[Sl No]],TRUE,FALSE)</f>
        <v>0</v>
      </c>
      <c r="BV67" s="201">
        <f>SUM(Table1[[#This Row],[Spend - CAN]:[Spend - Sams]])+SUM(Table1[[#This Row],[Spend - Sams Mexico]:[Spend - Sams China]])+Table1[[#This Row],[Spend - IND]]</f>
        <v>91700000</v>
      </c>
      <c r="BW67">
        <f>SUM(Table1[[#This Row],[Savings - CAN]:[Savings - Sams]])+SUM(Table1[[#This Row],[Savings - Sams Mexico]:[Savings - Sams China]])+Table1[[#This Row],[Savings - IND]]</f>
        <v>0</v>
      </c>
      <c r="BX67">
        <f>SUM(Table1[[#This Row],[Spend - CAN]:[Spend - SAF]])+SUM(Table1[[#This Row],[Spend - Sams Mexico]:[Spend - Sams China]])+Table1[[#This Row],[Spend - IND]]</f>
        <v>20700000</v>
      </c>
      <c r="BY67">
        <f>SUM(Table1[[#This Row],[Savings - CAN]:[Savings - SAF]])+SUM(Table1[[#This Row],[Savings - Sams Mexico]:[Savings - Sams China]])+Table1[[#This Row],[Savings - IND]]</f>
        <v>0</v>
      </c>
      <c r="BZ67">
        <f>SUM(Table1[[#This Row],[Spend - US]:[Spend - Sams]])</f>
        <v>71000000</v>
      </c>
      <c r="CA67">
        <f>SUM(Table1[[#This Row],[Savings - US]:[Savings - Sams]])</f>
        <v>0</v>
      </c>
      <c r="CB67">
        <f>SUM(Table1[[#This Row],[Cost Avoidance - CAN2]:[Cost Avoidance - SAF10]])+SUM(Table1[[#This Row],[Cost Avoidance - Sams Mexico]:[Cost Avoidance - Sams China]])+Table1[[#This Row],[Cost Avoidance - IND]]</f>
        <v>0</v>
      </c>
      <c r="CC67">
        <f>SUM(Table1[[#This Row],[Cost Avoidance - US11]:[Cost Avoidance - Sams12]])</f>
        <v>0</v>
      </c>
      <c r="CD67">
        <f>_xlfn.XLOOKUP(Table1[[#This Row],[Status]],Status_Lookups[Status],Status_Lookups[Value],"")</f>
        <v>0.3</v>
      </c>
    </row>
    <row r="68" spans="1:82">
      <c r="A68">
        <v>19</v>
      </c>
      <c r="B68" t="s">
        <v>87</v>
      </c>
      <c r="C68" t="s">
        <v>43</v>
      </c>
      <c r="D68" t="s">
        <v>39</v>
      </c>
      <c r="E68" s="15">
        <v>44378</v>
      </c>
      <c r="F68" s="15">
        <v>44652</v>
      </c>
      <c r="G68" s="15">
        <v>0</v>
      </c>
      <c r="H68" s="15">
        <v>0</v>
      </c>
      <c r="I68" t="s">
        <v>636</v>
      </c>
      <c r="J68" t="s">
        <v>459</v>
      </c>
      <c r="K68" t="s">
        <v>471</v>
      </c>
      <c r="L68">
        <v>0</v>
      </c>
      <c r="M68">
        <v>16000000</v>
      </c>
      <c r="N68">
        <v>4200000</v>
      </c>
      <c r="O68">
        <v>500000</v>
      </c>
      <c r="P68">
        <v>0</v>
      </c>
      <c r="Q68">
        <v>0</v>
      </c>
      <c r="R68">
        <v>0</v>
      </c>
      <c r="S68">
        <v>0</v>
      </c>
      <c r="T68">
        <v>0</v>
      </c>
      <c r="U68">
        <v>0</v>
      </c>
      <c r="V68">
        <v>71000000</v>
      </c>
      <c r="W68">
        <v>0</v>
      </c>
      <c r="X68" t="s">
        <v>78</v>
      </c>
      <c r="Y68" s="16">
        <v>44630.392556365739</v>
      </c>
      <c r="Z68" s="17" t="str">
        <f>_xlfn.XLOOKUP(Table1[[#This Row],[Phase]],'Lookup tables'!$Y$27:$Y$60,'Lookup tables'!$Z$27:$Z$60,"Not Updated")</f>
        <v>Award</v>
      </c>
      <c r="AA68" s="17" t="s">
        <v>634</v>
      </c>
      <c r="AB68">
        <v>0</v>
      </c>
      <c r="AC68">
        <v>0</v>
      </c>
      <c r="AD68">
        <v>0</v>
      </c>
      <c r="AE68">
        <v>0</v>
      </c>
      <c r="AF68">
        <v>0</v>
      </c>
      <c r="AG68">
        <v>0</v>
      </c>
      <c r="AH68">
        <v>0</v>
      </c>
      <c r="AI68">
        <v>0</v>
      </c>
      <c r="AJ68">
        <v>0</v>
      </c>
      <c r="AK68">
        <v>0</v>
      </c>
      <c r="AL68">
        <v>0</v>
      </c>
      <c r="AM68">
        <v>0</v>
      </c>
      <c r="AN68">
        <v>0</v>
      </c>
      <c r="AO68">
        <v>0</v>
      </c>
      <c r="AP68">
        <v>0</v>
      </c>
      <c r="AQ68">
        <v>0</v>
      </c>
      <c r="AR68">
        <v>0</v>
      </c>
      <c r="AS68">
        <v>0</v>
      </c>
      <c r="AT68">
        <v>0</v>
      </c>
      <c r="AU68">
        <v>0</v>
      </c>
      <c r="AV68">
        <v>0</v>
      </c>
      <c r="AW68">
        <v>0</v>
      </c>
      <c r="AX68">
        <v>0</v>
      </c>
      <c r="AY68">
        <v>0</v>
      </c>
      <c r="AZ68">
        <v>0</v>
      </c>
      <c r="BA68">
        <v>0</v>
      </c>
      <c r="BB68">
        <v>0</v>
      </c>
      <c r="BC68">
        <v>0</v>
      </c>
      <c r="BD68">
        <v>0</v>
      </c>
      <c r="BE68">
        <v>0</v>
      </c>
      <c r="BF68">
        <v>0</v>
      </c>
      <c r="BG68" s="185">
        <v>0</v>
      </c>
      <c r="BH68" s="185">
        <v>0</v>
      </c>
      <c r="BI68" s="185">
        <v>0</v>
      </c>
      <c r="BJ68" s="185">
        <v>0</v>
      </c>
      <c r="BK68" s="185">
        <v>0</v>
      </c>
      <c r="BL68" s="185">
        <v>0</v>
      </c>
      <c r="BM68" s="185">
        <v>0</v>
      </c>
      <c r="BN68" s="185">
        <v>0</v>
      </c>
      <c r="BO68" s="185">
        <v>0</v>
      </c>
      <c r="BP68" s="185">
        <v>0</v>
      </c>
      <c r="BQ68" s="185">
        <v>0</v>
      </c>
      <c r="BR68" s="185">
        <v>0</v>
      </c>
      <c r="BS68" s="185">
        <v>0</v>
      </c>
      <c r="BT68" s="185">
        <v>0</v>
      </c>
      <c r="BU68" t="b">
        <f>IF(_xlfn.MAXIFS(Table1[Sl No],Table1[Category],Table1[[#This Row],[Category]],Table1[Execution Year],Table1[[#This Row],[Execution Year]])=Table1[[#This Row],[Sl No]],TRUE,FALSE)</f>
        <v>0</v>
      </c>
      <c r="BV68" s="201">
        <f>SUM(Table1[[#This Row],[Spend - CAN]:[Spend - Sams]])+SUM(Table1[[#This Row],[Spend - Sams Mexico]:[Spend - Sams China]])+Table1[[#This Row],[Spend - IND]]</f>
        <v>91700000</v>
      </c>
      <c r="BW68">
        <f>SUM(Table1[[#This Row],[Savings - CAN]:[Savings - Sams]])+SUM(Table1[[#This Row],[Savings - Sams Mexico]:[Savings - Sams China]])+Table1[[#This Row],[Savings - IND]]</f>
        <v>0</v>
      </c>
      <c r="BX68">
        <f>SUM(Table1[[#This Row],[Spend - CAN]:[Spend - SAF]])+SUM(Table1[[#This Row],[Spend - Sams Mexico]:[Spend - Sams China]])+Table1[[#This Row],[Spend - IND]]</f>
        <v>20700000</v>
      </c>
      <c r="BY68">
        <f>SUM(Table1[[#This Row],[Savings - CAN]:[Savings - SAF]])+SUM(Table1[[#This Row],[Savings - Sams Mexico]:[Savings - Sams China]])+Table1[[#This Row],[Savings - IND]]</f>
        <v>0</v>
      </c>
      <c r="BZ68">
        <f>SUM(Table1[[#This Row],[Spend - US]:[Spend - Sams]])</f>
        <v>71000000</v>
      </c>
      <c r="CA68">
        <f>SUM(Table1[[#This Row],[Savings - US]:[Savings - Sams]])</f>
        <v>0</v>
      </c>
      <c r="CB68">
        <f>SUM(Table1[[#This Row],[Cost Avoidance - CAN2]:[Cost Avoidance - SAF10]])+SUM(Table1[[#This Row],[Cost Avoidance - Sams Mexico]:[Cost Avoidance - Sams China]])+Table1[[#This Row],[Cost Avoidance - IND]]</f>
        <v>0</v>
      </c>
      <c r="CC68">
        <f>SUM(Table1[[#This Row],[Cost Avoidance - US11]:[Cost Avoidance - Sams12]])</f>
        <v>0</v>
      </c>
      <c r="CD68">
        <f>_xlfn.XLOOKUP(Table1[[#This Row],[Status]],Status_Lookups[Status],Status_Lookups[Value],"")</f>
        <v>0.3</v>
      </c>
    </row>
    <row r="69" spans="1:82">
      <c r="A69">
        <v>20</v>
      </c>
      <c r="B69" t="s">
        <v>87</v>
      </c>
      <c r="C69" t="s">
        <v>43</v>
      </c>
      <c r="D69" t="s">
        <v>39</v>
      </c>
      <c r="E69" s="15">
        <v>44378</v>
      </c>
      <c r="F69" s="15">
        <v>44652</v>
      </c>
      <c r="G69" s="15">
        <v>0</v>
      </c>
      <c r="H69" s="15">
        <v>0</v>
      </c>
      <c r="I69" t="s">
        <v>470</v>
      </c>
      <c r="J69" t="s">
        <v>444</v>
      </c>
      <c r="K69" t="s">
        <v>471</v>
      </c>
      <c r="L69">
        <v>0</v>
      </c>
      <c r="M69">
        <v>19157481</v>
      </c>
      <c r="N69">
        <v>4142555</v>
      </c>
      <c r="O69">
        <v>605994</v>
      </c>
      <c r="P69">
        <v>0</v>
      </c>
      <c r="Q69">
        <v>0</v>
      </c>
      <c r="R69">
        <v>0</v>
      </c>
      <c r="S69">
        <v>0</v>
      </c>
      <c r="T69">
        <v>0</v>
      </c>
      <c r="U69">
        <v>0</v>
      </c>
      <c r="V69">
        <v>98065992</v>
      </c>
      <c r="W69">
        <v>0</v>
      </c>
      <c r="X69" t="s">
        <v>78</v>
      </c>
      <c r="Y69" s="16">
        <v>44714.416728240743</v>
      </c>
      <c r="Z69" s="17" t="str">
        <f>_xlfn.XLOOKUP(Table1[[#This Row],[Phase]],'Lookup tables'!$Y$27:$Y$60,'Lookup tables'!$Z$27:$Z$60,"Not Updated")</f>
        <v>Complete</v>
      </c>
      <c r="AA69" s="17" t="s">
        <v>634</v>
      </c>
      <c r="AB69">
        <v>0</v>
      </c>
      <c r="AC69">
        <v>0</v>
      </c>
      <c r="AD69">
        <v>0</v>
      </c>
      <c r="AE69">
        <v>0</v>
      </c>
      <c r="AF69">
        <v>0</v>
      </c>
      <c r="AG69">
        <v>0</v>
      </c>
      <c r="AH69">
        <v>0</v>
      </c>
      <c r="AI69">
        <v>0</v>
      </c>
      <c r="AJ69">
        <v>0</v>
      </c>
      <c r="AK69">
        <v>0</v>
      </c>
      <c r="AL69">
        <v>0</v>
      </c>
      <c r="AM69">
        <v>0</v>
      </c>
      <c r="AN69">
        <v>0</v>
      </c>
      <c r="AO69">
        <v>0</v>
      </c>
      <c r="AP69">
        <v>0</v>
      </c>
      <c r="AQ69">
        <v>0</v>
      </c>
      <c r="AR69">
        <v>0</v>
      </c>
      <c r="AS69">
        <v>0</v>
      </c>
      <c r="AT69">
        <v>0</v>
      </c>
      <c r="AU69">
        <v>0</v>
      </c>
      <c r="AV69">
        <v>0</v>
      </c>
      <c r="AW69">
        <v>0</v>
      </c>
      <c r="AX69">
        <v>0</v>
      </c>
      <c r="AY69">
        <v>0</v>
      </c>
      <c r="AZ69">
        <v>0</v>
      </c>
      <c r="BA69">
        <v>0</v>
      </c>
      <c r="BB69">
        <v>0</v>
      </c>
      <c r="BC69">
        <v>0</v>
      </c>
      <c r="BD69">
        <v>0</v>
      </c>
      <c r="BE69">
        <v>0</v>
      </c>
      <c r="BF69">
        <v>0</v>
      </c>
      <c r="BG69" s="185">
        <v>0</v>
      </c>
      <c r="BH69" s="185">
        <v>0</v>
      </c>
      <c r="BI69" s="185">
        <v>0</v>
      </c>
      <c r="BJ69" s="185">
        <v>0</v>
      </c>
      <c r="BK69" s="185">
        <v>0</v>
      </c>
      <c r="BL69" s="185">
        <v>0</v>
      </c>
      <c r="BM69" s="185">
        <v>0</v>
      </c>
      <c r="BN69" s="185">
        <v>0</v>
      </c>
      <c r="BO69" s="185">
        <v>0</v>
      </c>
      <c r="BP69" s="185">
        <v>0</v>
      </c>
      <c r="BQ69" s="185">
        <v>0</v>
      </c>
      <c r="BR69" s="185">
        <v>0</v>
      </c>
      <c r="BS69" s="185">
        <v>0</v>
      </c>
      <c r="BT69" s="185">
        <v>0</v>
      </c>
      <c r="BU69" t="b">
        <f>IF(_xlfn.MAXIFS(Table1[Sl No],Table1[Category],Table1[[#This Row],[Category]],Table1[Execution Year],Table1[[#This Row],[Execution Year]])=Table1[[#This Row],[Sl No]],TRUE,FALSE)</f>
        <v>0</v>
      </c>
      <c r="BV69" s="201">
        <f>SUM(Table1[[#This Row],[Spend - CAN]:[Spend - Sams]])+SUM(Table1[[#This Row],[Spend - Sams Mexico]:[Spend - Sams China]])+Table1[[#This Row],[Spend - IND]]</f>
        <v>121972022</v>
      </c>
      <c r="BW69">
        <f>SUM(Table1[[#This Row],[Savings - CAN]:[Savings - Sams]])+SUM(Table1[[#This Row],[Savings - Sams Mexico]:[Savings - Sams China]])+Table1[[#This Row],[Savings - IND]]</f>
        <v>0</v>
      </c>
      <c r="BX69">
        <f>SUM(Table1[[#This Row],[Spend - CAN]:[Spend - SAF]])+SUM(Table1[[#This Row],[Spend - Sams Mexico]:[Spend - Sams China]])+Table1[[#This Row],[Spend - IND]]</f>
        <v>23906030</v>
      </c>
      <c r="BY69">
        <f>SUM(Table1[[#This Row],[Savings - CAN]:[Savings - SAF]])+SUM(Table1[[#This Row],[Savings - Sams Mexico]:[Savings - Sams China]])+Table1[[#This Row],[Savings - IND]]</f>
        <v>0</v>
      </c>
      <c r="BZ69">
        <f>SUM(Table1[[#This Row],[Spend - US]:[Spend - Sams]])</f>
        <v>98065992</v>
      </c>
      <c r="CA69">
        <f>SUM(Table1[[#This Row],[Savings - US]:[Savings - Sams]])</f>
        <v>0</v>
      </c>
      <c r="CB69">
        <f>SUM(Table1[[#This Row],[Cost Avoidance - CAN2]:[Cost Avoidance - SAF10]])+SUM(Table1[[#This Row],[Cost Avoidance - Sams Mexico]:[Cost Avoidance - Sams China]])+Table1[[#This Row],[Cost Avoidance - IND]]</f>
        <v>0</v>
      </c>
      <c r="CC69">
        <f>SUM(Table1[[#This Row],[Cost Avoidance - US11]:[Cost Avoidance - Sams12]])</f>
        <v>0</v>
      </c>
      <c r="CD69">
        <f>_xlfn.XLOOKUP(Table1[[#This Row],[Status]],Status_Lookups[Status],Status_Lookups[Value],"")</f>
        <v>0.2</v>
      </c>
    </row>
    <row r="70" spans="1:82">
      <c r="A70">
        <v>21</v>
      </c>
      <c r="B70" t="s">
        <v>87</v>
      </c>
      <c r="C70" t="s">
        <v>43</v>
      </c>
      <c r="D70" t="s">
        <v>39</v>
      </c>
      <c r="E70" s="15">
        <v>44378</v>
      </c>
      <c r="F70" s="15">
        <v>44652</v>
      </c>
      <c r="G70" s="15">
        <v>0</v>
      </c>
      <c r="H70" s="15">
        <v>0</v>
      </c>
      <c r="I70" t="s">
        <v>470</v>
      </c>
      <c r="J70" t="s">
        <v>444</v>
      </c>
      <c r="K70" t="s">
        <v>471</v>
      </c>
      <c r="L70">
        <v>0</v>
      </c>
      <c r="M70">
        <v>19157481</v>
      </c>
      <c r="N70">
        <v>4142555</v>
      </c>
      <c r="O70">
        <v>605994</v>
      </c>
      <c r="P70">
        <v>0</v>
      </c>
      <c r="Q70">
        <v>0</v>
      </c>
      <c r="R70">
        <v>0</v>
      </c>
      <c r="S70">
        <v>0</v>
      </c>
      <c r="T70">
        <v>0</v>
      </c>
      <c r="U70">
        <v>0</v>
      </c>
      <c r="V70">
        <v>98065992</v>
      </c>
      <c r="W70">
        <v>0</v>
      </c>
      <c r="X70" t="s">
        <v>78</v>
      </c>
      <c r="Y70" s="16">
        <v>44714.418754861108</v>
      </c>
      <c r="Z70" s="17" t="str">
        <f>_xlfn.XLOOKUP(Table1[[#This Row],[Phase]],'Lookup tables'!$Y$27:$Y$60,'Lookup tables'!$Z$27:$Z$60,"Not Updated")</f>
        <v>Complete</v>
      </c>
      <c r="AA70" s="17" t="s">
        <v>634</v>
      </c>
      <c r="AB70">
        <v>0</v>
      </c>
      <c r="AC70">
        <v>0</v>
      </c>
      <c r="AD70">
        <v>0</v>
      </c>
      <c r="AE70">
        <v>0</v>
      </c>
      <c r="AF70">
        <v>0</v>
      </c>
      <c r="AG70">
        <v>0</v>
      </c>
      <c r="AH70">
        <v>0</v>
      </c>
      <c r="AI70">
        <v>0</v>
      </c>
      <c r="AJ70">
        <v>0</v>
      </c>
      <c r="AK70">
        <v>0</v>
      </c>
      <c r="AL70">
        <v>0</v>
      </c>
      <c r="AM70">
        <v>0</v>
      </c>
      <c r="AN70">
        <v>0</v>
      </c>
      <c r="AO70">
        <v>0</v>
      </c>
      <c r="AP70">
        <v>0</v>
      </c>
      <c r="AQ70">
        <v>0</v>
      </c>
      <c r="AR70">
        <v>0</v>
      </c>
      <c r="AS70">
        <v>0</v>
      </c>
      <c r="AT70">
        <v>0</v>
      </c>
      <c r="AU70">
        <v>0</v>
      </c>
      <c r="AV70">
        <v>0</v>
      </c>
      <c r="AW70">
        <v>0</v>
      </c>
      <c r="AX70">
        <v>0</v>
      </c>
      <c r="AY70">
        <v>0</v>
      </c>
      <c r="AZ70">
        <v>0</v>
      </c>
      <c r="BA70">
        <v>0</v>
      </c>
      <c r="BB70">
        <v>0</v>
      </c>
      <c r="BC70">
        <v>0</v>
      </c>
      <c r="BD70">
        <v>0</v>
      </c>
      <c r="BE70">
        <v>0</v>
      </c>
      <c r="BF70">
        <v>0</v>
      </c>
      <c r="BG70" s="185">
        <v>0</v>
      </c>
      <c r="BH70" s="185">
        <v>0</v>
      </c>
      <c r="BI70" s="185">
        <v>0</v>
      </c>
      <c r="BJ70" s="185">
        <v>0</v>
      </c>
      <c r="BK70" s="185">
        <v>0</v>
      </c>
      <c r="BL70" s="185">
        <v>0</v>
      </c>
      <c r="BM70" s="185">
        <v>0</v>
      </c>
      <c r="BN70" s="185">
        <v>0</v>
      </c>
      <c r="BO70" s="185">
        <v>0</v>
      </c>
      <c r="BP70" s="185">
        <v>0</v>
      </c>
      <c r="BQ70" s="185">
        <v>0</v>
      </c>
      <c r="BR70" s="185">
        <v>0</v>
      </c>
      <c r="BS70" s="185">
        <v>0</v>
      </c>
      <c r="BT70" s="185">
        <v>0</v>
      </c>
      <c r="BU70" t="b">
        <f>IF(_xlfn.MAXIFS(Table1[Sl No],Table1[Category],Table1[[#This Row],[Category]],Table1[Execution Year],Table1[[#This Row],[Execution Year]])=Table1[[#This Row],[Sl No]],TRUE,FALSE)</f>
        <v>1</v>
      </c>
      <c r="BV70" s="201">
        <f>SUM(Table1[[#This Row],[Spend - CAN]:[Spend - Sams]])+SUM(Table1[[#This Row],[Spend - Sams Mexico]:[Spend - Sams China]])+Table1[[#This Row],[Spend - IND]]</f>
        <v>121972022</v>
      </c>
      <c r="BW70">
        <f>SUM(Table1[[#This Row],[Savings - CAN]:[Savings - Sams]])+SUM(Table1[[#This Row],[Savings - Sams Mexico]:[Savings - Sams China]])+Table1[[#This Row],[Savings - IND]]</f>
        <v>0</v>
      </c>
      <c r="BX70">
        <f>SUM(Table1[[#This Row],[Spend - CAN]:[Spend - SAF]])+SUM(Table1[[#This Row],[Spend - Sams Mexico]:[Spend - Sams China]])+Table1[[#This Row],[Spend - IND]]</f>
        <v>23906030</v>
      </c>
      <c r="BY70">
        <f>SUM(Table1[[#This Row],[Savings - CAN]:[Savings - SAF]])+SUM(Table1[[#This Row],[Savings - Sams Mexico]:[Savings - Sams China]])+Table1[[#This Row],[Savings - IND]]</f>
        <v>0</v>
      </c>
      <c r="BZ70">
        <f>SUM(Table1[[#This Row],[Spend - US]:[Spend - Sams]])</f>
        <v>98065992</v>
      </c>
      <c r="CA70">
        <f>SUM(Table1[[#This Row],[Savings - US]:[Savings - Sams]])</f>
        <v>0</v>
      </c>
      <c r="CB70">
        <f>SUM(Table1[[#This Row],[Cost Avoidance - CAN2]:[Cost Avoidance - SAF10]])+SUM(Table1[[#This Row],[Cost Avoidance - Sams Mexico]:[Cost Avoidance - Sams China]])+Table1[[#This Row],[Cost Avoidance - IND]]</f>
        <v>0</v>
      </c>
      <c r="CC70">
        <f>SUM(Table1[[#This Row],[Cost Avoidance - US11]:[Cost Avoidance - Sams12]])</f>
        <v>0</v>
      </c>
      <c r="CD70">
        <f>_xlfn.XLOOKUP(Table1[[#This Row],[Status]],Status_Lookups[Status],Status_Lookups[Value],"")</f>
        <v>0.2</v>
      </c>
    </row>
    <row r="71" spans="1:82">
      <c r="A71">
        <v>1</v>
      </c>
      <c r="B71" t="s">
        <v>530</v>
      </c>
      <c r="C71" t="s">
        <v>33</v>
      </c>
      <c r="D71" t="s">
        <v>322</v>
      </c>
      <c r="E71" s="15">
        <v>44896</v>
      </c>
      <c r="F71" s="15">
        <v>44956</v>
      </c>
      <c r="G71" s="15"/>
      <c r="H71" s="15"/>
      <c r="I71" t="s">
        <v>135</v>
      </c>
      <c r="J71" t="s">
        <v>459</v>
      </c>
      <c r="K71" t="s">
        <v>502</v>
      </c>
      <c r="X71" t="s">
        <v>47</v>
      </c>
      <c r="Y71" s="16">
        <v>44701.387036342596</v>
      </c>
      <c r="Z71" s="17" t="str">
        <f>_xlfn.XLOOKUP(Table1[[#This Row],[Phase]],'Lookup tables'!$Y$27:$Y$60,'Lookup tables'!$Z$27:$Z$60,"Not Updated")</f>
        <v>Pipeline</v>
      </c>
      <c r="AA71" s="17"/>
      <c r="BG71" s="185"/>
      <c r="BH71" s="185"/>
      <c r="BI71" s="185"/>
      <c r="BJ71" s="185"/>
      <c r="BK71" s="185"/>
      <c r="BL71" s="185"/>
      <c r="BM71" s="185"/>
      <c r="BN71" s="185"/>
      <c r="BO71" s="185"/>
      <c r="BP71" s="185"/>
      <c r="BQ71" s="185"/>
      <c r="BR71" s="185"/>
      <c r="BS71" s="185"/>
      <c r="BT71" s="185"/>
      <c r="BU71" t="b">
        <f>IF(_xlfn.MAXIFS(Table1[Sl No],Table1[Category],Table1[[#This Row],[Category]],Table1[Execution Year],Table1[[#This Row],[Execution Year]])=Table1[[#This Row],[Sl No]],TRUE,FALSE)</f>
        <v>0</v>
      </c>
      <c r="BV71" s="201">
        <f>SUM(Table1[[#This Row],[Spend - CAN]:[Spend - Sams]])+SUM(Table1[[#This Row],[Spend - Sams Mexico]:[Spend - Sams China]])+Table1[[#This Row],[Spend - IND]]</f>
        <v>0</v>
      </c>
      <c r="BW71">
        <f>SUM(Table1[[#This Row],[Savings - CAN]:[Savings - Sams]])+SUM(Table1[[#This Row],[Savings - Sams Mexico]:[Savings - Sams China]])+Table1[[#This Row],[Savings - IND]]</f>
        <v>0</v>
      </c>
      <c r="BX71">
        <f>SUM(Table1[[#This Row],[Spend - CAN]:[Spend - SAF]])+SUM(Table1[[#This Row],[Spend - Sams Mexico]:[Spend - Sams China]])+Table1[[#This Row],[Spend - IND]]</f>
        <v>0</v>
      </c>
      <c r="BY71">
        <f>SUM(Table1[[#This Row],[Savings - CAN]:[Savings - SAF]])+SUM(Table1[[#This Row],[Savings - Sams Mexico]:[Savings - Sams China]])+Table1[[#This Row],[Savings - IND]]</f>
        <v>0</v>
      </c>
      <c r="BZ71">
        <f>SUM(Table1[[#This Row],[Spend - US]:[Spend - Sams]])</f>
        <v>0</v>
      </c>
      <c r="CA71">
        <f>SUM(Table1[[#This Row],[Savings - US]:[Savings - Sams]])</f>
        <v>0</v>
      </c>
      <c r="CB71">
        <f>SUM(Table1[[#This Row],[Cost Avoidance - CAN2]:[Cost Avoidance - SAF10]])+SUM(Table1[[#This Row],[Cost Avoidance - Sams Mexico]:[Cost Avoidance - Sams China]])+Table1[[#This Row],[Cost Avoidance - IND]]</f>
        <v>0</v>
      </c>
      <c r="CC71">
        <f>SUM(Table1[[#This Row],[Cost Avoidance - US11]:[Cost Avoidance - Sams12]])</f>
        <v>0</v>
      </c>
      <c r="CD71">
        <f>_xlfn.XLOOKUP(Table1[[#This Row],[Status]],Status_Lookups[Status],Status_Lookups[Value],"")</f>
        <v>0.3</v>
      </c>
    </row>
    <row r="72" spans="1:82">
      <c r="A72">
        <v>1</v>
      </c>
      <c r="B72" t="s">
        <v>571</v>
      </c>
      <c r="C72" t="s">
        <v>33</v>
      </c>
      <c r="D72" t="s">
        <v>322</v>
      </c>
      <c r="E72" s="15"/>
      <c r="F72" s="15"/>
      <c r="G72" s="15"/>
      <c r="H72" s="15"/>
      <c r="I72" t="s">
        <v>417</v>
      </c>
      <c r="J72" t="s">
        <v>417</v>
      </c>
      <c r="K72" t="s">
        <v>570</v>
      </c>
      <c r="X72" t="s">
        <v>47</v>
      </c>
      <c r="Y72" s="16">
        <v>44701.387036342596</v>
      </c>
      <c r="Z72" s="17" t="str">
        <f>_xlfn.XLOOKUP(Table1[[#This Row],[Phase]],'Lookup tables'!$Y$27:$Y$60,'Lookup tables'!$Z$27:$Z$60,"Not Updated")</f>
        <v>Cancelled</v>
      </c>
      <c r="AA72" s="17"/>
      <c r="BG72" s="185"/>
      <c r="BH72" s="185"/>
      <c r="BI72" s="185"/>
      <c r="BJ72" s="185"/>
      <c r="BK72" s="185"/>
      <c r="BL72" s="185"/>
      <c r="BM72" s="185"/>
      <c r="BN72" s="185"/>
      <c r="BO72" s="185"/>
      <c r="BP72" s="185"/>
      <c r="BQ72" s="185"/>
      <c r="BR72" s="185"/>
      <c r="BS72" s="185"/>
      <c r="BT72" s="185"/>
      <c r="BU72" t="b">
        <f>IF(_xlfn.MAXIFS(Table1[Sl No],Table1[Category],Table1[[#This Row],[Category]],Table1[Execution Year],Table1[[#This Row],[Execution Year]])=Table1[[#This Row],[Sl No]],TRUE,FALSE)</f>
        <v>1</v>
      </c>
      <c r="BV72" s="201">
        <f>SUM(Table1[[#This Row],[Spend - CAN]:[Spend - Sams]])+SUM(Table1[[#This Row],[Spend - Sams Mexico]:[Spend - Sams China]])+Table1[[#This Row],[Spend - IND]]</f>
        <v>0</v>
      </c>
      <c r="BW72">
        <f>SUM(Table1[[#This Row],[Savings - CAN]:[Savings - Sams]])+SUM(Table1[[#This Row],[Savings - Sams Mexico]:[Savings - Sams China]])+Table1[[#This Row],[Savings - IND]]</f>
        <v>0</v>
      </c>
      <c r="BX72">
        <f>SUM(Table1[[#This Row],[Spend - CAN]:[Spend - SAF]])+SUM(Table1[[#This Row],[Spend - Sams Mexico]:[Spend - Sams China]])+Table1[[#This Row],[Spend - IND]]</f>
        <v>0</v>
      </c>
      <c r="BY72">
        <f>SUM(Table1[[#This Row],[Savings - CAN]:[Savings - SAF]])+SUM(Table1[[#This Row],[Savings - Sams Mexico]:[Savings - Sams China]])+Table1[[#This Row],[Savings - IND]]</f>
        <v>0</v>
      </c>
      <c r="BZ72">
        <f>SUM(Table1[[#This Row],[Spend - US]:[Spend - Sams]])</f>
        <v>0</v>
      </c>
      <c r="CA72">
        <f>SUM(Table1[[#This Row],[Savings - US]:[Savings - Sams]])</f>
        <v>0</v>
      </c>
      <c r="CB72">
        <f>SUM(Table1[[#This Row],[Cost Avoidance - CAN2]:[Cost Avoidance - SAF10]])+SUM(Table1[[#This Row],[Cost Avoidance - Sams Mexico]:[Cost Avoidance - Sams China]])+Table1[[#This Row],[Cost Avoidance - IND]]</f>
        <v>0</v>
      </c>
      <c r="CC72">
        <f>SUM(Table1[[#This Row],[Cost Avoidance - US11]:[Cost Avoidance - Sams12]])</f>
        <v>0</v>
      </c>
      <c r="CD72">
        <f>_xlfn.XLOOKUP(Table1[[#This Row],[Status]],Status_Lookups[Status],Status_Lookups[Value],"")</f>
        <v>0.2</v>
      </c>
    </row>
    <row r="73" spans="1:82">
      <c r="A73">
        <v>1</v>
      </c>
      <c r="B73" t="s">
        <v>497</v>
      </c>
      <c r="C73" t="s">
        <v>33</v>
      </c>
      <c r="D73" t="s">
        <v>322</v>
      </c>
      <c r="E73" s="15">
        <v>44621</v>
      </c>
      <c r="F73" s="15">
        <v>44772</v>
      </c>
      <c r="G73" s="15"/>
      <c r="H73" s="15"/>
      <c r="I73" t="s">
        <v>413</v>
      </c>
      <c r="J73" t="s">
        <v>459</v>
      </c>
      <c r="K73" t="s">
        <v>490</v>
      </c>
      <c r="X73" t="s">
        <v>47</v>
      </c>
      <c r="Y73" s="16">
        <v>44701.387036342596</v>
      </c>
      <c r="Z73" s="17" t="str">
        <f>_xlfn.XLOOKUP(Table1[[#This Row],[Phase]],'Lookup tables'!$Y$27:$Y$60,'Lookup tables'!$Z$27:$Z$60,"Not Updated")</f>
        <v>Bid Prep</v>
      </c>
      <c r="AA73" s="17"/>
      <c r="BG73" s="185"/>
      <c r="BH73" s="185"/>
      <c r="BI73" s="185"/>
      <c r="BJ73" s="185"/>
      <c r="BK73" s="185"/>
      <c r="BL73" s="185"/>
      <c r="BM73" s="185"/>
      <c r="BN73" s="185"/>
      <c r="BO73" s="185"/>
      <c r="BP73" s="185"/>
      <c r="BQ73" s="185"/>
      <c r="BR73" s="185"/>
      <c r="BS73" s="185"/>
      <c r="BT73" s="185"/>
      <c r="BU73" t="b">
        <f>IF(_xlfn.MAXIFS(Table1[Sl No],Table1[Category],Table1[[#This Row],[Category]],Table1[Execution Year],Table1[[#This Row],[Execution Year]])=Table1[[#This Row],[Sl No]],TRUE,FALSE)</f>
        <v>0</v>
      </c>
      <c r="BV73" s="201">
        <f>SUM(Table1[[#This Row],[Spend - CAN]:[Spend - Sams]])+SUM(Table1[[#This Row],[Spend - Sams Mexico]:[Spend - Sams China]])+Table1[[#This Row],[Spend - IND]]</f>
        <v>0</v>
      </c>
      <c r="BW73">
        <f>SUM(Table1[[#This Row],[Savings - CAN]:[Savings - Sams]])+SUM(Table1[[#This Row],[Savings - Sams Mexico]:[Savings - Sams China]])+Table1[[#This Row],[Savings - IND]]</f>
        <v>0</v>
      </c>
      <c r="BX73">
        <f>SUM(Table1[[#This Row],[Spend - CAN]:[Spend - SAF]])+SUM(Table1[[#This Row],[Spend - Sams Mexico]:[Spend - Sams China]])+Table1[[#This Row],[Spend - IND]]</f>
        <v>0</v>
      </c>
      <c r="BY73">
        <f>SUM(Table1[[#This Row],[Savings - CAN]:[Savings - SAF]])+SUM(Table1[[#This Row],[Savings - Sams Mexico]:[Savings - Sams China]])+Table1[[#This Row],[Savings - IND]]</f>
        <v>0</v>
      </c>
      <c r="BZ73">
        <f>SUM(Table1[[#This Row],[Spend - US]:[Spend - Sams]])</f>
        <v>0</v>
      </c>
      <c r="CA73">
        <f>SUM(Table1[[#This Row],[Savings - US]:[Savings - Sams]])</f>
        <v>0</v>
      </c>
      <c r="CB73">
        <f>SUM(Table1[[#This Row],[Cost Avoidance - CAN2]:[Cost Avoidance - SAF10]])+SUM(Table1[[#This Row],[Cost Avoidance - Sams Mexico]:[Cost Avoidance - Sams China]])+Table1[[#This Row],[Cost Avoidance - IND]]</f>
        <v>0</v>
      </c>
      <c r="CC73">
        <f>SUM(Table1[[#This Row],[Cost Avoidance - US11]:[Cost Avoidance - Sams12]])</f>
        <v>0</v>
      </c>
      <c r="CD73">
        <f>_xlfn.XLOOKUP(Table1[[#This Row],[Status]],Status_Lookups[Status],Status_Lookups[Value],"")</f>
        <v>0.3</v>
      </c>
    </row>
    <row r="74" spans="1:82">
      <c r="A74">
        <v>2</v>
      </c>
      <c r="B74" t="s">
        <v>497</v>
      </c>
      <c r="C74" t="s">
        <v>33</v>
      </c>
      <c r="D74" t="s">
        <v>322</v>
      </c>
      <c r="E74" s="15">
        <v>44621</v>
      </c>
      <c r="F74" s="15">
        <v>44772</v>
      </c>
      <c r="G74" s="15">
        <v>0</v>
      </c>
      <c r="H74" s="15">
        <v>44795</v>
      </c>
      <c r="I74" t="s">
        <v>481</v>
      </c>
      <c r="J74" t="s">
        <v>459</v>
      </c>
      <c r="K74" t="s">
        <v>490</v>
      </c>
      <c r="L74" t="s">
        <v>498</v>
      </c>
      <c r="M74">
        <v>0</v>
      </c>
      <c r="N74">
        <v>0</v>
      </c>
      <c r="O74">
        <v>0</v>
      </c>
      <c r="P74">
        <v>0</v>
      </c>
      <c r="Q74">
        <v>0</v>
      </c>
      <c r="R74">
        <v>0</v>
      </c>
      <c r="S74">
        <v>0</v>
      </c>
      <c r="T74">
        <v>0</v>
      </c>
      <c r="U74">
        <v>0</v>
      </c>
      <c r="V74">
        <v>0</v>
      </c>
      <c r="W74">
        <v>132000000</v>
      </c>
      <c r="X74" t="s">
        <v>490</v>
      </c>
      <c r="Y74" s="16">
        <v>44730.509259259263</v>
      </c>
      <c r="Z74" s="17" t="str">
        <f>_xlfn.XLOOKUP(Table1[[#This Row],[Phase]],'Lookup tables'!$Y$27:$Y$60,'Lookup tables'!$Z$27:$Z$60,"Not Updated")</f>
        <v>RFPX underway</v>
      </c>
      <c r="AA74" s="17">
        <v>0</v>
      </c>
      <c r="AB74">
        <v>0</v>
      </c>
      <c r="AC74">
        <v>0</v>
      </c>
      <c r="AD74">
        <v>0</v>
      </c>
      <c r="AE74">
        <v>0</v>
      </c>
      <c r="AF74">
        <v>0</v>
      </c>
      <c r="AG74">
        <v>0</v>
      </c>
      <c r="AH74">
        <v>0</v>
      </c>
      <c r="AI74">
        <v>0</v>
      </c>
      <c r="AJ74">
        <v>0</v>
      </c>
      <c r="AK74">
        <v>0</v>
      </c>
      <c r="AL74">
        <v>0</v>
      </c>
      <c r="AM74">
        <v>0</v>
      </c>
      <c r="AN74">
        <v>0</v>
      </c>
      <c r="AO74">
        <v>0</v>
      </c>
      <c r="AP74">
        <v>0</v>
      </c>
      <c r="AQ74">
        <v>0</v>
      </c>
      <c r="AR74">
        <v>0</v>
      </c>
      <c r="AS74">
        <v>0</v>
      </c>
      <c r="AT74">
        <v>0</v>
      </c>
      <c r="AU74">
        <v>0</v>
      </c>
      <c r="AV74">
        <v>0</v>
      </c>
      <c r="AW74">
        <v>0</v>
      </c>
      <c r="AX74">
        <v>0</v>
      </c>
      <c r="AY74">
        <v>0</v>
      </c>
      <c r="AZ74">
        <v>0</v>
      </c>
      <c r="BA74">
        <v>0</v>
      </c>
      <c r="BB74">
        <v>0</v>
      </c>
      <c r="BC74">
        <v>0</v>
      </c>
      <c r="BD74">
        <v>0</v>
      </c>
      <c r="BE74">
        <v>0</v>
      </c>
      <c r="BF74">
        <v>0</v>
      </c>
      <c r="BG74" s="185">
        <v>0</v>
      </c>
      <c r="BH74" s="185">
        <v>0</v>
      </c>
      <c r="BI74" s="185">
        <v>0</v>
      </c>
      <c r="BJ74" s="185">
        <v>0</v>
      </c>
      <c r="BK74" s="185">
        <v>0</v>
      </c>
      <c r="BL74" s="185">
        <v>0</v>
      </c>
      <c r="BM74" s="185">
        <v>0</v>
      </c>
      <c r="BN74" s="185">
        <v>0</v>
      </c>
      <c r="BO74" s="185">
        <v>0</v>
      </c>
      <c r="BP74" s="185">
        <v>0</v>
      </c>
      <c r="BQ74" s="185">
        <v>44958</v>
      </c>
      <c r="BR74" s="185">
        <v>0</v>
      </c>
      <c r="BS74" s="185">
        <v>0</v>
      </c>
      <c r="BT74" s="185">
        <v>0</v>
      </c>
      <c r="BU74" t="b">
        <f>IF(_xlfn.MAXIFS(Table1[Sl No],Table1[Category],Table1[[#This Row],[Category]],Table1[Execution Year],Table1[[#This Row],[Execution Year]])=Table1[[#This Row],[Sl No]],TRUE,FALSE)</f>
        <v>1</v>
      </c>
      <c r="BV74" s="201">
        <f>SUM(Table1[[#This Row],[Spend - CAN]:[Spend - Sams]])+SUM(Table1[[#This Row],[Spend - Sams Mexico]:[Spend - Sams China]])+Table1[[#This Row],[Spend - IND]]</f>
        <v>132000000</v>
      </c>
      <c r="BW74">
        <f>SUM(Table1[[#This Row],[Savings - CAN]:[Savings - Sams]])+SUM(Table1[[#This Row],[Savings - Sams Mexico]:[Savings - Sams China]])+Table1[[#This Row],[Savings - IND]]</f>
        <v>0</v>
      </c>
      <c r="BX74">
        <f>SUM(Table1[[#This Row],[Spend - CAN]:[Spend - SAF]])+SUM(Table1[[#This Row],[Spend - Sams Mexico]:[Spend - Sams China]])+Table1[[#This Row],[Spend - IND]]</f>
        <v>0</v>
      </c>
      <c r="BY74">
        <f>SUM(Table1[[#This Row],[Savings - CAN]:[Savings - SAF]])+SUM(Table1[[#This Row],[Savings - Sams Mexico]:[Savings - Sams China]])+Table1[[#This Row],[Savings - IND]]</f>
        <v>0</v>
      </c>
      <c r="BZ74">
        <f>SUM(Table1[[#This Row],[Spend - US]:[Spend - Sams]])</f>
        <v>132000000</v>
      </c>
      <c r="CA74">
        <f>SUM(Table1[[#This Row],[Savings - US]:[Savings - Sams]])</f>
        <v>0</v>
      </c>
      <c r="CB74">
        <f>SUM(Table1[[#This Row],[Cost Avoidance - CAN2]:[Cost Avoidance - SAF10]])+SUM(Table1[[#This Row],[Cost Avoidance - Sams Mexico]:[Cost Avoidance - Sams China]])+Table1[[#This Row],[Cost Avoidance - IND]]</f>
        <v>0</v>
      </c>
      <c r="CC74">
        <f>SUM(Table1[[#This Row],[Cost Avoidance - US11]:[Cost Avoidance - Sams12]])</f>
        <v>0</v>
      </c>
      <c r="CD74">
        <f>_xlfn.XLOOKUP(Table1[[#This Row],[Status]],Status_Lookups[Status],Status_Lookups[Value],"")</f>
        <v>0.3</v>
      </c>
    </row>
    <row r="75" spans="1:82">
      <c r="A75">
        <v>1</v>
      </c>
      <c r="B75" t="s">
        <v>507</v>
      </c>
      <c r="C75" t="s">
        <v>33</v>
      </c>
      <c r="D75" t="s">
        <v>322</v>
      </c>
      <c r="E75" s="15">
        <v>44682</v>
      </c>
      <c r="F75" s="15">
        <v>44803</v>
      </c>
      <c r="G75" s="15"/>
      <c r="H75" s="15"/>
      <c r="I75" t="s">
        <v>135</v>
      </c>
      <c r="J75" t="s">
        <v>459</v>
      </c>
      <c r="K75" t="s">
        <v>502</v>
      </c>
      <c r="X75" t="s">
        <v>47</v>
      </c>
      <c r="Y75" s="16">
        <v>44701.387036342596</v>
      </c>
      <c r="Z75" s="17" t="str">
        <f>_xlfn.XLOOKUP(Table1[[#This Row],[Phase]],'Lookup tables'!$Y$27:$Y$60,'Lookup tables'!$Z$27:$Z$60,"Not Updated")</f>
        <v>Pipeline</v>
      </c>
      <c r="AA75" s="17"/>
      <c r="BG75" s="185"/>
      <c r="BH75" s="185"/>
      <c r="BI75" s="185"/>
      <c r="BJ75" s="185"/>
      <c r="BK75" s="185"/>
      <c r="BL75" s="185"/>
      <c r="BM75" s="185"/>
      <c r="BN75" s="185"/>
      <c r="BO75" s="185"/>
      <c r="BP75" s="185"/>
      <c r="BQ75" s="185"/>
      <c r="BR75" s="185"/>
      <c r="BS75" s="185"/>
      <c r="BT75" s="185"/>
      <c r="BU75" t="b">
        <f>IF(_xlfn.MAXIFS(Table1[Sl No],Table1[Category],Table1[[#This Row],[Category]],Table1[Execution Year],Table1[[#This Row],[Execution Year]])=Table1[[#This Row],[Sl No]],TRUE,FALSE)</f>
        <v>0</v>
      </c>
      <c r="BV75" s="201">
        <f>SUM(Table1[[#This Row],[Spend - CAN]:[Spend - Sams]])+SUM(Table1[[#This Row],[Spend - Sams Mexico]:[Spend - Sams China]])+Table1[[#This Row],[Spend - IND]]</f>
        <v>0</v>
      </c>
      <c r="BW75">
        <f>SUM(Table1[[#This Row],[Savings - CAN]:[Savings - Sams]])+SUM(Table1[[#This Row],[Savings - Sams Mexico]:[Savings - Sams China]])+Table1[[#This Row],[Savings - IND]]</f>
        <v>0</v>
      </c>
      <c r="BX75">
        <f>SUM(Table1[[#This Row],[Spend - CAN]:[Spend - SAF]])+SUM(Table1[[#This Row],[Spend - Sams Mexico]:[Spend - Sams China]])+Table1[[#This Row],[Spend - IND]]</f>
        <v>0</v>
      </c>
      <c r="BY75">
        <f>SUM(Table1[[#This Row],[Savings - CAN]:[Savings - SAF]])+SUM(Table1[[#This Row],[Savings - Sams Mexico]:[Savings - Sams China]])+Table1[[#This Row],[Savings - IND]]</f>
        <v>0</v>
      </c>
      <c r="BZ75">
        <f>SUM(Table1[[#This Row],[Spend - US]:[Spend - Sams]])</f>
        <v>0</v>
      </c>
      <c r="CA75">
        <f>SUM(Table1[[#This Row],[Savings - US]:[Savings - Sams]])</f>
        <v>0</v>
      </c>
      <c r="CB75">
        <f>SUM(Table1[[#This Row],[Cost Avoidance - CAN2]:[Cost Avoidance - SAF10]])+SUM(Table1[[#This Row],[Cost Avoidance - Sams Mexico]:[Cost Avoidance - Sams China]])+Table1[[#This Row],[Cost Avoidance - IND]]</f>
        <v>0</v>
      </c>
      <c r="CC75">
        <f>SUM(Table1[[#This Row],[Cost Avoidance - US11]:[Cost Avoidance - Sams12]])</f>
        <v>0</v>
      </c>
      <c r="CD75">
        <f>_xlfn.XLOOKUP(Table1[[#This Row],[Status]],Status_Lookups[Status],Status_Lookups[Value],"")</f>
        <v>0.3</v>
      </c>
    </row>
    <row r="76" spans="1:82">
      <c r="A76">
        <v>2</v>
      </c>
      <c r="B76" t="s">
        <v>507</v>
      </c>
      <c r="C76" t="s">
        <v>33</v>
      </c>
      <c r="D76" t="s">
        <v>322</v>
      </c>
      <c r="E76" s="15">
        <v>44682</v>
      </c>
      <c r="F76" s="15">
        <v>44803</v>
      </c>
      <c r="G76" s="15">
        <v>0</v>
      </c>
      <c r="H76" s="15">
        <v>0</v>
      </c>
      <c r="I76" t="s">
        <v>135</v>
      </c>
      <c r="J76" t="s">
        <v>459</v>
      </c>
      <c r="K76" t="s">
        <v>508</v>
      </c>
      <c r="L76">
        <v>0</v>
      </c>
      <c r="M76">
        <v>0</v>
      </c>
      <c r="N76">
        <v>0</v>
      </c>
      <c r="O76">
        <v>0</v>
      </c>
      <c r="P76">
        <v>0</v>
      </c>
      <c r="Q76">
        <v>0</v>
      </c>
      <c r="R76">
        <v>0</v>
      </c>
      <c r="S76">
        <v>0</v>
      </c>
      <c r="T76">
        <v>0</v>
      </c>
      <c r="U76">
        <v>0</v>
      </c>
      <c r="V76">
        <v>0</v>
      </c>
      <c r="W76">
        <v>0</v>
      </c>
      <c r="X76" t="s">
        <v>502</v>
      </c>
      <c r="Y76" s="16">
        <v>44729.651692245374</v>
      </c>
      <c r="Z76" s="17" t="str">
        <f>_xlfn.XLOOKUP(Table1[[#This Row],[Phase]],'Lookup tables'!$Y$27:$Y$60,'Lookup tables'!$Z$27:$Z$60,"Not Updated")</f>
        <v>Pipeline</v>
      </c>
      <c r="AA76" s="17">
        <v>0</v>
      </c>
      <c r="AB76">
        <v>0</v>
      </c>
      <c r="AC76">
        <v>0</v>
      </c>
      <c r="AD76">
        <v>0</v>
      </c>
      <c r="AE76">
        <v>0</v>
      </c>
      <c r="AF76">
        <v>0</v>
      </c>
      <c r="AG76">
        <v>0</v>
      </c>
      <c r="AH76">
        <v>0</v>
      </c>
      <c r="AI76">
        <v>0</v>
      </c>
      <c r="AJ76">
        <v>0</v>
      </c>
      <c r="AK76">
        <v>0</v>
      </c>
      <c r="AL76">
        <v>0</v>
      </c>
      <c r="AM76">
        <v>0</v>
      </c>
      <c r="AN76">
        <v>0</v>
      </c>
      <c r="AO76">
        <v>0</v>
      </c>
      <c r="AP76">
        <v>0</v>
      </c>
      <c r="AQ76">
        <v>0</v>
      </c>
      <c r="AR76">
        <v>0</v>
      </c>
      <c r="AS76">
        <v>0</v>
      </c>
      <c r="AT76">
        <v>0</v>
      </c>
      <c r="AU76">
        <v>0</v>
      </c>
      <c r="AV76">
        <v>0</v>
      </c>
      <c r="AW76">
        <v>0</v>
      </c>
      <c r="AX76">
        <v>0</v>
      </c>
      <c r="AY76">
        <v>0</v>
      </c>
      <c r="AZ76">
        <v>0</v>
      </c>
      <c r="BA76">
        <v>0</v>
      </c>
      <c r="BB76">
        <v>0</v>
      </c>
      <c r="BC76">
        <v>0</v>
      </c>
      <c r="BD76">
        <v>0</v>
      </c>
      <c r="BE76">
        <v>0</v>
      </c>
      <c r="BF76">
        <v>0</v>
      </c>
      <c r="BG76" s="185">
        <v>0</v>
      </c>
      <c r="BH76" s="185">
        <v>0</v>
      </c>
      <c r="BI76" s="185">
        <v>0</v>
      </c>
      <c r="BJ76" s="185">
        <v>0</v>
      </c>
      <c r="BK76" s="185">
        <v>0</v>
      </c>
      <c r="BL76" s="185">
        <v>0</v>
      </c>
      <c r="BM76" s="185">
        <v>0</v>
      </c>
      <c r="BN76" s="185">
        <v>0</v>
      </c>
      <c r="BO76" s="185">
        <v>0</v>
      </c>
      <c r="BP76" s="185">
        <v>0</v>
      </c>
      <c r="BQ76" s="185">
        <v>0</v>
      </c>
      <c r="BR76" s="185">
        <v>0</v>
      </c>
      <c r="BS76" s="185">
        <v>0</v>
      </c>
      <c r="BT76" s="185">
        <v>0</v>
      </c>
      <c r="BU76" t="b">
        <f>IF(_xlfn.MAXIFS(Table1[Sl No],Table1[Category],Table1[[#This Row],[Category]],Table1[Execution Year],Table1[[#This Row],[Execution Year]])=Table1[[#This Row],[Sl No]],TRUE,FALSE)</f>
        <v>0</v>
      </c>
      <c r="BV76" s="201">
        <f>SUM(Table1[[#This Row],[Spend - CAN]:[Spend - Sams]])+SUM(Table1[[#This Row],[Spend - Sams Mexico]:[Spend - Sams China]])+Table1[[#This Row],[Spend - IND]]</f>
        <v>0</v>
      </c>
      <c r="BW76">
        <f>SUM(Table1[[#This Row],[Savings - CAN]:[Savings - Sams]])+SUM(Table1[[#This Row],[Savings - Sams Mexico]:[Savings - Sams China]])+Table1[[#This Row],[Savings - IND]]</f>
        <v>0</v>
      </c>
      <c r="BX76">
        <f>SUM(Table1[[#This Row],[Spend - CAN]:[Spend - SAF]])+SUM(Table1[[#This Row],[Spend - Sams Mexico]:[Spend - Sams China]])+Table1[[#This Row],[Spend - IND]]</f>
        <v>0</v>
      </c>
      <c r="BY76">
        <f>SUM(Table1[[#This Row],[Savings - CAN]:[Savings - SAF]])+SUM(Table1[[#This Row],[Savings - Sams Mexico]:[Savings - Sams China]])+Table1[[#This Row],[Savings - IND]]</f>
        <v>0</v>
      </c>
      <c r="BZ76">
        <f>SUM(Table1[[#This Row],[Spend - US]:[Spend - Sams]])</f>
        <v>0</v>
      </c>
      <c r="CA76">
        <f>SUM(Table1[[#This Row],[Savings - US]:[Savings - Sams]])</f>
        <v>0</v>
      </c>
      <c r="CB76">
        <f>SUM(Table1[[#This Row],[Cost Avoidance - CAN2]:[Cost Avoidance - SAF10]])+SUM(Table1[[#This Row],[Cost Avoidance - Sams Mexico]:[Cost Avoidance - Sams China]])+Table1[[#This Row],[Cost Avoidance - IND]]</f>
        <v>0</v>
      </c>
      <c r="CC76">
        <f>SUM(Table1[[#This Row],[Cost Avoidance - US11]:[Cost Avoidance - Sams12]])</f>
        <v>0</v>
      </c>
      <c r="CD76">
        <f>_xlfn.XLOOKUP(Table1[[#This Row],[Status]],Status_Lookups[Status],Status_Lookups[Value],"")</f>
        <v>0.3</v>
      </c>
    </row>
    <row r="77" spans="1:82">
      <c r="A77">
        <v>1</v>
      </c>
      <c r="B77" t="s">
        <v>529</v>
      </c>
      <c r="C77" t="s">
        <v>33</v>
      </c>
      <c r="D77" t="s">
        <v>322</v>
      </c>
      <c r="E77" s="15">
        <v>44866</v>
      </c>
      <c r="F77" s="15">
        <v>44956</v>
      </c>
      <c r="G77" s="15"/>
      <c r="H77" s="15"/>
      <c r="I77" t="s">
        <v>135</v>
      </c>
      <c r="J77" t="s">
        <v>459</v>
      </c>
      <c r="K77" t="s">
        <v>516</v>
      </c>
      <c r="X77" t="s">
        <v>47</v>
      </c>
      <c r="Y77" s="16">
        <v>44701.387036342596</v>
      </c>
      <c r="Z77" s="17" t="str">
        <f>_xlfn.XLOOKUP(Table1[[#This Row],[Phase]],'Lookup tables'!$Y$27:$Y$60,'Lookup tables'!$Z$27:$Z$60,"Not Updated")</f>
        <v>Pipeline</v>
      </c>
      <c r="AA77" s="17"/>
      <c r="BG77" s="185"/>
      <c r="BH77" s="185"/>
      <c r="BI77" s="185"/>
      <c r="BJ77" s="185"/>
      <c r="BK77" s="185"/>
      <c r="BL77" s="185"/>
      <c r="BM77" s="185"/>
      <c r="BN77" s="185"/>
      <c r="BO77" s="185"/>
      <c r="BP77" s="185"/>
      <c r="BQ77" s="185"/>
      <c r="BR77" s="185"/>
      <c r="BS77" s="185"/>
      <c r="BT77" s="185"/>
      <c r="BU77" t="b">
        <f>IF(_xlfn.MAXIFS(Table1[Sl No],Table1[Category],Table1[[#This Row],[Category]],Table1[Execution Year],Table1[[#This Row],[Execution Year]])=Table1[[#This Row],[Sl No]],TRUE,FALSE)</f>
        <v>1</v>
      </c>
      <c r="BV77" s="201">
        <f>SUM(Table1[[#This Row],[Spend - CAN]:[Spend - Sams]])+SUM(Table1[[#This Row],[Spend - Sams Mexico]:[Spend - Sams China]])+Table1[[#This Row],[Spend - IND]]</f>
        <v>0</v>
      </c>
      <c r="BW77">
        <f>SUM(Table1[[#This Row],[Savings - CAN]:[Savings - Sams]])+SUM(Table1[[#This Row],[Savings - Sams Mexico]:[Savings - Sams China]])+Table1[[#This Row],[Savings - IND]]</f>
        <v>0</v>
      </c>
      <c r="BX77">
        <f>SUM(Table1[[#This Row],[Spend - CAN]:[Spend - SAF]])+SUM(Table1[[#This Row],[Spend - Sams Mexico]:[Spend - Sams China]])+Table1[[#This Row],[Spend - IND]]</f>
        <v>0</v>
      </c>
      <c r="BY77">
        <f>SUM(Table1[[#This Row],[Savings - CAN]:[Savings - SAF]])+SUM(Table1[[#This Row],[Savings - Sams Mexico]:[Savings - Sams China]])+Table1[[#This Row],[Savings - IND]]</f>
        <v>0</v>
      </c>
      <c r="BZ77">
        <f>SUM(Table1[[#This Row],[Spend - US]:[Spend - Sams]])</f>
        <v>0</v>
      </c>
      <c r="CA77">
        <f>SUM(Table1[[#This Row],[Savings - US]:[Savings - Sams]])</f>
        <v>0</v>
      </c>
      <c r="CB77">
        <f>SUM(Table1[[#This Row],[Cost Avoidance - CAN2]:[Cost Avoidance - SAF10]])+SUM(Table1[[#This Row],[Cost Avoidance - Sams Mexico]:[Cost Avoidance - Sams China]])+Table1[[#This Row],[Cost Avoidance - IND]]</f>
        <v>0</v>
      </c>
      <c r="CC77">
        <f>SUM(Table1[[#This Row],[Cost Avoidance - US11]:[Cost Avoidance - Sams12]])</f>
        <v>0</v>
      </c>
      <c r="CD77">
        <f>_xlfn.XLOOKUP(Table1[[#This Row],[Status]],Status_Lookups[Status],Status_Lookups[Value],"")</f>
        <v>0.3</v>
      </c>
    </row>
    <row r="78" spans="1:82">
      <c r="A78">
        <v>1</v>
      </c>
      <c r="B78" t="s">
        <v>515</v>
      </c>
      <c r="C78" t="s">
        <v>33</v>
      </c>
      <c r="D78" t="s">
        <v>322</v>
      </c>
      <c r="E78" s="15">
        <v>44682</v>
      </c>
      <c r="F78" s="15">
        <v>44772</v>
      </c>
      <c r="G78" s="15"/>
      <c r="H78" s="15"/>
      <c r="I78" t="s">
        <v>413</v>
      </c>
      <c r="J78" t="s">
        <v>459</v>
      </c>
      <c r="K78" t="s">
        <v>516</v>
      </c>
      <c r="X78" t="s">
        <v>47</v>
      </c>
      <c r="Y78" s="16">
        <v>44701.387036342596</v>
      </c>
      <c r="Z78" s="17" t="str">
        <f>_xlfn.XLOOKUP(Table1[[#This Row],[Phase]],'Lookup tables'!$Y$27:$Y$60,'Lookup tables'!$Z$27:$Z$60,"Not Updated")</f>
        <v>Bid Prep</v>
      </c>
      <c r="AA78" s="17"/>
      <c r="BG78" s="185"/>
      <c r="BH78" s="185"/>
      <c r="BI78" s="185"/>
      <c r="BJ78" s="185"/>
      <c r="BK78" s="185"/>
      <c r="BL78" s="185"/>
      <c r="BM78" s="185"/>
      <c r="BN78" s="185"/>
      <c r="BO78" s="185"/>
      <c r="BP78" s="185"/>
      <c r="BQ78" s="185"/>
      <c r="BR78" s="185"/>
      <c r="BS78" s="185"/>
      <c r="BT78" s="185"/>
      <c r="BU78" t="b">
        <f>IF(_xlfn.MAXIFS(Table1[Sl No],Table1[Category],Table1[[#This Row],[Category]],Table1[Execution Year],Table1[[#This Row],[Execution Year]])=Table1[[#This Row],[Sl No]],TRUE,FALSE)</f>
        <v>0</v>
      </c>
      <c r="BV78" s="201">
        <f>SUM(Table1[[#This Row],[Spend - CAN]:[Spend - Sams]])+SUM(Table1[[#This Row],[Spend - Sams Mexico]:[Spend - Sams China]])+Table1[[#This Row],[Spend - IND]]</f>
        <v>0</v>
      </c>
      <c r="BW78">
        <f>SUM(Table1[[#This Row],[Savings - CAN]:[Savings - Sams]])+SUM(Table1[[#This Row],[Savings - Sams Mexico]:[Savings - Sams China]])+Table1[[#This Row],[Savings - IND]]</f>
        <v>0</v>
      </c>
      <c r="BX78">
        <f>SUM(Table1[[#This Row],[Spend - CAN]:[Spend - SAF]])+SUM(Table1[[#This Row],[Spend - Sams Mexico]:[Spend - Sams China]])+Table1[[#This Row],[Spend - IND]]</f>
        <v>0</v>
      </c>
      <c r="BY78">
        <f>SUM(Table1[[#This Row],[Savings - CAN]:[Savings - SAF]])+SUM(Table1[[#This Row],[Savings - Sams Mexico]:[Savings - Sams China]])+Table1[[#This Row],[Savings - IND]]</f>
        <v>0</v>
      </c>
      <c r="BZ78">
        <f>SUM(Table1[[#This Row],[Spend - US]:[Spend - Sams]])</f>
        <v>0</v>
      </c>
      <c r="CA78">
        <f>SUM(Table1[[#This Row],[Savings - US]:[Savings - Sams]])</f>
        <v>0</v>
      </c>
      <c r="CB78">
        <f>SUM(Table1[[#This Row],[Cost Avoidance - CAN2]:[Cost Avoidance - SAF10]])+SUM(Table1[[#This Row],[Cost Avoidance - Sams Mexico]:[Cost Avoidance - Sams China]])+Table1[[#This Row],[Cost Avoidance - IND]]</f>
        <v>0</v>
      </c>
      <c r="CC78">
        <f>SUM(Table1[[#This Row],[Cost Avoidance - US11]:[Cost Avoidance - Sams12]])</f>
        <v>0</v>
      </c>
      <c r="CD78">
        <f>_xlfn.XLOOKUP(Table1[[#This Row],[Status]],Status_Lookups[Status],Status_Lookups[Value],"")</f>
        <v>0.3</v>
      </c>
    </row>
    <row r="79" spans="1:82">
      <c r="A79">
        <v>2</v>
      </c>
      <c r="B79" t="s">
        <v>515</v>
      </c>
      <c r="C79" t="s">
        <v>33</v>
      </c>
      <c r="D79" t="s">
        <v>322</v>
      </c>
      <c r="E79" s="15">
        <v>44682</v>
      </c>
      <c r="F79" s="15">
        <v>44772</v>
      </c>
      <c r="G79" s="15">
        <v>0</v>
      </c>
      <c r="H79" s="15">
        <v>0</v>
      </c>
      <c r="I79" t="s">
        <v>413</v>
      </c>
      <c r="J79" t="s">
        <v>417</v>
      </c>
      <c r="K79" t="s">
        <v>516</v>
      </c>
      <c r="L79">
        <v>0</v>
      </c>
      <c r="M79">
        <v>0</v>
      </c>
      <c r="N79">
        <v>0</v>
      </c>
      <c r="O79">
        <v>0</v>
      </c>
      <c r="P79">
        <v>0</v>
      </c>
      <c r="Q79">
        <v>0</v>
      </c>
      <c r="R79">
        <v>0</v>
      </c>
      <c r="S79">
        <v>0</v>
      </c>
      <c r="T79">
        <v>0</v>
      </c>
      <c r="U79">
        <v>0</v>
      </c>
      <c r="V79">
        <v>0</v>
      </c>
      <c r="W79">
        <v>0</v>
      </c>
      <c r="X79" t="s">
        <v>516</v>
      </c>
      <c r="Y79" s="16">
        <v>44729.603143287037</v>
      </c>
      <c r="Z79" s="17" t="str">
        <f>_xlfn.XLOOKUP(Table1[[#This Row],[Phase]],'Lookup tables'!$Y$27:$Y$60,'Lookup tables'!$Z$27:$Z$60,"Not Updated")</f>
        <v>Bid Prep</v>
      </c>
      <c r="AA79" s="17" t="s">
        <v>637</v>
      </c>
      <c r="AB79">
        <v>0</v>
      </c>
      <c r="AC79">
        <v>0</v>
      </c>
      <c r="AD79">
        <v>0</v>
      </c>
      <c r="AE79">
        <v>0</v>
      </c>
      <c r="AF79">
        <v>0</v>
      </c>
      <c r="AG79">
        <v>0</v>
      </c>
      <c r="AH79">
        <v>0</v>
      </c>
      <c r="AI79">
        <v>0</v>
      </c>
      <c r="AJ79">
        <v>0</v>
      </c>
      <c r="AK79">
        <v>0</v>
      </c>
      <c r="AL79">
        <v>0</v>
      </c>
      <c r="AM79">
        <v>0</v>
      </c>
      <c r="AN79">
        <v>0</v>
      </c>
      <c r="AO79">
        <v>0</v>
      </c>
      <c r="AP79">
        <v>0</v>
      </c>
      <c r="AQ79">
        <v>0</v>
      </c>
      <c r="AR79">
        <v>0</v>
      </c>
      <c r="AS79">
        <v>0</v>
      </c>
      <c r="AT79">
        <v>0</v>
      </c>
      <c r="AU79">
        <v>0</v>
      </c>
      <c r="AV79">
        <v>0</v>
      </c>
      <c r="AW79">
        <v>0</v>
      </c>
      <c r="AX79">
        <v>0</v>
      </c>
      <c r="AY79">
        <v>0</v>
      </c>
      <c r="AZ79">
        <v>0</v>
      </c>
      <c r="BA79">
        <v>0</v>
      </c>
      <c r="BB79">
        <v>0</v>
      </c>
      <c r="BC79">
        <v>0</v>
      </c>
      <c r="BD79">
        <v>0</v>
      </c>
      <c r="BE79">
        <v>0</v>
      </c>
      <c r="BF79">
        <v>0</v>
      </c>
      <c r="BG79" s="185">
        <v>0</v>
      </c>
      <c r="BH79" s="185">
        <v>0</v>
      </c>
      <c r="BI79" s="185">
        <v>0</v>
      </c>
      <c r="BJ79" s="185">
        <v>0</v>
      </c>
      <c r="BK79" s="185">
        <v>0</v>
      </c>
      <c r="BL79" s="185">
        <v>0</v>
      </c>
      <c r="BM79" s="185">
        <v>0</v>
      </c>
      <c r="BN79" s="185">
        <v>0</v>
      </c>
      <c r="BO79" s="185">
        <v>0</v>
      </c>
      <c r="BP79" s="185">
        <v>0</v>
      </c>
      <c r="BQ79" s="185">
        <v>0</v>
      </c>
      <c r="BR79" s="185">
        <v>0</v>
      </c>
      <c r="BS79" s="185">
        <v>0</v>
      </c>
      <c r="BT79" s="185">
        <v>0</v>
      </c>
      <c r="BU79" t="b">
        <f>IF(_xlfn.MAXIFS(Table1[Sl No],Table1[Category],Table1[[#This Row],[Category]],Table1[Execution Year],Table1[[#This Row],[Execution Year]])=Table1[[#This Row],[Sl No]],TRUE,FALSE)</f>
        <v>1</v>
      </c>
      <c r="BV79" s="201">
        <f>SUM(Table1[[#This Row],[Spend - CAN]:[Spend - Sams]])+SUM(Table1[[#This Row],[Spend - Sams Mexico]:[Spend - Sams China]])+Table1[[#This Row],[Spend - IND]]</f>
        <v>0</v>
      </c>
      <c r="BW79">
        <f>SUM(Table1[[#This Row],[Savings - CAN]:[Savings - Sams]])+SUM(Table1[[#This Row],[Savings - Sams Mexico]:[Savings - Sams China]])+Table1[[#This Row],[Savings - IND]]</f>
        <v>0</v>
      </c>
      <c r="BX79">
        <f>SUM(Table1[[#This Row],[Spend - CAN]:[Spend - SAF]])+SUM(Table1[[#This Row],[Spend - Sams Mexico]:[Spend - Sams China]])+Table1[[#This Row],[Spend - IND]]</f>
        <v>0</v>
      </c>
      <c r="BY79">
        <f>SUM(Table1[[#This Row],[Savings - CAN]:[Savings - SAF]])+SUM(Table1[[#This Row],[Savings - Sams Mexico]:[Savings - Sams China]])+Table1[[#This Row],[Savings - IND]]</f>
        <v>0</v>
      </c>
      <c r="BZ79">
        <f>SUM(Table1[[#This Row],[Spend - US]:[Spend - Sams]])</f>
        <v>0</v>
      </c>
      <c r="CA79">
        <f>SUM(Table1[[#This Row],[Savings - US]:[Savings - Sams]])</f>
        <v>0</v>
      </c>
      <c r="CB79">
        <f>SUM(Table1[[#This Row],[Cost Avoidance - CAN2]:[Cost Avoidance - SAF10]])+SUM(Table1[[#This Row],[Cost Avoidance - Sams Mexico]:[Cost Avoidance - Sams China]])+Table1[[#This Row],[Cost Avoidance - IND]]</f>
        <v>0</v>
      </c>
      <c r="CC79">
        <f>SUM(Table1[[#This Row],[Cost Avoidance - US11]:[Cost Avoidance - Sams12]])</f>
        <v>0</v>
      </c>
      <c r="CD79">
        <f>_xlfn.XLOOKUP(Table1[[#This Row],[Status]],Status_Lookups[Status],Status_Lookups[Value],"")</f>
        <v>0.2</v>
      </c>
    </row>
    <row r="80" spans="1:82">
      <c r="A80">
        <v>1</v>
      </c>
      <c r="B80" t="s">
        <v>596</v>
      </c>
      <c r="C80" t="s">
        <v>33</v>
      </c>
      <c r="D80" t="s">
        <v>322</v>
      </c>
      <c r="E80" s="15"/>
      <c r="F80" s="15"/>
      <c r="G80" s="15"/>
      <c r="H80" s="15"/>
      <c r="K80" t="s">
        <v>516</v>
      </c>
      <c r="X80" t="s">
        <v>47</v>
      </c>
      <c r="Y80" s="16">
        <v>44729.604120370372</v>
      </c>
      <c r="Z80" s="17" t="str">
        <f>_xlfn.XLOOKUP(Table1[[#This Row],[Phase]],'Lookup tables'!$Y$27:$Y$60,'Lookup tables'!$Z$27:$Z$60,"Not Updated")</f>
        <v>Not Updated</v>
      </c>
      <c r="AA80" s="17"/>
      <c r="BG80" s="185"/>
      <c r="BH80" s="185"/>
      <c r="BI80" s="185"/>
      <c r="BJ80" s="185"/>
      <c r="BK80" s="185"/>
      <c r="BL80" s="185"/>
      <c r="BM80" s="185"/>
      <c r="BN80" s="185"/>
      <c r="BO80" s="185"/>
      <c r="BP80" s="185"/>
      <c r="BQ80" s="185"/>
      <c r="BR80" s="185"/>
      <c r="BS80" s="185"/>
      <c r="BT80" s="185"/>
      <c r="BU80" t="b">
        <f>IF(_xlfn.MAXIFS(Table1[Sl No],Table1[Category],Table1[[#This Row],[Category]],Table1[Execution Year],Table1[[#This Row],[Execution Year]])=Table1[[#This Row],[Sl No]],TRUE,FALSE)</f>
        <v>0</v>
      </c>
      <c r="BV80" s="201">
        <f>SUM(Table1[[#This Row],[Spend - CAN]:[Spend - Sams]])+SUM(Table1[[#This Row],[Spend - Sams Mexico]:[Spend - Sams China]])+Table1[[#This Row],[Spend - IND]]</f>
        <v>0</v>
      </c>
      <c r="BW80">
        <f>SUM(Table1[[#This Row],[Savings - CAN]:[Savings - Sams]])+SUM(Table1[[#This Row],[Savings - Sams Mexico]:[Savings - Sams China]])+Table1[[#This Row],[Savings - IND]]</f>
        <v>0</v>
      </c>
      <c r="BX80">
        <f>SUM(Table1[[#This Row],[Spend - CAN]:[Spend - SAF]])+SUM(Table1[[#This Row],[Spend - Sams Mexico]:[Spend - Sams China]])+Table1[[#This Row],[Spend - IND]]</f>
        <v>0</v>
      </c>
      <c r="BY80">
        <f>SUM(Table1[[#This Row],[Savings - CAN]:[Savings - SAF]])+SUM(Table1[[#This Row],[Savings - Sams Mexico]:[Savings - Sams China]])+Table1[[#This Row],[Savings - IND]]</f>
        <v>0</v>
      </c>
      <c r="BZ80">
        <f>SUM(Table1[[#This Row],[Spend - US]:[Spend - Sams]])</f>
        <v>0</v>
      </c>
      <c r="CA80">
        <f>SUM(Table1[[#This Row],[Savings - US]:[Savings - Sams]])</f>
        <v>0</v>
      </c>
      <c r="CB80">
        <f>SUM(Table1[[#This Row],[Cost Avoidance - CAN2]:[Cost Avoidance - SAF10]])+SUM(Table1[[#This Row],[Cost Avoidance - Sams Mexico]:[Cost Avoidance - Sams China]])+Table1[[#This Row],[Cost Avoidance - IND]]</f>
        <v>0</v>
      </c>
      <c r="CC80">
        <f>SUM(Table1[[#This Row],[Cost Avoidance - US11]:[Cost Avoidance - Sams12]])</f>
        <v>0</v>
      </c>
      <c r="CD80" t="str">
        <f>_xlfn.XLOOKUP(Table1[[#This Row],[Status]],Status_Lookups[Status],Status_Lookups[Value],"")</f>
        <v/>
      </c>
    </row>
    <row r="81" spans="1:82">
      <c r="A81">
        <v>2</v>
      </c>
      <c r="B81" t="s">
        <v>596</v>
      </c>
      <c r="C81" t="s">
        <v>33</v>
      </c>
      <c r="D81" t="s">
        <v>322</v>
      </c>
      <c r="E81" s="15">
        <v>0</v>
      </c>
      <c r="F81" s="15">
        <v>0</v>
      </c>
      <c r="G81" s="15">
        <v>0</v>
      </c>
      <c r="H81" s="15">
        <v>0</v>
      </c>
      <c r="I81">
        <v>0</v>
      </c>
      <c r="J81">
        <v>0</v>
      </c>
      <c r="K81" t="s">
        <v>516</v>
      </c>
      <c r="L81">
        <v>0</v>
      </c>
      <c r="M81">
        <v>0</v>
      </c>
      <c r="N81">
        <v>0</v>
      </c>
      <c r="O81">
        <v>0</v>
      </c>
      <c r="P81">
        <v>0</v>
      </c>
      <c r="Q81">
        <v>0</v>
      </c>
      <c r="R81">
        <v>0</v>
      </c>
      <c r="S81">
        <v>0</v>
      </c>
      <c r="T81">
        <v>0</v>
      </c>
      <c r="U81">
        <v>0</v>
      </c>
      <c r="V81">
        <v>0</v>
      </c>
      <c r="W81">
        <v>0</v>
      </c>
      <c r="X81" t="s">
        <v>516</v>
      </c>
      <c r="Y81" s="16">
        <v>44729.615574074072</v>
      </c>
      <c r="Z81" s="17" t="str">
        <f>_xlfn.XLOOKUP(Table1[[#This Row],[Phase]],'Lookup tables'!$Y$27:$Y$60,'Lookup tables'!$Z$27:$Z$60,"Not Updated")</f>
        <v>Not Updated</v>
      </c>
      <c r="AA81" s="17">
        <v>0</v>
      </c>
      <c r="AB81">
        <v>0</v>
      </c>
      <c r="AC81">
        <v>0</v>
      </c>
      <c r="AD81">
        <v>0</v>
      </c>
      <c r="AE81">
        <v>0</v>
      </c>
      <c r="AF81">
        <v>0</v>
      </c>
      <c r="AG81">
        <v>0</v>
      </c>
      <c r="AH81">
        <v>0</v>
      </c>
      <c r="AI81">
        <v>0</v>
      </c>
      <c r="AJ81">
        <v>0</v>
      </c>
      <c r="AK81">
        <v>0</v>
      </c>
      <c r="AL81">
        <v>0</v>
      </c>
      <c r="AM81">
        <v>0</v>
      </c>
      <c r="AN81">
        <v>0</v>
      </c>
      <c r="AO81">
        <v>0</v>
      </c>
      <c r="AP81">
        <v>0</v>
      </c>
      <c r="AQ81">
        <v>0</v>
      </c>
      <c r="AR81">
        <v>0</v>
      </c>
      <c r="AS81">
        <v>0</v>
      </c>
      <c r="AT81">
        <v>0</v>
      </c>
      <c r="AU81">
        <v>0</v>
      </c>
      <c r="AV81">
        <v>0</v>
      </c>
      <c r="AW81">
        <v>0</v>
      </c>
      <c r="AX81">
        <v>0</v>
      </c>
      <c r="AY81">
        <v>0</v>
      </c>
      <c r="AZ81">
        <v>0</v>
      </c>
      <c r="BA81">
        <v>0</v>
      </c>
      <c r="BB81">
        <v>0</v>
      </c>
      <c r="BC81">
        <v>0</v>
      </c>
      <c r="BD81">
        <v>0</v>
      </c>
      <c r="BE81">
        <v>0</v>
      </c>
      <c r="BF81">
        <v>0</v>
      </c>
      <c r="BG81" s="185">
        <v>0</v>
      </c>
      <c r="BH81" s="185">
        <v>0</v>
      </c>
      <c r="BI81" s="185">
        <v>0</v>
      </c>
      <c r="BJ81" s="185">
        <v>0</v>
      </c>
      <c r="BK81" s="185">
        <v>0</v>
      </c>
      <c r="BL81" s="185">
        <v>0</v>
      </c>
      <c r="BM81" s="185">
        <v>0</v>
      </c>
      <c r="BN81" s="185">
        <v>0</v>
      </c>
      <c r="BO81" s="185">
        <v>0</v>
      </c>
      <c r="BP81" s="185">
        <v>0</v>
      </c>
      <c r="BQ81" s="185">
        <v>0</v>
      </c>
      <c r="BR81" s="185">
        <v>0</v>
      </c>
      <c r="BS81" s="185">
        <v>0</v>
      </c>
      <c r="BT81" s="185">
        <v>0</v>
      </c>
      <c r="BU81" t="b">
        <f>IF(_xlfn.MAXIFS(Table1[Sl No],Table1[Category],Table1[[#This Row],[Category]],Table1[Execution Year],Table1[[#This Row],[Execution Year]])=Table1[[#This Row],[Sl No]],TRUE,FALSE)</f>
        <v>0</v>
      </c>
      <c r="BV81" s="201">
        <f>SUM(Table1[[#This Row],[Spend - CAN]:[Spend - Sams]])+SUM(Table1[[#This Row],[Spend - Sams Mexico]:[Spend - Sams China]])+Table1[[#This Row],[Spend - IND]]</f>
        <v>0</v>
      </c>
      <c r="BW81">
        <f>SUM(Table1[[#This Row],[Savings - CAN]:[Savings - Sams]])+SUM(Table1[[#This Row],[Savings - Sams Mexico]:[Savings - Sams China]])+Table1[[#This Row],[Savings - IND]]</f>
        <v>0</v>
      </c>
      <c r="BX81">
        <f>SUM(Table1[[#This Row],[Spend - CAN]:[Spend - SAF]])+SUM(Table1[[#This Row],[Spend - Sams Mexico]:[Spend - Sams China]])+Table1[[#This Row],[Spend - IND]]</f>
        <v>0</v>
      </c>
      <c r="BY81">
        <f>SUM(Table1[[#This Row],[Savings - CAN]:[Savings - SAF]])+SUM(Table1[[#This Row],[Savings - Sams Mexico]:[Savings - Sams China]])+Table1[[#This Row],[Savings - IND]]</f>
        <v>0</v>
      </c>
      <c r="BZ81">
        <f>SUM(Table1[[#This Row],[Spend - US]:[Spend - Sams]])</f>
        <v>0</v>
      </c>
      <c r="CA81">
        <f>SUM(Table1[[#This Row],[Savings - US]:[Savings - Sams]])</f>
        <v>0</v>
      </c>
      <c r="CB81">
        <f>SUM(Table1[[#This Row],[Cost Avoidance - CAN2]:[Cost Avoidance - SAF10]])+SUM(Table1[[#This Row],[Cost Avoidance - Sams Mexico]:[Cost Avoidance - Sams China]])+Table1[[#This Row],[Cost Avoidance - IND]]</f>
        <v>0</v>
      </c>
      <c r="CC81">
        <f>SUM(Table1[[#This Row],[Cost Avoidance - US11]:[Cost Avoidance - Sams12]])</f>
        <v>0</v>
      </c>
      <c r="CD81" t="str">
        <f>_xlfn.XLOOKUP(Table1[[#This Row],[Status]],Status_Lookups[Status],Status_Lookups[Value],"")</f>
        <v/>
      </c>
    </row>
    <row r="82" spans="1:82">
      <c r="A82">
        <v>3</v>
      </c>
      <c r="B82" t="s">
        <v>596</v>
      </c>
      <c r="C82" t="s">
        <v>33</v>
      </c>
      <c r="D82" t="s">
        <v>322</v>
      </c>
      <c r="E82" s="15">
        <v>44682</v>
      </c>
      <c r="F82" s="15">
        <v>44804</v>
      </c>
      <c r="G82" s="15">
        <v>0</v>
      </c>
      <c r="H82" s="15">
        <v>0</v>
      </c>
      <c r="I82" t="s">
        <v>413</v>
      </c>
      <c r="J82" t="s">
        <v>459</v>
      </c>
      <c r="K82" t="s">
        <v>516</v>
      </c>
      <c r="L82" t="s">
        <v>575</v>
      </c>
      <c r="M82">
        <v>0</v>
      </c>
      <c r="N82">
        <v>0</v>
      </c>
      <c r="O82">
        <v>0</v>
      </c>
      <c r="P82">
        <v>0</v>
      </c>
      <c r="Q82">
        <v>0</v>
      </c>
      <c r="R82">
        <v>0</v>
      </c>
      <c r="S82">
        <v>0</v>
      </c>
      <c r="T82">
        <v>0</v>
      </c>
      <c r="U82">
        <v>0</v>
      </c>
      <c r="V82" t="s">
        <v>638</v>
      </c>
      <c r="W82" t="s">
        <v>639</v>
      </c>
      <c r="X82" t="s">
        <v>516</v>
      </c>
      <c r="Y82" s="16">
        <v>44729.626033449073</v>
      </c>
      <c r="Z82" s="17" t="str">
        <f>_xlfn.XLOOKUP(Table1[[#This Row],[Phase]],'Lookup tables'!$Y$27:$Y$60,'Lookup tables'!$Z$27:$Z$60,"Not Updated")</f>
        <v>Bid Prep</v>
      </c>
      <c r="AA82" s="17">
        <v>0</v>
      </c>
      <c r="AB82">
        <v>0</v>
      </c>
      <c r="AC82">
        <v>0</v>
      </c>
      <c r="AD82">
        <v>0</v>
      </c>
      <c r="AE82">
        <v>0</v>
      </c>
      <c r="AF82">
        <v>0</v>
      </c>
      <c r="AG82">
        <v>0</v>
      </c>
      <c r="AH82">
        <v>0</v>
      </c>
      <c r="AI82">
        <v>0</v>
      </c>
      <c r="AJ82">
        <v>0</v>
      </c>
      <c r="AK82">
        <v>0</v>
      </c>
      <c r="AL82">
        <v>0</v>
      </c>
      <c r="AM82">
        <v>0</v>
      </c>
      <c r="AN82">
        <v>0</v>
      </c>
      <c r="AO82">
        <v>0</v>
      </c>
      <c r="AP82">
        <v>0</v>
      </c>
      <c r="AQ82">
        <v>0</v>
      </c>
      <c r="AR82">
        <v>0</v>
      </c>
      <c r="AS82">
        <v>0</v>
      </c>
      <c r="AT82">
        <v>0</v>
      </c>
      <c r="AU82">
        <v>0</v>
      </c>
      <c r="AV82">
        <v>0</v>
      </c>
      <c r="AW82">
        <v>0</v>
      </c>
      <c r="AX82">
        <v>0</v>
      </c>
      <c r="AY82">
        <v>0</v>
      </c>
      <c r="AZ82">
        <v>0</v>
      </c>
      <c r="BA82">
        <v>0</v>
      </c>
      <c r="BB82">
        <v>0</v>
      </c>
      <c r="BC82">
        <v>0</v>
      </c>
      <c r="BD82">
        <v>0</v>
      </c>
      <c r="BE82">
        <v>0</v>
      </c>
      <c r="BF82">
        <v>0</v>
      </c>
      <c r="BG82" s="185">
        <v>0</v>
      </c>
      <c r="BH82" s="185">
        <v>0</v>
      </c>
      <c r="BI82" s="185">
        <v>0</v>
      </c>
      <c r="BJ82" s="185">
        <v>0</v>
      </c>
      <c r="BK82" s="185">
        <v>0</v>
      </c>
      <c r="BL82" s="185">
        <v>0</v>
      </c>
      <c r="BM82" s="185">
        <v>0</v>
      </c>
      <c r="BN82" s="185">
        <v>0</v>
      </c>
      <c r="BO82" s="185">
        <v>0</v>
      </c>
      <c r="BP82" s="185">
        <v>0</v>
      </c>
      <c r="BQ82" s="185">
        <v>0</v>
      </c>
      <c r="BR82" s="185">
        <v>0</v>
      </c>
      <c r="BS82" s="185">
        <v>0</v>
      </c>
      <c r="BT82" s="185">
        <v>0</v>
      </c>
      <c r="BU82" t="b">
        <f>IF(_xlfn.MAXIFS(Table1[Sl No],Table1[Category],Table1[[#This Row],[Category]],Table1[Execution Year],Table1[[#This Row],[Execution Year]])=Table1[[#This Row],[Sl No]],TRUE,FALSE)</f>
        <v>0</v>
      </c>
      <c r="BV82" s="201">
        <f>SUM(Table1[[#This Row],[Spend - CAN]:[Spend - Sams]])+SUM(Table1[[#This Row],[Spend - Sams Mexico]:[Spend - Sams China]])+Table1[[#This Row],[Spend - IND]]</f>
        <v>0</v>
      </c>
      <c r="BW82">
        <f>SUM(Table1[[#This Row],[Savings - CAN]:[Savings - Sams]])+SUM(Table1[[#This Row],[Savings - Sams Mexico]:[Savings - Sams China]])+Table1[[#This Row],[Savings - IND]]</f>
        <v>0</v>
      </c>
      <c r="BX82">
        <f>SUM(Table1[[#This Row],[Spend - CAN]:[Spend - SAF]])+SUM(Table1[[#This Row],[Spend - Sams Mexico]:[Spend - Sams China]])+Table1[[#This Row],[Spend - IND]]</f>
        <v>0</v>
      </c>
      <c r="BY82">
        <f>SUM(Table1[[#This Row],[Savings - CAN]:[Savings - SAF]])+SUM(Table1[[#This Row],[Savings - Sams Mexico]:[Savings - Sams China]])+Table1[[#This Row],[Savings - IND]]</f>
        <v>0</v>
      </c>
      <c r="BZ82">
        <f>SUM(Table1[[#This Row],[Spend - US]:[Spend - Sams]])</f>
        <v>0</v>
      </c>
      <c r="CA82">
        <f>SUM(Table1[[#This Row],[Savings - US]:[Savings - Sams]])</f>
        <v>0</v>
      </c>
      <c r="CB82">
        <f>SUM(Table1[[#This Row],[Cost Avoidance - CAN2]:[Cost Avoidance - SAF10]])+SUM(Table1[[#This Row],[Cost Avoidance - Sams Mexico]:[Cost Avoidance - Sams China]])+Table1[[#This Row],[Cost Avoidance - IND]]</f>
        <v>0</v>
      </c>
      <c r="CC82">
        <f>SUM(Table1[[#This Row],[Cost Avoidance - US11]:[Cost Avoidance - Sams12]])</f>
        <v>0</v>
      </c>
      <c r="CD82">
        <f>_xlfn.XLOOKUP(Table1[[#This Row],[Status]],Status_Lookups[Status],Status_Lookups[Value],"")</f>
        <v>0.3</v>
      </c>
    </row>
    <row r="83" spans="1:82">
      <c r="A83">
        <v>4</v>
      </c>
      <c r="B83" t="s">
        <v>596</v>
      </c>
      <c r="C83" t="s">
        <v>33</v>
      </c>
      <c r="D83" t="s">
        <v>322</v>
      </c>
      <c r="E83" s="15">
        <v>44682</v>
      </c>
      <c r="F83" s="15">
        <v>44804</v>
      </c>
      <c r="G83" s="15">
        <v>0</v>
      </c>
      <c r="H83" s="15">
        <v>0</v>
      </c>
      <c r="I83" t="s">
        <v>413</v>
      </c>
      <c r="J83" t="s">
        <v>459</v>
      </c>
      <c r="K83" t="s">
        <v>516</v>
      </c>
      <c r="L83" t="s">
        <v>575</v>
      </c>
      <c r="M83">
        <v>0</v>
      </c>
      <c r="N83">
        <v>6000000</v>
      </c>
      <c r="O83">
        <v>0</v>
      </c>
      <c r="P83">
        <v>0</v>
      </c>
      <c r="Q83">
        <v>0</v>
      </c>
      <c r="R83">
        <v>0</v>
      </c>
      <c r="S83">
        <v>0</v>
      </c>
      <c r="T83">
        <v>0</v>
      </c>
      <c r="U83">
        <v>0</v>
      </c>
      <c r="V83">
        <v>215000000</v>
      </c>
      <c r="W83">
        <v>11000000</v>
      </c>
      <c r="X83" t="s">
        <v>516</v>
      </c>
      <c r="Y83" s="16">
        <v>44729.630340509262</v>
      </c>
      <c r="Z83" s="17" t="str">
        <f>_xlfn.XLOOKUP(Table1[[#This Row],[Phase]],'Lookup tables'!$Y$27:$Y$60,'Lookup tables'!$Z$27:$Z$60,"Not Updated")</f>
        <v>Bid Prep</v>
      </c>
      <c r="AA83" s="17">
        <v>0</v>
      </c>
      <c r="AB83">
        <v>0</v>
      </c>
      <c r="AC83">
        <v>0</v>
      </c>
      <c r="AD83">
        <v>0</v>
      </c>
      <c r="AE83">
        <v>0</v>
      </c>
      <c r="AF83">
        <v>0</v>
      </c>
      <c r="AG83">
        <v>0</v>
      </c>
      <c r="AH83">
        <v>0</v>
      </c>
      <c r="AI83">
        <v>0</v>
      </c>
      <c r="AJ83">
        <v>0</v>
      </c>
      <c r="AK83">
        <v>0</v>
      </c>
      <c r="AL83">
        <v>0</v>
      </c>
      <c r="AM83">
        <v>0</v>
      </c>
      <c r="AN83">
        <v>0</v>
      </c>
      <c r="AO83">
        <v>0</v>
      </c>
      <c r="AP83">
        <v>0</v>
      </c>
      <c r="AQ83">
        <v>0</v>
      </c>
      <c r="AR83">
        <v>0</v>
      </c>
      <c r="AS83">
        <v>0</v>
      </c>
      <c r="AT83">
        <v>0</v>
      </c>
      <c r="AU83">
        <v>0</v>
      </c>
      <c r="AV83">
        <v>0</v>
      </c>
      <c r="AW83">
        <v>0</v>
      </c>
      <c r="AX83">
        <v>0</v>
      </c>
      <c r="AY83">
        <v>0</v>
      </c>
      <c r="AZ83">
        <v>0</v>
      </c>
      <c r="BA83">
        <v>0</v>
      </c>
      <c r="BB83">
        <v>0</v>
      </c>
      <c r="BC83">
        <v>0</v>
      </c>
      <c r="BD83">
        <v>0</v>
      </c>
      <c r="BE83">
        <v>0</v>
      </c>
      <c r="BF83">
        <v>0</v>
      </c>
      <c r="BG83" s="185">
        <v>0</v>
      </c>
      <c r="BH83" s="185">
        <v>0</v>
      </c>
      <c r="BI83" s="185">
        <v>0</v>
      </c>
      <c r="BJ83" s="185">
        <v>0</v>
      </c>
      <c r="BK83" s="185">
        <v>0</v>
      </c>
      <c r="BL83" s="185">
        <v>0</v>
      </c>
      <c r="BM83" s="185">
        <v>0</v>
      </c>
      <c r="BN83" s="185">
        <v>0</v>
      </c>
      <c r="BO83" s="185">
        <v>0</v>
      </c>
      <c r="BP83" s="185">
        <v>0</v>
      </c>
      <c r="BQ83" s="185">
        <v>0</v>
      </c>
      <c r="BR83" s="185">
        <v>0</v>
      </c>
      <c r="BS83" s="185">
        <v>0</v>
      </c>
      <c r="BT83" s="185">
        <v>0</v>
      </c>
      <c r="BU83" t="b">
        <f>IF(_xlfn.MAXIFS(Table1[Sl No],Table1[Category],Table1[[#This Row],[Category]],Table1[Execution Year],Table1[[#This Row],[Execution Year]])=Table1[[#This Row],[Sl No]],TRUE,FALSE)</f>
        <v>0</v>
      </c>
      <c r="BV83" s="201">
        <f>SUM(Table1[[#This Row],[Spend - CAN]:[Spend - Sams]])+SUM(Table1[[#This Row],[Spend - Sams Mexico]:[Spend - Sams China]])+Table1[[#This Row],[Spend - IND]]</f>
        <v>232000000</v>
      </c>
      <c r="BW83">
        <f>SUM(Table1[[#This Row],[Savings - CAN]:[Savings - Sams]])+SUM(Table1[[#This Row],[Savings - Sams Mexico]:[Savings - Sams China]])+Table1[[#This Row],[Savings - IND]]</f>
        <v>0</v>
      </c>
      <c r="BX83">
        <f>SUM(Table1[[#This Row],[Spend - CAN]:[Spend - SAF]])+SUM(Table1[[#This Row],[Spend - Sams Mexico]:[Spend - Sams China]])+Table1[[#This Row],[Spend - IND]]</f>
        <v>6000000</v>
      </c>
      <c r="BY83">
        <f>SUM(Table1[[#This Row],[Savings - CAN]:[Savings - SAF]])+SUM(Table1[[#This Row],[Savings - Sams Mexico]:[Savings - Sams China]])+Table1[[#This Row],[Savings - IND]]</f>
        <v>0</v>
      </c>
      <c r="BZ83">
        <f>SUM(Table1[[#This Row],[Spend - US]:[Spend - Sams]])</f>
        <v>226000000</v>
      </c>
      <c r="CA83">
        <f>SUM(Table1[[#This Row],[Savings - US]:[Savings - Sams]])</f>
        <v>0</v>
      </c>
      <c r="CB83">
        <f>SUM(Table1[[#This Row],[Cost Avoidance - CAN2]:[Cost Avoidance - SAF10]])+SUM(Table1[[#This Row],[Cost Avoidance - Sams Mexico]:[Cost Avoidance - Sams China]])+Table1[[#This Row],[Cost Avoidance - IND]]</f>
        <v>0</v>
      </c>
      <c r="CC83">
        <f>SUM(Table1[[#This Row],[Cost Avoidance - US11]:[Cost Avoidance - Sams12]])</f>
        <v>0</v>
      </c>
      <c r="CD83">
        <f>_xlfn.XLOOKUP(Table1[[#This Row],[Status]],Status_Lookups[Status],Status_Lookups[Value],"")</f>
        <v>0.3</v>
      </c>
    </row>
    <row r="84" spans="1:82">
      <c r="A84">
        <v>5</v>
      </c>
      <c r="B84" t="s">
        <v>596</v>
      </c>
      <c r="C84" t="s">
        <v>33</v>
      </c>
      <c r="D84" t="s">
        <v>322</v>
      </c>
      <c r="E84" s="15">
        <v>44682</v>
      </c>
      <c r="F84" s="15">
        <v>44804</v>
      </c>
      <c r="G84" s="15">
        <v>0</v>
      </c>
      <c r="H84" s="15">
        <v>0</v>
      </c>
      <c r="I84" t="s">
        <v>413</v>
      </c>
      <c r="J84" t="s">
        <v>459</v>
      </c>
      <c r="K84" t="s">
        <v>516</v>
      </c>
      <c r="L84" t="s">
        <v>575</v>
      </c>
      <c r="M84">
        <v>0</v>
      </c>
      <c r="N84">
        <v>6000000</v>
      </c>
      <c r="O84">
        <v>0</v>
      </c>
      <c r="P84">
        <v>0</v>
      </c>
      <c r="Q84">
        <v>0</v>
      </c>
      <c r="R84">
        <v>0</v>
      </c>
      <c r="S84">
        <v>0</v>
      </c>
      <c r="T84">
        <v>0</v>
      </c>
      <c r="U84">
        <v>0</v>
      </c>
      <c r="V84">
        <v>215000000</v>
      </c>
      <c r="W84">
        <v>11000000</v>
      </c>
      <c r="X84" t="s">
        <v>516</v>
      </c>
      <c r="Y84" s="16">
        <v>44729.634460648151</v>
      </c>
      <c r="Z84" s="17" t="str">
        <f>_xlfn.XLOOKUP(Table1[[#This Row],[Phase]],'Lookup tables'!$Y$27:$Y$60,'Lookup tables'!$Z$27:$Z$60,"Not Updated")</f>
        <v>Bid Prep</v>
      </c>
      <c r="AA84" s="17">
        <v>0</v>
      </c>
      <c r="AB84">
        <v>0</v>
      </c>
      <c r="AC84">
        <v>0</v>
      </c>
      <c r="AD84">
        <v>0</v>
      </c>
      <c r="AE84">
        <v>0</v>
      </c>
      <c r="AF84">
        <v>0</v>
      </c>
      <c r="AG84">
        <v>0</v>
      </c>
      <c r="AH84">
        <v>0</v>
      </c>
      <c r="AI84">
        <v>0</v>
      </c>
      <c r="AJ84">
        <v>0</v>
      </c>
      <c r="AK84">
        <v>0</v>
      </c>
      <c r="AL84">
        <v>0</v>
      </c>
      <c r="AM84">
        <v>0</v>
      </c>
      <c r="AN84">
        <v>0</v>
      </c>
      <c r="AO84">
        <v>0</v>
      </c>
      <c r="AP84">
        <v>0</v>
      </c>
      <c r="AQ84">
        <v>0</v>
      </c>
      <c r="AR84">
        <v>0</v>
      </c>
      <c r="AS84">
        <v>0</v>
      </c>
      <c r="AT84">
        <v>0</v>
      </c>
      <c r="AU84">
        <v>0</v>
      </c>
      <c r="AV84">
        <v>0</v>
      </c>
      <c r="AW84">
        <v>0</v>
      </c>
      <c r="AX84">
        <v>0</v>
      </c>
      <c r="AY84">
        <v>0</v>
      </c>
      <c r="AZ84">
        <v>0</v>
      </c>
      <c r="BA84">
        <v>0</v>
      </c>
      <c r="BB84">
        <v>0</v>
      </c>
      <c r="BC84">
        <v>0</v>
      </c>
      <c r="BD84">
        <v>0</v>
      </c>
      <c r="BE84">
        <v>0</v>
      </c>
      <c r="BF84">
        <v>0</v>
      </c>
      <c r="BG84" s="185">
        <v>0</v>
      </c>
      <c r="BH84" s="185">
        <v>0</v>
      </c>
      <c r="BI84" s="185">
        <v>0</v>
      </c>
      <c r="BJ84" s="185">
        <v>0</v>
      </c>
      <c r="BK84" s="185">
        <v>0</v>
      </c>
      <c r="BL84" s="185">
        <v>0</v>
      </c>
      <c r="BM84" s="185">
        <v>0</v>
      </c>
      <c r="BN84" s="185">
        <v>0</v>
      </c>
      <c r="BO84" s="185">
        <v>0</v>
      </c>
      <c r="BP84" s="185">
        <v>0</v>
      </c>
      <c r="BQ84" s="185">
        <v>0</v>
      </c>
      <c r="BR84" s="185">
        <v>0</v>
      </c>
      <c r="BS84" s="185">
        <v>0</v>
      </c>
      <c r="BT84" s="185">
        <v>0</v>
      </c>
      <c r="BU84" t="b">
        <f>IF(_xlfn.MAXIFS(Table1[Sl No],Table1[Category],Table1[[#This Row],[Category]],Table1[Execution Year],Table1[[#This Row],[Execution Year]])=Table1[[#This Row],[Sl No]],TRUE,FALSE)</f>
        <v>1</v>
      </c>
      <c r="BV84" s="201">
        <f>SUM(Table1[[#This Row],[Spend - CAN]:[Spend - Sams]])+SUM(Table1[[#This Row],[Spend - Sams Mexico]:[Spend - Sams China]])+Table1[[#This Row],[Spend - IND]]</f>
        <v>232000000</v>
      </c>
      <c r="BW84">
        <f>SUM(Table1[[#This Row],[Savings - CAN]:[Savings - Sams]])+SUM(Table1[[#This Row],[Savings - Sams Mexico]:[Savings - Sams China]])+Table1[[#This Row],[Savings - IND]]</f>
        <v>0</v>
      </c>
      <c r="BX84">
        <f>SUM(Table1[[#This Row],[Spend - CAN]:[Spend - SAF]])+SUM(Table1[[#This Row],[Spend - Sams Mexico]:[Spend - Sams China]])+Table1[[#This Row],[Spend - IND]]</f>
        <v>6000000</v>
      </c>
      <c r="BY84">
        <f>SUM(Table1[[#This Row],[Savings - CAN]:[Savings - SAF]])+SUM(Table1[[#This Row],[Savings - Sams Mexico]:[Savings - Sams China]])+Table1[[#This Row],[Savings - IND]]</f>
        <v>0</v>
      </c>
      <c r="BZ84">
        <f>SUM(Table1[[#This Row],[Spend - US]:[Spend - Sams]])</f>
        <v>226000000</v>
      </c>
      <c r="CA84">
        <f>SUM(Table1[[#This Row],[Savings - US]:[Savings - Sams]])</f>
        <v>0</v>
      </c>
      <c r="CB84">
        <f>SUM(Table1[[#This Row],[Cost Avoidance - CAN2]:[Cost Avoidance - SAF10]])+SUM(Table1[[#This Row],[Cost Avoidance - Sams Mexico]:[Cost Avoidance - Sams China]])+Table1[[#This Row],[Cost Avoidance - IND]]</f>
        <v>0</v>
      </c>
      <c r="CC84">
        <f>SUM(Table1[[#This Row],[Cost Avoidance - US11]:[Cost Avoidance - Sams12]])</f>
        <v>0</v>
      </c>
      <c r="CD84">
        <f>_xlfn.XLOOKUP(Table1[[#This Row],[Status]],Status_Lookups[Status],Status_Lookups[Value],"")</f>
        <v>0.3</v>
      </c>
    </row>
    <row r="85" spans="1:82">
      <c r="A85">
        <v>1</v>
      </c>
      <c r="B85" t="s">
        <v>527</v>
      </c>
      <c r="C85" t="s">
        <v>33</v>
      </c>
      <c r="D85" t="s">
        <v>322</v>
      </c>
      <c r="E85" s="15">
        <v>44835</v>
      </c>
      <c r="F85" s="15">
        <v>44925</v>
      </c>
      <c r="G85" s="15"/>
      <c r="H85" s="15"/>
      <c r="I85" t="s">
        <v>135</v>
      </c>
      <c r="J85" t="s">
        <v>459</v>
      </c>
      <c r="K85" t="s">
        <v>528</v>
      </c>
      <c r="X85" t="s">
        <v>47</v>
      </c>
      <c r="Y85" s="16">
        <v>44701.387036342596</v>
      </c>
      <c r="Z85" s="17" t="str">
        <f>_xlfn.XLOOKUP(Table1[[#This Row],[Phase]],'Lookup tables'!$Y$27:$Y$60,'Lookup tables'!$Z$27:$Z$60,"Not Updated")</f>
        <v>Pipeline</v>
      </c>
      <c r="AA85" s="17"/>
      <c r="BG85" s="185"/>
      <c r="BH85" s="185"/>
      <c r="BI85" s="185"/>
      <c r="BJ85" s="185"/>
      <c r="BK85" s="185"/>
      <c r="BL85" s="185"/>
      <c r="BM85" s="185"/>
      <c r="BN85" s="185"/>
      <c r="BO85" s="185"/>
      <c r="BP85" s="185"/>
      <c r="BQ85" s="185"/>
      <c r="BR85" s="185"/>
      <c r="BS85" s="185"/>
      <c r="BT85" s="185"/>
      <c r="BU85" t="b">
        <f>IF(_xlfn.MAXIFS(Table1[Sl No],Table1[Category],Table1[[#This Row],[Category]],Table1[Execution Year],Table1[[#This Row],[Execution Year]])=Table1[[#This Row],[Sl No]],TRUE,FALSE)</f>
        <v>1</v>
      </c>
      <c r="BV85" s="201">
        <f>SUM(Table1[[#This Row],[Spend - CAN]:[Spend - Sams]])+SUM(Table1[[#This Row],[Spend - Sams Mexico]:[Spend - Sams China]])+Table1[[#This Row],[Spend - IND]]</f>
        <v>0</v>
      </c>
      <c r="BW85">
        <f>SUM(Table1[[#This Row],[Savings - CAN]:[Savings - Sams]])+SUM(Table1[[#This Row],[Savings - Sams Mexico]:[Savings - Sams China]])+Table1[[#This Row],[Savings - IND]]</f>
        <v>0</v>
      </c>
      <c r="BX85">
        <f>SUM(Table1[[#This Row],[Spend - CAN]:[Spend - SAF]])+SUM(Table1[[#This Row],[Spend - Sams Mexico]:[Spend - Sams China]])+Table1[[#This Row],[Spend - IND]]</f>
        <v>0</v>
      </c>
      <c r="BY85">
        <f>SUM(Table1[[#This Row],[Savings - CAN]:[Savings - SAF]])+SUM(Table1[[#This Row],[Savings - Sams Mexico]:[Savings - Sams China]])+Table1[[#This Row],[Savings - IND]]</f>
        <v>0</v>
      </c>
      <c r="BZ85">
        <f>SUM(Table1[[#This Row],[Spend - US]:[Spend - Sams]])</f>
        <v>0</v>
      </c>
      <c r="CA85">
        <f>SUM(Table1[[#This Row],[Savings - US]:[Savings - Sams]])</f>
        <v>0</v>
      </c>
      <c r="CB85">
        <f>SUM(Table1[[#This Row],[Cost Avoidance - CAN2]:[Cost Avoidance - SAF10]])+SUM(Table1[[#This Row],[Cost Avoidance - Sams Mexico]:[Cost Avoidance - Sams China]])+Table1[[#This Row],[Cost Avoidance - IND]]</f>
        <v>0</v>
      </c>
      <c r="CC85">
        <f>SUM(Table1[[#This Row],[Cost Avoidance - US11]:[Cost Avoidance - Sams12]])</f>
        <v>0</v>
      </c>
      <c r="CD85">
        <f>_xlfn.XLOOKUP(Table1[[#This Row],[Status]],Status_Lookups[Status],Status_Lookups[Value],"")</f>
        <v>0.3</v>
      </c>
    </row>
    <row r="86" spans="1:82">
      <c r="A86">
        <v>1</v>
      </c>
      <c r="B86" t="s">
        <v>485</v>
      </c>
      <c r="C86" t="s">
        <v>486</v>
      </c>
      <c r="D86" t="s">
        <v>322</v>
      </c>
      <c r="E86" s="15"/>
      <c r="F86" s="15"/>
      <c r="G86" s="15"/>
      <c r="H86" s="15"/>
      <c r="X86" t="s">
        <v>34</v>
      </c>
      <c r="Y86" s="16">
        <v>44594.736400462964</v>
      </c>
      <c r="Z86" s="17" t="str">
        <f>_xlfn.XLOOKUP(Table1[[#This Row],[Phase]],'Lookup tables'!$Y$27:$Y$60,'Lookup tables'!$Z$27:$Z$60,"Not Updated")</f>
        <v>Not Updated</v>
      </c>
      <c r="AA86" s="17"/>
      <c r="BG86" s="185"/>
      <c r="BH86" s="185"/>
      <c r="BI86" s="185"/>
      <c r="BJ86" s="185"/>
      <c r="BK86" s="185"/>
      <c r="BL86" s="185"/>
      <c r="BM86" s="185"/>
      <c r="BN86" s="185"/>
      <c r="BO86" s="185"/>
      <c r="BP86" s="185"/>
      <c r="BQ86" s="185"/>
      <c r="BR86" s="185"/>
      <c r="BS86" s="185"/>
      <c r="BT86" s="185"/>
      <c r="BU86" t="b">
        <f>IF(_xlfn.MAXIFS(Table1[Sl No],Table1[Category],Table1[[#This Row],[Category]],Table1[Execution Year],Table1[[#This Row],[Execution Year]])=Table1[[#This Row],[Sl No]],TRUE,FALSE)</f>
        <v>0</v>
      </c>
      <c r="BV86" s="201">
        <f>SUM(Table1[[#This Row],[Spend - CAN]:[Spend - Sams]])+SUM(Table1[[#This Row],[Spend - Sams Mexico]:[Spend - Sams China]])+Table1[[#This Row],[Spend - IND]]</f>
        <v>0</v>
      </c>
      <c r="BW86">
        <f>SUM(Table1[[#This Row],[Savings - CAN]:[Savings - Sams]])+SUM(Table1[[#This Row],[Savings - Sams Mexico]:[Savings - Sams China]])+Table1[[#This Row],[Savings - IND]]</f>
        <v>0</v>
      </c>
      <c r="BX86">
        <f>SUM(Table1[[#This Row],[Spend - CAN]:[Spend - SAF]])+SUM(Table1[[#This Row],[Spend - Sams Mexico]:[Spend - Sams China]])+Table1[[#This Row],[Spend - IND]]</f>
        <v>0</v>
      </c>
      <c r="BY86">
        <f>SUM(Table1[[#This Row],[Savings - CAN]:[Savings - SAF]])+SUM(Table1[[#This Row],[Savings - Sams Mexico]:[Savings - Sams China]])+Table1[[#This Row],[Savings - IND]]</f>
        <v>0</v>
      </c>
      <c r="BZ86">
        <f>SUM(Table1[[#This Row],[Spend - US]:[Spend - Sams]])</f>
        <v>0</v>
      </c>
      <c r="CA86">
        <f>SUM(Table1[[#This Row],[Savings - US]:[Savings - Sams]])</f>
        <v>0</v>
      </c>
      <c r="CB86">
        <f>SUM(Table1[[#This Row],[Cost Avoidance - CAN2]:[Cost Avoidance - SAF10]])+SUM(Table1[[#This Row],[Cost Avoidance - Sams Mexico]:[Cost Avoidance - Sams China]])+Table1[[#This Row],[Cost Avoidance - IND]]</f>
        <v>0</v>
      </c>
      <c r="CC86">
        <f>SUM(Table1[[#This Row],[Cost Avoidance - US11]:[Cost Avoidance - Sams12]])</f>
        <v>0</v>
      </c>
      <c r="CD86" t="str">
        <f>_xlfn.XLOOKUP(Table1[[#This Row],[Status]],Status_Lookups[Status],Status_Lookups[Value],"")</f>
        <v/>
      </c>
    </row>
    <row r="87" spans="1:82">
      <c r="A87">
        <v>2</v>
      </c>
      <c r="B87" t="s">
        <v>485</v>
      </c>
      <c r="C87" t="s">
        <v>486</v>
      </c>
      <c r="D87" t="s">
        <v>322</v>
      </c>
      <c r="E87" s="15">
        <v>44621</v>
      </c>
      <c r="F87" s="15">
        <v>44712</v>
      </c>
      <c r="G87" s="15">
        <v>0</v>
      </c>
      <c r="H87" s="15">
        <v>0</v>
      </c>
      <c r="I87" t="s">
        <v>484</v>
      </c>
      <c r="J87" t="s">
        <v>459</v>
      </c>
      <c r="K87" t="s">
        <v>462</v>
      </c>
      <c r="L87">
        <v>0</v>
      </c>
      <c r="M87">
        <v>0</v>
      </c>
      <c r="N87">
        <v>0</v>
      </c>
      <c r="O87">
        <v>0</v>
      </c>
      <c r="P87">
        <v>0</v>
      </c>
      <c r="Q87">
        <v>0</v>
      </c>
      <c r="R87">
        <v>0</v>
      </c>
      <c r="S87">
        <v>0</v>
      </c>
      <c r="T87">
        <v>0</v>
      </c>
      <c r="U87">
        <v>0</v>
      </c>
      <c r="V87">
        <v>0</v>
      </c>
      <c r="W87">
        <v>0</v>
      </c>
      <c r="X87" t="s">
        <v>34</v>
      </c>
      <c r="Y87" s="16">
        <v>44594.738555902775</v>
      </c>
      <c r="Z87" s="17" t="str">
        <f>_xlfn.XLOOKUP(Table1[[#This Row],[Phase]],'Lookup tables'!$Y$27:$Y$60,'Lookup tables'!$Z$27:$Z$60,"Not Updated")</f>
        <v>Bid Prep</v>
      </c>
      <c r="AA87" s="17" t="s">
        <v>640</v>
      </c>
      <c r="AB87">
        <v>0</v>
      </c>
      <c r="AC87">
        <v>0</v>
      </c>
      <c r="AD87">
        <v>0</v>
      </c>
      <c r="AE87">
        <v>0</v>
      </c>
      <c r="AF87">
        <v>0</v>
      </c>
      <c r="AG87">
        <v>0</v>
      </c>
      <c r="AH87">
        <v>0</v>
      </c>
      <c r="AI87">
        <v>0</v>
      </c>
      <c r="AJ87">
        <v>0</v>
      </c>
      <c r="AK87">
        <v>0</v>
      </c>
      <c r="AL87">
        <v>0</v>
      </c>
      <c r="AM87">
        <v>0</v>
      </c>
      <c r="AN87">
        <v>0</v>
      </c>
      <c r="AO87">
        <v>0</v>
      </c>
      <c r="AP87">
        <v>0</v>
      </c>
      <c r="AQ87">
        <v>0</v>
      </c>
      <c r="AR87">
        <v>0</v>
      </c>
      <c r="AS87">
        <v>0</v>
      </c>
      <c r="AT87">
        <v>0</v>
      </c>
      <c r="AU87">
        <v>0</v>
      </c>
      <c r="AV87">
        <v>0</v>
      </c>
      <c r="AW87">
        <v>0</v>
      </c>
      <c r="AX87">
        <v>0</v>
      </c>
      <c r="AY87">
        <v>0</v>
      </c>
      <c r="AZ87">
        <v>0</v>
      </c>
      <c r="BA87">
        <v>0</v>
      </c>
      <c r="BB87">
        <v>0</v>
      </c>
      <c r="BC87">
        <v>0</v>
      </c>
      <c r="BD87">
        <v>0</v>
      </c>
      <c r="BE87">
        <v>0</v>
      </c>
      <c r="BF87">
        <v>0</v>
      </c>
      <c r="BG87" s="185">
        <v>0</v>
      </c>
      <c r="BH87" s="185">
        <v>0</v>
      </c>
      <c r="BI87" s="185">
        <v>0</v>
      </c>
      <c r="BJ87" s="185">
        <v>0</v>
      </c>
      <c r="BK87" s="185">
        <v>0</v>
      </c>
      <c r="BL87" s="185">
        <v>0</v>
      </c>
      <c r="BM87" s="185">
        <v>0</v>
      </c>
      <c r="BN87" s="185">
        <v>0</v>
      </c>
      <c r="BO87" s="185">
        <v>0</v>
      </c>
      <c r="BP87" s="185">
        <v>0</v>
      </c>
      <c r="BQ87" s="185">
        <v>0</v>
      </c>
      <c r="BR87" s="185">
        <v>0</v>
      </c>
      <c r="BS87" s="185">
        <v>0</v>
      </c>
      <c r="BT87" s="185">
        <v>0</v>
      </c>
      <c r="BU87" t="b">
        <f>IF(_xlfn.MAXIFS(Table1[Sl No],Table1[Category],Table1[[#This Row],[Category]],Table1[Execution Year],Table1[[#This Row],[Execution Year]])=Table1[[#This Row],[Sl No]],TRUE,FALSE)</f>
        <v>0</v>
      </c>
      <c r="BV87" s="201">
        <f>SUM(Table1[[#This Row],[Spend - CAN]:[Spend - Sams]])+SUM(Table1[[#This Row],[Spend - Sams Mexico]:[Spend - Sams China]])+Table1[[#This Row],[Spend - IND]]</f>
        <v>0</v>
      </c>
      <c r="BW87">
        <f>SUM(Table1[[#This Row],[Savings - CAN]:[Savings - Sams]])+SUM(Table1[[#This Row],[Savings - Sams Mexico]:[Savings - Sams China]])+Table1[[#This Row],[Savings - IND]]</f>
        <v>0</v>
      </c>
      <c r="BX87">
        <f>SUM(Table1[[#This Row],[Spend - CAN]:[Spend - SAF]])+SUM(Table1[[#This Row],[Spend - Sams Mexico]:[Spend - Sams China]])+Table1[[#This Row],[Spend - IND]]</f>
        <v>0</v>
      </c>
      <c r="BY87">
        <f>SUM(Table1[[#This Row],[Savings - CAN]:[Savings - SAF]])+SUM(Table1[[#This Row],[Savings - Sams Mexico]:[Savings - Sams China]])+Table1[[#This Row],[Savings - IND]]</f>
        <v>0</v>
      </c>
      <c r="BZ87">
        <f>SUM(Table1[[#This Row],[Spend - US]:[Spend - Sams]])</f>
        <v>0</v>
      </c>
      <c r="CA87">
        <f>SUM(Table1[[#This Row],[Savings - US]:[Savings - Sams]])</f>
        <v>0</v>
      </c>
      <c r="CB87">
        <f>SUM(Table1[[#This Row],[Cost Avoidance - CAN2]:[Cost Avoidance - SAF10]])+SUM(Table1[[#This Row],[Cost Avoidance - Sams Mexico]:[Cost Avoidance - Sams China]])+Table1[[#This Row],[Cost Avoidance - IND]]</f>
        <v>0</v>
      </c>
      <c r="CC87">
        <f>SUM(Table1[[#This Row],[Cost Avoidance - US11]:[Cost Avoidance - Sams12]])</f>
        <v>0</v>
      </c>
      <c r="CD87">
        <f>_xlfn.XLOOKUP(Table1[[#This Row],[Status]],Status_Lookups[Status],Status_Lookups[Value],"")</f>
        <v>0.3</v>
      </c>
    </row>
    <row r="88" spans="1:82">
      <c r="A88">
        <v>3</v>
      </c>
      <c r="B88" t="s">
        <v>485</v>
      </c>
      <c r="C88" t="s">
        <v>486</v>
      </c>
      <c r="D88" t="s">
        <v>322</v>
      </c>
      <c r="E88" s="15">
        <v>44621</v>
      </c>
      <c r="F88" s="15">
        <v>44712</v>
      </c>
      <c r="G88" s="15">
        <v>0</v>
      </c>
      <c r="H88" s="15">
        <v>0</v>
      </c>
      <c r="I88" t="s">
        <v>484</v>
      </c>
      <c r="J88" t="s">
        <v>459</v>
      </c>
      <c r="K88" t="s">
        <v>462</v>
      </c>
      <c r="L88" t="s">
        <v>462</v>
      </c>
      <c r="M88">
        <v>5590000</v>
      </c>
      <c r="N88">
        <v>0</v>
      </c>
      <c r="O88">
        <v>0</v>
      </c>
      <c r="P88">
        <v>0</v>
      </c>
      <c r="Q88">
        <v>0</v>
      </c>
      <c r="R88">
        <v>0</v>
      </c>
      <c r="S88">
        <v>0</v>
      </c>
      <c r="T88">
        <v>0</v>
      </c>
      <c r="U88">
        <v>0</v>
      </c>
      <c r="V88">
        <v>88708128.549999997</v>
      </c>
      <c r="W88">
        <v>44900000</v>
      </c>
      <c r="X88" t="s">
        <v>34</v>
      </c>
      <c r="Y88" s="16">
        <v>44595.608004398149</v>
      </c>
      <c r="Z88" s="17" t="str">
        <f>_xlfn.XLOOKUP(Table1[[#This Row],[Phase]],'Lookup tables'!$Y$27:$Y$60,'Lookup tables'!$Z$27:$Z$60,"Not Updated")</f>
        <v>Bid Prep</v>
      </c>
      <c r="AA88" s="17" t="s">
        <v>641</v>
      </c>
      <c r="AB88">
        <v>0</v>
      </c>
      <c r="AC88">
        <v>0</v>
      </c>
      <c r="AD88">
        <v>0</v>
      </c>
      <c r="AE88">
        <v>0</v>
      </c>
      <c r="AF88">
        <v>0</v>
      </c>
      <c r="AG88">
        <v>0</v>
      </c>
      <c r="AH88">
        <v>0</v>
      </c>
      <c r="AI88">
        <v>0</v>
      </c>
      <c r="AJ88">
        <v>0</v>
      </c>
      <c r="AK88">
        <v>0</v>
      </c>
      <c r="AL88">
        <v>0</v>
      </c>
      <c r="AM88">
        <v>0</v>
      </c>
      <c r="AN88">
        <v>0</v>
      </c>
      <c r="AO88">
        <v>0</v>
      </c>
      <c r="AP88">
        <v>0</v>
      </c>
      <c r="AQ88">
        <v>0</v>
      </c>
      <c r="AR88">
        <v>0</v>
      </c>
      <c r="AS88">
        <v>0</v>
      </c>
      <c r="AT88">
        <v>0</v>
      </c>
      <c r="AU88">
        <v>0</v>
      </c>
      <c r="AV88">
        <v>0</v>
      </c>
      <c r="AW88">
        <v>0</v>
      </c>
      <c r="AX88">
        <v>0</v>
      </c>
      <c r="AY88">
        <v>0</v>
      </c>
      <c r="AZ88">
        <v>0</v>
      </c>
      <c r="BA88">
        <v>0</v>
      </c>
      <c r="BB88">
        <v>0</v>
      </c>
      <c r="BC88">
        <v>0</v>
      </c>
      <c r="BD88">
        <v>0</v>
      </c>
      <c r="BE88">
        <v>0</v>
      </c>
      <c r="BF88">
        <v>0</v>
      </c>
      <c r="BG88" s="185">
        <v>0</v>
      </c>
      <c r="BH88" s="185">
        <v>0</v>
      </c>
      <c r="BI88" s="185">
        <v>0</v>
      </c>
      <c r="BJ88" s="185">
        <v>0</v>
      </c>
      <c r="BK88" s="185">
        <v>0</v>
      </c>
      <c r="BL88" s="185">
        <v>0</v>
      </c>
      <c r="BM88" s="185">
        <v>0</v>
      </c>
      <c r="BN88" s="185">
        <v>0</v>
      </c>
      <c r="BO88" s="185">
        <v>0</v>
      </c>
      <c r="BP88" s="185">
        <v>0</v>
      </c>
      <c r="BQ88" s="185">
        <v>0</v>
      </c>
      <c r="BR88" s="185">
        <v>0</v>
      </c>
      <c r="BS88" s="185">
        <v>0</v>
      </c>
      <c r="BT88" s="185">
        <v>0</v>
      </c>
      <c r="BU88" t="b">
        <f>IF(_xlfn.MAXIFS(Table1[Sl No],Table1[Category],Table1[[#This Row],[Category]],Table1[Execution Year],Table1[[#This Row],[Execution Year]])=Table1[[#This Row],[Sl No]],TRUE,FALSE)</f>
        <v>1</v>
      </c>
      <c r="BV88" s="201">
        <f>SUM(Table1[[#This Row],[Spend - CAN]:[Spend - Sams]])+SUM(Table1[[#This Row],[Spend - Sams Mexico]:[Spend - Sams China]])+Table1[[#This Row],[Spend - IND]]</f>
        <v>139198128.55000001</v>
      </c>
      <c r="BW88">
        <f>SUM(Table1[[#This Row],[Savings - CAN]:[Savings - Sams]])+SUM(Table1[[#This Row],[Savings - Sams Mexico]:[Savings - Sams China]])+Table1[[#This Row],[Savings - IND]]</f>
        <v>0</v>
      </c>
      <c r="BX88">
        <f>SUM(Table1[[#This Row],[Spend - CAN]:[Spend - SAF]])+SUM(Table1[[#This Row],[Spend - Sams Mexico]:[Spend - Sams China]])+Table1[[#This Row],[Spend - IND]]</f>
        <v>5590000</v>
      </c>
      <c r="BY88">
        <f>SUM(Table1[[#This Row],[Savings - CAN]:[Savings - SAF]])+SUM(Table1[[#This Row],[Savings - Sams Mexico]:[Savings - Sams China]])+Table1[[#This Row],[Savings - IND]]</f>
        <v>0</v>
      </c>
      <c r="BZ88">
        <f>SUM(Table1[[#This Row],[Spend - US]:[Spend - Sams]])</f>
        <v>133608128.55</v>
      </c>
      <c r="CA88">
        <f>SUM(Table1[[#This Row],[Savings - US]:[Savings - Sams]])</f>
        <v>0</v>
      </c>
      <c r="CB88">
        <f>SUM(Table1[[#This Row],[Cost Avoidance - CAN2]:[Cost Avoidance - SAF10]])+SUM(Table1[[#This Row],[Cost Avoidance - Sams Mexico]:[Cost Avoidance - Sams China]])+Table1[[#This Row],[Cost Avoidance - IND]]</f>
        <v>0</v>
      </c>
      <c r="CC88">
        <f>SUM(Table1[[#This Row],[Cost Avoidance - US11]:[Cost Avoidance - Sams12]])</f>
        <v>0</v>
      </c>
      <c r="CD88">
        <f>_xlfn.XLOOKUP(Table1[[#This Row],[Status]],Status_Lookups[Status],Status_Lookups[Value],"")</f>
        <v>0.3</v>
      </c>
    </row>
    <row r="89" spans="1:82">
      <c r="A89">
        <v>1</v>
      </c>
      <c r="B89" t="s">
        <v>576</v>
      </c>
      <c r="C89" t="s">
        <v>33</v>
      </c>
      <c r="D89" t="s">
        <v>322</v>
      </c>
      <c r="E89" s="15"/>
      <c r="F89" s="15"/>
      <c r="G89" s="15"/>
      <c r="H89" s="15"/>
      <c r="I89" t="s">
        <v>412</v>
      </c>
      <c r="J89" t="s">
        <v>459</v>
      </c>
      <c r="K89" t="s">
        <v>570</v>
      </c>
      <c r="X89" t="s">
        <v>47</v>
      </c>
      <c r="Y89" s="16">
        <v>44701.387036342596</v>
      </c>
      <c r="Z89" s="17" t="str">
        <f>_xlfn.XLOOKUP(Table1[[#This Row],[Phase]],'Lookup tables'!$Y$27:$Y$60,'Lookup tables'!$Z$27:$Z$60,"Not Updated")</f>
        <v>Exploratory</v>
      </c>
      <c r="AA89" s="17"/>
      <c r="BG89" s="185"/>
      <c r="BH89" s="185"/>
      <c r="BI89" s="185"/>
      <c r="BJ89" s="185"/>
      <c r="BK89" s="185"/>
      <c r="BL89" s="185"/>
      <c r="BM89" s="185"/>
      <c r="BN89" s="185"/>
      <c r="BO89" s="185"/>
      <c r="BP89" s="185"/>
      <c r="BQ89" s="185"/>
      <c r="BR89" s="185"/>
      <c r="BS89" s="185"/>
      <c r="BT89" s="185"/>
      <c r="BU89" t="b">
        <f>IF(_xlfn.MAXIFS(Table1[Sl No],Table1[Category],Table1[[#This Row],[Category]],Table1[Execution Year],Table1[[#This Row],[Execution Year]])=Table1[[#This Row],[Sl No]],TRUE,FALSE)</f>
        <v>0</v>
      </c>
      <c r="BV89" s="201">
        <f>SUM(Table1[[#This Row],[Spend - CAN]:[Spend - Sams]])+SUM(Table1[[#This Row],[Spend - Sams Mexico]:[Spend - Sams China]])+Table1[[#This Row],[Spend - IND]]</f>
        <v>0</v>
      </c>
      <c r="BW89">
        <f>SUM(Table1[[#This Row],[Savings - CAN]:[Savings - Sams]])+SUM(Table1[[#This Row],[Savings - Sams Mexico]:[Savings - Sams China]])+Table1[[#This Row],[Savings - IND]]</f>
        <v>0</v>
      </c>
      <c r="BX89">
        <f>SUM(Table1[[#This Row],[Spend - CAN]:[Spend - SAF]])+SUM(Table1[[#This Row],[Spend - Sams Mexico]:[Spend - Sams China]])+Table1[[#This Row],[Spend - IND]]</f>
        <v>0</v>
      </c>
      <c r="BY89">
        <f>SUM(Table1[[#This Row],[Savings - CAN]:[Savings - SAF]])+SUM(Table1[[#This Row],[Savings - Sams Mexico]:[Savings - Sams China]])+Table1[[#This Row],[Savings - IND]]</f>
        <v>0</v>
      </c>
      <c r="BZ89">
        <f>SUM(Table1[[#This Row],[Spend - US]:[Spend - Sams]])</f>
        <v>0</v>
      </c>
      <c r="CA89">
        <f>SUM(Table1[[#This Row],[Savings - US]:[Savings - Sams]])</f>
        <v>0</v>
      </c>
      <c r="CB89">
        <f>SUM(Table1[[#This Row],[Cost Avoidance - CAN2]:[Cost Avoidance - SAF10]])+SUM(Table1[[#This Row],[Cost Avoidance - Sams Mexico]:[Cost Avoidance - Sams China]])+Table1[[#This Row],[Cost Avoidance - IND]]</f>
        <v>0</v>
      </c>
      <c r="CC89">
        <f>SUM(Table1[[#This Row],[Cost Avoidance - US11]:[Cost Avoidance - Sams12]])</f>
        <v>0</v>
      </c>
      <c r="CD89">
        <f>_xlfn.XLOOKUP(Table1[[#This Row],[Status]],Status_Lookups[Status],Status_Lookups[Value],"")</f>
        <v>0.3</v>
      </c>
    </row>
    <row r="90" spans="1:82">
      <c r="A90">
        <v>1</v>
      </c>
      <c r="B90" t="s">
        <v>465</v>
      </c>
      <c r="C90" t="s">
        <v>43</v>
      </c>
      <c r="D90" t="s">
        <v>39</v>
      </c>
      <c r="E90" s="15"/>
      <c r="F90" s="15"/>
      <c r="G90" s="15"/>
      <c r="H90" s="15"/>
      <c r="X90" t="s">
        <v>78</v>
      </c>
      <c r="Y90" s="16">
        <v>44414.385243055556</v>
      </c>
      <c r="Z90" s="17" t="str">
        <f>_xlfn.XLOOKUP(Table1[[#This Row],[Phase]],'Lookup tables'!$Y$27:$Y$60,'Lookup tables'!$Z$27:$Z$60,"Not Updated")</f>
        <v>Not Updated</v>
      </c>
      <c r="AA90" s="17"/>
      <c r="BG90" s="185"/>
      <c r="BH90" s="185"/>
      <c r="BI90" s="185"/>
      <c r="BJ90" s="185"/>
      <c r="BK90" s="185"/>
      <c r="BL90" s="185"/>
      <c r="BM90" s="185"/>
      <c r="BN90" s="185"/>
      <c r="BO90" s="185"/>
      <c r="BP90" s="185"/>
      <c r="BQ90" s="185"/>
      <c r="BR90" s="185"/>
      <c r="BS90" s="185"/>
      <c r="BT90" s="185"/>
      <c r="BU90" t="b">
        <f>IF(_xlfn.MAXIFS(Table1[Sl No],Table1[Category],Table1[[#This Row],[Category]],Table1[Execution Year],Table1[[#This Row],[Execution Year]])=Table1[[#This Row],[Sl No]],TRUE,FALSE)</f>
        <v>0</v>
      </c>
      <c r="BV90" s="201">
        <f>SUM(Table1[[#This Row],[Spend - CAN]:[Spend - Sams]])+SUM(Table1[[#This Row],[Spend - Sams Mexico]:[Spend - Sams China]])+Table1[[#This Row],[Spend - IND]]</f>
        <v>0</v>
      </c>
      <c r="BW90">
        <f>SUM(Table1[[#This Row],[Savings - CAN]:[Savings - Sams]])+SUM(Table1[[#This Row],[Savings - Sams Mexico]:[Savings - Sams China]])+Table1[[#This Row],[Savings - IND]]</f>
        <v>0</v>
      </c>
      <c r="BX90">
        <f>SUM(Table1[[#This Row],[Spend - CAN]:[Spend - SAF]])+SUM(Table1[[#This Row],[Spend - Sams Mexico]:[Spend - Sams China]])+Table1[[#This Row],[Spend - IND]]</f>
        <v>0</v>
      </c>
      <c r="BY90">
        <f>SUM(Table1[[#This Row],[Savings - CAN]:[Savings - SAF]])+SUM(Table1[[#This Row],[Savings - Sams Mexico]:[Savings - Sams China]])+Table1[[#This Row],[Savings - IND]]</f>
        <v>0</v>
      </c>
      <c r="BZ90">
        <f>SUM(Table1[[#This Row],[Spend - US]:[Spend - Sams]])</f>
        <v>0</v>
      </c>
      <c r="CA90">
        <f>SUM(Table1[[#This Row],[Savings - US]:[Savings - Sams]])</f>
        <v>0</v>
      </c>
      <c r="CB90">
        <f>SUM(Table1[[#This Row],[Cost Avoidance - CAN2]:[Cost Avoidance - SAF10]])+SUM(Table1[[#This Row],[Cost Avoidance - Sams Mexico]:[Cost Avoidance - Sams China]])+Table1[[#This Row],[Cost Avoidance - IND]]</f>
        <v>0</v>
      </c>
      <c r="CC90">
        <f>SUM(Table1[[#This Row],[Cost Avoidance - US11]:[Cost Avoidance - Sams12]])</f>
        <v>0</v>
      </c>
      <c r="CD90" t="str">
        <f>_xlfn.XLOOKUP(Table1[[#This Row],[Status]],Status_Lookups[Status],Status_Lookups[Value],"")</f>
        <v/>
      </c>
    </row>
    <row r="91" spans="1:82">
      <c r="A91">
        <v>2</v>
      </c>
      <c r="B91" t="s">
        <v>465</v>
      </c>
      <c r="C91" t="s">
        <v>43</v>
      </c>
      <c r="D91" t="s">
        <v>39</v>
      </c>
      <c r="E91" s="15">
        <v>44426</v>
      </c>
      <c r="F91" s="15">
        <v>44449</v>
      </c>
      <c r="G91" s="15">
        <v>0</v>
      </c>
      <c r="H91" s="15">
        <v>0</v>
      </c>
      <c r="I91" t="s">
        <v>484</v>
      </c>
      <c r="J91" t="s">
        <v>459</v>
      </c>
      <c r="K91" t="s">
        <v>462</v>
      </c>
      <c r="L91">
        <v>0</v>
      </c>
      <c r="M91">
        <v>0</v>
      </c>
      <c r="N91">
        <v>0</v>
      </c>
      <c r="O91">
        <v>0</v>
      </c>
      <c r="P91">
        <v>0</v>
      </c>
      <c r="Q91">
        <v>0</v>
      </c>
      <c r="R91">
        <v>0</v>
      </c>
      <c r="S91">
        <v>0</v>
      </c>
      <c r="T91">
        <v>0</v>
      </c>
      <c r="U91">
        <v>0</v>
      </c>
      <c r="V91">
        <v>0</v>
      </c>
      <c r="W91">
        <v>0</v>
      </c>
      <c r="X91" t="s">
        <v>78</v>
      </c>
      <c r="Y91" s="16">
        <v>44414.386223032408</v>
      </c>
      <c r="Z91" s="17" t="str">
        <f>_xlfn.XLOOKUP(Table1[[#This Row],[Phase]],'Lookup tables'!$Y$27:$Y$60,'Lookup tables'!$Z$27:$Z$60,"Not Updated")</f>
        <v>Bid Prep</v>
      </c>
      <c r="AA91" s="17"/>
      <c r="AB91">
        <v>0</v>
      </c>
      <c r="AC91">
        <v>0</v>
      </c>
      <c r="AD91">
        <v>0</v>
      </c>
      <c r="AE91">
        <v>0</v>
      </c>
      <c r="AF91">
        <v>0</v>
      </c>
      <c r="AG91">
        <v>0</v>
      </c>
      <c r="AH91">
        <v>0</v>
      </c>
      <c r="AI91">
        <v>0</v>
      </c>
      <c r="AJ91">
        <v>0</v>
      </c>
      <c r="AK91">
        <v>0</v>
      </c>
      <c r="AL91">
        <v>0</v>
      </c>
      <c r="AM91">
        <v>0</v>
      </c>
      <c r="AN91">
        <v>0</v>
      </c>
      <c r="AO91">
        <v>0</v>
      </c>
      <c r="AP91">
        <v>0</v>
      </c>
      <c r="AQ91">
        <v>0</v>
      </c>
      <c r="AR91">
        <v>0</v>
      </c>
      <c r="AS91">
        <v>0</v>
      </c>
      <c r="AT91">
        <v>0</v>
      </c>
      <c r="AU91">
        <v>0</v>
      </c>
      <c r="AV91">
        <v>0</v>
      </c>
      <c r="AW91">
        <v>0</v>
      </c>
      <c r="BG91" s="185"/>
      <c r="BH91" s="185"/>
      <c r="BI91" s="185"/>
      <c r="BJ91" s="185"/>
      <c r="BK91" s="185"/>
      <c r="BL91" s="185"/>
      <c r="BM91" s="185"/>
      <c r="BN91" s="185"/>
      <c r="BO91" s="185"/>
      <c r="BP91" s="185"/>
      <c r="BQ91" s="185"/>
      <c r="BR91" s="185"/>
      <c r="BS91" s="185"/>
      <c r="BT91" s="185"/>
      <c r="BU91" t="b">
        <f>IF(_xlfn.MAXIFS(Table1[Sl No],Table1[Category],Table1[[#This Row],[Category]],Table1[Execution Year],Table1[[#This Row],[Execution Year]])=Table1[[#This Row],[Sl No]],TRUE,FALSE)</f>
        <v>0</v>
      </c>
      <c r="BV91" s="201">
        <f>SUM(Table1[[#This Row],[Spend - CAN]:[Spend - Sams]])+SUM(Table1[[#This Row],[Spend - Sams Mexico]:[Spend - Sams China]])+Table1[[#This Row],[Spend - IND]]</f>
        <v>0</v>
      </c>
      <c r="BW91">
        <f>SUM(Table1[[#This Row],[Savings - CAN]:[Savings - Sams]])+SUM(Table1[[#This Row],[Savings - Sams Mexico]:[Savings - Sams China]])+Table1[[#This Row],[Savings - IND]]</f>
        <v>0</v>
      </c>
      <c r="BX91">
        <f>SUM(Table1[[#This Row],[Spend - CAN]:[Spend - SAF]])+SUM(Table1[[#This Row],[Spend - Sams Mexico]:[Spend - Sams China]])+Table1[[#This Row],[Spend - IND]]</f>
        <v>0</v>
      </c>
      <c r="BY91">
        <f>SUM(Table1[[#This Row],[Savings - CAN]:[Savings - SAF]])+SUM(Table1[[#This Row],[Savings - Sams Mexico]:[Savings - Sams China]])+Table1[[#This Row],[Savings - IND]]</f>
        <v>0</v>
      </c>
      <c r="BZ91">
        <f>SUM(Table1[[#This Row],[Spend - US]:[Spend - Sams]])</f>
        <v>0</v>
      </c>
      <c r="CA91">
        <f>SUM(Table1[[#This Row],[Savings - US]:[Savings - Sams]])</f>
        <v>0</v>
      </c>
      <c r="CB91">
        <f>SUM(Table1[[#This Row],[Cost Avoidance - CAN2]:[Cost Avoidance - SAF10]])+SUM(Table1[[#This Row],[Cost Avoidance - Sams Mexico]:[Cost Avoidance - Sams China]])+Table1[[#This Row],[Cost Avoidance - IND]]</f>
        <v>0</v>
      </c>
      <c r="CC91">
        <f>SUM(Table1[[#This Row],[Cost Avoidance - US11]:[Cost Avoidance - Sams12]])</f>
        <v>0</v>
      </c>
      <c r="CD91">
        <f>_xlfn.XLOOKUP(Table1[[#This Row],[Status]],Status_Lookups[Status],Status_Lookups[Value],"")</f>
        <v>0.3</v>
      </c>
    </row>
    <row r="92" spans="1:82">
      <c r="A92">
        <v>3</v>
      </c>
      <c r="B92" t="s">
        <v>465</v>
      </c>
      <c r="C92" t="s">
        <v>43</v>
      </c>
      <c r="D92" t="s">
        <v>39</v>
      </c>
      <c r="E92" s="15">
        <v>44426</v>
      </c>
      <c r="F92" s="15">
        <v>44479</v>
      </c>
      <c r="G92" s="15">
        <v>0</v>
      </c>
      <c r="H92" s="15">
        <v>0</v>
      </c>
      <c r="I92" t="s">
        <v>484</v>
      </c>
      <c r="J92" t="s">
        <v>459</v>
      </c>
      <c r="K92" t="s">
        <v>462</v>
      </c>
      <c r="L92">
        <v>0</v>
      </c>
      <c r="M92">
        <v>0</v>
      </c>
      <c r="N92">
        <v>0</v>
      </c>
      <c r="O92">
        <v>0</v>
      </c>
      <c r="P92">
        <v>0</v>
      </c>
      <c r="Q92">
        <v>0</v>
      </c>
      <c r="R92">
        <v>0</v>
      </c>
      <c r="S92">
        <v>0</v>
      </c>
      <c r="T92">
        <v>0</v>
      </c>
      <c r="U92">
        <v>0</v>
      </c>
      <c r="V92">
        <v>0</v>
      </c>
      <c r="W92">
        <v>0</v>
      </c>
      <c r="X92" t="s">
        <v>78</v>
      </c>
      <c r="Y92" s="16">
        <v>44459.444172800926</v>
      </c>
      <c r="Z92" s="17" t="str">
        <f>_xlfn.XLOOKUP(Table1[[#This Row],[Phase]],'Lookup tables'!$Y$27:$Y$60,'Lookup tables'!$Z$27:$Z$60,"Not Updated")</f>
        <v>Bid Prep</v>
      </c>
      <c r="AA92" s="17">
        <v>0</v>
      </c>
      <c r="AB92">
        <v>0</v>
      </c>
      <c r="AC92">
        <v>0</v>
      </c>
      <c r="AD92">
        <v>0</v>
      </c>
      <c r="AE92">
        <v>0</v>
      </c>
      <c r="AF92">
        <v>0</v>
      </c>
      <c r="AG92">
        <v>0</v>
      </c>
      <c r="AH92">
        <v>0</v>
      </c>
      <c r="AI92">
        <v>0</v>
      </c>
      <c r="AJ92">
        <v>0</v>
      </c>
      <c r="AK92">
        <v>0</v>
      </c>
      <c r="AL92">
        <v>0</v>
      </c>
      <c r="AM92">
        <v>0</v>
      </c>
      <c r="AN92">
        <v>0</v>
      </c>
      <c r="AO92">
        <v>0</v>
      </c>
      <c r="AP92">
        <v>0</v>
      </c>
      <c r="AQ92">
        <v>0</v>
      </c>
      <c r="AR92">
        <v>0</v>
      </c>
      <c r="AS92">
        <v>0</v>
      </c>
      <c r="AT92">
        <v>0</v>
      </c>
      <c r="AU92">
        <v>0</v>
      </c>
      <c r="AV92">
        <v>0</v>
      </c>
      <c r="AW92">
        <v>0</v>
      </c>
      <c r="BG92" s="185"/>
      <c r="BH92" s="185"/>
      <c r="BI92" s="185"/>
      <c r="BJ92" s="185"/>
      <c r="BK92" s="185"/>
      <c r="BL92" s="185"/>
      <c r="BM92" s="185"/>
      <c r="BN92" s="185"/>
      <c r="BO92" s="185"/>
      <c r="BP92" s="185"/>
      <c r="BQ92" s="185"/>
      <c r="BR92" s="185"/>
      <c r="BS92" s="185"/>
      <c r="BT92" s="185"/>
      <c r="BU92" t="b">
        <f>IF(_xlfn.MAXIFS(Table1[Sl No],Table1[Category],Table1[[#This Row],[Category]],Table1[Execution Year],Table1[[#This Row],[Execution Year]])=Table1[[#This Row],[Sl No]],TRUE,FALSE)</f>
        <v>0</v>
      </c>
      <c r="BV92" s="201">
        <f>SUM(Table1[[#This Row],[Spend - CAN]:[Spend - Sams]])+SUM(Table1[[#This Row],[Spend - Sams Mexico]:[Spend - Sams China]])+Table1[[#This Row],[Spend - IND]]</f>
        <v>0</v>
      </c>
      <c r="BW92">
        <f>SUM(Table1[[#This Row],[Savings - CAN]:[Savings - Sams]])+SUM(Table1[[#This Row],[Savings - Sams Mexico]:[Savings - Sams China]])+Table1[[#This Row],[Savings - IND]]</f>
        <v>0</v>
      </c>
      <c r="BX92">
        <f>SUM(Table1[[#This Row],[Spend - CAN]:[Spend - SAF]])+SUM(Table1[[#This Row],[Spend - Sams Mexico]:[Spend - Sams China]])+Table1[[#This Row],[Spend - IND]]</f>
        <v>0</v>
      </c>
      <c r="BY92">
        <f>SUM(Table1[[#This Row],[Savings - CAN]:[Savings - SAF]])+SUM(Table1[[#This Row],[Savings - Sams Mexico]:[Savings - Sams China]])+Table1[[#This Row],[Savings - IND]]</f>
        <v>0</v>
      </c>
      <c r="BZ92">
        <f>SUM(Table1[[#This Row],[Spend - US]:[Spend - Sams]])</f>
        <v>0</v>
      </c>
      <c r="CA92">
        <f>SUM(Table1[[#This Row],[Savings - US]:[Savings - Sams]])</f>
        <v>0</v>
      </c>
      <c r="CB92">
        <f>SUM(Table1[[#This Row],[Cost Avoidance - CAN2]:[Cost Avoidance - SAF10]])+SUM(Table1[[#This Row],[Cost Avoidance - Sams Mexico]:[Cost Avoidance - Sams China]])+Table1[[#This Row],[Cost Avoidance - IND]]</f>
        <v>0</v>
      </c>
      <c r="CC92">
        <f>SUM(Table1[[#This Row],[Cost Avoidance - US11]:[Cost Avoidance - Sams12]])</f>
        <v>0</v>
      </c>
      <c r="CD92">
        <f>_xlfn.XLOOKUP(Table1[[#This Row],[Status]],Status_Lookups[Status],Status_Lookups[Value],"")</f>
        <v>0.3</v>
      </c>
    </row>
    <row r="93" spans="1:82">
      <c r="A93">
        <v>4</v>
      </c>
      <c r="B93" t="s">
        <v>465</v>
      </c>
      <c r="C93" t="s">
        <v>43</v>
      </c>
      <c r="D93" t="s">
        <v>39</v>
      </c>
      <c r="E93" s="15">
        <v>44426</v>
      </c>
      <c r="F93" s="15">
        <v>44479</v>
      </c>
      <c r="G93" s="15">
        <v>0</v>
      </c>
      <c r="H93" s="15">
        <v>0</v>
      </c>
      <c r="I93" t="s">
        <v>484</v>
      </c>
      <c r="J93" t="s">
        <v>459</v>
      </c>
      <c r="K93" t="s">
        <v>462</v>
      </c>
      <c r="L93">
        <v>0</v>
      </c>
      <c r="M93">
        <v>4000000</v>
      </c>
      <c r="N93">
        <v>6000000</v>
      </c>
      <c r="O93">
        <v>0</v>
      </c>
      <c r="P93">
        <v>0</v>
      </c>
      <c r="Q93">
        <v>0</v>
      </c>
      <c r="R93">
        <v>0</v>
      </c>
      <c r="S93">
        <v>0</v>
      </c>
      <c r="T93">
        <v>0</v>
      </c>
      <c r="U93">
        <v>0</v>
      </c>
      <c r="V93">
        <v>38000000</v>
      </c>
      <c r="W93">
        <v>0</v>
      </c>
      <c r="X93" t="s">
        <v>78</v>
      </c>
      <c r="Y93" s="16">
        <v>44466.336343171293</v>
      </c>
      <c r="Z93" s="17" t="str">
        <f>_xlfn.XLOOKUP(Table1[[#This Row],[Phase]],'Lookup tables'!$Y$27:$Y$60,'Lookup tables'!$Z$27:$Z$60,"Not Updated")</f>
        <v>Bid Prep</v>
      </c>
      <c r="AA93" s="17">
        <v>0</v>
      </c>
      <c r="AB93">
        <v>0</v>
      </c>
      <c r="AC93">
        <v>0</v>
      </c>
      <c r="AD93">
        <v>0</v>
      </c>
      <c r="AE93">
        <v>0</v>
      </c>
      <c r="AF93">
        <v>0</v>
      </c>
      <c r="AG93">
        <v>0</v>
      </c>
      <c r="AH93">
        <v>0</v>
      </c>
      <c r="AI93">
        <v>0</v>
      </c>
      <c r="AJ93">
        <v>0</v>
      </c>
      <c r="AK93">
        <v>0</v>
      </c>
      <c r="AL93">
        <v>0</v>
      </c>
      <c r="AM93">
        <v>0</v>
      </c>
      <c r="AN93">
        <v>0</v>
      </c>
      <c r="AO93">
        <v>0</v>
      </c>
      <c r="AP93">
        <v>0</v>
      </c>
      <c r="AQ93">
        <v>0</v>
      </c>
      <c r="AR93">
        <v>0</v>
      </c>
      <c r="AS93">
        <v>0</v>
      </c>
      <c r="AT93">
        <v>0</v>
      </c>
      <c r="AU93">
        <v>0</v>
      </c>
      <c r="AV93">
        <v>0</v>
      </c>
      <c r="AW93">
        <v>0</v>
      </c>
      <c r="BG93" s="185"/>
      <c r="BH93" s="185"/>
      <c r="BI93" s="185"/>
      <c r="BJ93" s="185"/>
      <c r="BK93" s="185"/>
      <c r="BL93" s="185"/>
      <c r="BM93" s="185"/>
      <c r="BN93" s="185"/>
      <c r="BO93" s="185"/>
      <c r="BP93" s="185"/>
      <c r="BQ93" s="185"/>
      <c r="BR93" s="185"/>
      <c r="BS93" s="185"/>
      <c r="BT93" s="185"/>
      <c r="BU93" t="b">
        <f>IF(_xlfn.MAXIFS(Table1[Sl No],Table1[Category],Table1[[#This Row],[Category]],Table1[Execution Year],Table1[[#This Row],[Execution Year]])=Table1[[#This Row],[Sl No]],TRUE,FALSE)</f>
        <v>0</v>
      </c>
      <c r="BV93" s="201">
        <f>SUM(Table1[[#This Row],[Spend - CAN]:[Spend - Sams]])+SUM(Table1[[#This Row],[Spend - Sams Mexico]:[Spend - Sams China]])+Table1[[#This Row],[Spend - IND]]</f>
        <v>48000000</v>
      </c>
      <c r="BW93">
        <f>SUM(Table1[[#This Row],[Savings - CAN]:[Savings - Sams]])+SUM(Table1[[#This Row],[Savings - Sams Mexico]:[Savings - Sams China]])+Table1[[#This Row],[Savings - IND]]</f>
        <v>0</v>
      </c>
      <c r="BX93">
        <f>SUM(Table1[[#This Row],[Spend - CAN]:[Spend - SAF]])+SUM(Table1[[#This Row],[Spend - Sams Mexico]:[Spend - Sams China]])+Table1[[#This Row],[Spend - IND]]</f>
        <v>10000000</v>
      </c>
      <c r="BY93">
        <f>SUM(Table1[[#This Row],[Savings - CAN]:[Savings - SAF]])+SUM(Table1[[#This Row],[Savings - Sams Mexico]:[Savings - Sams China]])+Table1[[#This Row],[Savings - IND]]</f>
        <v>0</v>
      </c>
      <c r="BZ93">
        <f>SUM(Table1[[#This Row],[Spend - US]:[Spend - Sams]])</f>
        <v>38000000</v>
      </c>
      <c r="CA93">
        <f>SUM(Table1[[#This Row],[Savings - US]:[Savings - Sams]])</f>
        <v>0</v>
      </c>
      <c r="CB93">
        <f>SUM(Table1[[#This Row],[Cost Avoidance - CAN2]:[Cost Avoidance - SAF10]])+SUM(Table1[[#This Row],[Cost Avoidance - Sams Mexico]:[Cost Avoidance - Sams China]])+Table1[[#This Row],[Cost Avoidance - IND]]</f>
        <v>0</v>
      </c>
      <c r="CC93">
        <f>SUM(Table1[[#This Row],[Cost Avoidance - US11]:[Cost Avoidance - Sams12]])</f>
        <v>0</v>
      </c>
      <c r="CD93">
        <f>_xlfn.XLOOKUP(Table1[[#This Row],[Status]],Status_Lookups[Status],Status_Lookups[Value],"")</f>
        <v>0.3</v>
      </c>
    </row>
    <row r="94" spans="1:82">
      <c r="A94">
        <v>5</v>
      </c>
      <c r="B94" t="s">
        <v>465</v>
      </c>
      <c r="C94" t="s">
        <v>43</v>
      </c>
      <c r="D94" t="s">
        <v>39</v>
      </c>
      <c r="E94" s="15">
        <v>44426</v>
      </c>
      <c r="F94" s="15">
        <v>44530</v>
      </c>
      <c r="G94" s="15">
        <v>0</v>
      </c>
      <c r="H94" s="15">
        <v>0</v>
      </c>
      <c r="I94" t="s">
        <v>484</v>
      </c>
      <c r="J94" t="s">
        <v>459</v>
      </c>
      <c r="K94" t="s">
        <v>462</v>
      </c>
      <c r="L94">
        <v>0</v>
      </c>
      <c r="M94">
        <v>4800000</v>
      </c>
      <c r="N94">
        <v>5600000</v>
      </c>
      <c r="O94">
        <v>0</v>
      </c>
      <c r="P94">
        <v>0</v>
      </c>
      <c r="Q94">
        <v>0</v>
      </c>
      <c r="R94">
        <v>0</v>
      </c>
      <c r="S94">
        <v>0</v>
      </c>
      <c r="T94">
        <v>0</v>
      </c>
      <c r="U94">
        <v>0</v>
      </c>
      <c r="V94">
        <v>37000000</v>
      </c>
      <c r="W94">
        <v>0</v>
      </c>
      <c r="X94" t="s">
        <v>78</v>
      </c>
      <c r="Y94" s="16">
        <v>44502.435546990739</v>
      </c>
      <c r="Z94" s="17" t="str">
        <f>_xlfn.XLOOKUP(Table1[[#This Row],[Phase]],'Lookup tables'!$Y$27:$Y$60,'Lookup tables'!$Z$27:$Z$60,"Not Updated")</f>
        <v>Bid Prep</v>
      </c>
      <c r="AA94" s="17">
        <v>0</v>
      </c>
      <c r="AB94">
        <v>0</v>
      </c>
      <c r="AC94">
        <v>0</v>
      </c>
      <c r="AD94">
        <v>0</v>
      </c>
      <c r="AE94">
        <v>0</v>
      </c>
      <c r="AF94">
        <v>0</v>
      </c>
      <c r="AG94">
        <v>0</v>
      </c>
      <c r="AH94">
        <v>0</v>
      </c>
      <c r="AI94">
        <v>0</v>
      </c>
      <c r="AJ94">
        <v>0</v>
      </c>
      <c r="AK94">
        <v>0</v>
      </c>
      <c r="AL94">
        <v>0</v>
      </c>
      <c r="AM94">
        <v>0</v>
      </c>
      <c r="AN94">
        <v>0</v>
      </c>
      <c r="AO94">
        <v>0</v>
      </c>
      <c r="AP94">
        <v>0</v>
      </c>
      <c r="AQ94">
        <v>0</v>
      </c>
      <c r="AR94">
        <v>0</v>
      </c>
      <c r="AS94">
        <v>0</v>
      </c>
      <c r="AT94">
        <v>0</v>
      </c>
      <c r="AU94">
        <v>0</v>
      </c>
      <c r="AV94">
        <v>0</v>
      </c>
      <c r="AW94">
        <v>0</v>
      </c>
      <c r="BG94" s="185"/>
      <c r="BH94" s="185"/>
      <c r="BI94" s="185"/>
      <c r="BJ94" s="185"/>
      <c r="BK94" s="185"/>
      <c r="BL94" s="185"/>
      <c r="BM94" s="185"/>
      <c r="BN94" s="185"/>
      <c r="BO94" s="185"/>
      <c r="BP94" s="185"/>
      <c r="BQ94" s="185"/>
      <c r="BR94" s="185"/>
      <c r="BS94" s="185"/>
      <c r="BT94" s="185"/>
      <c r="BU94" t="b">
        <f>IF(_xlfn.MAXIFS(Table1[Sl No],Table1[Category],Table1[[#This Row],[Category]],Table1[Execution Year],Table1[[#This Row],[Execution Year]])=Table1[[#This Row],[Sl No]],TRUE,FALSE)</f>
        <v>0</v>
      </c>
      <c r="BV94" s="201">
        <f>SUM(Table1[[#This Row],[Spend - CAN]:[Spend - Sams]])+SUM(Table1[[#This Row],[Spend - Sams Mexico]:[Spend - Sams China]])+Table1[[#This Row],[Spend - IND]]</f>
        <v>47400000</v>
      </c>
      <c r="BW94">
        <f>SUM(Table1[[#This Row],[Savings - CAN]:[Savings - Sams]])+SUM(Table1[[#This Row],[Savings - Sams Mexico]:[Savings - Sams China]])+Table1[[#This Row],[Savings - IND]]</f>
        <v>0</v>
      </c>
      <c r="BX94">
        <f>SUM(Table1[[#This Row],[Spend - CAN]:[Spend - SAF]])+SUM(Table1[[#This Row],[Spend - Sams Mexico]:[Spend - Sams China]])+Table1[[#This Row],[Spend - IND]]</f>
        <v>10400000</v>
      </c>
      <c r="BY94">
        <f>SUM(Table1[[#This Row],[Savings - CAN]:[Savings - SAF]])+SUM(Table1[[#This Row],[Savings - Sams Mexico]:[Savings - Sams China]])+Table1[[#This Row],[Savings - IND]]</f>
        <v>0</v>
      </c>
      <c r="BZ94">
        <f>SUM(Table1[[#This Row],[Spend - US]:[Spend - Sams]])</f>
        <v>37000000</v>
      </c>
      <c r="CA94">
        <f>SUM(Table1[[#This Row],[Savings - US]:[Savings - Sams]])</f>
        <v>0</v>
      </c>
      <c r="CB94">
        <f>SUM(Table1[[#This Row],[Cost Avoidance - CAN2]:[Cost Avoidance - SAF10]])+SUM(Table1[[#This Row],[Cost Avoidance - Sams Mexico]:[Cost Avoidance - Sams China]])+Table1[[#This Row],[Cost Avoidance - IND]]</f>
        <v>0</v>
      </c>
      <c r="CC94">
        <f>SUM(Table1[[#This Row],[Cost Avoidance - US11]:[Cost Avoidance - Sams12]])</f>
        <v>0</v>
      </c>
      <c r="CD94">
        <f>_xlfn.XLOOKUP(Table1[[#This Row],[Status]],Status_Lookups[Status],Status_Lookups[Value],"")</f>
        <v>0.3</v>
      </c>
    </row>
    <row r="95" spans="1:82">
      <c r="A95">
        <v>6</v>
      </c>
      <c r="B95" t="s">
        <v>465</v>
      </c>
      <c r="C95" t="s">
        <v>43</v>
      </c>
      <c r="D95" t="s">
        <v>39</v>
      </c>
      <c r="E95" s="15">
        <v>44426</v>
      </c>
      <c r="F95" s="15">
        <v>44561</v>
      </c>
      <c r="G95" s="15">
        <v>0</v>
      </c>
      <c r="H95" s="15">
        <v>0</v>
      </c>
      <c r="I95" t="s">
        <v>484</v>
      </c>
      <c r="J95" t="s">
        <v>459</v>
      </c>
      <c r="K95" t="s">
        <v>462</v>
      </c>
      <c r="L95">
        <v>0</v>
      </c>
      <c r="M95">
        <v>4800000</v>
      </c>
      <c r="N95">
        <v>5600000</v>
      </c>
      <c r="O95">
        <v>0</v>
      </c>
      <c r="P95">
        <v>0</v>
      </c>
      <c r="Q95">
        <v>0</v>
      </c>
      <c r="R95">
        <v>0</v>
      </c>
      <c r="S95">
        <v>0</v>
      </c>
      <c r="T95">
        <v>0</v>
      </c>
      <c r="U95">
        <v>0</v>
      </c>
      <c r="V95">
        <v>37000000</v>
      </c>
      <c r="W95">
        <v>0</v>
      </c>
      <c r="X95" t="s">
        <v>78</v>
      </c>
      <c r="Y95" s="16">
        <v>44517.332966319445</v>
      </c>
      <c r="Z95" s="17" t="str">
        <f>_xlfn.XLOOKUP(Table1[[#This Row],[Phase]],'Lookup tables'!$Y$27:$Y$60,'Lookup tables'!$Z$27:$Z$60,"Not Updated")</f>
        <v>Bid Prep</v>
      </c>
      <c r="AA95" s="17">
        <v>0</v>
      </c>
      <c r="AB95">
        <v>0</v>
      </c>
      <c r="AC95">
        <v>0</v>
      </c>
      <c r="AD95">
        <v>0</v>
      </c>
      <c r="AE95">
        <v>0</v>
      </c>
      <c r="AF95">
        <v>0</v>
      </c>
      <c r="AG95">
        <v>0</v>
      </c>
      <c r="AH95">
        <v>0</v>
      </c>
      <c r="AI95">
        <v>0</v>
      </c>
      <c r="AJ95">
        <v>0</v>
      </c>
      <c r="AK95">
        <v>0</v>
      </c>
      <c r="AL95">
        <v>0</v>
      </c>
      <c r="AM95">
        <v>0</v>
      </c>
      <c r="AN95">
        <v>0</v>
      </c>
      <c r="AO95">
        <v>0</v>
      </c>
      <c r="AP95">
        <v>0</v>
      </c>
      <c r="AQ95">
        <v>0</v>
      </c>
      <c r="AR95">
        <v>0</v>
      </c>
      <c r="AS95">
        <v>0</v>
      </c>
      <c r="AT95">
        <v>0</v>
      </c>
      <c r="AU95">
        <v>0</v>
      </c>
      <c r="AV95">
        <v>0</v>
      </c>
      <c r="AW95">
        <v>0</v>
      </c>
      <c r="BG95" s="185"/>
      <c r="BH95" s="185"/>
      <c r="BI95" s="185"/>
      <c r="BJ95" s="185"/>
      <c r="BK95" s="185"/>
      <c r="BL95" s="185"/>
      <c r="BM95" s="185"/>
      <c r="BN95" s="185"/>
      <c r="BO95" s="185"/>
      <c r="BP95" s="185"/>
      <c r="BQ95" s="185"/>
      <c r="BR95" s="185"/>
      <c r="BS95" s="185"/>
      <c r="BT95" s="185"/>
      <c r="BU95" t="b">
        <f>IF(_xlfn.MAXIFS(Table1[Sl No],Table1[Category],Table1[[#This Row],[Category]],Table1[Execution Year],Table1[[#This Row],[Execution Year]])=Table1[[#This Row],[Sl No]],TRUE,FALSE)</f>
        <v>0</v>
      </c>
      <c r="BV95" s="201">
        <f>SUM(Table1[[#This Row],[Spend - CAN]:[Spend - Sams]])+SUM(Table1[[#This Row],[Spend - Sams Mexico]:[Spend - Sams China]])+Table1[[#This Row],[Spend - IND]]</f>
        <v>47400000</v>
      </c>
      <c r="BW95">
        <f>SUM(Table1[[#This Row],[Savings - CAN]:[Savings - Sams]])+SUM(Table1[[#This Row],[Savings - Sams Mexico]:[Savings - Sams China]])+Table1[[#This Row],[Savings - IND]]</f>
        <v>0</v>
      </c>
      <c r="BX95">
        <f>SUM(Table1[[#This Row],[Spend - CAN]:[Spend - SAF]])+SUM(Table1[[#This Row],[Spend - Sams Mexico]:[Spend - Sams China]])+Table1[[#This Row],[Spend - IND]]</f>
        <v>10400000</v>
      </c>
      <c r="BY95">
        <f>SUM(Table1[[#This Row],[Savings - CAN]:[Savings - SAF]])+SUM(Table1[[#This Row],[Savings - Sams Mexico]:[Savings - Sams China]])+Table1[[#This Row],[Savings - IND]]</f>
        <v>0</v>
      </c>
      <c r="BZ95">
        <f>SUM(Table1[[#This Row],[Spend - US]:[Spend - Sams]])</f>
        <v>37000000</v>
      </c>
      <c r="CA95">
        <f>SUM(Table1[[#This Row],[Savings - US]:[Savings - Sams]])</f>
        <v>0</v>
      </c>
      <c r="CB95">
        <f>SUM(Table1[[#This Row],[Cost Avoidance - CAN2]:[Cost Avoidance - SAF10]])+SUM(Table1[[#This Row],[Cost Avoidance - Sams Mexico]:[Cost Avoidance - Sams China]])+Table1[[#This Row],[Cost Avoidance - IND]]</f>
        <v>0</v>
      </c>
      <c r="CC95">
        <f>SUM(Table1[[#This Row],[Cost Avoidance - US11]:[Cost Avoidance - Sams12]])</f>
        <v>0</v>
      </c>
      <c r="CD95">
        <f>_xlfn.XLOOKUP(Table1[[#This Row],[Status]],Status_Lookups[Status],Status_Lookups[Value],"")</f>
        <v>0.3</v>
      </c>
    </row>
    <row r="96" spans="1:82">
      <c r="A96">
        <v>7</v>
      </c>
      <c r="B96" t="s">
        <v>465</v>
      </c>
      <c r="C96" t="s">
        <v>43</v>
      </c>
      <c r="D96" t="s">
        <v>39</v>
      </c>
      <c r="E96" s="15">
        <v>44426</v>
      </c>
      <c r="F96" s="15">
        <v>44561</v>
      </c>
      <c r="G96" s="15">
        <v>0</v>
      </c>
      <c r="H96" s="15">
        <v>0</v>
      </c>
      <c r="I96" t="s">
        <v>642</v>
      </c>
      <c r="J96" t="s">
        <v>459</v>
      </c>
      <c r="K96" t="s">
        <v>462</v>
      </c>
      <c r="L96">
        <v>0</v>
      </c>
      <c r="M96">
        <v>4800000</v>
      </c>
      <c r="N96">
        <v>5600000</v>
      </c>
      <c r="O96">
        <v>0</v>
      </c>
      <c r="P96">
        <v>0</v>
      </c>
      <c r="Q96">
        <v>0</v>
      </c>
      <c r="R96">
        <v>0</v>
      </c>
      <c r="S96">
        <v>0</v>
      </c>
      <c r="T96">
        <v>0</v>
      </c>
      <c r="U96">
        <v>0</v>
      </c>
      <c r="V96">
        <v>37000000</v>
      </c>
      <c r="W96">
        <v>0</v>
      </c>
      <c r="X96" t="s">
        <v>78</v>
      </c>
      <c r="Y96" s="16">
        <v>44564.648449189815</v>
      </c>
      <c r="Z96" s="17" t="str">
        <f>_xlfn.XLOOKUP(Table1[[#This Row],[Phase]],'Lookup tables'!$Y$27:$Y$60,'Lookup tables'!$Z$27:$Z$60,"Not Updated")</f>
        <v>Post Bid</v>
      </c>
      <c r="AA96" s="17">
        <v>0</v>
      </c>
      <c r="AB96">
        <v>0</v>
      </c>
      <c r="AC96">
        <v>0</v>
      </c>
      <c r="AD96">
        <v>0</v>
      </c>
      <c r="AE96">
        <v>0</v>
      </c>
      <c r="AF96">
        <v>0</v>
      </c>
      <c r="AG96">
        <v>0</v>
      </c>
      <c r="AH96">
        <v>0</v>
      </c>
      <c r="AI96">
        <v>0</v>
      </c>
      <c r="AJ96">
        <v>0</v>
      </c>
      <c r="AK96">
        <v>0</v>
      </c>
      <c r="AL96">
        <v>0</v>
      </c>
      <c r="AM96">
        <v>0</v>
      </c>
      <c r="AN96">
        <v>0</v>
      </c>
      <c r="AO96">
        <v>0</v>
      </c>
      <c r="AP96">
        <v>0</v>
      </c>
      <c r="AQ96">
        <v>0</v>
      </c>
      <c r="AR96">
        <v>0</v>
      </c>
      <c r="AS96">
        <v>0</v>
      </c>
      <c r="AT96">
        <v>0</v>
      </c>
      <c r="AU96">
        <v>0</v>
      </c>
      <c r="AV96">
        <v>0</v>
      </c>
      <c r="AW96">
        <v>0</v>
      </c>
      <c r="BG96" s="185"/>
      <c r="BH96" s="185"/>
      <c r="BI96" s="185"/>
      <c r="BJ96" s="185"/>
      <c r="BK96" s="185"/>
      <c r="BL96" s="185"/>
      <c r="BM96" s="185"/>
      <c r="BN96" s="185"/>
      <c r="BO96" s="185"/>
      <c r="BP96" s="185"/>
      <c r="BQ96" s="185"/>
      <c r="BR96" s="185"/>
      <c r="BS96" s="185"/>
      <c r="BT96" s="185"/>
      <c r="BU96" t="b">
        <f>IF(_xlfn.MAXIFS(Table1[Sl No],Table1[Category],Table1[[#This Row],[Category]],Table1[Execution Year],Table1[[#This Row],[Execution Year]])=Table1[[#This Row],[Sl No]],TRUE,FALSE)</f>
        <v>0</v>
      </c>
      <c r="BV96" s="201">
        <f>SUM(Table1[[#This Row],[Spend - CAN]:[Spend - Sams]])+SUM(Table1[[#This Row],[Spend - Sams Mexico]:[Spend - Sams China]])+Table1[[#This Row],[Spend - IND]]</f>
        <v>47400000</v>
      </c>
      <c r="BW96">
        <f>SUM(Table1[[#This Row],[Savings - CAN]:[Savings - Sams]])+SUM(Table1[[#This Row],[Savings - Sams Mexico]:[Savings - Sams China]])+Table1[[#This Row],[Savings - IND]]</f>
        <v>0</v>
      </c>
      <c r="BX96">
        <f>SUM(Table1[[#This Row],[Spend - CAN]:[Spend - SAF]])+SUM(Table1[[#This Row],[Spend - Sams Mexico]:[Spend - Sams China]])+Table1[[#This Row],[Spend - IND]]</f>
        <v>10400000</v>
      </c>
      <c r="BY96">
        <f>SUM(Table1[[#This Row],[Savings - CAN]:[Savings - SAF]])+SUM(Table1[[#This Row],[Savings - Sams Mexico]:[Savings - Sams China]])+Table1[[#This Row],[Savings - IND]]</f>
        <v>0</v>
      </c>
      <c r="BZ96">
        <f>SUM(Table1[[#This Row],[Spend - US]:[Spend - Sams]])</f>
        <v>37000000</v>
      </c>
      <c r="CA96">
        <f>SUM(Table1[[#This Row],[Savings - US]:[Savings - Sams]])</f>
        <v>0</v>
      </c>
      <c r="CB96">
        <f>SUM(Table1[[#This Row],[Cost Avoidance - CAN2]:[Cost Avoidance - SAF10]])+SUM(Table1[[#This Row],[Cost Avoidance - Sams Mexico]:[Cost Avoidance - Sams China]])+Table1[[#This Row],[Cost Avoidance - IND]]</f>
        <v>0</v>
      </c>
      <c r="CC96">
        <f>SUM(Table1[[#This Row],[Cost Avoidance - US11]:[Cost Avoidance - Sams12]])</f>
        <v>0</v>
      </c>
      <c r="CD96">
        <f>_xlfn.XLOOKUP(Table1[[#This Row],[Status]],Status_Lookups[Status],Status_Lookups[Value],"")</f>
        <v>0.3</v>
      </c>
    </row>
    <row r="97" spans="1:82">
      <c r="A97">
        <v>8</v>
      </c>
      <c r="B97" t="s">
        <v>465</v>
      </c>
      <c r="C97" t="s">
        <v>43</v>
      </c>
      <c r="D97" t="s">
        <v>39</v>
      </c>
      <c r="E97" s="15">
        <v>44426</v>
      </c>
      <c r="F97" s="15">
        <v>44592</v>
      </c>
      <c r="G97" s="15">
        <v>0</v>
      </c>
      <c r="H97" s="15">
        <v>0</v>
      </c>
      <c r="I97" t="s">
        <v>642</v>
      </c>
      <c r="J97" t="s">
        <v>459</v>
      </c>
      <c r="K97" t="s">
        <v>462</v>
      </c>
      <c r="L97">
        <v>0</v>
      </c>
      <c r="M97">
        <v>4800000</v>
      </c>
      <c r="N97">
        <v>5600000</v>
      </c>
      <c r="O97">
        <v>0</v>
      </c>
      <c r="P97">
        <v>0</v>
      </c>
      <c r="Q97">
        <v>0</v>
      </c>
      <c r="R97">
        <v>0</v>
      </c>
      <c r="S97">
        <v>0</v>
      </c>
      <c r="T97">
        <v>0</v>
      </c>
      <c r="U97">
        <v>0</v>
      </c>
      <c r="V97">
        <v>37000000</v>
      </c>
      <c r="W97">
        <v>0</v>
      </c>
      <c r="X97" t="s">
        <v>78</v>
      </c>
      <c r="Y97" s="16">
        <v>44579.320151967593</v>
      </c>
      <c r="Z97" s="17" t="str">
        <f>_xlfn.XLOOKUP(Table1[[#This Row],[Phase]],'Lookup tables'!$Y$27:$Y$60,'Lookup tables'!$Z$27:$Z$60,"Not Updated")</f>
        <v>Post Bid</v>
      </c>
      <c r="AA97" s="17">
        <v>0</v>
      </c>
      <c r="AB97">
        <v>0</v>
      </c>
      <c r="AC97">
        <v>0</v>
      </c>
      <c r="AD97">
        <v>0</v>
      </c>
      <c r="AE97">
        <v>0</v>
      </c>
      <c r="AF97">
        <v>0</v>
      </c>
      <c r="AG97">
        <v>0</v>
      </c>
      <c r="AH97">
        <v>0</v>
      </c>
      <c r="AI97">
        <v>0</v>
      </c>
      <c r="AJ97">
        <v>0</v>
      </c>
      <c r="AK97">
        <v>0</v>
      </c>
      <c r="AL97">
        <v>0</v>
      </c>
      <c r="AM97">
        <v>0</v>
      </c>
      <c r="AN97">
        <v>0</v>
      </c>
      <c r="AO97">
        <v>0</v>
      </c>
      <c r="AP97">
        <v>0</v>
      </c>
      <c r="AQ97">
        <v>0</v>
      </c>
      <c r="AR97">
        <v>0</v>
      </c>
      <c r="AS97">
        <v>0</v>
      </c>
      <c r="AT97">
        <v>0</v>
      </c>
      <c r="AU97">
        <v>0</v>
      </c>
      <c r="AV97">
        <v>0</v>
      </c>
      <c r="AW97">
        <v>0</v>
      </c>
      <c r="BG97" s="185"/>
      <c r="BH97" s="185"/>
      <c r="BI97" s="185"/>
      <c r="BJ97" s="185"/>
      <c r="BK97" s="185"/>
      <c r="BL97" s="185"/>
      <c r="BM97" s="185"/>
      <c r="BN97" s="185"/>
      <c r="BO97" s="185"/>
      <c r="BP97" s="185"/>
      <c r="BQ97" s="185"/>
      <c r="BR97" s="185"/>
      <c r="BS97" s="185"/>
      <c r="BT97" s="185"/>
      <c r="BU97" t="b">
        <f>IF(_xlfn.MAXIFS(Table1[Sl No],Table1[Category],Table1[[#This Row],[Category]],Table1[Execution Year],Table1[[#This Row],[Execution Year]])=Table1[[#This Row],[Sl No]],TRUE,FALSE)</f>
        <v>0</v>
      </c>
      <c r="BV97" s="201">
        <f>SUM(Table1[[#This Row],[Spend - CAN]:[Spend - Sams]])+SUM(Table1[[#This Row],[Spend - Sams Mexico]:[Spend - Sams China]])+Table1[[#This Row],[Spend - IND]]</f>
        <v>47400000</v>
      </c>
      <c r="BW97">
        <f>SUM(Table1[[#This Row],[Savings - CAN]:[Savings - Sams]])+SUM(Table1[[#This Row],[Savings - Sams Mexico]:[Savings - Sams China]])+Table1[[#This Row],[Savings - IND]]</f>
        <v>0</v>
      </c>
      <c r="BX97">
        <f>SUM(Table1[[#This Row],[Spend - CAN]:[Spend - SAF]])+SUM(Table1[[#This Row],[Spend - Sams Mexico]:[Spend - Sams China]])+Table1[[#This Row],[Spend - IND]]</f>
        <v>10400000</v>
      </c>
      <c r="BY97">
        <f>SUM(Table1[[#This Row],[Savings - CAN]:[Savings - SAF]])+SUM(Table1[[#This Row],[Savings - Sams Mexico]:[Savings - Sams China]])+Table1[[#This Row],[Savings - IND]]</f>
        <v>0</v>
      </c>
      <c r="BZ97">
        <f>SUM(Table1[[#This Row],[Spend - US]:[Spend - Sams]])</f>
        <v>37000000</v>
      </c>
      <c r="CA97">
        <f>SUM(Table1[[#This Row],[Savings - US]:[Savings - Sams]])</f>
        <v>0</v>
      </c>
      <c r="CB97">
        <f>SUM(Table1[[#This Row],[Cost Avoidance - CAN2]:[Cost Avoidance - SAF10]])+SUM(Table1[[#This Row],[Cost Avoidance - Sams Mexico]:[Cost Avoidance - Sams China]])+Table1[[#This Row],[Cost Avoidance - IND]]</f>
        <v>0</v>
      </c>
      <c r="CC97">
        <f>SUM(Table1[[#This Row],[Cost Avoidance - US11]:[Cost Avoidance - Sams12]])</f>
        <v>0</v>
      </c>
      <c r="CD97">
        <f>_xlfn.XLOOKUP(Table1[[#This Row],[Status]],Status_Lookups[Status],Status_Lookups[Value],"")</f>
        <v>0.3</v>
      </c>
    </row>
    <row r="98" spans="1:82">
      <c r="A98">
        <v>9</v>
      </c>
      <c r="B98" t="s">
        <v>465</v>
      </c>
      <c r="C98" t="s">
        <v>43</v>
      </c>
      <c r="D98" t="s">
        <v>39</v>
      </c>
      <c r="E98" s="15">
        <v>44426</v>
      </c>
      <c r="F98" s="15">
        <v>44621</v>
      </c>
      <c r="G98" s="15">
        <v>0</v>
      </c>
      <c r="H98" s="15">
        <v>0</v>
      </c>
      <c r="I98" t="s">
        <v>642</v>
      </c>
      <c r="J98" t="s">
        <v>459</v>
      </c>
      <c r="K98" t="s">
        <v>462</v>
      </c>
      <c r="L98">
        <v>0</v>
      </c>
      <c r="M98">
        <v>4800000</v>
      </c>
      <c r="N98">
        <v>5600000</v>
      </c>
      <c r="O98">
        <v>0</v>
      </c>
      <c r="P98">
        <v>0</v>
      </c>
      <c r="Q98">
        <v>0</v>
      </c>
      <c r="R98">
        <v>0</v>
      </c>
      <c r="S98">
        <v>0</v>
      </c>
      <c r="T98">
        <v>0</v>
      </c>
      <c r="U98">
        <v>0</v>
      </c>
      <c r="V98">
        <v>37000000</v>
      </c>
      <c r="W98">
        <v>0</v>
      </c>
      <c r="X98" t="s">
        <v>78</v>
      </c>
      <c r="Y98" s="16">
        <v>44614.365026736108</v>
      </c>
      <c r="Z98" s="17" t="str">
        <f>_xlfn.XLOOKUP(Table1[[#This Row],[Phase]],'Lookup tables'!$Y$27:$Y$60,'Lookup tables'!$Z$27:$Z$60,"Not Updated")</f>
        <v>Post Bid</v>
      </c>
      <c r="AA98" s="17">
        <v>0</v>
      </c>
      <c r="AB98">
        <v>0</v>
      </c>
      <c r="AC98">
        <v>0</v>
      </c>
      <c r="AD98">
        <v>0</v>
      </c>
      <c r="AE98">
        <v>0</v>
      </c>
      <c r="AF98">
        <v>0</v>
      </c>
      <c r="AG98">
        <v>0</v>
      </c>
      <c r="AH98">
        <v>0</v>
      </c>
      <c r="AI98">
        <v>0</v>
      </c>
      <c r="AJ98">
        <v>0</v>
      </c>
      <c r="AK98">
        <v>0</v>
      </c>
      <c r="AL98">
        <v>0</v>
      </c>
      <c r="AM98">
        <v>0</v>
      </c>
      <c r="AN98">
        <v>0</v>
      </c>
      <c r="AO98">
        <v>0</v>
      </c>
      <c r="AP98">
        <v>0</v>
      </c>
      <c r="AQ98">
        <v>0</v>
      </c>
      <c r="AR98">
        <v>0</v>
      </c>
      <c r="AS98">
        <v>0</v>
      </c>
      <c r="AT98">
        <v>0</v>
      </c>
      <c r="AU98">
        <v>0</v>
      </c>
      <c r="AV98">
        <v>0</v>
      </c>
      <c r="AW98">
        <v>0</v>
      </c>
      <c r="AX98">
        <v>0</v>
      </c>
      <c r="AY98">
        <v>0</v>
      </c>
      <c r="AZ98">
        <v>0</v>
      </c>
      <c r="BA98">
        <v>0</v>
      </c>
      <c r="BB98">
        <v>0</v>
      </c>
      <c r="BC98">
        <v>0</v>
      </c>
      <c r="BD98">
        <v>0</v>
      </c>
      <c r="BE98">
        <v>0</v>
      </c>
      <c r="BF98">
        <v>0</v>
      </c>
      <c r="BG98" s="185">
        <v>0</v>
      </c>
      <c r="BH98" s="185">
        <v>0</v>
      </c>
      <c r="BI98" s="185">
        <v>0</v>
      </c>
      <c r="BJ98" s="185">
        <v>0</v>
      </c>
      <c r="BK98" s="185">
        <v>0</v>
      </c>
      <c r="BL98" s="185">
        <v>0</v>
      </c>
      <c r="BM98" s="185">
        <v>0</v>
      </c>
      <c r="BN98" s="185">
        <v>0</v>
      </c>
      <c r="BO98" s="185">
        <v>0</v>
      </c>
      <c r="BP98" s="185">
        <v>0</v>
      </c>
      <c r="BQ98" s="185">
        <v>0</v>
      </c>
      <c r="BR98" s="185">
        <v>0</v>
      </c>
      <c r="BS98" s="185">
        <v>0</v>
      </c>
      <c r="BT98" s="185">
        <v>0</v>
      </c>
      <c r="BU98" t="b">
        <f>IF(_xlfn.MAXIFS(Table1[Sl No],Table1[Category],Table1[[#This Row],[Category]],Table1[Execution Year],Table1[[#This Row],[Execution Year]])=Table1[[#This Row],[Sl No]],TRUE,FALSE)</f>
        <v>0</v>
      </c>
      <c r="BV98" s="201">
        <f>SUM(Table1[[#This Row],[Spend - CAN]:[Spend - Sams]])+SUM(Table1[[#This Row],[Spend - Sams Mexico]:[Spend - Sams China]])+Table1[[#This Row],[Spend - IND]]</f>
        <v>47400000</v>
      </c>
      <c r="BW98">
        <f>SUM(Table1[[#This Row],[Savings - CAN]:[Savings - Sams]])+SUM(Table1[[#This Row],[Savings - Sams Mexico]:[Savings - Sams China]])+Table1[[#This Row],[Savings - IND]]</f>
        <v>0</v>
      </c>
      <c r="BX98">
        <f>SUM(Table1[[#This Row],[Spend - CAN]:[Spend - SAF]])+SUM(Table1[[#This Row],[Spend - Sams Mexico]:[Spend - Sams China]])+Table1[[#This Row],[Spend - IND]]</f>
        <v>10400000</v>
      </c>
      <c r="BY98">
        <f>SUM(Table1[[#This Row],[Savings - CAN]:[Savings - SAF]])+SUM(Table1[[#This Row],[Savings - Sams Mexico]:[Savings - Sams China]])+Table1[[#This Row],[Savings - IND]]</f>
        <v>0</v>
      </c>
      <c r="BZ98">
        <f>SUM(Table1[[#This Row],[Spend - US]:[Spend - Sams]])</f>
        <v>37000000</v>
      </c>
      <c r="CA98">
        <f>SUM(Table1[[#This Row],[Savings - US]:[Savings - Sams]])</f>
        <v>0</v>
      </c>
      <c r="CB98">
        <f>SUM(Table1[[#This Row],[Cost Avoidance - CAN2]:[Cost Avoidance - SAF10]])+SUM(Table1[[#This Row],[Cost Avoidance - Sams Mexico]:[Cost Avoidance - Sams China]])+Table1[[#This Row],[Cost Avoidance - IND]]</f>
        <v>0</v>
      </c>
      <c r="CC98">
        <f>SUM(Table1[[#This Row],[Cost Avoidance - US11]:[Cost Avoidance - Sams12]])</f>
        <v>0</v>
      </c>
      <c r="CD98">
        <f>_xlfn.XLOOKUP(Table1[[#This Row],[Status]],Status_Lookups[Status],Status_Lookups[Value],"")</f>
        <v>0.3</v>
      </c>
    </row>
    <row r="99" spans="1:82">
      <c r="A99">
        <v>10</v>
      </c>
      <c r="B99" t="s">
        <v>465</v>
      </c>
      <c r="C99" t="s">
        <v>43</v>
      </c>
      <c r="D99" t="s">
        <v>39</v>
      </c>
      <c r="E99" s="15">
        <v>44426</v>
      </c>
      <c r="F99" s="15">
        <v>44652</v>
      </c>
      <c r="G99" s="15">
        <v>0</v>
      </c>
      <c r="H99" s="15">
        <v>0</v>
      </c>
      <c r="I99" t="s">
        <v>642</v>
      </c>
      <c r="J99" t="s">
        <v>459</v>
      </c>
      <c r="K99" t="s">
        <v>462</v>
      </c>
      <c r="L99">
        <v>0</v>
      </c>
      <c r="M99">
        <v>4800000</v>
      </c>
      <c r="N99">
        <v>5600000</v>
      </c>
      <c r="O99">
        <v>0</v>
      </c>
      <c r="P99">
        <v>0</v>
      </c>
      <c r="Q99">
        <v>0</v>
      </c>
      <c r="R99">
        <v>0</v>
      </c>
      <c r="S99">
        <v>0</v>
      </c>
      <c r="T99">
        <v>0</v>
      </c>
      <c r="U99">
        <v>0</v>
      </c>
      <c r="V99">
        <v>37000000</v>
      </c>
      <c r="W99">
        <v>0</v>
      </c>
      <c r="X99" t="s">
        <v>78</v>
      </c>
      <c r="Y99" s="16">
        <v>44630.385686111113</v>
      </c>
      <c r="Z99" s="17" t="str">
        <f>_xlfn.XLOOKUP(Table1[[#This Row],[Phase]],'Lookup tables'!$Y$27:$Y$60,'Lookup tables'!$Z$27:$Z$60,"Not Updated")</f>
        <v>Post Bid</v>
      </c>
      <c r="AA99" s="17">
        <v>0</v>
      </c>
      <c r="AB99">
        <v>0</v>
      </c>
      <c r="AC99">
        <v>0</v>
      </c>
      <c r="AD99">
        <v>0</v>
      </c>
      <c r="AE99">
        <v>0</v>
      </c>
      <c r="AF99">
        <v>0</v>
      </c>
      <c r="AG99">
        <v>0</v>
      </c>
      <c r="AH99">
        <v>0</v>
      </c>
      <c r="AI99">
        <v>0</v>
      </c>
      <c r="AJ99">
        <v>0</v>
      </c>
      <c r="AK99">
        <v>0</v>
      </c>
      <c r="AL99">
        <v>0</v>
      </c>
      <c r="AM99">
        <v>0</v>
      </c>
      <c r="AN99">
        <v>0</v>
      </c>
      <c r="AO99">
        <v>0</v>
      </c>
      <c r="AP99">
        <v>0</v>
      </c>
      <c r="AQ99">
        <v>0</v>
      </c>
      <c r="AR99">
        <v>0</v>
      </c>
      <c r="AS99">
        <v>0</v>
      </c>
      <c r="AT99">
        <v>0</v>
      </c>
      <c r="AU99">
        <v>0</v>
      </c>
      <c r="AV99">
        <v>0</v>
      </c>
      <c r="AW99">
        <v>0</v>
      </c>
      <c r="AX99">
        <v>0</v>
      </c>
      <c r="AY99">
        <v>0</v>
      </c>
      <c r="AZ99">
        <v>0</v>
      </c>
      <c r="BA99">
        <v>0</v>
      </c>
      <c r="BB99">
        <v>0</v>
      </c>
      <c r="BC99">
        <v>0</v>
      </c>
      <c r="BD99">
        <v>0</v>
      </c>
      <c r="BE99">
        <v>0</v>
      </c>
      <c r="BF99">
        <v>0</v>
      </c>
      <c r="BG99" s="185">
        <v>0</v>
      </c>
      <c r="BH99" s="185">
        <v>0</v>
      </c>
      <c r="BI99" s="185">
        <v>0</v>
      </c>
      <c r="BJ99" s="185">
        <v>0</v>
      </c>
      <c r="BK99" s="185">
        <v>0</v>
      </c>
      <c r="BL99" s="185">
        <v>0</v>
      </c>
      <c r="BM99" s="185">
        <v>0</v>
      </c>
      <c r="BN99" s="185">
        <v>0</v>
      </c>
      <c r="BO99" s="185">
        <v>0</v>
      </c>
      <c r="BP99" s="185">
        <v>0</v>
      </c>
      <c r="BQ99" s="185">
        <v>0</v>
      </c>
      <c r="BR99" s="185">
        <v>0</v>
      </c>
      <c r="BS99" s="185">
        <v>0</v>
      </c>
      <c r="BT99" s="185">
        <v>0</v>
      </c>
      <c r="BU99" t="b">
        <f>IF(_xlfn.MAXIFS(Table1[Sl No],Table1[Category],Table1[[#This Row],[Category]],Table1[Execution Year],Table1[[#This Row],[Execution Year]])=Table1[[#This Row],[Sl No]],TRUE,FALSE)</f>
        <v>0</v>
      </c>
      <c r="BV99" s="201">
        <f>SUM(Table1[[#This Row],[Spend - CAN]:[Spend - Sams]])+SUM(Table1[[#This Row],[Spend - Sams Mexico]:[Spend - Sams China]])+Table1[[#This Row],[Spend - IND]]</f>
        <v>47400000</v>
      </c>
      <c r="BW99">
        <f>SUM(Table1[[#This Row],[Savings - CAN]:[Savings - Sams]])+SUM(Table1[[#This Row],[Savings - Sams Mexico]:[Savings - Sams China]])+Table1[[#This Row],[Savings - IND]]</f>
        <v>0</v>
      </c>
      <c r="BX99">
        <f>SUM(Table1[[#This Row],[Spend - CAN]:[Spend - SAF]])+SUM(Table1[[#This Row],[Spend - Sams Mexico]:[Spend - Sams China]])+Table1[[#This Row],[Spend - IND]]</f>
        <v>10400000</v>
      </c>
      <c r="BY99">
        <f>SUM(Table1[[#This Row],[Savings - CAN]:[Savings - SAF]])+SUM(Table1[[#This Row],[Savings - Sams Mexico]:[Savings - Sams China]])+Table1[[#This Row],[Savings - IND]]</f>
        <v>0</v>
      </c>
      <c r="BZ99">
        <f>SUM(Table1[[#This Row],[Spend - US]:[Spend - Sams]])</f>
        <v>37000000</v>
      </c>
      <c r="CA99">
        <f>SUM(Table1[[#This Row],[Savings - US]:[Savings - Sams]])</f>
        <v>0</v>
      </c>
      <c r="CB99">
        <f>SUM(Table1[[#This Row],[Cost Avoidance - CAN2]:[Cost Avoidance - SAF10]])+SUM(Table1[[#This Row],[Cost Avoidance - Sams Mexico]:[Cost Avoidance - Sams China]])+Table1[[#This Row],[Cost Avoidance - IND]]</f>
        <v>0</v>
      </c>
      <c r="CC99">
        <f>SUM(Table1[[#This Row],[Cost Avoidance - US11]:[Cost Avoidance - Sams12]])</f>
        <v>0</v>
      </c>
      <c r="CD99">
        <f>_xlfn.XLOOKUP(Table1[[#This Row],[Status]],Status_Lookups[Status],Status_Lookups[Value],"")</f>
        <v>0.3</v>
      </c>
    </row>
    <row r="100" spans="1:82">
      <c r="A100">
        <v>11</v>
      </c>
      <c r="B100" t="s">
        <v>465</v>
      </c>
      <c r="C100" t="s">
        <v>43</v>
      </c>
      <c r="D100" t="s">
        <v>39</v>
      </c>
      <c r="E100" s="15">
        <v>44426</v>
      </c>
      <c r="F100" s="15">
        <v>44742</v>
      </c>
      <c r="G100" s="15">
        <v>0</v>
      </c>
      <c r="H100" s="15">
        <v>0</v>
      </c>
      <c r="I100" t="s">
        <v>466</v>
      </c>
      <c r="J100" t="s">
        <v>459</v>
      </c>
      <c r="K100" t="s">
        <v>462</v>
      </c>
      <c r="L100">
        <v>0</v>
      </c>
      <c r="M100">
        <v>4800000</v>
      </c>
      <c r="N100">
        <v>5600000</v>
      </c>
      <c r="O100">
        <v>0</v>
      </c>
      <c r="P100">
        <v>0</v>
      </c>
      <c r="Q100">
        <v>0</v>
      </c>
      <c r="R100">
        <v>0</v>
      </c>
      <c r="S100">
        <v>0</v>
      </c>
      <c r="T100">
        <v>0</v>
      </c>
      <c r="U100">
        <v>0</v>
      </c>
      <c r="V100">
        <v>37000000</v>
      </c>
      <c r="W100">
        <v>0</v>
      </c>
      <c r="X100" t="s">
        <v>78</v>
      </c>
      <c r="Y100" s="16">
        <v>44714.434340277781</v>
      </c>
      <c r="Z100" s="17" t="str">
        <f>_xlfn.XLOOKUP(Table1[[#This Row],[Phase]],'Lookup tables'!$Y$27:$Y$60,'Lookup tables'!$Z$27:$Z$60,"Not Updated")</f>
        <v>Post Award</v>
      </c>
      <c r="AA100" s="17">
        <v>0</v>
      </c>
      <c r="AB100">
        <v>0</v>
      </c>
      <c r="AC100">
        <v>0</v>
      </c>
      <c r="AD100">
        <v>0</v>
      </c>
      <c r="AE100">
        <v>0</v>
      </c>
      <c r="AF100">
        <v>0</v>
      </c>
      <c r="AG100">
        <v>0</v>
      </c>
      <c r="AH100">
        <v>0</v>
      </c>
      <c r="AI100">
        <v>0</v>
      </c>
      <c r="AJ100">
        <v>0</v>
      </c>
      <c r="AK100">
        <v>0</v>
      </c>
      <c r="AL100">
        <v>0</v>
      </c>
      <c r="AM100">
        <v>0</v>
      </c>
      <c r="AN100">
        <v>0</v>
      </c>
      <c r="AO100">
        <v>0</v>
      </c>
      <c r="AP100">
        <v>0</v>
      </c>
      <c r="AQ100">
        <v>0</v>
      </c>
      <c r="AR100">
        <v>0</v>
      </c>
      <c r="AS100">
        <v>0</v>
      </c>
      <c r="AT100">
        <v>0</v>
      </c>
      <c r="AU100">
        <v>0</v>
      </c>
      <c r="AV100">
        <v>0</v>
      </c>
      <c r="AW100">
        <v>0</v>
      </c>
      <c r="AX100">
        <v>0</v>
      </c>
      <c r="AY100">
        <v>0</v>
      </c>
      <c r="AZ100">
        <v>0</v>
      </c>
      <c r="BA100">
        <v>0</v>
      </c>
      <c r="BB100">
        <v>0</v>
      </c>
      <c r="BC100">
        <v>0</v>
      </c>
      <c r="BD100">
        <v>0</v>
      </c>
      <c r="BE100">
        <v>0</v>
      </c>
      <c r="BF100">
        <v>0</v>
      </c>
      <c r="BG100" s="185">
        <v>0</v>
      </c>
      <c r="BH100" s="185">
        <v>0</v>
      </c>
      <c r="BI100" s="185">
        <v>0</v>
      </c>
      <c r="BJ100" s="185">
        <v>0</v>
      </c>
      <c r="BK100" s="185">
        <v>0</v>
      </c>
      <c r="BL100" s="185">
        <v>0</v>
      </c>
      <c r="BM100" s="185">
        <v>0</v>
      </c>
      <c r="BN100" s="185">
        <v>0</v>
      </c>
      <c r="BO100" s="185">
        <v>0</v>
      </c>
      <c r="BP100" s="185">
        <v>0</v>
      </c>
      <c r="BQ100" s="185">
        <v>0</v>
      </c>
      <c r="BR100" s="185">
        <v>0</v>
      </c>
      <c r="BS100" s="185">
        <v>0</v>
      </c>
      <c r="BT100" s="185">
        <v>0</v>
      </c>
      <c r="BU100" t="b">
        <f>IF(_xlfn.MAXIFS(Table1[Sl No],Table1[Category],Table1[[#This Row],[Category]],Table1[Execution Year],Table1[[#This Row],[Execution Year]])=Table1[[#This Row],[Sl No]],TRUE,FALSE)</f>
        <v>1</v>
      </c>
      <c r="BV100" s="201">
        <f>SUM(Table1[[#This Row],[Spend - CAN]:[Spend - Sams]])+SUM(Table1[[#This Row],[Spend - Sams Mexico]:[Spend - Sams China]])+Table1[[#This Row],[Spend - IND]]</f>
        <v>47400000</v>
      </c>
      <c r="BW100">
        <f>SUM(Table1[[#This Row],[Savings - CAN]:[Savings - Sams]])+SUM(Table1[[#This Row],[Savings - Sams Mexico]:[Savings - Sams China]])+Table1[[#This Row],[Savings - IND]]</f>
        <v>0</v>
      </c>
      <c r="BX100">
        <f>SUM(Table1[[#This Row],[Spend - CAN]:[Spend - SAF]])+SUM(Table1[[#This Row],[Spend - Sams Mexico]:[Spend - Sams China]])+Table1[[#This Row],[Spend - IND]]</f>
        <v>10400000</v>
      </c>
      <c r="BY100">
        <f>SUM(Table1[[#This Row],[Savings - CAN]:[Savings - SAF]])+SUM(Table1[[#This Row],[Savings - Sams Mexico]:[Savings - Sams China]])+Table1[[#This Row],[Savings - IND]]</f>
        <v>0</v>
      </c>
      <c r="BZ100">
        <f>SUM(Table1[[#This Row],[Spend - US]:[Spend - Sams]])</f>
        <v>37000000</v>
      </c>
      <c r="CA100">
        <f>SUM(Table1[[#This Row],[Savings - US]:[Savings - Sams]])</f>
        <v>0</v>
      </c>
      <c r="CB100">
        <f>SUM(Table1[[#This Row],[Cost Avoidance - CAN2]:[Cost Avoidance - SAF10]])+SUM(Table1[[#This Row],[Cost Avoidance - Sams Mexico]:[Cost Avoidance - Sams China]])+Table1[[#This Row],[Cost Avoidance - IND]]</f>
        <v>0</v>
      </c>
      <c r="CC100">
        <f>SUM(Table1[[#This Row],[Cost Avoidance - US11]:[Cost Avoidance - Sams12]])</f>
        <v>0</v>
      </c>
      <c r="CD100">
        <f>_xlfn.XLOOKUP(Table1[[#This Row],[Status]],Status_Lookups[Status],Status_Lookups[Value],"")</f>
        <v>0.3</v>
      </c>
    </row>
    <row r="101" spans="1:82">
      <c r="A101">
        <v>1</v>
      </c>
      <c r="B101" t="s">
        <v>517</v>
      </c>
      <c r="C101" t="s">
        <v>33</v>
      </c>
      <c r="D101" t="s">
        <v>322</v>
      </c>
      <c r="E101" s="15">
        <v>44682</v>
      </c>
      <c r="F101" s="15">
        <v>44772</v>
      </c>
      <c r="G101" s="15"/>
      <c r="H101" s="15"/>
      <c r="I101" t="s">
        <v>413</v>
      </c>
      <c r="J101" t="s">
        <v>459</v>
      </c>
      <c r="K101" t="s">
        <v>516</v>
      </c>
      <c r="X101" t="s">
        <v>47</v>
      </c>
      <c r="Y101" s="16">
        <v>44701.387036342596</v>
      </c>
      <c r="Z101" s="17" t="str">
        <f>_xlfn.XLOOKUP(Table1[[#This Row],[Phase]],'Lookup tables'!$Y$27:$Y$60,'Lookup tables'!$Z$27:$Z$60,"Not Updated")</f>
        <v>Bid Prep</v>
      </c>
      <c r="AA101" s="17"/>
      <c r="BG101" s="185"/>
      <c r="BH101" s="185"/>
      <c r="BI101" s="185"/>
      <c r="BJ101" s="185"/>
      <c r="BK101" s="185"/>
      <c r="BL101" s="185"/>
      <c r="BM101" s="185"/>
      <c r="BN101" s="185"/>
      <c r="BO101" s="185"/>
      <c r="BP101" s="185"/>
      <c r="BQ101" s="185"/>
      <c r="BR101" s="185"/>
      <c r="BS101" s="185"/>
      <c r="BT101" s="185"/>
      <c r="BU101" t="b">
        <f>IF(_xlfn.MAXIFS(Table1[Sl No],Table1[Category],Table1[[#This Row],[Category]],Table1[Execution Year],Table1[[#This Row],[Execution Year]])=Table1[[#This Row],[Sl No]],TRUE,FALSE)</f>
        <v>0</v>
      </c>
      <c r="BV101" s="201">
        <f>SUM(Table1[[#This Row],[Spend - CAN]:[Spend - Sams]])+SUM(Table1[[#This Row],[Spend - Sams Mexico]:[Spend - Sams China]])+Table1[[#This Row],[Spend - IND]]</f>
        <v>0</v>
      </c>
      <c r="BW101">
        <f>SUM(Table1[[#This Row],[Savings - CAN]:[Savings - Sams]])+SUM(Table1[[#This Row],[Savings - Sams Mexico]:[Savings - Sams China]])+Table1[[#This Row],[Savings - IND]]</f>
        <v>0</v>
      </c>
      <c r="BX101">
        <f>SUM(Table1[[#This Row],[Spend - CAN]:[Spend - SAF]])+SUM(Table1[[#This Row],[Spend - Sams Mexico]:[Spend - Sams China]])+Table1[[#This Row],[Spend - IND]]</f>
        <v>0</v>
      </c>
      <c r="BY101">
        <f>SUM(Table1[[#This Row],[Savings - CAN]:[Savings - SAF]])+SUM(Table1[[#This Row],[Savings - Sams Mexico]:[Savings - Sams China]])+Table1[[#This Row],[Savings - IND]]</f>
        <v>0</v>
      </c>
      <c r="BZ101">
        <f>SUM(Table1[[#This Row],[Spend - US]:[Spend - Sams]])</f>
        <v>0</v>
      </c>
      <c r="CA101">
        <f>SUM(Table1[[#This Row],[Savings - US]:[Savings - Sams]])</f>
        <v>0</v>
      </c>
      <c r="CB101">
        <f>SUM(Table1[[#This Row],[Cost Avoidance - CAN2]:[Cost Avoidance - SAF10]])+SUM(Table1[[#This Row],[Cost Avoidance - Sams Mexico]:[Cost Avoidance - Sams China]])+Table1[[#This Row],[Cost Avoidance - IND]]</f>
        <v>0</v>
      </c>
      <c r="CC101">
        <f>SUM(Table1[[#This Row],[Cost Avoidance - US11]:[Cost Avoidance - Sams12]])</f>
        <v>0</v>
      </c>
      <c r="CD101">
        <f>_xlfn.XLOOKUP(Table1[[#This Row],[Status]],Status_Lookups[Status],Status_Lookups[Value],"")</f>
        <v>0.3</v>
      </c>
    </row>
    <row r="102" spans="1:82">
      <c r="A102">
        <v>2</v>
      </c>
      <c r="B102" t="s">
        <v>517</v>
      </c>
      <c r="C102" t="s">
        <v>33</v>
      </c>
      <c r="D102" t="s">
        <v>322</v>
      </c>
      <c r="E102" s="15">
        <v>44682</v>
      </c>
      <c r="F102" s="15">
        <v>44772</v>
      </c>
      <c r="G102" s="15">
        <v>0</v>
      </c>
      <c r="H102" s="15">
        <v>0</v>
      </c>
      <c r="I102" t="s">
        <v>413</v>
      </c>
      <c r="J102" t="s">
        <v>417</v>
      </c>
      <c r="K102" t="s">
        <v>516</v>
      </c>
      <c r="L102">
        <v>0</v>
      </c>
      <c r="M102">
        <v>0</v>
      </c>
      <c r="N102">
        <v>0</v>
      </c>
      <c r="O102">
        <v>0</v>
      </c>
      <c r="P102">
        <v>0</v>
      </c>
      <c r="Q102">
        <v>0</v>
      </c>
      <c r="R102">
        <v>0</v>
      </c>
      <c r="S102">
        <v>0</v>
      </c>
      <c r="T102">
        <v>0</v>
      </c>
      <c r="U102">
        <v>0</v>
      </c>
      <c r="V102">
        <v>0</v>
      </c>
      <c r="W102">
        <v>0</v>
      </c>
      <c r="X102" t="s">
        <v>516</v>
      </c>
      <c r="Y102" s="16">
        <v>44729.603483333332</v>
      </c>
      <c r="Z102" s="17" t="str">
        <f>_xlfn.XLOOKUP(Table1[[#This Row],[Phase]],'Lookup tables'!$Y$27:$Y$60,'Lookup tables'!$Z$27:$Z$60,"Not Updated")</f>
        <v>Bid Prep</v>
      </c>
      <c r="AA102" s="17" t="s">
        <v>637</v>
      </c>
      <c r="AB102">
        <v>0</v>
      </c>
      <c r="AC102">
        <v>0</v>
      </c>
      <c r="AD102">
        <v>0</v>
      </c>
      <c r="AE102">
        <v>0</v>
      </c>
      <c r="AF102">
        <v>0</v>
      </c>
      <c r="AG102">
        <v>0</v>
      </c>
      <c r="AH102">
        <v>0</v>
      </c>
      <c r="AI102">
        <v>0</v>
      </c>
      <c r="AJ102">
        <v>0</v>
      </c>
      <c r="AK102">
        <v>0</v>
      </c>
      <c r="AL102">
        <v>0</v>
      </c>
      <c r="AM102">
        <v>0</v>
      </c>
      <c r="AN102">
        <v>0</v>
      </c>
      <c r="AO102">
        <v>0</v>
      </c>
      <c r="AP102">
        <v>0</v>
      </c>
      <c r="AQ102">
        <v>0</v>
      </c>
      <c r="AR102">
        <v>0</v>
      </c>
      <c r="AS102">
        <v>0</v>
      </c>
      <c r="AT102">
        <v>0</v>
      </c>
      <c r="AU102">
        <v>0</v>
      </c>
      <c r="AV102">
        <v>0</v>
      </c>
      <c r="AW102">
        <v>0</v>
      </c>
      <c r="AX102">
        <v>0</v>
      </c>
      <c r="AY102">
        <v>0</v>
      </c>
      <c r="AZ102">
        <v>0</v>
      </c>
      <c r="BA102">
        <v>0</v>
      </c>
      <c r="BB102">
        <v>0</v>
      </c>
      <c r="BC102">
        <v>0</v>
      </c>
      <c r="BD102">
        <v>0</v>
      </c>
      <c r="BE102">
        <v>0</v>
      </c>
      <c r="BF102">
        <v>0</v>
      </c>
      <c r="BG102" s="185">
        <v>0</v>
      </c>
      <c r="BH102" s="185">
        <v>0</v>
      </c>
      <c r="BI102" s="185">
        <v>0</v>
      </c>
      <c r="BJ102" s="185">
        <v>0</v>
      </c>
      <c r="BK102" s="185">
        <v>0</v>
      </c>
      <c r="BL102" s="185">
        <v>0</v>
      </c>
      <c r="BM102" s="185">
        <v>0</v>
      </c>
      <c r="BN102" s="185">
        <v>0</v>
      </c>
      <c r="BO102" s="185">
        <v>0</v>
      </c>
      <c r="BP102" s="185">
        <v>0</v>
      </c>
      <c r="BQ102" s="185">
        <v>0</v>
      </c>
      <c r="BR102" s="185">
        <v>0</v>
      </c>
      <c r="BS102" s="185">
        <v>0</v>
      </c>
      <c r="BT102" s="185">
        <v>0</v>
      </c>
      <c r="BU102" t="b">
        <f>IF(_xlfn.MAXIFS(Table1[Sl No],Table1[Category],Table1[[#This Row],[Category]],Table1[Execution Year],Table1[[#This Row],[Execution Year]])=Table1[[#This Row],[Sl No]],TRUE,FALSE)</f>
        <v>1</v>
      </c>
      <c r="BV102" s="201">
        <f>SUM(Table1[[#This Row],[Spend - CAN]:[Spend - Sams]])+SUM(Table1[[#This Row],[Spend - Sams Mexico]:[Spend - Sams China]])+Table1[[#This Row],[Spend - IND]]</f>
        <v>0</v>
      </c>
      <c r="BW102">
        <f>SUM(Table1[[#This Row],[Savings - CAN]:[Savings - Sams]])+SUM(Table1[[#This Row],[Savings - Sams Mexico]:[Savings - Sams China]])+Table1[[#This Row],[Savings - IND]]</f>
        <v>0</v>
      </c>
      <c r="BX102">
        <f>SUM(Table1[[#This Row],[Spend - CAN]:[Spend - SAF]])+SUM(Table1[[#This Row],[Spend - Sams Mexico]:[Spend - Sams China]])+Table1[[#This Row],[Spend - IND]]</f>
        <v>0</v>
      </c>
      <c r="BY102">
        <f>SUM(Table1[[#This Row],[Savings - CAN]:[Savings - SAF]])+SUM(Table1[[#This Row],[Savings - Sams Mexico]:[Savings - Sams China]])+Table1[[#This Row],[Savings - IND]]</f>
        <v>0</v>
      </c>
      <c r="BZ102">
        <f>SUM(Table1[[#This Row],[Spend - US]:[Spend - Sams]])</f>
        <v>0</v>
      </c>
      <c r="CA102">
        <f>SUM(Table1[[#This Row],[Savings - US]:[Savings - Sams]])</f>
        <v>0</v>
      </c>
      <c r="CB102">
        <f>SUM(Table1[[#This Row],[Cost Avoidance - CAN2]:[Cost Avoidance - SAF10]])+SUM(Table1[[#This Row],[Cost Avoidance - Sams Mexico]:[Cost Avoidance - Sams China]])+Table1[[#This Row],[Cost Avoidance - IND]]</f>
        <v>0</v>
      </c>
      <c r="CC102">
        <f>SUM(Table1[[#This Row],[Cost Avoidance - US11]:[Cost Avoidance - Sams12]])</f>
        <v>0</v>
      </c>
      <c r="CD102">
        <f>_xlfn.XLOOKUP(Table1[[#This Row],[Status]],Status_Lookups[Status],Status_Lookups[Value],"")</f>
        <v>0.2</v>
      </c>
    </row>
    <row r="103" spans="1:82">
      <c r="A103">
        <v>1</v>
      </c>
      <c r="B103" t="s">
        <v>488</v>
      </c>
      <c r="C103" t="s">
        <v>33</v>
      </c>
      <c r="D103" t="s">
        <v>322</v>
      </c>
      <c r="E103" s="15">
        <v>44562</v>
      </c>
      <c r="F103" s="15">
        <v>44681</v>
      </c>
      <c r="G103" s="15"/>
      <c r="H103" s="15"/>
      <c r="I103" t="s">
        <v>481</v>
      </c>
      <c r="J103" t="s">
        <v>459</v>
      </c>
      <c r="K103" t="s">
        <v>490</v>
      </c>
      <c r="X103" t="s">
        <v>47</v>
      </c>
      <c r="Y103" s="16">
        <v>44701.387036342596</v>
      </c>
      <c r="Z103" s="17" t="str">
        <f>_xlfn.XLOOKUP(Table1[[#This Row],[Phase]],'Lookup tables'!$Y$27:$Y$60,'Lookup tables'!$Z$27:$Z$60,"Not Updated")</f>
        <v>RFPX underway</v>
      </c>
      <c r="AA103" s="17"/>
      <c r="BG103" s="185"/>
      <c r="BH103" s="185"/>
      <c r="BI103" s="185"/>
      <c r="BJ103" s="185"/>
      <c r="BK103" s="185"/>
      <c r="BL103" s="185"/>
      <c r="BM103" s="185"/>
      <c r="BN103" s="185"/>
      <c r="BO103" s="185"/>
      <c r="BP103" s="185"/>
      <c r="BQ103" s="185"/>
      <c r="BR103" s="185"/>
      <c r="BS103" s="185"/>
      <c r="BT103" s="185"/>
      <c r="BU103" t="b">
        <f>IF(_xlfn.MAXIFS(Table1[Sl No],Table1[Category],Table1[[#This Row],[Category]],Table1[Execution Year],Table1[[#This Row],[Execution Year]])=Table1[[#This Row],[Sl No]],TRUE,FALSE)</f>
        <v>0</v>
      </c>
      <c r="BV103" s="201">
        <f>SUM(Table1[[#This Row],[Spend - CAN]:[Spend - Sams]])+SUM(Table1[[#This Row],[Spend - Sams Mexico]:[Spend - Sams China]])+Table1[[#This Row],[Spend - IND]]</f>
        <v>0</v>
      </c>
      <c r="BW103">
        <f>SUM(Table1[[#This Row],[Savings - CAN]:[Savings - Sams]])+SUM(Table1[[#This Row],[Savings - Sams Mexico]:[Savings - Sams China]])+Table1[[#This Row],[Savings - IND]]</f>
        <v>0</v>
      </c>
      <c r="BX103">
        <f>SUM(Table1[[#This Row],[Spend - CAN]:[Spend - SAF]])+SUM(Table1[[#This Row],[Spend - Sams Mexico]:[Spend - Sams China]])+Table1[[#This Row],[Spend - IND]]</f>
        <v>0</v>
      </c>
      <c r="BY103">
        <f>SUM(Table1[[#This Row],[Savings - CAN]:[Savings - SAF]])+SUM(Table1[[#This Row],[Savings - Sams Mexico]:[Savings - Sams China]])+Table1[[#This Row],[Savings - IND]]</f>
        <v>0</v>
      </c>
      <c r="BZ103">
        <f>SUM(Table1[[#This Row],[Spend - US]:[Spend - Sams]])</f>
        <v>0</v>
      </c>
      <c r="CA103">
        <f>SUM(Table1[[#This Row],[Savings - US]:[Savings - Sams]])</f>
        <v>0</v>
      </c>
      <c r="CB103">
        <f>SUM(Table1[[#This Row],[Cost Avoidance - CAN2]:[Cost Avoidance - SAF10]])+SUM(Table1[[#This Row],[Cost Avoidance - Sams Mexico]:[Cost Avoidance - Sams China]])+Table1[[#This Row],[Cost Avoidance - IND]]</f>
        <v>0</v>
      </c>
      <c r="CC103">
        <f>SUM(Table1[[#This Row],[Cost Avoidance - US11]:[Cost Avoidance - Sams12]])</f>
        <v>0</v>
      </c>
      <c r="CD103">
        <f>_xlfn.XLOOKUP(Table1[[#This Row],[Status]],Status_Lookups[Status],Status_Lookups[Value],"")</f>
        <v>0.3</v>
      </c>
    </row>
    <row r="104" spans="1:82">
      <c r="A104">
        <v>2</v>
      </c>
      <c r="B104" t="s">
        <v>488</v>
      </c>
      <c r="C104" t="s">
        <v>33</v>
      </c>
      <c r="D104" t="s">
        <v>322</v>
      </c>
      <c r="E104" s="15">
        <v>44562</v>
      </c>
      <c r="F104" s="15">
        <v>44681</v>
      </c>
      <c r="G104" s="15">
        <v>44736</v>
      </c>
      <c r="H104" s="15">
        <v>44736</v>
      </c>
      <c r="I104" t="s">
        <v>415</v>
      </c>
      <c r="J104" t="s">
        <v>489</v>
      </c>
      <c r="K104" t="s">
        <v>490</v>
      </c>
      <c r="L104" t="s">
        <v>491</v>
      </c>
      <c r="M104">
        <v>0</v>
      </c>
      <c r="N104">
        <v>0</v>
      </c>
      <c r="O104">
        <v>0</v>
      </c>
      <c r="P104">
        <v>0</v>
      </c>
      <c r="Q104">
        <v>0</v>
      </c>
      <c r="R104">
        <v>0</v>
      </c>
      <c r="S104">
        <v>0</v>
      </c>
      <c r="T104">
        <v>0</v>
      </c>
      <c r="U104">
        <v>0</v>
      </c>
      <c r="V104">
        <v>312000000</v>
      </c>
      <c r="W104">
        <v>88000000</v>
      </c>
      <c r="X104" t="s">
        <v>490</v>
      </c>
      <c r="Y104" s="16">
        <v>44730.497748032409</v>
      </c>
      <c r="Z104" s="17" t="str">
        <f>_xlfn.XLOOKUP(Table1[[#This Row],[Phase]],'Lookup tables'!$Y$27:$Y$60,'Lookup tables'!$Z$27:$Z$60,"Not Updated")</f>
        <v>Award</v>
      </c>
      <c r="AA104" s="17">
        <v>0</v>
      </c>
      <c r="AB104">
        <v>0</v>
      </c>
      <c r="AC104">
        <v>0</v>
      </c>
      <c r="AD104">
        <v>0</v>
      </c>
      <c r="AE104">
        <v>0</v>
      </c>
      <c r="AF104">
        <v>0</v>
      </c>
      <c r="AG104">
        <v>0</v>
      </c>
      <c r="AH104">
        <v>0</v>
      </c>
      <c r="AI104">
        <v>0</v>
      </c>
      <c r="AJ104">
        <v>0</v>
      </c>
      <c r="AK104">
        <v>0</v>
      </c>
      <c r="AL104">
        <v>0</v>
      </c>
      <c r="AM104">
        <v>0</v>
      </c>
      <c r="AN104">
        <v>0</v>
      </c>
      <c r="AO104">
        <v>0</v>
      </c>
      <c r="AP104">
        <v>0</v>
      </c>
      <c r="AQ104">
        <v>0</v>
      </c>
      <c r="AR104">
        <v>0</v>
      </c>
      <c r="AS104">
        <v>0</v>
      </c>
      <c r="AT104">
        <v>0</v>
      </c>
      <c r="AU104">
        <v>0</v>
      </c>
      <c r="AV104">
        <v>6000000</v>
      </c>
      <c r="AW104">
        <v>4000000</v>
      </c>
      <c r="AX104">
        <v>0</v>
      </c>
      <c r="AY104">
        <v>0</v>
      </c>
      <c r="AZ104">
        <v>0</v>
      </c>
      <c r="BA104">
        <v>0</v>
      </c>
      <c r="BB104">
        <v>0</v>
      </c>
      <c r="BC104">
        <v>0</v>
      </c>
      <c r="BD104">
        <v>0</v>
      </c>
      <c r="BE104">
        <v>0</v>
      </c>
      <c r="BF104">
        <v>0</v>
      </c>
      <c r="BG104" s="185">
        <v>0</v>
      </c>
      <c r="BH104" s="185">
        <v>0</v>
      </c>
      <c r="BI104" s="185">
        <v>0</v>
      </c>
      <c r="BJ104" s="185">
        <v>0</v>
      </c>
      <c r="BK104" s="185">
        <v>0</v>
      </c>
      <c r="BL104" s="185">
        <v>0</v>
      </c>
      <c r="BM104" s="185">
        <v>0</v>
      </c>
      <c r="BN104" s="185">
        <v>0</v>
      </c>
      <c r="BO104" s="185">
        <v>0</v>
      </c>
      <c r="BP104" s="185">
        <v>44795</v>
      </c>
      <c r="BQ104" s="185">
        <v>44774</v>
      </c>
      <c r="BR104" s="185">
        <v>0</v>
      </c>
      <c r="BS104" s="185">
        <v>0</v>
      </c>
      <c r="BT104" s="185">
        <v>0</v>
      </c>
      <c r="BU104" t="b">
        <f>IF(_xlfn.MAXIFS(Table1[Sl No],Table1[Category],Table1[[#This Row],[Category]],Table1[Execution Year],Table1[[#This Row],[Execution Year]])=Table1[[#This Row],[Sl No]],TRUE,FALSE)</f>
        <v>1</v>
      </c>
      <c r="BV104" s="201">
        <f>SUM(Table1[[#This Row],[Spend - CAN]:[Spend - Sams]])+SUM(Table1[[#This Row],[Spend - Sams Mexico]:[Spend - Sams China]])+Table1[[#This Row],[Spend - IND]]</f>
        <v>400000000</v>
      </c>
      <c r="BW104">
        <f>SUM(Table1[[#This Row],[Savings - CAN]:[Savings - Sams]])+SUM(Table1[[#This Row],[Savings - Sams Mexico]:[Savings - Sams China]])+Table1[[#This Row],[Savings - IND]]</f>
        <v>0</v>
      </c>
      <c r="BX104">
        <f>SUM(Table1[[#This Row],[Spend - CAN]:[Spend - SAF]])+SUM(Table1[[#This Row],[Spend - Sams Mexico]:[Spend - Sams China]])+Table1[[#This Row],[Spend - IND]]</f>
        <v>0</v>
      </c>
      <c r="BY104">
        <f>SUM(Table1[[#This Row],[Savings - CAN]:[Savings - SAF]])+SUM(Table1[[#This Row],[Savings - Sams Mexico]:[Savings - Sams China]])+Table1[[#This Row],[Savings - IND]]</f>
        <v>0</v>
      </c>
      <c r="BZ104">
        <f>SUM(Table1[[#This Row],[Spend - US]:[Spend - Sams]])</f>
        <v>400000000</v>
      </c>
      <c r="CA104">
        <f>SUM(Table1[[#This Row],[Savings - US]:[Savings - Sams]])</f>
        <v>0</v>
      </c>
      <c r="CB104">
        <f>SUM(Table1[[#This Row],[Cost Avoidance - CAN2]:[Cost Avoidance - SAF10]])+SUM(Table1[[#This Row],[Cost Avoidance - Sams Mexico]:[Cost Avoidance - Sams China]])+Table1[[#This Row],[Cost Avoidance - IND]]</f>
        <v>0</v>
      </c>
      <c r="CC104">
        <f>SUM(Table1[[#This Row],[Cost Avoidance - US11]:[Cost Avoidance - Sams12]])</f>
        <v>10000000</v>
      </c>
      <c r="CD104">
        <f>_xlfn.XLOOKUP(Table1[[#This Row],[Status]],Status_Lookups[Status],Status_Lookups[Value],"")</f>
        <v>0.6</v>
      </c>
    </row>
    <row r="105" spans="1:82">
      <c r="A105">
        <v>1</v>
      </c>
      <c r="B105" t="s">
        <v>42</v>
      </c>
      <c r="C105" t="s">
        <v>43</v>
      </c>
      <c r="D105" t="s">
        <v>32</v>
      </c>
      <c r="E105" s="15"/>
      <c r="F105" s="15"/>
      <c r="G105" s="15"/>
      <c r="H105" s="15"/>
      <c r="I105" t="s">
        <v>643</v>
      </c>
      <c r="X105" t="s">
        <v>34</v>
      </c>
      <c r="Y105" s="16">
        <v>44153.866932870369</v>
      </c>
      <c r="Z105" s="17" t="str">
        <f>_xlfn.XLOOKUP(Table1[[#This Row],[Phase]],'Lookup tables'!$Y$27:$Y$60,'Lookup tables'!$Z$27:$Z$60,"Not Updated")</f>
        <v>Award finalized</v>
      </c>
      <c r="AA105" s="17"/>
      <c r="BG105" s="185"/>
      <c r="BH105" s="185"/>
      <c r="BI105" s="185"/>
      <c r="BJ105" s="185"/>
      <c r="BK105" s="185"/>
      <c r="BL105" s="185"/>
      <c r="BM105" s="185"/>
      <c r="BN105" s="185"/>
      <c r="BO105" s="185"/>
      <c r="BP105" s="185"/>
      <c r="BQ105" s="185"/>
      <c r="BR105" s="185"/>
      <c r="BS105" s="185"/>
      <c r="BT105" s="185"/>
      <c r="BU105" t="b">
        <f>IF(_xlfn.MAXIFS(Table1[Sl No],Table1[Category],Table1[[#This Row],[Category]],Table1[Execution Year],Table1[[#This Row],[Execution Year]])=Table1[[#This Row],[Sl No]],TRUE,FALSE)</f>
        <v>0</v>
      </c>
      <c r="BV105" s="201">
        <f>SUM(Table1[[#This Row],[Spend - CAN]:[Spend - Sams]])+SUM(Table1[[#This Row],[Spend - Sams Mexico]:[Spend - Sams China]])+Table1[[#This Row],[Spend - IND]]</f>
        <v>0</v>
      </c>
      <c r="BW105">
        <f>SUM(Table1[[#This Row],[Savings - CAN]:[Savings - Sams]])+SUM(Table1[[#This Row],[Savings - Sams Mexico]:[Savings - Sams China]])+Table1[[#This Row],[Savings - IND]]</f>
        <v>0</v>
      </c>
      <c r="BX105">
        <f>SUM(Table1[[#This Row],[Spend - CAN]:[Spend - SAF]])+SUM(Table1[[#This Row],[Spend - Sams Mexico]:[Spend - Sams China]])+Table1[[#This Row],[Spend - IND]]</f>
        <v>0</v>
      </c>
      <c r="BY105">
        <f>SUM(Table1[[#This Row],[Savings - CAN]:[Savings - SAF]])+SUM(Table1[[#This Row],[Savings - Sams Mexico]:[Savings - Sams China]])+Table1[[#This Row],[Savings - IND]]</f>
        <v>0</v>
      </c>
      <c r="BZ105">
        <f>SUM(Table1[[#This Row],[Spend - US]:[Spend - Sams]])</f>
        <v>0</v>
      </c>
      <c r="CA105">
        <f>SUM(Table1[[#This Row],[Savings - US]:[Savings - Sams]])</f>
        <v>0</v>
      </c>
      <c r="CB105">
        <f>SUM(Table1[[#This Row],[Cost Avoidance - CAN2]:[Cost Avoidance - SAF10]])+SUM(Table1[[#This Row],[Cost Avoidance - Sams Mexico]:[Cost Avoidance - Sams China]])+Table1[[#This Row],[Cost Avoidance - IND]]</f>
        <v>0</v>
      </c>
      <c r="CC105">
        <f>SUM(Table1[[#This Row],[Cost Avoidance - US11]:[Cost Avoidance - Sams12]])</f>
        <v>0</v>
      </c>
      <c r="CD105" t="str">
        <f>_xlfn.XLOOKUP(Table1[[#This Row],[Status]],Status_Lookups[Status],Status_Lookups[Value],"")</f>
        <v/>
      </c>
    </row>
    <row r="106" spans="1:82">
      <c r="A106">
        <v>2</v>
      </c>
      <c r="B106" t="s">
        <v>42</v>
      </c>
      <c r="C106" t="s">
        <v>43</v>
      </c>
      <c r="D106" t="s">
        <v>32</v>
      </c>
      <c r="E106" s="15">
        <v>43831</v>
      </c>
      <c r="F106" s="15">
        <v>43951</v>
      </c>
      <c r="G106" s="15">
        <v>43831</v>
      </c>
      <c r="H106" s="15">
        <v>43951</v>
      </c>
      <c r="I106" t="s">
        <v>643</v>
      </c>
      <c r="J106" t="s">
        <v>444</v>
      </c>
      <c r="K106" t="s">
        <v>445</v>
      </c>
      <c r="L106" t="s">
        <v>445</v>
      </c>
      <c r="M106">
        <v>0</v>
      </c>
      <c r="N106">
        <v>56900000</v>
      </c>
      <c r="O106">
        <v>16000000</v>
      </c>
      <c r="P106">
        <v>1900000</v>
      </c>
      <c r="Q106">
        <v>1000000</v>
      </c>
      <c r="R106">
        <v>0</v>
      </c>
      <c r="S106">
        <v>700000</v>
      </c>
      <c r="T106">
        <v>0</v>
      </c>
      <c r="U106">
        <v>0</v>
      </c>
      <c r="V106">
        <v>0</v>
      </c>
      <c r="X106" t="s">
        <v>34</v>
      </c>
      <c r="Y106" s="16">
        <v>44153.870270949075</v>
      </c>
      <c r="Z106" s="17" t="str">
        <f>_xlfn.XLOOKUP(Table1[[#This Row],[Phase]],'Lookup tables'!$Y$27:$Y$60,'Lookup tables'!$Z$27:$Z$60,"Not Updated")</f>
        <v>Award finalized</v>
      </c>
      <c r="AA106" s="17" t="s">
        <v>644</v>
      </c>
      <c r="AB106">
        <v>0</v>
      </c>
      <c r="AC106">
        <v>579683</v>
      </c>
      <c r="AD106">
        <v>444222</v>
      </c>
      <c r="AE106">
        <v>201271</v>
      </c>
      <c r="AF106">
        <v>0</v>
      </c>
      <c r="AG106">
        <v>0</v>
      </c>
      <c r="AH106">
        <v>40000</v>
      </c>
      <c r="AI106">
        <v>0</v>
      </c>
      <c r="AJ106">
        <v>0</v>
      </c>
      <c r="AK106">
        <v>0</v>
      </c>
      <c r="BG106" s="185"/>
      <c r="BH106" s="185"/>
      <c r="BI106" s="185"/>
      <c r="BJ106" s="185"/>
      <c r="BK106" s="185"/>
      <c r="BL106" s="185"/>
      <c r="BM106" s="185"/>
      <c r="BN106" s="185"/>
      <c r="BO106" s="185"/>
      <c r="BP106" s="185"/>
      <c r="BQ106" s="185"/>
      <c r="BR106" s="185"/>
      <c r="BS106" s="185"/>
      <c r="BT106" s="185"/>
      <c r="BU106" t="b">
        <f>IF(_xlfn.MAXIFS(Table1[Sl No],Table1[Category],Table1[[#This Row],[Category]],Table1[Execution Year],Table1[[#This Row],[Execution Year]])=Table1[[#This Row],[Sl No]],TRUE,FALSE)</f>
        <v>0</v>
      </c>
      <c r="BV106" s="201">
        <f>SUM(Table1[[#This Row],[Spend - CAN]:[Spend - Sams]])+SUM(Table1[[#This Row],[Spend - Sams Mexico]:[Spend - Sams China]])+Table1[[#This Row],[Spend - IND]]</f>
        <v>76500000</v>
      </c>
      <c r="BW106">
        <f>SUM(Table1[[#This Row],[Savings - CAN]:[Savings - Sams]])+SUM(Table1[[#This Row],[Savings - Sams Mexico]:[Savings - Sams China]])+Table1[[#This Row],[Savings - IND]]</f>
        <v>1265176</v>
      </c>
      <c r="BX106">
        <f>SUM(Table1[[#This Row],[Spend - CAN]:[Spend - SAF]])+SUM(Table1[[#This Row],[Spend - Sams Mexico]:[Spend - Sams China]])+Table1[[#This Row],[Spend - IND]]</f>
        <v>76500000</v>
      </c>
      <c r="BY106">
        <f>SUM(Table1[[#This Row],[Savings - CAN]:[Savings - SAF]])+SUM(Table1[[#This Row],[Savings - Sams Mexico]:[Savings - Sams China]])+Table1[[#This Row],[Savings - IND]]</f>
        <v>1265176</v>
      </c>
      <c r="BZ106">
        <f>SUM(Table1[[#This Row],[Spend - US]:[Spend - Sams]])</f>
        <v>0</v>
      </c>
      <c r="CA106">
        <f>SUM(Table1[[#This Row],[Savings - US]:[Savings - Sams]])</f>
        <v>0</v>
      </c>
      <c r="CB106">
        <f>SUM(Table1[[#This Row],[Cost Avoidance - CAN2]:[Cost Avoidance - SAF10]])+SUM(Table1[[#This Row],[Cost Avoidance - Sams Mexico]:[Cost Avoidance - Sams China]])+Table1[[#This Row],[Cost Avoidance - IND]]</f>
        <v>0</v>
      </c>
      <c r="CC106">
        <f>SUM(Table1[[#This Row],[Cost Avoidance - US11]:[Cost Avoidance - Sams12]])</f>
        <v>0</v>
      </c>
      <c r="CD106">
        <f>_xlfn.XLOOKUP(Table1[[#This Row],[Status]],Status_Lookups[Status],Status_Lookups[Value],"")</f>
        <v>0.2</v>
      </c>
    </row>
    <row r="107" spans="1:82">
      <c r="A107">
        <v>3</v>
      </c>
      <c r="B107" t="s">
        <v>42</v>
      </c>
      <c r="C107" t="s">
        <v>43</v>
      </c>
      <c r="D107" t="s">
        <v>32</v>
      </c>
      <c r="E107" s="15">
        <v>43831</v>
      </c>
      <c r="F107" s="15">
        <v>43951</v>
      </c>
      <c r="G107" s="15">
        <v>43831</v>
      </c>
      <c r="H107" s="15">
        <v>43951</v>
      </c>
      <c r="I107" t="s">
        <v>443</v>
      </c>
      <c r="J107" t="s">
        <v>444</v>
      </c>
      <c r="K107" t="s">
        <v>445</v>
      </c>
      <c r="L107" t="s">
        <v>445</v>
      </c>
      <c r="M107">
        <v>0</v>
      </c>
      <c r="N107">
        <v>56900000</v>
      </c>
      <c r="O107">
        <v>16000000</v>
      </c>
      <c r="P107">
        <v>1900000</v>
      </c>
      <c r="Q107">
        <v>1000000</v>
      </c>
      <c r="R107">
        <v>0</v>
      </c>
      <c r="S107">
        <v>700000</v>
      </c>
      <c r="T107">
        <v>0</v>
      </c>
      <c r="U107">
        <v>0</v>
      </c>
      <c r="V107">
        <v>0</v>
      </c>
      <c r="W107">
        <v>0</v>
      </c>
      <c r="X107" t="s">
        <v>78</v>
      </c>
      <c r="Y107" s="16">
        <v>44622.33908622685</v>
      </c>
      <c r="Z107" s="17" t="str">
        <f>_xlfn.XLOOKUP(Table1[[#This Row],[Phase]],'Lookup tables'!$Y$27:$Y$60,'Lookup tables'!$Z$27:$Z$60,"Not Updated")</f>
        <v>Completed</v>
      </c>
      <c r="AA107" s="17" t="s">
        <v>644</v>
      </c>
      <c r="AB107">
        <v>0</v>
      </c>
      <c r="AC107">
        <v>579683</v>
      </c>
      <c r="AD107">
        <v>444222</v>
      </c>
      <c r="AE107">
        <v>201271</v>
      </c>
      <c r="AF107">
        <v>0</v>
      </c>
      <c r="AG107">
        <v>0</v>
      </c>
      <c r="AH107">
        <v>40000</v>
      </c>
      <c r="AI107">
        <v>0</v>
      </c>
      <c r="AJ107">
        <v>0</v>
      </c>
      <c r="AK107">
        <v>0</v>
      </c>
      <c r="AL107">
        <v>0</v>
      </c>
      <c r="AM107">
        <v>0</v>
      </c>
      <c r="AN107">
        <v>0</v>
      </c>
      <c r="AO107">
        <v>0</v>
      </c>
      <c r="AP107">
        <v>0</v>
      </c>
      <c r="AQ107">
        <v>0</v>
      </c>
      <c r="AR107">
        <v>0</v>
      </c>
      <c r="AS107">
        <v>0</v>
      </c>
      <c r="AT107">
        <v>0</v>
      </c>
      <c r="AU107">
        <v>0</v>
      </c>
      <c r="AV107">
        <v>0</v>
      </c>
      <c r="AW107">
        <v>0</v>
      </c>
      <c r="AX107">
        <v>0</v>
      </c>
      <c r="AY107">
        <v>0</v>
      </c>
      <c r="AZ107">
        <v>0</v>
      </c>
      <c r="BA107">
        <v>0</v>
      </c>
      <c r="BB107">
        <v>0</v>
      </c>
      <c r="BC107">
        <v>0</v>
      </c>
      <c r="BD107">
        <v>0</v>
      </c>
      <c r="BE107">
        <v>0</v>
      </c>
      <c r="BF107">
        <v>0</v>
      </c>
      <c r="BG107" s="185">
        <v>0</v>
      </c>
      <c r="BH107" s="185">
        <v>0</v>
      </c>
      <c r="BI107" s="185">
        <v>0</v>
      </c>
      <c r="BJ107" s="185">
        <v>0</v>
      </c>
      <c r="BK107" s="185">
        <v>0</v>
      </c>
      <c r="BL107" s="185">
        <v>0</v>
      </c>
      <c r="BM107" s="185">
        <v>0</v>
      </c>
      <c r="BN107" s="185">
        <v>0</v>
      </c>
      <c r="BO107" s="185">
        <v>0</v>
      </c>
      <c r="BP107" s="185">
        <v>0</v>
      </c>
      <c r="BQ107" s="185">
        <v>0</v>
      </c>
      <c r="BR107" s="185">
        <v>0</v>
      </c>
      <c r="BS107" s="185">
        <v>0</v>
      </c>
      <c r="BT107" s="185">
        <v>0</v>
      </c>
      <c r="BU107" t="b">
        <f>IF(_xlfn.MAXIFS(Table1[Sl No],Table1[Category],Table1[[#This Row],[Category]],Table1[Execution Year],Table1[[#This Row],[Execution Year]])=Table1[[#This Row],[Sl No]],TRUE,FALSE)</f>
        <v>0</v>
      </c>
      <c r="BV107" s="201">
        <f>SUM(Table1[[#This Row],[Spend - CAN]:[Spend - Sams]])+SUM(Table1[[#This Row],[Spend - Sams Mexico]:[Spend - Sams China]])+Table1[[#This Row],[Spend - IND]]</f>
        <v>76500000</v>
      </c>
      <c r="BW107">
        <f>SUM(Table1[[#This Row],[Savings - CAN]:[Savings - Sams]])+SUM(Table1[[#This Row],[Savings - Sams Mexico]:[Savings - Sams China]])+Table1[[#This Row],[Savings - IND]]</f>
        <v>1265176</v>
      </c>
      <c r="BX107">
        <f>SUM(Table1[[#This Row],[Spend - CAN]:[Spend - SAF]])+SUM(Table1[[#This Row],[Spend - Sams Mexico]:[Spend - Sams China]])+Table1[[#This Row],[Spend - IND]]</f>
        <v>76500000</v>
      </c>
      <c r="BY107">
        <f>SUM(Table1[[#This Row],[Savings - CAN]:[Savings - SAF]])+SUM(Table1[[#This Row],[Savings - Sams Mexico]:[Savings - Sams China]])+Table1[[#This Row],[Savings - IND]]</f>
        <v>1265176</v>
      </c>
      <c r="BZ107">
        <f>SUM(Table1[[#This Row],[Spend - US]:[Spend - Sams]])</f>
        <v>0</v>
      </c>
      <c r="CA107">
        <f>SUM(Table1[[#This Row],[Savings - US]:[Savings - Sams]])</f>
        <v>0</v>
      </c>
      <c r="CB107">
        <f>SUM(Table1[[#This Row],[Cost Avoidance - CAN2]:[Cost Avoidance - SAF10]])+SUM(Table1[[#This Row],[Cost Avoidance - Sams Mexico]:[Cost Avoidance - Sams China]])+Table1[[#This Row],[Cost Avoidance - IND]]</f>
        <v>0</v>
      </c>
      <c r="CC107">
        <f>SUM(Table1[[#This Row],[Cost Avoidance - US11]:[Cost Avoidance - Sams12]])</f>
        <v>0</v>
      </c>
      <c r="CD107">
        <f>_xlfn.XLOOKUP(Table1[[#This Row],[Status]],Status_Lookups[Status],Status_Lookups[Value],"")</f>
        <v>0.2</v>
      </c>
    </row>
    <row r="108" spans="1:82">
      <c r="A108">
        <v>4</v>
      </c>
      <c r="B108" t="s">
        <v>42</v>
      </c>
      <c r="C108" t="s">
        <v>43</v>
      </c>
      <c r="D108" t="s">
        <v>32</v>
      </c>
      <c r="E108" s="15">
        <v>43831</v>
      </c>
      <c r="F108" s="15">
        <v>43951</v>
      </c>
      <c r="G108" s="15">
        <v>43831</v>
      </c>
      <c r="H108" s="15">
        <v>43951</v>
      </c>
      <c r="I108" t="s">
        <v>443</v>
      </c>
      <c r="J108" t="s">
        <v>444</v>
      </c>
      <c r="K108" t="s">
        <v>445</v>
      </c>
      <c r="L108" t="s">
        <v>445</v>
      </c>
      <c r="M108">
        <v>0</v>
      </c>
      <c r="N108">
        <v>56900000</v>
      </c>
      <c r="O108">
        <v>16000000</v>
      </c>
      <c r="P108">
        <v>1900000</v>
      </c>
      <c r="Q108">
        <v>1000000</v>
      </c>
      <c r="R108">
        <v>0</v>
      </c>
      <c r="S108">
        <v>700000</v>
      </c>
      <c r="T108">
        <v>0</v>
      </c>
      <c r="U108">
        <v>0</v>
      </c>
      <c r="V108">
        <v>0</v>
      </c>
      <c r="W108">
        <v>0</v>
      </c>
      <c r="X108" t="s">
        <v>34</v>
      </c>
      <c r="Y108" s="16">
        <v>44704.913788888887</v>
      </c>
      <c r="Z108" s="17" t="str">
        <f>_xlfn.XLOOKUP(Table1[[#This Row],[Phase]],'Lookup tables'!$Y$27:$Y$60,'Lookup tables'!$Z$27:$Z$60,"Not Updated")</f>
        <v>Completed</v>
      </c>
      <c r="AA108" s="17" t="s">
        <v>645</v>
      </c>
      <c r="AB108">
        <v>0</v>
      </c>
      <c r="AC108">
        <v>579683</v>
      </c>
      <c r="AD108">
        <v>444222</v>
      </c>
      <c r="AE108">
        <v>201271</v>
      </c>
      <c r="AF108">
        <v>0</v>
      </c>
      <c r="AG108">
        <v>0</v>
      </c>
      <c r="AH108">
        <v>40000</v>
      </c>
      <c r="AI108">
        <v>0</v>
      </c>
      <c r="AJ108">
        <v>0</v>
      </c>
      <c r="AK108">
        <v>0</v>
      </c>
      <c r="AL108">
        <v>0</v>
      </c>
      <c r="AM108">
        <v>0</v>
      </c>
      <c r="AN108">
        <v>0</v>
      </c>
      <c r="AO108">
        <v>0</v>
      </c>
      <c r="AP108">
        <v>0</v>
      </c>
      <c r="AQ108">
        <v>0</v>
      </c>
      <c r="AR108">
        <v>0</v>
      </c>
      <c r="AS108">
        <v>0</v>
      </c>
      <c r="AT108">
        <v>0</v>
      </c>
      <c r="AU108">
        <v>0</v>
      </c>
      <c r="AV108">
        <v>0</v>
      </c>
      <c r="AW108">
        <v>0</v>
      </c>
      <c r="AX108">
        <v>0</v>
      </c>
      <c r="AY108">
        <v>0</v>
      </c>
      <c r="AZ108">
        <v>0</v>
      </c>
      <c r="BA108">
        <v>0</v>
      </c>
      <c r="BB108">
        <v>0</v>
      </c>
      <c r="BC108">
        <v>0</v>
      </c>
      <c r="BD108">
        <v>0</v>
      </c>
      <c r="BE108">
        <v>0</v>
      </c>
      <c r="BF108">
        <v>0</v>
      </c>
      <c r="BG108" s="185">
        <v>0</v>
      </c>
      <c r="BH108" s="185">
        <v>0</v>
      </c>
      <c r="BI108" s="185">
        <v>0</v>
      </c>
      <c r="BJ108" s="185">
        <v>0</v>
      </c>
      <c r="BK108" s="185">
        <v>0</v>
      </c>
      <c r="BL108" s="185">
        <v>0</v>
      </c>
      <c r="BM108" s="185">
        <v>0</v>
      </c>
      <c r="BN108" s="185">
        <v>0</v>
      </c>
      <c r="BO108" s="185">
        <v>0</v>
      </c>
      <c r="BP108" s="185">
        <v>0</v>
      </c>
      <c r="BQ108" s="185">
        <v>0</v>
      </c>
      <c r="BR108" s="185">
        <v>0</v>
      </c>
      <c r="BS108" s="185">
        <v>0</v>
      </c>
      <c r="BT108" s="185">
        <v>0</v>
      </c>
      <c r="BU108" t="b">
        <f>IF(_xlfn.MAXIFS(Table1[Sl No],Table1[Category],Table1[[#This Row],[Category]],Table1[Execution Year],Table1[[#This Row],[Execution Year]])=Table1[[#This Row],[Sl No]],TRUE,FALSE)</f>
        <v>0</v>
      </c>
      <c r="BV108" s="201">
        <f>SUM(Table1[[#This Row],[Spend - CAN]:[Spend - Sams]])+SUM(Table1[[#This Row],[Spend - Sams Mexico]:[Spend - Sams China]])+Table1[[#This Row],[Spend - IND]]</f>
        <v>76500000</v>
      </c>
      <c r="BW108">
        <f>SUM(Table1[[#This Row],[Savings - CAN]:[Savings - Sams]])+SUM(Table1[[#This Row],[Savings - Sams Mexico]:[Savings - Sams China]])+Table1[[#This Row],[Savings - IND]]</f>
        <v>1265176</v>
      </c>
      <c r="BX108">
        <f>SUM(Table1[[#This Row],[Spend - CAN]:[Spend - SAF]])+SUM(Table1[[#This Row],[Spend - Sams Mexico]:[Spend - Sams China]])+Table1[[#This Row],[Spend - IND]]</f>
        <v>76500000</v>
      </c>
      <c r="BY108">
        <f>SUM(Table1[[#This Row],[Savings - CAN]:[Savings - SAF]])+SUM(Table1[[#This Row],[Savings - Sams Mexico]:[Savings - Sams China]])+Table1[[#This Row],[Savings - IND]]</f>
        <v>1265176</v>
      </c>
      <c r="BZ108">
        <f>SUM(Table1[[#This Row],[Spend - US]:[Spend - Sams]])</f>
        <v>0</v>
      </c>
      <c r="CA108">
        <f>SUM(Table1[[#This Row],[Savings - US]:[Savings - Sams]])</f>
        <v>0</v>
      </c>
      <c r="CB108">
        <f>SUM(Table1[[#This Row],[Cost Avoidance - CAN2]:[Cost Avoidance - SAF10]])+SUM(Table1[[#This Row],[Cost Avoidance - Sams Mexico]:[Cost Avoidance - Sams China]])+Table1[[#This Row],[Cost Avoidance - IND]]</f>
        <v>0</v>
      </c>
      <c r="CC108">
        <f>SUM(Table1[[#This Row],[Cost Avoidance - US11]:[Cost Avoidance - Sams12]])</f>
        <v>0</v>
      </c>
      <c r="CD108">
        <f>_xlfn.XLOOKUP(Table1[[#This Row],[Status]],Status_Lookups[Status],Status_Lookups[Value],"")</f>
        <v>0.2</v>
      </c>
    </row>
    <row r="109" spans="1:82">
      <c r="A109">
        <v>5</v>
      </c>
      <c r="B109" t="s">
        <v>42</v>
      </c>
      <c r="C109" t="s">
        <v>43</v>
      </c>
      <c r="D109" t="s">
        <v>32</v>
      </c>
      <c r="E109" s="15">
        <v>43831</v>
      </c>
      <c r="F109" s="15">
        <v>43951</v>
      </c>
      <c r="G109" s="15">
        <v>43831</v>
      </c>
      <c r="H109" s="15">
        <v>43951</v>
      </c>
      <c r="I109" t="s">
        <v>443</v>
      </c>
      <c r="J109" t="s">
        <v>444</v>
      </c>
      <c r="K109" t="s">
        <v>445</v>
      </c>
      <c r="L109" t="s">
        <v>445</v>
      </c>
      <c r="M109">
        <v>0</v>
      </c>
      <c r="N109">
        <v>56900000</v>
      </c>
      <c r="O109">
        <v>16000000</v>
      </c>
      <c r="P109">
        <v>1900000</v>
      </c>
      <c r="Q109">
        <v>1000000</v>
      </c>
      <c r="R109">
        <v>0</v>
      </c>
      <c r="S109">
        <v>700000</v>
      </c>
      <c r="T109">
        <v>0</v>
      </c>
      <c r="U109">
        <v>0</v>
      </c>
      <c r="V109">
        <v>0</v>
      </c>
      <c r="W109">
        <v>0</v>
      </c>
      <c r="X109" t="s">
        <v>34</v>
      </c>
      <c r="Y109" s="16">
        <v>44704.914701504633</v>
      </c>
      <c r="Z109" s="17" t="str">
        <f>_xlfn.XLOOKUP(Table1[[#This Row],[Phase]],'Lookup tables'!$Y$27:$Y$60,'Lookup tables'!$Z$27:$Z$60,"Not Updated")</f>
        <v>Completed</v>
      </c>
      <c r="AA109" s="17" t="s">
        <v>646</v>
      </c>
      <c r="AB109">
        <v>0</v>
      </c>
      <c r="AC109">
        <v>579683</v>
      </c>
      <c r="AD109">
        <v>444222</v>
      </c>
      <c r="AE109">
        <v>201271</v>
      </c>
      <c r="AF109">
        <v>0</v>
      </c>
      <c r="AG109">
        <v>0</v>
      </c>
      <c r="AH109">
        <v>40000</v>
      </c>
      <c r="AI109">
        <v>0</v>
      </c>
      <c r="AJ109">
        <v>0</v>
      </c>
      <c r="AK109">
        <v>0</v>
      </c>
      <c r="AL109">
        <v>0</v>
      </c>
      <c r="AM109">
        <v>0</v>
      </c>
      <c r="AN109">
        <v>0</v>
      </c>
      <c r="AO109">
        <v>0</v>
      </c>
      <c r="AP109">
        <v>0</v>
      </c>
      <c r="AQ109">
        <v>0</v>
      </c>
      <c r="AR109">
        <v>0</v>
      </c>
      <c r="AS109">
        <v>0</v>
      </c>
      <c r="AT109">
        <v>0</v>
      </c>
      <c r="AU109">
        <v>0</v>
      </c>
      <c r="AV109">
        <v>0</v>
      </c>
      <c r="AW109">
        <v>0</v>
      </c>
      <c r="AX109">
        <v>0</v>
      </c>
      <c r="AY109">
        <v>0</v>
      </c>
      <c r="AZ109">
        <v>0</v>
      </c>
      <c r="BA109">
        <v>0</v>
      </c>
      <c r="BB109">
        <v>0</v>
      </c>
      <c r="BC109">
        <v>0</v>
      </c>
      <c r="BD109">
        <v>0</v>
      </c>
      <c r="BE109">
        <v>0</v>
      </c>
      <c r="BF109">
        <v>0</v>
      </c>
      <c r="BG109" s="185">
        <v>0</v>
      </c>
      <c r="BH109" s="185">
        <v>0</v>
      </c>
      <c r="BI109" s="185">
        <v>0</v>
      </c>
      <c r="BJ109" s="185">
        <v>0</v>
      </c>
      <c r="BK109" s="185">
        <v>0</v>
      </c>
      <c r="BL109" s="185">
        <v>0</v>
      </c>
      <c r="BM109" s="185">
        <v>0</v>
      </c>
      <c r="BN109" s="185">
        <v>0</v>
      </c>
      <c r="BO109" s="185">
        <v>0</v>
      </c>
      <c r="BP109" s="185">
        <v>0</v>
      </c>
      <c r="BQ109" s="185">
        <v>0</v>
      </c>
      <c r="BR109" s="185">
        <v>0</v>
      </c>
      <c r="BS109" s="185">
        <v>0</v>
      </c>
      <c r="BT109" s="185">
        <v>0</v>
      </c>
      <c r="BU109" t="b">
        <f>IF(_xlfn.MAXIFS(Table1[Sl No],Table1[Category],Table1[[#This Row],[Category]],Table1[Execution Year],Table1[[#This Row],[Execution Year]])=Table1[[#This Row],[Sl No]],TRUE,FALSE)</f>
        <v>1</v>
      </c>
      <c r="BV109" s="201">
        <f>SUM(Table1[[#This Row],[Spend - CAN]:[Spend - Sams]])+SUM(Table1[[#This Row],[Spend - Sams Mexico]:[Spend - Sams China]])+Table1[[#This Row],[Spend - IND]]</f>
        <v>76500000</v>
      </c>
      <c r="BW109">
        <f>SUM(Table1[[#This Row],[Savings - CAN]:[Savings - Sams]])+SUM(Table1[[#This Row],[Savings - Sams Mexico]:[Savings - Sams China]])+Table1[[#This Row],[Savings - IND]]</f>
        <v>1265176</v>
      </c>
      <c r="BX109">
        <f>SUM(Table1[[#This Row],[Spend - CAN]:[Spend - SAF]])+SUM(Table1[[#This Row],[Spend - Sams Mexico]:[Spend - Sams China]])+Table1[[#This Row],[Spend - IND]]</f>
        <v>76500000</v>
      </c>
      <c r="BY109">
        <f>SUM(Table1[[#This Row],[Savings - CAN]:[Savings - SAF]])+SUM(Table1[[#This Row],[Savings - Sams Mexico]:[Savings - Sams China]])+Table1[[#This Row],[Savings - IND]]</f>
        <v>1265176</v>
      </c>
      <c r="BZ109">
        <f>SUM(Table1[[#This Row],[Spend - US]:[Spend - Sams]])</f>
        <v>0</v>
      </c>
      <c r="CA109">
        <f>SUM(Table1[[#This Row],[Savings - US]:[Savings - Sams]])</f>
        <v>0</v>
      </c>
      <c r="CB109">
        <f>SUM(Table1[[#This Row],[Cost Avoidance - CAN2]:[Cost Avoidance - SAF10]])+SUM(Table1[[#This Row],[Cost Avoidance - Sams Mexico]:[Cost Avoidance - Sams China]])+Table1[[#This Row],[Cost Avoidance - IND]]</f>
        <v>0</v>
      </c>
      <c r="CC109">
        <f>SUM(Table1[[#This Row],[Cost Avoidance - US11]:[Cost Avoidance - Sams12]])</f>
        <v>0</v>
      </c>
      <c r="CD109">
        <f>_xlfn.XLOOKUP(Table1[[#This Row],[Status]],Status_Lookups[Status],Status_Lookups[Value],"")</f>
        <v>0.2</v>
      </c>
    </row>
    <row r="110" spans="1:82">
      <c r="A110">
        <v>1</v>
      </c>
      <c r="B110" t="s">
        <v>88</v>
      </c>
      <c r="C110" t="s">
        <v>43</v>
      </c>
      <c r="D110" t="s">
        <v>39</v>
      </c>
      <c r="E110" s="15"/>
      <c r="F110" s="15"/>
      <c r="G110" s="15"/>
      <c r="H110" s="15"/>
      <c r="I110" t="s">
        <v>625</v>
      </c>
      <c r="J110" t="s">
        <v>626</v>
      </c>
      <c r="X110" t="s">
        <v>78</v>
      </c>
      <c r="Y110" s="16">
        <v>44242.436585648145</v>
      </c>
      <c r="Z110" s="17" t="str">
        <f>_xlfn.XLOOKUP(Table1[[#This Row],[Phase]],'Lookup tables'!$Y$27:$Y$60,'Lookup tables'!$Z$27:$Z$60,"Not Updated")</f>
        <v>Proposed</v>
      </c>
      <c r="AA110" s="17"/>
      <c r="BG110" s="185"/>
      <c r="BH110" s="185"/>
      <c r="BI110" s="185"/>
      <c r="BJ110" s="185"/>
      <c r="BK110" s="185"/>
      <c r="BL110" s="185"/>
      <c r="BM110" s="185"/>
      <c r="BN110" s="185"/>
      <c r="BO110" s="185"/>
      <c r="BP110" s="185"/>
      <c r="BQ110" s="185"/>
      <c r="BR110" s="185"/>
      <c r="BS110" s="185"/>
      <c r="BT110" s="185"/>
      <c r="BU110" t="b">
        <f>IF(_xlfn.MAXIFS(Table1[Sl No],Table1[Category],Table1[[#This Row],[Category]],Table1[Execution Year],Table1[[#This Row],[Execution Year]])=Table1[[#This Row],[Sl No]],TRUE,FALSE)</f>
        <v>0</v>
      </c>
      <c r="BV110" s="201">
        <f>SUM(Table1[[#This Row],[Spend - CAN]:[Spend - Sams]])+SUM(Table1[[#This Row],[Spend - Sams Mexico]:[Spend - Sams China]])+Table1[[#This Row],[Spend - IND]]</f>
        <v>0</v>
      </c>
      <c r="BW110">
        <f>SUM(Table1[[#This Row],[Savings - CAN]:[Savings - Sams]])+SUM(Table1[[#This Row],[Savings - Sams Mexico]:[Savings - Sams China]])+Table1[[#This Row],[Savings - IND]]</f>
        <v>0</v>
      </c>
      <c r="BX110">
        <f>SUM(Table1[[#This Row],[Spend - CAN]:[Spend - SAF]])+SUM(Table1[[#This Row],[Spend - Sams Mexico]:[Spend - Sams China]])+Table1[[#This Row],[Spend - IND]]</f>
        <v>0</v>
      </c>
      <c r="BY110">
        <f>SUM(Table1[[#This Row],[Savings - CAN]:[Savings - SAF]])+SUM(Table1[[#This Row],[Savings - Sams Mexico]:[Savings - Sams China]])+Table1[[#This Row],[Savings - IND]]</f>
        <v>0</v>
      </c>
      <c r="BZ110">
        <f>SUM(Table1[[#This Row],[Spend - US]:[Spend - Sams]])</f>
        <v>0</v>
      </c>
      <c r="CA110">
        <f>SUM(Table1[[#This Row],[Savings - US]:[Savings - Sams]])</f>
        <v>0</v>
      </c>
      <c r="CB110">
        <f>SUM(Table1[[#This Row],[Cost Avoidance - CAN2]:[Cost Avoidance - SAF10]])+SUM(Table1[[#This Row],[Cost Avoidance - Sams Mexico]:[Cost Avoidance - Sams China]])+Table1[[#This Row],[Cost Avoidance - IND]]</f>
        <v>0</v>
      </c>
      <c r="CC110">
        <f>SUM(Table1[[#This Row],[Cost Avoidance - US11]:[Cost Avoidance - Sams12]])</f>
        <v>0</v>
      </c>
      <c r="CD110" t="str">
        <f>_xlfn.XLOOKUP(Table1[[#This Row],[Status]],Status_Lookups[Status],Status_Lookups[Value],"")</f>
        <v/>
      </c>
    </row>
    <row r="111" spans="1:82">
      <c r="A111">
        <v>2</v>
      </c>
      <c r="B111" t="s">
        <v>88</v>
      </c>
      <c r="C111" t="s">
        <v>43</v>
      </c>
      <c r="D111" t="s">
        <v>39</v>
      </c>
      <c r="E111" s="15">
        <v>0</v>
      </c>
      <c r="F111" s="15">
        <v>0</v>
      </c>
      <c r="G111" s="15"/>
      <c r="H111" s="15"/>
      <c r="I111" t="s">
        <v>458</v>
      </c>
      <c r="J111">
        <v>0</v>
      </c>
      <c r="K111">
        <v>0</v>
      </c>
      <c r="L111">
        <v>0</v>
      </c>
      <c r="M111">
        <v>134500000</v>
      </c>
      <c r="N111">
        <v>274700000</v>
      </c>
      <c r="O111">
        <v>60700000</v>
      </c>
      <c r="P111">
        <v>0</v>
      </c>
      <c r="Q111">
        <v>0</v>
      </c>
      <c r="R111">
        <v>0</v>
      </c>
      <c r="S111">
        <v>0</v>
      </c>
      <c r="T111">
        <v>114700000</v>
      </c>
      <c r="U111">
        <v>0</v>
      </c>
      <c r="V111">
        <v>0</v>
      </c>
      <c r="W111">
        <v>0</v>
      </c>
      <c r="X111" t="s">
        <v>78</v>
      </c>
      <c r="Y111" s="16">
        <v>44242.507139351852</v>
      </c>
      <c r="Z111" s="17" t="str">
        <f>_xlfn.XLOOKUP(Table1[[#This Row],[Phase]],'Lookup tables'!$Y$27:$Y$60,'Lookup tables'!$Z$27:$Z$60,"Not Updated")</f>
        <v>Exploratory</v>
      </c>
      <c r="AA111" s="17" t="s">
        <v>647</v>
      </c>
      <c r="AB111">
        <v>0</v>
      </c>
      <c r="AC111">
        <v>0</v>
      </c>
      <c r="AD111">
        <v>0</v>
      </c>
      <c r="AE111">
        <v>0</v>
      </c>
      <c r="AF111">
        <v>0</v>
      </c>
      <c r="AG111">
        <v>0</v>
      </c>
      <c r="AH111">
        <v>0</v>
      </c>
      <c r="AI111">
        <v>0</v>
      </c>
      <c r="AJ111">
        <v>0</v>
      </c>
      <c r="AK111">
        <v>0</v>
      </c>
      <c r="AL111">
        <v>0</v>
      </c>
      <c r="BG111" s="185"/>
      <c r="BH111" s="185"/>
      <c r="BI111" s="185"/>
      <c r="BJ111" s="185"/>
      <c r="BK111" s="185"/>
      <c r="BL111" s="185"/>
      <c r="BM111" s="185"/>
      <c r="BN111" s="185"/>
      <c r="BO111" s="185"/>
      <c r="BP111" s="185"/>
      <c r="BQ111" s="185"/>
      <c r="BR111" s="185"/>
      <c r="BS111" s="185"/>
      <c r="BT111" s="185"/>
      <c r="BU111" t="b">
        <f>IF(_xlfn.MAXIFS(Table1[Sl No],Table1[Category],Table1[[#This Row],[Category]],Table1[Execution Year],Table1[[#This Row],[Execution Year]])=Table1[[#This Row],[Sl No]],TRUE,FALSE)</f>
        <v>0</v>
      </c>
      <c r="BV111" s="201">
        <f>SUM(Table1[[#This Row],[Spend - CAN]:[Spend - Sams]])+SUM(Table1[[#This Row],[Spend - Sams Mexico]:[Spend - Sams China]])+Table1[[#This Row],[Spend - IND]]</f>
        <v>584600000</v>
      </c>
      <c r="BW111">
        <f>SUM(Table1[[#This Row],[Savings - CAN]:[Savings - Sams]])+SUM(Table1[[#This Row],[Savings - Sams Mexico]:[Savings - Sams China]])+Table1[[#This Row],[Savings - IND]]</f>
        <v>0</v>
      </c>
      <c r="BX111">
        <f>SUM(Table1[[#This Row],[Spend - CAN]:[Spend - SAF]])+SUM(Table1[[#This Row],[Spend - Sams Mexico]:[Spend - Sams China]])+Table1[[#This Row],[Spend - IND]]</f>
        <v>584600000</v>
      </c>
      <c r="BY111">
        <f>SUM(Table1[[#This Row],[Savings - CAN]:[Savings - SAF]])+SUM(Table1[[#This Row],[Savings - Sams Mexico]:[Savings - Sams China]])+Table1[[#This Row],[Savings - IND]]</f>
        <v>0</v>
      </c>
      <c r="BZ111">
        <f>SUM(Table1[[#This Row],[Spend - US]:[Spend - Sams]])</f>
        <v>0</v>
      </c>
      <c r="CA111">
        <f>SUM(Table1[[#This Row],[Savings - US]:[Savings - Sams]])</f>
        <v>0</v>
      </c>
      <c r="CB111">
        <f>SUM(Table1[[#This Row],[Cost Avoidance - CAN2]:[Cost Avoidance - SAF10]])+SUM(Table1[[#This Row],[Cost Avoidance - Sams Mexico]:[Cost Avoidance - Sams China]])+Table1[[#This Row],[Cost Avoidance - IND]]</f>
        <v>0</v>
      </c>
      <c r="CC111">
        <f>SUM(Table1[[#This Row],[Cost Avoidance - US11]:[Cost Avoidance - Sams12]])</f>
        <v>0</v>
      </c>
      <c r="CD111" t="str">
        <f>_xlfn.XLOOKUP(Table1[[#This Row],[Status]],Status_Lookups[Status],Status_Lookups[Value],"")</f>
        <v/>
      </c>
    </row>
    <row r="112" spans="1:82">
      <c r="A112">
        <v>3</v>
      </c>
      <c r="B112" t="s">
        <v>88</v>
      </c>
      <c r="C112" t="s">
        <v>43</v>
      </c>
      <c r="D112" t="s">
        <v>39</v>
      </c>
      <c r="E112" s="15">
        <v>44562</v>
      </c>
      <c r="F112" s="15">
        <v>44650</v>
      </c>
      <c r="G112" s="15"/>
      <c r="H112" s="15"/>
      <c r="I112" t="s">
        <v>458</v>
      </c>
      <c r="J112">
        <v>0</v>
      </c>
      <c r="K112">
        <v>0</v>
      </c>
      <c r="L112">
        <v>0</v>
      </c>
      <c r="M112">
        <v>134500000</v>
      </c>
      <c r="N112">
        <v>274700000</v>
      </c>
      <c r="O112">
        <v>60700000</v>
      </c>
      <c r="P112">
        <v>0</v>
      </c>
      <c r="Q112">
        <v>0</v>
      </c>
      <c r="R112">
        <v>0</v>
      </c>
      <c r="S112">
        <v>0</v>
      </c>
      <c r="T112">
        <v>114700000</v>
      </c>
      <c r="U112">
        <v>0</v>
      </c>
      <c r="V112">
        <v>0</v>
      </c>
      <c r="W112">
        <v>0</v>
      </c>
      <c r="X112" t="s">
        <v>78</v>
      </c>
      <c r="Y112" s="16">
        <v>44245.675388773147</v>
      </c>
      <c r="Z112" s="17" t="str">
        <f>_xlfn.XLOOKUP(Table1[[#This Row],[Phase]],'Lookup tables'!$Y$27:$Y$60,'Lookup tables'!$Z$27:$Z$60,"Not Updated")</f>
        <v>Exploratory</v>
      </c>
      <c r="AA112" s="17" t="s">
        <v>647</v>
      </c>
      <c r="AB112">
        <v>0</v>
      </c>
      <c r="AC112">
        <v>0</v>
      </c>
      <c r="AD112">
        <v>0</v>
      </c>
      <c r="AE112">
        <v>0</v>
      </c>
      <c r="AF112">
        <v>0</v>
      </c>
      <c r="AG112">
        <v>0</v>
      </c>
      <c r="AH112">
        <v>0</v>
      </c>
      <c r="AI112">
        <v>0</v>
      </c>
      <c r="AJ112">
        <v>0</v>
      </c>
      <c r="AK112">
        <v>0</v>
      </c>
      <c r="AL112">
        <v>0</v>
      </c>
      <c r="BG112" s="185"/>
      <c r="BH112" s="185"/>
      <c r="BI112" s="185"/>
      <c r="BJ112" s="185"/>
      <c r="BK112" s="185"/>
      <c r="BL112" s="185"/>
      <c r="BM112" s="185"/>
      <c r="BN112" s="185"/>
      <c r="BO112" s="185"/>
      <c r="BP112" s="185"/>
      <c r="BQ112" s="185"/>
      <c r="BR112" s="185"/>
      <c r="BS112" s="185"/>
      <c r="BT112" s="185"/>
      <c r="BU112" t="b">
        <f>IF(_xlfn.MAXIFS(Table1[Sl No],Table1[Category],Table1[[#This Row],[Category]],Table1[Execution Year],Table1[[#This Row],[Execution Year]])=Table1[[#This Row],[Sl No]],TRUE,FALSE)</f>
        <v>0</v>
      </c>
      <c r="BV112" s="201">
        <f>SUM(Table1[[#This Row],[Spend - CAN]:[Spend - Sams]])+SUM(Table1[[#This Row],[Spend - Sams Mexico]:[Spend - Sams China]])+Table1[[#This Row],[Spend - IND]]</f>
        <v>584600000</v>
      </c>
      <c r="BW112">
        <f>SUM(Table1[[#This Row],[Savings - CAN]:[Savings - Sams]])+SUM(Table1[[#This Row],[Savings - Sams Mexico]:[Savings - Sams China]])+Table1[[#This Row],[Savings - IND]]</f>
        <v>0</v>
      </c>
      <c r="BX112">
        <f>SUM(Table1[[#This Row],[Spend - CAN]:[Spend - SAF]])+SUM(Table1[[#This Row],[Spend - Sams Mexico]:[Spend - Sams China]])+Table1[[#This Row],[Spend - IND]]</f>
        <v>584600000</v>
      </c>
      <c r="BY112">
        <f>SUM(Table1[[#This Row],[Savings - CAN]:[Savings - SAF]])+SUM(Table1[[#This Row],[Savings - Sams Mexico]:[Savings - Sams China]])+Table1[[#This Row],[Savings - IND]]</f>
        <v>0</v>
      </c>
      <c r="BZ112">
        <f>SUM(Table1[[#This Row],[Spend - US]:[Spend - Sams]])</f>
        <v>0</v>
      </c>
      <c r="CA112">
        <f>SUM(Table1[[#This Row],[Savings - US]:[Savings - Sams]])</f>
        <v>0</v>
      </c>
      <c r="CB112">
        <f>SUM(Table1[[#This Row],[Cost Avoidance - CAN2]:[Cost Avoidance - SAF10]])+SUM(Table1[[#This Row],[Cost Avoidance - Sams Mexico]:[Cost Avoidance - Sams China]])+Table1[[#This Row],[Cost Avoidance - IND]]</f>
        <v>0</v>
      </c>
      <c r="CC112">
        <f>SUM(Table1[[#This Row],[Cost Avoidance - US11]:[Cost Avoidance - Sams12]])</f>
        <v>0</v>
      </c>
      <c r="CD112" t="str">
        <f>_xlfn.XLOOKUP(Table1[[#This Row],[Status]],Status_Lookups[Status],Status_Lookups[Value],"")</f>
        <v/>
      </c>
    </row>
    <row r="113" spans="1:82">
      <c r="A113">
        <v>4</v>
      </c>
      <c r="B113" t="s">
        <v>88</v>
      </c>
      <c r="C113" t="s">
        <v>43</v>
      </c>
      <c r="D113" t="s">
        <v>39</v>
      </c>
      <c r="E113" s="15">
        <v>44562</v>
      </c>
      <c r="F113" s="15">
        <v>44650</v>
      </c>
      <c r="G113" s="15">
        <v>0</v>
      </c>
      <c r="H113" s="15">
        <v>0</v>
      </c>
      <c r="I113" t="s">
        <v>458</v>
      </c>
      <c r="J113">
        <v>0</v>
      </c>
      <c r="K113">
        <v>0</v>
      </c>
      <c r="L113">
        <v>0</v>
      </c>
      <c r="M113">
        <v>7300000</v>
      </c>
      <c r="N113">
        <v>35300000</v>
      </c>
      <c r="O113">
        <v>9600000</v>
      </c>
      <c r="P113">
        <v>100000</v>
      </c>
      <c r="Q113">
        <v>0</v>
      </c>
      <c r="R113">
        <v>0</v>
      </c>
      <c r="S113">
        <v>0</v>
      </c>
      <c r="T113">
        <v>38500000</v>
      </c>
      <c r="U113">
        <v>0</v>
      </c>
      <c r="V113">
        <v>0</v>
      </c>
      <c r="W113">
        <v>0</v>
      </c>
      <c r="X113" t="s">
        <v>78</v>
      </c>
      <c r="Y113" s="16">
        <v>44334.436019444445</v>
      </c>
      <c r="Z113" s="17" t="str">
        <f>_xlfn.XLOOKUP(Table1[[#This Row],[Phase]],'Lookup tables'!$Y$27:$Y$60,'Lookup tables'!$Z$27:$Z$60,"Not Updated")</f>
        <v>Exploratory</v>
      </c>
      <c r="AA113" s="17" t="s">
        <v>647</v>
      </c>
      <c r="AB113">
        <v>0</v>
      </c>
      <c r="AC113">
        <v>0</v>
      </c>
      <c r="AD113">
        <v>0</v>
      </c>
      <c r="AE113">
        <v>0</v>
      </c>
      <c r="AF113">
        <v>0</v>
      </c>
      <c r="AG113">
        <v>0</v>
      </c>
      <c r="AH113">
        <v>0</v>
      </c>
      <c r="AI113">
        <v>0</v>
      </c>
      <c r="AJ113">
        <v>0</v>
      </c>
      <c r="AK113">
        <v>0</v>
      </c>
      <c r="AL113">
        <v>0</v>
      </c>
      <c r="AM113">
        <v>0</v>
      </c>
      <c r="AN113">
        <v>0</v>
      </c>
      <c r="AO113">
        <v>0</v>
      </c>
      <c r="AP113">
        <v>0</v>
      </c>
      <c r="AQ113">
        <v>0</v>
      </c>
      <c r="AR113">
        <v>0</v>
      </c>
      <c r="AS113">
        <v>0</v>
      </c>
      <c r="AT113">
        <v>0</v>
      </c>
      <c r="AU113">
        <v>0</v>
      </c>
      <c r="AV113">
        <v>0</v>
      </c>
      <c r="AW113">
        <v>0</v>
      </c>
      <c r="BG113" s="185"/>
      <c r="BH113" s="185"/>
      <c r="BI113" s="185"/>
      <c r="BJ113" s="185"/>
      <c r="BK113" s="185"/>
      <c r="BL113" s="185"/>
      <c r="BM113" s="185"/>
      <c r="BN113" s="185"/>
      <c r="BO113" s="185"/>
      <c r="BP113" s="185"/>
      <c r="BQ113" s="185"/>
      <c r="BR113" s="185"/>
      <c r="BS113" s="185"/>
      <c r="BT113" s="185"/>
      <c r="BU113" t="b">
        <f>IF(_xlfn.MAXIFS(Table1[Sl No],Table1[Category],Table1[[#This Row],[Category]],Table1[Execution Year],Table1[[#This Row],[Execution Year]])=Table1[[#This Row],[Sl No]],TRUE,FALSE)</f>
        <v>0</v>
      </c>
      <c r="BV113" s="201">
        <f>SUM(Table1[[#This Row],[Spend - CAN]:[Spend - Sams]])+SUM(Table1[[#This Row],[Spend - Sams Mexico]:[Spend - Sams China]])+Table1[[#This Row],[Spend - IND]]</f>
        <v>90800000</v>
      </c>
      <c r="BW113">
        <f>SUM(Table1[[#This Row],[Savings - CAN]:[Savings - Sams]])+SUM(Table1[[#This Row],[Savings - Sams Mexico]:[Savings - Sams China]])+Table1[[#This Row],[Savings - IND]]</f>
        <v>0</v>
      </c>
      <c r="BX113">
        <f>SUM(Table1[[#This Row],[Spend - CAN]:[Spend - SAF]])+SUM(Table1[[#This Row],[Spend - Sams Mexico]:[Spend - Sams China]])+Table1[[#This Row],[Spend - IND]]</f>
        <v>90800000</v>
      </c>
      <c r="BY113">
        <f>SUM(Table1[[#This Row],[Savings - CAN]:[Savings - SAF]])+SUM(Table1[[#This Row],[Savings - Sams Mexico]:[Savings - Sams China]])+Table1[[#This Row],[Savings - IND]]</f>
        <v>0</v>
      </c>
      <c r="BZ113">
        <f>SUM(Table1[[#This Row],[Spend - US]:[Spend - Sams]])</f>
        <v>0</v>
      </c>
      <c r="CA113">
        <f>SUM(Table1[[#This Row],[Savings - US]:[Savings - Sams]])</f>
        <v>0</v>
      </c>
      <c r="CB113">
        <f>SUM(Table1[[#This Row],[Cost Avoidance - CAN2]:[Cost Avoidance - SAF10]])+SUM(Table1[[#This Row],[Cost Avoidance - Sams Mexico]:[Cost Avoidance - Sams China]])+Table1[[#This Row],[Cost Avoidance - IND]]</f>
        <v>0</v>
      </c>
      <c r="CC113">
        <f>SUM(Table1[[#This Row],[Cost Avoidance - US11]:[Cost Avoidance - Sams12]])</f>
        <v>0</v>
      </c>
      <c r="CD113" t="str">
        <f>_xlfn.XLOOKUP(Table1[[#This Row],[Status]],Status_Lookups[Status],Status_Lookups[Value],"")</f>
        <v/>
      </c>
    </row>
    <row r="114" spans="1:82">
      <c r="A114">
        <v>5</v>
      </c>
      <c r="B114" t="s">
        <v>88</v>
      </c>
      <c r="C114" t="s">
        <v>43</v>
      </c>
      <c r="D114" t="s">
        <v>39</v>
      </c>
      <c r="E114" s="15">
        <v>44348</v>
      </c>
      <c r="F114" s="15">
        <v>44469</v>
      </c>
      <c r="G114" s="15">
        <v>0</v>
      </c>
      <c r="H114" s="15">
        <v>0</v>
      </c>
      <c r="I114" t="s">
        <v>484</v>
      </c>
      <c r="J114" t="s">
        <v>459</v>
      </c>
      <c r="K114">
        <v>0</v>
      </c>
      <c r="L114">
        <v>0</v>
      </c>
      <c r="M114">
        <v>7300000</v>
      </c>
      <c r="N114">
        <v>35300000</v>
      </c>
      <c r="O114">
        <v>9600000</v>
      </c>
      <c r="P114">
        <v>100000</v>
      </c>
      <c r="Q114">
        <v>0</v>
      </c>
      <c r="R114">
        <v>0</v>
      </c>
      <c r="S114">
        <v>0</v>
      </c>
      <c r="T114">
        <v>0</v>
      </c>
      <c r="U114">
        <v>0</v>
      </c>
      <c r="V114">
        <v>20000000</v>
      </c>
      <c r="W114">
        <v>0</v>
      </c>
      <c r="X114" t="s">
        <v>78</v>
      </c>
      <c r="Y114" s="16">
        <v>44340.407880902778</v>
      </c>
      <c r="Z114" s="17" t="str">
        <f>_xlfn.XLOOKUP(Table1[[#This Row],[Phase]],'Lookup tables'!$Y$27:$Y$60,'Lookup tables'!$Z$27:$Z$60,"Not Updated")</f>
        <v>Bid Prep</v>
      </c>
      <c r="AA114" s="17" t="s">
        <v>647</v>
      </c>
      <c r="AB114">
        <v>0</v>
      </c>
      <c r="AC114">
        <v>0</v>
      </c>
      <c r="AD114">
        <v>0</v>
      </c>
      <c r="AE114">
        <v>0</v>
      </c>
      <c r="AF114">
        <v>0</v>
      </c>
      <c r="AG114">
        <v>0</v>
      </c>
      <c r="AH114">
        <v>0</v>
      </c>
      <c r="AI114">
        <v>0</v>
      </c>
      <c r="AJ114">
        <v>0</v>
      </c>
      <c r="AK114">
        <v>0</v>
      </c>
      <c r="AL114">
        <v>0</v>
      </c>
      <c r="AM114">
        <v>0</v>
      </c>
      <c r="AN114">
        <v>0</v>
      </c>
      <c r="AO114">
        <v>0</v>
      </c>
      <c r="AP114">
        <v>0</v>
      </c>
      <c r="AQ114">
        <v>0</v>
      </c>
      <c r="AR114">
        <v>0</v>
      </c>
      <c r="AS114">
        <v>0</v>
      </c>
      <c r="AT114">
        <v>0</v>
      </c>
      <c r="AU114">
        <v>0</v>
      </c>
      <c r="AV114">
        <v>0</v>
      </c>
      <c r="AW114">
        <v>0</v>
      </c>
      <c r="BG114" s="185"/>
      <c r="BH114" s="185"/>
      <c r="BI114" s="185"/>
      <c r="BJ114" s="185"/>
      <c r="BK114" s="185"/>
      <c r="BL114" s="185"/>
      <c r="BM114" s="185"/>
      <c r="BN114" s="185"/>
      <c r="BO114" s="185"/>
      <c r="BP114" s="185"/>
      <c r="BQ114" s="185"/>
      <c r="BR114" s="185"/>
      <c r="BS114" s="185"/>
      <c r="BT114" s="185"/>
      <c r="BU114" t="b">
        <f>IF(_xlfn.MAXIFS(Table1[Sl No],Table1[Category],Table1[[#This Row],[Category]],Table1[Execution Year],Table1[[#This Row],[Execution Year]])=Table1[[#This Row],[Sl No]],TRUE,FALSE)</f>
        <v>0</v>
      </c>
      <c r="BV114" s="201">
        <f>SUM(Table1[[#This Row],[Spend - CAN]:[Spend - Sams]])+SUM(Table1[[#This Row],[Spend - Sams Mexico]:[Spend - Sams China]])+Table1[[#This Row],[Spend - IND]]</f>
        <v>72300000</v>
      </c>
      <c r="BW114">
        <f>SUM(Table1[[#This Row],[Savings - CAN]:[Savings - Sams]])+SUM(Table1[[#This Row],[Savings - Sams Mexico]:[Savings - Sams China]])+Table1[[#This Row],[Savings - IND]]</f>
        <v>0</v>
      </c>
      <c r="BX114">
        <f>SUM(Table1[[#This Row],[Spend - CAN]:[Spend - SAF]])+SUM(Table1[[#This Row],[Spend - Sams Mexico]:[Spend - Sams China]])+Table1[[#This Row],[Spend - IND]]</f>
        <v>52300000</v>
      </c>
      <c r="BY114">
        <f>SUM(Table1[[#This Row],[Savings - CAN]:[Savings - SAF]])+SUM(Table1[[#This Row],[Savings - Sams Mexico]:[Savings - Sams China]])+Table1[[#This Row],[Savings - IND]]</f>
        <v>0</v>
      </c>
      <c r="BZ114">
        <f>SUM(Table1[[#This Row],[Spend - US]:[Spend - Sams]])</f>
        <v>20000000</v>
      </c>
      <c r="CA114">
        <f>SUM(Table1[[#This Row],[Savings - US]:[Savings - Sams]])</f>
        <v>0</v>
      </c>
      <c r="CB114">
        <f>SUM(Table1[[#This Row],[Cost Avoidance - CAN2]:[Cost Avoidance - SAF10]])+SUM(Table1[[#This Row],[Cost Avoidance - Sams Mexico]:[Cost Avoidance - Sams China]])+Table1[[#This Row],[Cost Avoidance - IND]]</f>
        <v>0</v>
      </c>
      <c r="CC114">
        <f>SUM(Table1[[#This Row],[Cost Avoidance - US11]:[Cost Avoidance - Sams12]])</f>
        <v>0</v>
      </c>
      <c r="CD114">
        <f>_xlfn.XLOOKUP(Table1[[#This Row],[Status]],Status_Lookups[Status],Status_Lookups[Value],"")</f>
        <v>0.3</v>
      </c>
    </row>
    <row r="115" spans="1:82">
      <c r="A115">
        <v>6</v>
      </c>
      <c r="B115" t="s">
        <v>88</v>
      </c>
      <c r="C115" t="s">
        <v>43</v>
      </c>
      <c r="D115" t="s">
        <v>39</v>
      </c>
      <c r="E115" s="15">
        <v>44409</v>
      </c>
      <c r="F115" s="15">
        <v>44500</v>
      </c>
      <c r="G115" s="15">
        <v>0</v>
      </c>
      <c r="H115" s="15">
        <v>0</v>
      </c>
      <c r="I115" t="s">
        <v>484</v>
      </c>
      <c r="J115" t="s">
        <v>459</v>
      </c>
      <c r="K115">
        <v>0</v>
      </c>
      <c r="L115">
        <v>0</v>
      </c>
      <c r="M115">
        <v>7300000</v>
      </c>
      <c r="N115">
        <v>35300000</v>
      </c>
      <c r="O115">
        <v>9600000</v>
      </c>
      <c r="P115">
        <v>100000</v>
      </c>
      <c r="Q115">
        <v>0</v>
      </c>
      <c r="R115">
        <v>0</v>
      </c>
      <c r="S115">
        <v>0</v>
      </c>
      <c r="T115">
        <v>0</v>
      </c>
      <c r="U115">
        <v>0</v>
      </c>
      <c r="V115">
        <v>20000000</v>
      </c>
      <c r="W115">
        <v>0</v>
      </c>
      <c r="X115" t="s">
        <v>78</v>
      </c>
      <c r="Y115" s="16">
        <v>44340.408373842591</v>
      </c>
      <c r="Z115" s="17" t="str">
        <f>_xlfn.XLOOKUP(Table1[[#This Row],[Phase]],'Lookup tables'!$Y$27:$Y$60,'Lookup tables'!$Z$27:$Z$60,"Not Updated")</f>
        <v>Bid Prep</v>
      </c>
      <c r="AA115" s="17" t="s">
        <v>647</v>
      </c>
      <c r="AB115">
        <v>0</v>
      </c>
      <c r="AC115">
        <v>0</v>
      </c>
      <c r="AD115">
        <v>0</v>
      </c>
      <c r="AE115">
        <v>0</v>
      </c>
      <c r="AF115">
        <v>0</v>
      </c>
      <c r="AG115">
        <v>0</v>
      </c>
      <c r="AH115">
        <v>0</v>
      </c>
      <c r="AI115">
        <v>0</v>
      </c>
      <c r="AJ115">
        <v>0</v>
      </c>
      <c r="AK115">
        <v>0</v>
      </c>
      <c r="AL115">
        <v>0</v>
      </c>
      <c r="AM115">
        <v>0</v>
      </c>
      <c r="AN115">
        <v>0</v>
      </c>
      <c r="AO115">
        <v>0</v>
      </c>
      <c r="AP115">
        <v>0</v>
      </c>
      <c r="AQ115">
        <v>0</v>
      </c>
      <c r="AR115">
        <v>0</v>
      </c>
      <c r="AS115">
        <v>0</v>
      </c>
      <c r="AT115">
        <v>0</v>
      </c>
      <c r="AU115">
        <v>0</v>
      </c>
      <c r="AV115">
        <v>0</v>
      </c>
      <c r="AW115">
        <v>0</v>
      </c>
      <c r="BG115" s="185"/>
      <c r="BH115" s="185"/>
      <c r="BI115" s="185"/>
      <c r="BJ115" s="185"/>
      <c r="BK115" s="185"/>
      <c r="BL115" s="185"/>
      <c r="BM115" s="185"/>
      <c r="BN115" s="185"/>
      <c r="BO115" s="185"/>
      <c r="BP115" s="185"/>
      <c r="BQ115" s="185"/>
      <c r="BR115" s="185"/>
      <c r="BS115" s="185"/>
      <c r="BT115" s="185"/>
      <c r="BU115" t="b">
        <f>IF(_xlfn.MAXIFS(Table1[Sl No],Table1[Category],Table1[[#This Row],[Category]],Table1[Execution Year],Table1[[#This Row],[Execution Year]])=Table1[[#This Row],[Sl No]],TRUE,FALSE)</f>
        <v>0</v>
      </c>
      <c r="BV115" s="201">
        <f>SUM(Table1[[#This Row],[Spend - CAN]:[Spend - Sams]])+SUM(Table1[[#This Row],[Spend - Sams Mexico]:[Spend - Sams China]])+Table1[[#This Row],[Spend - IND]]</f>
        <v>72300000</v>
      </c>
      <c r="BW115">
        <f>SUM(Table1[[#This Row],[Savings - CAN]:[Savings - Sams]])+SUM(Table1[[#This Row],[Savings - Sams Mexico]:[Savings - Sams China]])+Table1[[#This Row],[Savings - IND]]</f>
        <v>0</v>
      </c>
      <c r="BX115">
        <f>SUM(Table1[[#This Row],[Spend - CAN]:[Spend - SAF]])+SUM(Table1[[#This Row],[Spend - Sams Mexico]:[Spend - Sams China]])+Table1[[#This Row],[Spend - IND]]</f>
        <v>52300000</v>
      </c>
      <c r="BY115">
        <f>SUM(Table1[[#This Row],[Savings - CAN]:[Savings - SAF]])+SUM(Table1[[#This Row],[Savings - Sams Mexico]:[Savings - Sams China]])+Table1[[#This Row],[Savings - IND]]</f>
        <v>0</v>
      </c>
      <c r="BZ115">
        <f>SUM(Table1[[#This Row],[Spend - US]:[Spend - Sams]])</f>
        <v>20000000</v>
      </c>
      <c r="CA115">
        <f>SUM(Table1[[#This Row],[Savings - US]:[Savings - Sams]])</f>
        <v>0</v>
      </c>
      <c r="CB115">
        <f>SUM(Table1[[#This Row],[Cost Avoidance - CAN2]:[Cost Avoidance - SAF10]])+SUM(Table1[[#This Row],[Cost Avoidance - Sams Mexico]:[Cost Avoidance - Sams China]])+Table1[[#This Row],[Cost Avoidance - IND]]</f>
        <v>0</v>
      </c>
      <c r="CC115">
        <f>SUM(Table1[[#This Row],[Cost Avoidance - US11]:[Cost Avoidance - Sams12]])</f>
        <v>0</v>
      </c>
      <c r="CD115">
        <f>_xlfn.XLOOKUP(Table1[[#This Row],[Status]],Status_Lookups[Status],Status_Lookups[Value],"")</f>
        <v>0.3</v>
      </c>
    </row>
    <row r="116" spans="1:82">
      <c r="A116">
        <v>7</v>
      </c>
      <c r="B116" t="s">
        <v>88</v>
      </c>
      <c r="C116" t="s">
        <v>43</v>
      </c>
      <c r="D116" t="s">
        <v>39</v>
      </c>
      <c r="E116" s="15">
        <v>44409</v>
      </c>
      <c r="F116" s="15">
        <v>44500</v>
      </c>
      <c r="G116" s="15">
        <v>0</v>
      </c>
      <c r="H116" s="15">
        <v>0</v>
      </c>
      <c r="I116" t="s">
        <v>484</v>
      </c>
      <c r="J116" t="s">
        <v>459</v>
      </c>
      <c r="K116" t="s">
        <v>454</v>
      </c>
      <c r="L116">
        <v>0</v>
      </c>
      <c r="M116">
        <v>7300000</v>
      </c>
      <c r="N116">
        <v>35300000</v>
      </c>
      <c r="O116">
        <v>9600000</v>
      </c>
      <c r="P116">
        <v>100000</v>
      </c>
      <c r="Q116">
        <v>0</v>
      </c>
      <c r="R116">
        <v>0</v>
      </c>
      <c r="S116">
        <v>0</v>
      </c>
      <c r="T116">
        <v>0</v>
      </c>
      <c r="U116">
        <v>0</v>
      </c>
      <c r="V116">
        <v>20000000</v>
      </c>
      <c r="W116">
        <v>0</v>
      </c>
      <c r="X116" t="s">
        <v>445</v>
      </c>
      <c r="Y116" s="16">
        <v>44342.811212037035</v>
      </c>
      <c r="Z116" s="17" t="str">
        <f>_xlfn.XLOOKUP(Table1[[#This Row],[Phase]],'Lookup tables'!$Y$27:$Y$60,'Lookup tables'!$Z$27:$Z$60,"Not Updated")</f>
        <v>Bid Prep</v>
      </c>
      <c r="AA116" s="17" t="s">
        <v>647</v>
      </c>
      <c r="AB116">
        <v>0</v>
      </c>
      <c r="AC116">
        <v>0</v>
      </c>
      <c r="AD116">
        <v>0</v>
      </c>
      <c r="AE116">
        <v>0</v>
      </c>
      <c r="AF116">
        <v>0</v>
      </c>
      <c r="AG116">
        <v>0</v>
      </c>
      <c r="AH116">
        <v>0</v>
      </c>
      <c r="AI116">
        <v>0</v>
      </c>
      <c r="AJ116">
        <v>0</v>
      </c>
      <c r="AK116">
        <v>0</v>
      </c>
      <c r="AL116">
        <v>0</v>
      </c>
      <c r="AM116">
        <v>0</v>
      </c>
      <c r="AN116">
        <v>0</v>
      </c>
      <c r="AO116">
        <v>0</v>
      </c>
      <c r="AP116">
        <v>0</v>
      </c>
      <c r="AQ116">
        <v>0</v>
      </c>
      <c r="AR116">
        <v>0</v>
      </c>
      <c r="AS116">
        <v>0</v>
      </c>
      <c r="AT116">
        <v>0</v>
      </c>
      <c r="AU116">
        <v>0</v>
      </c>
      <c r="AV116">
        <v>0</v>
      </c>
      <c r="AW116">
        <v>0</v>
      </c>
      <c r="BG116" s="185"/>
      <c r="BH116" s="185"/>
      <c r="BI116" s="185"/>
      <c r="BJ116" s="185"/>
      <c r="BK116" s="185"/>
      <c r="BL116" s="185"/>
      <c r="BM116" s="185"/>
      <c r="BN116" s="185"/>
      <c r="BO116" s="185"/>
      <c r="BP116" s="185"/>
      <c r="BQ116" s="185"/>
      <c r="BR116" s="185"/>
      <c r="BS116" s="185"/>
      <c r="BT116" s="185"/>
      <c r="BU116" t="b">
        <f>IF(_xlfn.MAXIFS(Table1[Sl No],Table1[Category],Table1[[#This Row],[Category]],Table1[Execution Year],Table1[[#This Row],[Execution Year]])=Table1[[#This Row],[Sl No]],TRUE,FALSE)</f>
        <v>0</v>
      </c>
      <c r="BV116" s="201">
        <f>SUM(Table1[[#This Row],[Spend - CAN]:[Spend - Sams]])+SUM(Table1[[#This Row],[Spend - Sams Mexico]:[Spend - Sams China]])+Table1[[#This Row],[Spend - IND]]</f>
        <v>72300000</v>
      </c>
      <c r="BW116">
        <f>SUM(Table1[[#This Row],[Savings - CAN]:[Savings - Sams]])+SUM(Table1[[#This Row],[Savings - Sams Mexico]:[Savings - Sams China]])+Table1[[#This Row],[Savings - IND]]</f>
        <v>0</v>
      </c>
      <c r="BX116">
        <f>SUM(Table1[[#This Row],[Spend - CAN]:[Spend - SAF]])+SUM(Table1[[#This Row],[Spend - Sams Mexico]:[Spend - Sams China]])+Table1[[#This Row],[Spend - IND]]</f>
        <v>52300000</v>
      </c>
      <c r="BY116">
        <f>SUM(Table1[[#This Row],[Savings - CAN]:[Savings - SAF]])+SUM(Table1[[#This Row],[Savings - Sams Mexico]:[Savings - Sams China]])+Table1[[#This Row],[Savings - IND]]</f>
        <v>0</v>
      </c>
      <c r="BZ116">
        <f>SUM(Table1[[#This Row],[Spend - US]:[Spend - Sams]])</f>
        <v>20000000</v>
      </c>
      <c r="CA116">
        <f>SUM(Table1[[#This Row],[Savings - US]:[Savings - Sams]])</f>
        <v>0</v>
      </c>
      <c r="CB116">
        <f>SUM(Table1[[#This Row],[Cost Avoidance - CAN2]:[Cost Avoidance - SAF10]])+SUM(Table1[[#This Row],[Cost Avoidance - Sams Mexico]:[Cost Avoidance - Sams China]])+Table1[[#This Row],[Cost Avoidance - IND]]</f>
        <v>0</v>
      </c>
      <c r="CC116">
        <f>SUM(Table1[[#This Row],[Cost Avoidance - US11]:[Cost Avoidance - Sams12]])</f>
        <v>0</v>
      </c>
      <c r="CD116">
        <f>_xlfn.XLOOKUP(Table1[[#This Row],[Status]],Status_Lookups[Status],Status_Lookups[Value],"")</f>
        <v>0.3</v>
      </c>
    </row>
    <row r="117" spans="1:82">
      <c r="A117">
        <v>8</v>
      </c>
      <c r="B117" t="s">
        <v>88</v>
      </c>
      <c r="C117" t="s">
        <v>43</v>
      </c>
      <c r="D117" t="s">
        <v>39</v>
      </c>
      <c r="E117" s="15">
        <v>44409</v>
      </c>
      <c r="F117" s="15">
        <v>44500</v>
      </c>
      <c r="G117" s="15">
        <v>0</v>
      </c>
      <c r="H117" s="15">
        <v>0</v>
      </c>
      <c r="I117" t="s">
        <v>484</v>
      </c>
      <c r="J117" t="s">
        <v>459</v>
      </c>
      <c r="K117" t="s">
        <v>454</v>
      </c>
      <c r="L117">
        <v>0</v>
      </c>
      <c r="M117">
        <v>12600000</v>
      </c>
      <c r="N117">
        <v>31100000</v>
      </c>
      <c r="O117">
        <v>4300000</v>
      </c>
      <c r="P117">
        <v>2500000</v>
      </c>
      <c r="Q117">
        <v>0</v>
      </c>
      <c r="R117">
        <v>0</v>
      </c>
      <c r="S117">
        <v>0</v>
      </c>
      <c r="T117">
        <v>0</v>
      </c>
      <c r="U117">
        <v>0</v>
      </c>
      <c r="V117">
        <v>290000000</v>
      </c>
      <c r="W117">
        <v>0</v>
      </c>
      <c r="X117" t="s">
        <v>78</v>
      </c>
      <c r="Y117" s="16">
        <v>44354.636833217592</v>
      </c>
      <c r="Z117" s="17" t="str">
        <f>_xlfn.XLOOKUP(Table1[[#This Row],[Phase]],'Lookup tables'!$Y$27:$Y$60,'Lookup tables'!$Z$27:$Z$60,"Not Updated")</f>
        <v>Bid Prep</v>
      </c>
      <c r="AA117" s="17" t="s">
        <v>647</v>
      </c>
      <c r="AB117">
        <v>0</v>
      </c>
      <c r="AC117">
        <v>0</v>
      </c>
      <c r="AD117">
        <v>0</v>
      </c>
      <c r="AE117">
        <v>0</v>
      </c>
      <c r="AF117">
        <v>0</v>
      </c>
      <c r="AG117">
        <v>0</v>
      </c>
      <c r="AH117">
        <v>0</v>
      </c>
      <c r="AI117">
        <v>0</v>
      </c>
      <c r="AJ117">
        <v>0</v>
      </c>
      <c r="AK117">
        <v>0</v>
      </c>
      <c r="AL117">
        <v>0</v>
      </c>
      <c r="AM117">
        <v>0</v>
      </c>
      <c r="AN117">
        <v>0</v>
      </c>
      <c r="AO117">
        <v>0</v>
      </c>
      <c r="AP117">
        <v>0</v>
      </c>
      <c r="AQ117">
        <v>0</v>
      </c>
      <c r="AR117">
        <v>0</v>
      </c>
      <c r="AS117">
        <v>0</v>
      </c>
      <c r="AT117">
        <v>0</v>
      </c>
      <c r="AU117">
        <v>0</v>
      </c>
      <c r="AV117">
        <v>0</v>
      </c>
      <c r="AW117">
        <v>0</v>
      </c>
      <c r="BG117" s="185"/>
      <c r="BH117" s="185"/>
      <c r="BI117" s="185"/>
      <c r="BJ117" s="185"/>
      <c r="BK117" s="185"/>
      <c r="BL117" s="185"/>
      <c r="BM117" s="185"/>
      <c r="BN117" s="185"/>
      <c r="BO117" s="185"/>
      <c r="BP117" s="185"/>
      <c r="BQ117" s="185"/>
      <c r="BR117" s="185"/>
      <c r="BS117" s="185"/>
      <c r="BT117" s="185"/>
      <c r="BU117" t="b">
        <f>IF(_xlfn.MAXIFS(Table1[Sl No],Table1[Category],Table1[[#This Row],[Category]],Table1[Execution Year],Table1[[#This Row],[Execution Year]])=Table1[[#This Row],[Sl No]],TRUE,FALSE)</f>
        <v>0</v>
      </c>
      <c r="BV117" s="201">
        <f>SUM(Table1[[#This Row],[Spend - CAN]:[Spend - Sams]])+SUM(Table1[[#This Row],[Spend - Sams Mexico]:[Spend - Sams China]])+Table1[[#This Row],[Spend - IND]]</f>
        <v>340500000</v>
      </c>
      <c r="BW117">
        <f>SUM(Table1[[#This Row],[Savings - CAN]:[Savings - Sams]])+SUM(Table1[[#This Row],[Savings - Sams Mexico]:[Savings - Sams China]])+Table1[[#This Row],[Savings - IND]]</f>
        <v>0</v>
      </c>
      <c r="BX117">
        <f>SUM(Table1[[#This Row],[Spend - CAN]:[Spend - SAF]])+SUM(Table1[[#This Row],[Spend - Sams Mexico]:[Spend - Sams China]])+Table1[[#This Row],[Spend - IND]]</f>
        <v>50500000</v>
      </c>
      <c r="BY117">
        <f>SUM(Table1[[#This Row],[Savings - CAN]:[Savings - SAF]])+SUM(Table1[[#This Row],[Savings - Sams Mexico]:[Savings - Sams China]])+Table1[[#This Row],[Savings - IND]]</f>
        <v>0</v>
      </c>
      <c r="BZ117">
        <f>SUM(Table1[[#This Row],[Spend - US]:[Spend - Sams]])</f>
        <v>290000000</v>
      </c>
      <c r="CA117">
        <f>SUM(Table1[[#This Row],[Savings - US]:[Savings - Sams]])</f>
        <v>0</v>
      </c>
      <c r="CB117">
        <f>SUM(Table1[[#This Row],[Cost Avoidance - CAN2]:[Cost Avoidance - SAF10]])+SUM(Table1[[#This Row],[Cost Avoidance - Sams Mexico]:[Cost Avoidance - Sams China]])+Table1[[#This Row],[Cost Avoidance - IND]]</f>
        <v>0</v>
      </c>
      <c r="CC117">
        <f>SUM(Table1[[#This Row],[Cost Avoidance - US11]:[Cost Avoidance - Sams12]])</f>
        <v>0</v>
      </c>
      <c r="CD117">
        <f>_xlfn.XLOOKUP(Table1[[#This Row],[Status]],Status_Lookups[Status],Status_Lookups[Value],"")</f>
        <v>0.3</v>
      </c>
    </row>
    <row r="118" spans="1:82">
      <c r="A118">
        <v>9</v>
      </c>
      <c r="B118" t="s">
        <v>88</v>
      </c>
      <c r="C118" t="s">
        <v>43</v>
      </c>
      <c r="D118" t="s">
        <v>39</v>
      </c>
      <c r="E118" s="15">
        <v>44409</v>
      </c>
      <c r="F118" s="15">
        <v>44500</v>
      </c>
      <c r="G118" s="15">
        <v>0</v>
      </c>
      <c r="H118" s="15">
        <v>0</v>
      </c>
      <c r="I118" t="s">
        <v>484</v>
      </c>
      <c r="J118" t="s">
        <v>459</v>
      </c>
      <c r="K118" t="s">
        <v>454</v>
      </c>
      <c r="L118">
        <v>0</v>
      </c>
      <c r="M118">
        <v>12600000</v>
      </c>
      <c r="N118">
        <v>31100000</v>
      </c>
      <c r="O118">
        <v>4300000</v>
      </c>
      <c r="P118">
        <v>2500000</v>
      </c>
      <c r="Q118">
        <v>0</v>
      </c>
      <c r="R118">
        <v>0</v>
      </c>
      <c r="S118">
        <v>0</v>
      </c>
      <c r="T118">
        <v>0</v>
      </c>
      <c r="U118">
        <v>0</v>
      </c>
      <c r="V118">
        <v>86000000</v>
      </c>
      <c r="W118">
        <v>0</v>
      </c>
      <c r="X118" t="s">
        <v>78</v>
      </c>
      <c r="Y118" s="16">
        <v>44368.58976678241</v>
      </c>
      <c r="Z118" s="17" t="str">
        <f>_xlfn.XLOOKUP(Table1[[#This Row],[Phase]],'Lookup tables'!$Y$27:$Y$60,'Lookup tables'!$Z$27:$Z$60,"Not Updated")</f>
        <v>Bid Prep</v>
      </c>
      <c r="AA118" s="17" t="s">
        <v>647</v>
      </c>
      <c r="AB118">
        <v>0</v>
      </c>
      <c r="AC118">
        <v>0</v>
      </c>
      <c r="AD118">
        <v>0</v>
      </c>
      <c r="AE118">
        <v>0</v>
      </c>
      <c r="AF118">
        <v>0</v>
      </c>
      <c r="AG118">
        <v>0</v>
      </c>
      <c r="AH118">
        <v>0</v>
      </c>
      <c r="AI118">
        <v>0</v>
      </c>
      <c r="AJ118">
        <v>0</v>
      </c>
      <c r="AK118">
        <v>0</v>
      </c>
      <c r="AL118">
        <v>0</v>
      </c>
      <c r="AM118">
        <v>0</v>
      </c>
      <c r="AN118">
        <v>0</v>
      </c>
      <c r="AO118">
        <v>0</v>
      </c>
      <c r="AP118">
        <v>0</v>
      </c>
      <c r="AQ118">
        <v>0</v>
      </c>
      <c r="AR118">
        <v>0</v>
      </c>
      <c r="AS118">
        <v>0</v>
      </c>
      <c r="AT118">
        <v>0</v>
      </c>
      <c r="AU118">
        <v>0</v>
      </c>
      <c r="AV118">
        <v>0</v>
      </c>
      <c r="AW118">
        <v>0</v>
      </c>
      <c r="BG118" s="185"/>
      <c r="BH118" s="185"/>
      <c r="BI118" s="185"/>
      <c r="BJ118" s="185"/>
      <c r="BK118" s="185"/>
      <c r="BL118" s="185"/>
      <c r="BM118" s="185"/>
      <c r="BN118" s="185"/>
      <c r="BO118" s="185"/>
      <c r="BP118" s="185"/>
      <c r="BQ118" s="185"/>
      <c r="BR118" s="185"/>
      <c r="BS118" s="185"/>
      <c r="BT118" s="185"/>
      <c r="BU118" t="b">
        <f>IF(_xlfn.MAXIFS(Table1[Sl No],Table1[Category],Table1[[#This Row],[Category]],Table1[Execution Year],Table1[[#This Row],[Execution Year]])=Table1[[#This Row],[Sl No]],TRUE,FALSE)</f>
        <v>0</v>
      </c>
      <c r="BV118" s="201">
        <f>SUM(Table1[[#This Row],[Spend - CAN]:[Spend - Sams]])+SUM(Table1[[#This Row],[Spend - Sams Mexico]:[Spend - Sams China]])+Table1[[#This Row],[Spend - IND]]</f>
        <v>136500000</v>
      </c>
      <c r="BW118">
        <f>SUM(Table1[[#This Row],[Savings - CAN]:[Savings - Sams]])+SUM(Table1[[#This Row],[Savings - Sams Mexico]:[Savings - Sams China]])+Table1[[#This Row],[Savings - IND]]</f>
        <v>0</v>
      </c>
      <c r="BX118">
        <f>SUM(Table1[[#This Row],[Spend - CAN]:[Spend - SAF]])+SUM(Table1[[#This Row],[Spend - Sams Mexico]:[Spend - Sams China]])+Table1[[#This Row],[Spend - IND]]</f>
        <v>50500000</v>
      </c>
      <c r="BY118">
        <f>SUM(Table1[[#This Row],[Savings - CAN]:[Savings - SAF]])+SUM(Table1[[#This Row],[Savings - Sams Mexico]:[Savings - Sams China]])+Table1[[#This Row],[Savings - IND]]</f>
        <v>0</v>
      </c>
      <c r="BZ118">
        <f>SUM(Table1[[#This Row],[Spend - US]:[Spend - Sams]])</f>
        <v>86000000</v>
      </c>
      <c r="CA118">
        <f>SUM(Table1[[#This Row],[Savings - US]:[Savings - Sams]])</f>
        <v>0</v>
      </c>
      <c r="CB118">
        <f>SUM(Table1[[#This Row],[Cost Avoidance - CAN2]:[Cost Avoidance - SAF10]])+SUM(Table1[[#This Row],[Cost Avoidance - Sams Mexico]:[Cost Avoidance - Sams China]])+Table1[[#This Row],[Cost Avoidance - IND]]</f>
        <v>0</v>
      </c>
      <c r="CC118">
        <f>SUM(Table1[[#This Row],[Cost Avoidance - US11]:[Cost Avoidance - Sams12]])</f>
        <v>0</v>
      </c>
      <c r="CD118">
        <f>_xlfn.XLOOKUP(Table1[[#This Row],[Status]],Status_Lookups[Status],Status_Lookups[Value],"")</f>
        <v>0.3</v>
      </c>
    </row>
    <row r="119" spans="1:82">
      <c r="A119">
        <v>10</v>
      </c>
      <c r="B119" t="s">
        <v>88</v>
      </c>
      <c r="C119" t="s">
        <v>43</v>
      </c>
      <c r="D119" t="s">
        <v>39</v>
      </c>
      <c r="E119" s="15">
        <v>44409</v>
      </c>
      <c r="F119" s="15">
        <v>44500</v>
      </c>
      <c r="G119" s="15">
        <v>0</v>
      </c>
      <c r="H119" s="15">
        <v>0</v>
      </c>
      <c r="I119" t="s">
        <v>484</v>
      </c>
      <c r="J119" t="s">
        <v>459</v>
      </c>
      <c r="K119" t="s">
        <v>454</v>
      </c>
      <c r="L119">
        <v>0</v>
      </c>
      <c r="M119">
        <v>12600000</v>
      </c>
      <c r="N119">
        <v>22700000</v>
      </c>
      <c r="O119">
        <v>4300000</v>
      </c>
      <c r="P119">
        <v>3700000</v>
      </c>
      <c r="Q119">
        <v>0</v>
      </c>
      <c r="R119">
        <v>0</v>
      </c>
      <c r="S119">
        <v>0</v>
      </c>
      <c r="T119">
        <v>0</v>
      </c>
      <c r="U119">
        <v>0</v>
      </c>
      <c r="V119">
        <v>36000000</v>
      </c>
      <c r="W119">
        <v>0</v>
      </c>
      <c r="X119" t="s">
        <v>78</v>
      </c>
      <c r="Y119" s="16">
        <v>44385.412146296294</v>
      </c>
      <c r="Z119" s="17" t="str">
        <f>_xlfn.XLOOKUP(Table1[[#This Row],[Phase]],'Lookup tables'!$Y$27:$Y$60,'Lookup tables'!$Z$27:$Z$60,"Not Updated")</f>
        <v>Bid Prep</v>
      </c>
      <c r="AA119" s="17" t="s">
        <v>647</v>
      </c>
      <c r="AB119">
        <v>0</v>
      </c>
      <c r="AC119">
        <v>0</v>
      </c>
      <c r="AD119">
        <v>0</v>
      </c>
      <c r="AE119">
        <v>0</v>
      </c>
      <c r="AF119">
        <v>0</v>
      </c>
      <c r="AG119">
        <v>0</v>
      </c>
      <c r="AH119">
        <v>0</v>
      </c>
      <c r="AI119">
        <v>0</v>
      </c>
      <c r="AJ119">
        <v>0</v>
      </c>
      <c r="AK119">
        <v>0</v>
      </c>
      <c r="AL119">
        <v>0</v>
      </c>
      <c r="AM119">
        <v>0</v>
      </c>
      <c r="AN119">
        <v>0</v>
      </c>
      <c r="AO119">
        <v>0</v>
      </c>
      <c r="AP119">
        <v>0</v>
      </c>
      <c r="AQ119">
        <v>0</v>
      </c>
      <c r="AR119">
        <v>0</v>
      </c>
      <c r="AS119">
        <v>0</v>
      </c>
      <c r="AT119">
        <v>0</v>
      </c>
      <c r="AU119">
        <v>0</v>
      </c>
      <c r="AV119">
        <v>0</v>
      </c>
      <c r="AW119">
        <v>0</v>
      </c>
      <c r="BG119" s="185"/>
      <c r="BH119" s="185"/>
      <c r="BI119" s="185"/>
      <c r="BJ119" s="185"/>
      <c r="BK119" s="185"/>
      <c r="BL119" s="185"/>
      <c r="BM119" s="185"/>
      <c r="BN119" s="185"/>
      <c r="BO119" s="185"/>
      <c r="BP119" s="185"/>
      <c r="BQ119" s="185"/>
      <c r="BR119" s="185"/>
      <c r="BS119" s="185"/>
      <c r="BT119" s="185"/>
      <c r="BU119" t="b">
        <f>IF(_xlfn.MAXIFS(Table1[Sl No],Table1[Category],Table1[[#This Row],[Category]],Table1[Execution Year],Table1[[#This Row],[Execution Year]])=Table1[[#This Row],[Sl No]],TRUE,FALSE)</f>
        <v>0</v>
      </c>
      <c r="BV119" s="201">
        <f>SUM(Table1[[#This Row],[Spend - CAN]:[Spend - Sams]])+SUM(Table1[[#This Row],[Spend - Sams Mexico]:[Spend - Sams China]])+Table1[[#This Row],[Spend - IND]]</f>
        <v>79300000</v>
      </c>
      <c r="BW119">
        <f>SUM(Table1[[#This Row],[Savings - CAN]:[Savings - Sams]])+SUM(Table1[[#This Row],[Savings - Sams Mexico]:[Savings - Sams China]])+Table1[[#This Row],[Savings - IND]]</f>
        <v>0</v>
      </c>
      <c r="BX119">
        <f>SUM(Table1[[#This Row],[Spend - CAN]:[Spend - SAF]])+SUM(Table1[[#This Row],[Spend - Sams Mexico]:[Spend - Sams China]])+Table1[[#This Row],[Spend - IND]]</f>
        <v>43300000</v>
      </c>
      <c r="BY119">
        <f>SUM(Table1[[#This Row],[Savings - CAN]:[Savings - SAF]])+SUM(Table1[[#This Row],[Savings - Sams Mexico]:[Savings - Sams China]])+Table1[[#This Row],[Savings - IND]]</f>
        <v>0</v>
      </c>
      <c r="BZ119">
        <f>SUM(Table1[[#This Row],[Spend - US]:[Spend - Sams]])</f>
        <v>36000000</v>
      </c>
      <c r="CA119">
        <f>SUM(Table1[[#This Row],[Savings - US]:[Savings - Sams]])</f>
        <v>0</v>
      </c>
      <c r="CB119">
        <f>SUM(Table1[[#This Row],[Cost Avoidance - CAN2]:[Cost Avoidance - SAF10]])+SUM(Table1[[#This Row],[Cost Avoidance - Sams Mexico]:[Cost Avoidance - Sams China]])+Table1[[#This Row],[Cost Avoidance - IND]]</f>
        <v>0</v>
      </c>
      <c r="CC119">
        <f>SUM(Table1[[#This Row],[Cost Avoidance - US11]:[Cost Avoidance - Sams12]])</f>
        <v>0</v>
      </c>
      <c r="CD119">
        <f>_xlfn.XLOOKUP(Table1[[#This Row],[Status]],Status_Lookups[Status],Status_Lookups[Value],"")</f>
        <v>0.3</v>
      </c>
    </row>
    <row r="120" spans="1:82">
      <c r="A120">
        <v>11</v>
      </c>
      <c r="B120" t="s">
        <v>88</v>
      </c>
      <c r="C120" t="s">
        <v>43</v>
      </c>
      <c r="D120" t="s">
        <v>39</v>
      </c>
      <c r="E120" s="15">
        <v>44409</v>
      </c>
      <c r="F120" s="15">
        <v>44530</v>
      </c>
      <c r="G120" s="15">
        <v>0</v>
      </c>
      <c r="H120" s="15">
        <v>0</v>
      </c>
      <c r="I120" t="s">
        <v>635</v>
      </c>
      <c r="J120" t="s">
        <v>459</v>
      </c>
      <c r="K120" t="s">
        <v>454</v>
      </c>
      <c r="L120">
        <v>0</v>
      </c>
      <c r="M120">
        <v>12600000</v>
      </c>
      <c r="N120">
        <v>34200000</v>
      </c>
      <c r="O120">
        <v>4300000</v>
      </c>
      <c r="P120">
        <v>3700000</v>
      </c>
      <c r="Q120">
        <v>0</v>
      </c>
      <c r="R120">
        <v>0</v>
      </c>
      <c r="S120">
        <v>0</v>
      </c>
      <c r="T120">
        <v>0</v>
      </c>
      <c r="U120">
        <v>0</v>
      </c>
      <c r="V120">
        <v>36000000</v>
      </c>
      <c r="W120">
        <v>0</v>
      </c>
      <c r="X120" t="s">
        <v>78</v>
      </c>
      <c r="Y120" s="16">
        <v>44459.44152615741</v>
      </c>
      <c r="Z120" s="17" t="str">
        <f>_xlfn.XLOOKUP(Table1[[#This Row],[Phase]],'Lookup tables'!$Y$27:$Y$60,'Lookup tables'!$Z$27:$Z$60,"Not Updated")</f>
        <v>RFPX underway</v>
      </c>
      <c r="AA120" s="17" t="s">
        <v>647</v>
      </c>
      <c r="AB120">
        <v>0</v>
      </c>
      <c r="AC120">
        <v>0</v>
      </c>
      <c r="AD120">
        <v>0</v>
      </c>
      <c r="AE120">
        <v>0</v>
      </c>
      <c r="AF120">
        <v>0</v>
      </c>
      <c r="AG120">
        <v>0</v>
      </c>
      <c r="AH120">
        <v>0</v>
      </c>
      <c r="AI120">
        <v>0</v>
      </c>
      <c r="AJ120">
        <v>0</v>
      </c>
      <c r="AK120">
        <v>0</v>
      </c>
      <c r="AL120">
        <v>0</v>
      </c>
      <c r="AM120">
        <v>0</v>
      </c>
      <c r="AN120">
        <v>0</v>
      </c>
      <c r="AO120">
        <v>0</v>
      </c>
      <c r="AP120">
        <v>0</v>
      </c>
      <c r="AQ120">
        <v>0</v>
      </c>
      <c r="AR120">
        <v>0</v>
      </c>
      <c r="AS120">
        <v>0</v>
      </c>
      <c r="AT120">
        <v>0</v>
      </c>
      <c r="AU120">
        <v>0</v>
      </c>
      <c r="AV120">
        <v>0</v>
      </c>
      <c r="AW120">
        <v>0</v>
      </c>
      <c r="BG120" s="185"/>
      <c r="BH120" s="185"/>
      <c r="BI120" s="185"/>
      <c r="BJ120" s="185"/>
      <c r="BK120" s="185"/>
      <c r="BL120" s="185"/>
      <c r="BM120" s="185"/>
      <c r="BN120" s="185"/>
      <c r="BO120" s="185"/>
      <c r="BP120" s="185"/>
      <c r="BQ120" s="185"/>
      <c r="BR120" s="185"/>
      <c r="BS120" s="185"/>
      <c r="BT120" s="185"/>
      <c r="BU120" t="b">
        <f>IF(_xlfn.MAXIFS(Table1[Sl No],Table1[Category],Table1[[#This Row],[Category]],Table1[Execution Year],Table1[[#This Row],[Execution Year]])=Table1[[#This Row],[Sl No]],TRUE,FALSE)</f>
        <v>0</v>
      </c>
      <c r="BV120" s="201">
        <f>SUM(Table1[[#This Row],[Spend - CAN]:[Spend - Sams]])+SUM(Table1[[#This Row],[Spend - Sams Mexico]:[Spend - Sams China]])+Table1[[#This Row],[Spend - IND]]</f>
        <v>90800000</v>
      </c>
      <c r="BW120">
        <f>SUM(Table1[[#This Row],[Savings - CAN]:[Savings - Sams]])+SUM(Table1[[#This Row],[Savings - Sams Mexico]:[Savings - Sams China]])+Table1[[#This Row],[Savings - IND]]</f>
        <v>0</v>
      </c>
      <c r="BX120">
        <f>SUM(Table1[[#This Row],[Spend - CAN]:[Spend - SAF]])+SUM(Table1[[#This Row],[Spend - Sams Mexico]:[Spend - Sams China]])+Table1[[#This Row],[Spend - IND]]</f>
        <v>54800000</v>
      </c>
      <c r="BY120">
        <f>SUM(Table1[[#This Row],[Savings - CAN]:[Savings - SAF]])+SUM(Table1[[#This Row],[Savings - Sams Mexico]:[Savings - Sams China]])+Table1[[#This Row],[Savings - IND]]</f>
        <v>0</v>
      </c>
      <c r="BZ120">
        <f>SUM(Table1[[#This Row],[Spend - US]:[Spend - Sams]])</f>
        <v>36000000</v>
      </c>
      <c r="CA120">
        <f>SUM(Table1[[#This Row],[Savings - US]:[Savings - Sams]])</f>
        <v>0</v>
      </c>
      <c r="CB120">
        <f>SUM(Table1[[#This Row],[Cost Avoidance - CAN2]:[Cost Avoidance - SAF10]])+SUM(Table1[[#This Row],[Cost Avoidance - Sams Mexico]:[Cost Avoidance - Sams China]])+Table1[[#This Row],[Cost Avoidance - IND]]</f>
        <v>0</v>
      </c>
      <c r="CC120">
        <f>SUM(Table1[[#This Row],[Cost Avoidance - US11]:[Cost Avoidance - Sams12]])</f>
        <v>0</v>
      </c>
      <c r="CD120">
        <f>_xlfn.XLOOKUP(Table1[[#This Row],[Status]],Status_Lookups[Status],Status_Lookups[Value],"")</f>
        <v>0.3</v>
      </c>
    </row>
    <row r="121" spans="1:82">
      <c r="A121">
        <v>12</v>
      </c>
      <c r="B121" t="s">
        <v>88</v>
      </c>
      <c r="C121" t="s">
        <v>43</v>
      </c>
      <c r="D121" t="s">
        <v>39</v>
      </c>
      <c r="E121" s="15">
        <v>44409</v>
      </c>
      <c r="F121" s="15">
        <v>44530</v>
      </c>
      <c r="G121" s="15">
        <v>0</v>
      </c>
      <c r="H121" s="15">
        <v>0</v>
      </c>
      <c r="I121" t="s">
        <v>635</v>
      </c>
      <c r="J121" t="s">
        <v>459</v>
      </c>
      <c r="K121" t="s">
        <v>454</v>
      </c>
      <c r="L121">
        <v>0</v>
      </c>
      <c r="M121">
        <v>12600000</v>
      </c>
      <c r="N121">
        <v>34200000</v>
      </c>
      <c r="O121">
        <v>16200000</v>
      </c>
      <c r="P121">
        <v>3700000</v>
      </c>
      <c r="Q121">
        <v>0</v>
      </c>
      <c r="R121">
        <v>0</v>
      </c>
      <c r="S121">
        <v>0</v>
      </c>
      <c r="T121">
        <v>0</v>
      </c>
      <c r="U121">
        <v>0</v>
      </c>
      <c r="V121">
        <v>218000000</v>
      </c>
      <c r="W121">
        <v>0</v>
      </c>
      <c r="X121" t="s">
        <v>78</v>
      </c>
      <c r="Y121" s="16">
        <v>44466.374655439817</v>
      </c>
      <c r="Z121" s="17" t="str">
        <f>_xlfn.XLOOKUP(Table1[[#This Row],[Phase]],'Lookup tables'!$Y$27:$Y$60,'Lookup tables'!$Z$27:$Z$60,"Not Updated")</f>
        <v>RFPX underway</v>
      </c>
      <c r="AA121" s="17" t="s">
        <v>647</v>
      </c>
      <c r="AB121">
        <v>0</v>
      </c>
      <c r="AC121">
        <v>0</v>
      </c>
      <c r="AD121">
        <v>0</v>
      </c>
      <c r="AE121">
        <v>0</v>
      </c>
      <c r="AF121">
        <v>0</v>
      </c>
      <c r="AG121">
        <v>0</v>
      </c>
      <c r="AH121">
        <v>0</v>
      </c>
      <c r="AI121">
        <v>0</v>
      </c>
      <c r="AJ121">
        <v>0</v>
      </c>
      <c r="AK121">
        <v>0</v>
      </c>
      <c r="AL121">
        <v>0</v>
      </c>
      <c r="AM121">
        <v>0</v>
      </c>
      <c r="AN121">
        <v>0</v>
      </c>
      <c r="AO121">
        <v>0</v>
      </c>
      <c r="AP121">
        <v>0</v>
      </c>
      <c r="AQ121">
        <v>0</v>
      </c>
      <c r="AR121">
        <v>0</v>
      </c>
      <c r="AS121">
        <v>0</v>
      </c>
      <c r="AT121">
        <v>0</v>
      </c>
      <c r="AU121">
        <v>0</v>
      </c>
      <c r="AV121">
        <v>0</v>
      </c>
      <c r="AW121">
        <v>0</v>
      </c>
      <c r="BG121" s="185"/>
      <c r="BH121" s="185"/>
      <c r="BI121" s="185"/>
      <c r="BJ121" s="185"/>
      <c r="BK121" s="185"/>
      <c r="BL121" s="185"/>
      <c r="BM121" s="185"/>
      <c r="BN121" s="185"/>
      <c r="BO121" s="185"/>
      <c r="BP121" s="185"/>
      <c r="BQ121" s="185"/>
      <c r="BR121" s="185"/>
      <c r="BS121" s="185"/>
      <c r="BT121" s="185"/>
      <c r="BU121" t="b">
        <f>IF(_xlfn.MAXIFS(Table1[Sl No],Table1[Category],Table1[[#This Row],[Category]],Table1[Execution Year],Table1[[#This Row],[Execution Year]])=Table1[[#This Row],[Sl No]],TRUE,FALSE)</f>
        <v>0</v>
      </c>
      <c r="BV121" s="201">
        <f>SUM(Table1[[#This Row],[Spend - CAN]:[Spend - Sams]])+SUM(Table1[[#This Row],[Spend - Sams Mexico]:[Spend - Sams China]])+Table1[[#This Row],[Spend - IND]]</f>
        <v>284700000</v>
      </c>
      <c r="BW121">
        <f>SUM(Table1[[#This Row],[Savings - CAN]:[Savings - Sams]])+SUM(Table1[[#This Row],[Savings - Sams Mexico]:[Savings - Sams China]])+Table1[[#This Row],[Savings - IND]]</f>
        <v>0</v>
      </c>
      <c r="BX121">
        <f>SUM(Table1[[#This Row],[Spend - CAN]:[Spend - SAF]])+SUM(Table1[[#This Row],[Spend - Sams Mexico]:[Spend - Sams China]])+Table1[[#This Row],[Spend - IND]]</f>
        <v>66700000</v>
      </c>
      <c r="BY121">
        <f>SUM(Table1[[#This Row],[Savings - CAN]:[Savings - SAF]])+SUM(Table1[[#This Row],[Savings - Sams Mexico]:[Savings - Sams China]])+Table1[[#This Row],[Savings - IND]]</f>
        <v>0</v>
      </c>
      <c r="BZ121">
        <f>SUM(Table1[[#This Row],[Spend - US]:[Spend - Sams]])</f>
        <v>218000000</v>
      </c>
      <c r="CA121">
        <f>SUM(Table1[[#This Row],[Savings - US]:[Savings - Sams]])</f>
        <v>0</v>
      </c>
      <c r="CB121">
        <f>SUM(Table1[[#This Row],[Cost Avoidance - CAN2]:[Cost Avoidance - SAF10]])+SUM(Table1[[#This Row],[Cost Avoidance - Sams Mexico]:[Cost Avoidance - Sams China]])+Table1[[#This Row],[Cost Avoidance - IND]]</f>
        <v>0</v>
      </c>
      <c r="CC121">
        <f>SUM(Table1[[#This Row],[Cost Avoidance - US11]:[Cost Avoidance - Sams12]])</f>
        <v>0</v>
      </c>
      <c r="CD121">
        <f>_xlfn.XLOOKUP(Table1[[#This Row],[Status]],Status_Lookups[Status],Status_Lookups[Value],"")</f>
        <v>0.3</v>
      </c>
    </row>
    <row r="122" spans="1:82">
      <c r="A122">
        <v>13</v>
      </c>
      <c r="B122" t="s">
        <v>88</v>
      </c>
      <c r="C122" t="s">
        <v>43</v>
      </c>
      <c r="D122" t="s">
        <v>39</v>
      </c>
      <c r="E122" s="15">
        <v>44409</v>
      </c>
      <c r="F122" s="15">
        <v>44561</v>
      </c>
      <c r="G122" s="15">
        <v>0</v>
      </c>
      <c r="H122" s="15">
        <v>0</v>
      </c>
      <c r="I122" t="s">
        <v>635</v>
      </c>
      <c r="J122" t="s">
        <v>459</v>
      </c>
      <c r="K122" t="s">
        <v>454</v>
      </c>
      <c r="L122">
        <v>0</v>
      </c>
      <c r="M122">
        <v>12600000</v>
      </c>
      <c r="N122">
        <v>34200000</v>
      </c>
      <c r="O122">
        <v>16200000</v>
      </c>
      <c r="P122">
        <v>3700000</v>
      </c>
      <c r="Q122">
        <v>0</v>
      </c>
      <c r="R122">
        <v>0</v>
      </c>
      <c r="S122">
        <v>0</v>
      </c>
      <c r="T122">
        <v>0</v>
      </c>
      <c r="U122">
        <v>0</v>
      </c>
      <c r="V122">
        <v>218000000</v>
      </c>
      <c r="W122">
        <v>0</v>
      </c>
      <c r="X122" t="s">
        <v>78</v>
      </c>
      <c r="Y122" s="16">
        <v>44502.439533449076</v>
      </c>
      <c r="Z122" s="17" t="str">
        <f>_xlfn.XLOOKUP(Table1[[#This Row],[Phase]],'Lookup tables'!$Y$27:$Y$60,'Lookup tables'!$Z$27:$Z$60,"Not Updated")</f>
        <v>RFPX underway</v>
      </c>
      <c r="AA122" s="17" t="s">
        <v>647</v>
      </c>
      <c r="AB122">
        <v>0</v>
      </c>
      <c r="AC122">
        <v>0</v>
      </c>
      <c r="AD122">
        <v>0</v>
      </c>
      <c r="AE122">
        <v>0</v>
      </c>
      <c r="AF122">
        <v>0</v>
      </c>
      <c r="AG122">
        <v>0</v>
      </c>
      <c r="AH122">
        <v>0</v>
      </c>
      <c r="AI122">
        <v>0</v>
      </c>
      <c r="AJ122">
        <v>0</v>
      </c>
      <c r="AK122">
        <v>0</v>
      </c>
      <c r="AL122">
        <v>0</v>
      </c>
      <c r="AM122">
        <v>0</v>
      </c>
      <c r="AN122">
        <v>0</v>
      </c>
      <c r="AO122">
        <v>0</v>
      </c>
      <c r="AP122">
        <v>0</v>
      </c>
      <c r="AQ122">
        <v>0</v>
      </c>
      <c r="AR122">
        <v>0</v>
      </c>
      <c r="AS122">
        <v>0</v>
      </c>
      <c r="AT122">
        <v>0</v>
      </c>
      <c r="AU122">
        <v>0</v>
      </c>
      <c r="AV122">
        <v>0</v>
      </c>
      <c r="AW122">
        <v>0</v>
      </c>
      <c r="BG122" s="185"/>
      <c r="BH122" s="185"/>
      <c r="BI122" s="185"/>
      <c r="BJ122" s="185"/>
      <c r="BK122" s="185"/>
      <c r="BL122" s="185"/>
      <c r="BM122" s="185"/>
      <c r="BN122" s="185"/>
      <c r="BO122" s="185"/>
      <c r="BP122" s="185"/>
      <c r="BQ122" s="185"/>
      <c r="BR122" s="185"/>
      <c r="BS122" s="185"/>
      <c r="BT122" s="185"/>
      <c r="BU122" t="b">
        <f>IF(_xlfn.MAXIFS(Table1[Sl No],Table1[Category],Table1[[#This Row],[Category]],Table1[Execution Year],Table1[[#This Row],[Execution Year]])=Table1[[#This Row],[Sl No]],TRUE,FALSE)</f>
        <v>0</v>
      </c>
      <c r="BV122" s="201">
        <f>SUM(Table1[[#This Row],[Spend - CAN]:[Spend - Sams]])+SUM(Table1[[#This Row],[Spend - Sams Mexico]:[Spend - Sams China]])+Table1[[#This Row],[Spend - IND]]</f>
        <v>284700000</v>
      </c>
      <c r="BW122">
        <f>SUM(Table1[[#This Row],[Savings - CAN]:[Savings - Sams]])+SUM(Table1[[#This Row],[Savings - Sams Mexico]:[Savings - Sams China]])+Table1[[#This Row],[Savings - IND]]</f>
        <v>0</v>
      </c>
      <c r="BX122">
        <f>SUM(Table1[[#This Row],[Spend - CAN]:[Spend - SAF]])+SUM(Table1[[#This Row],[Spend - Sams Mexico]:[Spend - Sams China]])+Table1[[#This Row],[Spend - IND]]</f>
        <v>66700000</v>
      </c>
      <c r="BY122">
        <f>SUM(Table1[[#This Row],[Savings - CAN]:[Savings - SAF]])+SUM(Table1[[#This Row],[Savings - Sams Mexico]:[Savings - Sams China]])+Table1[[#This Row],[Savings - IND]]</f>
        <v>0</v>
      </c>
      <c r="BZ122">
        <f>SUM(Table1[[#This Row],[Spend - US]:[Spend - Sams]])</f>
        <v>218000000</v>
      </c>
      <c r="CA122">
        <f>SUM(Table1[[#This Row],[Savings - US]:[Savings - Sams]])</f>
        <v>0</v>
      </c>
      <c r="CB122">
        <f>SUM(Table1[[#This Row],[Cost Avoidance - CAN2]:[Cost Avoidance - SAF10]])+SUM(Table1[[#This Row],[Cost Avoidance - Sams Mexico]:[Cost Avoidance - Sams China]])+Table1[[#This Row],[Cost Avoidance - IND]]</f>
        <v>0</v>
      </c>
      <c r="CC122">
        <f>SUM(Table1[[#This Row],[Cost Avoidance - US11]:[Cost Avoidance - Sams12]])</f>
        <v>0</v>
      </c>
      <c r="CD122">
        <f>_xlfn.XLOOKUP(Table1[[#This Row],[Status]],Status_Lookups[Status],Status_Lookups[Value],"")</f>
        <v>0.3</v>
      </c>
    </row>
    <row r="123" spans="1:82">
      <c r="A123">
        <v>14</v>
      </c>
      <c r="B123" t="s">
        <v>88</v>
      </c>
      <c r="C123" t="s">
        <v>43</v>
      </c>
      <c r="D123" t="s">
        <v>39</v>
      </c>
      <c r="E123" s="15">
        <v>44409</v>
      </c>
      <c r="F123" s="15">
        <v>44561</v>
      </c>
      <c r="G123" s="15">
        <v>0</v>
      </c>
      <c r="H123" s="15">
        <v>0</v>
      </c>
      <c r="I123" t="s">
        <v>636</v>
      </c>
      <c r="J123" t="s">
        <v>459</v>
      </c>
      <c r="K123" t="s">
        <v>454</v>
      </c>
      <c r="L123">
        <v>0</v>
      </c>
      <c r="M123">
        <v>12600000</v>
      </c>
      <c r="N123">
        <v>34200000</v>
      </c>
      <c r="O123">
        <v>16200000</v>
      </c>
      <c r="P123">
        <v>3700000</v>
      </c>
      <c r="Q123">
        <v>0</v>
      </c>
      <c r="R123">
        <v>0</v>
      </c>
      <c r="S123">
        <v>0</v>
      </c>
      <c r="T123">
        <v>0</v>
      </c>
      <c r="U123">
        <v>0</v>
      </c>
      <c r="V123">
        <v>218000000</v>
      </c>
      <c r="W123">
        <v>0</v>
      </c>
      <c r="X123" t="s">
        <v>78</v>
      </c>
      <c r="Y123" s="16">
        <v>44564.642437731483</v>
      </c>
      <c r="Z123" s="17" t="str">
        <f>_xlfn.XLOOKUP(Table1[[#This Row],[Phase]],'Lookup tables'!$Y$27:$Y$60,'Lookup tables'!$Z$27:$Z$60,"Not Updated")</f>
        <v>Award</v>
      </c>
      <c r="AA123" s="17" t="s">
        <v>647</v>
      </c>
      <c r="AB123">
        <v>0</v>
      </c>
      <c r="AC123">
        <v>0</v>
      </c>
      <c r="AD123">
        <v>0</v>
      </c>
      <c r="AE123">
        <v>0</v>
      </c>
      <c r="AF123">
        <v>0</v>
      </c>
      <c r="AG123">
        <v>0</v>
      </c>
      <c r="AH123">
        <v>0</v>
      </c>
      <c r="AI123">
        <v>0</v>
      </c>
      <c r="AJ123">
        <v>0</v>
      </c>
      <c r="AK123">
        <v>0</v>
      </c>
      <c r="AL123">
        <v>0</v>
      </c>
      <c r="AM123">
        <v>0</v>
      </c>
      <c r="AN123">
        <v>0</v>
      </c>
      <c r="AO123">
        <v>0</v>
      </c>
      <c r="AP123">
        <v>0</v>
      </c>
      <c r="AQ123">
        <v>0</v>
      </c>
      <c r="AR123">
        <v>0</v>
      </c>
      <c r="AS123">
        <v>0</v>
      </c>
      <c r="AT123">
        <v>0</v>
      </c>
      <c r="AU123">
        <v>0</v>
      </c>
      <c r="AV123">
        <v>0</v>
      </c>
      <c r="AW123">
        <v>0</v>
      </c>
      <c r="BG123" s="185"/>
      <c r="BH123" s="185"/>
      <c r="BI123" s="185"/>
      <c r="BJ123" s="185"/>
      <c r="BK123" s="185"/>
      <c r="BL123" s="185"/>
      <c r="BM123" s="185"/>
      <c r="BN123" s="185"/>
      <c r="BO123" s="185"/>
      <c r="BP123" s="185"/>
      <c r="BQ123" s="185"/>
      <c r="BR123" s="185"/>
      <c r="BS123" s="185"/>
      <c r="BT123" s="185"/>
      <c r="BU123" t="b">
        <f>IF(_xlfn.MAXIFS(Table1[Sl No],Table1[Category],Table1[[#This Row],[Category]],Table1[Execution Year],Table1[[#This Row],[Execution Year]])=Table1[[#This Row],[Sl No]],TRUE,FALSE)</f>
        <v>0</v>
      </c>
      <c r="BV123" s="201">
        <f>SUM(Table1[[#This Row],[Spend - CAN]:[Spend - Sams]])+SUM(Table1[[#This Row],[Spend - Sams Mexico]:[Spend - Sams China]])+Table1[[#This Row],[Spend - IND]]</f>
        <v>284700000</v>
      </c>
      <c r="BW123">
        <f>SUM(Table1[[#This Row],[Savings - CAN]:[Savings - Sams]])+SUM(Table1[[#This Row],[Savings - Sams Mexico]:[Savings - Sams China]])+Table1[[#This Row],[Savings - IND]]</f>
        <v>0</v>
      </c>
      <c r="BX123">
        <f>SUM(Table1[[#This Row],[Spend - CAN]:[Spend - SAF]])+SUM(Table1[[#This Row],[Spend - Sams Mexico]:[Spend - Sams China]])+Table1[[#This Row],[Spend - IND]]</f>
        <v>66700000</v>
      </c>
      <c r="BY123">
        <f>SUM(Table1[[#This Row],[Savings - CAN]:[Savings - SAF]])+SUM(Table1[[#This Row],[Savings - Sams Mexico]:[Savings - Sams China]])+Table1[[#This Row],[Savings - IND]]</f>
        <v>0</v>
      </c>
      <c r="BZ123">
        <f>SUM(Table1[[#This Row],[Spend - US]:[Spend - Sams]])</f>
        <v>218000000</v>
      </c>
      <c r="CA123">
        <f>SUM(Table1[[#This Row],[Savings - US]:[Savings - Sams]])</f>
        <v>0</v>
      </c>
      <c r="CB123">
        <f>SUM(Table1[[#This Row],[Cost Avoidance - CAN2]:[Cost Avoidance - SAF10]])+SUM(Table1[[#This Row],[Cost Avoidance - Sams Mexico]:[Cost Avoidance - Sams China]])+Table1[[#This Row],[Cost Avoidance - IND]]</f>
        <v>0</v>
      </c>
      <c r="CC123">
        <f>SUM(Table1[[#This Row],[Cost Avoidance - US11]:[Cost Avoidance - Sams12]])</f>
        <v>0</v>
      </c>
      <c r="CD123">
        <f>_xlfn.XLOOKUP(Table1[[#This Row],[Status]],Status_Lookups[Status],Status_Lookups[Value],"")</f>
        <v>0.3</v>
      </c>
    </row>
    <row r="124" spans="1:82">
      <c r="A124">
        <v>15</v>
      </c>
      <c r="B124" t="s">
        <v>88</v>
      </c>
      <c r="C124" t="s">
        <v>43</v>
      </c>
      <c r="D124" t="s">
        <v>39</v>
      </c>
      <c r="E124" s="15">
        <v>44409</v>
      </c>
      <c r="F124" s="15">
        <v>44561</v>
      </c>
      <c r="G124" s="15">
        <v>0</v>
      </c>
      <c r="H124" s="15">
        <v>0</v>
      </c>
      <c r="I124" t="s">
        <v>443</v>
      </c>
      <c r="J124" t="s">
        <v>444</v>
      </c>
      <c r="K124" t="s">
        <v>454</v>
      </c>
      <c r="L124">
        <v>0</v>
      </c>
      <c r="M124">
        <v>12600000</v>
      </c>
      <c r="N124">
        <v>34200000</v>
      </c>
      <c r="O124">
        <v>16200000</v>
      </c>
      <c r="P124">
        <v>3700000</v>
      </c>
      <c r="Q124">
        <v>0</v>
      </c>
      <c r="R124">
        <v>0</v>
      </c>
      <c r="S124">
        <v>0</v>
      </c>
      <c r="T124">
        <v>0</v>
      </c>
      <c r="U124">
        <v>0</v>
      </c>
      <c r="V124">
        <v>218000000</v>
      </c>
      <c r="W124">
        <v>0</v>
      </c>
      <c r="X124" t="s">
        <v>78</v>
      </c>
      <c r="Y124" s="16">
        <v>44630.371432060187</v>
      </c>
      <c r="Z124" s="17" t="str">
        <f>_xlfn.XLOOKUP(Table1[[#This Row],[Phase]],'Lookup tables'!$Y$27:$Y$60,'Lookup tables'!$Z$27:$Z$60,"Not Updated")</f>
        <v>Completed</v>
      </c>
      <c r="AA124" s="17" t="s">
        <v>647</v>
      </c>
      <c r="AB124">
        <v>0</v>
      </c>
      <c r="AC124">
        <v>0</v>
      </c>
      <c r="AD124">
        <v>0</v>
      </c>
      <c r="AE124">
        <v>0</v>
      </c>
      <c r="AF124">
        <v>0</v>
      </c>
      <c r="AG124">
        <v>0</v>
      </c>
      <c r="AH124">
        <v>0</v>
      </c>
      <c r="AI124">
        <v>0</v>
      </c>
      <c r="AJ124">
        <v>0</v>
      </c>
      <c r="AK124">
        <v>0</v>
      </c>
      <c r="AL124">
        <v>0</v>
      </c>
      <c r="AM124">
        <v>0</v>
      </c>
      <c r="AN124">
        <v>0</v>
      </c>
      <c r="AO124">
        <v>0</v>
      </c>
      <c r="AP124">
        <v>0</v>
      </c>
      <c r="AQ124">
        <v>0</v>
      </c>
      <c r="AR124">
        <v>0</v>
      </c>
      <c r="AS124">
        <v>0</v>
      </c>
      <c r="AT124">
        <v>0</v>
      </c>
      <c r="AU124">
        <v>0</v>
      </c>
      <c r="AV124">
        <v>0</v>
      </c>
      <c r="AW124">
        <v>0</v>
      </c>
      <c r="AX124">
        <v>0</v>
      </c>
      <c r="AY124">
        <v>0</v>
      </c>
      <c r="AZ124">
        <v>0</v>
      </c>
      <c r="BA124">
        <v>0</v>
      </c>
      <c r="BB124">
        <v>0</v>
      </c>
      <c r="BC124">
        <v>0</v>
      </c>
      <c r="BD124">
        <v>0</v>
      </c>
      <c r="BE124">
        <v>0</v>
      </c>
      <c r="BF124">
        <v>0</v>
      </c>
      <c r="BG124" s="185">
        <v>0</v>
      </c>
      <c r="BH124" s="185">
        <v>0</v>
      </c>
      <c r="BI124" s="185">
        <v>0</v>
      </c>
      <c r="BJ124" s="185">
        <v>0</v>
      </c>
      <c r="BK124" s="185">
        <v>0</v>
      </c>
      <c r="BL124" s="185">
        <v>0</v>
      </c>
      <c r="BM124" s="185">
        <v>0</v>
      </c>
      <c r="BN124" s="185">
        <v>0</v>
      </c>
      <c r="BO124" s="185">
        <v>0</v>
      </c>
      <c r="BP124" s="185">
        <v>0</v>
      </c>
      <c r="BQ124" s="185">
        <v>0</v>
      </c>
      <c r="BR124" s="185">
        <v>0</v>
      </c>
      <c r="BS124" s="185">
        <v>0</v>
      </c>
      <c r="BT124" s="185">
        <v>0</v>
      </c>
      <c r="BU124" t="b">
        <f>IF(_xlfn.MAXIFS(Table1[Sl No],Table1[Category],Table1[[#This Row],[Category]],Table1[Execution Year],Table1[[#This Row],[Execution Year]])=Table1[[#This Row],[Sl No]],TRUE,FALSE)</f>
        <v>0</v>
      </c>
      <c r="BV124" s="201">
        <f>SUM(Table1[[#This Row],[Spend - CAN]:[Spend - Sams]])+SUM(Table1[[#This Row],[Spend - Sams Mexico]:[Spend - Sams China]])+Table1[[#This Row],[Spend - IND]]</f>
        <v>284700000</v>
      </c>
      <c r="BW124">
        <f>SUM(Table1[[#This Row],[Savings - CAN]:[Savings - Sams]])+SUM(Table1[[#This Row],[Savings - Sams Mexico]:[Savings - Sams China]])+Table1[[#This Row],[Savings - IND]]</f>
        <v>0</v>
      </c>
      <c r="BX124">
        <f>SUM(Table1[[#This Row],[Spend - CAN]:[Spend - SAF]])+SUM(Table1[[#This Row],[Spend - Sams Mexico]:[Spend - Sams China]])+Table1[[#This Row],[Spend - IND]]</f>
        <v>66700000</v>
      </c>
      <c r="BY124">
        <f>SUM(Table1[[#This Row],[Savings - CAN]:[Savings - SAF]])+SUM(Table1[[#This Row],[Savings - Sams Mexico]:[Savings - Sams China]])+Table1[[#This Row],[Savings - IND]]</f>
        <v>0</v>
      </c>
      <c r="BZ124">
        <f>SUM(Table1[[#This Row],[Spend - US]:[Spend - Sams]])</f>
        <v>218000000</v>
      </c>
      <c r="CA124">
        <f>SUM(Table1[[#This Row],[Savings - US]:[Savings - Sams]])</f>
        <v>0</v>
      </c>
      <c r="CB124">
        <f>SUM(Table1[[#This Row],[Cost Avoidance - CAN2]:[Cost Avoidance - SAF10]])+SUM(Table1[[#This Row],[Cost Avoidance - Sams Mexico]:[Cost Avoidance - Sams China]])+Table1[[#This Row],[Cost Avoidance - IND]]</f>
        <v>0</v>
      </c>
      <c r="CC124">
        <f>SUM(Table1[[#This Row],[Cost Avoidance - US11]:[Cost Avoidance - Sams12]])</f>
        <v>0</v>
      </c>
      <c r="CD124">
        <f>_xlfn.XLOOKUP(Table1[[#This Row],[Status]],Status_Lookups[Status],Status_Lookups[Value],"")</f>
        <v>0.2</v>
      </c>
    </row>
    <row r="125" spans="1:82">
      <c r="A125">
        <v>16</v>
      </c>
      <c r="B125" t="s">
        <v>88</v>
      </c>
      <c r="C125" t="s">
        <v>43</v>
      </c>
      <c r="D125" t="s">
        <v>39</v>
      </c>
      <c r="E125" s="15">
        <v>44409</v>
      </c>
      <c r="F125" s="15">
        <v>44561</v>
      </c>
      <c r="G125" s="15">
        <v>0</v>
      </c>
      <c r="H125" s="15">
        <v>0</v>
      </c>
      <c r="I125" t="s">
        <v>443</v>
      </c>
      <c r="J125" t="s">
        <v>444</v>
      </c>
      <c r="K125" t="s">
        <v>454</v>
      </c>
      <c r="L125">
        <v>0</v>
      </c>
      <c r="M125">
        <v>12600000</v>
      </c>
      <c r="N125">
        <v>34200000</v>
      </c>
      <c r="O125">
        <v>16200000</v>
      </c>
      <c r="P125">
        <v>3700000</v>
      </c>
      <c r="Q125">
        <v>0</v>
      </c>
      <c r="R125">
        <v>0</v>
      </c>
      <c r="S125">
        <v>0</v>
      </c>
      <c r="T125">
        <v>0</v>
      </c>
      <c r="U125">
        <v>0</v>
      </c>
      <c r="V125">
        <v>218000000</v>
      </c>
      <c r="W125">
        <v>0</v>
      </c>
      <c r="X125" t="s">
        <v>78</v>
      </c>
      <c r="Y125" s="16">
        <v>44651.499686921299</v>
      </c>
      <c r="Z125" s="17" t="str">
        <f>_xlfn.XLOOKUP(Table1[[#This Row],[Phase]],'Lookup tables'!$Y$27:$Y$60,'Lookup tables'!$Z$27:$Z$60,"Not Updated")</f>
        <v>Completed</v>
      </c>
      <c r="AA125" s="17" t="s">
        <v>647</v>
      </c>
      <c r="AB125">
        <v>4103903</v>
      </c>
      <c r="AC125">
        <v>121838</v>
      </c>
      <c r="AD125">
        <v>0</v>
      </c>
      <c r="AE125">
        <v>120663</v>
      </c>
      <c r="AF125">
        <v>0</v>
      </c>
      <c r="AG125">
        <v>0</v>
      </c>
      <c r="AH125">
        <v>0</v>
      </c>
      <c r="AI125">
        <v>0</v>
      </c>
      <c r="AJ125">
        <v>0</v>
      </c>
      <c r="AK125">
        <v>0</v>
      </c>
      <c r="AL125">
        <v>0</v>
      </c>
      <c r="AM125">
        <v>0</v>
      </c>
      <c r="AN125">
        <v>0</v>
      </c>
      <c r="AO125">
        <v>0</v>
      </c>
      <c r="AP125">
        <v>0</v>
      </c>
      <c r="AQ125">
        <v>0</v>
      </c>
      <c r="AR125">
        <v>0</v>
      </c>
      <c r="AS125">
        <v>0</v>
      </c>
      <c r="AT125">
        <v>0</v>
      </c>
      <c r="AU125">
        <v>0</v>
      </c>
      <c r="AV125">
        <v>0</v>
      </c>
      <c r="AW125">
        <v>0</v>
      </c>
      <c r="AX125">
        <v>0</v>
      </c>
      <c r="AY125">
        <v>0</v>
      </c>
      <c r="AZ125">
        <v>0</v>
      </c>
      <c r="BA125">
        <v>0</v>
      </c>
      <c r="BB125">
        <v>0</v>
      </c>
      <c r="BC125">
        <v>0</v>
      </c>
      <c r="BD125">
        <v>0</v>
      </c>
      <c r="BE125">
        <v>0</v>
      </c>
      <c r="BF125">
        <v>0</v>
      </c>
      <c r="BG125" s="185">
        <v>0</v>
      </c>
      <c r="BH125" s="185">
        <v>0</v>
      </c>
      <c r="BI125" s="185">
        <v>0</v>
      </c>
      <c r="BJ125" s="185">
        <v>0</v>
      </c>
      <c r="BK125" s="185">
        <v>0</v>
      </c>
      <c r="BL125" s="185">
        <v>0</v>
      </c>
      <c r="BM125" s="185">
        <v>0</v>
      </c>
      <c r="BN125" s="185">
        <v>0</v>
      </c>
      <c r="BO125" s="185">
        <v>0</v>
      </c>
      <c r="BP125" s="185">
        <v>0</v>
      </c>
      <c r="BQ125" s="185">
        <v>0</v>
      </c>
      <c r="BR125" s="185">
        <v>0</v>
      </c>
      <c r="BS125" s="185">
        <v>0</v>
      </c>
      <c r="BT125" s="185">
        <v>0</v>
      </c>
      <c r="BU125" t="b">
        <f>IF(_xlfn.MAXIFS(Table1[Sl No],Table1[Category],Table1[[#This Row],[Category]],Table1[Execution Year],Table1[[#This Row],[Execution Year]])=Table1[[#This Row],[Sl No]],TRUE,FALSE)</f>
        <v>1</v>
      </c>
      <c r="BV125" s="201">
        <f>SUM(Table1[[#This Row],[Spend - CAN]:[Spend - Sams]])+SUM(Table1[[#This Row],[Spend - Sams Mexico]:[Spend - Sams China]])+Table1[[#This Row],[Spend - IND]]</f>
        <v>284700000</v>
      </c>
      <c r="BW125">
        <f>SUM(Table1[[#This Row],[Savings - CAN]:[Savings - Sams]])+SUM(Table1[[#This Row],[Savings - Sams Mexico]:[Savings - Sams China]])+Table1[[#This Row],[Savings - IND]]</f>
        <v>4346404</v>
      </c>
      <c r="BX125">
        <f>SUM(Table1[[#This Row],[Spend - CAN]:[Spend - SAF]])+SUM(Table1[[#This Row],[Spend - Sams Mexico]:[Spend - Sams China]])+Table1[[#This Row],[Spend - IND]]</f>
        <v>66700000</v>
      </c>
      <c r="BY125">
        <f>SUM(Table1[[#This Row],[Savings - CAN]:[Savings - SAF]])+SUM(Table1[[#This Row],[Savings - Sams Mexico]:[Savings - Sams China]])+Table1[[#This Row],[Savings - IND]]</f>
        <v>4346404</v>
      </c>
      <c r="BZ125">
        <f>SUM(Table1[[#This Row],[Spend - US]:[Spend - Sams]])</f>
        <v>218000000</v>
      </c>
      <c r="CA125">
        <f>SUM(Table1[[#This Row],[Savings - US]:[Savings - Sams]])</f>
        <v>0</v>
      </c>
      <c r="CB125">
        <f>SUM(Table1[[#This Row],[Cost Avoidance - CAN2]:[Cost Avoidance - SAF10]])+SUM(Table1[[#This Row],[Cost Avoidance - Sams Mexico]:[Cost Avoidance - Sams China]])+Table1[[#This Row],[Cost Avoidance - IND]]</f>
        <v>0</v>
      </c>
      <c r="CC125">
        <f>SUM(Table1[[#This Row],[Cost Avoidance - US11]:[Cost Avoidance - Sams12]])</f>
        <v>0</v>
      </c>
      <c r="CD125">
        <f>_xlfn.XLOOKUP(Table1[[#This Row],[Status]],Status_Lookups[Status],Status_Lookups[Value],"")</f>
        <v>0.2</v>
      </c>
    </row>
    <row r="126" spans="1:82">
      <c r="A126">
        <v>1</v>
      </c>
      <c r="B126" t="s">
        <v>477</v>
      </c>
      <c r="C126" t="s">
        <v>43</v>
      </c>
      <c r="D126" t="s">
        <v>322</v>
      </c>
      <c r="E126" s="15"/>
      <c r="F126" s="15"/>
      <c r="G126" s="15"/>
      <c r="H126" s="15"/>
      <c r="X126" t="s">
        <v>78</v>
      </c>
      <c r="Y126" s="16">
        <v>44594.715462962966</v>
      </c>
      <c r="Z126" s="17" t="str">
        <f>_xlfn.XLOOKUP(Table1[[#This Row],[Phase]],'Lookup tables'!$Y$27:$Y$60,'Lookup tables'!$Z$27:$Z$60,"Not Updated")</f>
        <v>Not Updated</v>
      </c>
      <c r="AA126" s="17"/>
      <c r="BG126" s="185"/>
      <c r="BH126" s="185"/>
      <c r="BI126" s="185"/>
      <c r="BJ126" s="185"/>
      <c r="BK126" s="185"/>
      <c r="BL126" s="185"/>
      <c r="BM126" s="185"/>
      <c r="BN126" s="185"/>
      <c r="BO126" s="185"/>
      <c r="BP126" s="185"/>
      <c r="BQ126" s="185"/>
      <c r="BR126" s="185"/>
      <c r="BS126" s="185"/>
      <c r="BT126" s="185"/>
      <c r="BU126" t="b">
        <f>IF(_xlfn.MAXIFS(Table1[Sl No],Table1[Category],Table1[[#This Row],[Category]],Table1[Execution Year],Table1[[#This Row],[Execution Year]])=Table1[[#This Row],[Sl No]],TRUE,FALSE)</f>
        <v>0</v>
      </c>
      <c r="BV126" s="201">
        <f>SUM(Table1[[#This Row],[Spend - CAN]:[Spend - Sams]])+SUM(Table1[[#This Row],[Spend - Sams Mexico]:[Spend - Sams China]])+Table1[[#This Row],[Spend - IND]]</f>
        <v>0</v>
      </c>
      <c r="BW126">
        <f>SUM(Table1[[#This Row],[Savings - CAN]:[Savings - Sams]])+SUM(Table1[[#This Row],[Savings - Sams Mexico]:[Savings - Sams China]])+Table1[[#This Row],[Savings - IND]]</f>
        <v>0</v>
      </c>
      <c r="BX126">
        <f>SUM(Table1[[#This Row],[Spend - CAN]:[Spend - SAF]])+SUM(Table1[[#This Row],[Spend - Sams Mexico]:[Spend - Sams China]])+Table1[[#This Row],[Spend - IND]]</f>
        <v>0</v>
      </c>
      <c r="BY126">
        <f>SUM(Table1[[#This Row],[Savings - CAN]:[Savings - SAF]])+SUM(Table1[[#This Row],[Savings - Sams Mexico]:[Savings - Sams China]])+Table1[[#This Row],[Savings - IND]]</f>
        <v>0</v>
      </c>
      <c r="BZ126">
        <f>SUM(Table1[[#This Row],[Spend - US]:[Spend - Sams]])</f>
        <v>0</v>
      </c>
      <c r="CA126">
        <f>SUM(Table1[[#This Row],[Savings - US]:[Savings - Sams]])</f>
        <v>0</v>
      </c>
      <c r="CB126">
        <f>SUM(Table1[[#This Row],[Cost Avoidance - CAN2]:[Cost Avoidance - SAF10]])+SUM(Table1[[#This Row],[Cost Avoidance - Sams Mexico]:[Cost Avoidance - Sams China]])+Table1[[#This Row],[Cost Avoidance - IND]]</f>
        <v>0</v>
      </c>
      <c r="CC126">
        <f>SUM(Table1[[#This Row],[Cost Avoidance - US11]:[Cost Avoidance - Sams12]])</f>
        <v>0</v>
      </c>
      <c r="CD126" t="str">
        <f>_xlfn.XLOOKUP(Table1[[#This Row],[Status]],Status_Lookups[Status],Status_Lookups[Value],"")</f>
        <v/>
      </c>
    </row>
    <row r="127" spans="1:82">
      <c r="A127">
        <v>2</v>
      </c>
      <c r="B127" t="s">
        <v>477</v>
      </c>
      <c r="C127" t="s">
        <v>43</v>
      </c>
      <c r="D127" t="s">
        <v>322</v>
      </c>
      <c r="E127" s="15">
        <v>44896</v>
      </c>
      <c r="F127" s="15">
        <v>0</v>
      </c>
      <c r="G127" s="15">
        <v>0</v>
      </c>
      <c r="H127" s="15">
        <v>0</v>
      </c>
      <c r="I127">
        <v>0</v>
      </c>
      <c r="J127">
        <v>0</v>
      </c>
      <c r="K127" t="s">
        <v>454</v>
      </c>
      <c r="L127">
        <v>0</v>
      </c>
      <c r="W127">
        <v>184000000</v>
      </c>
      <c r="X127" t="s">
        <v>78</v>
      </c>
      <c r="Y127" s="16">
        <v>44600.471670949075</v>
      </c>
      <c r="Z127" s="17" t="str">
        <f>_xlfn.XLOOKUP(Table1[[#This Row],[Phase]],'Lookup tables'!$Y$27:$Y$60,'Lookup tables'!$Z$27:$Z$60,"Not Updated")</f>
        <v>Not Updated</v>
      </c>
      <c r="AA127" s="17">
        <v>0</v>
      </c>
      <c r="AB127">
        <v>0</v>
      </c>
      <c r="AC127">
        <v>0</v>
      </c>
      <c r="AD127">
        <v>0</v>
      </c>
      <c r="AE127">
        <v>0</v>
      </c>
      <c r="AF127">
        <v>0</v>
      </c>
      <c r="AG127">
        <v>0</v>
      </c>
      <c r="AH127">
        <v>0</v>
      </c>
      <c r="AI127">
        <v>0</v>
      </c>
      <c r="AJ127">
        <v>0</v>
      </c>
      <c r="AK127">
        <v>0</v>
      </c>
      <c r="AL127">
        <v>0</v>
      </c>
      <c r="AM127">
        <v>0</v>
      </c>
      <c r="AN127">
        <v>0</v>
      </c>
      <c r="AO127">
        <v>0</v>
      </c>
      <c r="AP127">
        <v>0</v>
      </c>
      <c r="AQ127">
        <v>0</v>
      </c>
      <c r="AR127">
        <v>0</v>
      </c>
      <c r="AS127">
        <v>0</v>
      </c>
      <c r="AT127">
        <v>0</v>
      </c>
      <c r="AU127">
        <v>0</v>
      </c>
      <c r="AV127">
        <v>0</v>
      </c>
      <c r="AW127">
        <v>0</v>
      </c>
      <c r="AX127">
        <v>0</v>
      </c>
      <c r="AY127">
        <v>0</v>
      </c>
      <c r="AZ127">
        <v>0</v>
      </c>
      <c r="BA127">
        <v>0</v>
      </c>
      <c r="BB127">
        <v>0</v>
      </c>
      <c r="BC127">
        <v>0</v>
      </c>
      <c r="BD127">
        <v>0</v>
      </c>
      <c r="BE127">
        <v>0</v>
      </c>
      <c r="BF127">
        <v>0</v>
      </c>
      <c r="BG127" s="185">
        <v>0</v>
      </c>
      <c r="BH127" s="185">
        <v>0</v>
      </c>
      <c r="BI127" s="185">
        <v>0</v>
      </c>
      <c r="BJ127" s="185">
        <v>0</v>
      </c>
      <c r="BK127" s="185">
        <v>0</v>
      </c>
      <c r="BL127" s="185">
        <v>0</v>
      </c>
      <c r="BM127" s="185">
        <v>0</v>
      </c>
      <c r="BN127" s="185">
        <v>0</v>
      </c>
      <c r="BO127" s="185">
        <v>0</v>
      </c>
      <c r="BP127" s="185">
        <v>0</v>
      </c>
      <c r="BQ127" s="185">
        <v>0</v>
      </c>
      <c r="BR127" s="185">
        <v>0</v>
      </c>
      <c r="BS127" s="185">
        <v>0</v>
      </c>
      <c r="BT127" s="185">
        <v>0</v>
      </c>
      <c r="BU127" t="b">
        <f>IF(_xlfn.MAXIFS(Table1[Sl No],Table1[Category],Table1[[#This Row],[Category]],Table1[Execution Year],Table1[[#This Row],[Execution Year]])=Table1[[#This Row],[Sl No]],TRUE,FALSE)</f>
        <v>0</v>
      </c>
      <c r="BV127" s="201">
        <f>SUM(Table1[[#This Row],[Spend - CAN]:[Spend - Sams]])+SUM(Table1[[#This Row],[Spend - Sams Mexico]:[Spend - Sams China]])+Table1[[#This Row],[Spend - IND]]</f>
        <v>184000000</v>
      </c>
      <c r="BW127">
        <f>SUM(Table1[[#This Row],[Savings - CAN]:[Savings - Sams]])+SUM(Table1[[#This Row],[Savings - Sams Mexico]:[Savings - Sams China]])+Table1[[#This Row],[Savings - IND]]</f>
        <v>0</v>
      </c>
      <c r="BX127">
        <f>SUM(Table1[[#This Row],[Spend - CAN]:[Spend - SAF]])+SUM(Table1[[#This Row],[Spend - Sams Mexico]:[Spend - Sams China]])+Table1[[#This Row],[Spend - IND]]</f>
        <v>0</v>
      </c>
      <c r="BY127">
        <f>SUM(Table1[[#This Row],[Savings - CAN]:[Savings - SAF]])+SUM(Table1[[#This Row],[Savings - Sams Mexico]:[Savings - Sams China]])+Table1[[#This Row],[Savings - IND]]</f>
        <v>0</v>
      </c>
      <c r="BZ127">
        <f>SUM(Table1[[#This Row],[Spend - US]:[Spend - Sams]])</f>
        <v>184000000</v>
      </c>
      <c r="CA127">
        <f>SUM(Table1[[#This Row],[Savings - US]:[Savings - Sams]])</f>
        <v>0</v>
      </c>
      <c r="CB127">
        <f>SUM(Table1[[#This Row],[Cost Avoidance - CAN2]:[Cost Avoidance - SAF10]])+SUM(Table1[[#This Row],[Cost Avoidance - Sams Mexico]:[Cost Avoidance - Sams China]])+Table1[[#This Row],[Cost Avoidance - IND]]</f>
        <v>0</v>
      </c>
      <c r="CC127">
        <f>SUM(Table1[[#This Row],[Cost Avoidance - US11]:[Cost Avoidance - Sams12]])</f>
        <v>0</v>
      </c>
      <c r="CD127" t="str">
        <f>_xlfn.XLOOKUP(Table1[[#This Row],[Status]],Status_Lookups[Status],Status_Lookups[Value],"")</f>
        <v/>
      </c>
    </row>
    <row r="128" spans="1:82">
      <c r="A128">
        <v>3</v>
      </c>
      <c r="B128" t="s">
        <v>477</v>
      </c>
      <c r="C128" t="s">
        <v>43</v>
      </c>
      <c r="D128" t="s">
        <v>322</v>
      </c>
      <c r="E128" s="15">
        <v>44835</v>
      </c>
      <c r="F128" s="15">
        <v>44926</v>
      </c>
      <c r="G128" s="15">
        <v>0</v>
      </c>
      <c r="H128" s="15">
        <v>0</v>
      </c>
      <c r="I128" t="s">
        <v>458</v>
      </c>
      <c r="J128">
        <v>0</v>
      </c>
      <c r="K128" t="s">
        <v>454</v>
      </c>
      <c r="L128">
        <v>0</v>
      </c>
      <c r="W128">
        <v>184000000</v>
      </c>
      <c r="X128" t="s">
        <v>78</v>
      </c>
      <c r="Y128" s="16">
        <v>44600.47511608796</v>
      </c>
      <c r="Z128" s="17" t="str">
        <f>_xlfn.XLOOKUP(Table1[[#This Row],[Phase]],'Lookup tables'!$Y$27:$Y$60,'Lookup tables'!$Z$27:$Z$60,"Not Updated")</f>
        <v>Exploratory</v>
      </c>
      <c r="AA128" s="17">
        <v>0</v>
      </c>
      <c r="AB128">
        <v>0</v>
      </c>
      <c r="AC128">
        <v>0</v>
      </c>
      <c r="AD128">
        <v>0</v>
      </c>
      <c r="AE128">
        <v>0</v>
      </c>
      <c r="AF128">
        <v>0</v>
      </c>
      <c r="AG128">
        <v>0</v>
      </c>
      <c r="AH128">
        <v>0</v>
      </c>
      <c r="AI128">
        <v>0</v>
      </c>
      <c r="AJ128">
        <v>0</v>
      </c>
      <c r="AK128">
        <v>0</v>
      </c>
      <c r="AL128">
        <v>0</v>
      </c>
      <c r="AM128">
        <v>0</v>
      </c>
      <c r="AN128">
        <v>0</v>
      </c>
      <c r="AO128">
        <v>0</v>
      </c>
      <c r="AP128">
        <v>0</v>
      </c>
      <c r="AQ128">
        <v>0</v>
      </c>
      <c r="AR128">
        <v>0</v>
      </c>
      <c r="AS128">
        <v>0</v>
      </c>
      <c r="AT128">
        <v>0</v>
      </c>
      <c r="AU128">
        <v>0</v>
      </c>
      <c r="AV128">
        <v>0</v>
      </c>
      <c r="AW128">
        <v>0</v>
      </c>
      <c r="AX128">
        <v>0</v>
      </c>
      <c r="AY128">
        <v>0</v>
      </c>
      <c r="AZ128">
        <v>0</v>
      </c>
      <c r="BA128">
        <v>0</v>
      </c>
      <c r="BB128">
        <v>0</v>
      </c>
      <c r="BC128">
        <v>0</v>
      </c>
      <c r="BD128">
        <v>0</v>
      </c>
      <c r="BE128">
        <v>0</v>
      </c>
      <c r="BF128">
        <v>0</v>
      </c>
      <c r="BG128" s="185">
        <v>0</v>
      </c>
      <c r="BH128" s="185">
        <v>0</v>
      </c>
      <c r="BI128" s="185">
        <v>0</v>
      </c>
      <c r="BJ128" s="185">
        <v>0</v>
      </c>
      <c r="BK128" s="185">
        <v>0</v>
      </c>
      <c r="BL128" s="185">
        <v>0</v>
      </c>
      <c r="BM128" s="185">
        <v>0</v>
      </c>
      <c r="BN128" s="185">
        <v>0</v>
      </c>
      <c r="BO128" s="185">
        <v>0</v>
      </c>
      <c r="BP128" s="185">
        <v>0</v>
      </c>
      <c r="BQ128" s="185">
        <v>0</v>
      </c>
      <c r="BR128" s="185">
        <v>0</v>
      </c>
      <c r="BS128" s="185">
        <v>0</v>
      </c>
      <c r="BT128" s="185">
        <v>0</v>
      </c>
      <c r="BU128" t="b">
        <f>IF(_xlfn.MAXIFS(Table1[Sl No],Table1[Category],Table1[[#This Row],[Category]],Table1[Execution Year],Table1[[#This Row],[Execution Year]])=Table1[[#This Row],[Sl No]],TRUE,FALSE)</f>
        <v>1</v>
      </c>
      <c r="BV128" s="201">
        <f>SUM(Table1[[#This Row],[Spend - CAN]:[Spend - Sams]])+SUM(Table1[[#This Row],[Spend - Sams Mexico]:[Spend - Sams China]])+Table1[[#This Row],[Spend - IND]]</f>
        <v>184000000</v>
      </c>
      <c r="BW128">
        <f>SUM(Table1[[#This Row],[Savings - CAN]:[Savings - Sams]])+SUM(Table1[[#This Row],[Savings - Sams Mexico]:[Savings - Sams China]])+Table1[[#This Row],[Savings - IND]]</f>
        <v>0</v>
      </c>
      <c r="BX128">
        <f>SUM(Table1[[#This Row],[Spend - CAN]:[Spend - SAF]])+SUM(Table1[[#This Row],[Spend - Sams Mexico]:[Spend - Sams China]])+Table1[[#This Row],[Spend - IND]]</f>
        <v>0</v>
      </c>
      <c r="BY128">
        <f>SUM(Table1[[#This Row],[Savings - CAN]:[Savings - SAF]])+SUM(Table1[[#This Row],[Savings - Sams Mexico]:[Savings - Sams China]])+Table1[[#This Row],[Savings - IND]]</f>
        <v>0</v>
      </c>
      <c r="BZ128">
        <f>SUM(Table1[[#This Row],[Spend - US]:[Spend - Sams]])</f>
        <v>184000000</v>
      </c>
      <c r="CA128">
        <f>SUM(Table1[[#This Row],[Savings - US]:[Savings - Sams]])</f>
        <v>0</v>
      </c>
      <c r="CB128">
        <f>SUM(Table1[[#This Row],[Cost Avoidance - CAN2]:[Cost Avoidance - SAF10]])+SUM(Table1[[#This Row],[Cost Avoidance - Sams Mexico]:[Cost Avoidance - Sams China]])+Table1[[#This Row],[Cost Avoidance - IND]]</f>
        <v>0</v>
      </c>
      <c r="CC128">
        <f>SUM(Table1[[#This Row],[Cost Avoidance - US11]:[Cost Avoidance - Sams12]])</f>
        <v>0</v>
      </c>
      <c r="CD128" t="str">
        <f>_xlfn.XLOOKUP(Table1[[#This Row],[Status]],Status_Lookups[Status],Status_Lookups[Value],"")</f>
        <v/>
      </c>
    </row>
    <row r="129" spans="1:82">
      <c r="A129">
        <v>1</v>
      </c>
      <c r="B129" t="s">
        <v>91</v>
      </c>
      <c r="C129" t="s">
        <v>43</v>
      </c>
      <c r="D129" t="s">
        <v>39</v>
      </c>
      <c r="E129" s="15"/>
      <c r="F129" s="15"/>
      <c r="G129" s="15"/>
      <c r="H129" s="15"/>
      <c r="I129" t="s">
        <v>458</v>
      </c>
      <c r="X129" t="s">
        <v>78</v>
      </c>
      <c r="Y129" s="16">
        <v>44244.367349537039</v>
      </c>
      <c r="Z129" s="17" t="str">
        <f>_xlfn.XLOOKUP(Table1[[#This Row],[Phase]],'Lookup tables'!$Y$27:$Y$60,'Lookup tables'!$Z$27:$Z$60,"Not Updated")</f>
        <v>Exploratory</v>
      </c>
      <c r="AA129" s="17"/>
      <c r="BG129" s="185"/>
      <c r="BH129" s="185"/>
      <c r="BI129" s="185"/>
      <c r="BJ129" s="185"/>
      <c r="BK129" s="185"/>
      <c r="BL129" s="185"/>
      <c r="BM129" s="185"/>
      <c r="BN129" s="185"/>
      <c r="BO129" s="185"/>
      <c r="BP129" s="185"/>
      <c r="BQ129" s="185"/>
      <c r="BR129" s="185"/>
      <c r="BS129" s="185"/>
      <c r="BT129" s="185"/>
      <c r="BU129" t="b">
        <f>IF(_xlfn.MAXIFS(Table1[Sl No],Table1[Category],Table1[[#This Row],[Category]],Table1[Execution Year],Table1[[#This Row],[Execution Year]])=Table1[[#This Row],[Sl No]],TRUE,FALSE)</f>
        <v>0</v>
      </c>
      <c r="BV129" s="201">
        <f>SUM(Table1[[#This Row],[Spend - CAN]:[Spend - Sams]])+SUM(Table1[[#This Row],[Spend - Sams Mexico]:[Spend - Sams China]])+Table1[[#This Row],[Spend - IND]]</f>
        <v>0</v>
      </c>
      <c r="BW129">
        <f>SUM(Table1[[#This Row],[Savings - CAN]:[Savings - Sams]])+SUM(Table1[[#This Row],[Savings - Sams Mexico]:[Savings - Sams China]])+Table1[[#This Row],[Savings - IND]]</f>
        <v>0</v>
      </c>
      <c r="BX129">
        <f>SUM(Table1[[#This Row],[Spend - CAN]:[Spend - SAF]])+SUM(Table1[[#This Row],[Spend - Sams Mexico]:[Spend - Sams China]])+Table1[[#This Row],[Spend - IND]]</f>
        <v>0</v>
      </c>
      <c r="BY129">
        <f>SUM(Table1[[#This Row],[Savings - CAN]:[Savings - SAF]])+SUM(Table1[[#This Row],[Savings - Sams Mexico]:[Savings - Sams China]])+Table1[[#This Row],[Savings - IND]]</f>
        <v>0</v>
      </c>
      <c r="BZ129">
        <f>SUM(Table1[[#This Row],[Spend - US]:[Spend - Sams]])</f>
        <v>0</v>
      </c>
      <c r="CA129">
        <f>SUM(Table1[[#This Row],[Savings - US]:[Savings - Sams]])</f>
        <v>0</v>
      </c>
      <c r="CB129">
        <f>SUM(Table1[[#This Row],[Cost Avoidance - CAN2]:[Cost Avoidance - SAF10]])+SUM(Table1[[#This Row],[Cost Avoidance - Sams Mexico]:[Cost Avoidance - Sams China]])+Table1[[#This Row],[Cost Avoidance - IND]]</f>
        <v>0</v>
      </c>
      <c r="CC129">
        <f>SUM(Table1[[#This Row],[Cost Avoidance - US11]:[Cost Avoidance - Sams12]])</f>
        <v>0</v>
      </c>
      <c r="CD129" t="str">
        <f>_xlfn.XLOOKUP(Table1[[#This Row],[Status]],Status_Lookups[Status],Status_Lookups[Value],"")</f>
        <v/>
      </c>
    </row>
    <row r="130" spans="1:82">
      <c r="A130">
        <v>2</v>
      </c>
      <c r="B130" t="s">
        <v>91</v>
      </c>
      <c r="C130" t="s">
        <v>43</v>
      </c>
      <c r="D130" t="s">
        <v>39</v>
      </c>
      <c r="E130" s="15">
        <v>0</v>
      </c>
      <c r="F130" s="15">
        <v>0</v>
      </c>
      <c r="G130" s="15"/>
      <c r="H130" s="15"/>
      <c r="I130" t="s">
        <v>458</v>
      </c>
      <c r="J130">
        <v>0</v>
      </c>
      <c r="K130">
        <v>0</v>
      </c>
      <c r="L130">
        <v>0</v>
      </c>
      <c r="M130">
        <v>62600000</v>
      </c>
      <c r="N130">
        <v>166600000</v>
      </c>
      <c r="O130">
        <v>24300000</v>
      </c>
      <c r="P130">
        <v>13600000</v>
      </c>
      <c r="Q130">
        <v>0</v>
      </c>
      <c r="R130">
        <v>23900000</v>
      </c>
      <c r="S130">
        <v>0</v>
      </c>
      <c r="T130">
        <v>10400000</v>
      </c>
      <c r="U130">
        <v>0</v>
      </c>
      <c r="V130">
        <v>0</v>
      </c>
      <c r="W130">
        <v>0</v>
      </c>
      <c r="X130" t="s">
        <v>78</v>
      </c>
      <c r="Y130" s="16">
        <v>44244.370724652777</v>
      </c>
      <c r="Z130" s="17" t="str">
        <f>_xlfn.XLOOKUP(Table1[[#This Row],[Phase]],'Lookup tables'!$Y$27:$Y$60,'Lookup tables'!$Z$27:$Z$60,"Not Updated")</f>
        <v>Exploratory</v>
      </c>
      <c r="AA130" s="17" t="s">
        <v>648</v>
      </c>
      <c r="AB130">
        <v>0</v>
      </c>
      <c r="AC130">
        <v>0</v>
      </c>
      <c r="AD130">
        <v>0</v>
      </c>
      <c r="AE130">
        <v>0</v>
      </c>
      <c r="AF130">
        <v>0</v>
      </c>
      <c r="AG130">
        <v>0</v>
      </c>
      <c r="AH130">
        <v>0</v>
      </c>
      <c r="AI130">
        <v>0</v>
      </c>
      <c r="AJ130">
        <v>0</v>
      </c>
      <c r="AK130">
        <v>0</v>
      </c>
      <c r="AL130">
        <v>0</v>
      </c>
      <c r="BG130" s="185"/>
      <c r="BH130" s="185"/>
      <c r="BI130" s="185"/>
      <c r="BJ130" s="185"/>
      <c r="BK130" s="185"/>
      <c r="BL130" s="185"/>
      <c r="BM130" s="185"/>
      <c r="BN130" s="185"/>
      <c r="BO130" s="185"/>
      <c r="BP130" s="185"/>
      <c r="BQ130" s="185"/>
      <c r="BR130" s="185"/>
      <c r="BS130" s="185"/>
      <c r="BT130" s="185"/>
      <c r="BU130" t="b">
        <f>IF(_xlfn.MAXIFS(Table1[Sl No],Table1[Category],Table1[[#This Row],[Category]],Table1[Execution Year],Table1[[#This Row],[Execution Year]])=Table1[[#This Row],[Sl No]],TRUE,FALSE)</f>
        <v>0</v>
      </c>
      <c r="BV130" s="201">
        <f>SUM(Table1[[#This Row],[Spend - CAN]:[Spend - Sams]])+SUM(Table1[[#This Row],[Spend - Sams Mexico]:[Spend - Sams China]])+Table1[[#This Row],[Spend - IND]]</f>
        <v>301400000</v>
      </c>
      <c r="BW130">
        <f>SUM(Table1[[#This Row],[Savings - CAN]:[Savings - Sams]])+SUM(Table1[[#This Row],[Savings - Sams Mexico]:[Savings - Sams China]])+Table1[[#This Row],[Savings - IND]]</f>
        <v>0</v>
      </c>
      <c r="BX130">
        <f>SUM(Table1[[#This Row],[Spend - CAN]:[Spend - SAF]])+SUM(Table1[[#This Row],[Spend - Sams Mexico]:[Spend - Sams China]])+Table1[[#This Row],[Spend - IND]]</f>
        <v>301400000</v>
      </c>
      <c r="BY130">
        <f>SUM(Table1[[#This Row],[Savings - CAN]:[Savings - SAF]])+SUM(Table1[[#This Row],[Savings - Sams Mexico]:[Savings - Sams China]])+Table1[[#This Row],[Savings - IND]]</f>
        <v>0</v>
      </c>
      <c r="BZ130">
        <f>SUM(Table1[[#This Row],[Spend - US]:[Spend - Sams]])</f>
        <v>0</v>
      </c>
      <c r="CA130">
        <f>SUM(Table1[[#This Row],[Savings - US]:[Savings - Sams]])</f>
        <v>0</v>
      </c>
      <c r="CB130">
        <f>SUM(Table1[[#This Row],[Cost Avoidance - CAN2]:[Cost Avoidance - SAF10]])+SUM(Table1[[#This Row],[Cost Avoidance - Sams Mexico]:[Cost Avoidance - Sams China]])+Table1[[#This Row],[Cost Avoidance - IND]]</f>
        <v>0</v>
      </c>
      <c r="CC130">
        <f>SUM(Table1[[#This Row],[Cost Avoidance - US11]:[Cost Avoidance - Sams12]])</f>
        <v>0</v>
      </c>
      <c r="CD130" t="str">
        <f>_xlfn.XLOOKUP(Table1[[#This Row],[Status]],Status_Lookups[Status],Status_Lookups[Value],"")</f>
        <v/>
      </c>
    </row>
    <row r="131" spans="1:82">
      <c r="A131">
        <v>3</v>
      </c>
      <c r="B131" t="s">
        <v>91</v>
      </c>
      <c r="C131" t="s">
        <v>43</v>
      </c>
      <c r="D131" t="s">
        <v>39</v>
      </c>
      <c r="E131" s="15">
        <v>44378</v>
      </c>
      <c r="F131" s="15">
        <v>44469</v>
      </c>
      <c r="G131" s="15"/>
      <c r="H131" s="15"/>
      <c r="I131" t="s">
        <v>458</v>
      </c>
      <c r="J131">
        <v>0</v>
      </c>
      <c r="K131">
        <v>0</v>
      </c>
      <c r="L131">
        <v>0</v>
      </c>
      <c r="M131">
        <v>62600000</v>
      </c>
      <c r="N131">
        <v>166600000</v>
      </c>
      <c r="O131">
        <v>24300000</v>
      </c>
      <c r="P131">
        <v>13600000</v>
      </c>
      <c r="Q131">
        <v>0</v>
      </c>
      <c r="R131">
        <v>23900000</v>
      </c>
      <c r="S131">
        <v>0</v>
      </c>
      <c r="T131">
        <v>10400000</v>
      </c>
      <c r="U131">
        <v>0</v>
      </c>
      <c r="V131">
        <v>0</v>
      </c>
      <c r="W131">
        <v>0</v>
      </c>
      <c r="X131" t="s">
        <v>78</v>
      </c>
      <c r="Y131" s="16">
        <v>44245.676834606478</v>
      </c>
      <c r="Z131" s="17" t="str">
        <f>_xlfn.XLOOKUP(Table1[[#This Row],[Phase]],'Lookup tables'!$Y$27:$Y$60,'Lookup tables'!$Z$27:$Z$60,"Not Updated")</f>
        <v>Exploratory</v>
      </c>
      <c r="AA131" s="17" t="s">
        <v>648</v>
      </c>
      <c r="AB131">
        <v>0</v>
      </c>
      <c r="AC131">
        <v>0</v>
      </c>
      <c r="AD131">
        <v>0</v>
      </c>
      <c r="AE131">
        <v>0</v>
      </c>
      <c r="AF131">
        <v>0</v>
      </c>
      <c r="AG131">
        <v>0</v>
      </c>
      <c r="AH131">
        <v>0</v>
      </c>
      <c r="AI131">
        <v>0</v>
      </c>
      <c r="AJ131">
        <v>0</v>
      </c>
      <c r="AK131">
        <v>0</v>
      </c>
      <c r="AL131">
        <v>0</v>
      </c>
      <c r="BG131" s="185"/>
      <c r="BH131" s="185"/>
      <c r="BI131" s="185"/>
      <c r="BJ131" s="185"/>
      <c r="BK131" s="185"/>
      <c r="BL131" s="185"/>
      <c r="BM131" s="185"/>
      <c r="BN131" s="185"/>
      <c r="BO131" s="185"/>
      <c r="BP131" s="185"/>
      <c r="BQ131" s="185"/>
      <c r="BR131" s="185"/>
      <c r="BS131" s="185"/>
      <c r="BT131" s="185"/>
      <c r="BU131" t="b">
        <f>IF(_xlfn.MAXIFS(Table1[Sl No],Table1[Category],Table1[[#This Row],[Category]],Table1[Execution Year],Table1[[#This Row],[Execution Year]])=Table1[[#This Row],[Sl No]],TRUE,FALSE)</f>
        <v>0</v>
      </c>
      <c r="BV131" s="201">
        <f>SUM(Table1[[#This Row],[Spend - CAN]:[Spend - Sams]])+SUM(Table1[[#This Row],[Spend - Sams Mexico]:[Spend - Sams China]])+Table1[[#This Row],[Spend - IND]]</f>
        <v>301400000</v>
      </c>
      <c r="BW131">
        <f>SUM(Table1[[#This Row],[Savings - CAN]:[Savings - Sams]])+SUM(Table1[[#This Row],[Savings - Sams Mexico]:[Savings - Sams China]])+Table1[[#This Row],[Savings - IND]]</f>
        <v>0</v>
      </c>
      <c r="BX131">
        <f>SUM(Table1[[#This Row],[Spend - CAN]:[Spend - SAF]])+SUM(Table1[[#This Row],[Spend - Sams Mexico]:[Spend - Sams China]])+Table1[[#This Row],[Spend - IND]]</f>
        <v>301400000</v>
      </c>
      <c r="BY131">
        <f>SUM(Table1[[#This Row],[Savings - CAN]:[Savings - SAF]])+SUM(Table1[[#This Row],[Savings - Sams Mexico]:[Savings - Sams China]])+Table1[[#This Row],[Savings - IND]]</f>
        <v>0</v>
      </c>
      <c r="BZ131">
        <f>SUM(Table1[[#This Row],[Spend - US]:[Spend - Sams]])</f>
        <v>0</v>
      </c>
      <c r="CA131">
        <f>SUM(Table1[[#This Row],[Savings - US]:[Savings - Sams]])</f>
        <v>0</v>
      </c>
      <c r="CB131">
        <f>SUM(Table1[[#This Row],[Cost Avoidance - CAN2]:[Cost Avoidance - SAF10]])+SUM(Table1[[#This Row],[Cost Avoidance - Sams Mexico]:[Cost Avoidance - Sams China]])+Table1[[#This Row],[Cost Avoidance - IND]]</f>
        <v>0</v>
      </c>
      <c r="CC131">
        <f>SUM(Table1[[#This Row],[Cost Avoidance - US11]:[Cost Avoidance - Sams12]])</f>
        <v>0</v>
      </c>
      <c r="CD131" t="str">
        <f>_xlfn.XLOOKUP(Table1[[#This Row],[Status]],Status_Lookups[Status],Status_Lookups[Value],"")</f>
        <v/>
      </c>
    </row>
    <row r="132" spans="1:82">
      <c r="A132">
        <v>4</v>
      </c>
      <c r="B132" t="s">
        <v>91</v>
      </c>
      <c r="C132" t="s">
        <v>43</v>
      </c>
      <c r="D132" t="s">
        <v>39</v>
      </c>
      <c r="E132" s="15">
        <v>44378</v>
      </c>
      <c r="F132" s="15">
        <v>44469</v>
      </c>
      <c r="G132" s="15"/>
      <c r="H132" s="15"/>
      <c r="I132" t="s">
        <v>449</v>
      </c>
      <c r="J132" t="s">
        <v>417</v>
      </c>
      <c r="K132">
        <v>0</v>
      </c>
      <c r="L132">
        <v>0</v>
      </c>
      <c r="M132">
        <v>62600000</v>
      </c>
      <c r="N132">
        <v>166600000</v>
      </c>
      <c r="O132">
        <v>24300000</v>
      </c>
      <c r="P132">
        <v>13600000</v>
      </c>
      <c r="Q132">
        <v>0</v>
      </c>
      <c r="R132">
        <v>23900000</v>
      </c>
      <c r="S132">
        <v>0</v>
      </c>
      <c r="T132">
        <v>10400000</v>
      </c>
      <c r="U132">
        <v>0</v>
      </c>
      <c r="V132">
        <v>0</v>
      </c>
      <c r="W132">
        <v>0</v>
      </c>
      <c r="X132" t="s">
        <v>34</v>
      </c>
      <c r="Y132" s="16">
        <v>44298.441931134257</v>
      </c>
      <c r="Z132" s="17" t="str">
        <f>_xlfn.XLOOKUP(Table1[[#This Row],[Phase]],'Lookup tables'!$Y$27:$Y$60,'Lookup tables'!$Z$27:$Z$60,"Not Updated")</f>
        <v>Cancelled</v>
      </c>
      <c r="AA132" s="17" t="s">
        <v>649</v>
      </c>
      <c r="AB132">
        <v>0</v>
      </c>
      <c r="AC132">
        <v>0</v>
      </c>
      <c r="AD132">
        <v>0</v>
      </c>
      <c r="AE132">
        <v>0</v>
      </c>
      <c r="AF132">
        <v>0</v>
      </c>
      <c r="AG132">
        <v>0</v>
      </c>
      <c r="AH132">
        <v>0</v>
      </c>
      <c r="AI132">
        <v>0</v>
      </c>
      <c r="AJ132">
        <v>0</v>
      </c>
      <c r="AK132">
        <v>0</v>
      </c>
      <c r="AL132">
        <v>0</v>
      </c>
      <c r="AM132">
        <v>0</v>
      </c>
      <c r="AN132">
        <v>0</v>
      </c>
      <c r="AO132">
        <v>0</v>
      </c>
      <c r="AP132">
        <v>0</v>
      </c>
      <c r="AQ132">
        <v>0</v>
      </c>
      <c r="AR132">
        <v>0</v>
      </c>
      <c r="AS132">
        <v>0</v>
      </c>
      <c r="AT132">
        <v>0</v>
      </c>
      <c r="AU132">
        <v>0</v>
      </c>
      <c r="AV132">
        <v>0</v>
      </c>
      <c r="AW132">
        <v>0</v>
      </c>
      <c r="BG132" s="185"/>
      <c r="BH132" s="185"/>
      <c r="BI132" s="185"/>
      <c r="BJ132" s="185"/>
      <c r="BK132" s="185"/>
      <c r="BL132" s="185"/>
      <c r="BM132" s="185"/>
      <c r="BN132" s="185"/>
      <c r="BO132" s="185"/>
      <c r="BP132" s="185"/>
      <c r="BQ132" s="185"/>
      <c r="BR132" s="185"/>
      <c r="BS132" s="185"/>
      <c r="BT132" s="185"/>
      <c r="BU132" t="b">
        <f>IF(_xlfn.MAXIFS(Table1[Sl No],Table1[Category],Table1[[#This Row],[Category]],Table1[Execution Year],Table1[[#This Row],[Execution Year]])=Table1[[#This Row],[Sl No]],TRUE,FALSE)</f>
        <v>1</v>
      </c>
      <c r="BV132" s="201">
        <f>SUM(Table1[[#This Row],[Spend - CAN]:[Spend - Sams]])+SUM(Table1[[#This Row],[Spend - Sams Mexico]:[Spend - Sams China]])+Table1[[#This Row],[Spend - IND]]</f>
        <v>301400000</v>
      </c>
      <c r="BW132">
        <f>SUM(Table1[[#This Row],[Savings - CAN]:[Savings - Sams]])+SUM(Table1[[#This Row],[Savings - Sams Mexico]:[Savings - Sams China]])+Table1[[#This Row],[Savings - IND]]</f>
        <v>0</v>
      </c>
      <c r="BX132">
        <f>SUM(Table1[[#This Row],[Spend - CAN]:[Spend - SAF]])+SUM(Table1[[#This Row],[Spend - Sams Mexico]:[Spend - Sams China]])+Table1[[#This Row],[Spend - IND]]</f>
        <v>301400000</v>
      </c>
      <c r="BY132">
        <f>SUM(Table1[[#This Row],[Savings - CAN]:[Savings - SAF]])+SUM(Table1[[#This Row],[Savings - Sams Mexico]:[Savings - Sams China]])+Table1[[#This Row],[Savings - IND]]</f>
        <v>0</v>
      </c>
      <c r="BZ132">
        <f>SUM(Table1[[#This Row],[Spend - US]:[Spend - Sams]])</f>
        <v>0</v>
      </c>
      <c r="CA132">
        <f>SUM(Table1[[#This Row],[Savings - US]:[Savings - Sams]])</f>
        <v>0</v>
      </c>
      <c r="CB132">
        <f>SUM(Table1[[#This Row],[Cost Avoidance - CAN2]:[Cost Avoidance - SAF10]])+SUM(Table1[[#This Row],[Cost Avoidance - Sams Mexico]:[Cost Avoidance - Sams China]])+Table1[[#This Row],[Cost Avoidance - IND]]</f>
        <v>0</v>
      </c>
      <c r="CC132">
        <f>SUM(Table1[[#This Row],[Cost Avoidance - US11]:[Cost Avoidance - Sams12]])</f>
        <v>0</v>
      </c>
      <c r="CD132">
        <f>_xlfn.XLOOKUP(Table1[[#This Row],[Status]],Status_Lookups[Status],Status_Lookups[Value],"")</f>
        <v>0.2</v>
      </c>
    </row>
    <row r="133" spans="1:82">
      <c r="A133">
        <v>1</v>
      </c>
      <c r="B133" t="s">
        <v>111</v>
      </c>
      <c r="C133" t="s">
        <v>43</v>
      </c>
      <c r="D133" t="s">
        <v>39</v>
      </c>
      <c r="E133" s="15"/>
      <c r="F133" s="15"/>
      <c r="G133" s="15"/>
      <c r="H133" s="15"/>
      <c r="X133" t="s">
        <v>78</v>
      </c>
      <c r="Y133" s="16">
        <v>44298.430590277778</v>
      </c>
      <c r="Z133" s="17" t="str">
        <f>_xlfn.XLOOKUP(Table1[[#This Row],[Phase]],'Lookup tables'!$Y$27:$Y$60,'Lookup tables'!$Z$27:$Z$60,"Not Updated")</f>
        <v>Not Updated</v>
      </c>
      <c r="AA133" s="17"/>
      <c r="BG133" s="185"/>
      <c r="BH133" s="185"/>
      <c r="BI133" s="185"/>
      <c r="BJ133" s="185"/>
      <c r="BK133" s="185"/>
      <c r="BL133" s="185"/>
      <c r="BM133" s="185"/>
      <c r="BN133" s="185"/>
      <c r="BO133" s="185"/>
      <c r="BP133" s="185"/>
      <c r="BQ133" s="185"/>
      <c r="BR133" s="185"/>
      <c r="BS133" s="185"/>
      <c r="BT133" s="185"/>
      <c r="BU133" t="b">
        <f>IF(_xlfn.MAXIFS(Table1[Sl No],Table1[Category],Table1[[#This Row],[Category]],Table1[Execution Year],Table1[[#This Row],[Execution Year]])=Table1[[#This Row],[Sl No]],TRUE,FALSE)</f>
        <v>0</v>
      </c>
      <c r="BV133" s="201">
        <f>SUM(Table1[[#This Row],[Spend - CAN]:[Spend - Sams]])+SUM(Table1[[#This Row],[Spend - Sams Mexico]:[Spend - Sams China]])+Table1[[#This Row],[Spend - IND]]</f>
        <v>0</v>
      </c>
      <c r="BW133">
        <f>SUM(Table1[[#This Row],[Savings - CAN]:[Savings - Sams]])+SUM(Table1[[#This Row],[Savings - Sams Mexico]:[Savings - Sams China]])+Table1[[#This Row],[Savings - IND]]</f>
        <v>0</v>
      </c>
      <c r="BX133">
        <f>SUM(Table1[[#This Row],[Spend - CAN]:[Spend - SAF]])+SUM(Table1[[#This Row],[Spend - Sams Mexico]:[Spend - Sams China]])+Table1[[#This Row],[Spend - IND]]</f>
        <v>0</v>
      </c>
      <c r="BY133">
        <f>SUM(Table1[[#This Row],[Savings - CAN]:[Savings - SAF]])+SUM(Table1[[#This Row],[Savings - Sams Mexico]:[Savings - Sams China]])+Table1[[#This Row],[Savings - IND]]</f>
        <v>0</v>
      </c>
      <c r="BZ133">
        <f>SUM(Table1[[#This Row],[Spend - US]:[Spend - Sams]])</f>
        <v>0</v>
      </c>
      <c r="CA133">
        <f>SUM(Table1[[#This Row],[Savings - US]:[Savings - Sams]])</f>
        <v>0</v>
      </c>
      <c r="CB133">
        <f>SUM(Table1[[#This Row],[Cost Avoidance - CAN2]:[Cost Avoidance - SAF10]])+SUM(Table1[[#This Row],[Cost Avoidance - Sams Mexico]:[Cost Avoidance - Sams China]])+Table1[[#This Row],[Cost Avoidance - IND]]</f>
        <v>0</v>
      </c>
      <c r="CC133">
        <f>SUM(Table1[[#This Row],[Cost Avoidance - US11]:[Cost Avoidance - Sams12]])</f>
        <v>0</v>
      </c>
      <c r="CD133" t="str">
        <f>_xlfn.XLOOKUP(Table1[[#This Row],[Status]],Status_Lookups[Status],Status_Lookups[Value],"")</f>
        <v/>
      </c>
    </row>
    <row r="134" spans="1:82">
      <c r="A134">
        <v>2</v>
      </c>
      <c r="B134" t="s">
        <v>111</v>
      </c>
      <c r="C134" t="s">
        <v>43</v>
      </c>
      <c r="D134" t="s">
        <v>39</v>
      </c>
      <c r="E134" s="15">
        <v>0</v>
      </c>
      <c r="F134" s="15">
        <v>0</v>
      </c>
      <c r="G134" s="15"/>
      <c r="H134" s="15"/>
      <c r="I134">
        <v>0</v>
      </c>
      <c r="J134">
        <v>0</v>
      </c>
      <c r="K134">
        <v>0</v>
      </c>
      <c r="L134">
        <v>0</v>
      </c>
      <c r="M134">
        <v>9400000</v>
      </c>
      <c r="N134">
        <v>76100000</v>
      </c>
      <c r="O134">
        <v>23500000</v>
      </c>
      <c r="P134">
        <v>10700000</v>
      </c>
      <c r="Q134">
        <v>1500000</v>
      </c>
      <c r="R134">
        <v>2600000</v>
      </c>
      <c r="S134">
        <v>50000</v>
      </c>
      <c r="T134">
        <v>53500000</v>
      </c>
      <c r="U134">
        <v>0</v>
      </c>
      <c r="V134">
        <v>0</v>
      </c>
      <c r="W134">
        <v>0</v>
      </c>
      <c r="X134" t="s">
        <v>78</v>
      </c>
      <c r="Y134" s="16">
        <v>44298.431935416666</v>
      </c>
      <c r="Z134" s="17" t="str">
        <f>_xlfn.XLOOKUP(Table1[[#This Row],[Phase]],'Lookup tables'!$Y$27:$Y$60,'Lookup tables'!$Z$27:$Z$60,"Not Updated")</f>
        <v>Not Updated</v>
      </c>
      <c r="AA134" s="17">
        <v>0</v>
      </c>
      <c r="AB134">
        <v>0</v>
      </c>
      <c r="AC134">
        <v>0</v>
      </c>
      <c r="AD134">
        <v>0</v>
      </c>
      <c r="AE134">
        <v>0</v>
      </c>
      <c r="AF134">
        <v>0</v>
      </c>
      <c r="AG134">
        <v>0</v>
      </c>
      <c r="AH134">
        <v>0</v>
      </c>
      <c r="AI134">
        <v>0</v>
      </c>
      <c r="AJ134">
        <v>0</v>
      </c>
      <c r="AK134">
        <v>0</v>
      </c>
      <c r="AL134">
        <v>0</v>
      </c>
      <c r="AM134">
        <v>0</v>
      </c>
      <c r="AN134">
        <v>0</v>
      </c>
      <c r="AO134">
        <v>0</v>
      </c>
      <c r="AP134">
        <v>0</v>
      </c>
      <c r="AQ134">
        <v>0</v>
      </c>
      <c r="AR134">
        <v>0</v>
      </c>
      <c r="AS134">
        <v>0</v>
      </c>
      <c r="AT134">
        <v>0</v>
      </c>
      <c r="AU134">
        <v>0</v>
      </c>
      <c r="AV134">
        <v>0</v>
      </c>
      <c r="AW134">
        <v>0</v>
      </c>
      <c r="BG134" s="185"/>
      <c r="BH134" s="185"/>
      <c r="BI134" s="185"/>
      <c r="BJ134" s="185"/>
      <c r="BK134" s="185"/>
      <c r="BL134" s="185"/>
      <c r="BM134" s="185"/>
      <c r="BN134" s="185"/>
      <c r="BO134" s="185"/>
      <c r="BP134" s="185"/>
      <c r="BQ134" s="185"/>
      <c r="BR134" s="185"/>
      <c r="BS134" s="185"/>
      <c r="BT134" s="185"/>
      <c r="BU134" t="b">
        <f>IF(_xlfn.MAXIFS(Table1[Sl No],Table1[Category],Table1[[#This Row],[Category]],Table1[Execution Year],Table1[[#This Row],[Execution Year]])=Table1[[#This Row],[Sl No]],TRUE,FALSE)</f>
        <v>0</v>
      </c>
      <c r="BV134" s="201">
        <f>SUM(Table1[[#This Row],[Spend - CAN]:[Spend - Sams]])+SUM(Table1[[#This Row],[Spend - Sams Mexico]:[Spend - Sams China]])+Table1[[#This Row],[Spend - IND]]</f>
        <v>177350000</v>
      </c>
      <c r="BW134">
        <f>SUM(Table1[[#This Row],[Savings - CAN]:[Savings - Sams]])+SUM(Table1[[#This Row],[Savings - Sams Mexico]:[Savings - Sams China]])+Table1[[#This Row],[Savings - IND]]</f>
        <v>0</v>
      </c>
      <c r="BX134">
        <f>SUM(Table1[[#This Row],[Spend - CAN]:[Spend - SAF]])+SUM(Table1[[#This Row],[Spend - Sams Mexico]:[Spend - Sams China]])+Table1[[#This Row],[Spend - IND]]</f>
        <v>177350000</v>
      </c>
      <c r="BY134">
        <f>SUM(Table1[[#This Row],[Savings - CAN]:[Savings - SAF]])+SUM(Table1[[#This Row],[Savings - Sams Mexico]:[Savings - Sams China]])+Table1[[#This Row],[Savings - IND]]</f>
        <v>0</v>
      </c>
      <c r="BZ134">
        <f>SUM(Table1[[#This Row],[Spend - US]:[Spend - Sams]])</f>
        <v>0</v>
      </c>
      <c r="CA134">
        <f>SUM(Table1[[#This Row],[Savings - US]:[Savings - Sams]])</f>
        <v>0</v>
      </c>
      <c r="CB134">
        <f>SUM(Table1[[#This Row],[Cost Avoidance - CAN2]:[Cost Avoidance - SAF10]])+SUM(Table1[[#This Row],[Cost Avoidance - Sams Mexico]:[Cost Avoidance - Sams China]])+Table1[[#This Row],[Cost Avoidance - IND]]</f>
        <v>0</v>
      </c>
      <c r="CC134">
        <f>SUM(Table1[[#This Row],[Cost Avoidance - US11]:[Cost Avoidance - Sams12]])</f>
        <v>0</v>
      </c>
      <c r="CD134" t="str">
        <f>_xlfn.XLOOKUP(Table1[[#This Row],[Status]],Status_Lookups[Status],Status_Lookups[Value],"")</f>
        <v/>
      </c>
    </row>
    <row r="135" spans="1:82">
      <c r="A135">
        <v>3</v>
      </c>
      <c r="B135" t="s">
        <v>111</v>
      </c>
      <c r="C135" t="s">
        <v>43</v>
      </c>
      <c r="D135" t="s">
        <v>39</v>
      </c>
      <c r="E135" s="15">
        <v>44348</v>
      </c>
      <c r="F135" s="15">
        <v>44440</v>
      </c>
      <c r="G135" s="15"/>
      <c r="H135" s="15"/>
      <c r="I135" t="s">
        <v>458</v>
      </c>
      <c r="J135" t="s">
        <v>459</v>
      </c>
      <c r="K135">
        <v>0</v>
      </c>
      <c r="L135">
        <v>0</v>
      </c>
      <c r="M135">
        <v>9400000</v>
      </c>
      <c r="N135">
        <v>76100000</v>
      </c>
      <c r="O135">
        <v>23500000</v>
      </c>
      <c r="P135">
        <v>10700000</v>
      </c>
      <c r="Q135">
        <v>1500000</v>
      </c>
      <c r="R135">
        <v>2600000</v>
      </c>
      <c r="S135">
        <v>50000</v>
      </c>
      <c r="T135">
        <v>53500000</v>
      </c>
      <c r="U135">
        <v>0</v>
      </c>
      <c r="V135">
        <v>0</v>
      </c>
      <c r="W135">
        <v>0</v>
      </c>
      <c r="X135" t="s">
        <v>78</v>
      </c>
      <c r="Y135" s="16">
        <v>44298.432992592592</v>
      </c>
      <c r="Z135" s="17" t="str">
        <f>_xlfn.XLOOKUP(Table1[[#This Row],[Phase]],'Lookup tables'!$Y$27:$Y$60,'Lookup tables'!$Z$27:$Z$60,"Not Updated")</f>
        <v>Exploratory</v>
      </c>
      <c r="AA135" s="17">
        <v>0</v>
      </c>
      <c r="AB135">
        <v>0</v>
      </c>
      <c r="AC135">
        <v>0</v>
      </c>
      <c r="AD135">
        <v>0</v>
      </c>
      <c r="AE135">
        <v>0</v>
      </c>
      <c r="AF135">
        <v>0</v>
      </c>
      <c r="AG135">
        <v>0</v>
      </c>
      <c r="AH135">
        <v>0</v>
      </c>
      <c r="AI135">
        <v>0</v>
      </c>
      <c r="AJ135">
        <v>0</v>
      </c>
      <c r="AK135">
        <v>0</v>
      </c>
      <c r="AL135">
        <v>0</v>
      </c>
      <c r="AM135">
        <v>0</v>
      </c>
      <c r="AN135">
        <v>0</v>
      </c>
      <c r="AO135">
        <v>0</v>
      </c>
      <c r="AP135">
        <v>0</v>
      </c>
      <c r="AQ135">
        <v>0</v>
      </c>
      <c r="AR135">
        <v>0</v>
      </c>
      <c r="AS135">
        <v>0</v>
      </c>
      <c r="AT135">
        <v>0</v>
      </c>
      <c r="AU135">
        <v>0</v>
      </c>
      <c r="AV135">
        <v>0</v>
      </c>
      <c r="AW135">
        <v>0</v>
      </c>
      <c r="BG135" s="185"/>
      <c r="BH135" s="185"/>
      <c r="BI135" s="185"/>
      <c r="BJ135" s="185"/>
      <c r="BK135" s="185"/>
      <c r="BL135" s="185"/>
      <c r="BM135" s="185"/>
      <c r="BN135" s="185"/>
      <c r="BO135" s="185"/>
      <c r="BP135" s="185"/>
      <c r="BQ135" s="185"/>
      <c r="BR135" s="185"/>
      <c r="BS135" s="185"/>
      <c r="BT135" s="185"/>
      <c r="BU135" t="b">
        <f>IF(_xlfn.MAXIFS(Table1[Sl No],Table1[Category],Table1[[#This Row],[Category]],Table1[Execution Year],Table1[[#This Row],[Execution Year]])=Table1[[#This Row],[Sl No]],TRUE,FALSE)</f>
        <v>0</v>
      </c>
      <c r="BV135" s="201">
        <f>SUM(Table1[[#This Row],[Spend - CAN]:[Spend - Sams]])+SUM(Table1[[#This Row],[Spend - Sams Mexico]:[Spend - Sams China]])+Table1[[#This Row],[Spend - IND]]</f>
        <v>177350000</v>
      </c>
      <c r="BW135">
        <f>SUM(Table1[[#This Row],[Savings - CAN]:[Savings - Sams]])+SUM(Table1[[#This Row],[Savings - Sams Mexico]:[Savings - Sams China]])+Table1[[#This Row],[Savings - IND]]</f>
        <v>0</v>
      </c>
      <c r="BX135">
        <f>SUM(Table1[[#This Row],[Spend - CAN]:[Spend - SAF]])+SUM(Table1[[#This Row],[Spend - Sams Mexico]:[Spend - Sams China]])+Table1[[#This Row],[Spend - IND]]</f>
        <v>177350000</v>
      </c>
      <c r="BY135">
        <f>SUM(Table1[[#This Row],[Savings - CAN]:[Savings - SAF]])+SUM(Table1[[#This Row],[Savings - Sams Mexico]:[Savings - Sams China]])+Table1[[#This Row],[Savings - IND]]</f>
        <v>0</v>
      </c>
      <c r="BZ135">
        <f>SUM(Table1[[#This Row],[Spend - US]:[Spend - Sams]])</f>
        <v>0</v>
      </c>
      <c r="CA135">
        <f>SUM(Table1[[#This Row],[Savings - US]:[Savings - Sams]])</f>
        <v>0</v>
      </c>
      <c r="CB135">
        <f>SUM(Table1[[#This Row],[Cost Avoidance - CAN2]:[Cost Avoidance - SAF10]])+SUM(Table1[[#This Row],[Cost Avoidance - Sams Mexico]:[Cost Avoidance - Sams China]])+Table1[[#This Row],[Cost Avoidance - IND]]</f>
        <v>0</v>
      </c>
      <c r="CC135">
        <f>SUM(Table1[[#This Row],[Cost Avoidance - US11]:[Cost Avoidance - Sams12]])</f>
        <v>0</v>
      </c>
      <c r="CD135">
        <f>_xlfn.XLOOKUP(Table1[[#This Row],[Status]],Status_Lookups[Status],Status_Lookups[Value],"")</f>
        <v>0.3</v>
      </c>
    </row>
    <row r="136" spans="1:82">
      <c r="A136">
        <v>4</v>
      </c>
      <c r="B136" t="s">
        <v>111</v>
      </c>
      <c r="C136" t="s">
        <v>43</v>
      </c>
      <c r="D136" t="s">
        <v>39</v>
      </c>
      <c r="E136" s="15">
        <v>44348</v>
      </c>
      <c r="F136" s="15">
        <v>44440</v>
      </c>
      <c r="G136" s="15"/>
      <c r="H136" s="15"/>
      <c r="I136" t="s">
        <v>484</v>
      </c>
      <c r="J136" t="s">
        <v>459</v>
      </c>
      <c r="K136" t="s">
        <v>445</v>
      </c>
      <c r="L136">
        <v>0</v>
      </c>
      <c r="M136">
        <v>9400000</v>
      </c>
      <c r="N136">
        <v>76100000</v>
      </c>
      <c r="O136">
        <v>23500000</v>
      </c>
      <c r="P136">
        <v>10700000</v>
      </c>
      <c r="Q136">
        <v>1500000</v>
      </c>
      <c r="R136">
        <v>2600000</v>
      </c>
      <c r="S136">
        <v>50000</v>
      </c>
      <c r="T136">
        <v>53500000</v>
      </c>
      <c r="U136">
        <v>0</v>
      </c>
      <c r="V136">
        <v>0</v>
      </c>
      <c r="W136">
        <v>0</v>
      </c>
      <c r="X136" t="s">
        <v>78</v>
      </c>
      <c r="Y136" s="16">
        <v>44301.593177430557</v>
      </c>
      <c r="Z136" s="17" t="str">
        <f>_xlfn.XLOOKUP(Table1[[#This Row],[Phase]],'Lookup tables'!$Y$27:$Y$60,'Lookup tables'!$Z$27:$Z$60,"Not Updated")</f>
        <v>Bid Prep</v>
      </c>
      <c r="AA136" s="17">
        <v>0</v>
      </c>
      <c r="AB136">
        <v>0</v>
      </c>
      <c r="AC136">
        <v>0</v>
      </c>
      <c r="AD136">
        <v>0</v>
      </c>
      <c r="AE136">
        <v>0</v>
      </c>
      <c r="AF136">
        <v>0</v>
      </c>
      <c r="AG136">
        <v>0</v>
      </c>
      <c r="AH136">
        <v>0</v>
      </c>
      <c r="AI136">
        <v>0</v>
      </c>
      <c r="AJ136">
        <v>0</v>
      </c>
      <c r="AK136">
        <v>0</v>
      </c>
      <c r="AL136">
        <v>0</v>
      </c>
      <c r="AM136">
        <v>0</v>
      </c>
      <c r="AN136">
        <v>0</v>
      </c>
      <c r="AO136">
        <v>0</v>
      </c>
      <c r="AP136">
        <v>0</v>
      </c>
      <c r="AQ136">
        <v>0</v>
      </c>
      <c r="AR136">
        <v>0</v>
      </c>
      <c r="AS136">
        <v>0</v>
      </c>
      <c r="AT136">
        <v>0</v>
      </c>
      <c r="AU136">
        <v>0</v>
      </c>
      <c r="AV136">
        <v>0</v>
      </c>
      <c r="AW136">
        <v>0</v>
      </c>
      <c r="BG136" s="185"/>
      <c r="BH136" s="185"/>
      <c r="BI136" s="185"/>
      <c r="BJ136" s="185"/>
      <c r="BK136" s="185"/>
      <c r="BL136" s="185"/>
      <c r="BM136" s="185"/>
      <c r="BN136" s="185"/>
      <c r="BO136" s="185"/>
      <c r="BP136" s="185"/>
      <c r="BQ136" s="185"/>
      <c r="BR136" s="185"/>
      <c r="BS136" s="185"/>
      <c r="BT136" s="185"/>
      <c r="BU136" t="b">
        <f>IF(_xlfn.MAXIFS(Table1[Sl No],Table1[Category],Table1[[#This Row],[Category]],Table1[Execution Year],Table1[[#This Row],[Execution Year]])=Table1[[#This Row],[Sl No]],TRUE,FALSE)</f>
        <v>0</v>
      </c>
      <c r="BV136" s="201">
        <f>SUM(Table1[[#This Row],[Spend - CAN]:[Spend - Sams]])+SUM(Table1[[#This Row],[Spend - Sams Mexico]:[Spend - Sams China]])+Table1[[#This Row],[Spend - IND]]</f>
        <v>177350000</v>
      </c>
      <c r="BW136">
        <f>SUM(Table1[[#This Row],[Savings - CAN]:[Savings - Sams]])+SUM(Table1[[#This Row],[Savings - Sams Mexico]:[Savings - Sams China]])+Table1[[#This Row],[Savings - IND]]</f>
        <v>0</v>
      </c>
      <c r="BX136">
        <f>SUM(Table1[[#This Row],[Spend - CAN]:[Spend - SAF]])+SUM(Table1[[#This Row],[Spend - Sams Mexico]:[Spend - Sams China]])+Table1[[#This Row],[Spend - IND]]</f>
        <v>177350000</v>
      </c>
      <c r="BY136">
        <f>SUM(Table1[[#This Row],[Savings - CAN]:[Savings - SAF]])+SUM(Table1[[#This Row],[Savings - Sams Mexico]:[Savings - Sams China]])+Table1[[#This Row],[Savings - IND]]</f>
        <v>0</v>
      </c>
      <c r="BZ136">
        <f>SUM(Table1[[#This Row],[Spend - US]:[Spend - Sams]])</f>
        <v>0</v>
      </c>
      <c r="CA136">
        <f>SUM(Table1[[#This Row],[Savings - US]:[Savings - Sams]])</f>
        <v>0</v>
      </c>
      <c r="CB136">
        <f>SUM(Table1[[#This Row],[Cost Avoidance - CAN2]:[Cost Avoidance - SAF10]])+SUM(Table1[[#This Row],[Cost Avoidance - Sams Mexico]:[Cost Avoidance - Sams China]])+Table1[[#This Row],[Cost Avoidance - IND]]</f>
        <v>0</v>
      </c>
      <c r="CC136">
        <f>SUM(Table1[[#This Row],[Cost Avoidance - US11]:[Cost Avoidance - Sams12]])</f>
        <v>0</v>
      </c>
      <c r="CD136">
        <f>_xlfn.XLOOKUP(Table1[[#This Row],[Status]],Status_Lookups[Status],Status_Lookups[Value],"")</f>
        <v>0.3</v>
      </c>
    </row>
    <row r="137" spans="1:82">
      <c r="A137">
        <v>5</v>
      </c>
      <c r="B137" t="s">
        <v>111</v>
      </c>
      <c r="C137" t="s">
        <v>43</v>
      </c>
      <c r="D137" t="s">
        <v>39</v>
      </c>
      <c r="E137" s="15">
        <v>44348</v>
      </c>
      <c r="F137" s="15">
        <v>44440</v>
      </c>
      <c r="G137" s="15"/>
      <c r="H137" s="15"/>
      <c r="I137" t="s">
        <v>484</v>
      </c>
      <c r="J137" t="s">
        <v>459</v>
      </c>
      <c r="K137" t="s">
        <v>445</v>
      </c>
      <c r="L137">
        <v>0</v>
      </c>
      <c r="M137">
        <v>9400000</v>
      </c>
      <c r="N137">
        <v>76100000</v>
      </c>
      <c r="O137">
        <v>23500000</v>
      </c>
      <c r="P137">
        <v>10700000</v>
      </c>
      <c r="Q137">
        <v>1500000</v>
      </c>
      <c r="R137">
        <v>2600000</v>
      </c>
      <c r="S137">
        <v>50000</v>
      </c>
      <c r="T137">
        <v>53500000</v>
      </c>
      <c r="U137">
        <v>0</v>
      </c>
      <c r="V137">
        <v>73000000</v>
      </c>
      <c r="W137">
        <v>0</v>
      </c>
      <c r="X137" t="s">
        <v>78</v>
      </c>
      <c r="Y137" s="16">
        <v>44302.356484374999</v>
      </c>
      <c r="Z137" s="17" t="str">
        <f>_xlfn.XLOOKUP(Table1[[#This Row],[Phase]],'Lookup tables'!$Y$27:$Y$60,'Lookup tables'!$Z$27:$Z$60,"Not Updated")</f>
        <v>Bid Prep</v>
      </c>
      <c r="AA137" s="17">
        <v>0</v>
      </c>
      <c r="AB137">
        <v>0</v>
      </c>
      <c r="AC137">
        <v>0</v>
      </c>
      <c r="AD137">
        <v>0</v>
      </c>
      <c r="AE137">
        <v>0</v>
      </c>
      <c r="AF137">
        <v>0</v>
      </c>
      <c r="AG137">
        <v>0</v>
      </c>
      <c r="AH137">
        <v>0</v>
      </c>
      <c r="AI137">
        <v>0</v>
      </c>
      <c r="AJ137">
        <v>0</v>
      </c>
      <c r="AK137">
        <v>0</v>
      </c>
      <c r="AL137">
        <v>0</v>
      </c>
      <c r="AM137">
        <v>0</v>
      </c>
      <c r="AN137">
        <v>0</v>
      </c>
      <c r="AO137">
        <v>0</v>
      </c>
      <c r="AP137">
        <v>0</v>
      </c>
      <c r="AQ137">
        <v>0</v>
      </c>
      <c r="AR137">
        <v>0</v>
      </c>
      <c r="AS137">
        <v>0</v>
      </c>
      <c r="AT137">
        <v>0</v>
      </c>
      <c r="AU137">
        <v>0</v>
      </c>
      <c r="AV137">
        <v>0</v>
      </c>
      <c r="AW137">
        <v>0</v>
      </c>
      <c r="BG137" s="185"/>
      <c r="BH137" s="185"/>
      <c r="BI137" s="185"/>
      <c r="BJ137" s="185"/>
      <c r="BK137" s="185"/>
      <c r="BL137" s="185"/>
      <c r="BM137" s="185"/>
      <c r="BN137" s="185"/>
      <c r="BO137" s="185"/>
      <c r="BP137" s="185"/>
      <c r="BQ137" s="185"/>
      <c r="BR137" s="185"/>
      <c r="BS137" s="185"/>
      <c r="BT137" s="185"/>
      <c r="BU137" t="b">
        <f>IF(_xlfn.MAXIFS(Table1[Sl No],Table1[Category],Table1[[#This Row],[Category]],Table1[Execution Year],Table1[[#This Row],[Execution Year]])=Table1[[#This Row],[Sl No]],TRUE,FALSE)</f>
        <v>0</v>
      </c>
      <c r="BV137" s="201">
        <f>SUM(Table1[[#This Row],[Spend - CAN]:[Spend - Sams]])+SUM(Table1[[#This Row],[Spend - Sams Mexico]:[Spend - Sams China]])+Table1[[#This Row],[Spend - IND]]</f>
        <v>250350000</v>
      </c>
      <c r="BW137">
        <f>SUM(Table1[[#This Row],[Savings - CAN]:[Savings - Sams]])+SUM(Table1[[#This Row],[Savings - Sams Mexico]:[Savings - Sams China]])+Table1[[#This Row],[Savings - IND]]</f>
        <v>0</v>
      </c>
      <c r="BX137">
        <f>SUM(Table1[[#This Row],[Spend - CAN]:[Spend - SAF]])+SUM(Table1[[#This Row],[Spend - Sams Mexico]:[Spend - Sams China]])+Table1[[#This Row],[Spend - IND]]</f>
        <v>177350000</v>
      </c>
      <c r="BY137">
        <f>SUM(Table1[[#This Row],[Savings - CAN]:[Savings - SAF]])+SUM(Table1[[#This Row],[Savings - Sams Mexico]:[Savings - Sams China]])+Table1[[#This Row],[Savings - IND]]</f>
        <v>0</v>
      </c>
      <c r="BZ137">
        <f>SUM(Table1[[#This Row],[Spend - US]:[Spend - Sams]])</f>
        <v>73000000</v>
      </c>
      <c r="CA137">
        <f>SUM(Table1[[#This Row],[Savings - US]:[Savings - Sams]])</f>
        <v>0</v>
      </c>
      <c r="CB137">
        <f>SUM(Table1[[#This Row],[Cost Avoidance - CAN2]:[Cost Avoidance - SAF10]])+SUM(Table1[[#This Row],[Cost Avoidance - Sams Mexico]:[Cost Avoidance - Sams China]])+Table1[[#This Row],[Cost Avoidance - IND]]</f>
        <v>0</v>
      </c>
      <c r="CC137">
        <f>SUM(Table1[[#This Row],[Cost Avoidance - US11]:[Cost Avoidance - Sams12]])</f>
        <v>0</v>
      </c>
      <c r="CD137">
        <f>_xlfn.XLOOKUP(Table1[[#This Row],[Status]],Status_Lookups[Status],Status_Lookups[Value],"")</f>
        <v>0.3</v>
      </c>
    </row>
    <row r="138" spans="1:82">
      <c r="A138">
        <v>6</v>
      </c>
      <c r="B138" t="s">
        <v>111</v>
      </c>
      <c r="C138" t="s">
        <v>43</v>
      </c>
      <c r="D138" t="s">
        <v>39</v>
      </c>
      <c r="E138" s="15">
        <v>44348</v>
      </c>
      <c r="F138" s="15">
        <v>44440</v>
      </c>
      <c r="G138" s="15"/>
      <c r="H138" s="15"/>
      <c r="I138" t="s">
        <v>484</v>
      </c>
      <c r="J138" t="s">
        <v>459</v>
      </c>
      <c r="K138" t="s">
        <v>445</v>
      </c>
      <c r="L138">
        <v>0</v>
      </c>
      <c r="M138">
        <v>9400000</v>
      </c>
      <c r="N138">
        <v>76100000</v>
      </c>
      <c r="O138">
        <v>23500000</v>
      </c>
      <c r="P138">
        <v>10700000</v>
      </c>
      <c r="Q138">
        <v>1500000</v>
      </c>
      <c r="R138">
        <v>2600000</v>
      </c>
      <c r="S138">
        <v>50000</v>
      </c>
      <c r="T138">
        <v>53500000</v>
      </c>
      <c r="U138">
        <v>0</v>
      </c>
      <c r="V138">
        <v>73000000</v>
      </c>
      <c r="W138">
        <v>0</v>
      </c>
      <c r="X138" t="s">
        <v>445</v>
      </c>
      <c r="Y138" s="16">
        <v>44302.636804513888</v>
      </c>
      <c r="Z138" s="17" t="str">
        <f>_xlfn.XLOOKUP(Table1[[#This Row],[Phase]],'Lookup tables'!$Y$27:$Y$60,'Lookup tables'!$Z$27:$Z$60,"Not Updated")</f>
        <v>Bid Prep</v>
      </c>
      <c r="AA138" s="17">
        <v>0</v>
      </c>
      <c r="AB138">
        <v>0</v>
      </c>
      <c r="AC138">
        <v>0</v>
      </c>
      <c r="AD138">
        <v>0</v>
      </c>
      <c r="AE138">
        <v>0</v>
      </c>
      <c r="AF138">
        <v>0</v>
      </c>
      <c r="AG138">
        <v>0</v>
      </c>
      <c r="AH138">
        <v>0</v>
      </c>
      <c r="AI138">
        <v>0</v>
      </c>
      <c r="AJ138">
        <v>0</v>
      </c>
      <c r="AK138">
        <v>0</v>
      </c>
      <c r="AL138">
        <v>0</v>
      </c>
      <c r="AM138">
        <v>0</v>
      </c>
      <c r="AN138">
        <v>0</v>
      </c>
      <c r="AO138">
        <v>0</v>
      </c>
      <c r="AP138">
        <v>0</v>
      </c>
      <c r="AQ138">
        <v>0</v>
      </c>
      <c r="AR138">
        <v>0</v>
      </c>
      <c r="AS138">
        <v>0</v>
      </c>
      <c r="AT138">
        <v>0</v>
      </c>
      <c r="AU138">
        <v>0</v>
      </c>
      <c r="AV138">
        <v>0</v>
      </c>
      <c r="AW138">
        <v>0</v>
      </c>
      <c r="BG138" s="185"/>
      <c r="BH138" s="185"/>
      <c r="BI138" s="185"/>
      <c r="BJ138" s="185"/>
      <c r="BK138" s="185"/>
      <c r="BL138" s="185"/>
      <c r="BM138" s="185"/>
      <c r="BN138" s="185"/>
      <c r="BO138" s="185"/>
      <c r="BP138" s="185"/>
      <c r="BQ138" s="185"/>
      <c r="BR138" s="185"/>
      <c r="BS138" s="185"/>
      <c r="BT138" s="185"/>
      <c r="BU138" t="b">
        <f>IF(_xlfn.MAXIFS(Table1[Sl No],Table1[Category],Table1[[#This Row],[Category]],Table1[Execution Year],Table1[[#This Row],[Execution Year]])=Table1[[#This Row],[Sl No]],TRUE,FALSE)</f>
        <v>0</v>
      </c>
      <c r="BV138" s="201">
        <f>SUM(Table1[[#This Row],[Spend - CAN]:[Spend - Sams]])+SUM(Table1[[#This Row],[Spend - Sams Mexico]:[Spend - Sams China]])+Table1[[#This Row],[Spend - IND]]</f>
        <v>250350000</v>
      </c>
      <c r="BW138">
        <f>SUM(Table1[[#This Row],[Savings - CAN]:[Savings - Sams]])+SUM(Table1[[#This Row],[Savings - Sams Mexico]:[Savings - Sams China]])+Table1[[#This Row],[Savings - IND]]</f>
        <v>0</v>
      </c>
      <c r="BX138">
        <f>SUM(Table1[[#This Row],[Spend - CAN]:[Spend - SAF]])+SUM(Table1[[#This Row],[Spend - Sams Mexico]:[Spend - Sams China]])+Table1[[#This Row],[Spend - IND]]</f>
        <v>177350000</v>
      </c>
      <c r="BY138">
        <f>SUM(Table1[[#This Row],[Savings - CAN]:[Savings - SAF]])+SUM(Table1[[#This Row],[Savings - Sams Mexico]:[Savings - Sams China]])+Table1[[#This Row],[Savings - IND]]</f>
        <v>0</v>
      </c>
      <c r="BZ138">
        <f>SUM(Table1[[#This Row],[Spend - US]:[Spend - Sams]])</f>
        <v>73000000</v>
      </c>
      <c r="CA138">
        <f>SUM(Table1[[#This Row],[Savings - US]:[Savings - Sams]])</f>
        <v>0</v>
      </c>
      <c r="CB138">
        <f>SUM(Table1[[#This Row],[Cost Avoidance - CAN2]:[Cost Avoidance - SAF10]])+SUM(Table1[[#This Row],[Cost Avoidance - Sams Mexico]:[Cost Avoidance - Sams China]])+Table1[[#This Row],[Cost Avoidance - IND]]</f>
        <v>0</v>
      </c>
      <c r="CC138">
        <f>SUM(Table1[[#This Row],[Cost Avoidance - US11]:[Cost Avoidance - Sams12]])</f>
        <v>0</v>
      </c>
      <c r="CD138">
        <f>_xlfn.XLOOKUP(Table1[[#This Row],[Status]],Status_Lookups[Status],Status_Lookups[Value],"")</f>
        <v>0.3</v>
      </c>
    </row>
    <row r="139" spans="1:82">
      <c r="A139">
        <v>7</v>
      </c>
      <c r="B139" t="s">
        <v>111</v>
      </c>
      <c r="C139" t="s">
        <v>43</v>
      </c>
      <c r="D139" t="s">
        <v>39</v>
      </c>
      <c r="E139" s="15">
        <v>44348</v>
      </c>
      <c r="F139" s="15">
        <v>44440</v>
      </c>
      <c r="G139" s="15">
        <v>0</v>
      </c>
      <c r="H139" s="15">
        <v>0</v>
      </c>
      <c r="I139" t="s">
        <v>484</v>
      </c>
      <c r="J139" t="s">
        <v>459</v>
      </c>
      <c r="K139" t="s">
        <v>445</v>
      </c>
      <c r="L139">
        <v>0</v>
      </c>
      <c r="M139">
        <v>2000000</v>
      </c>
      <c r="N139">
        <v>54400000</v>
      </c>
      <c r="O139">
        <v>24347005</v>
      </c>
      <c r="P139">
        <v>2711259</v>
      </c>
      <c r="Q139">
        <v>0</v>
      </c>
      <c r="R139">
        <v>0</v>
      </c>
      <c r="S139">
        <v>0</v>
      </c>
      <c r="T139">
        <v>0</v>
      </c>
      <c r="U139">
        <v>0</v>
      </c>
      <c r="V139">
        <v>73000000</v>
      </c>
      <c r="W139">
        <v>0</v>
      </c>
      <c r="X139" t="s">
        <v>445</v>
      </c>
      <c r="Y139" s="16">
        <v>44323.346732060185</v>
      </c>
      <c r="Z139" s="17" t="str">
        <f>_xlfn.XLOOKUP(Table1[[#This Row],[Phase]],'Lookup tables'!$Y$27:$Y$60,'Lookup tables'!$Z$27:$Z$60,"Not Updated")</f>
        <v>Bid Prep</v>
      </c>
      <c r="AA139" s="17">
        <v>0</v>
      </c>
      <c r="AB139">
        <v>0</v>
      </c>
      <c r="AC139">
        <v>0</v>
      </c>
      <c r="AD139">
        <v>0</v>
      </c>
      <c r="AE139">
        <v>0</v>
      </c>
      <c r="AF139">
        <v>0</v>
      </c>
      <c r="AG139">
        <v>0</v>
      </c>
      <c r="AH139">
        <v>0</v>
      </c>
      <c r="AI139">
        <v>0</v>
      </c>
      <c r="AJ139">
        <v>0</v>
      </c>
      <c r="AK139">
        <v>0</v>
      </c>
      <c r="AL139">
        <v>0</v>
      </c>
      <c r="AM139">
        <v>0</v>
      </c>
      <c r="AN139">
        <v>0</v>
      </c>
      <c r="AO139">
        <v>0</v>
      </c>
      <c r="AP139">
        <v>0</v>
      </c>
      <c r="AQ139">
        <v>0</v>
      </c>
      <c r="AR139">
        <v>0</v>
      </c>
      <c r="AS139">
        <v>0</v>
      </c>
      <c r="AT139">
        <v>0</v>
      </c>
      <c r="AU139">
        <v>0</v>
      </c>
      <c r="AV139">
        <v>0</v>
      </c>
      <c r="AW139">
        <v>0</v>
      </c>
      <c r="BG139" s="185"/>
      <c r="BH139" s="185"/>
      <c r="BI139" s="185"/>
      <c r="BJ139" s="185"/>
      <c r="BK139" s="185"/>
      <c r="BL139" s="185"/>
      <c r="BM139" s="185"/>
      <c r="BN139" s="185"/>
      <c r="BO139" s="185"/>
      <c r="BP139" s="185"/>
      <c r="BQ139" s="185"/>
      <c r="BR139" s="185"/>
      <c r="BS139" s="185"/>
      <c r="BT139" s="185"/>
      <c r="BU139" t="b">
        <f>IF(_xlfn.MAXIFS(Table1[Sl No],Table1[Category],Table1[[#This Row],[Category]],Table1[Execution Year],Table1[[#This Row],[Execution Year]])=Table1[[#This Row],[Sl No]],TRUE,FALSE)</f>
        <v>0</v>
      </c>
      <c r="BV139" s="201">
        <f>SUM(Table1[[#This Row],[Spend - CAN]:[Spend - Sams]])+SUM(Table1[[#This Row],[Spend - Sams Mexico]:[Spend - Sams China]])+Table1[[#This Row],[Spend - IND]]</f>
        <v>156458264</v>
      </c>
      <c r="BW139">
        <f>SUM(Table1[[#This Row],[Savings - CAN]:[Savings - Sams]])+SUM(Table1[[#This Row],[Savings - Sams Mexico]:[Savings - Sams China]])+Table1[[#This Row],[Savings - IND]]</f>
        <v>0</v>
      </c>
      <c r="BX139">
        <f>SUM(Table1[[#This Row],[Spend - CAN]:[Spend - SAF]])+SUM(Table1[[#This Row],[Spend - Sams Mexico]:[Spend - Sams China]])+Table1[[#This Row],[Spend - IND]]</f>
        <v>83458264</v>
      </c>
      <c r="BY139">
        <f>SUM(Table1[[#This Row],[Savings - CAN]:[Savings - SAF]])+SUM(Table1[[#This Row],[Savings - Sams Mexico]:[Savings - Sams China]])+Table1[[#This Row],[Savings - IND]]</f>
        <v>0</v>
      </c>
      <c r="BZ139">
        <f>SUM(Table1[[#This Row],[Spend - US]:[Spend - Sams]])</f>
        <v>73000000</v>
      </c>
      <c r="CA139">
        <f>SUM(Table1[[#This Row],[Savings - US]:[Savings - Sams]])</f>
        <v>0</v>
      </c>
      <c r="CB139">
        <f>SUM(Table1[[#This Row],[Cost Avoidance - CAN2]:[Cost Avoidance - SAF10]])+SUM(Table1[[#This Row],[Cost Avoidance - Sams Mexico]:[Cost Avoidance - Sams China]])+Table1[[#This Row],[Cost Avoidance - IND]]</f>
        <v>0</v>
      </c>
      <c r="CC139">
        <f>SUM(Table1[[#This Row],[Cost Avoidance - US11]:[Cost Avoidance - Sams12]])</f>
        <v>0</v>
      </c>
      <c r="CD139">
        <f>_xlfn.XLOOKUP(Table1[[#This Row],[Status]],Status_Lookups[Status],Status_Lookups[Value],"")</f>
        <v>0.3</v>
      </c>
    </row>
    <row r="140" spans="1:82">
      <c r="A140">
        <v>8</v>
      </c>
      <c r="B140" t="s">
        <v>111</v>
      </c>
      <c r="C140" t="s">
        <v>43</v>
      </c>
      <c r="D140" t="s">
        <v>39</v>
      </c>
      <c r="E140" s="15">
        <v>44348</v>
      </c>
      <c r="F140" s="15">
        <v>44440</v>
      </c>
      <c r="G140" s="15">
        <v>0</v>
      </c>
      <c r="H140" s="15">
        <v>0</v>
      </c>
      <c r="I140" t="s">
        <v>635</v>
      </c>
      <c r="J140" t="s">
        <v>459</v>
      </c>
      <c r="K140" t="s">
        <v>445</v>
      </c>
      <c r="L140">
        <v>0</v>
      </c>
      <c r="M140">
        <v>2000000</v>
      </c>
      <c r="N140">
        <v>54400000</v>
      </c>
      <c r="O140">
        <v>24347005</v>
      </c>
      <c r="P140">
        <v>2711259</v>
      </c>
      <c r="Q140">
        <v>0</v>
      </c>
      <c r="R140">
        <v>0</v>
      </c>
      <c r="S140">
        <v>0</v>
      </c>
      <c r="T140">
        <v>0</v>
      </c>
      <c r="U140">
        <v>0</v>
      </c>
      <c r="V140">
        <v>73000000</v>
      </c>
      <c r="W140">
        <v>0</v>
      </c>
      <c r="X140" t="s">
        <v>445</v>
      </c>
      <c r="Y140" s="16">
        <v>44391.52516203704</v>
      </c>
      <c r="Z140" s="17" t="str">
        <f>_xlfn.XLOOKUP(Table1[[#This Row],[Phase]],'Lookup tables'!$Y$27:$Y$60,'Lookup tables'!$Z$27:$Z$60,"Not Updated")</f>
        <v>RFPX underway</v>
      </c>
      <c r="AA140" s="17"/>
      <c r="AB140">
        <v>0</v>
      </c>
      <c r="AC140">
        <v>0</v>
      </c>
      <c r="AD140">
        <v>0</v>
      </c>
      <c r="AE140">
        <v>0</v>
      </c>
      <c r="AF140">
        <v>0</v>
      </c>
      <c r="AG140">
        <v>0</v>
      </c>
      <c r="AH140">
        <v>0</v>
      </c>
      <c r="AI140">
        <v>0</v>
      </c>
      <c r="AJ140">
        <v>0</v>
      </c>
      <c r="AK140">
        <v>0</v>
      </c>
      <c r="AL140">
        <v>0</v>
      </c>
      <c r="AM140">
        <v>0</v>
      </c>
      <c r="AN140">
        <v>0</v>
      </c>
      <c r="AO140">
        <v>0</v>
      </c>
      <c r="AP140">
        <v>0</v>
      </c>
      <c r="AQ140">
        <v>0</v>
      </c>
      <c r="AR140">
        <v>0</v>
      </c>
      <c r="AS140">
        <v>0</v>
      </c>
      <c r="AT140">
        <v>0</v>
      </c>
      <c r="AU140">
        <v>0</v>
      </c>
      <c r="AV140">
        <v>0</v>
      </c>
      <c r="AW140">
        <v>0</v>
      </c>
      <c r="BG140" s="185"/>
      <c r="BH140" s="185"/>
      <c r="BI140" s="185"/>
      <c r="BJ140" s="185"/>
      <c r="BK140" s="185"/>
      <c r="BL140" s="185"/>
      <c r="BM140" s="185"/>
      <c r="BN140" s="185"/>
      <c r="BO140" s="185"/>
      <c r="BP140" s="185"/>
      <c r="BQ140" s="185"/>
      <c r="BR140" s="185"/>
      <c r="BS140" s="185"/>
      <c r="BT140" s="185"/>
      <c r="BU140" t="b">
        <f>IF(_xlfn.MAXIFS(Table1[Sl No],Table1[Category],Table1[[#This Row],[Category]],Table1[Execution Year],Table1[[#This Row],[Execution Year]])=Table1[[#This Row],[Sl No]],TRUE,FALSE)</f>
        <v>0</v>
      </c>
      <c r="BV140" s="201">
        <f>SUM(Table1[[#This Row],[Spend - CAN]:[Spend - Sams]])+SUM(Table1[[#This Row],[Spend - Sams Mexico]:[Spend - Sams China]])+Table1[[#This Row],[Spend - IND]]</f>
        <v>156458264</v>
      </c>
      <c r="BW140">
        <f>SUM(Table1[[#This Row],[Savings - CAN]:[Savings - Sams]])+SUM(Table1[[#This Row],[Savings - Sams Mexico]:[Savings - Sams China]])+Table1[[#This Row],[Savings - IND]]</f>
        <v>0</v>
      </c>
      <c r="BX140">
        <f>SUM(Table1[[#This Row],[Spend - CAN]:[Spend - SAF]])+SUM(Table1[[#This Row],[Spend - Sams Mexico]:[Spend - Sams China]])+Table1[[#This Row],[Spend - IND]]</f>
        <v>83458264</v>
      </c>
      <c r="BY140">
        <f>SUM(Table1[[#This Row],[Savings - CAN]:[Savings - SAF]])+SUM(Table1[[#This Row],[Savings - Sams Mexico]:[Savings - Sams China]])+Table1[[#This Row],[Savings - IND]]</f>
        <v>0</v>
      </c>
      <c r="BZ140">
        <f>SUM(Table1[[#This Row],[Spend - US]:[Spend - Sams]])</f>
        <v>73000000</v>
      </c>
      <c r="CA140">
        <f>SUM(Table1[[#This Row],[Savings - US]:[Savings - Sams]])</f>
        <v>0</v>
      </c>
      <c r="CB140">
        <f>SUM(Table1[[#This Row],[Cost Avoidance - CAN2]:[Cost Avoidance - SAF10]])+SUM(Table1[[#This Row],[Cost Avoidance - Sams Mexico]:[Cost Avoidance - Sams China]])+Table1[[#This Row],[Cost Avoidance - IND]]</f>
        <v>0</v>
      </c>
      <c r="CC140">
        <f>SUM(Table1[[#This Row],[Cost Avoidance - US11]:[Cost Avoidance - Sams12]])</f>
        <v>0</v>
      </c>
      <c r="CD140">
        <f>_xlfn.XLOOKUP(Table1[[#This Row],[Status]],Status_Lookups[Status],Status_Lookups[Value],"")</f>
        <v>0.3</v>
      </c>
    </row>
    <row r="141" spans="1:82">
      <c r="A141">
        <v>9</v>
      </c>
      <c r="B141" t="s">
        <v>111</v>
      </c>
      <c r="C141" t="s">
        <v>43</v>
      </c>
      <c r="D141" t="s">
        <v>39</v>
      </c>
      <c r="E141" s="15">
        <v>44348</v>
      </c>
      <c r="F141" s="15">
        <v>44440</v>
      </c>
      <c r="G141" s="15">
        <v>0</v>
      </c>
      <c r="H141" s="15">
        <v>0</v>
      </c>
      <c r="I141" t="s">
        <v>635</v>
      </c>
      <c r="J141" t="s">
        <v>459</v>
      </c>
      <c r="K141" t="s">
        <v>445</v>
      </c>
      <c r="L141">
        <v>0</v>
      </c>
      <c r="M141">
        <v>2194709</v>
      </c>
      <c r="N141">
        <v>84497896</v>
      </c>
      <c r="O141">
        <v>6811956</v>
      </c>
      <c r="P141">
        <v>2912469</v>
      </c>
      <c r="Q141">
        <v>0</v>
      </c>
      <c r="R141">
        <v>0</v>
      </c>
      <c r="S141">
        <v>0</v>
      </c>
      <c r="T141">
        <v>0</v>
      </c>
      <c r="U141">
        <v>0</v>
      </c>
      <c r="V141">
        <v>23149480</v>
      </c>
      <c r="W141">
        <v>0</v>
      </c>
      <c r="X141" t="s">
        <v>445</v>
      </c>
      <c r="Y141" s="16">
        <v>44420.671440393518</v>
      </c>
      <c r="Z141" s="17" t="str">
        <f>_xlfn.XLOOKUP(Table1[[#This Row],[Phase]],'Lookup tables'!$Y$27:$Y$60,'Lookup tables'!$Z$27:$Z$60,"Not Updated")</f>
        <v>RFPX underway</v>
      </c>
      <c r="AA141" s="17">
        <v>0</v>
      </c>
      <c r="AB141">
        <v>0</v>
      </c>
      <c r="AC141">
        <v>0</v>
      </c>
      <c r="AD141">
        <v>0</v>
      </c>
      <c r="AE141">
        <v>0</v>
      </c>
      <c r="AF141">
        <v>0</v>
      </c>
      <c r="AG141">
        <v>0</v>
      </c>
      <c r="AH141">
        <v>0</v>
      </c>
      <c r="AI141">
        <v>0</v>
      </c>
      <c r="AJ141">
        <v>0</v>
      </c>
      <c r="AK141">
        <v>0</v>
      </c>
      <c r="AL141">
        <v>0</v>
      </c>
      <c r="AM141">
        <v>0</v>
      </c>
      <c r="AN141">
        <v>0</v>
      </c>
      <c r="AO141">
        <v>0</v>
      </c>
      <c r="AP141">
        <v>0</v>
      </c>
      <c r="AQ141">
        <v>0</v>
      </c>
      <c r="AR141">
        <v>0</v>
      </c>
      <c r="AS141">
        <v>0</v>
      </c>
      <c r="AT141">
        <v>0</v>
      </c>
      <c r="AU141">
        <v>0</v>
      </c>
      <c r="AV141">
        <v>0</v>
      </c>
      <c r="AW141">
        <v>0</v>
      </c>
      <c r="BG141" s="185"/>
      <c r="BH141" s="185"/>
      <c r="BI141" s="185"/>
      <c r="BJ141" s="185"/>
      <c r="BK141" s="185"/>
      <c r="BL141" s="185"/>
      <c r="BM141" s="185"/>
      <c r="BN141" s="185"/>
      <c r="BO141" s="185"/>
      <c r="BP141" s="185"/>
      <c r="BQ141" s="185"/>
      <c r="BR141" s="185"/>
      <c r="BS141" s="185"/>
      <c r="BT141" s="185"/>
      <c r="BU141" t="b">
        <f>IF(_xlfn.MAXIFS(Table1[Sl No],Table1[Category],Table1[[#This Row],[Category]],Table1[Execution Year],Table1[[#This Row],[Execution Year]])=Table1[[#This Row],[Sl No]],TRUE,FALSE)</f>
        <v>0</v>
      </c>
      <c r="BV141" s="201">
        <f>SUM(Table1[[#This Row],[Spend - CAN]:[Spend - Sams]])+SUM(Table1[[#This Row],[Spend - Sams Mexico]:[Spend - Sams China]])+Table1[[#This Row],[Spend - IND]]</f>
        <v>119566510</v>
      </c>
      <c r="BW141">
        <f>SUM(Table1[[#This Row],[Savings - CAN]:[Savings - Sams]])+SUM(Table1[[#This Row],[Savings - Sams Mexico]:[Savings - Sams China]])+Table1[[#This Row],[Savings - IND]]</f>
        <v>0</v>
      </c>
      <c r="BX141">
        <f>SUM(Table1[[#This Row],[Spend - CAN]:[Spend - SAF]])+SUM(Table1[[#This Row],[Spend - Sams Mexico]:[Spend - Sams China]])+Table1[[#This Row],[Spend - IND]]</f>
        <v>96417030</v>
      </c>
      <c r="BY141">
        <f>SUM(Table1[[#This Row],[Savings - CAN]:[Savings - SAF]])+SUM(Table1[[#This Row],[Savings - Sams Mexico]:[Savings - Sams China]])+Table1[[#This Row],[Savings - IND]]</f>
        <v>0</v>
      </c>
      <c r="BZ141">
        <f>SUM(Table1[[#This Row],[Spend - US]:[Spend - Sams]])</f>
        <v>23149480</v>
      </c>
      <c r="CA141">
        <f>SUM(Table1[[#This Row],[Savings - US]:[Savings - Sams]])</f>
        <v>0</v>
      </c>
      <c r="CB141">
        <f>SUM(Table1[[#This Row],[Cost Avoidance - CAN2]:[Cost Avoidance - SAF10]])+SUM(Table1[[#This Row],[Cost Avoidance - Sams Mexico]:[Cost Avoidance - Sams China]])+Table1[[#This Row],[Cost Avoidance - IND]]</f>
        <v>0</v>
      </c>
      <c r="CC141">
        <f>SUM(Table1[[#This Row],[Cost Avoidance - US11]:[Cost Avoidance - Sams12]])</f>
        <v>0</v>
      </c>
      <c r="CD141">
        <f>_xlfn.XLOOKUP(Table1[[#This Row],[Status]],Status_Lookups[Status],Status_Lookups[Value],"")</f>
        <v>0.3</v>
      </c>
    </row>
    <row r="142" spans="1:82">
      <c r="A142">
        <v>10</v>
      </c>
      <c r="B142" t="s">
        <v>111</v>
      </c>
      <c r="C142" t="s">
        <v>43</v>
      </c>
      <c r="D142" t="s">
        <v>39</v>
      </c>
      <c r="E142" s="15">
        <v>44348</v>
      </c>
      <c r="F142" s="15">
        <v>44440</v>
      </c>
      <c r="G142" s="15">
        <v>0</v>
      </c>
      <c r="H142" s="15">
        <v>0</v>
      </c>
      <c r="I142" t="s">
        <v>636</v>
      </c>
      <c r="J142" t="s">
        <v>459</v>
      </c>
      <c r="K142" t="s">
        <v>445</v>
      </c>
      <c r="L142">
        <v>0</v>
      </c>
      <c r="M142">
        <v>2194709</v>
      </c>
      <c r="N142">
        <v>86509988</v>
      </c>
      <c r="O142">
        <v>6850228</v>
      </c>
      <c r="P142">
        <v>2858731</v>
      </c>
      <c r="Q142">
        <v>0</v>
      </c>
      <c r="R142">
        <v>0</v>
      </c>
      <c r="S142">
        <v>0</v>
      </c>
      <c r="T142">
        <v>0</v>
      </c>
      <c r="U142">
        <v>0</v>
      </c>
      <c r="V142">
        <v>23149480</v>
      </c>
      <c r="W142">
        <v>0</v>
      </c>
      <c r="X142" t="s">
        <v>78</v>
      </c>
      <c r="Y142" s="16">
        <v>44473.35546608796</v>
      </c>
      <c r="Z142" s="17" t="str">
        <f>_xlfn.XLOOKUP(Table1[[#This Row],[Phase]],'Lookup tables'!$Y$27:$Y$60,'Lookup tables'!$Z$27:$Z$60,"Not Updated")</f>
        <v>Award</v>
      </c>
      <c r="AA142" s="17">
        <v>0</v>
      </c>
      <c r="AB142">
        <v>0</v>
      </c>
      <c r="AC142">
        <v>0</v>
      </c>
      <c r="AD142">
        <v>0</v>
      </c>
      <c r="AE142">
        <v>0</v>
      </c>
      <c r="AF142">
        <v>0</v>
      </c>
      <c r="AG142">
        <v>0</v>
      </c>
      <c r="AH142">
        <v>0</v>
      </c>
      <c r="AI142">
        <v>0</v>
      </c>
      <c r="AJ142">
        <v>0</v>
      </c>
      <c r="AK142">
        <v>0</v>
      </c>
      <c r="AL142">
        <v>0</v>
      </c>
      <c r="AM142">
        <v>0</v>
      </c>
      <c r="AN142">
        <v>0</v>
      </c>
      <c r="AO142">
        <v>0</v>
      </c>
      <c r="AP142">
        <v>0</v>
      </c>
      <c r="AQ142">
        <v>0</v>
      </c>
      <c r="AR142">
        <v>0</v>
      </c>
      <c r="AS142">
        <v>0</v>
      </c>
      <c r="AT142">
        <v>0</v>
      </c>
      <c r="AU142">
        <v>0</v>
      </c>
      <c r="AV142">
        <v>0</v>
      </c>
      <c r="AW142">
        <v>0</v>
      </c>
      <c r="BG142" s="185"/>
      <c r="BH142" s="185"/>
      <c r="BI142" s="185"/>
      <c r="BJ142" s="185"/>
      <c r="BK142" s="185"/>
      <c r="BL142" s="185"/>
      <c r="BM142" s="185"/>
      <c r="BN142" s="185"/>
      <c r="BO142" s="185"/>
      <c r="BP142" s="185"/>
      <c r="BQ142" s="185"/>
      <c r="BR142" s="185"/>
      <c r="BS142" s="185"/>
      <c r="BT142" s="185"/>
      <c r="BU142" t="b">
        <f>IF(_xlfn.MAXIFS(Table1[Sl No],Table1[Category],Table1[[#This Row],[Category]],Table1[Execution Year],Table1[[#This Row],[Execution Year]])=Table1[[#This Row],[Sl No]],TRUE,FALSE)</f>
        <v>0</v>
      </c>
      <c r="BV142" s="201">
        <f>SUM(Table1[[#This Row],[Spend - CAN]:[Spend - Sams]])+SUM(Table1[[#This Row],[Spend - Sams Mexico]:[Spend - Sams China]])+Table1[[#This Row],[Spend - IND]]</f>
        <v>121563136</v>
      </c>
      <c r="BW142">
        <f>SUM(Table1[[#This Row],[Savings - CAN]:[Savings - Sams]])+SUM(Table1[[#This Row],[Savings - Sams Mexico]:[Savings - Sams China]])+Table1[[#This Row],[Savings - IND]]</f>
        <v>0</v>
      </c>
      <c r="BX142">
        <f>SUM(Table1[[#This Row],[Spend - CAN]:[Spend - SAF]])+SUM(Table1[[#This Row],[Spend - Sams Mexico]:[Spend - Sams China]])+Table1[[#This Row],[Spend - IND]]</f>
        <v>98413656</v>
      </c>
      <c r="BY142">
        <f>SUM(Table1[[#This Row],[Savings - CAN]:[Savings - SAF]])+SUM(Table1[[#This Row],[Savings - Sams Mexico]:[Savings - Sams China]])+Table1[[#This Row],[Savings - IND]]</f>
        <v>0</v>
      </c>
      <c r="BZ142">
        <f>SUM(Table1[[#This Row],[Spend - US]:[Spend - Sams]])</f>
        <v>23149480</v>
      </c>
      <c r="CA142">
        <f>SUM(Table1[[#This Row],[Savings - US]:[Savings - Sams]])</f>
        <v>0</v>
      </c>
      <c r="CB142">
        <f>SUM(Table1[[#This Row],[Cost Avoidance - CAN2]:[Cost Avoidance - SAF10]])+SUM(Table1[[#This Row],[Cost Avoidance - Sams Mexico]:[Cost Avoidance - Sams China]])+Table1[[#This Row],[Cost Avoidance - IND]]</f>
        <v>0</v>
      </c>
      <c r="CC142">
        <f>SUM(Table1[[#This Row],[Cost Avoidance - US11]:[Cost Avoidance - Sams12]])</f>
        <v>0</v>
      </c>
      <c r="CD142">
        <f>_xlfn.XLOOKUP(Table1[[#This Row],[Status]],Status_Lookups[Status],Status_Lookups[Value],"")</f>
        <v>0.3</v>
      </c>
    </row>
    <row r="143" spans="1:82">
      <c r="A143">
        <v>11</v>
      </c>
      <c r="B143" t="s">
        <v>111</v>
      </c>
      <c r="C143" t="s">
        <v>43</v>
      </c>
      <c r="D143" t="s">
        <v>39</v>
      </c>
      <c r="E143" s="15">
        <v>44348</v>
      </c>
      <c r="F143" s="15">
        <v>44501</v>
      </c>
      <c r="G143" s="15">
        <v>0</v>
      </c>
      <c r="H143" s="15">
        <v>0</v>
      </c>
      <c r="I143" t="s">
        <v>636</v>
      </c>
      <c r="J143" t="s">
        <v>459</v>
      </c>
      <c r="K143" t="s">
        <v>445</v>
      </c>
      <c r="L143">
        <v>0</v>
      </c>
      <c r="M143">
        <v>2194709</v>
      </c>
      <c r="N143">
        <v>86509988</v>
      </c>
      <c r="O143">
        <v>6850228</v>
      </c>
      <c r="P143">
        <v>2858731</v>
      </c>
      <c r="Q143">
        <v>0</v>
      </c>
      <c r="R143">
        <v>0</v>
      </c>
      <c r="S143">
        <v>0</v>
      </c>
      <c r="T143">
        <v>0</v>
      </c>
      <c r="U143">
        <v>0</v>
      </c>
      <c r="V143">
        <v>23149480</v>
      </c>
      <c r="W143">
        <v>0</v>
      </c>
      <c r="X143" t="s">
        <v>78</v>
      </c>
      <c r="Y143" s="16">
        <v>44502.436206597224</v>
      </c>
      <c r="Z143" s="17" t="str">
        <f>_xlfn.XLOOKUP(Table1[[#This Row],[Phase]],'Lookup tables'!$Y$27:$Y$60,'Lookup tables'!$Z$27:$Z$60,"Not Updated")</f>
        <v>Award</v>
      </c>
      <c r="AA143" s="17">
        <v>0</v>
      </c>
      <c r="AB143">
        <v>0</v>
      </c>
      <c r="AC143">
        <v>0</v>
      </c>
      <c r="AD143">
        <v>0</v>
      </c>
      <c r="AE143">
        <v>0</v>
      </c>
      <c r="AF143">
        <v>0</v>
      </c>
      <c r="AG143">
        <v>0</v>
      </c>
      <c r="AH143">
        <v>0</v>
      </c>
      <c r="AI143">
        <v>0</v>
      </c>
      <c r="AJ143">
        <v>0</v>
      </c>
      <c r="AK143">
        <v>0</v>
      </c>
      <c r="AL143">
        <v>0</v>
      </c>
      <c r="AM143">
        <v>0</v>
      </c>
      <c r="AN143">
        <v>0</v>
      </c>
      <c r="AO143">
        <v>0</v>
      </c>
      <c r="AP143">
        <v>0</v>
      </c>
      <c r="AQ143">
        <v>0</v>
      </c>
      <c r="AR143">
        <v>0</v>
      </c>
      <c r="AS143">
        <v>0</v>
      </c>
      <c r="AT143">
        <v>0</v>
      </c>
      <c r="AU143">
        <v>0</v>
      </c>
      <c r="AV143">
        <v>0</v>
      </c>
      <c r="AW143">
        <v>0</v>
      </c>
      <c r="BG143" s="185"/>
      <c r="BH143" s="185"/>
      <c r="BI143" s="185"/>
      <c r="BJ143" s="185"/>
      <c r="BK143" s="185"/>
      <c r="BL143" s="185"/>
      <c r="BM143" s="185"/>
      <c r="BN143" s="185"/>
      <c r="BO143" s="185"/>
      <c r="BP143" s="185"/>
      <c r="BQ143" s="185"/>
      <c r="BR143" s="185"/>
      <c r="BS143" s="185"/>
      <c r="BT143" s="185"/>
      <c r="BU143" t="b">
        <f>IF(_xlfn.MAXIFS(Table1[Sl No],Table1[Category],Table1[[#This Row],[Category]],Table1[Execution Year],Table1[[#This Row],[Execution Year]])=Table1[[#This Row],[Sl No]],TRUE,FALSE)</f>
        <v>0</v>
      </c>
      <c r="BV143" s="201">
        <f>SUM(Table1[[#This Row],[Spend - CAN]:[Spend - Sams]])+SUM(Table1[[#This Row],[Spend - Sams Mexico]:[Spend - Sams China]])+Table1[[#This Row],[Spend - IND]]</f>
        <v>121563136</v>
      </c>
      <c r="BW143">
        <f>SUM(Table1[[#This Row],[Savings - CAN]:[Savings - Sams]])+SUM(Table1[[#This Row],[Savings - Sams Mexico]:[Savings - Sams China]])+Table1[[#This Row],[Savings - IND]]</f>
        <v>0</v>
      </c>
      <c r="BX143">
        <f>SUM(Table1[[#This Row],[Spend - CAN]:[Spend - SAF]])+SUM(Table1[[#This Row],[Spend - Sams Mexico]:[Spend - Sams China]])+Table1[[#This Row],[Spend - IND]]</f>
        <v>98413656</v>
      </c>
      <c r="BY143">
        <f>SUM(Table1[[#This Row],[Savings - CAN]:[Savings - SAF]])+SUM(Table1[[#This Row],[Savings - Sams Mexico]:[Savings - Sams China]])+Table1[[#This Row],[Savings - IND]]</f>
        <v>0</v>
      </c>
      <c r="BZ143">
        <f>SUM(Table1[[#This Row],[Spend - US]:[Spend - Sams]])</f>
        <v>23149480</v>
      </c>
      <c r="CA143">
        <f>SUM(Table1[[#This Row],[Savings - US]:[Savings - Sams]])</f>
        <v>0</v>
      </c>
      <c r="CB143">
        <f>SUM(Table1[[#This Row],[Cost Avoidance - CAN2]:[Cost Avoidance - SAF10]])+SUM(Table1[[#This Row],[Cost Avoidance - Sams Mexico]:[Cost Avoidance - Sams China]])+Table1[[#This Row],[Cost Avoidance - IND]]</f>
        <v>0</v>
      </c>
      <c r="CC143">
        <f>SUM(Table1[[#This Row],[Cost Avoidance - US11]:[Cost Avoidance - Sams12]])</f>
        <v>0</v>
      </c>
      <c r="CD143">
        <f>_xlfn.XLOOKUP(Table1[[#This Row],[Status]],Status_Lookups[Status],Status_Lookups[Value],"")</f>
        <v>0.3</v>
      </c>
    </row>
    <row r="144" spans="1:82">
      <c r="A144">
        <v>12</v>
      </c>
      <c r="B144" t="s">
        <v>111</v>
      </c>
      <c r="C144" t="s">
        <v>43</v>
      </c>
      <c r="D144" t="s">
        <v>39</v>
      </c>
      <c r="E144" s="15">
        <v>44348</v>
      </c>
      <c r="F144" s="15">
        <v>44501</v>
      </c>
      <c r="G144" s="15">
        <v>0</v>
      </c>
      <c r="H144" s="15">
        <v>0</v>
      </c>
      <c r="I144" t="s">
        <v>443</v>
      </c>
      <c r="J144" t="s">
        <v>459</v>
      </c>
      <c r="K144" t="s">
        <v>445</v>
      </c>
      <c r="L144">
        <v>0</v>
      </c>
      <c r="M144">
        <v>2194709</v>
      </c>
      <c r="N144">
        <v>86509988</v>
      </c>
      <c r="O144">
        <v>6850228</v>
      </c>
      <c r="P144">
        <v>2858731</v>
      </c>
      <c r="Q144">
        <v>0</v>
      </c>
      <c r="R144">
        <v>0</v>
      </c>
      <c r="S144">
        <v>0</v>
      </c>
      <c r="T144">
        <v>0</v>
      </c>
      <c r="U144">
        <v>0</v>
      </c>
      <c r="V144">
        <v>23149480</v>
      </c>
      <c r="W144">
        <v>0</v>
      </c>
      <c r="X144" t="s">
        <v>445</v>
      </c>
      <c r="Y144" s="16">
        <v>44547.448742129629</v>
      </c>
      <c r="Z144" s="17" t="str">
        <f>_xlfn.XLOOKUP(Table1[[#This Row],[Phase]],'Lookup tables'!$Y$27:$Y$60,'Lookup tables'!$Z$27:$Z$60,"Not Updated")</f>
        <v>Completed</v>
      </c>
      <c r="AA144" s="17" t="s">
        <v>650</v>
      </c>
      <c r="AB144">
        <v>0</v>
      </c>
      <c r="AC144">
        <v>0</v>
      </c>
      <c r="AD144">
        <v>0</v>
      </c>
      <c r="AE144">
        <v>0</v>
      </c>
      <c r="AF144">
        <v>0</v>
      </c>
      <c r="AG144">
        <v>0</v>
      </c>
      <c r="AH144">
        <v>0</v>
      </c>
      <c r="AI144">
        <v>0</v>
      </c>
      <c r="AJ144">
        <v>0</v>
      </c>
      <c r="AK144">
        <v>0</v>
      </c>
      <c r="AL144">
        <v>0</v>
      </c>
      <c r="AM144">
        <v>0</v>
      </c>
      <c r="AN144">
        <v>0</v>
      </c>
      <c r="AO144">
        <v>0</v>
      </c>
      <c r="AP144">
        <v>0</v>
      </c>
      <c r="AQ144">
        <v>0</v>
      </c>
      <c r="AR144">
        <v>0</v>
      </c>
      <c r="AS144">
        <v>0</v>
      </c>
      <c r="AT144">
        <v>0</v>
      </c>
      <c r="AU144">
        <v>0</v>
      </c>
      <c r="AV144">
        <v>0</v>
      </c>
      <c r="AW144">
        <v>0</v>
      </c>
      <c r="BG144" s="185"/>
      <c r="BH144" s="185"/>
      <c r="BI144" s="185"/>
      <c r="BJ144" s="185"/>
      <c r="BK144" s="185"/>
      <c r="BL144" s="185"/>
      <c r="BM144" s="185"/>
      <c r="BN144" s="185"/>
      <c r="BO144" s="185"/>
      <c r="BP144" s="185"/>
      <c r="BQ144" s="185"/>
      <c r="BR144" s="185"/>
      <c r="BS144" s="185"/>
      <c r="BT144" s="185"/>
      <c r="BU144" t="b">
        <f>IF(_xlfn.MAXIFS(Table1[Sl No],Table1[Category],Table1[[#This Row],[Category]],Table1[Execution Year],Table1[[#This Row],[Execution Year]])=Table1[[#This Row],[Sl No]],TRUE,FALSE)</f>
        <v>0</v>
      </c>
      <c r="BV144" s="201">
        <f>SUM(Table1[[#This Row],[Spend - CAN]:[Spend - Sams]])+SUM(Table1[[#This Row],[Spend - Sams Mexico]:[Spend - Sams China]])+Table1[[#This Row],[Spend - IND]]</f>
        <v>121563136</v>
      </c>
      <c r="BW144">
        <f>SUM(Table1[[#This Row],[Savings - CAN]:[Savings - Sams]])+SUM(Table1[[#This Row],[Savings - Sams Mexico]:[Savings - Sams China]])+Table1[[#This Row],[Savings - IND]]</f>
        <v>0</v>
      </c>
      <c r="BX144">
        <f>SUM(Table1[[#This Row],[Spend - CAN]:[Spend - SAF]])+SUM(Table1[[#This Row],[Spend - Sams Mexico]:[Spend - Sams China]])+Table1[[#This Row],[Spend - IND]]</f>
        <v>98413656</v>
      </c>
      <c r="BY144">
        <f>SUM(Table1[[#This Row],[Savings - CAN]:[Savings - SAF]])+SUM(Table1[[#This Row],[Savings - Sams Mexico]:[Savings - Sams China]])+Table1[[#This Row],[Savings - IND]]</f>
        <v>0</v>
      </c>
      <c r="BZ144">
        <f>SUM(Table1[[#This Row],[Spend - US]:[Spend - Sams]])</f>
        <v>23149480</v>
      </c>
      <c r="CA144">
        <f>SUM(Table1[[#This Row],[Savings - US]:[Savings - Sams]])</f>
        <v>0</v>
      </c>
      <c r="CB144">
        <f>SUM(Table1[[#This Row],[Cost Avoidance - CAN2]:[Cost Avoidance - SAF10]])+SUM(Table1[[#This Row],[Cost Avoidance - Sams Mexico]:[Cost Avoidance - Sams China]])+Table1[[#This Row],[Cost Avoidance - IND]]</f>
        <v>0</v>
      </c>
      <c r="CC144">
        <f>SUM(Table1[[#This Row],[Cost Avoidance - US11]:[Cost Avoidance - Sams12]])</f>
        <v>0</v>
      </c>
      <c r="CD144">
        <f>_xlfn.XLOOKUP(Table1[[#This Row],[Status]],Status_Lookups[Status],Status_Lookups[Value],"")</f>
        <v>0.3</v>
      </c>
    </row>
    <row r="145" spans="1:82">
      <c r="A145">
        <v>13</v>
      </c>
      <c r="B145" t="s">
        <v>111</v>
      </c>
      <c r="C145" t="s">
        <v>43</v>
      </c>
      <c r="D145" t="s">
        <v>39</v>
      </c>
      <c r="E145" s="15">
        <v>44348</v>
      </c>
      <c r="F145" s="15">
        <v>44501</v>
      </c>
      <c r="G145" s="15">
        <v>0</v>
      </c>
      <c r="H145" s="15">
        <v>0</v>
      </c>
      <c r="I145" t="s">
        <v>443</v>
      </c>
      <c r="J145" t="s">
        <v>459</v>
      </c>
      <c r="K145" t="s">
        <v>445</v>
      </c>
      <c r="L145">
        <v>0</v>
      </c>
      <c r="M145">
        <v>2194709</v>
      </c>
      <c r="N145">
        <v>86509988</v>
      </c>
      <c r="O145">
        <v>6850228</v>
      </c>
      <c r="P145">
        <v>2858731</v>
      </c>
      <c r="Q145">
        <v>0</v>
      </c>
      <c r="R145">
        <v>0</v>
      </c>
      <c r="S145">
        <v>0</v>
      </c>
      <c r="T145">
        <v>0</v>
      </c>
      <c r="U145">
        <v>0</v>
      </c>
      <c r="V145">
        <v>23149480</v>
      </c>
      <c r="W145">
        <v>0</v>
      </c>
      <c r="X145" t="s">
        <v>445</v>
      </c>
      <c r="Y145" s="16">
        <v>44547.450890277774</v>
      </c>
      <c r="Z145" s="17" t="str">
        <f>_xlfn.XLOOKUP(Table1[[#This Row],[Phase]],'Lookup tables'!$Y$27:$Y$60,'Lookup tables'!$Z$27:$Z$60,"Not Updated")</f>
        <v>Completed</v>
      </c>
      <c r="AA145" s="17" t="s">
        <v>650</v>
      </c>
      <c r="AB145">
        <v>-87326.96</v>
      </c>
      <c r="AC145">
        <v>0</v>
      </c>
      <c r="AD145">
        <v>0</v>
      </c>
      <c r="AE145">
        <v>0</v>
      </c>
      <c r="AF145">
        <v>0</v>
      </c>
      <c r="AG145">
        <v>0</v>
      </c>
      <c r="AH145">
        <v>0</v>
      </c>
      <c r="AI145">
        <v>0</v>
      </c>
      <c r="AJ145">
        <v>0</v>
      </c>
      <c r="AK145">
        <v>0</v>
      </c>
      <c r="AL145">
        <v>0</v>
      </c>
      <c r="AM145">
        <v>34003.449999999997</v>
      </c>
      <c r="AN145">
        <v>2252587.0299999998</v>
      </c>
      <c r="AO145">
        <v>394330.44</v>
      </c>
      <c r="AP145">
        <v>44422</v>
      </c>
      <c r="AQ145">
        <v>0</v>
      </c>
      <c r="AR145">
        <v>0</v>
      </c>
      <c r="AS145">
        <v>0</v>
      </c>
      <c r="AT145">
        <v>0</v>
      </c>
      <c r="AU145">
        <v>0</v>
      </c>
      <c r="AV145">
        <v>0</v>
      </c>
      <c r="AW145">
        <v>0</v>
      </c>
      <c r="BG145" s="185"/>
      <c r="BH145" s="185"/>
      <c r="BI145" s="185"/>
      <c r="BJ145" s="185"/>
      <c r="BK145" s="185"/>
      <c r="BL145" s="185"/>
      <c r="BM145" s="185"/>
      <c r="BN145" s="185"/>
      <c r="BO145" s="185"/>
      <c r="BP145" s="185"/>
      <c r="BQ145" s="185"/>
      <c r="BR145" s="185"/>
      <c r="BS145" s="185"/>
      <c r="BT145" s="185"/>
      <c r="BU145" t="b">
        <f>IF(_xlfn.MAXIFS(Table1[Sl No],Table1[Category],Table1[[#This Row],[Category]],Table1[Execution Year],Table1[[#This Row],[Execution Year]])=Table1[[#This Row],[Sl No]],TRUE,FALSE)</f>
        <v>0</v>
      </c>
      <c r="BV145" s="201">
        <f>SUM(Table1[[#This Row],[Spend - CAN]:[Spend - Sams]])+SUM(Table1[[#This Row],[Spend - Sams Mexico]:[Spend - Sams China]])+Table1[[#This Row],[Spend - IND]]</f>
        <v>121563136</v>
      </c>
      <c r="BW145">
        <f>SUM(Table1[[#This Row],[Savings - CAN]:[Savings - Sams]])+SUM(Table1[[#This Row],[Savings - Sams Mexico]:[Savings - Sams China]])+Table1[[#This Row],[Savings - IND]]</f>
        <v>-87326.96</v>
      </c>
      <c r="BX145">
        <f>SUM(Table1[[#This Row],[Spend - CAN]:[Spend - SAF]])+SUM(Table1[[#This Row],[Spend - Sams Mexico]:[Spend - Sams China]])+Table1[[#This Row],[Spend - IND]]</f>
        <v>98413656</v>
      </c>
      <c r="BY145">
        <f>SUM(Table1[[#This Row],[Savings - CAN]:[Savings - SAF]])+SUM(Table1[[#This Row],[Savings - Sams Mexico]:[Savings - Sams China]])+Table1[[#This Row],[Savings - IND]]</f>
        <v>-87326.96</v>
      </c>
      <c r="BZ145">
        <f>SUM(Table1[[#This Row],[Spend - US]:[Spend - Sams]])</f>
        <v>23149480</v>
      </c>
      <c r="CA145">
        <f>SUM(Table1[[#This Row],[Savings - US]:[Savings - Sams]])</f>
        <v>0</v>
      </c>
      <c r="CB145">
        <f>SUM(Table1[[#This Row],[Cost Avoidance - CAN2]:[Cost Avoidance - SAF10]])+SUM(Table1[[#This Row],[Cost Avoidance - Sams Mexico]:[Cost Avoidance - Sams China]])+Table1[[#This Row],[Cost Avoidance - IND]]</f>
        <v>2725342.92</v>
      </c>
      <c r="CC145">
        <f>SUM(Table1[[#This Row],[Cost Avoidance - US11]:[Cost Avoidance - Sams12]])</f>
        <v>0</v>
      </c>
      <c r="CD145">
        <f>_xlfn.XLOOKUP(Table1[[#This Row],[Status]],Status_Lookups[Status],Status_Lookups[Value],"")</f>
        <v>0.3</v>
      </c>
    </row>
    <row r="146" spans="1:82">
      <c r="A146">
        <v>14</v>
      </c>
      <c r="B146" t="s">
        <v>111</v>
      </c>
      <c r="C146" t="s">
        <v>43</v>
      </c>
      <c r="D146" t="s">
        <v>39</v>
      </c>
      <c r="E146" s="15">
        <v>44348</v>
      </c>
      <c r="F146" s="15">
        <v>44501</v>
      </c>
      <c r="G146" s="15">
        <v>0</v>
      </c>
      <c r="H146" s="15">
        <v>0</v>
      </c>
      <c r="I146" t="s">
        <v>443</v>
      </c>
      <c r="J146" t="s">
        <v>444</v>
      </c>
      <c r="K146" t="s">
        <v>445</v>
      </c>
      <c r="L146">
        <v>0</v>
      </c>
      <c r="M146">
        <v>2194709</v>
      </c>
      <c r="N146">
        <v>86509988</v>
      </c>
      <c r="O146">
        <v>6850228</v>
      </c>
      <c r="P146">
        <v>2858731</v>
      </c>
      <c r="Q146">
        <v>0</v>
      </c>
      <c r="R146">
        <v>0</v>
      </c>
      <c r="S146">
        <v>0</v>
      </c>
      <c r="T146">
        <v>0</v>
      </c>
      <c r="U146">
        <v>0</v>
      </c>
      <c r="V146">
        <v>23149480</v>
      </c>
      <c r="W146">
        <v>0</v>
      </c>
      <c r="X146" t="s">
        <v>445</v>
      </c>
      <c r="Y146" s="16">
        <v>44547.45208865741</v>
      </c>
      <c r="Z146" s="17" t="str">
        <f>_xlfn.XLOOKUP(Table1[[#This Row],[Phase]],'Lookup tables'!$Y$27:$Y$60,'Lookup tables'!$Z$27:$Z$60,"Not Updated")</f>
        <v>Completed</v>
      </c>
      <c r="AA146" s="17" t="s">
        <v>650</v>
      </c>
      <c r="AB146">
        <v>-87326.96</v>
      </c>
      <c r="AC146">
        <v>0</v>
      </c>
      <c r="AD146">
        <v>0</v>
      </c>
      <c r="AE146">
        <v>0</v>
      </c>
      <c r="AF146">
        <v>0</v>
      </c>
      <c r="AG146">
        <v>0</v>
      </c>
      <c r="AH146">
        <v>0</v>
      </c>
      <c r="AI146">
        <v>0</v>
      </c>
      <c r="AJ146">
        <v>0</v>
      </c>
      <c r="AK146">
        <v>0</v>
      </c>
      <c r="AL146">
        <v>0</v>
      </c>
      <c r="AM146">
        <v>34003.449999999997</v>
      </c>
      <c r="AN146">
        <v>2252587.0299999998</v>
      </c>
      <c r="AO146">
        <v>394330.44</v>
      </c>
      <c r="AP146">
        <v>44422</v>
      </c>
      <c r="AQ146">
        <v>0</v>
      </c>
      <c r="AR146">
        <v>0</v>
      </c>
      <c r="AS146">
        <v>0</v>
      </c>
      <c r="AT146">
        <v>0</v>
      </c>
      <c r="AU146">
        <v>0</v>
      </c>
      <c r="AV146">
        <v>0</v>
      </c>
      <c r="AW146">
        <v>0</v>
      </c>
      <c r="BG146" s="185"/>
      <c r="BH146" s="185"/>
      <c r="BI146" s="185"/>
      <c r="BJ146" s="185"/>
      <c r="BK146" s="185"/>
      <c r="BL146" s="185"/>
      <c r="BM146" s="185"/>
      <c r="BN146" s="185"/>
      <c r="BO146" s="185"/>
      <c r="BP146" s="185"/>
      <c r="BQ146" s="185"/>
      <c r="BR146" s="185"/>
      <c r="BS146" s="185"/>
      <c r="BT146" s="185"/>
      <c r="BU146" t="b">
        <f>IF(_xlfn.MAXIFS(Table1[Sl No],Table1[Category],Table1[[#This Row],[Category]],Table1[Execution Year],Table1[[#This Row],[Execution Year]])=Table1[[#This Row],[Sl No]],TRUE,FALSE)</f>
        <v>0</v>
      </c>
      <c r="BV146" s="201">
        <f>SUM(Table1[[#This Row],[Spend - CAN]:[Spend - Sams]])+SUM(Table1[[#This Row],[Spend - Sams Mexico]:[Spend - Sams China]])+Table1[[#This Row],[Spend - IND]]</f>
        <v>121563136</v>
      </c>
      <c r="BW146">
        <f>SUM(Table1[[#This Row],[Savings - CAN]:[Savings - Sams]])+SUM(Table1[[#This Row],[Savings - Sams Mexico]:[Savings - Sams China]])+Table1[[#This Row],[Savings - IND]]</f>
        <v>-87326.96</v>
      </c>
      <c r="BX146">
        <f>SUM(Table1[[#This Row],[Spend - CAN]:[Spend - SAF]])+SUM(Table1[[#This Row],[Spend - Sams Mexico]:[Spend - Sams China]])+Table1[[#This Row],[Spend - IND]]</f>
        <v>98413656</v>
      </c>
      <c r="BY146">
        <f>SUM(Table1[[#This Row],[Savings - CAN]:[Savings - SAF]])+SUM(Table1[[#This Row],[Savings - Sams Mexico]:[Savings - Sams China]])+Table1[[#This Row],[Savings - IND]]</f>
        <v>-87326.96</v>
      </c>
      <c r="BZ146">
        <f>SUM(Table1[[#This Row],[Spend - US]:[Spend - Sams]])</f>
        <v>23149480</v>
      </c>
      <c r="CA146">
        <f>SUM(Table1[[#This Row],[Savings - US]:[Savings - Sams]])</f>
        <v>0</v>
      </c>
      <c r="CB146">
        <f>SUM(Table1[[#This Row],[Cost Avoidance - CAN2]:[Cost Avoidance - SAF10]])+SUM(Table1[[#This Row],[Cost Avoidance - Sams Mexico]:[Cost Avoidance - Sams China]])+Table1[[#This Row],[Cost Avoidance - IND]]</f>
        <v>2725342.92</v>
      </c>
      <c r="CC146">
        <f>SUM(Table1[[#This Row],[Cost Avoidance - US11]:[Cost Avoidance - Sams12]])</f>
        <v>0</v>
      </c>
      <c r="CD146">
        <f>_xlfn.XLOOKUP(Table1[[#This Row],[Status]],Status_Lookups[Status],Status_Lookups[Value],"")</f>
        <v>0.2</v>
      </c>
    </row>
    <row r="147" spans="1:82">
      <c r="A147">
        <v>15</v>
      </c>
      <c r="B147" t="s">
        <v>111</v>
      </c>
      <c r="C147" t="s">
        <v>43</v>
      </c>
      <c r="D147" t="s">
        <v>39</v>
      </c>
      <c r="E147" s="15">
        <v>44348</v>
      </c>
      <c r="F147" s="15">
        <v>44501</v>
      </c>
      <c r="G147" s="15">
        <v>0</v>
      </c>
      <c r="H147" s="15">
        <v>0</v>
      </c>
      <c r="I147" t="s">
        <v>443</v>
      </c>
      <c r="J147" t="s">
        <v>444</v>
      </c>
      <c r="K147" t="s">
        <v>445</v>
      </c>
      <c r="L147">
        <v>0</v>
      </c>
      <c r="M147">
        <v>2194709</v>
      </c>
      <c r="N147">
        <v>86509988</v>
      </c>
      <c r="O147">
        <v>6850228</v>
      </c>
      <c r="P147">
        <v>2858731</v>
      </c>
      <c r="Q147">
        <v>0</v>
      </c>
      <c r="R147">
        <v>0</v>
      </c>
      <c r="S147">
        <v>0</v>
      </c>
      <c r="T147">
        <v>0</v>
      </c>
      <c r="U147">
        <v>0</v>
      </c>
      <c r="V147">
        <v>23149480</v>
      </c>
      <c r="W147">
        <v>0</v>
      </c>
      <c r="X147" t="s">
        <v>445</v>
      </c>
      <c r="Y147" s="16">
        <v>44565.564334722221</v>
      </c>
      <c r="Z147" s="17" t="str">
        <f>_xlfn.XLOOKUP(Table1[[#This Row],[Phase]],'Lookup tables'!$Y$27:$Y$60,'Lookup tables'!$Z$27:$Z$60,"Not Updated")</f>
        <v>Completed</v>
      </c>
      <c r="AA147" s="17" t="s">
        <v>650</v>
      </c>
      <c r="AB147">
        <v>-87326.96</v>
      </c>
      <c r="AC147">
        <v>0</v>
      </c>
      <c r="AD147">
        <v>0</v>
      </c>
      <c r="AE147">
        <v>0</v>
      </c>
      <c r="AF147">
        <v>0</v>
      </c>
      <c r="AG147">
        <v>0</v>
      </c>
      <c r="AH147">
        <v>0</v>
      </c>
      <c r="AI147">
        <v>0</v>
      </c>
      <c r="AJ147">
        <v>0</v>
      </c>
      <c r="AK147">
        <v>0</v>
      </c>
      <c r="AL147">
        <v>0</v>
      </c>
      <c r="AM147">
        <v>34003.449999999997</v>
      </c>
      <c r="AN147">
        <v>0</v>
      </c>
      <c r="AO147">
        <v>0</v>
      </c>
      <c r="AP147">
        <v>0</v>
      </c>
      <c r="AQ147">
        <v>0</v>
      </c>
      <c r="AR147">
        <v>0</v>
      </c>
      <c r="AS147">
        <v>0</v>
      </c>
      <c r="AT147">
        <v>0</v>
      </c>
      <c r="AU147">
        <v>0</v>
      </c>
      <c r="AV147">
        <v>0</v>
      </c>
      <c r="AW147">
        <v>0</v>
      </c>
      <c r="BG147" s="185"/>
      <c r="BH147" s="185"/>
      <c r="BI147" s="185"/>
      <c r="BJ147" s="185"/>
      <c r="BK147" s="185"/>
      <c r="BL147" s="185"/>
      <c r="BM147" s="185"/>
      <c r="BN147" s="185"/>
      <c r="BO147" s="185"/>
      <c r="BP147" s="185"/>
      <c r="BQ147" s="185"/>
      <c r="BR147" s="185"/>
      <c r="BS147" s="185"/>
      <c r="BT147" s="185"/>
      <c r="BU147" t="b">
        <f>IF(_xlfn.MAXIFS(Table1[Sl No],Table1[Category],Table1[[#This Row],[Category]],Table1[Execution Year],Table1[[#This Row],[Execution Year]])=Table1[[#This Row],[Sl No]],TRUE,FALSE)</f>
        <v>1</v>
      </c>
      <c r="BV147" s="201">
        <f>SUM(Table1[[#This Row],[Spend - CAN]:[Spend - Sams]])+SUM(Table1[[#This Row],[Spend - Sams Mexico]:[Spend - Sams China]])+Table1[[#This Row],[Spend - IND]]</f>
        <v>121563136</v>
      </c>
      <c r="BW147">
        <f>SUM(Table1[[#This Row],[Savings - CAN]:[Savings - Sams]])+SUM(Table1[[#This Row],[Savings - Sams Mexico]:[Savings - Sams China]])+Table1[[#This Row],[Savings - IND]]</f>
        <v>-87326.96</v>
      </c>
      <c r="BX147">
        <f>SUM(Table1[[#This Row],[Spend - CAN]:[Spend - SAF]])+SUM(Table1[[#This Row],[Spend - Sams Mexico]:[Spend - Sams China]])+Table1[[#This Row],[Spend - IND]]</f>
        <v>98413656</v>
      </c>
      <c r="BY147">
        <f>SUM(Table1[[#This Row],[Savings - CAN]:[Savings - SAF]])+SUM(Table1[[#This Row],[Savings - Sams Mexico]:[Savings - Sams China]])+Table1[[#This Row],[Savings - IND]]</f>
        <v>-87326.96</v>
      </c>
      <c r="BZ147">
        <f>SUM(Table1[[#This Row],[Spend - US]:[Spend - Sams]])</f>
        <v>23149480</v>
      </c>
      <c r="CA147">
        <f>SUM(Table1[[#This Row],[Savings - US]:[Savings - Sams]])</f>
        <v>0</v>
      </c>
      <c r="CB147">
        <f>SUM(Table1[[#This Row],[Cost Avoidance - CAN2]:[Cost Avoidance - SAF10]])+SUM(Table1[[#This Row],[Cost Avoidance - Sams Mexico]:[Cost Avoidance - Sams China]])+Table1[[#This Row],[Cost Avoidance - IND]]</f>
        <v>34003.449999999997</v>
      </c>
      <c r="CC147">
        <f>SUM(Table1[[#This Row],[Cost Avoidance - US11]:[Cost Avoidance - Sams12]])</f>
        <v>0</v>
      </c>
      <c r="CD147">
        <f>_xlfn.XLOOKUP(Table1[[#This Row],[Status]],Status_Lookups[Status],Status_Lookups[Value],"")</f>
        <v>0.2</v>
      </c>
    </row>
    <row r="148" spans="1:82">
      <c r="A148">
        <v>1</v>
      </c>
      <c r="B148" t="s">
        <v>92</v>
      </c>
      <c r="C148" t="s">
        <v>43</v>
      </c>
      <c r="D148" t="s">
        <v>39</v>
      </c>
      <c r="E148" s="15"/>
      <c r="F148" s="15"/>
      <c r="G148" s="15"/>
      <c r="H148" s="15"/>
      <c r="I148" t="s">
        <v>458</v>
      </c>
      <c r="X148" t="s">
        <v>78</v>
      </c>
      <c r="Y148" s="16">
        <v>44244.367592592593</v>
      </c>
      <c r="Z148" s="17" t="str">
        <f>_xlfn.XLOOKUP(Table1[[#This Row],[Phase]],'Lookup tables'!$Y$27:$Y$60,'Lookup tables'!$Z$27:$Z$60,"Not Updated")</f>
        <v>Exploratory</v>
      </c>
      <c r="AA148" s="17"/>
      <c r="BG148" s="185"/>
      <c r="BH148" s="185"/>
      <c r="BI148" s="185"/>
      <c r="BJ148" s="185"/>
      <c r="BK148" s="185"/>
      <c r="BL148" s="185"/>
      <c r="BM148" s="185"/>
      <c r="BN148" s="185"/>
      <c r="BO148" s="185"/>
      <c r="BP148" s="185"/>
      <c r="BQ148" s="185"/>
      <c r="BR148" s="185"/>
      <c r="BS148" s="185"/>
      <c r="BT148" s="185"/>
      <c r="BU148" t="b">
        <f>IF(_xlfn.MAXIFS(Table1[Sl No],Table1[Category],Table1[[#This Row],[Category]],Table1[Execution Year],Table1[[#This Row],[Execution Year]])=Table1[[#This Row],[Sl No]],TRUE,FALSE)</f>
        <v>0</v>
      </c>
      <c r="BV148" s="201">
        <f>SUM(Table1[[#This Row],[Spend - CAN]:[Spend - Sams]])+SUM(Table1[[#This Row],[Spend - Sams Mexico]:[Spend - Sams China]])+Table1[[#This Row],[Spend - IND]]</f>
        <v>0</v>
      </c>
      <c r="BW148">
        <f>SUM(Table1[[#This Row],[Savings - CAN]:[Savings - Sams]])+SUM(Table1[[#This Row],[Savings - Sams Mexico]:[Savings - Sams China]])+Table1[[#This Row],[Savings - IND]]</f>
        <v>0</v>
      </c>
      <c r="BX148">
        <f>SUM(Table1[[#This Row],[Spend - CAN]:[Spend - SAF]])+SUM(Table1[[#This Row],[Spend - Sams Mexico]:[Spend - Sams China]])+Table1[[#This Row],[Spend - IND]]</f>
        <v>0</v>
      </c>
      <c r="BY148">
        <f>SUM(Table1[[#This Row],[Savings - CAN]:[Savings - SAF]])+SUM(Table1[[#This Row],[Savings - Sams Mexico]:[Savings - Sams China]])+Table1[[#This Row],[Savings - IND]]</f>
        <v>0</v>
      </c>
      <c r="BZ148">
        <f>SUM(Table1[[#This Row],[Spend - US]:[Spend - Sams]])</f>
        <v>0</v>
      </c>
      <c r="CA148">
        <f>SUM(Table1[[#This Row],[Savings - US]:[Savings - Sams]])</f>
        <v>0</v>
      </c>
      <c r="CB148">
        <f>SUM(Table1[[#This Row],[Cost Avoidance - CAN2]:[Cost Avoidance - SAF10]])+SUM(Table1[[#This Row],[Cost Avoidance - Sams Mexico]:[Cost Avoidance - Sams China]])+Table1[[#This Row],[Cost Avoidance - IND]]</f>
        <v>0</v>
      </c>
      <c r="CC148">
        <f>SUM(Table1[[#This Row],[Cost Avoidance - US11]:[Cost Avoidance - Sams12]])</f>
        <v>0</v>
      </c>
      <c r="CD148" t="str">
        <f>_xlfn.XLOOKUP(Table1[[#This Row],[Status]],Status_Lookups[Status],Status_Lookups[Value],"")</f>
        <v/>
      </c>
    </row>
    <row r="149" spans="1:82">
      <c r="A149">
        <v>2</v>
      </c>
      <c r="B149" t="s">
        <v>92</v>
      </c>
      <c r="C149" t="s">
        <v>43</v>
      </c>
      <c r="D149" t="s">
        <v>39</v>
      </c>
      <c r="E149" s="15">
        <v>44378</v>
      </c>
      <c r="F149" s="15">
        <v>44469</v>
      </c>
      <c r="G149" s="15"/>
      <c r="H149" s="15"/>
      <c r="I149" t="s">
        <v>458</v>
      </c>
      <c r="J149">
        <v>0</v>
      </c>
      <c r="K149">
        <v>0</v>
      </c>
      <c r="L149">
        <v>0</v>
      </c>
      <c r="M149">
        <v>29200000</v>
      </c>
      <c r="N149">
        <v>300000</v>
      </c>
      <c r="O149">
        <v>0</v>
      </c>
      <c r="P149">
        <v>700000</v>
      </c>
      <c r="Q149">
        <v>0</v>
      </c>
      <c r="R149">
        <v>1100000</v>
      </c>
      <c r="S149">
        <v>0</v>
      </c>
      <c r="T149">
        <v>12800000</v>
      </c>
      <c r="U149">
        <v>0</v>
      </c>
      <c r="V149">
        <v>0</v>
      </c>
      <c r="W149">
        <v>0</v>
      </c>
      <c r="X149" t="s">
        <v>78</v>
      </c>
      <c r="Y149" s="16">
        <v>44245.678678124998</v>
      </c>
      <c r="Z149" s="17" t="str">
        <f>_xlfn.XLOOKUP(Table1[[#This Row],[Phase]],'Lookup tables'!$Y$27:$Y$60,'Lookup tables'!$Z$27:$Z$60,"Not Updated")</f>
        <v>Exploratory</v>
      </c>
      <c r="AA149" s="17">
        <v>0</v>
      </c>
      <c r="AB149">
        <v>0</v>
      </c>
      <c r="AC149">
        <v>0</v>
      </c>
      <c r="AD149">
        <v>0</v>
      </c>
      <c r="AE149">
        <v>0</v>
      </c>
      <c r="AF149">
        <v>0</v>
      </c>
      <c r="AG149">
        <v>0</v>
      </c>
      <c r="AH149">
        <v>0</v>
      </c>
      <c r="AI149">
        <v>0</v>
      </c>
      <c r="AJ149">
        <v>0</v>
      </c>
      <c r="AK149">
        <v>0</v>
      </c>
      <c r="AL149">
        <v>0</v>
      </c>
      <c r="BG149" s="185"/>
      <c r="BH149" s="185"/>
      <c r="BI149" s="185"/>
      <c r="BJ149" s="185"/>
      <c r="BK149" s="185"/>
      <c r="BL149" s="185"/>
      <c r="BM149" s="185"/>
      <c r="BN149" s="185"/>
      <c r="BO149" s="185"/>
      <c r="BP149" s="185"/>
      <c r="BQ149" s="185"/>
      <c r="BR149" s="185"/>
      <c r="BS149" s="185"/>
      <c r="BT149" s="185"/>
      <c r="BU149" t="b">
        <f>IF(_xlfn.MAXIFS(Table1[Sl No],Table1[Category],Table1[[#This Row],[Category]],Table1[Execution Year],Table1[[#This Row],[Execution Year]])=Table1[[#This Row],[Sl No]],TRUE,FALSE)</f>
        <v>0</v>
      </c>
      <c r="BV149" s="201">
        <f>SUM(Table1[[#This Row],[Spend - CAN]:[Spend - Sams]])+SUM(Table1[[#This Row],[Spend - Sams Mexico]:[Spend - Sams China]])+Table1[[#This Row],[Spend - IND]]</f>
        <v>44100000</v>
      </c>
      <c r="BW149">
        <f>SUM(Table1[[#This Row],[Savings - CAN]:[Savings - Sams]])+SUM(Table1[[#This Row],[Savings - Sams Mexico]:[Savings - Sams China]])+Table1[[#This Row],[Savings - IND]]</f>
        <v>0</v>
      </c>
      <c r="BX149">
        <f>SUM(Table1[[#This Row],[Spend - CAN]:[Spend - SAF]])+SUM(Table1[[#This Row],[Spend - Sams Mexico]:[Spend - Sams China]])+Table1[[#This Row],[Spend - IND]]</f>
        <v>44100000</v>
      </c>
      <c r="BY149">
        <f>SUM(Table1[[#This Row],[Savings - CAN]:[Savings - SAF]])+SUM(Table1[[#This Row],[Savings - Sams Mexico]:[Savings - Sams China]])+Table1[[#This Row],[Savings - IND]]</f>
        <v>0</v>
      </c>
      <c r="BZ149">
        <f>SUM(Table1[[#This Row],[Spend - US]:[Spend - Sams]])</f>
        <v>0</v>
      </c>
      <c r="CA149">
        <f>SUM(Table1[[#This Row],[Savings - US]:[Savings - Sams]])</f>
        <v>0</v>
      </c>
      <c r="CB149">
        <f>SUM(Table1[[#This Row],[Cost Avoidance - CAN2]:[Cost Avoidance - SAF10]])+SUM(Table1[[#This Row],[Cost Avoidance - Sams Mexico]:[Cost Avoidance - Sams China]])+Table1[[#This Row],[Cost Avoidance - IND]]</f>
        <v>0</v>
      </c>
      <c r="CC149">
        <f>SUM(Table1[[#This Row],[Cost Avoidance - US11]:[Cost Avoidance - Sams12]])</f>
        <v>0</v>
      </c>
      <c r="CD149" t="str">
        <f>_xlfn.XLOOKUP(Table1[[#This Row],[Status]],Status_Lookups[Status],Status_Lookups[Value],"")</f>
        <v/>
      </c>
    </row>
    <row r="150" spans="1:82">
      <c r="A150">
        <v>3</v>
      </c>
      <c r="B150" t="s">
        <v>92</v>
      </c>
      <c r="C150" t="s">
        <v>43</v>
      </c>
      <c r="D150" t="s">
        <v>39</v>
      </c>
      <c r="E150" s="15">
        <v>44378</v>
      </c>
      <c r="F150" s="15">
        <v>44469</v>
      </c>
      <c r="G150" s="15"/>
      <c r="H150" s="15"/>
      <c r="I150" t="s">
        <v>458</v>
      </c>
      <c r="J150">
        <v>0</v>
      </c>
      <c r="K150">
        <v>0</v>
      </c>
      <c r="L150">
        <v>0</v>
      </c>
      <c r="M150">
        <v>29200000</v>
      </c>
      <c r="N150">
        <v>300000</v>
      </c>
      <c r="O150">
        <v>0</v>
      </c>
      <c r="P150">
        <v>700000</v>
      </c>
      <c r="Q150">
        <v>0</v>
      </c>
      <c r="R150">
        <v>1100000</v>
      </c>
      <c r="S150">
        <v>0</v>
      </c>
      <c r="T150">
        <v>12800000</v>
      </c>
      <c r="U150">
        <v>0</v>
      </c>
      <c r="V150">
        <v>0</v>
      </c>
      <c r="W150">
        <v>0</v>
      </c>
      <c r="X150" t="s">
        <v>78</v>
      </c>
      <c r="Y150" s="16">
        <v>44245.684000810186</v>
      </c>
      <c r="Z150" s="17" t="str">
        <f>_xlfn.XLOOKUP(Table1[[#This Row],[Phase]],'Lookup tables'!$Y$27:$Y$60,'Lookup tables'!$Z$27:$Z$60,"Not Updated")</f>
        <v>Exploratory</v>
      </c>
      <c r="AA150" s="17">
        <v>0</v>
      </c>
      <c r="AB150">
        <v>0</v>
      </c>
      <c r="AC150">
        <v>0</v>
      </c>
      <c r="AD150">
        <v>0</v>
      </c>
      <c r="AE150">
        <v>0</v>
      </c>
      <c r="AF150">
        <v>0</v>
      </c>
      <c r="AG150">
        <v>0</v>
      </c>
      <c r="AH150">
        <v>0</v>
      </c>
      <c r="AI150">
        <v>0</v>
      </c>
      <c r="AJ150">
        <v>0</v>
      </c>
      <c r="AK150">
        <v>0</v>
      </c>
      <c r="AL150">
        <v>0</v>
      </c>
      <c r="BG150" s="185"/>
      <c r="BH150" s="185"/>
      <c r="BI150" s="185"/>
      <c r="BJ150" s="185"/>
      <c r="BK150" s="185"/>
      <c r="BL150" s="185"/>
      <c r="BM150" s="185"/>
      <c r="BN150" s="185"/>
      <c r="BO150" s="185"/>
      <c r="BP150" s="185"/>
      <c r="BQ150" s="185"/>
      <c r="BR150" s="185"/>
      <c r="BS150" s="185"/>
      <c r="BT150" s="185"/>
      <c r="BU150" t="b">
        <f>IF(_xlfn.MAXIFS(Table1[Sl No],Table1[Category],Table1[[#This Row],[Category]],Table1[Execution Year],Table1[[#This Row],[Execution Year]])=Table1[[#This Row],[Sl No]],TRUE,FALSE)</f>
        <v>0</v>
      </c>
      <c r="BV150" s="201">
        <f>SUM(Table1[[#This Row],[Spend - CAN]:[Spend - Sams]])+SUM(Table1[[#This Row],[Spend - Sams Mexico]:[Spend - Sams China]])+Table1[[#This Row],[Spend - IND]]</f>
        <v>44100000</v>
      </c>
      <c r="BW150">
        <f>SUM(Table1[[#This Row],[Savings - CAN]:[Savings - Sams]])+SUM(Table1[[#This Row],[Savings - Sams Mexico]:[Savings - Sams China]])+Table1[[#This Row],[Savings - IND]]</f>
        <v>0</v>
      </c>
      <c r="BX150">
        <f>SUM(Table1[[#This Row],[Spend - CAN]:[Spend - SAF]])+SUM(Table1[[#This Row],[Spend - Sams Mexico]:[Spend - Sams China]])+Table1[[#This Row],[Spend - IND]]</f>
        <v>44100000</v>
      </c>
      <c r="BY150">
        <f>SUM(Table1[[#This Row],[Savings - CAN]:[Savings - SAF]])+SUM(Table1[[#This Row],[Savings - Sams Mexico]:[Savings - Sams China]])+Table1[[#This Row],[Savings - IND]]</f>
        <v>0</v>
      </c>
      <c r="BZ150">
        <f>SUM(Table1[[#This Row],[Spend - US]:[Spend - Sams]])</f>
        <v>0</v>
      </c>
      <c r="CA150">
        <f>SUM(Table1[[#This Row],[Savings - US]:[Savings - Sams]])</f>
        <v>0</v>
      </c>
      <c r="CB150">
        <f>SUM(Table1[[#This Row],[Cost Avoidance - CAN2]:[Cost Avoidance - SAF10]])+SUM(Table1[[#This Row],[Cost Avoidance - Sams Mexico]:[Cost Avoidance - Sams China]])+Table1[[#This Row],[Cost Avoidance - IND]]</f>
        <v>0</v>
      </c>
      <c r="CC150">
        <f>SUM(Table1[[#This Row],[Cost Avoidance - US11]:[Cost Avoidance - Sams12]])</f>
        <v>0</v>
      </c>
      <c r="CD150" t="str">
        <f>_xlfn.XLOOKUP(Table1[[#This Row],[Status]],Status_Lookups[Status],Status_Lookups[Value],"")</f>
        <v/>
      </c>
    </row>
    <row r="151" spans="1:82">
      <c r="A151">
        <v>4</v>
      </c>
      <c r="B151" t="s">
        <v>92</v>
      </c>
      <c r="C151" t="s">
        <v>43</v>
      </c>
      <c r="D151" t="s">
        <v>39</v>
      </c>
      <c r="E151" s="15">
        <v>44378</v>
      </c>
      <c r="F151" s="15">
        <v>44469</v>
      </c>
      <c r="G151" s="15"/>
      <c r="H151" s="15"/>
      <c r="I151" t="s">
        <v>449</v>
      </c>
      <c r="J151" t="s">
        <v>417</v>
      </c>
      <c r="K151">
        <v>0</v>
      </c>
      <c r="L151">
        <v>0</v>
      </c>
      <c r="M151">
        <v>29200000</v>
      </c>
      <c r="N151">
        <v>300000</v>
      </c>
      <c r="O151">
        <v>0</v>
      </c>
      <c r="P151">
        <v>700000</v>
      </c>
      <c r="Q151">
        <v>0</v>
      </c>
      <c r="R151">
        <v>1100000</v>
      </c>
      <c r="S151">
        <v>0</v>
      </c>
      <c r="T151">
        <v>12800000</v>
      </c>
      <c r="U151">
        <v>0</v>
      </c>
      <c r="V151">
        <v>0</v>
      </c>
      <c r="W151">
        <v>0</v>
      </c>
      <c r="X151" t="s">
        <v>78</v>
      </c>
      <c r="Y151" s="16">
        <v>44298.4543150463</v>
      </c>
      <c r="Z151" s="17" t="str">
        <f>_xlfn.XLOOKUP(Table1[[#This Row],[Phase]],'Lookup tables'!$Y$27:$Y$60,'Lookup tables'!$Z$27:$Z$60,"Not Updated")</f>
        <v>Cancelled</v>
      </c>
      <c r="AA151" s="17">
        <v>0</v>
      </c>
      <c r="AB151">
        <v>0</v>
      </c>
      <c r="AC151">
        <v>0</v>
      </c>
      <c r="AD151">
        <v>0</v>
      </c>
      <c r="AE151">
        <v>0</v>
      </c>
      <c r="AF151">
        <v>0</v>
      </c>
      <c r="AG151">
        <v>0</v>
      </c>
      <c r="AH151">
        <v>0</v>
      </c>
      <c r="AI151">
        <v>0</v>
      </c>
      <c r="AJ151">
        <v>0</v>
      </c>
      <c r="AK151">
        <v>0</v>
      </c>
      <c r="AL151">
        <v>0</v>
      </c>
      <c r="AM151">
        <v>0</v>
      </c>
      <c r="AN151">
        <v>0</v>
      </c>
      <c r="AO151">
        <v>0</v>
      </c>
      <c r="AP151">
        <v>0</v>
      </c>
      <c r="AQ151">
        <v>0</v>
      </c>
      <c r="AR151">
        <v>0</v>
      </c>
      <c r="AS151">
        <v>0</v>
      </c>
      <c r="AT151">
        <v>0</v>
      </c>
      <c r="AU151">
        <v>0</v>
      </c>
      <c r="AV151">
        <v>0</v>
      </c>
      <c r="AW151">
        <v>0</v>
      </c>
      <c r="BG151" s="185"/>
      <c r="BH151" s="185"/>
      <c r="BI151" s="185"/>
      <c r="BJ151" s="185"/>
      <c r="BK151" s="185"/>
      <c r="BL151" s="185"/>
      <c r="BM151" s="185"/>
      <c r="BN151" s="185"/>
      <c r="BO151" s="185"/>
      <c r="BP151" s="185"/>
      <c r="BQ151" s="185"/>
      <c r="BR151" s="185"/>
      <c r="BS151" s="185"/>
      <c r="BT151" s="185"/>
      <c r="BU151" t="b">
        <f>IF(_xlfn.MAXIFS(Table1[Sl No],Table1[Category],Table1[[#This Row],[Category]],Table1[Execution Year],Table1[[#This Row],[Execution Year]])=Table1[[#This Row],[Sl No]],TRUE,FALSE)</f>
        <v>1</v>
      </c>
      <c r="BV151" s="201">
        <f>SUM(Table1[[#This Row],[Spend - CAN]:[Spend - Sams]])+SUM(Table1[[#This Row],[Spend - Sams Mexico]:[Spend - Sams China]])+Table1[[#This Row],[Spend - IND]]</f>
        <v>44100000</v>
      </c>
      <c r="BW151">
        <f>SUM(Table1[[#This Row],[Savings - CAN]:[Savings - Sams]])+SUM(Table1[[#This Row],[Savings - Sams Mexico]:[Savings - Sams China]])+Table1[[#This Row],[Savings - IND]]</f>
        <v>0</v>
      </c>
      <c r="BX151">
        <f>SUM(Table1[[#This Row],[Spend - CAN]:[Spend - SAF]])+SUM(Table1[[#This Row],[Spend - Sams Mexico]:[Spend - Sams China]])+Table1[[#This Row],[Spend - IND]]</f>
        <v>44100000</v>
      </c>
      <c r="BY151">
        <f>SUM(Table1[[#This Row],[Savings - CAN]:[Savings - SAF]])+SUM(Table1[[#This Row],[Savings - Sams Mexico]:[Savings - Sams China]])+Table1[[#This Row],[Savings - IND]]</f>
        <v>0</v>
      </c>
      <c r="BZ151">
        <f>SUM(Table1[[#This Row],[Spend - US]:[Spend - Sams]])</f>
        <v>0</v>
      </c>
      <c r="CA151">
        <f>SUM(Table1[[#This Row],[Savings - US]:[Savings - Sams]])</f>
        <v>0</v>
      </c>
      <c r="CB151">
        <f>SUM(Table1[[#This Row],[Cost Avoidance - CAN2]:[Cost Avoidance - SAF10]])+SUM(Table1[[#This Row],[Cost Avoidance - Sams Mexico]:[Cost Avoidance - Sams China]])+Table1[[#This Row],[Cost Avoidance - IND]]</f>
        <v>0</v>
      </c>
      <c r="CC151">
        <f>SUM(Table1[[#This Row],[Cost Avoidance - US11]:[Cost Avoidance - Sams12]])</f>
        <v>0</v>
      </c>
      <c r="CD151">
        <f>_xlfn.XLOOKUP(Table1[[#This Row],[Status]],Status_Lookups[Status],Status_Lookups[Value],"")</f>
        <v>0.2</v>
      </c>
    </row>
    <row r="152" spans="1:82">
      <c r="A152">
        <v>1</v>
      </c>
      <c r="B152" t="s">
        <v>89</v>
      </c>
      <c r="C152" t="s">
        <v>43</v>
      </c>
      <c r="D152" t="s">
        <v>39</v>
      </c>
      <c r="E152" s="15"/>
      <c r="F152" s="15"/>
      <c r="G152" s="15"/>
      <c r="H152" s="15"/>
      <c r="I152" t="s">
        <v>625</v>
      </c>
      <c r="J152" t="s">
        <v>626</v>
      </c>
      <c r="X152" t="s">
        <v>78</v>
      </c>
      <c r="Y152" s="16">
        <v>44242.436874999999</v>
      </c>
      <c r="Z152" s="17" t="str">
        <f>_xlfn.XLOOKUP(Table1[[#This Row],[Phase]],'Lookup tables'!$Y$27:$Y$60,'Lookup tables'!$Z$27:$Z$60,"Not Updated")</f>
        <v>Proposed</v>
      </c>
      <c r="AA152" s="17"/>
      <c r="BG152" s="185"/>
      <c r="BH152" s="185"/>
      <c r="BI152" s="185"/>
      <c r="BJ152" s="185"/>
      <c r="BK152" s="185"/>
      <c r="BL152" s="185"/>
      <c r="BM152" s="185"/>
      <c r="BN152" s="185"/>
      <c r="BO152" s="185"/>
      <c r="BP152" s="185"/>
      <c r="BQ152" s="185"/>
      <c r="BR152" s="185"/>
      <c r="BS152" s="185"/>
      <c r="BT152" s="185"/>
      <c r="BU152" t="b">
        <f>IF(_xlfn.MAXIFS(Table1[Sl No],Table1[Category],Table1[[#This Row],[Category]],Table1[Execution Year],Table1[[#This Row],[Execution Year]])=Table1[[#This Row],[Sl No]],TRUE,FALSE)</f>
        <v>0</v>
      </c>
      <c r="BV152" s="201">
        <f>SUM(Table1[[#This Row],[Spend - CAN]:[Spend - Sams]])+SUM(Table1[[#This Row],[Spend - Sams Mexico]:[Spend - Sams China]])+Table1[[#This Row],[Spend - IND]]</f>
        <v>0</v>
      </c>
      <c r="BW152">
        <f>SUM(Table1[[#This Row],[Savings - CAN]:[Savings - Sams]])+SUM(Table1[[#This Row],[Savings - Sams Mexico]:[Savings - Sams China]])+Table1[[#This Row],[Savings - IND]]</f>
        <v>0</v>
      </c>
      <c r="BX152">
        <f>SUM(Table1[[#This Row],[Spend - CAN]:[Spend - SAF]])+SUM(Table1[[#This Row],[Spend - Sams Mexico]:[Spend - Sams China]])+Table1[[#This Row],[Spend - IND]]</f>
        <v>0</v>
      </c>
      <c r="BY152">
        <f>SUM(Table1[[#This Row],[Savings - CAN]:[Savings - SAF]])+SUM(Table1[[#This Row],[Savings - Sams Mexico]:[Savings - Sams China]])+Table1[[#This Row],[Savings - IND]]</f>
        <v>0</v>
      </c>
      <c r="BZ152">
        <f>SUM(Table1[[#This Row],[Spend - US]:[Spend - Sams]])</f>
        <v>0</v>
      </c>
      <c r="CA152">
        <f>SUM(Table1[[#This Row],[Savings - US]:[Savings - Sams]])</f>
        <v>0</v>
      </c>
      <c r="CB152">
        <f>SUM(Table1[[#This Row],[Cost Avoidance - CAN2]:[Cost Avoidance - SAF10]])+SUM(Table1[[#This Row],[Cost Avoidance - Sams Mexico]:[Cost Avoidance - Sams China]])+Table1[[#This Row],[Cost Avoidance - IND]]</f>
        <v>0</v>
      </c>
      <c r="CC152">
        <f>SUM(Table1[[#This Row],[Cost Avoidance - US11]:[Cost Avoidance - Sams12]])</f>
        <v>0</v>
      </c>
      <c r="CD152" t="str">
        <f>_xlfn.XLOOKUP(Table1[[#This Row],[Status]],Status_Lookups[Status],Status_Lookups[Value],"")</f>
        <v/>
      </c>
    </row>
    <row r="153" spans="1:82">
      <c r="A153">
        <v>2</v>
      </c>
      <c r="B153" t="s">
        <v>89</v>
      </c>
      <c r="C153" t="s">
        <v>43</v>
      </c>
      <c r="D153" t="s">
        <v>39</v>
      </c>
      <c r="E153" s="15">
        <v>0</v>
      </c>
      <c r="F153" s="15">
        <v>0</v>
      </c>
      <c r="G153" s="15"/>
      <c r="H153" s="15"/>
      <c r="I153" t="s">
        <v>458</v>
      </c>
      <c r="J153">
        <v>0</v>
      </c>
      <c r="K153">
        <v>0</v>
      </c>
      <c r="L153">
        <v>0</v>
      </c>
      <c r="M153">
        <v>226100000</v>
      </c>
      <c r="N153">
        <v>580300000</v>
      </c>
      <c r="O153">
        <v>100100000</v>
      </c>
      <c r="P153">
        <v>129000000</v>
      </c>
      <c r="Q153">
        <v>0</v>
      </c>
      <c r="R153">
        <v>113600000</v>
      </c>
      <c r="S153">
        <v>900000</v>
      </c>
      <c r="T153">
        <v>343100000</v>
      </c>
      <c r="U153">
        <v>0</v>
      </c>
      <c r="V153">
        <v>0</v>
      </c>
      <c r="W153">
        <v>0</v>
      </c>
      <c r="X153" t="s">
        <v>78</v>
      </c>
      <c r="Y153" s="16">
        <v>44242.517770949074</v>
      </c>
      <c r="Z153" s="17" t="str">
        <f>_xlfn.XLOOKUP(Table1[[#This Row],[Phase]],'Lookup tables'!$Y$27:$Y$60,'Lookup tables'!$Z$27:$Z$60,"Not Updated")</f>
        <v>Exploratory</v>
      </c>
      <c r="AA153" s="17" t="s">
        <v>651</v>
      </c>
      <c r="AB153">
        <v>0</v>
      </c>
      <c r="AC153">
        <v>0</v>
      </c>
      <c r="AD153">
        <v>0</v>
      </c>
      <c r="AE153">
        <v>0</v>
      </c>
      <c r="AF153">
        <v>0</v>
      </c>
      <c r="AG153">
        <v>0</v>
      </c>
      <c r="AH153">
        <v>0</v>
      </c>
      <c r="AI153">
        <v>0</v>
      </c>
      <c r="AJ153">
        <v>0</v>
      </c>
      <c r="AK153">
        <v>0</v>
      </c>
      <c r="AL153">
        <v>0</v>
      </c>
      <c r="BG153" s="185"/>
      <c r="BH153" s="185"/>
      <c r="BI153" s="185"/>
      <c r="BJ153" s="185"/>
      <c r="BK153" s="185"/>
      <c r="BL153" s="185"/>
      <c r="BM153" s="185"/>
      <c r="BN153" s="185"/>
      <c r="BO153" s="185"/>
      <c r="BP153" s="185"/>
      <c r="BQ153" s="185"/>
      <c r="BR153" s="185"/>
      <c r="BS153" s="185"/>
      <c r="BT153" s="185"/>
      <c r="BU153" t="b">
        <f>IF(_xlfn.MAXIFS(Table1[Sl No],Table1[Category],Table1[[#This Row],[Category]],Table1[Execution Year],Table1[[#This Row],[Execution Year]])=Table1[[#This Row],[Sl No]],TRUE,FALSE)</f>
        <v>0</v>
      </c>
      <c r="BV153" s="201">
        <f>SUM(Table1[[#This Row],[Spend - CAN]:[Spend - Sams]])+SUM(Table1[[#This Row],[Spend - Sams Mexico]:[Spend - Sams China]])+Table1[[#This Row],[Spend - IND]]</f>
        <v>1493100000</v>
      </c>
      <c r="BW153">
        <f>SUM(Table1[[#This Row],[Savings - CAN]:[Savings - Sams]])+SUM(Table1[[#This Row],[Savings - Sams Mexico]:[Savings - Sams China]])+Table1[[#This Row],[Savings - IND]]</f>
        <v>0</v>
      </c>
      <c r="BX153">
        <f>SUM(Table1[[#This Row],[Spend - CAN]:[Spend - SAF]])+SUM(Table1[[#This Row],[Spend - Sams Mexico]:[Spend - Sams China]])+Table1[[#This Row],[Spend - IND]]</f>
        <v>1493100000</v>
      </c>
      <c r="BY153">
        <f>SUM(Table1[[#This Row],[Savings - CAN]:[Savings - SAF]])+SUM(Table1[[#This Row],[Savings - Sams Mexico]:[Savings - Sams China]])+Table1[[#This Row],[Savings - IND]]</f>
        <v>0</v>
      </c>
      <c r="BZ153">
        <f>SUM(Table1[[#This Row],[Spend - US]:[Spend - Sams]])</f>
        <v>0</v>
      </c>
      <c r="CA153">
        <f>SUM(Table1[[#This Row],[Savings - US]:[Savings - Sams]])</f>
        <v>0</v>
      </c>
      <c r="CB153">
        <f>SUM(Table1[[#This Row],[Cost Avoidance - CAN2]:[Cost Avoidance - SAF10]])+SUM(Table1[[#This Row],[Cost Avoidance - Sams Mexico]:[Cost Avoidance - Sams China]])+Table1[[#This Row],[Cost Avoidance - IND]]</f>
        <v>0</v>
      </c>
      <c r="CC153">
        <f>SUM(Table1[[#This Row],[Cost Avoidance - US11]:[Cost Avoidance - Sams12]])</f>
        <v>0</v>
      </c>
      <c r="CD153" t="str">
        <f>_xlfn.XLOOKUP(Table1[[#This Row],[Status]],Status_Lookups[Status],Status_Lookups[Value],"")</f>
        <v/>
      </c>
    </row>
    <row r="154" spans="1:82">
      <c r="A154">
        <v>3</v>
      </c>
      <c r="B154" t="s">
        <v>89</v>
      </c>
      <c r="C154" t="s">
        <v>43</v>
      </c>
      <c r="D154" t="s">
        <v>39</v>
      </c>
      <c r="E154" s="15">
        <v>0</v>
      </c>
      <c r="F154" s="15">
        <v>0</v>
      </c>
      <c r="G154" s="15"/>
      <c r="H154" s="15"/>
      <c r="I154" t="s">
        <v>458</v>
      </c>
      <c r="J154">
        <v>0</v>
      </c>
      <c r="K154">
        <v>0</v>
      </c>
      <c r="L154">
        <v>0</v>
      </c>
      <c r="M154">
        <v>226100000</v>
      </c>
      <c r="N154">
        <v>580300000</v>
      </c>
      <c r="O154">
        <v>100100000</v>
      </c>
      <c r="P154">
        <v>129000000</v>
      </c>
      <c r="Q154">
        <v>0</v>
      </c>
      <c r="R154">
        <v>113600000</v>
      </c>
      <c r="S154">
        <v>900000</v>
      </c>
      <c r="T154">
        <v>343100000</v>
      </c>
      <c r="U154">
        <v>0</v>
      </c>
      <c r="V154">
        <v>0</v>
      </c>
      <c r="W154">
        <v>0</v>
      </c>
      <c r="X154" t="s">
        <v>34</v>
      </c>
      <c r="Y154" s="16">
        <v>44243.414258680554</v>
      </c>
      <c r="Z154" s="17" t="str">
        <f>_xlfn.XLOOKUP(Table1[[#This Row],[Phase]],'Lookup tables'!$Y$27:$Y$60,'Lookup tables'!$Z$27:$Z$60,"Not Updated")</f>
        <v>Exploratory</v>
      </c>
      <c r="AA154" s="17" t="s">
        <v>652</v>
      </c>
      <c r="AB154">
        <v>0</v>
      </c>
      <c r="AC154">
        <v>0</v>
      </c>
      <c r="AD154">
        <v>0</v>
      </c>
      <c r="AE154">
        <v>0</v>
      </c>
      <c r="AF154">
        <v>0</v>
      </c>
      <c r="AG154">
        <v>0</v>
      </c>
      <c r="AH154">
        <v>0</v>
      </c>
      <c r="AI154">
        <v>0</v>
      </c>
      <c r="AJ154">
        <v>0</v>
      </c>
      <c r="AK154">
        <v>0</v>
      </c>
      <c r="AL154">
        <v>0</v>
      </c>
      <c r="BG154" s="185"/>
      <c r="BH154" s="185"/>
      <c r="BI154" s="185"/>
      <c r="BJ154" s="185"/>
      <c r="BK154" s="185"/>
      <c r="BL154" s="185"/>
      <c r="BM154" s="185"/>
      <c r="BN154" s="185"/>
      <c r="BO154" s="185"/>
      <c r="BP154" s="185"/>
      <c r="BQ154" s="185"/>
      <c r="BR154" s="185"/>
      <c r="BS154" s="185"/>
      <c r="BT154" s="185"/>
      <c r="BU154" t="b">
        <f>IF(_xlfn.MAXIFS(Table1[Sl No],Table1[Category],Table1[[#This Row],[Category]],Table1[Execution Year],Table1[[#This Row],[Execution Year]])=Table1[[#This Row],[Sl No]],TRUE,FALSE)</f>
        <v>0</v>
      </c>
      <c r="BV154" s="201">
        <f>SUM(Table1[[#This Row],[Spend - CAN]:[Spend - Sams]])+SUM(Table1[[#This Row],[Spend - Sams Mexico]:[Spend - Sams China]])+Table1[[#This Row],[Spend - IND]]</f>
        <v>1493100000</v>
      </c>
      <c r="BW154">
        <f>SUM(Table1[[#This Row],[Savings - CAN]:[Savings - Sams]])+SUM(Table1[[#This Row],[Savings - Sams Mexico]:[Savings - Sams China]])+Table1[[#This Row],[Savings - IND]]</f>
        <v>0</v>
      </c>
      <c r="BX154">
        <f>SUM(Table1[[#This Row],[Spend - CAN]:[Spend - SAF]])+SUM(Table1[[#This Row],[Spend - Sams Mexico]:[Spend - Sams China]])+Table1[[#This Row],[Spend - IND]]</f>
        <v>1493100000</v>
      </c>
      <c r="BY154">
        <f>SUM(Table1[[#This Row],[Savings - CAN]:[Savings - SAF]])+SUM(Table1[[#This Row],[Savings - Sams Mexico]:[Savings - Sams China]])+Table1[[#This Row],[Savings - IND]]</f>
        <v>0</v>
      </c>
      <c r="BZ154">
        <f>SUM(Table1[[#This Row],[Spend - US]:[Spend - Sams]])</f>
        <v>0</v>
      </c>
      <c r="CA154">
        <f>SUM(Table1[[#This Row],[Savings - US]:[Savings - Sams]])</f>
        <v>0</v>
      </c>
      <c r="CB154">
        <f>SUM(Table1[[#This Row],[Cost Avoidance - CAN2]:[Cost Avoidance - SAF10]])+SUM(Table1[[#This Row],[Cost Avoidance - Sams Mexico]:[Cost Avoidance - Sams China]])+Table1[[#This Row],[Cost Avoidance - IND]]</f>
        <v>0</v>
      </c>
      <c r="CC154">
        <f>SUM(Table1[[#This Row],[Cost Avoidance - US11]:[Cost Avoidance - Sams12]])</f>
        <v>0</v>
      </c>
      <c r="CD154" t="str">
        <f>_xlfn.XLOOKUP(Table1[[#This Row],[Status]],Status_Lookups[Status],Status_Lookups[Value],"")</f>
        <v/>
      </c>
    </row>
    <row r="155" spans="1:82">
      <c r="A155">
        <v>4</v>
      </c>
      <c r="B155" t="s">
        <v>89</v>
      </c>
      <c r="C155" t="s">
        <v>43</v>
      </c>
      <c r="D155" t="s">
        <v>39</v>
      </c>
      <c r="E155" s="15">
        <v>0</v>
      </c>
      <c r="F155" s="15">
        <v>0</v>
      </c>
      <c r="G155" s="15"/>
      <c r="H155" s="15"/>
      <c r="I155" t="s">
        <v>458</v>
      </c>
      <c r="J155" t="s">
        <v>417</v>
      </c>
      <c r="K155">
        <v>0</v>
      </c>
      <c r="L155">
        <v>0</v>
      </c>
      <c r="M155">
        <v>226100000</v>
      </c>
      <c r="N155">
        <v>580300000</v>
      </c>
      <c r="O155">
        <v>100100000</v>
      </c>
      <c r="P155">
        <v>129000000</v>
      </c>
      <c r="Q155">
        <v>0</v>
      </c>
      <c r="R155">
        <v>113600000</v>
      </c>
      <c r="S155">
        <v>900000</v>
      </c>
      <c r="T155">
        <v>343100000</v>
      </c>
      <c r="U155">
        <v>0</v>
      </c>
      <c r="V155">
        <v>0</v>
      </c>
      <c r="W155">
        <v>0</v>
      </c>
      <c r="X155" t="s">
        <v>78</v>
      </c>
      <c r="Y155" s="16">
        <v>44244.3669912037</v>
      </c>
      <c r="Z155" s="17" t="str">
        <f>_xlfn.XLOOKUP(Table1[[#This Row],[Phase]],'Lookup tables'!$Y$27:$Y$60,'Lookup tables'!$Z$27:$Z$60,"Not Updated")</f>
        <v>Exploratory</v>
      </c>
      <c r="AA155" s="17" t="s">
        <v>653</v>
      </c>
      <c r="AB155">
        <v>0</v>
      </c>
      <c r="AC155">
        <v>0</v>
      </c>
      <c r="AD155">
        <v>0</v>
      </c>
      <c r="AE155">
        <v>0</v>
      </c>
      <c r="AF155">
        <v>0</v>
      </c>
      <c r="AG155">
        <v>0</v>
      </c>
      <c r="AH155">
        <v>0</v>
      </c>
      <c r="AI155">
        <v>0</v>
      </c>
      <c r="AJ155">
        <v>0</v>
      </c>
      <c r="AK155">
        <v>0</v>
      </c>
      <c r="AL155">
        <v>0</v>
      </c>
      <c r="BG155" s="185"/>
      <c r="BH155" s="185"/>
      <c r="BI155" s="185"/>
      <c r="BJ155" s="185"/>
      <c r="BK155" s="185"/>
      <c r="BL155" s="185"/>
      <c r="BM155" s="185"/>
      <c r="BN155" s="185"/>
      <c r="BO155" s="185"/>
      <c r="BP155" s="185"/>
      <c r="BQ155" s="185"/>
      <c r="BR155" s="185"/>
      <c r="BS155" s="185"/>
      <c r="BT155" s="185"/>
      <c r="BU155" t="b">
        <f>IF(_xlfn.MAXIFS(Table1[Sl No],Table1[Category],Table1[[#This Row],[Category]],Table1[Execution Year],Table1[[#This Row],[Execution Year]])=Table1[[#This Row],[Sl No]],TRUE,FALSE)</f>
        <v>0</v>
      </c>
      <c r="BV155" s="201">
        <f>SUM(Table1[[#This Row],[Spend - CAN]:[Spend - Sams]])+SUM(Table1[[#This Row],[Spend - Sams Mexico]:[Spend - Sams China]])+Table1[[#This Row],[Spend - IND]]</f>
        <v>1493100000</v>
      </c>
      <c r="BW155">
        <f>SUM(Table1[[#This Row],[Savings - CAN]:[Savings - Sams]])+SUM(Table1[[#This Row],[Savings - Sams Mexico]:[Savings - Sams China]])+Table1[[#This Row],[Savings - IND]]</f>
        <v>0</v>
      </c>
      <c r="BX155">
        <f>SUM(Table1[[#This Row],[Spend - CAN]:[Spend - SAF]])+SUM(Table1[[#This Row],[Spend - Sams Mexico]:[Spend - Sams China]])+Table1[[#This Row],[Spend - IND]]</f>
        <v>1493100000</v>
      </c>
      <c r="BY155">
        <f>SUM(Table1[[#This Row],[Savings - CAN]:[Savings - SAF]])+SUM(Table1[[#This Row],[Savings - Sams Mexico]:[Savings - Sams China]])+Table1[[#This Row],[Savings - IND]]</f>
        <v>0</v>
      </c>
      <c r="BZ155">
        <f>SUM(Table1[[#This Row],[Spend - US]:[Spend - Sams]])</f>
        <v>0</v>
      </c>
      <c r="CA155">
        <f>SUM(Table1[[#This Row],[Savings - US]:[Savings - Sams]])</f>
        <v>0</v>
      </c>
      <c r="CB155">
        <f>SUM(Table1[[#This Row],[Cost Avoidance - CAN2]:[Cost Avoidance - SAF10]])+SUM(Table1[[#This Row],[Cost Avoidance - Sams Mexico]:[Cost Avoidance - Sams China]])+Table1[[#This Row],[Cost Avoidance - IND]]</f>
        <v>0</v>
      </c>
      <c r="CC155">
        <f>SUM(Table1[[#This Row],[Cost Avoidance - US11]:[Cost Avoidance - Sams12]])</f>
        <v>0</v>
      </c>
      <c r="CD155">
        <f>_xlfn.XLOOKUP(Table1[[#This Row],[Status]],Status_Lookups[Status],Status_Lookups[Value],"")</f>
        <v>0.2</v>
      </c>
    </row>
    <row r="156" spans="1:82">
      <c r="A156">
        <v>5</v>
      </c>
      <c r="B156" t="s">
        <v>89</v>
      </c>
      <c r="C156" t="s">
        <v>43</v>
      </c>
      <c r="D156" t="s">
        <v>39</v>
      </c>
      <c r="E156" s="15">
        <v>0</v>
      </c>
      <c r="F156" s="15">
        <v>0</v>
      </c>
      <c r="G156" s="15"/>
      <c r="H156" s="15"/>
      <c r="I156" t="s">
        <v>449</v>
      </c>
      <c r="J156">
        <v>0</v>
      </c>
      <c r="K156">
        <v>0</v>
      </c>
      <c r="L156">
        <v>0</v>
      </c>
      <c r="M156">
        <v>0</v>
      </c>
      <c r="N156">
        <v>0</v>
      </c>
      <c r="O156">
        <v>0</v>
      </c>
      <c r="P156">
        <v>0</v>
      </c>
      <c r="Q156">
        <v>0</v>
      </c>
      <c r="R156">
        <v>0</v>
      </c>
      <c r="S156">
        <v>0</v>
      </c>
      <c r="T156">
        <v>0</v>
      </c>
      <c r="U156">
        <v>0</v>
      </c>
      <c r="V156">
        <v>0</v>
      </c>
      <c r="W156">
        <v>0</v>
      </c>
      <c r="X156" t="s">
        <v>34</v>
      </c>
      <c r="Y156" s="16">
        <v>44288.463186342589</v>
      </c>
      <c r="Z156" s="17" t="str">
        <f>_xlfn.XLOOKUP(Table1[[#This Row],[Phase]],'Lookup tables'!$Y$27:$Y$60,'Lookup tables'!$Z$27:$Z$60,"Not Updated")</f>
        <v>Cancelled</v>
      </c>
      <c r="AA156" s="17" t="s">
        <v>653</v>
      </c>
      <c r="AB156">
        <v>0</v>
      </c>
      <c r="AC156">
        <v>0</v>
      </c>
      <c r="AD156">
        <v>0</v>
      </c>
      <c r="AE156">
        <v>0</v>
      </c>
      <c r="AF156">
        <v>0</v>
      </c>
      <c r="AG156">
        <v>0</v>
      </c>
      <c r="AH156">
        <v>0</v>
      </c>
      <c r="AI156">
        <v>0</v>
      </c>
      <c r="AJ156">
        <v>0</v>
      </c>
      <c r="AK156">
        <v>0</v>
      </c>
      <c r="AL156">
        <v>0</v>
      </c>
      <c r="AM156">
        <v>0</v>
      </c>
      <c r="AN156">
        <v>0</v>
      </c>
      <c r="AO156">
        <v>0</v>
      </c>
      <c r="AP156">
        <v>0</v>
      </c>
      <c r="AQ156">
        <v>0</v>
      </c>
      <c r="AR156">
        <v>0</v>
      </c>
      <c r="AS156">
        <v>0</v>
      </c>
      <c r="AT156">
        <v>0</v>
      </c>
      <c r="AU156">
        <v>0</v>
      </c>
      <c r="AV156">
        <v>0</v>
      </c>
      <c r="AW156">
        <v>0</v>
      </c>
      <c r="BG156" s="185"/>
      <c r="BH156" s="185"/>
      <c r="BI156" s="185"/>
      <c r="BJ156" s="185"/>
      <c r="BK156" s="185"/>
      <c r="BL156" s="185"/>
      <c r="BM156" s="185"/>
      <c r="BN156" s="185"/>
      <c r="BO156" s="185"/>
      <c r="BP156" s="185"/>
      <c r="BQ156" s="185"/>
      <c r="BR156" s="185"/>
      <c r="BS156" s="185"/>
      <c r="BT156" s="185"/>
      <c r="BU156" t="b">
        <f>IF(_xlfn.MAXIFS(Table1[Sl No],Table1[Category],Table1[[#This Row],[Category]],Table1[Execution Year],Table1[[#This Row],[Execution Year]])=Table1[[#This Row],[Sl No]],TRUE,FALSE)</f>
        <v>1</v>
      </c>
      <c r="BV156" s="201">
        <f>SUM(Table1[[#This Row],[Spend - CAN]:[Spend - Sams]])+SUM(Table1[[#This Row],[Spend - Sams Mexico]:[Spend - Sams China]])+Table1[[#This Row],[Spend - IND]]</f>
        <v>0</v>
      </c>
      <c r="BW156">
        <f>SUM(Table1[[#This Row],[Savings - CAN]:[Savings - Sams]])+SUM(Table1[[#This Row],[Savings - Sams Mexico]:[Savings - Sams China]])+Table1[[#This Row],[Savings - IND]]</f>
        <v>0</v>
      </c>
      <c r="BX156">
        <f>SUM(Table1[[#This Row],[Spend - CAN]:[Spend - SAF]])+SUM(Table1[[#This Row],[Spend - Sams Mexico]:[Spend - Sams China]])+Table1[[#This Row],[Spend - IND]]</f>
        <v>0</v>
      </c>
      <c r="BY156">
        <f>SUM(Table1[[#This Row],[Savings - CAN]:[Savings - SAF]])+SUM(Table1[[#This Row],[Savings - Sams Mexico]:[Savings - Sams China]])+Table1[[#This Row],[Savings - IND]]</f>
        <v>0</v>
      </c>
      <c r="BZ156">
        <f>SUM(Table1[[#This Row],[Spend - US]:[Spend - Sams]])</f>
        <v>0</v>
      </c>
      <c r="CA156">
        <f>SUM(Table1[[#This Row],[Savings - US]:[Savings - Sams]])</f>
        <v>0</v>
      </c>
      <c r="CB156">
        <f>SUM(Table1[[#This Row],[Cost Avoidance - CAN2]:[Cost Avoidance - SAF10]])+SUM(Table1[[#This Row],[Cost Avoidance - Sams Mexico]:[Cost Avoidance - Sams China]])+Table1[[#This Row],[Cost Avoidance - IND]]</f>
        <v>0</v>
      </c>
      <c r="CC156">
        <f>SUM(Table1[[#This Row],[Cost Avoidance - US11]:[Cost Avoidance - Sams12]])</f>
        <v>0</v>
      </c>
      <c r="CD156" t="str">
        <f>_xlfn.XLOOKUP(Table1[[#This Row],[Status]],Status_Lookups[Status],Status_Lookups[Value],"")</f>
        <v/>
      </c>
    </row>
    <row r="157" spans="1:82">
      <c r="A157">
        <v>3</v>
      </c>
      <c r="B157" t="s">
        <v>461</v>
      </c>
      <c r="C157" t="s">
        <v>43</v>
      </c>
      <c r="D157" t="s">
        <v>39</v>
      </c>
      <c r="E157" s="15">
        <v>44317</v>
      </c>
      <c r="F157" s="15">
        <v>44408</v>
      </c>
      <c r="G157" s="15"/>
      <c r="H157" s="15"/>
      <c r="I157" t="s">
        <v>625</v>
      </c>
      <c r="J157">
        <v>0</v>
      </c>
      <c r="K157">
        <v>0</v>
      </c>
      <c r="L157">
        <v>0</v>
      </c>
      <c r="M157">
        <v>0</v>
      </c>
      <c r="N157">
        <v>0</v>
      </c>
      <c r="O157">
        <v>0</v>
      </c>
      <c r="P157">
        <v>0</v>
      </c>
      <c r="Q157">
        <v>0</v>
      </c>
      <c r="R157">
        <v>0</v>
      </c>
      <c r="S157">
        <v>0</v>
      </c>
      <c r="T157">
        <v>0</v>
      </c>
      <c r="U157">
        <v>0</v>
      </c>
      <c r="V157">
        <v>0</v>
      </c>
      <c r="X157" t="s">
        <v>78</v>
      </c>
      <c r="Y157" s="16">
        <v>44207.690123958331</v>
      </c>
      <c r="Z157" s="17" t="str">
        <f>_xlfn.XLOOKUP(Table1[[#This Row],[Phase]],'Lookup tables'!$Y$27:$Y$60,'Lookup tables'!$Z$27:$Z$60,"Not Updated")</f>
        <v>Proposed</v>
      </c>
      <c r="AA157" s="17">
        <v>0</v>
      </c>
      <c r="AB157">
        <v>0</v>
      </c>
      <c r="AC157">
        <v>0</v>
      </c>
      <c r="AD157">
        <v>0</v>
      </c>
      <c r="AE157">
        <v>0</v>
      </c>
      <c r="AF157">
        <v>0</v>
      </c>
      <c r="AG157">
        <v>0</v>
      </c>
      <c r="AH157">
        <v>0</v>
      </c>
      <c r="AI157">
        <v>0</v>
      </c>
      <c r="AJ157">
        <v>0</v>
      </c>
      <c r="AK157">
        <v>0</v>
      </c>
      <c r="BG157" s="185"/>
      <c r="BH157" s="185"/>
      <c r="BI157" s="185"/>
      <c r="BJ157" s="185"/>
      <c r="BK157" s="185"/>
      <c r="BL157" s="185"/>
      <c r="BM157" s="185"/>
      <c r="BN157" s="185"/>
      <c r="BO157" s="185"/>
      <c r="BP157" s="185"/>
      <c r="BQ157" s="185"/>
      <c r="BR157" s="185"/>
      <c r="BS157" s="185"/>
      <c r="BT157" s="185"/>
      <c r="BU157" t="b">
        <f>IF(_xlfn.MAXIFS(Table1[Sl No],Table1[Category],Table1[[#This Row],[Category]],Table1[Execution Year],Table1[[#This Row],[Execution Year]])=Table1[[#This Row],[Sl No]],TRUE,FALSE)</f>
        <v>0</v>
      </c>
      <c r="BV157" s="201">
        <f>SUM(Table1[[#This Row],[Spend - CAN]:[Spend - Sams]])+SUM(Table1[[#This Row],[Spend - Sams Mexico]:[Spend - Sams China]])+Table1[[#This Row],[Spend - IND]]</f>
        <v>0</v>
      </c>
      <c r="BW157">
        <f>SUM(Table1[[#This Row],[Savings - CAN]:[Savings - Sams]])+SUM(Table1[[#This Row],[Savings - Sams Mexico]:[Savings - Sams China]])+Table1[[#This Row],[Savings - IND]]</f>
        <v>0</v>
      </c>
      <c r="BX157">
        <f>SUM(Table1[[#This Row],[Spend - CAN]:[Spend - SAF]])+SUM(Table1[[#This Row],[Spend - Sams Mexico]:[Spend - Sams China]])+Table1[[#This Row],[Spend - IND]]</f>
        <v>0</v>
      </c>
      <c r="BY157">
        <f>SUM(Table1[[#This Row],[Savings - CAN]:[Savings - SAF]])+SUM(Table1[[#This Row],[Savings - Sams Mexico]:[Savings - Sams China]])+Table1[[#This Row],[Savings - IND]]</f>
        <v>0</v>
      </c>
      <c r="BZ157">
        <f>SUM(Table1[[#This Row],[Spend - US]:[Spend - Sams]])</f>
        <v>0</v>
      </c>
      <c r="CA157">
        <f>SUM(Table1[[#This Row],[Savings - US]:[Savings - Sams]])</f>
        <v>0</v>
      </c>
      <c r="CB157">
        <f>SUM(Table1[[#This Row],[Cost Avoidance - CAN2]:[Cost Avoidance - SAF10]])+SUM(Table1[[#This Row],[Cost Avoidance - Sams Mexico]:[Cost Avoidance - Sams China]])+Table1[[#This Row],[Cost Avoidance - IND]]</f>
        <v>0</v>
      </c>
      <c r="CC157">
        <f>SUM(Table1[[#This Row],[Cost Avoidance - US11]:[Cost Avoidance - Sams12]])</f>
        <v>0</v>
      </c>
      <c r="CD157" t="str">
        <f>_xlfn.XLOOKUP(Table1[[#This Row],[Status]],Status_Lookups[Status],Status_Lookups[Value],"")</f>
        <v/>
      </c>
    </row>
    <row r="158" spans="1:82">
      <c r="A158">
        <v>4</v>
      </c>
      <c r="B158" t="s">
        <v>461</v>
      </c>
      <c r="C158" t="s">
        <v>43</v>
      </c>
      <c r="D158" t="s">
        <v>39</v>
      </c>
      <c r="E158" s="15">
        <v>44317</v>
      </c>
      <c r="F158" s="15">
        <v>44408</v>
      </c>
      <c r="G158" s="15"/>
      <c r="H158" s="15"/>
      <c r="I158" t="s">
        <v>625</v>
      </c>
      <c r="J158" t="s">
        <v>626</v>
      </c>
      <c r="K158">
        <v>0</v>
      </c>
      <c r="L158">
        <v>0</v>
      </c>
      <c r="M158">
        <v>6174289.5300000003</v>
      </c>
      <c r="N158">
        <v>318453.41000000003</v>
      </c>
      <c r="O158">
        <v>0</v>
      </c>
      <c r="P158">
        <v>0</v>
      </c>
      <c r="Q158">
        <v>0</v>
      </c>
      <c r="R158">
        <v>0</v>
      </c>
      <c r="S158">
        <v>0</v>
      </c>
      <c r="T158">
        <v>7953213.459999999</v>
      </c>
      <c r="U158">
        <v>0</v>
      </c>
      <c r="V158">
        <v>0</v>
      </c>
      <c r="X158" t="s">
        <v>78</v>
      </c>
      <c r="Y158" s="16">
        <v>44211.494414236113</v>
      </c>
      <c r="Z158" s="17" t="str">
        <f>_xlfn.XLOOKUP(Table1[[#This Row],[Phase]],'Lookup tables'!$Y$27:$Y$60,'Lookup tables'!$Z$27:$Z$60,"Not Updated")</f>
        <v>Proposed</v>
      </c>
      <c r="AA158" s="17" t="s">
        <v>654</v>
      </c>
      <c r="AB158">
        <v>0</v>
      </c>
      <c r="AC158">
        <v>0</v>
      </c>
      <c r="AD158">
        <v>0</v>
      </c>
      <c r="AE158">
        <v>0</v>
      </c>
      <c r="AF158">
        <v>0</v>
      </c>
      <c r="AG158">
        <v>0</v>
      </c>
      <c r="AH158">
        <v>0</v>
      </c>
      <c r="AI158">
        <v>0</v>
      </c>
      <c r="AJ158">
        <v>0</v>
      </c>
      <c r="AK158">
        <v>0</v>
      </c>
      <c r="BG158" s="185"/>
      <c r="BH158" s="185"/>
      <c r="BI158" s="185"/>
      <c r="BJ158" s="185"/>
      <c r="BK158" s="185"/>
      <c r="BL158" s="185"/>
      <c r="BM158" s="185"/>
      <c r="BN158" s="185"/>
      <c r="BO158" s="185"/>
      <c r="BP158" s="185"/>
      <c r="BQ158" s="185"/>
      <c r="BR158" s="185"/>
      <c r="BS158" s="185"/>
      <c r="BT158" s="185"/>
      <c r="BU158" t="b">
        <f>IF(_xlfn.MAXIFS(Table1[Sl No],Table1[Category],Table1[[#This Row],[Category]],Table1[Execution Year],Table1[[#This Row],[Execution Year]])=Table1[[#This Row],[Sl No]],TRUE,FALSE)</f>
        <v>0</v>
      </c>
      <c r="BV158" s="201">
        <f>SUM(Table1[[#This Row],[Spend - CAN]:[Spend - Sams]])+SUM(Table1[[#This Row],[Spend - Sams Mexico]:[Spend - Sams China]])+Table1[[#This Row],[Spend - IND]]</f>
        <v>14445956.399999999</v>
      </c>
      <c r="BW158">
        <f>SUM(Table1[[#This Row],[Savings - CAN]:[Savings - Sams]])+SUM(Table1[[#This Row],[Savings - Sams Mexico]:[Savings - Sams China]])+Table1[[#This Row],[Savings - IND]]</f>
        <v>0</v>
      </c>
      <c r="BX158">
        <f>SUM(Table1[[#This Row],[Spend - CAN]:[Spend - SAF]])+SUM(Table1[[#This Row],[Spend - Sams Mexico]:[Spend - Sams China]])+Table1[[#This Row],[Spend - IND]]</f>
        <v>14445956.399999999</v>
      </c>
      <c r="BY158">
        <f>SUM(Table1[[#This Row],[Savings - CAN]:[Savings - SAF]])+SUM(Table1[[#This Row],[Savings - Sams Mexico]:[Savings - Sams China]])+Table1[[#This Row],[Savings - IND]]</f>
        <v>0</v>
      </c>
      <c r="BZ158">
        <f>SUM(Table1[[#This Row],[Spend - US]:[Spend - Sams]])</f>
        <v>0</v>
      </c>
      <c r="CA158">
        <f>SUM(Table1[[#This Row],[Savings - US]:[Savings - Sams]])</f>
        <v>0</v>
      </c>
      <c r="CB158">
        <f>SUM(Table1[[#This Row],[Cost Avoidance - CAN2]:[Cost Avoidance - SAF10]])+SUM(Table1[[#This Row],[Cost Avoidance - Sams Mexico]:[Cost Avoidance - Sams China]])+Table1[[#This Row],[Cost Avoidance - IND]]</f>
        <v>0</v>
      </c>
      <c r="CC158">
        <f>SUM(Table1[[#This Row],[Cost Avoidance - US11]:[Cost Avoidance - Sams12]])</f>
        <v>0</v>
      </c>
      <c r="CD158" t="str">
        <f>_xlfn.XLOOKUP(Table1[[#This Row],[Status]],Status_Lookups[Status],Status_Lookups[Value],"")</f>
        <v/>
      </c>
    </row>
    <row r="159" spans="1:82">
      <c r="A159">
        <v>5</v>
      </c>
      <c r="B159" t="s">
        <v>461</v>
      </c>
      <c r="C159" t="s">
        <v>43</v>
      </c>
      <c r="D159" t="s">
        <v>39</v>
      </c>
      <c r="E159" s="15">
        <v>44317</v>
      </c>
      <c r="F159" s="15">
        <v>44408</v>
      </c>
      <c r="G159" s="15"/>
      <c r="H159" s="15"/>
      <c r="I159" t="s">
        <v>625</v>
      </c>
      <c r="J159" t="s">
        <v>626</v>
      </c>
      <c r="K159">
        <v>0</v>
      </c>
      <c r="L159">
        <v>0</v>
      </c>
      <c r="M159">
        <v>6174289.5300000003</v>
      </c>
      <c r="N159">
        <v>318453.41000000003</v>
      </c>
      <c r="O159">
        <v>0</v>
      </c>
      <c r="P159">
        <v>0</v>
      </c>
      <c r="Q159">
        <v>0</v>
      </c>
      <c r="R159">
        <v>0</v>
      </c>
      <c r="S159">
        <v>0</v>
      </c>
      <c r="T159">
        <v>7953213.459999999</v>
      </c>
      <c r="U159">
        <v>0</v>
      </c>
      <c r="V159">
        <v>194000000</v>
      </c>
      <c r="W159">
        <v>0</v>
      </c>
      <c r="X159" t="s">
        <v>78</v>
      </c>
      <c r="Y159" s="16">
        <v>44221.611690625003</v>
      </c>
      <c r="Z159" s="17" t="str">
        <f>_xlfn.XLOOKUP(Table1[[#This Row],[Phase]],'Lookup tables'!$Y$27:$Y$60,'Lookup tables'!$Z$27:$Z$60,"Not Updated")</f>
        <v>Proposed</v>
      </c>
      <c r="AA159" s="17" t="s">
        <v>654</v>
      </c>
      <c r="AB159">
        <v>0</v>
      </c>
      <c r="AC159">
        <v>0</v>
      </c>
      <c r="AD159">
        <v>0</v>
      </c>
      <c r="AE159">
        <v>0</v>
      </c>
      <c r="AF159">
        <v>0</v>
      </c>
      <c r="AG159">
        <v>0</v>
      </c>
      <c r="AH159">
        <v>0</v>
      </c>
      <c r="AI159">
        <v>0</v>
      </c>
      <c r="AJ159">
        <v>0</v>
      </c>
      <c r="AK159">
        <v>0</v>
      </c>
      <c r="AL159">
        <v>0</v>
      </c>
      <c r="BG159" s="185"/>
      <c r="BH159" s="185"/>
      <c r="BI159" s="185"/>
      <c r="BJ159" s="185"/>
      <c r="BK159" s="185"/>
      <c r="BL159" s="185"/>
      <c r="BM159" s="185"/>
      <c r="BN159" s="185"/>
      <c r="BO159" s="185"/>
      <c r="BP159" s="185"/>
      <c r="BQ159" s="185"/>
      <c r="BR159" s="185"/>
      <c r="BS159" s="185"/>
      <c r="BT159" s="185"/>
      <c r="BU159" t="b">
        <f>IF(_xlfn.MAXIFS(Table1[Sl No],Table1[Category],Table1[[#This Row],[Category]],Table1[Execution Year],Table1[[#This Row],[Execution Year]])=Table1[[#This Row],[Sl No]],TRUE,FALSE)</f>
        <v>0</v>
      </c>
      <c r="BV159" s="201">
        <f>SUM(Table1[[#This Row],[Spend - CAN]:[Spend - Sams]])+SUM(Table1[[#This Row],[Spend - Sams Mexico]:[Spend - Sams China]])+Table1[[#This Row],[Spend - IND]]</f>
        <v>208445956.40000001</v>
      </c>
      <c r="BW159">
        <f>SUM(Table1[[#This Row],[Savings - CAN]:[Savings - Sams]])+SUM(Table1[[#This Row],[Savings - Sams Mexico]:[Savings - Sams China]])+Table1[[#This Row],[Savings - IND]]</f>
        <v>0</v>
      </c>
      <c r="BX159">
        <f>SUM(Table1[[#This Row],[Spend - CAN]:[Spend - SAF]])+SUM(Table1[[#This Row],[Spend - Sams Mexico]:[Spend - Sams China]])+Table1[[#This Row],[Spend - IND]]</f>
        <v>14445956.399999999</v>
      </c>
      <c r="BY159">
        <f>SUM(Table1[[#This Row],[Savings - CAN]:[Savings - SAF]])+SUM(Table1[[#This Row],[Savings - Sams Mexico]:[Savings - Sams China]])+Table1[[#This Row],[Savings - IND]]</f>
        <v>0</v>
      </c>
      <c r="BZ159">
        <f>SUM(Table1[[#This Row],[Spend - US]:[Spend - Sams]])</f>
        <v>194000000</v>
      </c>
      <c r="CA159">
        <f>SUM(Table1[[#This Row],[Savings - US]:[Savings - Sams]])</f>
        <v>0</v>
      </c>
      <c r="CB159">
        <f>SUM(Table1[[#This Row],[Cost Avoidance - CAN2]:[Cost Avoidance - SAF10]])+SUM(Table1[[#This Row],[Cost Avoidance - Sams Mexico]:[Cost Avoidance - Sams China]])+Table1[[#This Row],[Cost Avoidance - IND]]</f>
        <v>0</v>
      </c>
      <c r="CC159">
        <f>SUM(Table1[[#This Row],[Cost Avoidance - US11]:[Cost Avoidance - Sams12]])</f>
        <v>0</v>
      </c>
      <c r="CD159" t="str">
        <f>_xlfn.XLOOKUP(Table1[[#This Row],[Status]],Status_Lookups[Status],Status_Lookups[Value],"")</f>
        <v/>
      </c>
    </row>
    <row r="160" spans="1:82">
      <c r="A160">
        <v>6</v>
      </c>
      <c r="B160" t="s">
        <v>461</v>
      </c>
      <c r="C160" t="s">
        <v>43</v>
      </c>
      <c r="D160" t="s">
        <v>39</v>
      </c>
      <c r="E160" s="15">
        <v>44317</v>
      </c>
      <c r="F160" s="15">
        <v>44408</v>
      </c>
      <c r="G160" s="15"/>
      <c r="H160" s="15"/>
      <c r="I160" t="s">
        <v>458</v>
      </c>
      <c r="J160" t="s">
        <v>626</v>
      </c>
      <c r="K160">
        <v>0</v>
      </c>
      <c r="L160">
        <v>0</v>
      </c>
      <c r="M160">
        <v>6174289.5300000003</v>
      </c>
      <c r="N160">
        <v>318453.41000000003</v>
      </c>
      <c r="O160">
        <v>0</v>
      </c>
      <c r="P160">
        <v>0</v>
      </c>
      <c r="Q160">
        <v>0</v>
      </c>
      <c r="R160">
        <v>0</v>
      </c>
      <c r="S160">
        <v>0</v>
      </c>
      <c r="T160">
        <v>7953213.459999999</v>
      </c>
      <c r="U160">
        <v>0</v>
      </c>
      <c r="V160">
        <v>194000000</v>
      </c>
      <c r="W160">
        <v>0</v>
      </c>
      <c r="X160" t="s">
        <v>97</v>
      </c>
      <c r="Y160" s="16">
        <v>44285.368050115743</v>
      </c>
      <c r="Z160" s="17" t="str">
        <f>_xlfn.XLOOKUP(Table1[[#This Row],[Phase]],'Lookup tables'!$Y$27:$Y$60,'Lookup tables'!$Z$27:$Z$60,"Not Updated")</f>
        <v>Exploratory</v>
      </c>
      <c r="AA160" s="17" t="s">
        <v>654</v>
      </c>
      <c r="AB160">
        <v>0</v>
      </c>
      <c r="AC160">
        <v>0</v>
      </c>
      <c r="AD160">
        <v>0</v>
      </c>
      <c r="AE160">
        <v>0</v>
      </c>
      <c r="AF160">
        <v>0</v>
      </c>
      <c r="AG160">
        <v>0</v>
      </c>
      <c r="AH160">
        <v>0</v>
      </c>
      <c r="AI160">
        <v>0</v>
      </c>
      <c r="AJ160">
        <v>0</v>
      </c>
      <c r="AK160">
        <v>0</v>
      </c>
      <c r="AL160">
        <v>0</v>
      </c>
      <c r="AM160">
        <v>0</v>
      </c>
      <c r="AN160">
        <v>0</v>
      </c>
      <c r="AO160">
        <v>0</v>
      </c>
      <c r="AP160">
        <v>0</v>
      </c>
      <c r="AQ160">
        <v>0</v>
      </c>
      <c r="AR160">
        <v>0</v>
      </c>
      <c r="AS160">
        <v>0</v>
      </c>
      <c r="AT160">
        <v>0</v>
      </c>
      <c r="AU160">
        <v>0</v>
      </c>
      <c r="AV160">
        <v>0</v>
      </c>
      <c r="AW160">
        <v>0</v>
      </c>
      <c r="BG160" s="185"/>
      <c r="BH160" s="185"/>
      <c r="BI160" s="185"/>
      <c r="BJ160" s="185"/>
      <c r="BK160" s="185"/>
      <c r="BL160" s="185"/>
      <c r="BM160" s="185"/>
      <c r="BN160" s="185"/>
      <c r="BO160" s="185"/>
      <c r="BP160" s="185"/>
      <c r="BQ160" s="185"/>
      <c r="BR160" s="185"/>
      <c r="BS160" s="185"/>
      <c r="BT160" s="185"/>
      <c r="BU160" t="b">
        <f>IF(_xlfn.MAXIFS(Table1[Sl No],Table1[Category],Table1[[#This Row],[Category]],Table1[Execution Year],Table1[[#This Row],[Execution Year]])=Table1[[#This Row],[Sl No]],TRUE,FALSE)</f>
        <v>0</v>
      </c>
      <c r="BV160" s="201">
        <f>SUM(Table1[[#This Row],[Spend - CAN]:[Spend - Sams]])+SUM(Table1[[#This Row],[Spend - Sams Mexico]:[Spend - Sams China]])+Table1[[#This Row],[Spend - IND]]</f>
        <v>208445956.40000001</v>
      </c>
      <c r="BW160">
        <f>SUM(Table1[[#This Row],[Savings - CAN]:[Savings - Sams]])+SUM(Table1[[#This Row],[Savings - Sams Mexico]:[Savings - Sams China]])+Table1[[#This Row],[Savings - IND]]</f>
        <v>0</v>
      </c>
      <c r="BX160">
        <f>SUM(Table1[[#This Row],[Spend - CAN]:[Spend - SAF]])+SUM(Table1[[#This Row],[Spend - Sams Mexico]:[Spend - Sams China]])+Table1[[#This Row],[Spend - IND]]</f>
        <v>14445956.399999999</v>
      </c>
      <c r="BY160">
        <f>SUM(Table1[[#This Row],[Savings - CAN]:[Savings - SAF]])+SUM(Table1[[#This Row],[Savings - Sams Mexico]:[Savings - Sams China]])+Table1[[#This Row],[Savings - IND]]</f>
        <v>0</v>
      </c>
      <c r="BZ160">
        <f>SUM(Table1[[#This Row],[Spend - US]:[Spend - Sams]])</f>
        <v>194000000</v>
      </c>
      <c r="CA160">
        <f>SUM(Table1[[#This Row],[Savings - US]:[Savings - Sams]])</f>
        <v>0</v>
      </c>
      <c r="CB160">
        <f>SUM(Table1[[#This Row],[Cost Avoidance - CAN2]:[Cost Avoidance - SAF10]])+SUM(Table1[[#This Row],[Cost Avoidance - Sams Mexico]:[Cost Avoidance - Sams China]])+Table1[[#This Row],[Cost Avoidance - IND]]</f>
        <v>0</v>
      </c>
      <c r="CC160">
        <f>SUM(Table1[[#This Row],[Cost Avoidance - US11]:[Cost Avoidance - Sams12]])</f>
        <v>0</v>
      </c>
      <c r="CD160" t="str">
        <f>_xlfn.XLOOKUP(Table1[[#This Row],[Status]],Status_Lookups[Status],Status_Lookups[Value],"")</f>
        <v/>
      </c>
    </row>
    <row r="161" spans="1:82">
      <c r="A161">
        <v>7</v>
      </c>
      <c r="B161" t="s">
        <v>461</v>
      </c>
      <c r="C161" t="s">
        <v>43</v>
      </c>
      <c r="D161" t="s">
        <v>39</v>
      </c>
      <c r="E161" s="15">
        <v>44348</v>
      </c>
      <c r="F161" s="15">
        <v>44439</v>
      </c>
      <c r="G161" s="15"/>
      <c r="H161" s="15"/>
      <c r="I161" t="s">
        <v>458</v>
      </c>
      <c r="J161" t="s">
        <v>626</v>
      </c>
      <c r="K161">
        <v>0</v>
      </c>
      <c r="L161">
        <v>0</v>
      </c>
      <c r="M161">
        <v>26095021.050000001</v>
      </c>
      <c r="N161">
        <v>366020.8</v>
      </c>
      <c r="O161">
        <v>18683.849999999999</v>
      </c>
      <c r="P161">
        <v>65591.45</v>
      </c>
      <c r="Q161">
        <v>0</v>
      </c>
      <c r="R161">
        <v>0</v>
      </c>
      <c r="S161">
        <v>1889.8600000000001</v>
      </c>
      <c r="T161">
        <v>17476172.859999999</v>
      </c>
      <c r="U161">
        <v>0</v>
      </c>
      <c r="V161">
        <v>194000000</v>
      </c>
      <c r="W161">
        <v>0</v>
      </c>
      <c r="X161" t="s">
        <v>78</v>
      </c>
      <c r="Y161" s="16">
        <v>44291.624812037036</v>
      </c>
      <c r="Z161" s="17" t="str">
        <f>_xlfn.XLOOKUP(Table1[[#This Row],[Phase]],'Lookup tables'!$Y$27:$Y$60,'Lookup tables'!$Z$27:$Z$60,"Not Updated")</f>
        <v>Exploratory</v>
      </c>
      <c r="AA161" s="17" t="s">
        <v>654</v>
      </c>
      <c r="AB161">
        <v>0</v>
      </c>
      <c r="AC161">
        <v>0</v>
      </c>
      <c r="AD161">
        <v>0</v>
      </c>
      <c r="AE161">
        <v>0</v>
      </c>
      <c r="AF161">
        <v>0</v>
      </c>
      <c r="AG161">
        <v>0</v>
      </c>
      <c r="AH161">
        <v>0</v>
      </c>
      <c r="AI161">
        <v>0</v>
      </c>
      <c r="AJ161">
        <v>0</v>
      </c>
      <c r="AK161">
        <v>0</v>
      </c>
      <c r="AL161">
        <v>0</v>
      </c>
      <c r="AM161">
        <v>0</v>
      </c>
      <c r="AN161">
        <v>0</v>
      </c>
      <c r="AO161">
        <v>0</v>
      </c>
      <c r="AP161">
        <v>0</v>
      </c>
      <c r="AQ161">
        <v>0</v>
      </c>
      <c r="AR161">
        <v>0</v>
      </c>
      <c r="AS161">
        <v>0</v>
      </c>
      <c r="AT161">
        <v>0</v>
      </c>
      <c r="AU161">
        <v>0</v>
      </c>
      <c r="AV161">
        <v>0</v>
      </c>
      <c r="AW161">
        <v>0</v>
      </c>
      <c r="BG161" s="185"/>
      <c r="BH161" s="185"/>
      <c r="BI161" s="185"/>
      <c r="BJ161" s="185"/>
      <c r="BK161" s="185"/>
      <c r="BL161" s="185"/>
      <c r="BM161" s="185"/>
      <c r="BN161" s="185"/>
      <c r="BO161" s="185"/>
      <c r="BP161" s="185"/>
      <c r="BQ161" s="185"/>
      <c r="BR161" s="185"/>
      <c r="BS161" s="185"/>
      <c r="BT161" s="185"/>
      <c r="BU161" t="b">
        <f>IF(_xlfn.MAXIFS(Table1[Sl No],Table1[Category],Table1[[#This Row],[Category]],Table1[Execution Year],Table1[[#This Row],[Execution Year]])=Table1[[#This Row],[Sl No]],TRUE,FALSE)</f>
        <v>0</v>
      </c>
      <c r="BV161" s="201">
        <f>SUM(Table1[[#This Row],[Spend - CAN]:[Spend - Sams]])+SUM(Table1[[#This Row],[Spend - Sams Mexico]:[Spend - Sams China]])+Table1[[#This Row],[Spend - IND]]</f>
        <v>238023379.87</v>
      </c>
      <c r="BW161">
        <f>SUM(Table1[[#This Row],[Savings - CAN]:[Savings - Sams]])+SUM(Table1[[#This Row],[Savings - Sams Mexico]:[Savings - Sams China]])+Table1[[#This Row],[Savings - IND]]</f>
        <v>0</v>
      </c>
      <c r="BX161">
        <f>SUM(Table1[[#This Row],[Spend - CAN]:[Spend - SAF]])+SUM(Table1[[#This Row],[Spend - Sams Mexico]:[Spend - Sams China]])+Table1[[#This Row],[Spend - IND]]</f>
        <v>44023379.870000005</v>
      </c>
      <c r="BY161">
        <f>SUM(Table1[[#This Row],[Savings - CAN]:[Savings - SAF]])+SUM(Table1[[#This Row],[Savings - Sams Mexico]:[Savings - Sams China]])+Table1[[#This Row],[Savings - IND]]</f>
        <v>0</v>
      </c>
      <c r="BZ161">
        <f>SUM(Table1[[#This Row],[Spend - US]:[Spend - Sams]])</f>
        <v>194000000</v>
      </c>
      <c r="CA161">
        <f>SUM(Table1[[#This Row],[Savings - US]:[Savings - Sams]])</f>
        <v>0</v>
      </c>
      <c r="CB161">
        <f>SUM(Table1[[#This Row],[Cost Avoidance - CAN2]:[Cost Avoidance - SAF10]])+SUM(Table1[[#This Row],[Cost Avoidance - Sams Mexico]:[Cost Avoidance - Sams China]])+Table1[[#This Row],[Cost Avoidance - IND]]</f>
        <v>0</v>
      </c>
      <c r="CC161">
        <f>SUM(Table1[[#This Row],[Cost Avoidance - US11]:[Cost Avoidance - Sams12]])</f>
        <v>0</v>
      </c>
      <c r="CD161" t="str">
        <f>_xlfn.XLOOKUP(Table1[[#This Row],[Status]],Status_Lookups[Status],Status_Lookups[Value],"")</f>
        <v/>
      </c>
    </row>
    <row r="162" spans="1:82">
      <c r="A162">
        <v>8</v>
      </c>
      <c r="B162" t="s">
        <v>461</v>
      </c>
      <c r="C162" t="s">
        <v>43</v>
      </c>
      <c r="D162" t="s">
        <v>39</v>
      </c>
      <c r="E162" s="15">
        <v>44348</v>
      </c>
      <c r="F162" s="15">
        <v>44439</v>
      </c>
      <c r="G162" s="15"/>
      <c r="H162" s="15"/>
      <c r="I162" t="s">
        <v>484</v>
      </c>
      <c r="J162" t="s">
        <v>459</v>
      </c>
      <c r="K162" t="s">
        <v>445</v>
      </c>
      <c r="L162">
        <v>0</v>
      </c>
      <c r="M162">
        <v>26095021.050000001</v>
      </c>
      <c r="N162">
        <v>366020.8</v>
      </c>
      <c r="O162">
        <v>18683.849999999999</v>
      </c>
      <c r="P162">
        <v>65591.45</v>
      </c>
      <c r="Q162">
        <v>0</v>
      </c>
      <c r="R162">
        <v>0</v>
      </c>
      <c r="S162">
        <v>1889.8600000000001</v>
      </c>
      <c r="T162">
        <v>17476172.859999999</v>
      </c>
      <c r="U162">
        <v>0</v>
      </c>
      <c r="V162">
        <v>194000000</v>
      </c>
      <c r="W162">
        <v>0</v>
      </c>
      <c r="X162" t="s">
        <v>78</v>
      </c>
      <c r="Y162" s="16">
        <v>44301.594599537035</v>
      </c>
      <c r="Z162" s="17" t="str">
        <f>_xlfn.XLOOKUP(Table1[[#This Row],[Phase]],'Lookup tables'!$Y$27:$Y$60,'Lookup tables'!$Z$27:$Z$60,"Not Updated")</f>
        <v>Bid Prep</v>
      </c>
      <c r="AA162" s="17" t="s">
        <v>654</v>
      </c>
      <c r="AB162">
        <v>0</v>
      </c>
      <c r="AC162">
        <v>0</v>
      </c>
      <c r="AD162">
        <v>0</v>
      </c>
      <c r="AE162">
        <v>0</v>
      </c>
      <c r="AF162">
        <v>0</v>
      </c>
      <c r="AG162">
        <v>0</v>
      </c>
      <c r="AH162">
        <v>0</v>
      </c>
      <c r="AI162">
        <v>0</v>
      </c>
      <c r="AJ162">
        <v>0</v>
      </c>
      <c r="AK162">
        <v>0</v>
      </c>
      <c r="AL162">
        <v>0</v>
      </c>
      <c r="AM162">
        <v>0</v>
      </c>
      <c r="AN162">
        <v>0</v>
      </c>
      <c r="AO162">
        <v>0</v>
      </c>
      <c r="AP162">
        <v>0</v>
      </c>
      <c r="AQ162">
        <v>0</v>
      </c>
      <c r="AR162">
        <v>0</v>
      </c>
      <c r="AS162">
        <v>0</v>
      </c>
      <c r="AT162">
        <v>0</v>
      </c>
      <c r="AU162">
        <v>0</v>
      </c>
      <c r="AV162">
        <v>0</v>
      </c>
      <c r="AW162">
        <v>0</v>
      </c>
      <c r="BG162" s="185"/>
      <c r="BH162" s="185"/>
      <c r="BI162" s="185"/>
      <c r="BJ162" s="185"/>
      <c r="BK162" s="185"/>
      <c r="BL162" s="185"/>
      <c r="BM162" s="185"/>
      <c r="BN162" s="185"/>
      <c r="BO162" s="185"/>
      <c r="BP162" s="185"/>
      <c r="BQ162" s="185"/>
      <c r="BR162" s="185"/>
      <c r="BS162" s="185"/>
      <c r="BT162" s="185"/>
      <c r="BU162" t="b">
        <f>IF(_xlfn.MAXIFS(Table1[Sl No],Table1[Category],Table1[[#This Row],[Category]],Table1[Execution Year],Table1[[#This Row],[Execution Year]])=Table1[[#This Row],[Sl No]],TRUE,FALSE)</f>
        <v>0</v>
      </c>
      <c r="BV162" s="201">
        <f>SUM(Table1[[#This Row],[Spend - CAN]:[Spend - Sams]])+SUM(Table1[[#This Row],[Spend - Sams Mexico]:[Spend - Sams China]])+Table1[[#This Row],[Spend - IND]]</f>
        <v>238023379.87</v>
      </c>
      <c r="BW162">
        <f>SUM(Table1[[#This Row],[Savings - CAN]:[Savings - Sams]])+SUM(Table1[[#This Row],[Savings - Sams Mexico]:[Savings - Sams China]])+Table1[[#This Row],[Savings - IND]]</f>
        <v>0</v>
      </c>
      <c r="BX162">
        <f>SUM(Table1[[#This Row],[Spend - CAN]:[Spend - SAF]])+SUM(Table1[[#This Row],[Spend - Sams Mexico]:[Spend - Sams China]])+Table1[[#This Row],[Spend - IND]]</f>
        <v>44023379.870000005</v>
      </c>
      <c r="BY162">
        <f>SUM(Table1[[#This Row],[Savings - CAN]:[Savings - SAF]])+SUM(Table1[[#This Row],[Savings - Sams Mexico]:[Savings - Sams China]])+Table1[[#This Row],[Savings - IND]]</f>
        <v>0</v>
      </c>
      <c r="BZ162">
        <f>SUM(Table1[[#This Row],[Spend - US]:[Spend - Sams]])</f>
        <v>194000000</v>
      </c>
      <c r="CA162">
        <f>SUM(Table1[[#This Row],[Savings - US]:[Savings - Sams]])</f>
        <v>0</v>
      </c>
      <c r="CB162">
        <f>SUM(Table1[[#This Row],[Cost Avoidance - CAN2]:[Cost Avoidance - SAF10]])+SUM(Table1[[#This Row],[Cost Avoidance - Sams Mexico]:[Cost Avoidance - Sams China]])+Table1[[#This Row],[Cost Avoidance - IND]]</f>
        <v>0</v>
      </c>
      <c r="CC162">
        <f>SUM(Table1[[#This Row],[Cost Avoidance - US11]:[Cost Avoidance - Sams12]])</f>
        <v>0</v>
      </c>
      <c r="CD162">
        <f>_xlfn.XLOOKUP(Table1[[#This Row],[Status]],Status_Lookups[Status],Status_Lookups[Value],"")</f>
        <v>0.3</v>
      </c>
    </row>
    <row r="163" spans="1:82">
      <c r="A163">
        <v>9</v>
      </c>
      <c r="B163" t="s">
        <v>461</v>
      </c>
      <c r="C163" t="s">
        <v>43</v>
      </c>
      <c r="D163" t="s">
        <v>39</v>
      </c>
      <c r="E163" s="15">
        <v>44409</v>
      </c>
      <c r="F163" s="15">
        <v>44501</v>
      </c>
      <c r="G163" s="15">
        <v>0</v>
      </c>
      <c r="H163" s="15">
        <v>0</v>
      </c>
      <c r="I163" t="s">
        <v>484</v>
      </c>
      <c r="J163" t="s">
        <v>459</v>
      </c>
      <c r="K163" t="s">
        <v>445</v>
      </c>
      <c r="L163">
        <v>0</v>
      </c>
      <c r="M163">
        <v>26095021.050000001</v>
      </c>
      <c r="N163">
        <v>366020.8</v>
      </c>
      <c r="O163">
        <v>18683.849999999999</v>
      </c>
      <c r="P163">
        <v>65591.45</v>
      </c>
      <c r="Q163">
        <v>0</v>
      </c>
      <c r="R163">
        <v>0</v>
      </c>
      <c r="S163">
        <v>1889.8600000000001</v>
      </c>
      <c r="T163">
        <v>17476172.859999999</v>
      </c>
      <c r="U163">
        <v>0</v>
      </c>
      <c r="V163">
        <v>194000000</v>
      </c>
      <c r="W163">
        <v>0</v>
      </c>
      <c r="X163" t="s">
        <v>78</v>
      </c>
      <c r="Y163" s="16">
        <v>44385.347971643518</v>
      </c>
      <c r="Z163" s="17" t="str">
        <f>_xlfn.XLOOKUP(Table1[[#This Row],[Phase]],'Lookup tables'!$Y$27:$Y$60,'Lookup tables'!$Z$27:$Z$60,"Not Updated")</f>
        <v>Bid Prep</v>
      </c>
      <c r="AA163" s="17" t="s">
        <v>654</v>
      </c>
      <c r="AB163">
        <v>0</v>
      </c>
      <c r="AC163">
        <v>0</v>
      </c>
      <c r="AD163">
        <v>0</v>
      </c>
      <c r="AE163">
        <v>0</v>
      </c>
      <c r="AF163">
        <v>0</v>
      </c>
      <c r="AG163">
        <v>0</v>
      </c>
      <c r="AH163">
        <v>0</v>
      </c>
      <c r="AI163">
        <v>0</v>
      </c>
      <c r="AJ163">
        <v>0</v>
      </c>
      <c r="AK163">
        <v>0</v>
      </c>
      <c r="AL163">
        <v>0</v>
      </c>
      <c r="AM163">
        <v>0</v>
      </c>
      <c r="AN163">
        <v>0</v>
      </c>
      <c r="AO163">
        <v>0</v>
      </c>
      <c r="AP163">
        <v>0</v>
      </c>
      <c r="AQ163">
        <v>0</v>
      </c>
      <c r="AR163">
        <v>0</v>
      </c>
      <c r="AS163">
        <v>0</v>
      </c>
      <c r="AT163">
        <v>0</v>
      </c>
      <c r="AU163">
        <v>0</v>
      </c>
      <c r="AV163">
        <v>0</v>
      </c>
      <c r="AW163">
        <v>0</v>
      </c>
      <c r="BG163" s="185"/>
      <c r="BH163" s="185"/>
      <c r="BI163" s="185"/>
      <c r="BJ163" s="185"/>
      <c r="BK163" s="185"/>
      <c r="BL163" s="185"/>
      <c r="BM163" s="185"/>
      <c r="BN163" s="185"/>
      <c r="BO163" s="185"/>
      <c r="BP163" s="185"/>
      <c r="BQ163" s="185"/>
      <c r="BR163" s="185"/>
      <c r="BS163" s="185"/>
      <c r="BT163" s="185"/>
      <c r="BU163" t="b">
        <f>IF(_xlfn.MAXIFS(Table1[Sl No],Table1[Category],Table1[[#This Row],[Category]],Table1[Execution Year],Table1[[#This Row],[Execution Year]])=Table1[[#This Row],[Sl No]],TRUE,FALSE)</f>
        <v>0</v>
      </c>
      <c r="BV163" s="201">
        <f>SUM(Table1[[#This Row],[Spend - CAN]:[Spend - Sams]])+SUM(Table1[[#This Row],[Spend - Sams Mexico]:[Spend - Sams China]])+Table1[[#This Row],[Spend - IND]]</f>
        <v>238023379.87</v>
      </c>
      <c r="BW163">
        <f>SUM(Table1[[#This Row],[Savings - CAN]:[Savings - Sams]])+SUM(Table1[[#This Row],[Savings - Sams Mexico]:[Savings - Sams China]])+Table1[[#This Row],[Savings - IND]]</f>
        <v>0</v>
      </c>
      <c r="BX163">
        <f>SUM(Table1[[#This Row],[Spend - CAN]:[Spend - SAF]])+SUM(Table1[[#This Row],[Spend - Sams Mexico]:[Spend - Sams China]])+Table1[[#This Row],[Spend - IND]]</f>
        <v>44023379.870000005</v>
      </c>
      <c r="BY163">
        <f>SUM(Table1[[#This Row],[Savings - CAN]:[Savings - SAF]])+SUM(Table1[[#This Row],[Savings - Sams Mexico]:[Savings - Sams China]])+Table1[[#This Row],[Savings - IND]]</f>
        <v>0</v>
      </c>
      <c r="BZ163">
        <f>SUM(Table1[[#This Row],[Spend - US]:[Spend - Sams]])</f>
        <v>194000000</v>
      </c>
      <c r="CA163">
        <f>SUM(Table1[[#This Row],[Savings - US]:[Savings - Sams]])</f>
        <v>0</v>
      </c>
      <c r="CB163">
        <f>SUM(Table1[[#This Row],[Cost Avoidance - CAN2]:[Cost Avoidance - SAF10]])+SUM(Table1[[#This Row],[Cost Avoidance - Sams Mexico]:[Cost Avoidance - Sams China]])+Table1[[#This Row],[Cost Avoidance - IND]]</f>
        <v>0</v>
      </c>
      <c r="CC163">
        <f>SUM(Table1[[#This Row],[Cost Avoidance - US11]:[Cost Avoidance - Sams12]])</f>
        <v>0</v>
      </c>
      <c r="CD163">
        <f>_xlfn.XLOOKUP(Table1[[#This Row],[Status]],Status_Lookups[Status],Status_Lookups[Value],"")</f>
        <v>0.3</v>
      </c>
    </row>
    <row r="164" spans="1:82">
      <c r="A164">
        <v>10</v>
      </c>
      <c r="B164" t="s">
        <v>461</v>
      </c>
      <c r="C164" t="s">
        <v>43</v>
      </c>
      <c r="D164" t="s">
        <v>39</v>
      </c>
      <c r="E164" s="15">
        <v>44409</v>
      </c>
      <c r="F164" s="15">
        <v>44501</v>
      </c>
      <c r="G164" s="15">
        <v>0</v>
      </c>
      <c r="H164" s="15">
        <v>0</v>
      </c>
      <c r="I164" t="s">
        <v>484</v>
      </c>
      <c r="J164" t="s">
        <v>459</v>
      </c>
      <c r="K164" t="s">
        <v>462</v>
      </c>
      <c r="L164">
        <v>0</v>
      </c>
      <c r="M164">
        <v>26095021.050000001</v>
      </c>
      <c r="N164">
        <v>366020.8</v>
      </c>
      <c r="O164">
        <v>18683.849999999999</v>
      </c>
      <c r="P164">
        <v>65591.45</v>
      </c>
      <c r="Q164">
        <v>0</v>
      </c>
      <c r="R164">
        <v>0</v>
      </c>
      <c r="S164">
        <v>1889.8600000000001</v>
      </c>
      <c r="T164">
        <v>17476172.859999999</v>
      </c>
      <c r="U164">
        <v>0</v>
      </c>
      <c r="V164">
        <v>194000000</v>
      </c>
      <c r="W164">
        <v>0</v>
      </c>
      <c r="X164" t="s">
        <v>445</v>
      </c>
      <c r="Y164" s="16">
        <v>44389.565438194448</v>
      </c>
      <c r="Z164" s="17" t="str">
        <f>_xlfn.XLOOKUP(Table1[[#This Row],[Phase]],'Lookup tables'!$Y$27:$Y$60,'Lookup tables'!$Z$27:$Z$60,"Not Updated")</f>
        <v>Bid Prep</v>
      </c>
      <c r="AA164" s="17" t="s">
        <v>654</v>
      </c>
      <c r="AB164">
        <v>0</v>
      </c>
      <c r="AC164">
        <v>0</v>
      </c>
      <c r="AD164">
        <v>0</v>
      </c>
      <c r="AE164">
        <v>0</v>
      </c>
      <c r="AF164">
        <v>0</v>
      </c>
      <c r="AG164">
        <v>0</v>
      </c>
      <c r="AH164">
        <v>0</v>
      </c>
      <c r="AI164">
        <v>0</v>
      </c>
      <c r="AJ164">
        <v>0</v>
      </c>
      <c r="AK164">
        <v>0</v>
      </c>
      <c r="AL164">
        <v>0</v>
      </c>
      <c r="AM164">
        <v>0</v>
      </c>
      <c r="AN164">
        <v>0</v>
      </c>
      <c r="AO164">
        <v>0</v>
      </c>
      <c r="AP164">
        <v>0</v>
      </c>
      <c r="AQ164">
        <v>0</v>
      </c>
      <c r="AR164">
        <v>0</v>
      </c>
      <c r="AS164">
        <v>0</v>
      </c>
      <c r="AT164">
        <v>0</v>
      </c>
      <c r="AU164">
        <v>0</v>
      </c>
      <c r="AV164">
        <v>0</v>
      </c>
      <c r="AW164">
        <v>0</v>
      </c>
      <c r="BG164" s="185"/>
      <c r="BH164" s="185"/>
      <c r="BI164" s="185"/>
      <c r="BJ164" s="185"/>
      <c r="BK164" s="185"/>
      <c r="BL164" s="185"/>
      <c r="BM164" s="185"/>
      <c r="BN164" s="185"/>
      <c r="BO164" s="185"/>
      <c r="BP164" s="185"/>
      <c r="BQ164" s="185"/>
      <c r="BR164" s="185"/>
      <c r="BS164" s="185"/>
      <c r="BT164" s="185"/>
      <c r="BU164" t="b">
        <f>IF(_xlfn.MAXIFS(Table1[Sl No],Table1[Category],Table1[[#This Row],[Category]],Table1[Execution Year],Table1[[#This Row],[Execution Year]])=Table1[[#This Row],[Sl No]],TRUE,FALSE)</f>
        <v>0</v>
      </c>
      <c r="BV164" s="201">
        <f>SUM(Table1[[#This Row],[Spend - CAN]:[Spend - Sams]])+SUM(Table1[[#This Row],[Spend - Sams Mexico]:[Spend - Sams China]])+Table1[[#This Row],[Spend - IND]]</f>
        <v>238023379.87</v>
      </c>
      <c r="BW164">
        <f>SUM(Table1[[#This Row],[Savings - CAN]:[Savings - Sams]])+SUM(Table1[[#This Row],[Savings - Sams Mexico]:[Savings - Sams China]])+Table1[[#This Row],[Savings - IND]]</f>
        <v>0</v>
      </c>
      <c r="BX164">
        <f>SUM(Table1[[#This Row],[Spend - CAN]:[Spend - SAF]])+SUM(Table1[[#This Row],[Spend - Sams Mexico]:[Spend - Sams China]])+Table1[[#This Row],[Spend - IND]]</f>
        <v>44023379.870000005</v>
      </c>
      <c r="BY164">
        <f>SUM(Table1[[#This Row],[Savings - CAN]:[Savings - SAF]])+SUM(Table1[[#This Row],[Savings - Sams Mexico]:[Savings - Sams China]])+Table1[[#This Row],[Savings - IND]]</f>
        <v>0</v>
      </c>
      <c r="BZ164">
        <f>SUM(Table1[[#This Row],[Spend - US]:[Spend - Sams]])</f>
        <v>194000000</v>
      </c>
      <c r="CA164">
        <f>SUM(Table1[[#This Row],[Savings - US]:[Savings - Sams]])</f>
        <v>0</v>
      </c>
      <c r="CB164">
        <f>SUM(Table1[[#This Row],[Cost Avoidance - CAN2]:[Cost Avoidance - SAF10]])+SUM(Table1[[#This Row],[Cost Avoidance - Sams Mexico]:[Cost Avoidance - Sams China]])+Table1[[#This Row],[Cost Avoidance - IND]]</f>
        <v>0</v>
      </c>
      <c r="CC164">
        <f>SUM(Table1[[#This Row],[Cost Avoidance - US11]:[Cost Avoidance - Sams12]])</f>
        <v>0</v>
      </c>
      <c r="CD164">
        <f>_xlfn.XLOOKUP(Table1[[#This Row],[Status]],Status_Lookups[Status],Status_Lookups[Value],"")</f>
        <v>0.3</v>
      </c>
    </row>
    <row r="165" spans="1:82">
      <c r="A165">
        <v>11</v>
      </c>
      <c r="B165" t="s">
        <v>461</v>
      </c>
      <c r="C165" t="s">
        <v>43</v>
      </c>
      <c r="D165" t="s">
        <v>39</v>
      </c>
      <c r="E165" s="15">
        <v>44440</v>
      </c>
      <c r="F165" s="15">
        <v>44531</v>
      </c>
      <c r="G165" s="15">
        <v>0</v>
      </c>
      <c r="H165" s="15">
        <v>0</v>
      </c>
      <c r="I165" t="s">
        <v>484</v>
      </c>
      <c r="J165" t="s">
        <v>459</v>
      </c>
      <c r="K165" t="s">
        <v>462</v>
      </c>
      <c r="L165">
        <v>0</v>
      </c>
      <c r="M165">
        <v>26095021.050000001</v>
      </c>
      <c r="N165">
        <v>366020.8</v>
      </c>
      <c r="O165">
        <v>18683.849999999999</v>
      </c>
      <c r="P165">
        <v>0</v>
      </c>
      <c r="Q165">
        <v>0</v>
      </c>
      <c r="R165">
        <v>0</v>
      </c>
      <c r="S165">
        <v>0</v>
      </c>
      <c r="T165">
        <v>0</v>
      </c>
      <c r="U165">
        <v>0</v>
      </c>
      <c r="V165">
        <v>194000000</v>
      </c>
      <c r="W165">
        <v>0</v>
      </c>
      <c r="X165" t="s">
        <v>78</v>
      </c>
      <c r="Y165" s="16">
        <v>44414.38487303241</v>
      </c>
      <c r="Z165" s="17" t="str">
        <f>_xlfn.XLOOKUP(Table1[[#This Row],[Phase]],'Lookup tables'!$Y$27:$Y$60,'Lookup tables'!$Z$27:$Z$60,"Not Updated")</f>
        <v>Bid Prep</v>
      </c>
      <c r="AA165" s="17" t="s">
        <v>654</v>
      </c>
      <c r="AB165">
        <v>0</v>
      </c>
      <c r="AC165">
        <v>0</v>
      </c>
      <c r="AD165">
        <v>0</v>
      </c>
      <c r="AE165">
        <v>0</v>
      </c>
      <c r="AF165">
        <v>0</v>
      </c>
      <c r="AG165">
        <v>0</v>
      </c>
      <c r="AH165">
        <v>0</v>
      </c>
      <c r="AI165">
        <v>0</v>
      </c>
      <c r="AJ165">
        <v>0</v>
      </c>
      <c r="AK165">
        <v>0</v>
      </c>
      <c r="AL165">
        <v>0</v>
      </c>
      <c r="AM165">
        <v>0</v>
      </c>
      <c r="AN165">
        <v>0</v>
      </c>
      <c r="AO165">
        <v>0</v>
      </c>
      <c r="AP165">
        <v>0</v>
      </c>
      <c r="AQ165">
        <v>0</v>
      </c>
      <c r="AR165">
        <v>0</v>
      </c>
      <c r="AS165">
        <v>0</v>
      </c>
      <c r="AT165">
        <v>0</v>
      </c>
      <c r="AU165">
        <v>0</v>
      </c>
      <c r="AV165">
        <v>0</v>
      </c>
      <c r="AW165">
        <v>0</v>
      </c>
      <c r="BG165" s="185"/>
      <c r="BH165" s="185"/>
      <c r="BI165" s="185"/>
      <c r="BJ165" s="185"/>
      <c r="BK165" s="185"/>
      <c r="BL165" s="185"/>
      <c r="BM165" s="185"/>
      <c r="BN165" s="185"/>
      <c r="BO165" s="185"/>
      <c r="BP165" s="185"/>
      <c r="BQ165" s="185"/>
      <c r="BR165" s="185"/>
      <c r="BS165" s="185"/>
      <c r="BT165" s="185"/>
      <c r="BU165" t="b">
        <f>IF(_xlfn.MAXIFS(Table1[Sl No],Table1[Category],Table1[[#This Row],[Category]],Table1[Execution Year],Table1[[#This Row],[Execution Year]])=Table1[[#This Row],[Sl No]],TRUE,FALSE)</f>
        <v>0</v>
      </c>
      <c r="BV165" s="201">
        <f>SUM(Table1[[#This Row],[Spend - CAN]:[Spend - Sams]])+SUM(Table1[[#This Row],[Spend - Sams Mexico]:[Spend - Sams China]])+Table1[[#This Row],[Spend - IND]]</f>
        <v>220479725.69999999</v>
      </c>
      <c r="BW165">
        <f>SUM(Table1[[#This Row],[Savings - CAN]:[Savings - Sams]])+SUM(Table1[[#This Row],[Savings - Sams Mexico]:[Savings - Sams China]])+Table1[[#This Row],[Savings - IND]]</f>
        <v>0</v>
      </c>
      <c r="BX165">
        <f>SUM(Table1[[#This Row],[Spend - CAN]:[Spend - SAF]])+SUM(Table1[[#This Row],[Spend - Sams Mexico]:[Spend - Sams China]])+Table1[[#This Row],[Spend - IND]]</f>
        <v>26479725.700000003</v>
      </c>
      <c r="BY165">
        <f>SUM(Table1[[#This Row],[Savings - CAN]:[Savings - SAF]])+SUM(Table1[[#This Row],[Savings - Sams Mexico]:[Savings - Sams China]])+Table1[[#This Row],[Savings - IND]]</f>
        <v>0</v>
      </c>
      <c r="BZ165">
        <f>SUM(Table1[[#This Row],[Spend - US]:[Spend - Sams]])</f>
        <v>194000000</v>
      </c>
      <c r="CA165">
        <f>SUM(Table1[[#This Row],[Savings - US]:[Savings - Sams]])</f>
        <v>0</v>
      </c>
      <c r="CB165">
        <f>SUM(Table1[[#This Row],[Cost Avoidance - CAN2]:[Cost Avoidance - SAF10]])+SUM(Table1[[#This Row],[Cost Avoidance - Sams Mexico]:[Cost Avoidance - Sams China]])+Table1[[#This Row],[Cost Avoidance - IND]]</f>
        <v>0</v>
      </c>
      <c r="CC165">
        <f>SUM(Table1[[#This Row],[Cost Avoidance - US11]:[Cost Avoidance - Sams12]])</f>
        <v>0</v>
      </c>
      <c r="CD165">
        <f>_xlfn.XLOOKUP(Table1[[#This Row],[Status]],Status_Lookups[Status],Status_Lookups[Value],"")</f>
        <v>0.3</v>
      </c>
    </row>
    <row r="166" spans="1:82">
      <c r="A166">
        <v>12</v>
      </c>
      <c r="B166" t="s">
        <v>461</v>
      </c>
      <c r="C166" t="s">
        <v>43</v>
      </c>
      <c r="D166" t="s">
        <v>39</v>
      </c>
      <c r="E166" s="15">
        <v>44440</v>
      </c>
      <c r="F166" s="15">
        <v>44592</v>
      </c>
      <c r="G166" s="15">
        <v>0</v>
      </c>
      <c r="H166" s="15">
        <v>0</v>
      </c>
      <c r="I166" t="s">
        <v>484</v>
      </c>
      <c r="J166" t="s">
        <v>459</v>
      </c>
      <c r="K166" t="s">
        <v>462</v>
      </c>
      <c r="L166">
        <v>0</v>
      </c>
      <c r="M166">
        <v>26095021.050000001</v>
      </c>
      <c r="N166">
        <v>366020.8</v>
      </c>
      <c r="O166">
        <v>18683.849999999999</v>
      </c>
      <c r="P166">
        <v>0</v>
      </c>
      <c r="Q166">
        <v>0</v>
      </c>
      <c r="R166">
        <v>0</v>
      </c>
      <c r="S166">
        <v>0</v>
      </c>
      <c r="T166">
        <v>0</v>
      </c>
      <c r="U166">
        <v>0</v>
      </c>
      <c r="V166">
        <v>194000000</v>
      </c>
      <c r="W166">
        <v>0</v>
      </c>
      <c r="X166" t="s">
        <v>78</v>
      </c>
      <c r="Y166" s="16">
        <v>44459.444700462962</v>
      </c>
      <c r="Z166" s="17" t="str">
        <f>_xlfn.XLOOKUP(Table1[[#This Row],[Phase]],'Lookup tables'!$Y$27:$Y$60,'Lookup tables'!$Z$27:$Z$60,"Not Updated")</f>
        <v>Bid Prep</v>
      </c>
      <c r="AA166" s="17" t="s">
        <v>654</v>
      </c>
      <c r="AB166">
        <v>0</v>
      </c>
      <c r="AC166">
        <v>0</v>
      </c>
      <c r="AD166">
        <v>0</v>
      </c>
      <c r="AE166">
        <v>0</v>
      </c>
      <c r="AF166">
        <v>0</v>
      </c>
      <c r="AG166">
        <v>0</v>
      </c>
      <c r="AH166">
        <v>0</v>
      </c>
      <c r="AI166">
        <v>0</v>
      </c>
      <c r="AJ166">
        <v>0</v>
      </c>
      <c r="AK166">
        <v>0</v>
      </c>
      <c r="AL166">
        <v>0</v>
      </c>
      <c r="AM166">
        <v>0</v>
      </c>
      <c r="AN166">
        <v>0</v>
      </c>
      <c r="AO166">
        <v>0</v>
      </c>
      <c r="AP166">
        <v>0</v>
      </c>
      <c r="AQ166">
        <v>0</v>
      </c>
      <c r="AR166">
        <v>0</v>
      </c>
      <c r="AS166">
        <v>0</v>
      </c>
      <c r="AT166">
        <v>0</v>
      </c>
      <c r="AU166">
        <v>0</v>
      </c>
      <c r="AV166">
        <v>0</v>
      </c>
      <c r="AW166">
        <v>0</v>
      </c>
      <c r="BG166" s="185"/>
      <c r="BH166" s="185"/>
      <c r="BI166" s="185"/>
      <c r="BJ166" s="185"/>
      <c r="BK166" s="185"/>
      <c r="BL166" s="185"/>
      <c r="BM166" s="185"/>
      <c r="BN166" s="185"/>
      <c r="BO166" s="185"/>
      <c r="BP166" s="185"/>
      <c r="BQ166" s="185"/>
      <c r="BR166" s="185"/>
      <c r="BS166" s="185"/>
      <c r="BT166" s="185"/>
      <c r="BU166" t="b">
        <f>IF(_xlfn.MAXIFS(Table1[Sl No],Table1[Category],Table1[[#This Row],[Category]],Table1[Execution Year],Table1[[#This Row],[Execution Year]])=Table1[[#This Row],[Sl No]],TRUE,FALSE)</f>
        <v>0</v>
      </c>
      <c r="BV166" s="201">
        <f>SUM(Table1[[#This Row],[Spend - CAN]:[Spend - Sams]])+SUM(Table1[[#This Row],[Spend - Sams Mexico]:[Spend - Sams China]])+Table1[[#This Row],[Spend - IND]]</f>
        <v>220479725.69999999</v>
      </c>
      <c r="BW166">
        <f>SUM(Table1[[#This Row],[Savings - CAN]:[Savings - Sams]])+SUM(Table1[[#This Row],[Savings - Sams Mexico]:[Savings - Sams China]])+Table1[[#This Row],[Savings - IND]]</f>
        <v>0</v>
      </c>
      <c r="BX166">
        <f>SUM(Table1[[#This Row],[Spend - CAN]:[Spend - SAF]])+SUM(Table1[[#This Row],[Spend - Sams Mexico]:[Spend - Sams China]])+Table1[[#This Row],[Spend - IND]]</f>
        <v>26479725.700000003</v>
      </c>
      <c r="BY166">
        <f>SUM(Table1[[#This Row],[Savings - CAN]:[Savings - SAF]])+SUM(Table1[[#This Row],[Savings - Sams Mexico]:[Savings - Sams China]])+Table1[[#This Row],[Savings - IND]]</f>
        <v>0</v>
      </c>
      <c r="BZ166">
        <f>SUM(Table1[[#This Row],[Spend - US]:[Spend - Sams]])</f>
        <v>194000000</v>
      </c>
      <c r="CA166">
        <f>SUM(Table1[[#This Row],[Savings - US]:[Savings - Sams]])</f>
        <v>0</v>
      </c>
      <c r="CB166">
        <f>SUM(Table1[[#This Row],[Cost Avoidance - CAN2]:[Cost Avoidance - SAF10]])+SUM(Table1[[#This Row],[Cost Avoidance - Sams Mexico]:[Cost Avoidance - Sams China]])+Table1[[#This Row],[Cost Avoidance - IND]]</f>
        <v>0</v>
      </c>
      <c r="CC166">
        <f>SUM(Table1[[#This Row],[Cost Avoidance - US11]:[Cost Avoidance - Sams12]])</f>
        <v>0</v>
      </c>
      <c r="CD166">
        <f>_xlfn.XLOOKUP(Table1[[#This Row],[Status]],Status_Lookups[Status],Status_Lookups[Value],"")</f>
        <v>0.3</v>
      </c>
    </row>
    <row r="167" spans="1:82">
      <c r="A167">
        <v>13</v>
      </c>
      <c r="B167" t="s">
        <v>461</v>
      </c>
      <c r="C167" t="s">
        <v>43</v>
      </c>
      <c r="D167" t="s">
        <v>39</v>
      </c>
      <c r="E167" s="15">
        <v>44501</v>
      </c>
      <c r="F167" s="15">
        <v>44592</v>
      </c>
      <c r="G167" s="15">
        <v>0</v>
      </c>
      <c r="H167" s="15">
        <v>0</v>
      </c>
      <c r="I167" t="s">
        <v>484</v>
      </c>
      <c r="J167" t="s">
        <v>459</v>
      </c>
      <c r="K167" t="s">
        <v>462</v>
      </c>
      <c r="L167">
        <v>0</v>
      </c>
      <c r="M167">
        <v>26095021.050000001</v>
      </c>
      <c r="N167">
        <v>366020.8</v>
      </c>
      <c r="O167">
        <v>18683.849999999999</v>
      </c>
      <c r="P167">
        <v>0</v>
      </c>
      <c r="Q167">
        <v>0</v>
      </c>
      <c r="R167">
        <v>0</v>
      </c>
      <c r="S167">
        <v>0</v>
      </c>
      <c r="T167">
        <v>0</v>
      </c>
      <c r="U167">
        <v>0</v>
      </c>
      <c r="V167">
        <v>194000000</v>
      </c>
      <c r="W167">
        <v>0</v>
      </c>
      <c r="X167" t="s">
        <v>78</v>
      </c>
      <c r="Y167" s="16">
        <v>44459.452021874997</v>
      </c>
      <c r="Z167" s="17" t="str">
        <f>_xlfn.XLOOKUP(Table1[[#This Row],[Phase]],'Lookup tables'!$Y$27:$Y$60,'Lookup tables'!$Z$27:$Z$60,"Not Updated")</f>
        <v>Bid Prep</v>
      </c>
      <c r="AA167" s="17" t="s">
        <v>654</v>
      </c>
      <c r="AB167">
        <v>0</v>
      </c>
      <c r="AC167">
        <v>0</v>
      </c>
      <c r="AD167">
        <v>0</v>
      </c>
      <c r="AE167">
        <v>0</v>
      </c>
      <c r="AF167">
        <v>0</v>
      </c>
      <c r="AG167">
        <v>0</v>
      </c>
      <c r="AH167">
        <v>0</v>
      </c>
      <c r="AI167">
        <v>0</v>
      </c>
      <c r="AJ167">
        <v>0</v>
      </c>
      <c r="AK167">
        <v>0</v>
      </c>
      <c r="AL167">
        <v>0</v>
      </c>
      <c r="AM167">
        <v>0</v>
      </c>
      <c r="AN167">
        <v>0</v>
      </c>
      <c r="AO167">
        <v>0</v>
      </c>
      <c r="AP167">
        <v>0</v>
      </c>
      <c r="AQ167">
        <v>0</v>
      </c>
      <c r="AR167">
        <v>0</v>
      </c>
      <c r="AS167">
        <v>0</v>
      </c>
      <c r="AT167">
        <v>0</v>
      </c>
      <c r="AU167">
        <v>0</v>
      </c>
      <c r="AV167">
        <v>0</v>
      </c>
      <c r="AW167">
        <v>0</v>
      </c>
      <c r="BG167" s="185"/>
      <c r="BH167" s="185"/>
      <c r="BI167" s="185"/>
      <c r="BJ167" s="185"/>
      <c r="BK167" s="185"/>
      <c r="BL167" s="185"/>
      <c r="BM167" s="185"/>
      <c r="BN167" s="185"/>
      <c r="BO167" s="185"/>
      <c r="BP167" s="185"/>
      <c r="BQ167" s="185"/>
      <c r="BR167" s="185"/>
      <c r="BS167" s="185"/>
      <c r="BT167" s="185"/>
      <c r="BU167" t="b">
        <f>IF(_xlfn.MAXIFS(Table1[Sl No],Table1[Category],Table1[[#This Row],[Category]],Table1[Execution Year],Table1[[#This Row],[Execution Year]])=Table1[[#This Row],[Sl No]],TRUE,FALSE)</f>
        <v>0</v>
      </c>
      <c r="BV167" s="201">
        <f>SUM(Table1[[#This Row],[Spend - CAN]:[Spend - Sams]])+SUM(Table1[[#This Row],[Spend - Sams Mexico]:[Spend - Sams China]])+Table1[[#This Row],[Spend - IND]]</f>
        <v>220479725.69999999</v>
      </c>
      <c r="BW167">
        <f>SUM(Table1[[#This Row],[Savings - CAN]:[Savings - Sams]])+SUM(Table1[[#This Row],[Savings - Sams Mexico]:[Savings - Sams China]])+Table1[[#This Row],[Savings - IND]]</f>
        <v>0</v>
      </c>
      <c r="BX167">
        <f>SUM(Table1[[#This Row],[Spend - CAN]:[Spend - SAF]])+SUM(Table1[[#This Row],[Spend - Sams Mexico]:[Spend - Sams China]])+Table1[[#This Row],[Spend - IND]]</f>
        <v>26479725.700000003</v>
      </c>
      <c r="BY167">
        <f>SUM(Table1[[#This Row],[Savings - CAN]:[Savings - SAF]])+SUM(Table1[[#This Row],[Savings - Sams Mexico]:[Savings - Sams China]])+Table1[[#This Row],[Savings - IND]]</f>
        <v>0</v>
      </c>
      <c r="BZ167">
        <f>SUM(Table1[[#This Row],[Spend - US]:[Spend - Sams]])</f>
        <v>194000000</v>
      </c>
      <c r="CA167">
        <f>SUM(Table1[[#This Row],[Savings - US]:[Savings - Sams]])</f>
        <v>0</v>
      </c>
      <c r="CB167">
        <f>SUM(Table1[[#This Row],[Cost Avoidance - CAN2]:[Cost Avoidance - SAF10]])+SUM(Table1[[#This Row],[Cost Avoidance - Sams Mexico]:[Cost Avoidance - Sams China]])+Table1[[#This Row],[Cost Avoidance - IND]]</f>
        <v>0</v>
      </c>
      <c r="CC167">
        <f>SUM(Table1[[#This Row],[Cost Avoidance - US11]:[Cost Avoidance - Sams12]])</f>
        <v>0</v>
      </c>
      <c r="CD167">
        <f>_xlfn.XLOOKUP(Table1[[#This Row],[Status]],Status_Lookups[Status],Status_Lookups[Value],"")</f>
        <v>0.3</v>
      </c>
    </row>
    <row r="168" spans="1:82">
      <c r="A168">
        <v>14</v>
      </c>
      <c r="B168" t="s">
        <v>461</v>
      </c>
      <c r="C168" t="s">
        <v>43</v>
      </c>
      <c r="D168" t="s">
        <v>39</v>
      </c>
      <c r="E168" s="15">
        <v>44531</v>
      </c>
      <c r="F168" s="15">
        <v>44650</v>
      </c>
      <c r="G168" s="15">
        <v>0</v>
      </c>
      <c r="H168" s="15">
        <v>0</v>
      </c>
      <c r="I168" t="s">
        <v>484</v>
      </c>
      <c r="J168" t="s">
        <v>459</v>
      </c>
      <c r="K168" t="s">
        <v>462</v>
      </c>
      <c r="L168">
        <v>0</v>
      </c>
      <c r="M168" t="s">
        <v>523</v>
      </c>
      <c r="N168" t="s">
        <v>523</v>
      </c>
      <c r="O168" t="s">
        <v>523</v>
      </c>
      <c r="P168">
        <v>0</v>
      </c>
      <c r="Q168">
        <v>0</v>
      </c>
      <c r="R168">
        <v>0</v>
      </c>
      <c r="S168">
        <v>0</v>
      </c>
      <c r="T168">
        <v>0</v>
      </c>
      <c r="U168">
        <v>0</v>
      </c>
      <c r="V168" t="s">
        <v>523</v>
      </c>
      <c r="W168">
        <v>0</v>
      </c>
      <c r="X168" t="s">
        <v>78</v>
      </c>
      <c r="Y168" s="16">
        <v>44502.434132175928</v>
      </c>
      <c r="Z168" s="17" t="str">
        <f>_xlfn.XLOOKUP(Table1[[#This Row],[Phase]],'Lookup tables'!$Y$27:$Y$60,'Lookup tables'!$Z$27:$Z$60,"Not Updated")</f>
        <v>Bid Prep</v>
      </c>
      <c r="AA168" s="17" t="s">
        <v>654</v>
      </c>
      <c r="AB168">
        <v>0</v>
      </c>
      <c r="AC168">
        <v>0</v>
      </c>
      <c r="AD168">
        <v>0</v>
      </c>
      <c r="AE168">
        <v>0</v>
      </c>
      <c r="AF168">
        <v>0</v>
      </c>
      <c r="AG168">
        <v>0</v>
      </c>
      <c r="AH168">
        <v>0</v>
      </c>
      <c r="AI168">
        <v>0</v>
      </c>
      <c r="AJ168">
        <v>0</v>
      </c>
      <c r="AK168">
        <v>0</v>
      </c>
      <c r="AL168">
        <v>0</v>
      </c>
      <c r="AM168">
        <v>0</v>
      </c>
      <c r="AN168">
        <v>0</v>
      </c>
      <c r="AO168">
        <v>0</v>
      </c>
      <c r="AP168">
        <v>0</v>
      </c>
      <c r="AQ168">
        <v>0</v>
      </c>
      <c r="AR168">
        <v>0</v>
      </c>
      <c r="AS168">
        <v>0</v>
      </c>
      <c r="AT168">
        <v>0</v>
      </c>
      <c r="AU168">
        <v>0</v>
      </c>
      <c r="AV168">
        <v>0</v>
      </c>
      <c r="AW168">
        <v>0</v>
      </c>
      <c r="BG168" s="185"/>
      <c r="BH168" s="185"/>
      <c r="BI168" s="185"/>
      <c r="BJ168" s="185"/>
      <c r="BK168" s="185"/>
      <c r="BL168" s="185"/>
      <c r="BM168" s="185"/>
      <c r="BN168" s="185"/>
      <c r="BO168" s="185"/>
      <c r="BP168" s="185"/>
      <c r="BQ168" s="185"/>
      <c r="BR168" s="185"/>
      <c r="BS168" s="185"/>
      <c r="BT168" s="185"/>
      <c r="BU168" t="b">
        <f>IF(_xlfn.MAXIFS(Table1[Sl No],Table1[Category],Table1[[#This Row],[Category]],Table1[Execution Year],Table1[[#This Row],[Execution Year]])=Table1[[#This Row],[Sl No]],TRUE,FALSE)</f>
        <v>0</v>
      </c>
      <c r="BV168" s="201">
        <f>SUM(Table1[[#This Row],[Spend - CAN]:[Spend - Sams]])+SUM(Table1[[#This Row],[Spend - Sams Mexico]:[Spend - Sams China]])+Table1[[#This Row],[Spend - IND]]</f>
        <v>0</v>
      </c>
      <c r="BW168">
        <f>SUM(Table1[[#This Row],[Savings - CAN]:[Savings - Sams]])+SUM(Table1[[#This Row],[Savings - Sams Mexico]:[Savings - Sams China]])+Table1[[#This Row],[Savings - IND]]</f>
        <v>0</v>
      </c>
      <c r="BX168">
        <f>SUM(Table1[[#This Row],[Spend - CAN]:[Spend - SAF]])+SUM(Table1[[#This Row],[Spend - Sams Mexico]:[Spend - Sams China]])+Table1[[#This Row],[Spend - IND]]</f>
        <v>0</v>
      </c>
      <c r="BY168">
        <f>SUM(Table1[[#This Row],[Savings - CAN]:[Savings - SAF]])+SUM(Table1[[#This Row],[Savings - Sams Mexico]:[Savings - Sams China]])+Table1[[#This Row],[Savings - IND]]</f>
        <v>0</v>
      </c>
      <c r="BZ168">
        <f>SUM(Table1[[#This Row],[Spend - US]:[Spend - Sams]])</f>
        <v>0</v>
      </c>
      <c r="CA168">
        <f>SUM(Table1[[#This Row],[Savings - US]:[Savings - Sams]])</f>
        <v>0</v>
      </c>
      <c r="CB168">
        <f>SUM(Table1[[#This Row],[Cost Avoidance - CAN2]:[Cost Avoidance - SAF10]])+SUM(Table1[[#This Row],[Cost Avoidance - Sams Mexico]:[Cost Avoidance - Sams China]])+Table1[[#This Row],[Cost Avoidance - IND]]</f>
        <v>0</v>
      </c>
      <c r="CC168">
        <f>SUM(Table1[[#This Row],[Cost Avoidance - US11]:[Cost Avoidance - Sams12]])</f>
        <v>0</v>
      </c>
      <c r="CD168">
        <f>_xlfn.XLOOKUP(Table1[[#This Row],[Status]],Status_Lookups[Status],Status_Lookups[Value],"")</f>
        <v>0.3</v>
      </c>
    </row>
    <row r="169" spans="1:82">
      <c r="A169">
        <v>15</v>
      </c>
      <c r="B169" t="s">
        <v>461</v>
      </c>
      <c r="C169" t="s">
        <v>43</v>
      </c>
      <c r="D169" t="s">
        <v>39</v>
      </c>
      <c r="E169" s="15">
        <v>44593</v>
      </c>
      <c r="F169" s="15">
        <v>44681</v>
      </c>
      <c r="G169" s="15">
        <v>0</v>
      </c>
      <c r="H169" s="15">
        <v>0</v>
      </c>
      <c r="I169" t="s">
        <v>458</v>
      </c>
      <c r="J169" t="s">
        <v>459</v>
      </c>
      <c r="K169" t="s">
        <v>462</v>
      </c>
      <c r="L169">
        <v>0</v>
      </c>
      <c r="M169" t="s">
        <v>523</v>
      </c>
      <c r="N169" t="s">
        <v>523</v>
      </c>
      <c r="O169" t="s">
        <v>523</v>
      </c>
      <c r="P169">
        <v>0</v>
      </c>
      <c r="Q169">
        <v>0</v>
      </c>
      <c r="R169">
        <v>0</v>
      </c>
      <c r="S169">
        <v>0</v>
      </c>
      <c r="T169">
        <v>0</v>
      </c>
      <c r="U169">
        <v>0</v>
      </c>
      <c r="V169" t="s">
        <v>523</v>
      </c>
      <c r="W169">
        <v>0</v>
      </c>
      <c r="X169" t="s">
        <v>78</v>
      </c>
      <c r="Y169" s="16">
        <v>44517.331464583331</v>
      </c>
      <c r="Z169" s="17" t="str">
        <f>_xlfn.XLOOKUP(Table1[[#This Row],[Phase]],'Lookup tables'!$Y$27:$Y$60,'Lookup tables'!$Z$27:$Z$60,"Not Updated")</f>
        <v>Exploratory</v>
      </c>
      <c r="AA169" s="17" t="s">
        <v>654</v>
      </c>
      <c r="AB169">
        <v>0</v>
      </c>
      <c r="AC169">
        <v>0</v>
      </c>
      <c r="AD169">
        <v>0</v>
      </c>
      <c r="AE169">
        <v>0</v>
      </c>
      <c r="AF169">
        <v>0</v>
      </c>
      <c r="AG169">
        <v>0</v>
      </c>
      <c r="AH169">
        <v>0</v>
      </c>
      <c r="AI169">
        <v>0</v>
      </c>
      <c r="AJ169">
        <v>0</v>
      </c>
      <c r="AK169">
        <v>0</v>
      </c>
      <c r="AL169">
        <v>0</v>
      </c>
      <c r="AM169">
        <v>0</v>
      </c>
      <c r="AN169">
        <v>0</v>
      </c>
      <c r="AO169">
        <v>0</v>
      </c>
      <c r="AP169">
        <v>0</v>
      </c>
      <c r="AQ169">
        <v>0</v>
      </c>
      <c r="AR169">
        <v>0</v>
      </c>
      <c r="AS169">
        <v>0</v>
      </c>
      <c r="AT169">
        <v>0</v>
      </c>
      <c r="AU169">
        <v>0</v>
      </c>
      <c r="AV169">
        <v>0</v>
      </c>
      <c r="AW169">
        <v>0</v>
      </c>
      <c r="BG169" s="185"/>
      <c r="BH169" s="185"/>
      <c r="BI169" s="185"/>
      <c r="BJ169" s="185"/>
      <c r="BK169" s="185"/>
      <c r="BL169" s="185"/>
      <c r="BM169" s="185"/>
      <c r="BN169" s="185"/>
      <c r="BO169" s="185"/>
      <c r="BP169" s="185"/>
      <c r="BQ169" s="185"/>
      <c r="BR169" s="185"/>
      <c r="BS169" s="185"/>
      <c r="BT169" s="185"/>
      <c r="BU169" t="b">
        <f>IF(_xlfn.MAXIFS(Table1[Sl No],Table1[Category],Table1[[#This Row],[Category]],Table1[Execution Year],Table1[[#This Row],[Execution Year]])=Table1[[#This Row],[Sl No]],TRUE,FALSE)</f>
        <v>0</v>
      </c>
      <c r="BV169" s="201">
        <f>SUM(Table1[[#This Row],[Spend - CAN]:[Spend - Sams]])+SUM(Table1[[#This Row],[Spend - Sams Mexico]:[Spend - Sams China]])+Table1[[#This Row],[Spend - IND]]</f>
        <v>0</v>
      </c>
      <c r="BW169">
        <f>SUM(Table1[[#This Row],[Savings - CAN]:[Savings - Sams]])+SUM(Table1[[#This Row],[Savings - Sams Mexico]:[Savings - Sams China]])+Table1[[#This Row],[Savings - IND]]</f>
        <v>0</v>
      </c>
      <c r="BX169">
        <f>SUM(Table1[[#This Row],[Spend - CAN]:[Spend - SAF]])+SUM(Table1[[#This Row],[Spend - Sams Mexico]:[Spend - Sams China]])+Table1[[#This Row],[Spend - IND]]</f>
        <v>0</v>
      </c>
      <c r="BY169">
        <f>SUM(Table1[[#This Row],[Savings - CAN]:[Savings - SAF]])+SUM(Table1[[#This Row],[Savings - Sams Mexico]:[Savings - Sams China]])+Table1[[#This Row],[Savings - IND]]</f>
        <v>0</v>
      </c>
      <c r="BZ169">
        <f>SUM(Table1[[#This Row],[Spend - US]:[Spend - Sams]])</f>
        <v>0</v>
      </c>
      <c r="CA169">
        <f>SUM(Table1[[#This Row],[Savings - US]:[Savings - Sams]])</f>
        <v>0</v>
      </c>
      <c r="CB169">
        <f>SUM(Table1[[#This Row],[Cost Avoidance - CAN2]:[Cost Avoidance - SAF10]])+SUM(Table1[[#This Row],[Cost Avoidance - Sams Mexico]:[Cost Avoidance - Sams China]])+Table1[[#This Row],[Cost Avoidance - IND]]</f>
        <v>0</v>
      </c>
      <c r="CC169">
        <f>SUM(Table1[[#This Row],[Cost Avoidance - US11]:[Cost Avoidance - Sams12]])</f>
        <v>0</v>
      </c>
      <c r="CD169">
        <f>_xlfn.XLOOKUP(Table1[[#This Row],[Status]],Status_Lookups[Status],Status_Lookups[Value],"")</f>
        <v>0.3</v>
      </c>
    </row>
    <row r="170" spans="1:82">
      <c r="A170">
        <v>1</v>
      </c>
      <c r="B170" t="s">
        <v>461</v>
      </c>
      <c r="C170" t="s">
        <v>43</v>
      </c>
      <c r="D170" t="s">
        <v>322</v>
      </c>
      <c r="E170" s="15"/>
      <c r="F170" s="15"/>
      <c r="G170" s="15"/>
      <c r="H170" s="15"/>
      <c r="X170" t="s">
        <v>78</v>
      </c>
      <c r="Y170" s="16">
        <v>44594.715208333335</v>
      </c>
      <c r="Z170" s="17" t="str">
        <f>_xlfn.XLOOKUP(Table1[[#This Row],[Phase]],'Lookup tables'!$Y$27:$Y$60,'Lookup tables'!$Z$27:$Z$60,"Not Updated")</f>
        <v>Not Updated</v>
      </c>
      <c r="AA170" s="17"/>
      <c r="BG170" s="185"/>
      <c r="BH170" s="185"/>
      <c r="BI170" s="185"/>
      <c r="BJ170" s="185"/>
      <c r="BK170" s="185"/>
      <c r="BL170" s="185"/>
      <c r="BM170" s="185"/>
      <c r="BN170" s="185"/>
      <c r="BO170" s="185"/>
      <c r="BP170" s="185"/>
      <c r="BQ170" s="185"/>
      <c r="BR170" s="185"/>
      <c r="BS170" s="185"/>
      <c r="BT170" s="185"/>
      <c r="BU170" t="b">
        <f>IF(_xlfn.MAXIFS(Table1[Sl No],Table1[Category],Table1[[#This Row],[Category]],Table1[Execution Year],Table1[[#This Row],[Execution Year]])=Table1[[#This Row],[Sl No]],TRUE,FALSE)</f>
        <v>0</v>
      </c>
      <c r="BV170" s="201">
        <f>SUM(Table1[[#This Row],[Spend - CAN]:[Spend - Sams]])+SUM(Table1[[#This Row],[Spend - Sams Mexico]:[Spend - Sams China]])+Table1[[#This Row],[Spend - IND]]</f>
        <v>0</v>
      </c>
      <c r="BW170">
        <f>SUM(Table1[[#This Row],[Savings - CAN]:[Savings - Sams]])+SUM(Table1[[#This Row],[Savings - Sams Mexico]:[Savings - Sams China]])+Table1[[#This Row],[Savings - IND]]</f>
        <v>0</v>
      </c>
      <c r="BX170">
        <f>SUM(Table1[[#This Row],[Spend - CAN]:[Spend - SAF]])+SUM(Table1[[#This Row],[Spend - Sams Mexico]:[Spend - Sams China]])+Table1[[#This Row],[Spend - IND]]</f>
        <v>0</v>
      </c>
      <c r="BY170">
        <f>SUM(Table1[[#This Row],[Savings - CAN]:[Savings - SAF]])+SUM(Table1[[#This Row],[Savings - Sams Mexico]:[Savings - Sams China]])+Table1[[#This Row],[Savings - IND]]</f>
        <v>0</v>
      </c>
      <c r="BZ170">
        <f>SUM(Table1[[#This Row],[Spend - US]:[Spend - Sams]])</f>
        <v>0</v>
      </c>
      <c r="CA170">
        <f>SUM(Table1[[#This Row],[Savings - US]:[Savings - Sams]])</f>
        <v>0</v>
      </c>
      <c r="CB170">
        <f>SUM(Table1[[#This Row],[Cost Avoidance - CAN2]:[Cost Avoidance - SAF10]])+SUM(Table1[[#This Row],[Cost Avoidance - Sams Mexico]:[Cost Avoidance - Sams China]])+Table1[[#This Row],[Cost Avoidance - IND]]</f>
        <v>0</v>
      </c>
      <c r="CC170">
        <f>SUM(Table1[[#This Row],[Cost Avoidance - US11]:[Cost Avoidance - Sams12]])</f>
        <v>0</v>
      </c>
      <c r="CD170" t="str">
        <f>_xlfn.XLOOKUP(Table1[[#This Row],[Status]],Status_Lookups[Status],Status_Lookups[Value],"")</f>
        <v/>
      </c>
    </row>
    <row r="171" spans="1:82">
      <c r="A171">
        <v>2</v>
      </c>
      <c r="B171" t="s">
        <v>461</v>
      </c>
      <c r="C171" t="s">
        <v>43</v>
      </c>
      <c r="D171" t="s">
        <v>322</v>
      </c>
      <c r="E171" s="15">
        <v>44652</v>
      </c>
      <c r="F171" s="15">
        <v>44773</v>
      </c>
      <c r="G171" s="15">
        <v>0</v>
      </c>
      <c r="H171" s="15">
        <v>0</v>
      </c>
      <c r="I171" t="s">
        <v>484</v>
      </c>
      <c r="J171">
        <v>0</v>
      </c>
      <c r="K171">
        <v>0</v>
      </c>
      <c r="L171">
        <v>0</v>
      </c>
      <c r="W171">
        <v>216000000</v>
      </c>
      <c r="X171" t="s">
        <v>78</v>
      </c>
      <c r="Y171" s="16">
        <v>44600.470635763886</v>
      </c>
      <c r="Z171" s="17" t="str">
        <f>_xlfn.XLOOKUP(Table1[[#This Row],[Phase]],'Lookup tables'!$Y$27:$Y$60,'Lookup tables'!$Z$27:$Z$60,"Not Updated")</f>
        <v>Bid Prep</v>
      </c>
      <c r="AA171" s="17">
        <v>0</v>
      </c>
      <c r="AB171">
        <v>0</v>
      </c>
      <c r="AC171">
        <v>0</v>
      </c>
      <c r="AD171">
        <v>0</v>
      </c>
      <c r="AE171">
        <v>0</v>
      </c>
      <c r="AF171">
        <v>0</v>
      </c>
      <c r="AG171">
        <v>0</v>
      </c>
      <c r="AH171">
        <v>0</v>
      </c>
      <c r="AI171">
        <v>0</v>
      </c>
      <c r="AJ171">
        <v>0</v>
      </c>
      <c r="AK171">
        <v>0</v>
      </c>
      <c r="AL171">
        <v>0</v>
      </c>
      <c r="AM171">
        <v>0</v>
      </c>
      <c r="AN171">
        <v>0</v>
      </c>
      <c r="AO171">
        <v>0</v>
      </c>
      <c r="AP171">
        <v>0</v>
      </c>
      <c r="AQ171">
        <v>0</v>
      </c>
      <c r="AR171">
        <v>0</v>
      </c>
      <c r="AS171">
        <v>0</v>
      </c>
      <c r="AT171">
        <v>0</v>
      </c>
      <c r="AU171">
        <v>0</v>
      </c>
      <c r="AV171">
        <v>0</v>
      </c>
      <c r="AW171">
        <v>0</v>
      </c>
      <c r="AX171">
        <v>0</v>
      </c>
      <c r="AY171">
        <v>0</v>
      </c>
      <c r="AZ171">
        <v>0</v>
      </c>
      <c r="BA171">
        <v>0</v>
      </c>
      <c r="BB171">
        <v>0</v>
      </c>
      <c r="BC171">
        <v>0</v>
      </c>
      <c r="BD171">
        <v>0</v>
      </c>
      <c r="BE171">
        <v>0</v>
      </c>
      <c r="BF171">
        <v>0</v>
      </c>
      <c r="BG171" s="185">
        <v>0</v>
      </c>
      <c r="BH171" s="185">
        <v>0</v>
      </c>
      <c r="BI171" s="185">
        <v>0</v>
      </c>
      <c r="BJ171" s="185">
        <v>0</v>
      </c>
      <c r="BK171" s="185">
        <v>0</v>
      </c>
      <c r="BL171" s="185">
        <v>0</v>
      </c>
      <c r="BM171" s="185">
        <v>0</v>
      </c>
      <c r="BN171" s="185">
        <v>0</v>
      </c>
      <c r="BO171" s="185">
        <v>0</v>
      </c>
      <c r="BP171" s="185">
        <v>0</v>
      </c>
      <c r="BQ171" s="185">
        <v>0</v>
      </c>
      <c r="BR171" s="185">
        <v>0</v>
      </c>
      <c r="BS171" s="185">
        <v>0</v>
      </c>
      <c r="BT171" s="185">
        <v>0</v>
      </c>
      <c r="BU171" t="b">
        <f>IF(_xlfn.MAXIFS(Table1[Sl No],Table1[Category],Table1[[#This Row],[Category]],Table1[Execution Year],Table1[[#This Row],[Execution Year]])=Table1[[#This Row],[Sl No]],TRUE,FALSE)</f>
        <v>0</v>
      </c>
      <c r="BV171" s="201">
        <f>SUM(Table1[[#This Row],[Spend - CAN]:[Spend - Sams]])+SUM(Table1[[#This Row],[Spend - Sams Mexico]:[Spend - Sams China]])+Table1[[#This Row],[Spend - IND]]</f>
        <v>216000000</v>
      </c>
      <c r="BW171">
        <f>SUM(Table1[[#This Row],[Savings - CAN]:[Savings - Sams]])+SUM(Table1[[#This Row],[Savings - Sams Mexico]:[Savings - Sams China]])+Table1[[#This Row],[Savings - IND]]</f>
        <v>0</v>
      </c>
      <c r="BX171">
        <f>SUM(Table1[[#This Row],[Spend - CAN]:[Spend - SAF]])+SUM(Table1[[#This Row],[Spend - Sams Mexico]:[Spend - Sams China]])+Table1[[#This Row],[Spend - IND]]</f>
        <v>0</v>
      </c>
      <c r="BY171">
        <f>SUM(Table1[[#This Row],[Savings - CAN]:[Savings - SAF]])+SUM(Table1[[#This Row],[Savings - Sams Mexico]:[Savings - Sams China]])+Table1[[#This Row],[Savings - IND]]</f>
        <v>0</v>
      </c>
      <c r="BZ171">
        <f>SUM(Table1[[#This Row],[Spend - US]:[Spend - Sams]])</f>
        <v>216000000</v>
      </c>
      <c r="CA171">
        <f>SUM(Table1[[#This Row],[Savings - US]:[Savings - Sams]])</f>
        <v>0</v>
      </c>
      <c r="CB171">
        <f>SUM(Table1[[#This Row],[Cost Avoidance - CAN2]:[Cost Avoidance - SAF10]])+SUM(Table1[[#This Row],[Cost Avoidance - Sams Mexico]:[Cost Avoidance - Sams China]])+Table1[[#This Row],[Cost Avoidance - IND]]</f>
        <v>0</v>
      </c>
      <c r="CC171">
        <f>SUM(Table1[[#This Row],[Cost Avoidance - US11]:[Cost Avoidance - Sams12]])</f>
        <v>0</v>
      </c>
      <c r="CD171" t="str">
        <f>_xlfn.XLOOKUP(Table1[[#This Row],[Status]],Status_Lookups[Status],Status_Lookups[Value],"")</f>
        <v/>
      </c>
    </row>
    <row r="172" spans="1:82">
      <c r="A172">
        <v>3</v>
      </c>
      <c r="B172" t="s">
        <v>461</v>
      </c>
      <c r="C172" t="s">
        <v>43</v>
      </c>
      <c r="D172" t="s">
        <v>322</v>
      </c>
      <c r="E172" s="15">
        <v>0</v>
      </c>
      <c r="F172" s="15">
        <v>0</v>
      </c>
      <c r="G172" s="15">
        <v>0</v>
      </c>
      <c r="H172" s="15">
        <v>0</v>
      </c>
      <c r="I172" t="s">
        <v>458</v>
      </c>
      <c r="J172">
        <v>0</v>
      </c>
      <c r="K172">
        <v>0</v>
      </c>
      <c r="L172">
        <v>0</v>
      </c>
      <c r="M172">
        <v>0</v>
      </c>
      <c r="N172">
        <v>0</v>
      </c>
      <c r="O172">
        <v>0</v>
      </c>
      <c r="P172">
        <v>0</v>
      </c>
      <c r="Q172">
        <v>0</v>
      </c>
      <c r="R172">
        <v>0</v>
      </c>
      <c r="S172">
        <v>0</v>
      </c>
      <c r="T172">
        <v>0</v>
      </c>
      <c r="U172">
        <v>0</v>
      </c>
      <c r="V172">
        <v>0</v>
      </c>
      <c r="W172">
        <v>216000000</v>
      </c>
      <c r="X172" t="s">
        <v>78</v>
      </c>
      <c r="Y172" s="16">
        <v>44622.340583680554</v>
      </c>
      <c r="Z172" s="17" t="str">
        <f>_xlfn.XLOOKUP(Table1[[#This Row],[Phase]],'Lookup tables'!$Y$27:$Y$60,'Lookup tables'!$Z$27:$Z$60,"Not Updated")</f>
        <v>Exploratory</v>
      </c>
      <c r="AA172" s="17">
        <v>0</v>
      </c>
      <c r="AB172">
        <v>0</v>
      </c>
      <c r="AC172">
        <v>0</v>
      </c>
      <c r="AD172">
        <v>0</v>
      </c>
      <c r="AE172">
        <v>0</v>
      </c>
      <c r="AF172">
        <v>0</v>
      </c>
      <c r="AG172">
        <v>0</v>
      </c>
      <c r="AH172">
        <v>0</v>
      </c>
      <c r="AI172">
        <v>0</v>
      </c>
      <c r="AJ172">
        <v>0</v>
      </c>
      <c r="AK172">
        <v>0</v>
      </c>
      <c r="AL172">
        <v>0</v>
      </c>
      <c r="AM172">
        <v>0</v>
      </c>
      <c r="AN172">
        <v>0</v>
      </c>
      <c r="AO172">
        <v>0</v>
      </c>
      <c r="AP172">
        <v>0</v>
      </c>
      <c r="AQ172">
        <v>0</v>
      </c>
      <c r="AR172">
        <v>0</v>
      </c>
      <c r="AS172">
        <v>0</v>
      </c>
      <c r="AT172">
        <v>0</v>
      </c>
      <c r="AU172">
        <v>0</v>
      </c>
      <c r="AV172">
        <v>0</v>
      </c>
      <c r="AW172">
        <v>0</v>
      </c>
      <c r="AX172">
        <v>0</v>
      </c>
      <c r="AY172">
        <v>0</v>
      </c>
      <c r="AZ172">
        <v>0</v>
      </c>
      <c r="BA172">
        <v>0</v>
      </c>
      <c r="BB172">
        <v>0</v>
      </c>
      <c r="BC172">
        <v>0</v>
      </c>
      <c r="BD172">
        <v>0</v>
      </c>
      <c r="BE172">
        <v>0</v>
      </c>
      <c r="BF172">
        <v>0</v>
      </c>
      <c r="BG172" s="185">
        <v>0</v>
      </c>
      <c r="BH172" s="185">
        <v>0</v>
      </c>
      <c r="BI172" s="185">
        <v>0</v>
      </c>
      <c r="BJ172" s="185">
        <v>0</v>
      </c>
      <c r="BK172" s="185">
        <v>0</v>
      </c>
      <c r="BL172" s="185">
        <v>0</v>
      </c>
      <c r="BM172" s="185">
        <v>0</v>
      </c>
      <c r="BN172" s="185">
        <v>0</v>
      </c>
      <c r="BO172" s="185">
        <v>0</v>
      </c>
      <c r="BP172" s="185">
        <v>0</v>
      </c>
      <c r="BQ172" s="185">
        <v>0</v>
      </c>
      <c r="BR172" s="185">
        <v>0</v>
      </c>
      <c r="BS172" s="185">
        <v>0</v>
      </c>
      <c r="BT172" s="185">
        <v>0</v>
      </c>
      <c r="BU172" t="b">
        <f>IF(_xlfn.MAXIFS(Table1[Sl No],Table1[Category],Table1[[#This Row],[Category]],Table1[Execution Year],Table1[[#This Row],[Execution Year]])=Table1[[#This Row],[Sl No]],TRUE,FALSE)</f>
        <v>0</v>
      </c>
      <c r="BV172" s="201">
        <f>SUM(Table1[[#This Row],[Spend - CAN]:[Spend - Sams]])+SUM(Table1[[#This Row],[Spend - Sams Mexico]:[Spend - Sams China]])+Table1[[#This Row],[Spend - IND]]</f>
        <v>216000000</v>
      </c>
      <c r="BW172">
        <f>SUM(Table1[[#This Row],[Savings - CAN]:[Savings - Sams]])+SUM(Table1[[#This Row],[Savings - Sams Mexico]:[Savings - Sams China]])+Table1[[#This Row],[Savings - IND]]</f>
        <v>0</v>
      </c>
      <c r="BX172">
        <f>SUM(Table1[[#This Row],[Spend - CAN]:[Spend - SAF]])+SUM(Table1[[#This Row],[Spend - Sams Mexico]:[Spend - Sams China]])+Table1[[#This Row],[Spend - IND]]</f>
        <v>0</v>
      </c>
      <c r="BY172">
        <f>SUM(Table1[[#This Row],[Savings - CAN]:[Savings - SAF]])+SUM(Table1[[#This Row],[Savings - Sams Mexico]:[Savings - Sams China]])+Table1[[#This Row],[Savings - IND]]</f>
        <v>0</v>
      </c>
      <c r="BZ172">
        <f>SUM(Table1[[#This Row],[Spend - US]:[Spend - Sams]])</f>
        <v>216000000</v>
      </c>
      <c r="CA172">
        <f>SUM(Table1[[#This Row],[Savings - US]:[Savings - Sams]])</f>
        <v>0</v>
      </c>
      <c r="CB172">
        <f>SUM(Table1[[#This Row],[Cost Avoidance - CAN2]:[Cost Avoidance - SAF10]])+SUM(Table1[[#This Row],[Cost Avoidance - Sams Mexico]:[Cost Avoidance - Sams China]])+Table1[[#This Row],[Cost Avoidance - IND]]</f>
        <v>0</v>
      </c>
      <c r="CC172">
        <f>SUM(Table1[[#This Row],[Cost Avoidance - US11]:[Cost Avoidance - Sams12]])</f>
        <v>0</v>
      </c>
      <c r="CD172" t="str">
        <f>_xlfn.XLOOKUP(Table1[[#This Row],[Status]],Status_Lookups[Status],Status_Lookups[Value],"")</f>
        <v/>
      </c>
    </row>
    <row r="173" spans="1:82">
      <c r="A173">
        <v>16</v>
      </c>
      <c r="B173" t="s">
        <v>461</v>
      </c>
      <c r="C173" t="s">
        <v>43</v>
      </c>
      <c r="D173" t="s">
        <v>39</v>
      </c>
      <c r="E173" s="15">
        <v>0</v>
      </c>
      <c r="F173" s="15">
        <v>0</v>
      </c>
      <c r="G173" s="15">
        <v>0</v>
      </c>
      <c r="H173" s="15">
        <v>0</v>
      </c>
      <c r="I173" t="s">
        <v>449</v>
      </c>
      <c r="J173" t="s">
        <v>444</v>
      </c>
      <c r="K173" t="s">
        <v>462</v>
      </c>
      <c r="L173">
        <v>0</v>
      </c>
      <c r="M173" t="s">
        <v>523</v>
      </c>
      <c r="N173" t="s">
        <v>523</v>
      </c>
      <c r="O173" t="s">
        <v>523</v>
      </c>
      <c r="P173">
        <v>0</v>
      </c>
      <c r="Q173">
        <v>0</v>
      </c>
      <c r="R173">
        <v>0</v>
      </c>
      <c r="S173">
        <v>0</v>
      </c>
      <c r="T173">
        <v>0</v>
      </c>
      <c r="U173">
        <v>0</v>
      </c>
      <c r="V173" t="s">
        <v>523</v>
      </c>
      <c r="W173">
        <v>0</v>
      </c>
      <c r="X173" t="s">
        <v>78</v>
      </c>
      <c r="Y173" s="16">
        <v>44622.341951620372</v>
      </c>
      <c r="Z173" s="17" t="str">
        <f>_xlfn.XLOOKUP(Table1[[#This Row],[Phase]],'Lookup tables'!$Y$27:$Y$60,'Lookup tables'!$Z$27:$Z$60,"Not Updated")</f>
        <v>Cancelled</v>
      </c>
      <c r="AA173" s="17" t="s">
        <v>654</v>
      </c>
      <c r="AB173">
        <v>0</v>
      </c>
      <c r="AC173">
        <v>0</v>
      </c>
      <c r="AD173">
        <v>0</v>
      </c>
      <c r="AE173">
        <v>0</v>
      </c>
      <c r="AF173">
        <v>0</v>
      </c>
      <c r="AG173">
        <v>0</v>
      </c>
      <c r="AH173">
        <v>0</v>
      </c>
      <c r="AI173">
        <v>0</v>
      </c>
      <c r="AJ173">
        <v>0</v>
      </c>
      <c r="AK173">
        <v>0</v>
      </c>
      <c r="AL173">
        <v>0</v>
      </c>
      <c r="AM173">
        <v>0</v>
      </c>
      <c r="AN173">
        <v>0</v>
      </c>
      <c r="AO173">
        <v>0</v>
      </c>
      <c r="AP173">
        <v>0</v>
      </c>
      <c r="AQ173">
        <v>0</v>
      </c>
      <c r="AR173">
        <v>0</v>
      </c>
      <c r="AS173">
        <v>0</v>
      </c>
      <c r="AT173">
        <v>0</v>
      </c>
      <c r="AU173">
        <v>0</v>
      </c>
      <c r="AV173">
        <v>0</v>
      </c>
      <c r="AW173">
        <v>0</v>
      </c>
      <c r="AX173">
        <v>0</v>
      </c>
      <c r="AY173">
        <v>0</v>
      </c>
      <c r="AZ173">
        <v>0</v>
      </c>
      <c r="BA173">
        <v>0</v>
      </c>
      <c r="BB173">
        <v>0</v>
      </c>
      <c r="BC173">
        <v>0</v>
      </c>
      <c r="BD173">
        <v>0</v>
      </c>
      <c r="BE173">
        <v>0</v>
      </c>
      <c r="BF173">
        <v>0</v>
      </c>
      <c r="BG173" s="185">
        <v>0</v>
      </c>
      <c r="BH173" s="185">
        <v>0</v>
      </c>
      <c r="BI173" s="185">
        <v>0</v>
      </c>
      <c r="BJ173" s="185">
        <v>0</v>
      </c>
      <c r="BK173" s="185">
        <v>0</v>
      </c>
      <c r="BL173" s="185">
        <v>0</v>
      </c>
      <c r="BM173" s="185">
        <v>0</v>
      </c>
      <c r="BN173" s="185">
        <v>0</v>
      </c>
      <c r="BO173" s="185">
        <v>0</v>
      </c>
      <c r="BP173" s="185">
        <v>0</v>
      </c>
      <c r="BQ173" s="185">
        <v>0</v>
      </c>
      <c r="BR173" s="185">
        <v>0</v>
      </c>
      <c r="BS173" s="185">
        <v>0</v>
      </c>
      <c r="BT173" s="185">
        <v>0</v>
      </c>
      <c r="BU173" t="b">
        <f>IF(_xlfn.MAXIFS(Table1[Sl No],Table1[Category],Table1[[#This Row],[Category]],Table1[Execution Year],Table1[[#This Row],[Execution Year]])=Table1[[#This Row],[Sl No]],TRUE,FALSE)</f>
        <v>1</v>
      </c>
      <c r="BV173" s="201">
        <f>SUM(Table1[[#This Row],[Spend - CAN]:[Spend - Sams]])+SUM(Table1[[#This Row],[Spend - Sams Mexico]:[Spend - Sams China]])+Table1[[#This Row],[Spend - IND]]</f>
        <v>0</v>
      </c>
      <c r="BW173">
        <f>SUM(Table1[[#This Row],[Savings - CAN]:[Savings - Sams]])+SUM(Table1[[#This Row],[Savings - Sams Mexico]:[Savings - Sams China]])+Table1[[#This Row],[Savings - IND]]</f>
        <v>0</v>
      </c>
      <c r="BX173">
        <f>SUM(Table1[[#This Row],[Spend - CAN]:[Spend - SAF]])+SUM(Table1[[#This Row],[Spend - Sams Mexico]:[Spend - Sams China]])+Table1[[#This Row],[Spend - IND]]</f>
        <v>0</v>
      </c>
      <c r="BY173">
        <f>SUM(Table1[[#This Row],[Savings - CAN]:[Savings - SAF]])+SUM(Table1[[#This Row],[Savings - Sams Mexico]:[Savings - Sams China]])+Table1[[#This Row],[Savings - IND]]</f>
        <v>0</v>
      </c>
      <c r="BZ173">
        <f>SUM(Table1[[#This Row],[Spend - US]:[Spend - Sams]])</f>
        <v>0</v>
      </c>
      <c r="CA173">
        <f>SUM(Table1[[#This Row],[Savings - US]:[Savings - Sams]])</f>
        <v>0</v>
      </c>
      <c r="CB173">
        <f>SUM(Table1[[#This Row],[Cost Avoidance - CAN2]:[Cost Avoidance - SAF10]])+SUM(Table1[[#This Row],[Cost Avoidance - Sams Mexico]:[Cost Avoidance - Sams China]])+Table1[[#This Row],[Cost Avoidance - IND]]</f>
        <v>0</v>
      </c>
      <c r="CC173">
        <f>SUM(Table1[[#This Row],[Cost Avoidance - US11]:[Cost Avoidance - Sams12]])</f>
        <v>0</v>
      </c>
      <c r="CD173">
        <f>_xlfn.XLOOKUP(Table1[[#This Row],[Status]],Status_Lookups[Status],Status_Lookups[Value],"")</f>
        <v>0.2</v>
      </c>
    </row>
    <row r="174" spans="1:82">
      <c r="A174">
        <v>4</v>
      </c>
      <c r="B174" t="s">
        <v>461</v>
      </c>
      <c r="C174" t="s">
        <v>43</v>
      </c>
      <c r="D174" t="s">
        <v>322</v>
      </c>
      <c r="E174" s="15">
        <v>44835</v>
      </c>
      <c r="F174" s="15">
        <v>44926</v>
      </c>
      <c r="G174" s="15">
        <v>0</v>
      </c>
      <c r="H174" s="15">
        <v>0</v>
      </c>
      <c r="I174" t="s">
        <v>458</v>
      </c>
      <c r="J174">
        <v>0</v>
      </c>
      <c r="K174">
        <v>0</v>
      </c>
      <c r="L174">
        <v>0</v>
      </c>
      <c r="M174">
        <v>0</v>
      </c>
      <c r="N174">
        <v>0</v>
      </c>
      <c r="O174">
        <v>0</v>
      </c>
      <c r="P174">
        <v>0</v>
      </c>
      <c r="Q174">
        <v>0</v>
      </c>
      <c r="R174">
        <v>0</v>
      </c>
      <c r="S174">
        <v>0</v>
      </c>
      <c r="T174">
        <v>0</v>
      </c>
      <c r="U174">
        <v>0</v>
      </c>
      <c r="V174">
        <v>0</v>
      </c>
      <c r="W174">
        <v>216000000</v>
      </c>
      <c r="X174" t="s">
        <v>78</v>
      </c>
      <c r="Y174" s="16">
        <v>44677.558470254633</v>
      </c>
      <c r="Z174" s="17" t="str">
        <f>_xlfn.XLOOKUP(Table1[[#This Row],[Phase]],'Lookup tables'!$Y$27:$Y$60,'Lookup tables'!$Z$27:$Z$60,"Not Updated")</f>
        <v>Exploratory</v>
      </c>
      <c r="AA174" s="17">
        <v>0</v>
      </c>
      <c r="AB174">
        <v>0</v>
      </c>
      <c r="AC174">
        <v>0</v>
      </c>
      <c r="AD174">
        <v>0</v>
      </c>
      <c r="AE174">
        <v>0</v>
      </c>
      <c r="AF174">
        <v>0</v>
      </c>
      <c r="AG174">
        <v>0</v>
      </c>
      <c r="AH174">
        <v>0</v>
      </c>
      <c r="AI174">
        <v>0</v>
      </c>
      <c r="AJ174">
        <v>0</v>
      </c>
      <c r="AK174">
        <v>0</v>
      </c>
      <c r="AL174">
        <v>0</v>
      </c>
      <c r="AM174">
        <v>0</v>
      </c>
      <c r="AN174">
        <v>0</v>
      </c>
      <c r="AO174">
        <v>0</v>
      </c>
      <c r="AP174">
        <v>0</v>
      </c>
      <c r="AQ174">
        <v>0</v>
      </c>
      <c r="AR174">
        <v>0</v>
      </c>
      <c r="AS174">
        <v>0</v>
      </c>
      <c r="AT174">
        <v>0</v>
      </c>
      <c r="AU174">
        <v>0</v>
      </c>
      <c r="AV174">
        <v>0</v>
      </c>
      <c r="AW174">
        <v>0</v>
      </c>
      <c r="AX174">
        <v>0</v>
      </c>
      <c r="AY174">
        <v>0</v>
      </c>
      <c r="AZ174">
        <v>0</v>
      </c>
      <c r="BA174">
        <v>0</v>
      </c>
      <c r="BB174">
        <v>0</v>
      </c>
      <c r="BC174">
        <v>0</v>
      </c>
      <c r="BD174">
        <v>0</v>
      </c>
      <c r="BE174">
        <v>0</v>
      </c>
      <c r="BF174">
        <v>0</v>
      </c>
      <c r="BG174" s="185">
        <v>0</v>
      </c>
      <c r="BH174" s="185">
        <v>0</v>
      </c>
      <c r="BI174" s="185">
        <v>0</v>
      </c>
      <c r="BJ174" s="185">
        <v>0</v>
      </c>
      <c r="BK174" s="185">
        <v>0</v>
      </c>
      <c r="BL174" s="185">
        <v>0</v>
      </c>
      <c r="BM174" s="185">
        <v>0</v>
      </c>
      <c r="BN174" s="185">
        <v>0</v>
      </c>
      <c r="BO174" s="185">
        <v>0</v>
      </c>
      <c r="BP174" s="185">
        <v>0</v>
      </c>
      <c r="BQ174" s="185">
        <v>0</v>
      </c>
      <c r="BR174" s="185">
        <v>0</v>
      </c>
      <c r="BS174" s="185">
        <v>0</v>
      </c>
      <c r="BT174" s="185">
        <v>0</v>
      </c>
      <c r="BU174" t="b">
        <f>IF(_xlfn.MAXIFS(Table1[Sl No],Table1[Category],Table1[[#This Row],[Category]],Table1[Execution Year],Table1[[#This Row],[Execution Year]])=Table1[[#This Row],[Sl No]],TRUE,FALSE)</f>
        <v>1</v>
      </c>
      <c r="BV174" s="201">
        <f>SUM(Table1[[#This Row],[Spend - CAN]:[Spend - Sams]])+SUM(Table1[[#This Row],[Spend - Sams Mexico]:[Spend - Sams China]])+Table1[[#This Row],[Spend - IND]]</f>
        <v>216000000</v>
      </c>
      <c r="BW174">
        <f>SUM(Table1[[#This Row],[Savings - CAN]:[Savings - Sams]])+SUM(Table1[[#This Row],[Savings - Sams Mexico]:[Savings - Sams China]])+Table1[[#This Row],[Savings - IND]]</f>
        <v>0</v>
      </c>
      <c r="BX174">
        <f>SUM(Table1[[#This Row],[Spend - CAN]:[Spend - SAF]])+SUM(Table1[[#This Row],[Spend - Sams Mexico]:[Spend - Sams China]])+Table1[[#This Row],[Spend - IND]]</f>
        <v>0</v>
      </c>
      <c r="BY174">
        <f>SUM(Table1[[#This Row],[Savings - CAN]:[Savings - SAF]])+SUM(Table1[[#This Row],[Savings - Sams Mexico]:[Savings - Sams China]])+Table1[[#This Row],[Savings - IND]]</f>
        <v>0</v>
      </c>
      <c r="BZ174">
        <f>SUM(Table1[[#This Row],[Spend - US]:[Spend - Sams]])</f>
        <v>216000000</v>
      </c>
      <c r="CA174">
        <f>SUM(Table1[[#This Row],[Savings - US]:[Savings - Sams]])</f>
        <v>0</v>
      </c>
      <c r="CB174">
        <f>SUM(Table1[[#This Row],[Cost Avoidance - CAN2]:[Cost Avoidance - SAF10]])+SUM(Table1[[#This Row],[Cost Avoidance - Sams Mexico]:[Cost Avoidance - Sams China]])+Table1[[#This Row],[Cost Avoidance - IND]]</f>
        <v>0</v>
      </c>
      <c r="CC174">
        <f>SUM(Table1[[#This Row],[Cost Avoidance - US11]:[Cost Avoidance - Sams12]])</f>
        <v>0</v>
      </c>
      <c r="CD174" t="str">
        <f>_xlfn.XLOOKUP(Table1[[#This Row],[Status]],Status_Lookups[Status],Status_Lookups[Value],"")</f>
        <v/>
      </c>
    </row>
    <row r="175" spans="1:82">
      <c r="A175">
        <v>1</v>
      </c>
      <c r="B175" t="s">
        <v>31</v>
      </c>
      <c r="C175" t="s">
        <v>33</v>
      </c>
      <c r="D175" t="s">
        <v>322</v>
      </c>
      <c r="E175" s="15">
        <v>44835</v>
      </c>
      <c r="F175" s="15">
        <v>44925</v>
      </c>
      <c r="G175" s="15"/>
      <c r="H175" s="15"/>
      <c r="I175" t="s">
        <v>135</v>
      </c>
      <c r="J175" t="s">
        <v>459</v>
      </c>
      <c r="K175" t="s">
        <v>514</v>
      </c>
      <c r="X175" t="s">
        <v>47</v>
      </c>
      <c r="Y175" s="16">
        <v>44701.387036342596</v>
      </c>
      <c r="Z175" s="17" t="str">
        <f>_xlfn.XLOOKUP(Table1[[#This Row],[Phase]],'Lookup tables'!$Y$27:$Y$60,'Lookup tables'!$Z$27:$Z$60,"Not Updated")</f>
        <v>Pipeline</v>
      </c>
      <c r="AA175" s="17"/>
      <c r="BG175" s="185"/>
      <c r="BH175" s="185"/>
      <c r="BI175" s="185"/>
      <c r="BJ175" s="185"/>
      <c r="BK175" s="185"/>
      <c r="BL175" s="185"/>
      <c r="BM175" s="185"/>
      <c r="BN175" s="185"/>
      <c r="BO175" s="185"/>
      <c r="BP175" s="185"/>
      <c r="BQ175" s="185"/>
      <c r="BR175" s="185"/>
      <c r="BS175" s="185"/>
      <c r="BT175" s="185"/>
      <c r="BU175" t="b">
        <f>IF(_xlfn.MAXIFS(Table1[Sl No],Table1[Category],Table1[[#This Row],[Category]],Table1[Execution Year],Table1[[#This Row],[Execution Year]])=Table1[[#This Row],[Sl No]],TRUE,FALSE)</f>
        <v>1</v>
      </c>
      <c r="BV175" s="201">
        <f>SUM(Table1[[#This Row],[Spend - CAN]:[Spend - Sams]])+SUM(Table1[[#This Row],[Spend - Sams Mexico]:[Spend - Sams China]])+Table1[[#This Row],[Spend - IND]]</f>
        <v>0</v>
      </c>
      <c r="BW175">
        <f>SUM(Table1[[#This Row],[Savings - CAN]:[Savings - Sams]])+SUM(Table1[[#This Row],[Savings - Sams Mexico]:[Savings - Sams China]])+Table1[[#This Row],[Savings - IND]]</f>
        <v>0</v>
      </c>
      <c r="BX175">
        <f>SUM(Table1[[#This Row],[Spend - CAN]:[Spend - SAF]])+SUM(Table1[[#This Row],[Spend - Sams Mexico]:[Spend - Sams China]])+Table1[[#This Row],[Spend - IND]]</f>
        <v>0</v>
      </c>
      <c r="BY175">
        <f>SUM(Table1[[#This Row],[Savings - CAN]:[Savings - SAF]])+SUM(Table1[[#This Row],[Savings - Sams Mexico]:[Savings - Sams China]])+Table1[[#This Row],[Savings - IND]]</f>
        <v>0</v>
      </c>
      <c r="BZ175">
        <f>SUM(Table1[[#This Row],[Spend - US]:[Spend - Sams]])</f>
        <v>0</v>
      </c>
      <c r="CA175">
        <f>SUM(Table1[[#This Row],[Savings - US]:[Savings - Sams]])</f>
        <v>0</v>
      </c>
      <c r="CB175">
        <f>SUM(Table1[[#This Row],[Cost Avoidance - CAN2]:[Cost Avoidance - SAF10]])+SUM(Table1[[#This Row],[Cost Avoidance - Sams Mexico]:[Cost Avoidance - Sams China]])+Table1[[#This Row],[Cost Avoidance - IND]]</f>
        <v>0</v>
      </c>
      <c r="CC175">
        <f>SUM(Table1[[#This Row],[Cost Avoidance - US11]:[Cost Avoidance - Sams12]])</f>
        <v>0</v>
      </c>
      <c r="CD175">
        <f>_xlfn.XLOOKUP(Table1[[#This Row],[Status]],Status_Lookups[Status],Status_Lookups[Value],"")</f>
        <v>0.3</v>
      </c>
    </row>
    <row r="176" spans="1:82">
      <c r="A176">
        <v>1</v>
      </c>
      <c r="B176" t="s">
        <v>31</v>
      </c>
      <c r="C176" t="s">
        <v>33</v>
      </c>
      <c r="D176" t="s">
        <v>39</v>
      </c>
      <c r="E176" s="15"/>
      <c r="F176" s="15"/>
      <c r="G176" s="15"/>
      <c r="H176" s="15"/>
      <c r="I176" t="s">
        <v>415</v>
      </c>
      <c r="J176" t="s">
        <v>459</v>
      </c>
      <c r="K176" t="s">
        <v>514</v>
      </c>
      <c r="X176" t="s">
        <v>47</v>
      </c>
      <c r="Y176" s="16">
        <v>44701.387036342596</v>
      </c>
      <c r="Z176" s="17" t="str">
        <f>_xlfn.XLOOKUP(Table1[[#This Row],[Phase]],'Lookup tables'!$Y$27:$Y$60,'Lookup tables'!$Z$27:$Z$60,"Not Updated")</f>
        <v>Award</v>
      </c>
      <c r="AA176" s="17"/>
      <c r="BG176" s="185"/>
      <c r="BH176" s="185"/>
      <c r="BI176" s="185"/>
      <c r="BJ176" s="185"/>
      <c r="BK176" s="185"/>
      <c r="BL176" s="185"/>
      <c r="BM176" s="185"/>
      <c r="BN176" s="185"/>
      <c r="BO176" s="185"/>
      <c r="BP176" s="185"/>
      <c r="BQ176" s="185"/>
      <c r="BR176" s="185"/>
      <c r="BS176" s="185"/>
      <c r="BT176" s="185"/>
      <c r="BU176" t="b">
        <f>IF(_xlfn.MAXIFS(Table1[Sl No],Table1[Category],Table1[[#This Row],[Category]],Table1[Execution Year],Table1[[#This Row],[Execution Year]])=Table1[[#This Row],[Sl No]],TRUE,FALSE)</f>
        <v>1</v>
      </c>
      <c r="BV176" s="201">
        <f>SUM(Table1[[#This Row],[Spend - CAN]:[Spend - Sams]])+SUM(Table1[[#This Row],[Spend - Sams Mexico]:[Spend - Sams China]])+Table1[[#This Row],[Spend - IND]]</f>
        <v>0</v>
      </c>
      <c r="BW176">
        <f>SUM(Table1[[#This Row],[Savings - CAN]:[Savings - Sams]])+SUM(Table1[[#This Row],[Savings - Sams Mexico]:[Savings - Sams China]])+Table1[[#This Row],[Savings - IND]]</f>
        <v>0</v>
      </c>
      <c r="BX176">
        <f>SUM(Table1[[#This Row],[Spend - CAN]:[Spend - SAF]])+SUM(Table1[[#This Row],[Spend - Sams Mexico]:[Spend - Sams China]])+Table1[[#This Row],[Spend - IND]]</f>
        <v>0</v>
      </c>
      <c r="BY176">
        <f>SUM(Table1[[#This Row],[Savings - CAN]:[Savings - SAF]])+SUM(Table1[[#This Row],[Savings - Sams Mexico]:[Savings - Sams China]])+Table1[[#This Row],[Savings - IND]]</f>
        <v>0</v>
      </c>
      <c r="BZ176">
        <f>SUM(Table1[[#This Row],[Spend - US]:[Spend - Sams]])</f>
        <v>0</v>
      </c>
      <c r="CA176">
        <f>SUM(Table1[[#This Row],[Savings - US]:[Savings - Sams]])</f>
        <v>0</v>
      </c>
      <c r="CB176">
        <f>SUM(Table1[[#This Row],[Cost Avoidance - CAN2]:[Cost Avoidance - SAF10]])+SUM(Table1[[#This Row],[Cost Avoidance - Sams Mexico]:[Cost Avoidance - Sams China]])+Table1[[#This Row],[Cost Avoidance - IND]]</f>
        <v>0</v>
      </c>
      <c r="CC176">
        <f>SUM(Table1[[#This Row],[Cost Avoidance - US11]:[Cost Avoidance - Sams12]])</f>
        <v>0</v>
      </c>
      <c r="CD176">
        <f>_xlfn.XLOOKUP(Table1[[#This Row],[Status]],Status_Lookups[Status],Status_Lookups[Value],"")</f>
        <v>0.3</v>
      </c>
    </row>
    <row r="177" spans="1:82">
      <c r="A177">
        <v>1</v>
      </c>
      <c r="B177" t="s">
        <v>35</v>
      </c>
      <c r="C177" t="s">
        <v>33</v>
      </c>
      <c r="D177" t="s">
        <v>322</v>
      </c>
      <c r="E177" s="15">
        <v>44652</v>
      </c>
      <c r="F177" s="15">
        <v>44772</v>
      </c>
      <c r="G177" s="15"/>
      <c r="H177" s="15"/>
      <c r="I177" t="s">
        <v>413</v>
      </c>
      <c r="J177" t="s">
        <v>459</v>
      </c>
      <c r="K177" t="s">
        <v>490</v>
      </c>
      <c r="X177" t="s">
        <v>47</v>
      </c>
      <c r="Y177" s="16">
        <v>44701.387036342596</v>
      </c>
      <c r="Z177" s="17" t="str">
        <f>_xlfn.XLOOKUP(Table1[[#This Row],[Phase]],'Lookup tables'!$Y$27:$Y$60,'Lookup tables'!$Z$27:$Z$60,"Not Updated")</f>
        <v>Bid Prep</v>
      </c>
      <c r="AA177" s="17"/>
      <c r="BG177" s="185"/>
      <c r="BH177" s="185"/>
      <c r="BI177" s="185"/>
      <c r="BJ177" s="185"/>
      <c r="BK177" s="185"/>
      <c r="BL177" s="185"/>
      <c r="BM177" s="185"/>
      <c r="BN177" s="185"/>
      <c r="BO177" s="185"/>
      <c r="BP177" s="185"/>
      <c r="BQ177" s="185"/>
      <c r="BR177" s="185"/>
      <c r="BS177" s="185"/>
      <c r="BT177" s="185"/>
      <c r="BU177" t="b">
        <f>IF(_xlfn.MAXIFS(Table1[Sl No],Table1[Category],Table1[[#This Row],[Category]],Table1[Execution Year],Table1[[#This Row],[Execution Year]])=Table1[[#This Row],[Sl No]],TRUE,FALSE)</f>
        <v>0</v>
      </c>
      <c r="BV177" s="201">
        <f>SUM(Table1[[#This Row],[Spend - CAN]:[Spend - Sams]])+SUM(Table1[[#This Row],[Spend - Sams Mexico]:[Spend - Sams China]])+Table1[[#This Row],[Spend - IND]]</f>
        <v>0</v>
      </c>
      <c r="BW177">
        <f>SUM(Table1[[#This Row],[Savings - CAN]:[Savings - Sams]])+SUM(Table1[[#This Row],[Savings - Sams Mexico]:[Savings - Sams China]])+Table1[[#This Row],[Savings - IND]]</f>
        <v>0</v>
      </c>
      <c r="BX177">
        <f>SUM(Table1[[#This Row],[Spend - CAN]:[Spend - SAF]])+SUM(Table1[[#This Row],[Spend - Sams Mexico]:[Spend - Sams China]])+Table1[[#This Row],[Spend - IND]]</f>
        <v>0</v>
      </c>
      <c r="BY177">
        <f>SUM(Table1[[#This Row],[Savings - CAN]:[Savings - SAF]])+SUM(Table1[[#This Row],[Savings - Sams Mexico]:[Savings - Sams China]])+Table1[[#This Row],[Savings - IND]]</f>
        <v>0</v>
      </c>
      <c r="BZ177">
        <f>SUM(Table1[[#This Row],[Spend - US]:[Spend - Sams]])</f>
        <v>0</v>
      </c>
      <c r="CA177">
        <f>SUM(Table1[[#This Row],[Savings - US]:[Savings - Sams]])</f>
        <v>0</v>
      </c>
      <c r="CB177">
        <f>SUM(Table1[[#This Row],[Cost Avoidance - CAN2]:[Cost Avoidance - SAF10]])+SUM(Table1[[#This Row],[Cost Avoidance - Sams Mexico]:[Cost Avoidance - Sams China]])+Table1[[#This Row],[Cost Avoidance - IND]]</f>
        <v>0</v>
      </c>
      <c r="CC177">
        <f>SUM(Table1[[#This Row],[Cost Avoidance - US11]:[Cost Avoidance - Sams12]])</f>
        <v>0</v>
      </c>
      <c r="CD177">
        <f>_xlfn.XLOOKUP(Table1[[#This Row],[Status]],Status_Lookups[Status],Status_Lookups[Value],"")</f>
        <v>0.3</v>
      </c>
    </row>
    <row r="178" spans="1:82">
      <c r="A178">
        <v>2</v>
      </c>
      <c r="B178" t="s">
        <v>35</v>
      </c>
      <c r="C178" t="s">
        <v>33</v>
      </c>
      <c r="D178" t="s">
        <v>322</v>
      </c>
      <c r="E178" s="15">
        <v>44652</v>
      </c>
      <c r="F178" s="15">
        <v>44772</v>
      </c>
      <c r="G178" s="15">
        <v>44742</v>
      </c>
      <c r="H178" s="15">
        <v>44803</v>
      </c>
      <c r="I178" t="s">
        <v>413</v>
      </c>
      <c r="J178" t="s">
        <v>459</v>
      </c>
      <c r="K178" t="s">
        <v>490</v>
      </c>
      <c r="L178" t="s">
        <v>505</v>
      </c>
      <c r="M178">
        <v>0</v>
      </c>
      <c r="N178">
        <v>0</v>
      </c>
      <c r="O178">
        <v>0</v>
      </c>
      <c r="P178">
        <v>0</v>
      </c>
      <c r="Q178">
        <v>0</v>
      </c>
      <c r="R178">
        <v>0</v>
      </c>
      <c r="S178">
        <v>0</v>
      </c>
      <c r="T178">
        <v>0</v>
      </c>
      <c r="U178">
        <v>0</v>
      </c>
      <c r="V178">
        <v>0</v>
      </c>
      <c r="W178">
        <v>0</v>
      </c>
      <c r="X178" t="s">
        <v>490</v>
      </c>
      <c r="Y178" s="16">
        <v>44730.538187152779</v>
      </c>
      <c r="Z178" s="17" t="str">
        <f>_xlfn.XLOOKUP(Table1[[#This Row],[Phase]],'Lookup tables'!$Y$27:$Y$60,'Lookup tables'!$Z$27:$Z$60,"Not Updated")</f>
        <v>Bid Prep</v>
      </c>
      <c r="AA178" s="17">
        <v>0</v>
      </c>
      <c r="AB178">
        <v>0</v>
      </c>
      <c r="AC178">
        <v>0</v>
      </c>
      <c r="AD178">
        <v>0</v>
      </c>
      <c r="AE178">
        <v>0</v>
      </c>
      <c r="AF178">
        <v>0</v>
      </c>
      <c r="AG178">
        <v>0</v>
      </c>
      <c r="AH178">
        <v>0</v>
      </c>
      <c r="AI178">
        <v>0</v>
      </c>
      <c r="AJ178">
        <v>0</v>
      </c>
      <c r="AK178">
        <v>0</v>
      </c>
      <c r="AL178">
        <v>0</v>
      </c>
      <c r="AM178">
        <v>0</v>
      </c>
      <c r="AN178">
        <v>0</v>
      </c>
      <c r="AO178">
        <v>0</v>
      </c>
      <c r="AP178">
        <v>0</v>
      </c>
      <c r="AQ178">
        <v>0</v>
      </c>
      <c r="AR178">
        <v>0</v>
      </c>
      <c r="AS178">
        <v>0</v>
      </c>
      <c r="AT178">
        <v>0</v>
      </c>
      <c r="AU178">
        <v>0</v>
      </c>
      <c r="AV178">
        <v>0</v>
      </c>
      <c r="AW178">
        <v>0</v>
      </c>
      <c r="AX178">
        <v>0</v>
      </c>
      <c r="AY178">
        <v>0</v>
      </c>
      <c r="AZ178">
        <v>0</v>
      </c>
      <c r="BA178">
        <v>0</v>
      </c>
      <c r="BB178">
        <v>0</v>
      </c>
      <c r="BC178">
        <v>0</v>
      </c>
      <c r="BD178">
        <v>0</v>
      </c>
      <c r="BE178">
        <v>0</v>
      </c>
      <c r="BF178">
        <v>0</v>
      </c>
      <c r="BG178" s="185">
        <v>0</v>
      </c>
      <c r="BH178" s="185">
        <v>0</v>
      </c>
      <c r="BI178" s="185">
        <v>0</v>
      </c>
      <c r="BJ178" s="185">
        <v>0</v>
      </c>
      <c r="BK178" s="185">
        <v>0</v>
      </c>
      <c r="BL178" s="185">
        <v>0</v>
      </c>
      <c r="BM178" s="185">
        <v>0</v>
      </c>
      <c r="BN178" s="185">
        <v>0</v>
      </c>
      <c r="BO178" s="185">
        <v>0</v>
      </c>
      <c r="BP178" s="185">
        <v>0</v>
      </c>
      <c r="BQ178" s="185">
        <v>0</v>
      </c>
      <c r="BR178" s="185">
        <v>0</v>
      </c>
      <c r="BS178" s="185">
        <v>0</v>
      </c>
      <c r="BT178" s="185">
        <v>0</v>
      </c>
      <c r="BU178" t="b">
        <f>IF(_xlfn.MAXIFS(Table1[Sl No],Table1[Category],Table1[[#This Row],[Category]],Table1[Execution Year],Table1[[#This Row],[Execution Year]])=Table1[[#This Row],[Sl No]],TRUE,FALSE)</f>
        <v>1</v>
      </c>
      <c r="BV178" s="201">
        <f>SUM(Table1[[#This Row],[Spend - CAN]:[Spend - Sams]])+SUM(Table1[[#This Row],[Spend - Sams Mexico]:[Spend - Sams China]])+Table1[[#This Row],[Spend - IND]]</f>
        <v>0</v>
      </c>
      <c r="BW178">
        <f>SUM(Table1[[#This Row],[Savings - CAN]:[Savings - Sams]])+SUM(Table1[[#This Row],[Savings - Sams Mexico]:[Savings - Sams China]])+Table1[[#This Row],[Savings - IND]]</f>
        <v>0</v>
      </c>
      <c r="BX178">
        <f>SUM(Table1[[#This Row],[Spend - CAN]:[Spend - SAF]])+SUM(Table1[[#This Row],[Spend - Sams Mexico]:[Spend - Sams China]])+Table1[[#This Row],[Spend - IND]]</f>
        <v>0</v>
      </c>
      <c r="BY178">
        <f>SUM(Table1[[#This Row],[Savings - CAN]:[Savings - SAF]])+SUM(Table1[[#This Row],[Savings - Sams Mexico]:[Savings - Sams China]])+Table1[[#This Row],[Savings - IND]]</f>
        <v>0</v>
      </c>
      <c r="BZ178">
        <f>SUM(Table1[[#This Row],[Spend - US]:[Spend - Sams]])</f>
        <v>0</v>
      </c>
      <c r="CA178">
        <f>SUM(Table1[[#This Row],[Savings - US]:[Savings - Sams]])</f>
        <v>0</v>
      </c>
      <c r="CB178">
        <f>SUM(Table1[[#This Row],[Cost Avoidance - CAN2]:[Cost Avoidance - SAF10]])+SUM(Table1[[#This Row],[Cost Avoidance - Sams Mexico]:[Cost Avoidance - Sams China]])+Table1[[#This Row],[Cost Avoidance - IND]]</f>
        <v>0</v>
      </c>
      <c r="CC178">
        <f>SUM(Table1[[#This Row],[Cost Avoidance - US11]:[Cost Avoidance - Sams12]])</f>
        <v>0</v>
      </c>
      <c r="CD178">
        <f>_xlfn.XLOOKUP(Table1[[#This Row],[Status]],Status_Lookups[Status],Status_Lookups[Value],"")</f>
        <v>0.3</v>
      </c>
    </row>
    <row r="179" spans="1:82">
      <c r="A179">
        <v>3</v>
      </c>
      <c r="B179" t="s">
        <v>98</v>
      </c>
      <c r="C179" t="s">
        <v>43</v>
      </c>
      <c r="D179" t="s">
        <v>39</v>
      </c>
      <c r="E179" s="15">
        <v>44228</v>
      </c>
      <c r="F179" s="15">
        <v>44316</v>
      </c>
      <c r="G179" s="15"/>
      <c r="H179" s="15"/>
      <c r="I179" t="s">
        <v>625</v>
      </c>
      <c r="J179">
        <v>0</v>
      </c>
      <c r="K179">
        <v>0</v>
      </c>
      <c r="L179">
        <v>0</v>
      </c>
      <c r="M179">
        <v>0</v>
      </c>
      <c r="N179">
        <v>0</v>
      </c>
      <c r="O179">
        <v>0</v>
      </c>
      <c r="P179">
        <v>0</v>
      </c>
      <c r="Q179">
        <v>0</v>
      </c>
      <c r="R179">
        <v>0</v>
      </c>
      <c r="S179">
        <v>0</v>
      </c>
      <c r="T179">
        <v>0</v>
      </c>
      <c r="U179">
        <v>0</v>
      </c>
      <c r="V179">
        <v>0</v>
      </c>
      <c r="X179" t="s">
        <v>78</v>
      </c>
      <c r="Y179" s="16">
        <v>44207.686033912039</v>
      </c>
      <c r="Z179" s="17" t="str">
        <f>_xlfn.XLOOKUP(Table1[[#This Row],[Phase]],'Lookup tables'!$Y$27:$Y$60,'Lookup tables'!$Z$27:$Z$60,"Not Updated")</f>
        <v>Proposed</v>
      </c>
      <c r="AA179" s="17">
        <v>0</v>
      </c>
      <c r="AB179">
        <v>0</v>
      </c>
      <c r="AC179">
        <v>0</v>
      </c>
      <c r="AD179">
        <v>0</v>
      </c>
      <c r="AE179">
        <v>0</v>
      </c>
      <c r="AF179">
        <v>0</v>
      </c>
      <c r="AG179">
        <v>0</v>
      </c>
      <c r="AH179">
        <v>0</v>
      </c>
      <c r="AI179">
        <v>0</v>
      </c>
      <c r="AJ179">
        <v>0</v>
      </c>
      <c r="AK179">
        <v>0</v>
      </c>
      <c r="BG179" s="185"/>
      <c r="BH179" s="185"/>
      <c r="BI179" s="185"/>
      <c r="BJ179" s="185"/>
      <c r="BK179" s="185"/>
      <c r="BL179" s="185"/>
      <c r="BM179" s="185"/>
      <c r="BN179" s="185"/>
      <c r="BO179" s="185"/>
      <c r="BP179" s="185"/>
      <c r="BQ179" s="185"/>
      <c r="BR179" s="185"/>
      <c r="BS179" s="185"/>
      <c r="BT179" s="185"/>
      <c r="BU179" t="b">
        <f>IF(_xlfn.MAXIFS(Table1[Sl No],Table1[Category],Table1[[#This Row],[Category]],Table1[Execution Year],Table1[[#This Row],[Execution Year]])=Table1[[#This Row],[Sl No]],TRUE,FALSE)</f>
        <v>0</v>
      </c>
      <c r="BV179" s="201">
        <f>SUM(Table1[[#This Row],[Spend - CAN]:[Spend - Sams]])+SUM(Table1[[#This Row],[Spend - Sams Mexico]:[Spend - Sams China]])+Table1[[#This Row],[Spend - IND]]</f>
        <v>0</v>
      </c>
      <c r="BW179">
        <f>SUM(Table1[[#This Row],[Savings - CAN]:[Savings - Sams]])+SUM(Table1[[#This Row],[Savings - Sams Mexico]:[Savings - Sams China]])+Table1[[#This Row],[Savings - IND]]</f>
        <v>0</v>
      </c>
      <c r="BX179">
        <f>SUM(Table1[[#This Row],[Spend - CAN]:[Spend - SAF]])+SUM(Table1[[#This Row],[Spend - Sams Mexico]:[Spend - Sams China]])+Table1[[#This Row],[Spend - IND]]</f>
        <v>0</v>
      </c>
      <c r="BY179">
        <f>SUM(Table1[[#This Row],[Savings - CAN]:[Savings - SAF]])+SUM(Table1[[#This Row],[Savings - Sams Mexico]:[Savings - Sams China]])+Table1[[#This Row],[Savings - IND]]</f>
        <v>0</v>
      </c>
      <c r="BZ179">
        <f>SUM(Table1[[#This Row],[Spend - US]:[Spend - Sams]])</f>
        <v>0</v>
      </c>
      <c r="CA179">
        <f>SUM(Table1[[#This Row],[Savings - US]:[Savings - Sams]])</f>
        <v>0</v>
      </c>
      <c r="CB179">
        <f>SUM(Table1[[#This Row],[Cost Avoidance - CAN2]:[Cost Avoidance - SAF10]])+SUM(Table1[[#This Row],[Cost Avoidance - Sams Mexico]:[Cost Avoidance - Sams China]])+Table1[[#This Row],[Cost Avoidance - IND]]</f>
        <v>0</v>
      </c>
      <c r="CC179">
        <f>SUM(Table1[[#This Row],[Cost Avoidance - US11]:[Cost Avoidance - Sams12]])</f>
        <v>0</v>
      </c>
      <c r="CD179" t="str">
        <f>_xlfn.XLOOKUP(Table1[[#This Row],[Status]],Status_Lookups[Status],Status_Lookups[Value],"")</f>
        <v/>
      </c>
    </row>
    <row r="180" spans="1:82">
      <c r="A180">
        <v>4</v>
      </c>
      <c r="B180" t="s">
        <v>98</v>
      </c>
      <c r="C180" t="s">
        <v>43</v>
      </c>
      <c r="D180" t="s">
        <v>39</v>
      </c>
      <c r="E180" s="15">
        <v>44228</v>
      </c>
      <c r="F180" s="15">
        <v>44316</v>
      </c>
      <c r="G180" s="15"/>
      <c r="H180" s="15"/>
      <c r="I180" t="s">
        <v>625</v>
      </c>
      <c r="J180" t="s">
        <v>626</v>
      </c>
      <c r="K180">
        <v>0</v>
      </c>
      <c r="L180">
        <v>0</v>
      </c>
      <c r="M180">
        <v>26390228.970000003</v>
      </c>
      <c r="N180">
        <v>12216146.819999998</v>
      </c>
      <c r="O180">
        <v>1311291.31</v>
      </c>
      <c r="P180">
        <v>3220298.81</v>
      </c>
      <c r="Q180">
        <v>213095.83000000002</v>
      </c>
      <c r="R180">
        <v>990649.87999999989</v>
      </c>
      <c r="S180">
        <v>0</v>
      </c>
      <c r="T180">
        <v>8677484</v>
      </c>
      <c r="U180">
        <v>0</v>
      </c>
      <c r="V180">
        <v>0</v>
      </c>
      <c r="X180" t="s">
        <v>78</v>
      </c>
      <c r="Y180" s="16">
        <v>44211.487810879633</v>
      </c>
      <c r="Z180" s="17" t="str">
        <f>_xlfn.XLOOKUP(Table1[[#This Row],[Phase]],'Lookup tables'!$Y$27:$Y$60,'Lookup tables'!$Z$27:$Z$60,"Not Updated")</f>
        <v>Proposed</v>
      </c>
      <c r="AA180" s="17" t="s">
        <v>654</v>
      </c>
      <c r="AB180">
        <v>0</v>
      </c>
      <c r="AC180">
        <v>0</v>
      </c>
      <c r="AD180">
        <v>0</v>
      </c>
      <c r="AE180">
        <v>0</v>
      </c>
      <c r="AF180">
        <v>0</v>
      </c>
      <c r="AG180">
        <v>0</v>
      </c>
      <c r="AH180">
        <v>0</v>
      </c>
      <c r="AI180">
        <v>0</v>
      </c>
      <c r="AJ180">
        <v>0</v>
      </c>
      <c r="AK180">
        <v>0</v>
      </c>
      <c r="BG180" s="185"/>
      <c r="BH180" s="185"/>
      <c r="BI180" s="185"/>
      <c r="BJ180" s="185"/>
      <c r="BK180" s="185"/>
      <c r="BL180" s="185"/>
      <c r="BM180" s="185"/>
      <c r="BN180" s="185"/>
      <c r="BO180" s="185"/>
      <c r="BP180" s="185"/>
      <c r="BQ180" s="185"/>
      <c r="BR180" s="185"/>
      <c r="BS180" s="185"/>
      <c r="BT180" s="185"/>
      <c r="BU180" t="b">
        <f>IF(_xlfn.MAXIFS(Table1[Sl No],Table1[Category],Table1[[#This Row],[Category]],Table1[Execution Year],Table1[[#This Row],[Execution Year]])=Table1[[#This Row],[Sl No]],TRUE,FALSE)</f>
        <v>0</v>
      </c>
      <c r="BV180" s="201">
        <f>SUM(Table1[[#This Row],[Spend - CAN]:[Spend - Sams]])+SUM(Table1[[#This Row],[Spend - Sams Mexico]:[Spend - Sams China]])+Table1[[#This Row],[Spend - IND]]</f>
        <v>53019195.620000005</v>
      </c>
      <c r="BW180">
        <f>SUM(Table1[[#This Row],[Savings - CAN]:[Savings - Sams]])+SUM(Table1[[#This Row],[Savings - Sams Mexico]:[Savings - Sams China]])+Table1[[#This Row],[Savings - IND]]</f>
        <v>0</v>
      </c>
      <c r="BX180">
        <f>SUM(Table1[[#This Row],[Spend - CAN]:[Spend - SAF]])+SUM(Table1[[#This Row],[Spend - Sams Mexico]:[Spend - Sams China]])+Table1[[#This Row],[Spend - IND]]</f>
        <v>53019195.620000005</v>
      </c>
      <c r="BY180">
        <f>SUM(Table1[[#This Row],[Savings - CAN]:[Savings - SAF]])+SUM(Table1[[#This Row],[Savings - Sams Mexico]:[Savings - Sams China]])+Table1[[#This Row],[Savings - IND]]</f>
        <v>0</v>
      </c>
      <c r="BZ180">
        <f>SUM(Table1[[#This Row],[Spend - US]:[Spend - Sams]])</f>
        <v>0</v>
      </c>
      <c r="CA180">
        <f>SUM(Table1[[#This Row],[Savings - US]:[Savings - Sams]])</f>
        <v>0</v>
      </c>
      <c r="CB180">
        <f>SUM(Table1[[#This Row],[Cost Avoidance - CAN2]:[Cost Avoidance - SAF10]])+SUM(Table1[[#This Row],[Cost Avoidance - Sams Mexico]:[Cost Avoidance - Sams China]])+Table1[[#This Row],[Cost Avoidance - IND]]</f>
        <v>0</v>
      </c>
      <c r="CC180">
        <f>SUM(Table1[[#This Row],[Cost Avoidance - US11]:[Cost Avoidance - Sams12]])</f>
        <v>0</v>
      </c>
      <c r="CD180" t="str">
        <f>_xlfn.XLOOKUP(Table1[[#This Row],[Status]],Status_Lookups[Status],Status_Lookups[Value],"")</f>
        <v/>
      </c>
    </row>
    <row r="181" spans="1:82">
      <c r="A181">
        <v>5</v>
      </c>
      <c r="B181" t="s">
        <v>98</v>
      </c>
      <c r="C181" t="s">
        <v>43</v>
      </c>
      <c r="D181" t="s">
        <v>39</v>
      </c>
      <c r="E181" s="15">
        <v>44287</v>
      </c>
      <c r="F181" s="15">
        <v>44377</v>
      </c>
      <c r="G181" s="15"/>
      <c r="H181" s="15"/>
      <c r="I181" t="s">
        <v>625</v>
      </c>
      <c r="J181" t="s">
        <v>626</v>
      </c>
      <c r="K181">
        <v>0</v>
      </c>
      <c r="L181">
        <v>0</v>
      </c>
      <c r="M181">
        <v>26390228.970000003</v>
      </c>
      <c r="N181">
        <v>12216146.819999998</v>
      </c>
      <c r="O181">
        <v>1311291.31</v>
      </c>
      <c r="P181">
        <v>3220298.81</v>
      </c>
      <c r="Q181">
        <v>213095.83000000002</v>
      </c>
      <c r="R181">
        <v>990649.87999999989</v>
      </c>
      <c r="S181">
        <v>0</v>
      </c>
      <c r="T181">
        <v>8677484</v>
      </c>
      <c r="U181">
        <v>0</v>
      </c>
      <c r="V181">
        <v>0</v>
      </c>
      <c r="W181">
        <v>0</v>
      </c>
      <c r="X181" t="s">
        <v>78</v>
      </c>
      <c r="Y181" s="16">
        <v>44218.491537847221</v>
      </c>
      <c r="Z181" s="17" t="str">
        <f>_xlfn.XLOOKUP(Table1[[#This Row],[Phase]],'Lookup tables'!$Y$27:$Y$60,'Lookup tables'!$Z$27:$Z$60,"Not Updated")</f>
        <v>Proposed</v>
      </c>
      <c r="AA181" s="17" t="s">
        <v>654</v>
      </c>
      <c r="AB181">
        <v>0</v>
      </c>
      <c r="AC181">
        <v>0</v>
      </c>
      <c r="AD181">
        <v>0</v>
      </c>
      <c r="AE181">
        <v>0</v>
      </c>
      <c r="AF181">
        <v>0</v>
      </c>
      <c r="AG181">
        <v>0</v>
      </c>
      <c r="AH181">
        <v>0</v>
      </c>
      <c r="AI181">
        <v>0</v>
      </c>
      <c r="AJ181">
        <v>0</v>
      </c>
      <c r="AK181">
        <v>0</v>
      </c>
      <c r="AL181">
        <v>0</v>
      </c>
      <c r="BG181" s="185"/>
      <c r="BH181" s="185"/>
      <c r="BI181" s="185"/>
      <c r="BJ181" s="185"/>
      <c r="BK181" s="185"/>
      <c r="BL181" s="185"/>
      <c r="BM181" s="185"/>
      <c r="BN181" s="185"/>
      <c r="BO181" s="185"/>
      <c r="BP181" s="185"/>
      <c r="BQ181" s="185"/>
      <c r="BR181" s="185"/>
      <c r="BS181" s="185"/>
      <c r="BT181" s="185"/>
      <c r="BU181" t="b">
        <f>IF(_xlfn.MAXIFS(Table1[Sl No],Table1[Category],Table1[[#This Row],[Category]],Table1[Execution Year],Table1[[#This Row],[Execution Year]])=Table1[[#This Row],[Sl No]],TRUE,FALSE)</f>
        <v>0</v>
      </c>
      <c r="BV181" s="201">
        <f>SUM(Table1[[#This Row],[Spend - CAN]:[Spend - Sams]])+SUM(Table1[[#This Row],[Spend - Sams Mexico]:[Spend - Sams China]])+Table1[[#This Row],[Spend - IND]]</f>
        <v>53019195.620000005</v>
      </c>
      <c r="BW181">
        <f>SUM(Table1[[#This Row],[Savings - CAN]:[Savings - Sams]])+SUM(Table1[[#This Row],[Savings - Sams Mexico]:[Savings - Sams China]])+Table1[[#This Row],[Savings - IND]]</f>
        <v>0</v>
      </c>
      <c r="BX181">
        <f>SUM(Table1[[#This Row],[Spend - CAN]:[Spend - SAF]])+SUM(Table1[[#This Row],[Spend - Sams Mexico]:[Spend - Sams China]])+Table1[[#This Row],[Spend - IND]]</f>
        <v>53019195.620000005</v>
      </c>
      <c r="BY181">
        <f>SUM(Table1[[#This Row],[Savings - CAN]:[Savings - SAF]])+SUM(Table1[[#This Row],[Savings - Sams Mexico]:[Savings - Sams China]])+Table1[[#This Row],[Savings - IND]]</f>
        <v>0</v>
      </c>
      <c r="BZ181">
        <f>SUM(Table1[[#This Row],[Spend - US]:[Spend - Sams]])</f>
        <v>0</v>
      </c>
      <c r="CA181">
        <f>SUM(Table1[[#This Row],[Savings - US]:[Savings - Sams]])</f>
        <v>0</v>
      </c>
      <c r="CB181">
        <f>SUM(Table1[[#This Row],[Cost Avoidance - CAN2]:[Cost Avoidance - SAF10]])+SUM(Table1[[#This Row],[Cost Avoidance - Sams Mexico]:[Cost Avoidance - Sams China]])+Table1[[#This Row],[Cost Avoidance - IND]]</f>
        <v>0</v>
      </c>
      <c r="CC181">
        <f>SUM(Table1[[#This Row],[Cost Avoidance - US11]:[Cost Avoidance - Sams12]])</f>
        <v>0</v>
      </c>
      <c r="CD181" t="str">
        <f>_xlfn.XLOOKUP(Table1[[#This Row],[Status]],Status_Lookups[Status],Status_Lookups[Value],"")</f>
        <v/>
      </c>
    </row>
    <row r="182" spans="1:82">
      <c r="A182">
        <v>6</v>
      </c>
      <c r="B182" t="s">
        <v>98</v>
      </c>
      <c r="C182" t="s">
        <v>43</v>
      </c>
      <c r="D182" t="s">
        <v>39</v>
      </c>
      <c r="E182" s="15">
        <v>44287</v>
      </c>
      <c r="F182" s="15">
        <v>44377</v>
      </c>
      <c r="G182" s="15"/>
      <c r="H182" s="15"/>
      <c r="I182" t="s">
        <v>625</v>
      </c>
      <c r="J182" t="s">
        <v>626</v>
      </c>
      <c r="K182">
        <v>0</v>
      </c>
      <c r="L182">
        <v>0</v>
      </c>
      <c r="M182">
        <v>26390228.970000003</v>
      </c>
      <c r="N182">
        <v>12216146.819999998</v>
      </c>
      <c r="O182">
        <v>1311291.31</v>
      </c>
      <c r="P182">
        <v>3220298.81</v>
      </c>
      <c r="Q182">
        <v>213095.83000000002</v>
      </c>
      <c r="R182">
        <v>990649.87999999989</v>
      </c>
      <c r="S182">
        <v>0</v>
      </c>
      <c r="T182">
        <v>8677484</v>
      </c>
      <c r="U182">
        <v>0</v>
      </c>
      <c r="V182">
        <v>315000000</v>
      </c>
      <c r="W182">
        <v>0</v>
      </c>
      <c r="X182" t="s">
        <v>78</v>
      </c>
      <c r="Y182" s="16">
        <v>44221.6124375</v>
      </c>
      <c r="Z182" s="17" t="str">
        <f>_xlfn.XLOOKUP(Table1[[#This Row],[Phase]],'Lookup tables'!$Y$27:$Y$60,'Lookup tables'!$Z$27:$Z$60,"Not Updated")</f>
        <v>Proposed</v>
      </c>
      <c r="AA182" s="17" t="s">
        <v>654</v>
      </c>
      <c r="AB182">
        <v>0</v>
      </c>
      <c r="AC182">
        <v>0</v>
      </c>
      <c r="AD182">
        <v>0</v>
      </c>
      <c r="AE182">
        <v>0</v>
      </c>
      <c r="AF182">
        <v>0</v>
      </c>
      <c r="AG182">
        <v>0</v>
      </c>
      <c r="AH182">
        <v>0</v>
      </c>
      <c r="AI182">
        <v>0</v>
      </c>
      <c r="AJ182">
        <v>0</v>
      </c>
      <c r="AK182">
        <v>0</v>
      </c>
      <c r="AL182">
        <v>0</v>
      </c>
      <c r="BG182" s="185"/>
      <c r="BH182" s="185"/>
      <c r="BI182" s="185"/>
      <c r="BJ182" s="185"/>
      <c r="BK182" s="185"/>
      <c r="BL182" s="185"/>
      <c r="BM182" s="185"/>
      <c r="BN182" s="185"/>
      <c r="BO182" s="185"/>
      <c r="BP182" s="185"/>
      <c r="BQ182" s="185"/>
      <c r="BR182" s="185"/>
      <c r="BS182" s="185"/>
      <c r="BT182" s="185"/>
      <c r="BU182" t="b">
        <f>IF(_xlfn.MAXIFS(Table1[Sl No],Table1[Category],Table1[[#This Row],[Category]],Table1[Execution Year],Table1[[#This Row],[Execution Year]])=Table1[[#This Row],[Sl No]],TRUE,FALSE)</f>
        <v>0</v>
      </c>
      <c r="BV182" s="201">
        <f>SUM(Table1[[#This Row],[Spend - CAN]:[Spend - Sams]])+SUM(Table1[[#This Row],[Spend - Sams Mexico]:[Spend - Sams China]])+Table1[[#This Row],[Spend - IND]]</f>
        <v>368019195.62</v>
      </c>
      <c r="BW182">
        <f>SUM(Table1[[#This Row],[Savings - CAN]:[Savings - Sams]])+SUM(Table1[[#This Row],[Savings - Sams Mexico]:[Savings - Sams China]])+Table1[[#This Row],[Savings - IND]]</f>
        <v>0</v>
      </c>
      <c r="BX182">
        <f>SUM(Table1[[#This Row],[Spend - CAN]:[Spend - SAF]])+SUM(Table1[[#This Row],[Spend - Sams Mexico]:[Spend - Sams China]])+Table1[[#This Row],[Spend - IND]]</f>
        <v>53019195.620000005</v>
      </c>
      <c r="BY182">
        <f>SUM(Table1[[#This Row],[Savings - CAN]:[Savings - SAF]])+SUM(Table1[[#This Row],[Savings - Sams Mexico]:[Savings - Sams China]])+Table1[[#This Row],[Savings - IND]]</f>
        <v>0</v>
      </c>
      <c r="BZ182">
        <f>SUM(Table1[[#This Row],[Spend - US]:[Spend - Sams]])</f>
        <v>315000000</v>
      </c>
      <c r="CA182">
        <f>SUM(Table1[[#This Row],[Savings - US]:[Savings - Sams]])</f>
        <v>0</v>
      </c>
      <c r="CB182">
        <f>SUM(Table1[[#This Row],[Cost Avoidance - CAN2]:[Cost Avoidance - SAF10]])+SUM(Table1[[#This Row],[Cost Avoidance - Sams Mexico]:[Cost Avoidance - Sams China]])+Table1[[#This Row],[Cost Avoidance - IND]]</f>
        <v>0</v>
      </c>
      <c r="CC182">
        <f>SUM(Table1[[#This Row],[Cost Avoidance - US11]:[Cost Avoidance - Sams12]])</f>
        <v>0</v>
      </c>
      <c r="CD182" t="str">
        <f>_xlfn.XLOOKUP(Table1[[#This Row],[Status]],Status_Lookups[Status],Status_Lookups[Value],"")</f>
        <v/>
      </c>
    </row>
    <row r="183" spans="1:82">
      <c r="A183">
        <v>7</v>
      </c>
      <c r="B183" t="s">
        <v>98</v>
      </c>
      <c r="C183" t="s">
        <v>43</v>
      </c>
      <c r="D183" t="s">
        <v>39</v>
      </c>
      <c r="E183" s="15">
        <v>44287</v>
      </c>
      <c r="F183" s="15">
        <v>44377</v>
      </c>
      <c r="G183" s="15"/>
      <c r="H183" s="15"/>
      <c r="I183" t="s">
        <v>458</v>
      </c>
      <c r="J183" t="s">
        <v>626</v>
      </c>
      <c r="K183" t="s">
        <v>78</v>
      </c>
      <c r="L183">
        <v>0</v>
      </c>
      <c r="M183">
        <v>133700000</v>
      </c>
      <c r="N183">
        <v>119300000</v>
      </c>
      <c r="O183">
        <v>32900000</v>
      </c>
      <c r="P183">
        <v>81600000</v>
      </c>
      <c r="Q183">
        <v>0</v>
      </c>
      <c r="R183">
        <v>5400000</v>
      </c>
      <c r="S183">
        <v>100000</v>
      </c>
      <c r="T183">
        <v>58900000</v>
      </c>
      <c r="U183">
        <v>0</v>
      </c>
      <c r="V183">
        <v>315000000</v>
      </c>
      <c r="W183">
        <v>0</v>
      </c>
      <c r="X183" t="s">
        <v>97</v>
      </c>
      <c r="Y183" s="16">
        <v>44264.392522685186</v>
      </c>
      <c r="Z183" s="17" t="str">
        <f>_xlfn.XLOOKUP(Table1[[#This Row],[Phase]],'Lookup tables'!$Y$27:$Y$60,'Lookup tables'!$Z$27:$Z$60,"Not Updated")</f>
        <v>Exploratory</v>
      </c>
      <c r="AA183" s="17" t="s">
        <v>654</v>
      </c>
      <c r="AB183">
        <v>0</v>
      </c>
      <c r="AC183">
        <v>0</v>
      </c>
      <c r="AD183">
        <v>0</v>
      </c>
      <c r="AE183">
        <v>0</v>
      </c>
      <c r="AF183">
        <v>0</v>
      </c>
      <c r="AG183">
        <v>0</v>
      </c>
      <c r="AH183">
        <v>0</v>
      </c>
      <c r="AI183">
        <v>0</v>
      </c>
      <c r="AJ183">
        <v>0</v>
      </c>
      <c r="AK183">
        <v>0</v>
      </c>
      <c r="AL183">
        <v>0</v>
      </c>
      <c r="AM183">
        <v>0</v>
      </c>
      <c r="AN183">
        <v>0</v>
      </c>
      <c r="AO183">
        <v>0</v>
      </c>
      <c r="AP183">
        <v>0</v>
      </c>
      <c r="AQ183">
        <v>0</v>
      </c>
      <c r="AR183">
        <v>0</v>
      </c>
      <c r="AS183">
        <v>0</v>
      </c>
      <c r="AT183">
        <v>0</v>
      </c>
      <c r="AU183">
        <v>0</v>
      </c>
      <c r="AV183">
        <v>0</v>
      </c>
      <c r="AW183">
        <v>0</v>
      </c>
      <c r="BG183" s="185"/>
      <c r="BH183" s="185"/>
      <c r="BI183" s="185"/>
      <c r="BJ183" s="185"/>
      <c r="BK183" s="185"/>
      <c r="BL183" s="185"/>
      <c r="BM183" s="185"/>
      <c r="BN183" s="185"/>
      <c r="BO183" s="185"/>
      <c r="BP183" s="185"/>
      <c r="BQ183" s="185"/>
      <c r="BR183" s="185"/>
      <c r="BS183" s="185"/>
      <c r="BT183" s="185"/>
      <c r="BU183" t="b">
        <f>IF(_xlfn.MAXIFS(Table1[Sl No],Table1[Category],Table1[[#This Row],[Category]],Table1[Execution Year],Table1[[#This Row],[Execution Year]])=Table1[[#This Row],[Sl No]],TRUE,FALSE)</f>
        <v>0</v>
      </c>
      <c r="BV183" s="201">
        <f>SUM(Table1[[#This Row],[Spend - CAN]:[Spend - Sams]])+SUM(Table1[[#This Row],[Spend - Sams Mexico]:[Spend - Sams China]])+Table1[[#This Row],[Spend - IND]]</f>
        <v>746900000</v>
      </c>
      <c r="BW183">
        <f>SUM(Table1[[#This Row],[Savings - CAN]:[Savings - Sams]])+SUM(Table1[[#This Row],[Savings - Sams Mexico]:[Savings - Sams China]])+Table1[[#This Row],[Savings - IND]]</f>
        <v>0</v>
      </c>
      <c r="BX183">
        <f>SUM(Table1[[#This Row],[Spend - CAN]:[Spend - SAF]])+SUM(Table1[[#This Row],[Spend - Sams Mexico]:[Spend - Sams China]])+Table1[[#This Row],[Spend - IND]]</f>
        <v>431900000</v>
      </c>
      <c r="BY183">
        <f>SUM(Table1[[#This Row],[Savings - CAN]:[Savings - SAF]])+SUM(Table1[[#This Row],[Savings - Sams Mexico]:[Savings - Sams China]])+Table1[[#This Row],[Savings - IND]]</f>
        <v>0</v>
      </c>
      <c r="BZ183">
        <f>SUM(Table1[[#This Row],[Spend - US]:[Spend - Sams]])</f>
        <v>315000000</v>
      </c>
      <c r="CA183">
        <f>SUM(Table1[[#This Row],[Savings - US]:[Savings - Sams]])</f>
        <v>0</v>
      </c>
      <c r="CB183">
        <f>SUM(Table1[[#This Row],[Cost Avoidance - CAN2]:[Cost Avoidance - SAF10]])+SUM(Table1[[#This Row],[Cost Avoidance - Sams Mexico]:[Cost Avoidance - Sams China]])+Table1[[#This Row],[Cost Avoidance - IND]]</f>
        <v>0</v>
      </c>
      <c r="CC183">
        <f>SUM(Table1[[#This Row],[Cost Avoidance - US11]:[Cost Avoidance - Sams12]])</f>
        <v>0</v>
      </c>
      <c r="CD183" t="str">
        <f>_xlfn.XLOOKUP(Table1[[#This Row],[Status]],Status_Lookups[Status],Status_Lookups[Value],"")</f>
        <v/>
      </c>
    </row>
    <row r="184" spans="1:82">
      <c r="A184">
        <v>8</v>
      </c>
      <c r="B184" t="s">
        <v>98</v>
      </c>
      <c r="C184" t="s">
        <v>43</v>
      </c>
      <c r="D184" t="s">
        <v>39</v>
      </c>
      <c r="E184" s="15">
        <v>44287</v>
      </c>
      <c r="F184" s="15">
        <v>44377</v>
      </c>
      <c r="G184" s="15"/>
      <c r="H184" s="15"/>
      <c r="I184" t="s">
        <v>458</v>
      </c>
      <c r="J184" t="s">
        <v>626</v>
      </c>
      <c r="K184" t="s">
        <v>78</v>
      </c>
      <c r="L184">
        <v>0</v>
      </c>
      <c r="M184">
        <v>30633009</v>
      </c>
      <c r="N184">
        <v>14183792</v>
      </c>
      <c r="O184">
        <v>971336</v>
      </c>
      <c r="P184">
        <v>4984170</v>
      </c>
      <c r="Q184">
        <v>0</v>
      </c>
      <c r="R184">
        <v>826513</v>
      </c>
      <c r="S184">
        <v>0</v>
      </c>
      <c r="T184">
        <v>10092144</v>
      </c>
      <c r="U184">
        <v>0</v>
      </c>
      <c r="V184">
        <v>373549183</v>
      </c>
      <c r="W184">
        <v>0</v>
      </c>
      <c r="X184" t="s">
        <v>97</v>
      </c>
      <c r="Y184" s="16">
        <v>44270.633677083337</v>
      </c>
      <c r="Z184" s="17" t="str">
        <f>_xlfn.XLOOKUP(Table1[[#This Row],[Phase]],'Lookup tables'!$Y$27:$Y$60,'Lookup tables'!$Z$27:$Z$60,"Not Updated")</f>
        <v>Exploratory</v>
      </c>
      <c r="AA184" s="17" t="s">
        <v>654</v>
      </c>
      <c r="AB184">
        <v>0</v>
      </c>
      <c r="AC184">
        <v>0</v>
      </c>
      <c r="AD184">
        <v>0</v>
      </c>
      <c r="AE184">
        <v>0</v>
      </c>
      <c r="AF184">
        <v>0</v>
      </c>
      <c r="AG184">
        <v>0</v>
      </c>
      <c r="AH184">
        <v>0</v>
      </c>
      <c r="AI184">
        <v>0</v>
      </c>
      <c r="AJ184">
        <v>0</v>
      </c>
      <c r="AK184">
        <v>0</v>
      </c>
      <c r="AL184">
        <v>0</v>
      </c>
      <c r="AM184">
        <v>0</v>
      </c>
      <c r="AN184">
        <v>0</v>
      </c>
      <c r="AO184">
        <v>0</v>
      </c>
      <c r="AP184">
        <v>0</v>
      </c>
      <c r="AQ184">
        <v>0</v>
      </c>
      <c r="AR184">
        <v>0</v>
      </c>
      <c r="AS184">
        <v>0</v>
      </c>
      <c r="AT184">
        <v>0</v>
      </c>
      <c r="AU184">
        <v>0</v>
      </c>
      <c r="AV184">
        <v>0</v>
      </c>
      <c r="AW184">
        <v>0</v>
      </c>
      <c r="BG184" s="185"/>
      <c r="BH184" s="185"/>
      <c r="BI184" s="185"/>
      <c r="BJ184" s="185"/>
      <c r="BK184" s="185"/>
      <c r="BL184" s="185"/>
      <c r="BM184" s="185"/>
      <c r="BN184" s="185"/>
      <c r="BO184" s="185"/>
      <c r="BP184" s="185"/>
      <c r="BQ184" s="185"/>
      <c r="BR184" s="185"/>
      <c r="BS184" s="185"/>
      <c r="BT184" s="185"/>
      <c r="BU184" t="b">
        <f>IF(_xlfn.MAXIFS(Table1[Sl No],Table1[Category],Table1[[#This Row],[Category]],Table1[Execution Year],Table1[[#This Row],[Execution Year]])=Table1[[#This Row],[Sl No]],TRUE,FALSE)</f>
        <v>0</v>
      </c>
      <c r="BV184" s="201">
        <f>SUM(Table1[[#This Row],[Spend - CAN]:[Spend - Sams]])+SUM(Table1[[#This Row],[Spend - Sams Mexico]:[Spend - Sams China]])+Table1[[#This Row],[Spend - IND]]</f>
        <v>435240147</v>
      </c>
      <c r="BW184">
        <f>SUM(Table1[[#This Row],[Savings - CAN]:[Savings - Sams]])+SUM(Table1[[#This Row],[Savings - Sams Mexico]:[Savings - Sams China]])+Table1[[#This Row],[Savings - IND]]</f>
        <v>0</v>
      </c>
      <c r="BX184">
        <f>SUM(Table1[[#This Row],[Spend - CAN]:[Spend - SAF]])+SUM(Table1[[#This Row],[Spend - Sams Mexico]:[Spend - Sams China]])+Table1[[#This Row],[Spend - IND]]</f>
        <v>61690964</v>
      </c>
      <c r="BY184">
        <f>SUM(Table1[[#This Row],[Savings - CAN]:[Savings - SAF]])+SUM(Table1[[#This Row],[Savings - Sams Mexico]:[Savings - Sams China]])+Table1[[#This Row],[Savings - IND]]</f>
        <v>0</v>
      </c>
      <c r="BZ184">
        <f>SUM(Table1[[#This Row],[Spend - US]:[Spend - Sams]])</f>
        <v>373549183</v>
      </c>
      <c r="CA184">
        <f>SUM(Table1[[#This Row],[Savings - US]:[Savings - Sams]])</f>
        <v>0</v>
      </c>
      <c r="CB184">
        <f>SUM(Table1[[#This Row],[Cost Avoidance - CAN2]:[Cost Avoidance - SAF10]])+SUM(Table1[[#This Row],[Cost Avoidance - Sams Mexico]:[Cost Avoidance - Sams China]])+Table1[[#This Row],[Cost Avoidance - IND]]</f>
        <v>0</v>
      </c>
      <c r="CC184">
        <f>SUM(Table1[[#This Row],[Cost Avoidance - US11]:[Cost Avoidance - Sams12]])</f>
        <v>0</v>
      </c>
      <c r="CD184" t="str">
        <f>_xlfn.XLOOKUP(Table1[[#This Row],[Status]],Status_Lookups[Status],Status_Lookups[Value],"")</f>
        <v/>
      </c>
    </row>
    <row r="185" spans="1:82">
      <c r="A185">
        <v>9</v>
      </c>
      <c r="B185" t="s">
        <v>98</v>
      </c>
      <c r="C185" t="s">
        <v>43</v>
      </c>
      <c r="D185" t="s">
        <v>39</v>
      </c>
      <c r="E185" s="15">
        <v>44287</v>
      </c>
      <c r="F185" s="15">
        <v>44377</v>
      </c>
      <c r="G185" s="15"/>
      <c r="H185" s="15"/>
      <c r="I185" t="s">
        <v>458</v>
      </c>
      <c r="J185" t="s">
        <v>626</v>
      </c>
      <c r="K185" t="s">
        <v>78</v>
      </c>
      <c r="L185">
        <v>0</v>
      </c>
      <c r="M185">
        <v>30633009</v>
      </c>
      <c r="N185">
        <v>14183792</v>
      </c>
      <c r="O185">
        <v>971336</v>
      </c>
      <c r="P185">
        <v>4984170</v>
      </c>
      <c r="Q185">
        <v>0</v>
      </c>
      <c r="R185">
        <v>826513</v>
      </c>
      <c r="S185">
        <v>0</v>
      </c>
      <c r="T185">
        <v>10092144</v>
      </c>
      <c r="U185">
        <v>0</v>
      </c>
      <c r="V185">
        <v>373549183</v>
      </c>
      <c r="W185">
        <v>0</v>
      </c>
      <c r="X185" t="s">
        <v>97</v>
      </c>
      <c r="Y185" s="16">
        <v>44284.369659374999</v>
      </c>
      <c r="Z185" s="17" t="str">
        <f>_xlfn.XLOOKUP(Table1[[#This Row],[Phase]],'Lookup tables'!$Y$27:$Y$60,'Lookup tables'!$Z$27:$Z$60,"Not Updated")</f>
        <v>Exploratory</v>
      </c>
      <c r="AA185" s="17" t="s">
        <v>654</v>
      </c>
      <c r="AB185">
        <v>0</v>
      </c>
      <c r="AC185">
        <v>0</v>
      </c>
      <c r="AD185">
        <v>0</v>
      </c>
      <c r="AE185">
        <v>0</v>
      </c>
      <c r="AF185">
        <v>0</v>
      </c>
      <c r="AG185">
        <v>0</v>
      </c>
      <c r="AH185">
        <v>0</v>
      </c>
      <c r="AI185">
        <v>0</v>
      </c>
      <c r="AJ185">
        <v>0</v>
      </c>
      <c r="AK185">
        <v>0</v>
      </c>
      <c r="AL185">
        <v>0</v>
      </c>
      <c r="AM185">
        <v>0</v>
      </c>
      <c r="AN185">
        <v>0</v>
      </c>
      <c r="AO185">
        <v>0</v>
      </c>
      <c r="AP185">
        <v>0</v>
      </c>
      <c r="AQ185">
        <v>0</v>
      </c>
      <c r="AR185">
        <v>0</v>
      </c>
      <c r="AS185">
        <v>0</v>
      </c>
      <c r="AT185">
        <v>0</v>
      </c>
      <c r="AU185">
        <v>0</v>
      </c>
      <c r="AV185">
        <v>0</v>
      </c>
      <c r="AW185">
        <v>0</v>
      </c>
      <c r="BG185" s="185"/>
      <c r="BH185" s="185"/>
      <c r="BI185" s="185"/>
      <c r="BJ185" s="185"/>
      <c r="BK185" s="185"/>
      <c r="BL185" s="185"/>
      <c r="BM185" s="185"/>
      <c r="BN185" s="185"/>
      <c r="BO185" s="185"/>
      <c r="BP185" s="185"/>
      <c r="BQ185" s="185"/>
      <c r="BR185" s="185"/>
      <c r="BS185" s="185"/>
      <c r="BT185" s="185"/>
      <c r="BU185" t="b">
        <f>IF(_xlfn.MAXIFS(Table1[Sl No],Table1[Category],Table1[[#This Row],[Category]],Table1[Execution Year],Table1[[#This Row],[Execution Year]])=Table1[[#This Row],[Sl No]],TRUE,FALSE)</f>
        <v>0</v>
      </c>
      <c r="BV185" s="201">
        <f>SUM(Table1[[#This Row],[Spend - CAN]:[Spend - Sams]])+SUM(Table1[[#This Row],[Spend - Sams Mexico]:[Spend - Sams China]])+Table1[[#This Row],[Spend - IND]]</f>
        <v>435240147</v>
      </c>
      <c r="BW185">
        <f>SUM(Table1[[#This Row],[Savings - CAN]:[Savings - Sams]])+SUM(Table1[[#This Row],[Savings - Sams Mexico]:[Savings - Sams China]])+Table1[[#This Row],[Savings - IND]]</f>
        <v>0</v>
      </c>
      <c r="BX185">
        <f>SUM(Table1[[#This Row],[Spend - CAN]:[Spend - SAF]])+SUM(Table1[[#This Row],[Spend - Sams Mexico]:[Spend - Sams China]])+Table1[[#This Row],[Spend - IND]]</f>
        <v>61690964</v>
      </c>
      <c r="BY185">
        <f>SUM(Table1[[#This Row],[Savings - CAN]:[Savings - SAF]])+SUM(Table1[[#This Row],[Savings - Sams Mexico]:[Savings - Sams China]])+Table1[[#This Row],[Savings - IND]]</f>
        <v>0</v>
      </c>
      <c r="BZ185">
        <f>SUM(Table1[[#This Row],[Spend - US]:[Spend - Sams]])</f>
        <v>373549183</v>
      </c>
      <c r="CA185">
        <f>SUM(Table1[[#This Row],[Savings - US]:[Savings - Sams]])</f>
        <v>0</v>
      </c>
      <c r="CB185">
        <f>SUM(Table1[[#This Row],[Cost Avoidance - CAN2]:[Cost Avoidance - SAF10]])+SUM(Table1[[#This Row],[Cost Avoidance - Sams Mexico]:[Cost Avoidance - Sams China]])+Table1[[#This Row],[Cost Avoidance - IND]]</f>
        <v>0</v>
      </c>
      <c r="CC185">
        <f>SUM(Table1[[#This Row],[Cost Avoidance - US11]:[Cost Avoidance - Sams12]])</f>
        <v>0</v>
      </c>
      <c r="CD185" t="str">
        <f>_xlfn.XLOOKUP(Table1[[#This Row],[Status]],Status_Lookups[Status],Status_Lookups[Value],"")</f>
        <v/>
      </c>
    </row>
    <row r="186" spans="1:82">
      <c r="A186">
        <v>10</v>
      </c>
      <c r="B186" t="s">
        <v>98</v>
      </c>
      <c r="C186" t="s">
        <v>43</v>
      </c>
      <c r="D186" t="s">
        <v>39</v>
      </c>
      <c r="E186" s="15">
        <v>44287</v>
      </c>
      <c r="F186" s="15">
        <v>44377</v>
      </c>
      <c r="G186" s="15"/>
      <c r="H186" s="15"/>
      <c r="I186" t="s">
        <v>458</v>
      </c>
      <c r="J186" t="s">
        <v>626</v>
      </c>
      <c r="K186" t="s">
        <v>78</v>
      </c>
      <c r="L186">
        <v>0</v>
      </c>
      <c r="M186">
        <v>26108125.200000003</v>
      </c>
      <c r="N186">
        <v>12080490.719999999</v>
      </c>
      <c r="O186">
        <v>1311291.31</v>
      </c>
      <c r="P186">
        <v>3220298.81</v>
      </c>
      <c r="Q186">
        <v>213095.83000000002</v>
      </c>
      <c r="R186">
        <v>990649.87999999989</v>
      </c>
      <c r="S186">
        <v>0</v>
      </c>
      <c r="T186">
        <v>8677484</v>
      </c>
      <c r="U186">
        <v>0</v>
      </c>
      <c r="V186">
        <v>373549183</v>
      </c>
      <c r="W186">
        <v>0</v>
      </c>
      <c r="X186" t="s">
        <v>78</v>
      </c>
      <c r="Y186" s="16">
        <v>44291.620258796298</v>
      </c>
      <c r="Z186" s="17" t="str">
        <f>_xlfn.XLOOKUP(Table1[[#This Row],[Phase]],'Lookup tables'!$Y$27:$Y$60,'Lookup tables'!$Z$27:$Z$60,"Not Updated")</f>
        <v>Exploratory</v>
      </c>
      <c r="AA186" s="17" t="s">
        <v>654</v>
      </c>
      <c r="AB186">
        <v>0</v>
      </c>
      <c r="AC186">
        <v>0</v>
      </c>
      <c r="AD186">
        <v>0</v>
      </c>
      <c r="AE186">
        <v>0</v>
      </c>
      <c r="AF186">
        <v>0</v>
      </c>
      <c r="AG186">
        <v>0</v>
      </c>
      <c r="AH186">
        <v>0</v>
      </c>
      <c r="AI186">
        <v>0</v>
      </c>
      <c r="AJ186">
        <v>0</v>
      </c>
      <c r="AK186">
        <v>0</v>
      </c>
      <c r="AL186">
        <v>0</v>
      </c>
      <c r="AM186">
        <v>0</v>
      </c>
      <c r="AN186">
        <v>0</v>
      </c>
      <c r="AO186">
        <v>0</v>
      </c>
      <c r="AP186">
        <v>0</v>
      </c>
      <c r="AQ186">
        <v>0</v>
      </c>
      <c r="AR186">
        <v>0</v>
      </c>
      <c r="AS186">
        <v>0</v>
      </c>
      <c r="AT186">
        <v>0</v>
      </c>
      <c r="AU186">
        <v>0</v>
      </c>
      <c r="AV186">
        <v>0</v>
      </c>
      <c r="AW186">
        <v>0</v>
      </c>
      <c r="BG186" s="185"/>
      <c r="BH186" s="185"/>
      <c r="BI186" s="185"/>
      <c r="BJ186" s="185"/>
      <c r="BK186" s="185"/>
      <c r="BL186" s="185"/>
      <c r="BM186" s="185"/>
      <c r="BN186" s="185"/>
      <c r="BO186" s="185"/>
      <c r="BP186" s="185"/>
      <c r="BQ186" s="185"/>
      <c r="BR186" s="185"/>
      <c r="BS186" s="185"/>
      <c r="BT186" s="185"/>
      <c r="BU186" t="b">
        <f>IF(_xlfn.MAXIFS(Table1[Sl No],Table1[Category],Table1[[#This Row],[Category]],Table1[Execution Year],Table1[[#This Row],[Execution Year]])=Table1[[#This Row],[Sl No]],TRUE,FALSE)</f>
        <v>0</v>
      </c>
      <c r="BV186" s="201">
        <f>SUM(Table1[[#This Row],[Spend - CAN]:[Spend - Sams]])+SUM(Table1[[#This Row],[Spend - Sams Mexico]:[Spend - Sams China]])+Table1[[#This Row],[Spend - IND]]</f>
        <v>426150618.75</v>
      </c>
      <c r="BW186">
        <f>SUM(Table1[[#This Row],[Savings - CAN]:[Savings - Sams]])+SUM(Table1[[#This Row],[Savings - Sams Mexico]:[Savings - Sams China]])+Table1[[#This Row],[Savings - IND]]</f>
        <v>0</v>
      </c>
      <c r="BX186">
        <f>SUM(Table1[[#This Row],[Spend - CAN]:[Spend - SAF]])+SUM(Table1[[#This Row],[Spend - Sams Mexico]:[Spend - Sams China]])+Table1[[#This Row],[Spend - IND]]</f>
        <v>52601435.750000007</v>
      </c>
      <c r="BY186">
        <f>SUM(Table1[[#This Row],[Savings - CAN]:[Savings - SAF]])+SUM(Table1[[#This Row],[Savings - Sams Mexico]:[Savings - Sams China]])+Table1[[#This Row],[Savings - IND]]</f>
        <v>0</v>
      </c>
      <c r="BZ186">
        <f>SUM(Table1[[#This Row],[Spend - US]:[Spend - Sams]])</f>
        <v>373549183</v>
      </c>
      <c r="CA186">
        <f>SUM(Table1[[#This Row],[Savings - US]:[Savings - Sams]])</f>
        <v>0</v>
      </c>
      <c r="CB186">
        <f>SUM(Table1[[#This Row],[Cost Avoidance - CAN2]:[Cost Avoidance - SAF10]])+SUM(Table1[[#This Row],[Cost Avoidance - Sams Mexico]:[Cost Avoidance - Sams China]])+Table1[[#This Row],[Cost Avoidance - IND]]</f>
        <v>0</v>
      </c>
      <c r="CC186">
        <f>SUM(Table1[[#This Row],[Cost Avoidance - US11]:[Cost Avoidance - Sams12]])</f>
        <v>0</v>
      </c>
      <c r="CD186" t="str">
        <f>_xlfn.XLOOKUP(Table1[[#This Row],[Status]],Status_Lookups[Status],Status_Lookups[Value],"")</f>
        <v/>
      </c>
    </row>
    <row r="187" spans="1:82">
      <c r="A187">
        <v>11</v>
      </c>
      <c r="B187" t="s">
        <v>98</v>
      </c>
      <c r="C187" t="s">
        <v>43</v>
      </c>
      <c r="D187" t="s">
        <v>39</v>
      </c>
      <c r="E187" s="15">
        <v>44287</v>
      </c>
      <c r="F187" s="15">
        <v>44408</v>
      </c>
      <c r="G187" s="15"/>
      <c r="H187" s="15"/>
      <c r="I187" t="s">
        <v>484</v>
      </c>
      <c r="J187" t="s">
        <v>459</v>
      </c>
      <c r="K187" t="s">
        <v>78</v>
      </c>
      <c r="L187">
        <v>0</v>
      </c>
      <c r="M187">
        <v>26108125.200000003</v>
      </c>
      <c r="N187">
        <v>12080490.719999999</v>
      </c>
      <c r="O187">
        <v>1311291.31</v>
      </c>
      <c r="P187">
        <v>3220298.81</v>
      </c>
      <c r="R187">
        <v>990649.87999999989</v>
      </c>
      <c r="V187">
        <v>373549183</v>
      </c>
      <c r="W187">
        <v>0</v>
      </c>
      <c r="X187" t="s">
        <v>78</v>
      </c>
      <c r="Y187" s="16">
        <v>44298.455802430559</v>
      </c>
      <c r="Z187" s="17" t="str">
        <f>_xlfn.XLOOKUP(Table1[[#This Row],[Phase]],'Lookup tables'!$Y$27:$Y$60,'Lookup tables'!$Z$27:$Z$60,"Not Updated")</f>
        <v>Bid Prep</v>
      </c>
      <c r="AA187" s="17" t="s">
        <v>654</v>
      </c>
      <c r="AB187">
        <v>0</v>
      </c>
      <c r="AC187">
        <v>0</v>
      </c>
      <c r="AD187">
        <v>0</v>
      </c>
      <c r="AE187">
        <v>0</v>
      </c>
      <c r="AF187">
        <v>0</v>
      </c>
      <c r="AG187">
        <v>0</v>
      </c>
      <c r="AH187">
        <v>0</v>
      </c>
      <c r="AI187">
        <v>0</v>
      </c>
      <c r="AJ187">
        <v>0</v>
      </c>
      <c r="AK187">
        <v>0</v>
      </c>
      <c r="AL187">
        <v>0</v>
      </c>
      <c r="AM187">
        <v>0</v>
      </c>
      <c r="AN187">
        <v>0</v>
      </c>
      <c r="AO187">
        <v>0</v>
      </c>
      <c r="AP187">
        <v>0</v>
      </c>
      <c r="AQ187">
        <v>0</v>
      </c>
      <c r="AR187">
        <v>0</v>
      </c>
      <c r="AS187">
        <v>0</v>
      </c>
      <c r="AT187">
        <v>0</v>
      </c>
      <c r="AU187">
        <v>0</v>
      </c>
      <c r="AV187">
        <v>0</v>
      </c>
      <c r="AW187">
        <v>0</v>
      </c>
      <c r="BG187" s="185"/>
      <c r="BH187" s="185"/>
      <c r="BI187" s="185"/>
      <c r="BJ187" s="185"/>
      <c r="BK187" s="185"/>
      <c r="BL187" s="185"/>
      <c r="BM187" s="185"/>
      <c r="BN187" s="185"/>
      <c r="BO187" s="185"/>
      <c r="BP187" s="185"/>
      <c r="BQ187" s="185"/>
      <c r="BR187" s="185"/>
      <c r="BS187" s="185"/>
      <c r="BT187" s="185"/>
      <c r="BU187" t="b">
        <f>IF(_xlfn.MAXIFS(Table1[Sl No],Table1[Category],Table1[[#This Row],[Category]],Table1[Execution Year],Table1[[#This Row],[Execution Year]])=Table1[[#This Row],[Sl No]],TRUE,FALSE)</f>
        <v>0</v>
      </c>
      <c r="BV187" s="201">
        <f>SUM(Table1[[#This Row],[Spend - CAN]:[Spend - Sams]])+SUM(Table1[[#This Row],[Spend - Sams Mexico]:[Spend - Sams China]])+Table1[[#This Row],[Spend - IND]]</f>
        <v>417260038.92000002</v>
      </c>
      <c r="BW187">
        <f>SUM(Table1[[#This Row],[Savings - CAN]:[Savings - Sams]])+SUM(Table1[[#This Row],[Savings - Sams Mexico]:[Savings - Sams China]])+Table1[[#This Row],[Savings - IND]]</f>
        <v>0</v>
      </c>
      <c r="BX187">
        <f>SUM(Table1[[#This Row],[Spend - CAN]:[Spend - SAF]])+SUM(Table1[[#This Row],[Spend - Sams Mexico]:[Spend - Sams China]])+Table1[[#This Row],[Spend - IND]]</f>
        <v>43710855.920000009</v>
      </c>
      <c r="BY187">
        <f>SUM(Table1[[#This Row],[Savings - CAN]:[Savings - SAF]])+SUM(Table1[[#This Row],[Savings - Sams Mexico]:[Savings - Sams China]])+Table1[[#This Row],[Savings - IND]]</f>
        <v>0</v>
      </c>
      <c r="BZ187">
        <f>SUM(Table1[[#This Row],[Spend - US]:[Spend - Sams]])</f>
        <v>373549183</v>
      </c>
      <c r="CA187">
        <f>SUM(Table1[[#This Row],[Savings - US]:[Savings - Sams]])</f>
        <v>0</v>
      </c>
      <c r="CB187">
        <f>SUM(Table1[[#This Row],[Cost Avoidance - CAN2]:[Cost Avoidance - SAF10]])+SUM(Table1[[#This Row],[Cost Avoidance - Sams Mexico]:[Cost Avoidance - Sams China]])+Table1[[#This Row],[Cost Avoidance - IND]]</f>
        <v>0</v>
      </c>
      <c r="CC187">
        <f>SUM(Table1[[#This Row],[Cost Avoidance - US11]:[Cost Avoidance - Sams12]])</f>
        <v>0</v>
      </c>
      <c r="CD187">
        <f>_xlfn.XLOOKUP(Table1[[#This Row],[Status]],Status_Lookups[Status],Status_Lookups[Value],"")</f>
        <v>0.3</v>
      </c>
    </row>
    <row r="188" spans="1:82">
      <c r="A188">
        <v>12</v>
      </c>
      <c r="B188" t="s">
        <v>98</v>
      </c>
      <c r="C188" t="s">
        <v>43</v>
      </c>
      <c r="D188" t="s">
        <v>39</v>
      </c>
      <c r="E188" s="15">
        <v>44317</v>
      </c>
      <c r="F188" s="15">
        <v>44408</v>
      </c>
      <c r="G188" s="15"/>
      <c r="H188" s="15"/>
      <c r="I188" t="s">
        <v>484</v>
      </c>
      <c r="J188" t="s">
        <v>459</v>
      </c>
      <c r="K188" t="s">
        <v>78</v>
      </c>
      <c r="L188">
        <v>0</v>
      </c>
      <c r="M188">
        <v>26108125.200000003</v>
      </c>
      <c r="N188">
        <v>12080490.719999999</v>
      </c>
      <c r="O188">
        <v>1311291.31</v>
      </c>
      <c r="P188">
        <v>3220298.81</v>
      </c>
      <c r="R188">
        <v>990649.87999999989</v>
      </c>
      <c r="V188">
        <v>373549183</v>
      </c>
      <c r="W188">
        <v>0</v>
      </c>
      <c r="X188" t="s">
        <v>78</v>
      </c>
      <c r="Y188" s="16">
        <v>44301.394756481481</v>
      </c>
      <c r="Z188" s="17" t="str">
        <f>_xlfn.XLOOKUP(Table1[[#This Row],[Phase]],'Lookup tables'!$Y$27:$Y$60,'Lookup tables'!$Z$27:$Z$60,"Not Updated")</f>
        <v>Bid Prep</v>
      </c>
      <c r="AA188" s="17" t="s">
        <v>654</v>
      </c>
      <c r="AB188">
        <v>0</v>
      </c>
      <c r="AC188">
        <v>0</v>
      </c>
      <c r="AD188">
        <v>0</v>
      </c>
      <c r="AE188">
        <v>0</v>
      </c>
      <c r="AF188">
        <v>0</v>
      </c>
      <c r="AG188">
        <v>0</v>
      </c>
      <c r="AH188">
        <v>0</v>
      </c>
      <c r="AI188">
        <v>0</v>
      </c>
      <c r="AJ188">
        <v>0</v>
      </c>
      <c r="AK188">
        <v>0</v>
      </c>
      <c r="AL188">
        <v>0</v>
      </c>
      <c r="AM188">
        <v>0</v>
      </c>
      <c r="AN188">
        <v>0</v>
      </c>
      <c r="AO188">
        <v>0</v>
      </c>
      <c r="AP188">
        <v>0</v>
      </c>
      <c r="AQ188">
        <v>0</v>
      </c>
      <c r="AR188">
        <v>0</v>
      </c>
      <c r="AS188">
        <v>0</v>
      </c>
      <c r="AT188">
        <v>0</v>
      </c>
      <c r="AU188">
        <v>0</v>
      </c>
      <c r="AV188">
        <v>0</v>
      </c>
      <c r="AW188">
        <v>0</v>
      </c>
      <c r="BG188" s="185"/>
      <c r="BH188" s="185"/>
      <c r="BI188" s="185"/>
      <c r="BJ188" s="185"/>
      <c r="BK188" s="185"/>
      <c r="BL188" s="185"/>
      <c r="BM188" s="185"/>
      <c r="BN188" s="185"/>
      <c r="BO188" s="185"/>
      <c r="BP188" s="185"/>
      <c r="BQ188" s="185"/>
      <c r="BR188" s="185"/>
      <c r="BS188" s="185"/>
      <c r="BT188" s="185"/>
      <c r="BU188" t="b">
        <f>IF(_xlfn.MAXIFS(Table1[Sl No],Table1[Category],Table1[[#This Row],[Category]],Table1[Execution Year],Table1[[#This Row],[Execution Year]])=Table1[[#This Row],[Sl No]],TRUE,FALSE)</f>
        <v>0</v>
      </c>
      <c r="BV188" s="201">
        <f>SUM(Table1[[#This Row],[Spend - CAN]:[Spend - Sams]])+SUM(Table1[[#This Row],[Spend - Sams Mexico]:[Spend - Sams China]])+Table1[[#This Row],[Spend - IND]]</f>
        <v>417260038.92000002</v>
      </c>
      <c r="BW188">
        <f>SUM(Table1[[#This Row],[Savings - CAN]:[Savings - Sams]])+SUM(Table1[[#This Row],[Savings - Sams Mexico]:[Savings - Sams China]])+Table1[[#This Row],[Savings - IND]]</f>
        <v>0</v>
      </c>
      <c r="BX188">
        <f>SUM(Table1[[#This Row],[Spend - CAN]:[Spend - SAF]])+SUM(Table1[[#This Row],[Spend - Sams Mexico]:[Spend - Sams China]])+Table1[[#This Row],[Spend - IND]]</f>
        <v>43710855.920000009</v>
      </c>
      <c r="BY188">
        <f>SUM(Table1[[#This Row],[Savings - CAN]:[Savings - SAF]])+SUM(Table1[[#This Row],[Savings - Sams Mexico]:[Savings - Sams China]])+Table1[[#This Row],[Savings - IND]]</f>
        <v>0</v>
      </c>
      <c r="BZ188">
        <f>SUM(Table1[[#This Row],[Spend - US]:[Spend - Sams]])</f>
        <v>373549183</v>
      </c>
      <c r="CA188">
        <f>SUM(Table1[[#This Row],[Savings - US]:[Savings - Sams]])</f>
        <v>0</v>
      </c>
      <c r="CB188">
        <f>SUM(Table1[[#This Row],[Cost Avoidance - CAN2]:[Cost Avoidance - SAF10]])+SUM(Table1[[#This Row],[Cost Avoidance - Sams Mexico]:[Cost Avoidance - Sams China]])+Table1[[#This Row],[Cost Avoidance - IND]]</f>
        <v>0</v>
      </c>
      <c r="CC188">
        <f>SUM(Table1[[#This Row],[Cost Avoidance - US11]:[Cost Avoidance - Sams12]])</f>
        <v>0</v>
      </c>
      <c r="CD188">
        <f>_xlfn.XLOOKUP(Table1[[#This Row],[Status]],Status_Lookups[Status],Status_Lookups[Value],"")</f>
        <v>0.3</v>
      </c>
    </row>
    <row r="189" spans="1:82">
      <c r="A189">
        <v>13</v>
      </c>
      <c r="B189" t="s">
        <v>98</v>
      </c>
      <c r="C189" t="s">
        <v>43</v>
      </c>
      <c r="D189" t="s">
        <v>39</v>
      </c>
      <c r="E189" s="15">
        <v>44317</v>
      </c>
      <c r="F189" s="15">
        <v>44409</v>
      </c>
      <c r="G189" s="15"/>
      <c r="H189" s="15"/>
      <c r="I189" t="s">
        <v>484</v>
      </c>
      <c r="J189" t="s">
        <v>459</v>
      </c>
      <c r="K189" t="s">
        <v>78</v>
      </c>
      <c r="L189">
        <v>0</v>
      </c>
      <c r="M189">
        <v>26108125.200000003</v>
      </c>
      <c r="N189">
        <v>12080490.719999999</v>
      </c>
      <c r="O189">
        <v>1311291.31</v>
      </c>
      <c r="P189">
        <v>3220298.81</v>
      </c>
      <c r="R189">
        <v>990649.87999999989</v>
      </c>
      <c r="V189">
        <v>373549183</v>
      </c>
      <c r="W189">
        <v>0</v>
      </c>
      <c r="X189" t="s">
        <v>78</v>
      </c>
      <c r="Y189" s="16">
        <v>44301.432274074075</v>
      </c>
      <c r="Z189" s="17" t="str">
        <f>_xlfn.XLOOKUP(Table1[[#This Row],[Phase]],'Lookup tables'!$Y$27:$Y$60,'Lookup tables'!$Z$27:$Z$60,"Not Updated")</f>
        <v>Bid Prep</v>
      </c>
      <c r="AA189" s="17" t="s">
        <v>654</v>
      </c>
      <c r="AB189">
        <v>0</v>
      </c>
      <c r="AC189">
        <v>0</v>
      </c>
      <c r="AD189">
        <v>0</v>
      </c>
      <c r="AE189">
        <v>0</v>
      </c>
      <c r="AF189">
        <v>0</v>
      </c>
      <c r="AG189">
        <v>0</v>
      </c>
      <c r="AH189">
        <v>0</v>
      </c>
      <c r="AI189">
        <v>0</v>
      </c>
      <c r="AJ189">
        <v>0</v>
      </c>
      <c r="AK189">
        <v>0</v>
      </c>
      <c r="AL189">
        <v>0</v>
      </c>
      <c r="AM189">
        <v>0</v>
      </c>
      <c r="AN189">
        <v>0</v>
      </c>
      <c r="AO189">
        <v>0</v>
      </c>
      <c r="AP189">
        <v>0</v>
      </c>
      <c r="AQ189">
        <v>0</v>
      </c>
      <c r="AR189">
        <v>0</v>
      </c>
      <c r="AS189">
        <v>0</v>
      </c>
      <c r="AT189">
        <v>0</v>
      </c>
      <c r="AU189">
        <v>0</v>
      </c>
      <c r="AV189">
        <v>0</v>
      </c>
      <c r="AW189">
        <v>0</v>
      </c>
      <c r="BG189" s="185"/>
      <c r="BH189" s="185"/>
      <c r="BI189" s="185"/>
      <c r="BJ189" s="185"/>
      <c r="BK189" s="185"/>
      <c r="BL189" s="185"/>
      <c r="BM189" s="185"/>
      <c r="BN189" s="185"/>
      <c r="BO189" s="185"/>
      <c r="BP189" s="185"/>
      <c r="BQ189" s="185"/>
      <c r="BR189" s="185"/>
      <c r="BS189" s="185"/>
      <c r="BT189" s="185"/>
      <c r="BU189" t="b">
        <f>IF(_xlfn.MAXIFS(Table1[Sl No],Table1[Category],Table1[[#This Row],[Category]],Table1[Execution Year],Table1[[#This Row],[Execution Year]])=Table1[[#This Row],[Sl No]],TRUE,FALSE)</f>
        <v>0</v>
      </c>
      <c r="BV189" s="201">
        <f>SUM(Table1[[#This Row],[Spend - CAN]:[Spend - Sams]])+SUM(Table1[[#This Row],[Spend - Sams Mexico]:[Spend - Sams China]])+Table1[[#This Row],[Spend - IND]]</f>
        <v>417260038.92000002</v>
      </c>
      <c r="BW189">
        <f>SUM(Table1[[#This Row],[Savings - CAN]:[Savings - Sams]])+SUM(Table1[[#This Row],[Savings - Sams Mexico]:[Savings - Sams China]])+Table1[[#This Row],[Savings - IND]]</f>
        <v>0</v>
      </c>
      <c r="BX189">
        <f>SUM(Table1[[#This Row],[Spend - CAN]:[Spend - SAF]])+SUM(Table1[[#This Row],[Spend - Sams Mexico]:[Spend - Sams China]])+Table1[[#This Row],[Spend - IND]]</f>
        <v>43710855.920000009</v>
      </c>
      <c r="BY189">
        <f>SUM(Table1[[#This Row],[Savings - CAN]:[Savings - SAF]])+SUM(Table1[[#This Row],[Savings - Sams Mexico]:[Savings - Sams China]])+Table1[[#This Row],[Savings - IND]]</f>
        <v>0</v>
      </c>
      <c r="BZ189">
        <f>SUM(Table1[[#This Row],[Spend - US]:[Spend - Sams]])</f>
        <v>373549183</v>
      </c>
      <c r="CA189">
        <f>SUM(Table1[[#This Row],[Savings - US]:[Savings - Sams]])</f>
        <v>0</v>
      </c>
      <c r="CB189">
        <f>SUM(Table1[[#This Row],[Cost Avoidance - CAN2]:[Cost Avoidance - SAF10]])+SUM(Table1[[#This Row],[Cost Avoidance - Sams Mexico]:[Cost Avoidance - Sams China]])+Table1[[#This Row],[Cost Avoidance - IND]]</f>
        <v>0</v>
      </c>
      <c r="CC189">
        <f>SUM(Table1[[#This Row],[Cost Avoidance - US11]:[Cost Avoidance - Sams12]])</f>
        <v>0</v>
      </c>
      <c r="CD189">
        <f>_xlfn.XLOOKUP(Table1[[#This Row],[Status]],Status_Lookups[Status],Status_Lookups[Value],"")</f>
        <v>0.3</v>
      </c>
    </row>
    <row r="190" spans="1:82">
      <c r="A190">
        <v>14</v>
      </c>
      <c r="B190" t="s">
        <v>98</v>
      </c>
      <c r="C190" t="s">
        <v>43</v>
      </c>
      <c r="D190" t="s">
        <v>39</v>
      </c>
      <c r="E190" s="15">
        <v>44317</v>
      </c>
      <c r="F190" s="15">
        <v>44409</v>
      </c>
      <c r="G190" s="15"/>
      <c r="H190" s="15"/>
      <c r="I190" t="s">
        <v>458</v>
      </c>
      <c r="J190" t="s">
        <v>459</v>
      </c>
      <c r="K190" t="s">
        <v>78</v>
      </c>
      <c r="L190">
        <v>0</v>
      </c>
      <c r="M190">
        <v>26108125.200000003</v>
      </c>
      <c r="N190">
        <v>12080490.719999999</v>
      </c>
      <c r="O190">
        <v>1311291.31</v>
      </c>
      <c r="P190">
        <v>3220298.81</v>
      </c>
      <c r="R190">
        <v>990649.87999999989</v>
      </c>
      <c r="V190">
        <v>373549183</v>
      </c>
      <c r="W190">
        <v>0</v>
      </c>
      <c r="X190" t="s">
        <v>78</v>
      </c>
      <c r="Y190" s="16">
        <v>44301.599409490744</v>
      </c>
      <c r="Z190" s="17" t="str">
        <f>_xlfn.XLOOKUP(Table1[[#This Row],[Phase]],'Lookup tables'!$Y$27:$Y$60,'Lookup tables'!$Z$27:$Z$60,"Not Updated")</f>
        <v>Exploratory</v>
      </c>
      <c r="AA190" s="17" t="s">
        <v>654</v>
      </c>
      <c r="AB190">
        <v>0</v>
      </c>
      <c r="AC190">
        <v>0</v>
      </c>
      <c r="AD190">
        <v>0</v>
      </c>
      <c r="AE190">
        <v>0</v>
      </c>
      <c r="AF190">
        <v>0</v>
      </c>
      <c r="AG190">
        <v>0</v>
      </c>
      <c r="AH190">
        <v>0</v>
      </c>
      <c r="AI190">
        <v>0</v>
      </c>
      <c r="AJ190">
        <v>0</v>
      </c>
      <c r="AK190">
        <v>0</v>
      </c>
      <c r="AL190">
        <v>0</v>
      </c>
      <c r="AM190">
        <v>0</v>
      </c>
      <c r="AN190">
        <v>0</v>
      </c>
      <c r="AO190">
        <v>0</v>
      </c>
      <c r="AP190">
        <v>0</v>
      </c>
      <c r="AQ190">
        <v>0</v>
      </c>
      <c r="AR190">
        <v>0</v>
      </c>
      <c r="AS190">
        <v>0</v>
      </c>
      <c r="AT190">
        <v>0</v>
      </c>
      <c r="AU190">
        <v>0</v>
      </c>
      <c r="AV190">
        <v>0</v>
      </c>
      <c r="AW190">
        <v>0</v>
      </c>
      <c r="BG190" s="185"/>
      <c r="BH190" s="185"/>
      <c r="BI190" s="185"/>
      <c r="BJ190" s="185"/>
      <c r="BK190" s="185"/>
      <c r="BL190" s="185"/>
      <c r="BM190" s="185"/>
      <c r="BN190" s="185"/>
      <c r="BO190" s="185"/>
      <c r="BP190" s="185"/>
      <c r="BQ190" s="185"/>
      <c r="BR190" s="185"/>
      <c r="BS190" s="185"/>
      <c r="BT190" s="185"/>
      <c r="BU190" t="b">
        <f>IF(_xlfn.MAXIFS(Table1[Sl No],Table1[Category],Table1[[#This Row],[Category]],Table1[Execution Year],Table1[[#This Row],[Execution Year]])=Table1[[#This Row],[Sl No]],TRUE,FALSE)</f>
        <v>0</v>
      </c>
      <c r="BV190" s="201">
        <f>SUM(Table1[[#This Row],[Spend - CAN]:[Spend - Sams]])+SUM(Table1[[#This Row],[Spend - Sams Mexico]:[Spend - Sams China]])+Table1[[#This Row],[Spend - IND]]</f>
        <v>417260038.92000002</v>
      </c>
      <c r="BW190">
        <f>SUM(Table1[[#This Row],[Savings - CAN]:[Savings - Sams]])+SUM(Table1[[#This Row],[Savings - Sams Mexico]:[Savings - Sams China]])+Table1[[#This Row],[Savings - IND]]</f>
        <v>0</v>
      </c>
      <c r="BX190">
        <f>SUM(Table1[[#This Row],[Spend - CAN]:[Spend - SAF]])+SUM(Table1[[#This Row],[Spend - Sams Mexico]:[Spend - Sams China]])+Table1[[#This Row],[Spend - IND]]</f>
        <v>43710855.920000009</v>
      </c>
      <c r="BY190">
        <f>SUM(Table1[[#This Row],[Savings - CAN]:[Savings - SAF]])+SUM(Table1[[#This Row],[Savings - Sams Mexico]:[Savings - Sams China]])+Table1[[#This Row],[Savings - IND]]</f>
        <v>0</v>
      </c>
      <c r="BZ190">
        <f>SUM(Table1[[#This Row],[Spend - US]:[Spend - Sams]])</f>
        <v>373549183</v>
      </c>
      <c r="CA190">
        <f>SUM(Table1[[#This Row],[Savings - US]:[Savings - Sams]])</f>
        <v>0</v>
      </c>
      <c r="CB190">
        <f>SUM(Table1[[#This Row],[Cost Avoidance - CAN2]:[Cost Avoidance - SAF10]])+SUM(Table1[[#This Row],[Cost Avoidance - Sams Mexico]:[Cost Avoidance - Sams China]])+Table1[[#This Row],[Cost Avoidance - IND]]</f>
        <v>0</v>
      </c>
      <c r="CC190">
        <f>SUM(Table1[[#This Row],[Cost Avoidance - US11]:[Cost Avoidance - Sams12]])</f>
        <v>0</v>
      </c>
      <c r="CD190">
        <f>_xlfn.XLOOKUP(Table1[[#This Row],[Status]],Status_Lookups[Status],Status_Lookups[Value],"")</f>
        <v>0.3</v>
      </c>
    </row>
    <row r="191" spans="1:82">
      <c r="A191">
        <v>15</v>
      </c>
      <c r="B191" t="s">
        <v>98</v>
      </c>
      <c r="C191" t="s">
        <v>43</v>
      </c>
      <c r="D191" t="s">
        <v>39</v>
      </c>
      <c r="E191" s="15">
        <v>44317</v>
      </c>
      <c r="F191" s="15">
        <v>44409</v>
      </c>
      <c r="G191" s="15"/>
      <c r="H191" s="15"/>
      <c r="I191" t="s">
        <v>484</v>
      </c>
      <c r="J191" t="s">
        <v>459</v>
      </c>
      <c r="K191" t="s">
        <v>78</v>
      </c>
      <c r="L191">
        <v>0</v>
      </c>
      <c r="M191">
        <v>26108125.200000003</v>
      </c>
      <c r="N191">
        <v>12080490.719999999</v>
      </c>
      <c r="O191">
        <v>1311291.31</v>
      </c>
      <c r="P191">
        <v>3220298.81</v>
      </c>
      <c r="R191">
        <v>990649.87999999989</v>
      </c>
      <c r="V191">
        <v>373549183</v>
      </c>
      <c r="W191">
        <v>0</v>
      </c>
      <c r="X191" t="s">
        <v>78</v>
      </c>
      <c r="Y191" s="16">
        <v>44302.356828356482</v>
      </c>
      <c r="Z191" s="17" t="str">
        <f>_xlfn.XLOOKUP(Table1[[#This Row],[Phase]],'Lookup tables'!$Y$27:$Y$60,'Lookup tables'!$Z$27:$Z$60,"Not Updated")</f>
        <v>Bid Prep</v>
      </c>
      <c r="AA191" s="17" t="s">
        <v>654</v>
      </c>
      <c r="AB191">
        <v>0</v>
      </c>
      <c r="AC191">
        <v>0</v>
      </c>
      <c r="AD191">
        <v>0</v>
      </c>
      <c r="AE191">
        <v>0</v>
      </c>
      <c r="AF191">
        <v>0</v>
      </c>
      <c r="AG191">
        <v>0</v>
      </c>
      <c r="AH191">
        <v>0</v>
      </c>
      <c r="AI191">
        <v>0</v>
      </c>
      <c r="AJ191">
        <v>0</v>
      </c>
      <c r="AK191">
        <v>0</v>
      </c>
      <c r="AL191">
        <v>0</v>
      </c>
      <c r="AM191">
        <v>0</v>
      </c>
      <c r="AN191">
        <v>0</v>
      </c>
      <c r="AO191">
        <v>0</v>
      </c>
      <c r="AP191">
        <v>0</v>
      </c>
      <c r="AQ191">
        <v>0</v>
      </c>
      <c r="AR191">
        <v>0</v>
      </c>
      <c r="AS191">
        <v>0</v>
      </c>
      <c r="AT191">
        <v>0</v>
      </c>
      <c r="AU191">
        <v>0</v>
      </c>
      <c r="AV191">
        <v>0</v>
      </c>
      <c r="AW191">
        <v>0</v>
      </c>
      <c r="BG191" s="185"/>
      <c r="BH191" s="185"/>
      <c r="BI191" s="185"/>
      <c r="BJ191" s="185"/>
      <c r="BK191" s="185"/>
      <c r="BL191" s="185"/>
      <c r="BM191" s="185"/>
      <c r="BN191" s="185"/>
      <c r="BO191" s="185"/>
      <c r="BP191" s="185"/>
      <c r="BQ191" s="185"/>
      <c r="BR191" s="185"/>
      <c r="BS191" s="185"/>
      <c r="BT191" s="185"/>
      <c r="BU191" t="b">
        <f>IF(_xlfn.MAXIFS(Table1[Sl No],Table1[Category],Table1[[#This Row],[Category]],Table1[Execution Year],Table1[[#This Row],[Execution Year]])=Table1[[#This Row],[Sl No]],TRUE,FALSE)</f>
        <v>0</v>
      </c>
      <c r="BV191" s="201">
        <f>SUM(Table1[[#This Row],[Spend - CAN]:[Spend - Sams]])+SUM(Table1[[#This Row],[Spend - Sams Mexico]:[Spend - Sams China]])+Table1[[#This Row],[Spend - IND]]</f>
        <v>417260038.92000002</v>
      </c>
      <c r="BW191">
        <f>SUM(Table1[[#This Row],[Savings - CAN]:[Savings - Sams]])+SUM(Table1[[#This Row],[Savings - Sams Mexico]:[Savings - Sams China]])+Table1[[#This Row],[Savings - IND]]</f>
        <v>0</v>
      </c>
      <c r="BX191">
        <f>SUM(Table1[[#This Row],[Spend - CAN]:[Spend - SAF]])+SUM(Table1[[#This Row],[Spend - Sams Mexico]:[Spend - Sams China]])+Table1[[#This Row],[Spend - IND]]</f>
        <v>43710855.920000009</v>
      </c>
      <c r="BY191">
        <f>SUM(Table1[[#This Row],[Savings - CAN]:[Savings - SAF]])+SUM(Table1[[#This Row],[Savings - Sams Mexico]:[Savings - Sams China]])+Table1[[#This Row],[Savings - IND]]</f>
        <v>0</v>
      </c>
      <c r="BZ191">
        <f>SUM(Table1[[#This Row],[Spend - US]:[Spend - Sams]])</f>
        <v>373549183</v>
      </c>
      <c r="CA191">
        <f>SUM(Table1[[#This Row],[Savings - US]:[Savings - Sams]])</f>
        <v>0</v>
      </c>
      <c r="CB191">
        <f>SUM(Table1[[#This Row],[Cost Avoidance - CAN2]:[Cost Avoidance - SAF10]])+SUM(Table1[[#This Row],[Cost Avoidance - Sams Mexico]:[Cost Avoidance - Sams China]])+Table1[[#This Row],[Cost Avoidance - IND]]</f>
        <v>0</v>
      </c>
      <c r="CC191">
        <f>SUM(Table1[[#This Row],[Cost Avoidance - US11]:[Cost Avoidance - Sams12]])</f>
        <v>0</v>
      </c>
      <c r="CD191">
        <f>_xlfn.XLOOKUP(Table1[[#This Row],[Status]],Status_Lookups[Status],Status_Lookups[Value],"")</f>
        <v>0.3</v>
      </c>
    </row>
    <row r="192" spans="1:82">
      <c r="A192">
        <v>16</v>
      </c>
      <c r="B192" t="s">
        <v>98</v>
      </c>
      <c r="C192" t="s">
        <v>43</v>
      </c>
      <c r="D192" t="s">
        <v>39</v>
      </c>
      <c r="E192" s="15">
        <v>44317</v>
      </c>
      <c r="F192" s="15">
        <v>44409</v>
      </c>
      <c r="G192" s="15">
        <v>0</v>
      </c>
      <c r="H192" s="15">
        <v>0</v>
      </c>
      <c r="I192" t="s">
        <v>484</v>
      </c>
      <c r="J192" t="s">
        <v>459</v>
      </c>
      <c r="K192" t="s">
        <v>78</v>
      </c>
      <c r="L192">
        <v>0</v>
      </c>
      <c r="M192">
        <v>13258410.199999999</v>
      </c>
      <c r="N192">
        <v>12080490.719999999</v>
      </c>
      <c r="O192">
        <v>1311291.31</v>
      </c>
      <c r="P192">
        <v>3220298.81</v>
      </c>
      <c r="R192">
        <v>990649.87999999989</v>
      </c>
      <c r="V192">
        <v>373549183</v>
      </c>
      <c r="W192">
        <v>0</v>
      </c>
      <c r="X192" t="s">
        <v>78</v>
      </c>
      <c r="Y192" s="16">
        <v>44322.363905787039</v>
      </c>
      <c r="Z192" s="17" t="str">
        <f>_xlfn.XLOOKUP(Table1[[#This Row],[Phase]],'Lookup tables'!$Y$27:$Y$60,'Lookup tables'!$Z$27:$Z$60,"Not Updated")</f>
        <v>Bid Prep</v>
      </c>
      <c r="AA192" s="17" t="s">
        <v>654</v>
      </c>
      <c r="AB192">
        <v>0</v>
      </c>
      <c r="AC192">
        <v>0</v>
      </c>
      <c r="AD192">
        <v>0</v>
      </c>
      <c r="AE192">
        <v>0</v>
      </c>
      <c r="AF192">
        <v>0</v>
      </c>
      <c r="AG192">
        <v>0</v>
      </c>
      <c r="AH192">
        <v>0</v>
      </c>
      <c r="AI192">
        <v>0</v>
      </c>
      <c r="AJ192">
        <v>0</v>
      </c>
      <c r="AK192">
        <v>0</v>
      </c>
      <c r="AL192">
        <v>0</v>
      </c>
      <c r="AM192">
        <v>0</v>
      </c>
      <c r="AN192">
        <v>0</v>
      </c>
      <c r="AO192">
        <v>0</v>
      </c>
      <c r="AP192">
        <v>0</v>
      </c>
      <c r="AQ192">
        <v>0</v>
      </c>
      <c r="AR192">
        <v>0</v>
      </c>
      <c r="AS192">
        <v>0</v>
      </c>
      <c r="AT192">
        <v>0</v>
      </c>
      <c r="AU192">
        <v>0</v>
      </c>
      <c r="AV192">
        <v>0</v>
      </c>
      <c r="AW192">
        <v>0</v>
      </c>
      <c r="BG192" s="185"/>
      <c r="BH192" s="185"/>
      <c r="BI192" s="185"/>
      <c r="BJ192" s="185"/>
      <c r="BK192" s="185"/>
      <c r="BL192" s="185"/>
      <c r="BM192" s="185"/>
      <c r="BN192" s="185"/>
      <c r="BO192" s="185"/>
      <c r="BP192" s="185"/>
      <c r="BQ192" s="185"/>
      <c r="BR192" s="185"/>
      <c r="BS192" s="185"/>
      <c r="BT192" s="185"/>
      <c r="BU192" t="b">
        <f>IF(_xlfn.MAXIFS(Table1[Sl No],Table1[Category],Table1[[#This Row],[Category]],Table1[Execution Year],Table1[[#This Row],[Execution Year]])=Table1[[#This Row],[Sl No]],TRUE,FALSE)</f>
        <v>0</v>
      </c>
      <c r="BV192" s="201">
        <f>SUM(Table1[[#This Row],[Spend - CAN]:[Spend - Sams]])+SUM(Table1[[#This Row],[Spend - Sams Mexico]:[Spend - Sams China]])+Table1[[#This Row],[Spend - IND]]</f>
        <v>404410323.92000002</v>
      </c>
      <c r="BW192">
        <f>SUM(Table1[[#This Row],[Savings - CAN]:[Savings - Sams]])+SUM(Table1[[#This Row],[Savings - Sams Mexico]:[Savings - Sams China]])+Table1[[#This Row],[Savings - IND]]</f>
        <v>0</v>
      </c>
      <c r="BX192">
        <f>SUM(Table1[[#This Row],[Spend - CAN]:[Spend - SAF]])+SUM(Table1[[#This Row],[Spend - Sams Mexico]:[Spend - Sams China]])+Table1[[#This Row],[Spend - IND]]</f>
        <v>30861140.919999994</v>
      </c>
      <c r="BY192">
        <f>SUM(Table1[[#This Row],[Savings - CAN]:[Savings - SAF]])+SUM(Table1[[#This Row],[Savings - Sams Mexico]:[Savings - Sams China]])+Table1[[#This Row],[Savings - IND]]</f>
        <v>0</v>
      </c>
      <c r="BZ192">
        <f>SUM(Table1[[#This Row],[Spend - US]:[Spend - Sams]])</f>
        <v>373549183</v>
      </c>
      <c r="CA192">
        <f>SUM(Table1[[#This Row],[Savings - US]:[Savings - Sams]])</f>
        <v>0</v>
      </c>
      <c r="CB192">
        <f>SUM(Table1[[#This Row],[Cost Avoidance - CAN2]:[Cost Avoidance - SAF10]])+SUM(Table1[[#This Row],[Cost Avoidance - Sams Mexico]:[Cost Avoidance - Sams China]])+Table1[[#This Row],[Cost Avoidance - IND]]</f>
        <v>0</v>
      </c>
      <c r="CC192">
        <f>SUM(Table1[[#This Row],[Cost Avoidance - US11]:[Cost Avoidance - Sams12]])</f>
        <v>0</v>
      </c>
      <c r="CD192">
        <f>_xlfn.XLOOKUP(Table1[[#This Row],[Status]],Status_Lookups[Status],Status_Lookups[Value],"")</f>
        <v>0.3</v>
      </c>
    </row>
    <row r="193" spans="1:82">
      <c r="A193">
        <v>17</v>
      </c>
      <c r="B193" t="s">
        <v>98</v>
      </c>
      <c r="C193" t="s">
        <v>43</v>
      </c>
      <c r="D193" t="s">
        <v>39</v>
      </c>
      <c r="E193" s="15">
        <v>44317</v>
      </c>
      <c r="F193" s="15">
        <v>44409</v>
      </c>
      <c r="G193" s="15">
        <v>0</v>
      </c>
      <c r="H193" s="15">
        <v>0</v>
      </c>
      <c r="I193" t="s">
        <v>484</v>
      </c>
      <c r="J193" t="s">
        <v>459</v>
      </c>
      <c r="K193" t="s">
        <v>78</v>
      </c>
      <c r="L193">
        <v>0</v>
      </c>
      <c r="M193">
        <v>13258410.199999999</v>
      </c>
      <c r="N193">
        <v>12080490.719999999</v>
      </c>
      <c r="O193">
        <v>1311291.31</v>
      </c>
      <c r="P193">
        <v>3220298.81</v>
      </c>
      <c r="R193">
        <v>990649.87999999989</v>
      </c>
      <c r="V193">
        <v>373549183</v>
      </c>
      <c r="W193">
        <v>104000000</v>
      </c>
      <c r="X193" t="s">
        <v>78</v>
      </c>
      <c r="Y193" s="16">
        <v>44322.36958402778</v>
      </c>
      <c r="Z193" s="17" t="str">
        <f>_xlfn.XLOOKUP(Table1[[#This Row],[Phase]],'Lookup tables'!$Y$27:$Y$60,'Lookup tables'!$Z$27:$Z$60,"Not Updated")</f>
        <v>Bid Prep</v>
      </c>
      <c r="AA193" s="17" t="s">
        <v>654</v>
      </c>
      <c r="AB193">
        <v>0</v>
      </c>
      <c r="AC193">
        <v>0</v>
      </c>
      <c r="AD193">
        <v>0</v>
      </c>
      <c r="AE193">
        <v>0</v>
      </c>
      <c r="AF193">
        <v>0</v>
      </c>
      <c r="AG193">
        <v>0</v>
      </c>
      <c r="AH193">
        <v>0</v>
      </c>
      <c r="AI193">
        <v>0</v>
      </c>
      <c r="AJ193">
        <v>0</v>
      </c>
      <c r="AK193">
        <v>0</v>
      </c>
      <c r="AL193">
        <v>0</v>
      </c>
      <c r="AM193">
        <v>0</v>
      </c>
      <c r="AN193">
        <v>0</v>
      </c>
      <c r="AO193">
        <v>0</v>
      </c>
      <c r="AP193">
        <v>0</v>
      </c>
      <c r="AQ193">
        <v>0</v>
      </c>
      <c r="AR193">
        <v>0</v>
      </c>
      <c r="AS193">
        <v>0</v>
      </c>
      <c r="AT193">
        <v>0</v>
      </c>
      <c r="AU193">
        <v>0</v>
      </c>
      <c r="AV193">
        <v>0</v>
      </c>
      <c r="AW193">
        <v>0</v>
      </c>
      <c r="BG193" s="185"/>
      <c r="BH193" s="185"/>
      <c r="BI193" s="185"/>
      <c r="BJ193" s="185"/>
      <c r="BK193" s="185"/>
      <c r="BL193" s="185"/>
      <c r="BM193" s="185"/>
      <c r="BN193" s="185"/>
      <c r="BO193" s="185"/>
      <c r="BP193" s="185"/>
      <c r="BQ193" s="185"/>
      <c r="BR193" s="185"/>
      <c r="BS193" s="185"/>
      <c r="BT193" s="185"/>
      <c r="BU193" t="b">
        <f>IF(_xlfn.MAXIFS(Table1[Sl No],Table1[Category],Table1[[#This Row],[Category]],Table1[Execution Year],Table1[[#This Row],[Execution Year]])=Table1[[#This Row],[Sl No]],TRUE,FALSE)</f>
        <v>0</v>
      </c>
      <c r="BV193" s="201">
        <f>SUM(Table1[[#This Row],[Spend - CAN]:[Spend - Sams]])+SUM(Table1[[#This Row],[Spend - Sams Mexico]:[Spend - Sams China]])+Table1[[#This Row],[Spend - IND]]</f>
        <v>508410323.92000002</v>
      </c>
      <c r="BW193">
        <f>SUM(Table1[[#This Row],[Savings - CAN]:[Savings - Sams]])+SUM(Table1[[#This Row],[Savings - Sams Mexico]:[Savings - Sams China]])+Table1[[#This Row],[Savings - IND]]</f>
        <v>0</v>
      </c>
      <c r="BX193">
        <f>SUM(Table1[[#This Row],[Spend - CAN]:[Spend - SAF]])+SUM(Table1[[#This Row],[Spend - Sams Mexico]:[Spend - Sams China]])+Table1[[#This Row],[Spend - IND]]</f>
        <v>30861140.919999994</v>
      </c>
      <c r="BY193">
        <f>SUM(Table1[[#This Row],[Savings - CAN]:[Savings - SAF]])+SUM(Table1[[#This Row],[Savings - Sams Mexico]:[Savings - Sams China]])+Table1[[#This Row],[Savings - IND]]</f>
        <v>0</v>
      </c>
      <c r="BZ193">
        <f>SUM(Table1[[#This Row],[Spend - US]:[Spend - Sams]])</f>
        <v>477549183</v>
      </c>
      <c r="CA193">
        <f>SUM(Table1[[#This Row],[Savings - US]:[Savings - Sams]])</f>
        <v>0</v>
      </c>
      <c r="CB193">
        <f>SUM(Table1[[#This Row],[Cost Avoidance - CAN2]:[Cost Avoidance - SAF10]])+SUM(Table1[[#This Row],[Cost Avoidance - Sams Mexico]:[Cost Avoidance - Sams China]])+Table1[[#This Row],[Cost Avoidance - IND]]</f>
        <v>0</v>
      </c>
      <c r="CC193">
        <f>SUM(Table1[[#This Row],[Cost Avoidance - US11]:[Cost Avoidance - Sams12]])</f>
        <v>0</v>
      </c>
      <c r="CD193">
        <f>_xlfn.XLOOKUP(Table1[[#This Row],[Status]],Status_Lookups[Status],Status_Lookups[Value],"")</f>
        <v>0.3</v>
      </c>
    </row>
    <row r="194" spans="1:82">
      <c r="A194">
        <v>18</v>
      </c>
      <c r="B194" t="s">
        <v>98</v>
      </c>
      <c r="C194" t="s">
        <v>43</v>
      </c>
      <c r="D194" t="s">
        <v>39</v>
      </c>
      <c r="E194" s="15">
        <v>44317</v>
      </c>
      <c r="F194" s="15">
        <v>44409</v>
      </c>
      <c r="G194" s="15">
        <v>0</v>
      </c>
      <c r="H194" s="15">
        <v>0</v>
      </c>
      <c r="I194" t="s">
        <v>484</v>
      </c>
      <c r="J194" t="s">
        <v>459</v>
      </c>
      <c r="K194" t="s">
        <v>78</v>
      </c>
      <c r="L194">
        <v>0</v>
      </c>
      <c r="M194">
        <v>13258410.199999999</v>
      </c>
      <c r="N194">
        <v>75800000</v>
      </c>
      <c r="O194">
        <v>1000000</v>
      </c>
      <c r="P194">
        <v>3220298.81</v>
      </c>
      <c r="R194">
        <v>990649.87999999989</v>
      </c>
      <c r="V194">
        <v>373549183</v>
      </c>
      <c r="W194">
        <v>104000000</v>
      </c>
      <c r="X194" t="s">
        <v>78</v>
      </c>
      <c r="Y194" s="16">
        <v>44336.397688773148</v>
      </c>
      <c r="Z194" s="17" t="str">
        <f>_xlfn.XLOOKUP(Table1[[#This Row],[Phase]],'Lookup tables'!$Y$27:$Y$60,'Lookup tables'!$Z$27:$Z$60,"Not Updated")</f>
        <v>Bid Prep</v>
      </c>
      <c r="AA194" s="17" t="s">
        <v>654</v>
      </c>
      <c r="AB194">
        <v>0</v>
      </c>
      <c r="AC194">
        <v>0</v>
      </c>
      <c r="AD194">
        <v>0</v>
      </c>
      <c r="AE194">
        <v>0</v>
      </c>
      <c r="AF194">
        <v>0</v>
      </c>
      <c r="AG194">
        <v>0</v>
      </c>
      <c r="AH194">
        <v>0</v>
      </c>
      <c r="AI194">
        <v>0</v>
      </c>
      <c r="AJ194">
        <v>0</v>
      </c>
      <c r="AK194">
        <v>0</v>
      </c>
      <c r="AL194">
        <v>0</v>
      </c>
      <c r="AM194">
        <v>0</v>
      </c>
      <c r="AN194">
        <v>0</v>
      </c>
      <c r="AO194">
        <v>0</v>
      </c>
      <c r="AP194">
        <v>0</v>
      </c>
      <c r="AQ194">
        <v>0</v>
      </c>
      <c r="AR194">
        <v>0</v>
      </c>
      <c r="AS194">
        <v>0</v>
      </c>
      <c r="AT194">
        <v>0</v>
      </c>
      <c r="AU194">
        <v>0</v>
      </c>
      <c r="AV194">
        <v>0</v>
      </c>
      <c r="AW194">
        <v>0</v>
      </c>
      <c r="BG194" s="185"/>
      <c r="BH194" s="185"/>
      <c r="BI194" s="185"/>
      <c r="BJ194" s="185"/>
      <c r="BK194" s="185"/>
      <c r="BL194" s="185"/>
      <c r="BM194" s="185"/>
      <c r="BN194" s="185"/>
      <c r="BO194" s="185"/>
      <c r="BP194" s="185"/>
      <c r="BQ194" s="185"/>
      <c r="BR194" s="185"/>
      <c r="BS194" s="185"/>
      <c r="BT194" s="185"/>
      <c r="BU194" t="b">
        <f>IF(_xlfn.MAXIFS(Table1[Sl No],Table1[Category],Table1[[#This Row],[Category]],Table1[Execution Year],Table1[[#This Row],[Execution Year]])=Table1[[#This Row],[Sl No]],TRUE,FALSE)</f>
        <v>0</v>
      </c>
      <c r="BV194" s="201">
        <f>SUM(Table1[[#This Row],[Spend - CAN]:[Spend - Sams]])+SUM(Table1[[#This Row],[Spend - Sams Mexico]:[Spend - Sams China]])+Table1[[#This Row],[Spend - IND]]</f>
        <v>571818541.88999999</v>
      </c>
      <c r="BW194">
        <f>SUM(Table1[[#This Row],[Savings - CAN]:[Savings - Sams]])+SUM(Table1[[#This Row],[Savings - Sams Mexico]:[Savings - Sams China]])+Table1[[#This Row],[Savings - IND]]</f>
        <v>0</v>
      </c>
      <c r="BX194">
        <f>SUM(Table1[[#This Row],[Spend - CAN]:[Spend - SAF]])+SUM(Table1[[#This Row],[Spend - Sams Mexico]:[Spend - Sams China]])+Table1[[#This Row],[Spend - IND]]</f>
        <v>94269358.890000001</v>
      </c>
      <c r="BY194">
        <f>SUM(Table1[[#This Row],[Savings - CAN]:[Savings - SAF]])+SUM(Table1[[#This Row],[Savings - Sams Mexico]:[Savings - Sams China]])+Table1[[#This Row],[Savings - IND]]</f>
        <v>0</v>
      </c>
      <c r="BZ194">
        <f>SUM(Table1[[#This Row],[Spend - US]:[Spend - Sams]])</f>
        <v>477549183</v>
      </c>
      <c r="CA194">
        <f>SUM(Table1[[#This Row],[Savings - US]:[Savings - Sams]])</f>
        <v>0</v>
      </c>
      <c r="CB194">
        <f>SUM(Table1[[#This Row],[Cost Avoidance - CAN2]:[Cost Avoidance - SAF10]])+SUM(Table1[[#This Row],[Cost Avoidance - Sams Mexico]:[Cost Avoidance - Sams China]])+Table1[[#This Row],[Cost Avoidance - IND]]</f>
        <v>0</v>
      </c>
      <c r="CC194">
        <f>SUM(Table1[[#This Row],[Cost Avoidance - US11]:[Cost Avoidance - Sams12]])</f>
        <v>0</v>
      </c>
      <c r="CD194">
        <f>_xlfn.XLOOKUP(Table1[[#This Row],[Status]],Status_Lookups[Status],Status_Lookups[Value],"")</f>
        <v>0.3</v>
      </c>
    </row>
    <row r="195" spans="1:82">
      <c r="A195">
        <v>19</v>
      </c>
      <c r="B195" t="s">
        <v>98</v>
      </c>
      <c r="C195" t="s">
        <v>43</v>
      </c>
      <c r="D195" t="s">
        <v>39</v>
      </c>
      <c r="E195" s="15">
        <v>44317</v>
      </c>
      <c r="F195" s="15">
        <v>44409</v>
      </c>
      <c r="G195" s="15">
        <v>0</v>
      </c>
      <c r="H195" s="15">
        <v>0</v>
      </c>
      <c r="I195" t="s">
        <v>484</v>
      </c>
      <c r="J195" t="s">
        <v>459</v>
      </c>
      <c r="K195" t="s">
        <v>78</v>
      </c>
      <c r="L195">
        <v>0</v>
      </c>
      <c r="M195">
        <v>13258410.199999999</v>
      </c>
      <c r="N195">
        <v>52600000</v>
      </c>
      <c r="O195">
        <v>1000000</v>
      </c>
      <c r="P195">
        <v>3100000</v>
      </c>
      <c r="R195">
        <v>990649.87999999989</v>
      </c>
      <c r="V195">
        <v>373549183</v>
      </c>
      <c r="W195">
        <v>104000000</v>
      </c>
      <c r="X195" t="s">
        <v>78</v>
      </c>
      <c r="Y195" s="16">
        <v>44340.37097974537</v>
      </c>
      <c r="Z195" s="17" t="str">
        <f>_xlfn.XLOOKUP(Table1[[#This Row],[Phase]],'Lookup tables'!$Y$27:$Y$60,'Lookup tables'!$Z$27:$Z$60,"Not Updated")</f>
        <v>Bid Prep</v>
      </c>
      <c r="AA195" s="17" t="s">
        <v>654</v>
      </c>
      <c r="AB195">
        <v>0</v>
      </c>
      <c r="AC195">
        <v>0</v>
      </c>
      <c r="AD195">
        <v>0</v>
      </c>
      <c r="AE195">
        <v>0</v>
      </c>
      <c r="AF195">
        <v>0</v>
      </c>
      <c r="AG195">
        <v>0</v>
      </c>
      <c r="AH195">
        <v>0</v>
      </c>
      <c r="AI195">
        <v>0</v>
      </c>
      <c r="AJ195">
        <v>0</v>
      </c>
      <c r="AK195">
        <v>0</v>
      </c>
      <c r="AL195">
        <v>0</v>
      </c>
      <c r="AM195">
        <v>0</v>
      </c>
      <c r="AN195">
        <v>0</v>
      </c>
      <c r="AO195">
        <v>0</v>
      </c>
      <c r="AP195">
        <v>0</v>
      </c>
      <c r="AQ195">
        <v>0</v>
      </c>
      <c r="AR195">
        <v>0</v>
      </c>
      <c r="AS195">
        <v>0</v>
      </c>
      <c r="AT195">
        <v>0</v>
      </c>
      <c r="AU195">
        <v>0</v>
      </c>
      <c r="AV195">
        <v>0</v>
      </c>
      <c r="AW195">
        <v>0</v>
      </c>
      <c r="BG195" s="185"/>
      <c r="BH195" s="185"/>
      <c r="BI195" s="185"/>
      <c r="BJ195" s="185"/>
      <c r="BK195" s="185"/>
      <c r="BL195" s="185"/>
      <c r="BM195" s="185"/>
      <c r="BN195" s="185"/>
      <c r="BO195" s="185"/>
      <c r="BP195" s="185"/>
      <c r="BQ195" s="185"/>
      <c r="BR195" s="185"/>
      <c r="BS195" s="185"/>
      <c r="BT195" s="185"/>
      <c r="BU195" t="b">
        <f>IF(_xlfn.MAXIFS(Table1[Sl No],Table1[Category],Table1[[#This Row],[Category]],Table1[Execution Year],Table1[[#This Row],[Execution Year]])=Table1[[#This Row],[Sl No]],TRUE,FALSE)</f>
        <v>0</v>
      </c>
      <c r="BV195" s="201">
        <f>SUM(Table1[[#This Row],[Spend - CAN]:[Spend - Sams]])+SUM(Table1[[#This Row],[Spend - Sams Mexico]:[Spend - Sams China]])+Table1[[#This Row],[Spend - IND]]</f>
        <v>548498243.07999992</v>
      </c>
      <c r="BW195">
        <f>SUM(Table1[[#This Row],[Savings - CAN]:[Savings - Sams]])+SUM(Table1[[#This Row],[Savings - Sams Mexico]:[Savings - Sams China]])+Table1[[#This Row],[Savings - IND]]</f>
        <v>0</v>
      </c>
      <c r="BX195">
        <f>SUM(Table1[[#This Row],[Spend - CAN]:[Spend - SAF]])+SUM(Table1[[#This Row],[Spend - Sams Mexico]:[Spend - Sams China]])+Table1[[#This Row],[Spend - IND]]</f>
        <v>70949060.079999998</v>
      </c>
      <c r="BY195">
        <f>SUM(Table1[[#This Row],[Savings - CAN]:[Savings - SAF]])+SUM(Table1[[#This Row],[Savings - Sams Mexico]:[Savings - Sams China]])+Table1[[#This Row],[Savings - IND]]</f>
        <v>0</v>
      </c>
      <c r="BZ195">
        <f>SUM(Table1[[#This Row],[Spend - US]:[Spend - Sams]])</f>
        <v>477549183</v>
      </c>
      <c r="CA195">
        <f>SUM(Table1[[#This Row],[Savings - US]:[Savings - Sams]])</f>
        <v>0</v>
      </c>
      <c r="CB195">
        <f>SUM(Table1[[#This Row],[Cost Avoidance - CAN2]:[Cost Avoidance - SAF10]])+SUM(Table1[[#This Row],[Cost Avoidance - Sams Mexico]:[Cost Avoidance - Sams China]])+Table1[[#This Row],[Cost Avoidance - IND]]</f>
        <v>0</v>
      </c>
      <c r="CC195">
        <f>SUM(Table1[[#This Row],[Cost Avoidance - US11]:[Cost Avoidance - Sams12]])</f>
        <v>0</v>
      </c>
      <c r="CD195">
        <f>_xlfn.XLOOKUP(Table1[[#This Row],[Status]],Status_Lookups[Status],Status_Lookups[Value],"")</f>
        <v>0.3</v>
      </c>
    </row>
    <row r="196" spans="1:82">
      <c r="A196">
        <v>20</v>
      </c>
      <c r="B196" t="s">
        <v>98</v>
      </c>
      <c r="C196" t="s">
        <v>43</v>
      </c>
      <c r="D196" t="s">
        <v>39</v>
      </c>
      <c r="E196" s="15">
        <v>44317</v>
      </c>
      <c r="F196" s="15">
        <v>44409</v>
      </c>
      <c r="G196" s="15">
        <v>0</v>
      </c>
      <c r="H196" s="15">
        <v>0</v>
      </c>
      <c r="I196" t="s">
        <v>484</v>
      </c>
      <c r="J196" t="s">
        <v>459</v>
      </c>
      <c r="K196" t="s">
        <v>78</v>
      </c>
      <c r="L196">
        <v>0</v>
      </c>
      <c r="M196">
        <v>47400000</v>
      </c>
      <c r="N196">
        <v>52600000</v>
      </c>
      <c r="O196">
        <v>1000000</v>
      </c>
      <c r="P196">
        <v>3100000</v>
      </c>
      <c r="R196">
        <v>990649.87999999989</v>
      </c>
      <c r="V196">
        <v>373549183</v>
      </c>
      <c r="W196">
        <v>104000000</v>
      </c>
      <c r="X196" t="s">
        <v>78</v>
      </c>
      <c r="Y196" s="16">
        <v>44375.542035763887</v>
      </c>
      <c r="Z196" s="17" t="str">
        <f>_xlfn.XLOOKUP(Table1[[#This Row],[Phase]],'Lookup tables'!$Y$27:$Y$60,'Lookup tables'!$Z$27:$Z$60,"Not Updated")</f>
        <v>Bid Prep</v>
      </c>
      <c r="AA196" s="17" t="s">
        <v>654</v>
      </c>
      <c r="AB196">
        <v>0</v>
      </c>
      <c r="AC196">
        <v>0</v>
      </c>
      <c r="AD196">
        <v>0</v>
      </c>
      <c r="AE196">
        <v>0</v>
      </c>
      <c r="AF196">
        <v>0</v>
      </c>
      <c r="AG196">
        <v>0</v>
      </c>
      <c r="AH196">
        <v>0</v>
      </c>
      <c r="AI196">
        <v>0</v>
      </c>
      <c r="AJ196">
        <v>0</v>
      </c>
      <c r="AK196">
        <v>0</v>
      </c>
      <c r="AL196">
        <v>0</v>
      </c>
      <c r="AM196">
        <v>0</v>
      </c>
      <c r="AN196">
        <v>0</v>
      </c>
      <c r="AO196">
        <v>0</v>
      </c>
      <c r="AP196">
        <v>0</v>
      </c>
      <c r="AQ196">
        <v>0</v>
      </c>
      <c r="AR196">
        <v>0</v>
      </c>
      <c r="AS196">
        <v>0</v>
      </c>
      <c r="AT196">
        <v>0</v>
      </c>
      <c r="AU196">
        <v>0</v>
      </c>
      <c r="AV196">
        <v>0</v>
      </c>
      <c r="AW196">
        <v>0</v>
      </c>
      <c r="BG196" s="185"/>
      <c r="BH196" s="185"/>
      <c r="BI196" s="185"/>
      <c r="BJ196" s="185"/>
      <c r="BK196" s="185"/>
      <c r="BL196" s="185"/>
      <c r="BM196" s="185"/>
      <c r="BN196" s="185"/>
      <c r="BO196" s="185"/>
      <c r="BP196" s="185"/>
      <c r="BQ196" s="185"/>
      <c r="BR196" s="185"/>
      <c r="BS196" s="185"/>
      <c r="BT196" s="185"/>
      <c r="BU196" t="b">
        <f>IF(_xlfn.MAXIFS(Table1[Sl No],Table1[Category],Table1[[#This Row],[Category]],Table1[Execution Year],Table1[[#This Row],[Execution Year]])=Table1[[#This Row],[Sl No]],TRUE,FALSE)</f>
        <v>0</v>
      </c>
      <c r="BV196" s="201">
        <f>SUM(Table1[[#This Row],[Spend - CAN]:[Spend - Sams]])+SUM(Table1[[#This Row],[Spend - Sams Mexico]:[Spend - Sams China]])+Table1[[#This Row],[Spend - IND]]</f>
        <v>582639832.88</v>
      </c>
      <c r="BW196">
        <f>SUM(Table1[[#This Row],[Savings - CAN]:[Savings - Sams]])+SUM(Table1[[#This Row],[Savings - Sams Mexico]:[Savings - Sams China]])+Table1[[#This Row],[Savings - IND]]</f>
        <v>0</v>
      </c>
      <c r="BX196">
        <f>SUM(Table1[[#This Row],[Spend - CAN]:[Spend - SAF]])+SUM(Table1[[#This Row],[Spend - Sams Mexico]:[Spend - Sams China]])+Table1[[#This Row],[Spend - IND]]</f>
        <v>105090649.88</v>
      </c>
      <c r="BY196">
        <f>SUM(Table1[[#This Row],[Savings - CAN]:[Savings - SAF]])+SUM(Table1[[#This Row],[Savings - Sams Mexico]:[Savings - Sams China]])+Table1[[#This Row],[Savings - IND]]</f>
        <v>0</v>
      </c>
      <c r="BZ196">
        <f>SUM(Table1[[#This Row],[Spend - US]:[Spend - Sams]])</f>
        <v>477549183</v>
      </c>
      <c r="CA196">
        <f>SUM(Table1[[#This Row],[Savings - US]:[Savings - Sams]])</f>
        <v>0</v>
      </c>
      <c r="CB196">
        <f>SUM(Table1[[#This Row],[Cost Avoidance - CAN2]:[Cost Avoidance - SAF10]])+SUM(Table1[[#This Row],[Cost Avoidance - Sams Mexico]:[Cost Avoidance - Sams China]])+Table1[[#This Row],[Cost Avoidance - IND]]</f>
        <v>0</v>
      </c>
      <c r="CC196">
        <f>SUM(Table1[[#This Row],[Cost Avoidance - US11]:[Cost Avoidance - Sams12]])</f>
        <v>0</v>
      </c>
      <c r="CD196">
        <f>_xlfn.XLOOKUP(Table1[[#This Row],[Status]],Status_Lookups[Status],Status_Lookups[Value],"")</f>
        <v>0.3</v>
      </c>
    </row>
    <row r="197" spans="1:82">
      <c r="A197">
        <v>21</v>
      </c>
      <c r="B197" t="s">
        <v>98</v>
      </c>
      <c r="C197" t="s">
        <v>43</v>
      </c>
      <c r="D197" t="s">
        <v>39</v>
      </c>
      <c r="E197" s="15">
        <v>44348</v>
      </c>
      <c r="F197" s="15">
        <v>44470</v>
      </c>
      <c r="G197" s="15">
        <v>0</v>
      </c>
      <c r="H197" s="15">
        <v>0</v>
      </c>
      <c r="I197" t="s">
        <v>484</v>
      </c>
      <c r="J197" t="s">
        <v>459</v>
      </c>
      <c r="K197" t="s">
        <v>78</v>
      </c>
      <c r="L197">
        <v>0</v>
      </c>
      <c r="M197">
        <v>47400000</v>
      </c>
      <c r="N197">
        <v>52600000</v>
      </c>
      <c r="O197">
        <v>1000000</v>
      </c>
      <c r="P197">
        <v>3100000</v>
      </c>
      <c r="R197">
        <v>990649.87999999989</v>
      </c>
      <c r="V197">
        <v>373549183</v>
      </c>
      <c r="W197">
        <v>104000000</v>
      </c>
      <c r="X197" t="s">
        <v>78</v>
      </c>
      <c r="Y197" s="16">
        <v>44384.691385995371</v>
      </c>
      <c r="Z197" s="17" t="str">
        <f>_xlfn.XLOOKUP(Table1[[#This Row],[Phase]],'Lookup tables'!$Y$27:$Y$60,'Lookup tables'!$Z$27:$Z$60,"Not Updated")</f>
        <v>Bid Prep</v>
      </c>
      <c r="AA197" s="17" t="s">
        <v>654</v>
      </c>
      <c r="AB197">
        <v>0</v>
      </c>
      <c r="AC197">
        <v>0</v>
      </c>
      <c r="AD197">
        <v>0</v>
      </c>
      <c r="AE197">
        <v>0</v>
      </c>
      <c r="AF197">
        <v>0</v>
      </c>
      <c r="AG197">
        <v>0</v>
      </c>
      <c r="AH197">
        <v>0</v>
      </c>
      <c r="AI197">
        <v>0</v>
      </c>
      <c r="AJ197">
        <v>0</v>
      </c>
      <c r="AK197">
        <v>0</v>
      </c>
      <c r="AL197">
        <v>0</v>
      </c>
      <c r="AM197">
        <v>0</v>
      </c>
      <c r="AN197">
        <v>0</v>
      </c>
      <c r="AO197">
        <v>0</v>
      </c>
      <c r="AP197">
        <v>0</v>
      </c>
      <c r="AQ197">
        <v>0</v>
      </c>
      <c r="AR197">
        <v>0</v>
      </c>
      <c r="AS197">
        <v>0</v>
      </c>
      <c r="AT197">
        <v>0</v>
      </c>
      <c r="AU197">
        <v>0</v>
      </c>
      <c r="AV197">
        <v>0</v>
      </c>
      <c r="AW197">
        <v>0</v>
      </c>
      <c r="BG197" s="185"/>
      <c r="BH197" s="185"/>
      <c r="BI197" s="185"/>
      <c r="BJ197" s="185"/>
      <c r="BK197" s="185"/>
      <c r="BL197" s="185"/>
      <c r="BM197" s="185"/>
      <c r="BN197" s="185"/>
      <c r="BO197" s="185"/>
      <c r="BP197" s="185"/>
      <c r="BQ197" s="185"/>
      <c r="BR197" s="185"/>
      <c r="BS197" s="185"/>
      <c r="BT197" s="185"/>
      <c r="BU197" t="b">
        <f>IF(_xlfn.MAXIFS(Table1[Sl No],Table1[Category],Table1[[#This Row],[Category]],Table1[Execution Year],Table1[[#This Row],[Execution Year]])=Table1[[#This Row],[Sl No]],TRUE,FALSE)</f>
        <v>0</v>
      </c>
      <c r="BV197" s="201">
        <f>SUM(Table1[[#This Row],[Spend - CAN]:[Spend - Sams]])+SUM(Table1[[#This Row],[Spend - Sams Mexico]:[Spend - Sams China]])+Table1[[#This Row],[Spend - IND]]</f>
        <v>582639832.88</v>
      </c>
      <c r="BW197">
        <f>SUM(Table1[[#This Row],[Savings - CAN]:[Savings - Sams]])+SUM(Table1[[#This Row],[Savings - Sams Mexico]:[Savings - Sams China]])+Table1[[#This Row],[Savings - IND]]</f>
        <v>0</v>
      </c>
      <c r="BX197">
        <f>SUM(Table1[[#This Row],[Spend - CAN]:[Spend - SAF]])+SUM(Table1[[#This Row],[Spend - Sams Mexico]:[Spend - Sams China]])+Table1[[#This Row],[Spend - IND]]</f>
        <v>105090649.88</v>
      </c>
      <c r="BY197">
        <f>SUM(Table1[[#This Row],[Savings - CAN]:[Savings - SAF]])+SUM(Table1[[#This Row],[Savings - Sams Mexico]:[Savings - Sams China]])+Table1[[#This Row],[Savings - IND]]</f>
        <v>0</v>
      </c>
      <c r="BZ197">
        <f>SUM(Table1[[#This Row],[Spend - US]:[Spend - Sams]])</f>
        <v>477549183</v>
      </c>
      <c r="CA197">
        <f>SUM(Table1[[#This Row],[Savings - US]:[Savings - Sams]])</f>
        <v>0</v>
      </c>
      <c r="CB197">
        <f>SUM(Table1[[#This Row],[Cost Avoidance - CAN2]:[Cost Avoidance - SAF10]])+SUM(Table1[[#This Row],[Cost Avoidance - Sams Mexico]:[Cost Avoidance - Sams China]])+Table1[[#This Row],[Cost Avoidance - IND]]</f>
        <v>0</v>
      </c>
      <c r="CC197">
        <f>SUM(Table1[[#This Row],[Cost Avoidance - US11]:[Cost Avoidance - Sams12]])</f>
        <v>0</v>
      </c>
      <c r="CD197">
        <f>_xlfn.XLOOKUP(Table1[[#This Row],[Status]],Status_Lookups[Status],Status_Lookups[Value],"")</f>
        <v>0.3</v>
      </c>
    </row>
    <row r="198" spans="1:82">
      <c r="A198">
        <v>22</v>
      </c>
      <c r="B198" t="s">
        <v>98</v>
      </c>
      <c r="C198" t="s">
        <v>43</v>
      </c>
      <c r="D198" t="s">
        <v>39</v>
      </c>
      <c r="E198" s="15">
        <v>44348</v>
      </c>
      <c r="F198" s="15">
        <v>44470</v>
      </c>
      <c r="G198" s="15">
        <v>0</v>
      </c>
      <c r="H198" s="15">
        <v>0</v>
      </c>
      <c r="I198" t="s">
        <v>484</v>
      </c>
      <c r="J198" t="s">
        <v>459</v>
      </c>
      <c r="K198" t="s">
        <v>78</v>
      </c>
      <c r="L198">
        <v>0</v>
      </c>
      <c r="M198">
        <v>47400000</v>
      </c>
      <c r="N198">
        <v>52600000</v>
      </c>
      <c r="O198">
        <v>1000000</v>
      </c>
      <c r="P198">
        <v>3100000</v>
      </c>
      <c r="R198">
        <v>0</v>
      </c>
      <c r="V198">
        <v>373549183</v>
      </c>
      <c r="W198">
        <v>104000000</v>
      </c>
      <c r="X198" t="s">
        <v>78</v>
      </c>
      <c r="Y198" s="16">
        <v>44384.692971643519</v>
      </c>
      <c r="Z198" s="17" t="str">
        <f>_xlfn.XLOOKUP(Table1[[#This Row],[Phase]],'Lookup tables'!$Y$27:$Y$60,'Lookup tables'!$Z$27:$Z$60,"Not Updated")</f>
        <v>Bid Prep</v>
      </c>
      <c r="AA198" s="17" t="s">
        <v>654</v>
      </c>
      <c r="AB198">
        <v>0</v>
      </c>
      <c r="AC198">
        <v>0</v>
      </c>
      <c r="AD198">
        <v>0</v>
      </c>
      <c r="AE198">
        <v>0</v>
      </c>
      <c r="AF198">
        <v>0</v>
      </c>
      <c r="AG198">
        <v>0</v>
      </c>
      <c r="AH198">
        <v>0</v>
      </c>
      <c r="AI198">
        <v>0</v>
      </c>
      <c r="AJ198">
        <v>0</v>
      </c>
      <c r="AK198">
        <v>0</v>
      </c>
      <c r="AL198">
        <v>0</v>
      </c>
      <c r="AM198">
        <v>0</v>
      </c>
      <c r="AN198">
        <v>0</v>
      </c>
      <c r="AO198">
        <v>0</v>
      </c>
      <c r="AP198">
        <v>0</v>
      </c>
      <c r="AQ198">
        <v>0</v>
      </c>
      <c r="AR198">
        <v>0</v>
      </c>
      <c r="AS198">
        <v>0</v>
      </c>
      <c r="AT198">
        <v>0</v>
      </c>
      <c r="AU198">
        <v>0</v>
      </c>
      <c r="AV198">
        <v>0</v>
      </c>
      <c r="AW198">
        <v>0</v>
      </c>
      <c r="BG198" s="185"/>
      <c r="BH198" s="185"/>
      <c r="BI198" s="185"/>
      <c r="BJ198" s="185"/>
      <c r="BK198" s="185"/>
      <c r="BL198" s="185"/>
      <c r="BM198" s="185"/>
      <c r="BN198" s="185"/>
      <c r="BO198" s="185"/>
      <c r="BP198" s="185"/>
      <c r="BQ198" s="185"/>
      <c r="BR198" s="185"/>
      <c r="BS198" s="185"/>
      <c r="BT198" s="185"/>
      <c r="BU198" t="b">
        <f>IF(_xlfn.MAXIFS(Table1[Sl No],Table1[Category],Table1[[#This Row],[Category]],Table1[Execution Year],Table1[[#This Row],[Execution Year]])=Table1[[#This Row],[Sl No]],TRUE,FALSE)</f>
        <v>0</v>
      </c>
      <c r="BV198" s="201">
        <f>SUM(Table1[[#This Row],[Spend - CAN]:[Spend - Sams]])+SUM(Table1[[#This Row],[Spend - Sams Mexico]:[Spend - Sams China]])+Table1[[#This Row],[Spend - IND]]</f>
        <v>581649183</v>
      </c>
      <c r="BW198">
        <f>SUM(Table1[[#This Row],[Savings - CAN]:[Savings - Sams]])+SUM(Table1[[#This Row],[Savings - Sams Mexico]:[Savings - Sams China]])+Table1[[#This Row],[Savings - IND]]</f>
        <v>0</v>
      </c>
      <c r="BX198">
        <f>SUM(Table1[[#This Row],[Spend - CAN]:[Spend - SAF]])+SUM(Table1[[#This Row],[Spend - Sams Mexico]:[Spend - Sams China]])+Table1[[#This Row],[Spend - IND]]</f>
        <v>104100000</v>
      </c>
      <c r="BY198">
        <f>SUM(Table1[[#This Row],[Savings - CAN]:[Savings - SAF]])+SUM(Table1[[#This Row],[Savings - Sams Mexico]:[Savings - Sams China]])+Table1[[#This Row],[Savings - IND]]</f>
        <v>0</v>
      </c>
      <c r="BZ198">
        <f>SUM(Table1[[#This Row],[Spend - US]:[Spend - Sams]])</f>
        <v>477549183</v>
      </c>
      <c r="CA198">
        <f>SUM(Table1[[#This Row],[Savings - US]:[Savings - Sams]])</f>
        <v>0</v>
      </c>
      <c r="CB198">
        <f>SUM(Table1[[#This Row],[Cost Avoidance - CAN2]:[Cost Avoidance - SAF10]])+SUM(Table1[[#This Row],[Cost Avoidance - Sams Mexico]:[Cost Avoidance - Sams China]])+Table1[[#This Row],[Cost Avoidance - IND]]</f>
        <v>0</v>
      </c>
      <c r="CC198">
        <f>SUM(Table1[[#This Row],[Cost Avoidance - US11]:[Cost Avoidance - Sams12]])</f>
        <v>0</v>
      </c>
      <c r="CD198">
        <f>_xlfn.XLOOKUP(Table1[[#This Row],[Status]],Status_Lookups[Status],Status_Lookups[Value],"")</f>
        <v>0.3</v>
      </c>
    </row>
    <row r="199" spans="1:82">
      <c r="A199">
        <v>23</v>
      </c>
      <c r="B199" t="s">
        <v>98</v>
      </c>
      <c r="C199" t="s">
        <v>43</v>
      </c>
      <c r="D199" t="s">
        <v>39</v>
      </c>
      <c r="E199" s="15">
        <v>44378</v>
      </c>
      <c r="F199" s="15">
        <v>44470</v>
      </c>
      <c r="G199" s="15">
        <v>0</v>
      </c>
      <c r="H199" s="15">
        <v>0</v>
      </c>
      <c r="I199" t="s">
        <v>484</v>
      </c>
      <c r="J199" t="s">
        <v>459</v>
      </c>
      <c r="K199" t="s">
        <v>78</v>
      </c>
      <c r="L199">
        <v>0</v>
      </c>
      <c r="M199">
        <v>47400000</v>
      </c>
      <c r="N199">
        <v>52600000</v>
      </c>
      <c r="O199">
        <v>1000000</v>
      </c>
      <c r="P199">
        <v>3100000</v>
      </c>
      <c r="R199">
        <v>0</v>
      </c>
      <c r="V199">
        <v>373549183</v>
      </c>
      <c r="W199">
        <v>104000000</v>
      </c>
      <c r="X199" t="s">
        <v>78</v>
      </c>
      <c r="Y199" s="16">
        <v>44384.693568518516</v>
      </c>
      <c r="Z199" s="17" t="str">
        <f>_xlfn.XLOOKUP(Table1[[#This Row],[Phase]],'Lookup tables'!$Y$27:$Y$60,'Lookup tables'!$Z$27:$Z$60,"Not Updated")</f>
        <v>Bid Prep</v>
      </c>
      <c r="AA199" s="17" t="s">
        <v>654</v>
      </c>
      <c r="AB199">
        <v>0</v>
      </c>
      <c r="AC199">
        <v>0</v>
      </c>
      <c r="AD199">
        <v>0</v>
      </c>
      <c r="AE199">
        <v>0</v>
      </c>
      <c r="AF199">
        <v>0</v>
      </c>
      <c r="AG199">
        <v>0</v>
      </c>
      <c r="AH199">
        <v>0</v>
      </c>
      <c r="AI199">
        <v>0</v>
      </c>
      <c r="AJ199">
        <v>0</v>
      </c>
      <c r="AK199">
        <v>0</v>
      </c>
      <c r="AL199">
        <v>0</v>
      </c>
      <c r="AM199">
        <v>0</v>
      </c>
      <c r="AN199">
        <v>0</v>
      </c>
      <c r="AO199">
        <v>0</v>
      </c>
      <c r="AP199">
        <v>0</v>
      </c>
      <c r="AQ199">
        <v>0</v>
      </c>
      <c r="AR199">
        <v>0</v>
      </c>
      <c r="AS199">
        <v>0</v>
      </c>
      <c r="AT199">
        <v>0</v>
      </c>
      <c r="AU199">
        <v>0</v>
      </c>
      <c r="AV199">
        <v>0</v>
      </c>
      <c r="AW199">
        <v>0</v>
      </c>
      <c r="BG199" s="185"/>
      <c r="BH199" s="185"/>
      <c r="BI199" s="185"/>
      <c r="BJ199" s="185"/>
      <c r="BK199" s="185"/>
      <c r="BL199" s="185"/>
      <c r="BM199" s="185"/>
      <c r="BN199" s="185"/>
      <c r="BO199" s="185"/>
      <c r="BP199" s="185"/>
      <c r="BQ199" s="185"/>
      <c r="BR199" s="185"/>
      <c r="BS199" s="185"/>
      <c r="BT199" s="185"/>
      <c r="BU199" t="b">
        <f>IF(_xlfn.MAXIFS(Table1[Sl No],Table1[Category],Table1[[#This Row],[Category]],Table1[Execution Year],Table1[[#This Row],[Execution Year]])=Table1[[#This Row],[Sl No]],TRUE,FALSE)</f>
        <v>0</v>
      </c>
      <c r="BV199" s="201">
        <f>SUM(Table1[[#This Row],[Spend - CAN]:[Spend - Sams]])+SUM(Table1[[#This Row],[Spend - Sams Mexico]:[Spend - Sams China]])+Table1[[#This Row],[Spend - IND]]</f>
        <v>581649183</v>
      </c>
      <c r="BW199">
        <f>SUM(Table1[[#This Row],[Savings - CAN]:[Savings - Sams]])+SUM(Table1[[#This Row],[Savings - Sams Mexico]:[Savings - Sams China]])+Table1[[#This Row],[Savings - IND]]</f>
        <v>0</v>
      </c>
      <c r="BX199">
        <f>SUM(Table1[[#This Row],[Spend - CAN]:[Spend - SAF]])+SUM(Table1[[#This Row],[Spend - Sams Mexico]:[Spend - Sams China]])+Table1[[#This Row],[Spend - IND]]</f>
        <v>104100000</v>
      </c>
      <c r="BY199">
        <f>SUM(Table1[[#This Row],[Savings - CAN]:[Savings - SAF]])+SUM(Table1[[#This Row],[Savings - Sams Mexico]:[Savings - Sams China]])+Table1[[#This Row],[Savings - IND]]</f>
        <v>0</v>
      </c>
      <c r="BZ199">
        <f>SUM(Table1[[#This Row],[Spend - US]:[Spend - Sams]])</f>
        <v>477549183</v>
      </c>
      <c r="CA199">
        <f>SUM(Table1[[#This Row],[Savings - US]:[Savings - Sams]])</f>
        <v>0</v>
      </c>
      <c r="CB199">
        <f>SUM(Table1[[#This Row],[Cost Avoidance - CAN2]:[Cost Avoidance - SAF10]])+SUM(Table1[[#This Row],[Cost Avoidance - Sams Mexico]:[Cost Avoidance - Sams China]])+Table1[[#This Row],[Cost Avoidance - IND]]</f>
        <v>0</v>
      </c>
      <c r="CC199">
        <f>SUM(Table1[[#This Row],[Cost Avoidance - US11]:[Cost Avoidance - Sams12]])</f>
        <v>0</v>
      </c>
      <c r="CD199">
        <f>_xlfn.XLOOKUP(Table1[[#This Row],[Status]],Status_Lookups[Status],Status_Lookups[Value],"")</f>
        <v>0.3</v>
      </c>
    </row>
    <row r="200" spans="1:82">
      <c r="A200">
        <v>24</v>
      </c>
      <c r="B200" t="s">
        <v>98</v>
      </c>
      <c r="C200" t="s">
        <v>43</v>
      </c>
      <c r="D200" t="s">
        <v>39</v>
      </c>
      <c r="E200" s="15">
        <v>44378</v>
      </c>
      <c r="F200" s="15">
        <v>44470</v>
      </c>
      <c r="G200" s="15">
        <v>0</v>
      </c>
      <c r="H200" s="15">
        <v>0</v>
      </c>
      <c r="I200" t="s">
        <v>484</v>
      </c>
      <c r="J200" t="s">
        <v>459</v>
      </c>
      <c r="K200" t="s">
        <v>78</v>
      </c>
      <c r="L200">
        <v>0</v>
      </c>
      <c r="M200">
        <v>47400000</v>
      </c>
      <c r="N200">
        <v>52600000</v>
      </c>
      <c r="O200">
        <v>1000000</v>
      </c>
      <c r="P200">
        <v>3100000</v>
      </c>
      <c r="R200">
        <v>0</v>
      </c>
      <c r="V200">
        <v>322299416.63770002</v>
      </c>
      <c r="W200">
        <v>104000000</v>
      </c>
      <c r="X200" t="s">
        <v>78</v>
      </c>
      <c r="Y200" s="16">
        <v>44438.377809722224</v>
      </c>
      <c r="Z200" s="17" t="str">
        <f>_xlfn.XLOOKUP(Table1[[#This Row],[Phase]],'Lookup tables'!$Y$27:$Y$60,'Lookup tables'!$Z$27:$Z$60,"Not Updated")</f>
        <v>Bid Prep</v>
      </c>
      <c r="AA200" s="17" t="s">
        <v>654</v>
      </c>
      <c r="AB200">
        <v>0</v>
      </c>
      <c r="AC200">
        <v>0</v>
      </c>
      <c r="AD200">
        <v>0</v>
      </c>
      <c r="AE200">
        <v>0</v>
      </c>
      <c r="AF200">
        <v>0</v>
      </c>
      <c r="AG200">
        <v>0</v>
      </c>
      <c r="AH200">
        <v>0</v>
      </c>
      <c r="AI200">
        <v>0</v>
      </c>
      <c r="AJ200">
        <v>0</v>
      </c>
      <c r="AK200">
        <v>0</v>
      </c>
      <c r="AL200">
        <v>0</v>
      </c>
      <c r="AM200">
        <v>0</v>
      </c>
      <c r="AN200">
        <v>0</v>
      </c>
      <c r="AO200">
        <v>0</v>
      </c>
      <c r="AP200">
        <v>0</v>
      </c>
      <c r="AQ200">
        <v>0</v>
      </c>
      <c r="AR200">
        <v>0</v>
      </c>
      <c r="AS200">
        <v>0</v>
      </c>
      <c r="AT200">
        <v>0</v>
      </c>
      <c r="AU200">
        <v>0</v>
      </c>
      <c r="AV200">
        <v>0</v>
      </c>
      <c r="AW200">
        <v>0</v>
      </c>
      <c r="BG200" s="185"/>
      <c r="BH200" s="185"/>
      <c r="BI200" s="185"/>
      <c r="BJ200" s="185"/>
      <c r="BK200" s="185"/>
      <c r="BL200" s="185"/>
      <c r="BM200" s="185"/>
      <c r="BN200" s="185"/>
      <c r="BO200" s="185"/>
      <c r="BP200" s="185"/>
      <c r="BQ200" s="185"/>
      <c r="BR200" s="185"/>
      <c r="BS200" s="185"/>
      <c r="BT200" s="185"/>
      <c r="BU200" t="b">
        <f>IF(_xlfn.MAXIFS(Table1[Sl No],Table1[Category],Table1[[#This Row],[Category]],Table1[Execution Year],Table1[[#This Row],[Execution Year]])=Table1[[#This Row],[Sl No]],TRUE,FALSE)</f>
        <v>0</v>
      </c>
      <c r="BV200" s="201">
        <f>SUM(Table1[[#This Row],[Spend - CAN]:[Spend - Sams]])+SUM(Table1[[#This Row],[Spend - Sams Mexico]:[Spend - Sams China]])+Table1[[#This Row],[Spend - IND]]</f>
        <v>530399416.63770002</v>
      </c>
      <c r="BW200">
        <f>SUM(Table1[[#This Row],[Savings - CAN]:[Savings - Sams]])+SUM(Table1[[#This Row],[Savings - Sams Mexico]:[Savings - Sams China]])+Table1[[#This Row],[Savings - IND]]</f>
        <v>0</v>
      </c>
      <c r="BX200">
        <f>SUM(Table1[[#This Row],[Spend - CAN]:[Spend - SAF]])+SUM(Table1[[#This Row],[Spend - Sams Mexico]:[Spend - Sams China]])+Table1[[#This Row],[Spend - IND]]</f>
        <v>104100000</v>
      </c>
      <c r="BY200">
        <f>SUM(Table1[[#This Row],[Savings - CAN]:[Savings - SAF]])+SUM(Table1[[#This Row],[Savings - Sams Mexico]:[Savings - Sams China]])+Table1[[#This Row],[Savings - IND]]</f>
        <v>0</v>
      </c>
      <c r="BZ200">
        <f>SUM(Table1[[#This Row],[Spend - US]:[Spend - Sams]])</f>
        <v>426299416.63770002</v>
      </c>
      <c r="CA200">
        <f>SUM(Table1[[#This Row],[Savings - US]:[Savings - Sams]])</f>
        <v>0</v>
      </c>
      <c r="CB200">
        <f>SUM(Table1[[#This Row],[Cost Avoidance - CAN2]:[Cost Avoidance - SAF10]])+SUM(Table1[[#This Row],[Cost Avoidance - Sams Mexico]:[Cost Avoidance - Sams China]])+Table1[[#This Row],[Cost Avoidance - IND]]</f>
        <v>0</v>
      </c>
      <c r="CC200">
        <f>SUM(Table1[[#This Row],[Cost Avoidance - US11]:[Cost Avoidance - Sams12]])</f>
        <v>0</v>
      </c>
      <c r="CD200">
        <f>_xlfn.XLOOKUP(Table1[[#This Row],[Status]],Status_Lookups[Status],Status_Lookups[Value],"")</f>
        <v>0.3</v>
      </c>
    </row>
    <row r="201" spans="1:82">
      <c r="A201">
        <v>25</v>
      </c>
      <c r="B201" t="s">
        <v>98</v>
      </c>
      <c r="C201" t="s">
        <v>43</v>
      </c>
      <c r="D201" t="s">
        <v>39</v>
      </c>
      <c r="E201" s="15">
        <v>44378</v>
      </c>
      <c r="F201" s="15">
        <v>44470</v>
      </c>
      <c r="G201" s="15">
        <v>0</v>
      </c>
      <c r="H201" s="15">
        <v>0</v>
      </c>
      <c r="I201" t="s">
        <v>484</v>
      </c>
      <c r="J201" t="s">
        <v>459</v>
      </c>
      <c r="K201" t="s">
        <v>78</v>
      </c>
      <c r="L201">
        <v>0</v>
      </c>
      <c r="M201">
        <v>47400000</v>
      </c>
      <c r="N201">
        <v>54600000</v>
      </c>
      <c r="O201">
        <v>1000000</v>
      </c>
      <c r="P201">
        <v>3100000</v>
      </c>
      <c r="R201">
        <v>0</v>
      </c>
      <c r="V201">
        <v>322299416.63770002</v>
      </c>
      <c r="W201">
        <v>104000000</v>
      </c>
      <c r="X201" t="s">
        <v>78</v>
      </c>
      <c r="Y201" s="16">
        <v>44438.384834606484</v>
      </c>
      <c r="Z201" s="17" t="str">
        <f>_xlfn.XLOOKUP(Table1[[#This Row],[Phase]],'Lookup tables'!$Y$27:$Y$60,'Lookup tables'!$Z$27:$Z$60,"Not Updated")</f>
        <v>Bid Prep</v>
      </c>
      <c r="AA201" s="17" t="s">
        <v>654</v>
      </c>
      <c r="AB201">
        <v>0</v>
      </c>
      <c r="AC201">
        <v>0</v>
      </c>
      <c r="AD201">
        <v>0</v>
      </c>
      <c r="AE201">
        <v>0</v>
      </c>
      <c r="AF201">
        <v>0</v>
      </c>
      <c r="AG201">
        <v>0</v>
      </c>
      <c r="AH201">
        <v>0</v>
      </c>
      <c r="AI201">
        <v>0</v>
      </c>
      <c r="AJ201">
        <v>0</v>
      </c>
      <c r="AK201">
        <v>0</v>
      </c>
      <c r="AL201">
        <v>0</v>
      </c>
      <c r="AM201">
        <v>0</v>
      </c>
      <c r="AN201">
        <v>0</v>
      </c>
      <c r="AO201">
        <v>0</v>
      </c>
      <c r="AP201">
        <v>0</v>
      </c>
      <c r="AQ201">
        <v>0</v>
      </c>
      <c r="AR201">
        <v>0</v>
      </c>
      <c r="AS201">
        <v>0</v>
      </c>
      <c r="AT201">
        <v>0</v>
      </c>
      <c r="AU201">
        <v>0</v>
      </c>
      <c r="AV201">
        <v>0</v>
      </c>
      <c r="AW201">
        <v>0</v>
      </c>
      <c r="BG201" s="185"/>
      <c r="BH201" s="185"/>
      <c r="BI201" s="185"/>
      <c r="BJ201" s="185"/>
      <c r="BK201" s="185"/>
      <c r="BL201" s="185"/>
      <c r="BM201" s="185"/>
      <c r="BN201" s="185"/>
      <c r="BO201" s="185"/>
      <c r="BP201" s="185"/>
      <c r="BQ201" s="185"/>
      <c r="BR201" s="185"/>
      <c r="BS201" s="185"/>
      <c r="BT201" s="185"/>
      <c r="BU201" t="b">
        <f>IF(_xlfn.MAXIFS(Table1[Sl No],Table1[Category],Table1[[#This Row],[Category]],Table1[Execution Year],Table1[[#This Row],[Execution Year]])=Table1[[#This Row],[Sl No]],TRUE,FALSE)</f>
        <v>0</v>
      </c>
      <c r="BV201" s="201">
        <f>SUM(Table1[[#This Row],[Spend - CAN]:[Spend - Sams]])+SUM(Table1[[#This Row],[Spend - Sams Mexico]:[Spend - Sams China]])+Table1[[#This Row],[Spend - IND]]</f>
        <v>532399416.63770002</v>
      </c>
      <c r="BW201">
        <f>SUM(Table1[[#This Row],[Savings - CAN]:[Savings - Sams]])+SUM(Table1[[#This Row],[Savings - Sams Mexico]:[Savings - Sams China]])+Table1[[#This Row],[Savings - IND]]</f>
        <v>0</v>
      </c>
      <c r="BX201">
        <f>SUM(Table1[[#This Row],[Spend - CAN]:[Spend - SAF]])+SUM(Table1[[#This Row],[Spend - Sams Mexico]:[Spend - Sams China]])+Table1[[#This Row],[Spend - IND]]</f>
        <v>106100000</v>
      </c>
      <c r="BY201">
        <f>SUM(Table1[[#This Row],[Savings - CAN]:[Savings - SAF]])+SUM(Table1[[#This Row],[Savings - Sams Mexico]:[Savings - Sams China]])+Table1[[#This Row],[Savings - IND]]</f>
        <v>0</v>
      </c>
      <c r="BZ201">
        <f>SUM(Table1[[#This Row],[Spend - US]:[Spend - Sams]])</f>
        <v>426299416.63770002</v>
      </c>
      <c r="CA201">
        <f>SUM(Table1[[#This Row],[Savings - US]:[Savings - Sams]])</f>
        <v>0</v>
      </c>
      <c r="CB201">
        <f>SUM(Table1[[#This Row],[Cost Avoidance - CAN2]:[Cost Avoidance - SAF10]])+SUM(Table1[[#This Row],[Cost Avoidance - Sams Mexico]:[Cost Avoidance - Sams China]])+Table1[[#This Row],[Cost Avoidance - IND]]</f>
        <v>0</v>
      </c>
      <c r="CC201">
        <f>SUM(Table1[[#This Row],[Cost Avoidance - US11]:[Cost Avoidance - Sams12]])</f>
        <v>0</v>
      </c>
      <c r="CD201">
        <f>_xlfn.XLOOKUP(Table1[[#This Row],[Status]],Status_Lookups[Status],Status_Lookups[Value],"")</f>
        <v>0.3</v>
      </c>
    </row>
    <row r="202" spans="1:82">
      <c r="A202">
        <v>26</v>
      </c>
      <c r="B202" t="s">
        <v>98</v>
      </c>
      <c r="C202" t="s">
        <v>43</v>
      </c>
      <c r="D202" t="s">
        <v>39</v>
      </c>
      <c r="E202" s="15">
        <v>44378</v>
      </c>
      <c r="F202" s="15">
        <v>44470</v>
      </c>
      <c r="G202" s="15">
        <v>0</v>
      </c>
      <c r="H202" s="15">
        <v>0</v>
      </c>
      <c r="I202" t="s">
        <v>484</v>
      </c>
      <c r="J202" t="s">
        <v>459</v>
      </c>
      <c r="K202" t="s">
        <v>78</v>
      </c>
      <c r="L202">
        <v>0</v>
      </c>
      <c r="M202">
        <v>47400000</v>
      </c>
      <c r="N202">
        <v>54600000</v>
      </c>
      <c r="O202">
        <v>1000000</v>
      </c>
      <c r="P202">
        <v>3100000</v>
      </c>
      <c r="R202">
        <v>0</v>
      </c>
      <c r="V202">
        <v>322299416.63770002</v>
      </c>
      <c r="W202">
        <v>74280568</v>
      </c>
      <c r="X202" t="s">
        <v>78</v>
      </c>
      <c r="Y202" s="16">
        <v>44438.389983217596</v>
      </c>
      <c r="Z202" s="17" t="str">
        <f>_xlfn.XLOOKUP(Table1[[#This Row],[Phase]],'Lookup tables'!$Y$27:$Y$60,'Lookup tables'!$Z$27:$Z$60,"Not Updated")</f>
        <v>Bid Prep</v>
      </c>
      <c r="AA202" s="17" t="s">
        <v>654</v>
      </c>
      <c r="AB202">
        <v>0</v>
      </c>
      <c r="AC202">
        <v>0</v>
      </c>
      <c r="AD202">
        <v>0</v>
      </c>
      <c r="AE202">
        <v>0</v>
      </c>
      <c r="AF202">
        <v>0</v>
      </c>
      <c r="AG202">
        <v>0</v>
      </c>
      <c r="AH202">
        <v>0</v>
      </c>
      <c r="AI202">
        <v>0</v>
      </c>
      <c r="AJ202">
        <v>0</v>
      </c>
      <c r="AK202">
        <v>0</v>
      </c>
      <c r="AL202">
        <v>0</v>
      </c>
      <c r="AM202">
        <v>0</v>
      </c>
      <c r="AN202">
        <v>0</v>
      </c>
      <c r="AO202">
        <v>0</v>
      </c>
      <c r="AP202">
        <v>0</v>
      </c>
      <c r="AQ202">
        <v>0</v>
      </c>
      <c r="AR202">
        <v>0</v>
      </c>
      <c r="AS202">
        <v>0</v>
      </c>
      <c r="AT202">
        <v>0</v>
      </c>
      <c r="AU202">
        <v>0</v>
      </c>
      <c r="AV202">
        <v>0</v>
      </c>
      <c r="AW202">
        <v>0</v>
      </c>
      <c r="BG202" s="185"/>
      <c r="BH202" s="185"/>
      <c r="BI202" s="185"/>
      <c r="BJ202" s="185"/>
      <c r="BK202" s="185"/>
      <c r="BL202" s="185"/>
      <c r="BM202" s="185"/>
      <c r="BN202" s="185"/>
      <c r="BO202" s="185"/>
      <c r="BP202" s="185"/>
      <c r="BQ202" s="185"/>
      <c r="BR202" s="185"/>
      <c r="BS202" s="185"/>
      <c r="BT202" s="185"/>
      <c r="BU202" t="b">
        <f>IF(_xlfn.MAXIFS(Table1[Sl No],Table1[Category],Table1[[#This Row],[Category]],Table1[Execution Year],Table1[[#This Row],[Execution Year]])=Table1[[#This Row],[Sl No]],TRUE,FALSE)</f>
        <v>0</v>
      </c>
      <c r="BV202" s="201">
        <f>SUM(Table1[[#This Row],[Spend - CAN]:[Spend - Sams]])+SUM(Table1[[#This Row],[Spend - Sams Mexico]:[Spend - Sams China]])+Table1[[#This Row],[Spend - IND]]</f>
        <v>502679984.63770002</v>
      </c>
      <c r="BW202">
        <f>SUM(Table1[[#This Row],[Savings - CAN]:[Savings - Sams]])+SUM(Table1[[#This Row],[Savings - Sams Mexico]:[Savings - Sams China]])+Table1[[#This Row],[Savings - IND]]</f>
        <v>0</v>
      </c>
      <c r="BX202">
        <f>SUM(Table1[[#This Row],[Spend - CAN]:[Spend - SAF]])+SUM(Table1[[#This Row],[Spend - Sams Mexico]:[Spend - Sams China]])+Table1[[#This Row],[Spend - IND]]</f>
        <v>106100000</v>
      </c>
      <c r="BY202">
        <f>SUM(Table1[[#This Row],[Savings - CAN]:[Savings - SAF]])+SUM(Table1[[#This Row],[Savings - Sams Mexico]:[Savings - Sams China]])+Table1[[#This Row],[Savings - IND]]</f>
        <v>0</v>
      </c>
      <c r="BZ202">
        <f>SUM(Table1[[#This Row],[Spend - US]:[Spend - Sams]])</f>
        <v>396579984.63770002</v>
      </c>
      <c r="CA202">
        <f>SUM(Table1[[#This Row],[Savings - US]:[Savings - Sams]])</f>
        <v>0</v>
      </c>
      <c r="CB202">
        <f>SUM(Table1[[#This Row],[Cost Avoidance - CAN2]:[Cost Avoidance - SAF10]])+SUM(Table1[[#This Row],[Cost Avoidance - Sams Mexico]:[Cost Avoidance - Sams China]])+Table1[[#This Row],[Cost Avoidance - IND]]</f>
        <v>0</v>
      </c>
      <c r="CC202">
        <f>SUM(Table1[[#This Row],[Cost Avoidance - US11]:[Cost Avoidance - Sams12]])</f>
        <v>0</v>
      </c>
      <c r="CD202">
        <f>_xlfn.XLOOKUP(Table1[[#This Row],[Status]],Status_Lookups[Status],Status_Lookups[Value],"")</f>
        <v>0.3</v>
      </c>
    </row>
    <row r="203" spans="1:82">
      <c r="A203">
        <v>27</v>
      </c>
      <c r="B203" t="s">
        <v>98</v>
      </c>
      <c r="C203" t="s">
        <v>43</v>
      </c>
      <c r="D203" t="s">
        <v>39</v>
      </c>
      <c r="E203" s="15">
        <v>44378</v>
      </c>
      <c r="F203" s="15">
        <v>44470</v>
      </c>
      <c r="G203" s="15">
        <v>0</v>
      </c>
      <c r="H203" s="15">
        <v>0</v>
      </c>
      <c r="I203" t="s">
        <v>635</v>
      </c>
      <c r="J203" t="s">
        <v>459</v>
      </c>
      <c r="K203" t="s">
        <v>78</v>
      </c>
      <c r="L203">
        <v>0</v>
      </c>
      <c r="M203">
        <v>47400000</v>
      </c>
      <c r="N203">
        <v>54600000</v>
      </c>
      <c r="O203">
        <v>1000000</v>
      </c>
      <c r="P203">
        <v>3100000</v>
      </c>
      <c r="R203">
        <v>0</v>
      </c>
      <c r="V203">
        <v>322299416.63770002</v>
      </c>
      <c r="W203">
        <v>0</v>
      </c>
      <c r="X203" t="s">
        <v>78</v>
      </c>
      <c r="Y203" s="16">
        <v>44473.378570486107</v>
      </c>
      <c r="Z203" s="17" t="str">
        <f>_xlfn.XLOOKUP(Table1[[#This Row],[Phase]],'Lookup tables'!$Y$27:$Y$60,'Lookup tables'!$Z$27:$Z$60,"Not Updated")</f>
        <v>RFPX underway</v>
      </c>
      <c r="AA203" s="17" t="s">
        <v>654</v>
      </c>
      <c r="AB203">
        <v>0</v>
      </c>
      <c r="AC203">
        <v>0</v>
      </c>
      <c r="AD203">
        <v>0</v>
      </c>
      <c r="AE203">
        <v>0</v>
      </c>
      <c r="AF203">
        <v>0</v>
      </c>
      <c r="AG203">
        <v>0</v>
      </c>
      <c r="AH203">
        <v>0</v>
      </c>
      <c r="AI203">
        <v>0</v>
      </c>
      <c r="AJ203">
        <v>0</v>
      </c>
      <c r="AK203">
        <v>0</v>
      </c>
      <c r="AL203">
        <v>0</v>
      </c>
      <c r="AM203">
        <v>0</v>
      </c>
      <c r="AN203">
        <v>0</v>
      </c>
      <c r="AO203">
        <v>0</v>
      </c>
      <c r="AP203">
        <v>0</v>
      </c>
      <c r="AQ203">
        <v>0</v>
      </c>
      <c r="AR203">
        <v>0</v>
      </c>
      <c r="AS203">
        <v>0</v>
      </c>
      <c r="AT203">
        <v>0</v>
      </c>
      <c r="AU203">
        <v>0</v>
      </c>
      <c r="AV203">
        <v>0</v>
      </c>
      <c r="AW203">
        <v>0</v>
      </c>
      <c r="BG203" s="185"/>
      <c r="BH203" s="185"/>
      <c r="BI203" s="185"/>
      <c r="BJ203" s="185"/>
      <c r="BK203" s="185"/>
      <c r="BL203" s="185"/>
      <c r="BM203" s="185"/>
      <c r="BN203" s="185"/>
      <c r="BO203" s="185"/>
      <c r="BP203" s="185"/>
      <c r="BQ203" s="185"/>
      <c r="BR203" s="185"/>
      <c r="BS203" s="185"/>
      <c r="BT203" s="185"/>
      <c r="BU203" t="b">
        <f>IF(_xlfn.MAXIFS(Table1[Sl No],Table1[Category],Table1[[#This Row],[Category]],Table1[Execution Year],Table1[[#This Row],[Execution Year]])=Table1[[#This Row],[Sl No]],TRUE,FALSE)</f>
        <v>0</v>
      </c>
      <c r="BV203" s="201">
        <f>SUM(Table1[[#This Row],[Spend - CAN]:[Spend - Sams]])+SUM(Table1[[#This Row],[Spend - Sams Mexico]:[Spend - Sams China]])+Table1[[#This Row],[Spend - IND]]</f>
        <v>428399416.63770002</v>
      </c>
      <c r="BW203">
        <f>SUM(Table1[[#This Row],[Savings - CAN]:[Savings - Sams]])+SUM(Table1[[#This Row],[Savings - Sams Mexico]:[Savings - Sams China]])+Table1[[#This Row],[Savings - IND]]</f>
        <v>0</v>
      </c>
      <c r="BX203">
        <f>SUM(Table1[[#This Row],[Spend - CAN]:[Spend - SAF]])+SUM(Table1[[#This Row],[Spend - Sams Mexico]:[Spend - Sams China]])+Table1[[#This Row],[Spend - IND]]</f>
        <v>106100000</v>
      </c>
      <c r="BY203">
        <f>SUM(Table1[[#This Row],[Savings - CAN]:[Savings - SAF]])+SUM(Table1[[#This Row],[Savings - Sams Mexico]:[Savings - Sams China]])+Table1[[#This Row],[Savings - IND]]</f>
        <v>0</v>
      </c>
      <c r="BZ203">
        <f>SUM(Table1[[#This Row],[Spend - US]:[Spend - Sams]])</f>
        <v>322299416.63770002</v>
      </c>
      <c r="CA203">
        <f>SUM(Table1[[#This Row],[Savings - US]:[Savings - Sams]])</f>
        <v>0</v>
      </c>
      <c r="CB203">
        <f>SUM(Table1[[#This Row],[Cost Avoidance - CAN2]:[Cost Avoidance - SAF10]])+SUM(Table1[[#This Row],[Cost Avoidance - Sams Mexico]:[Cost Avoidance - Sams China]])+Table1[[#This Row],[Cost Avoidance - IND]]</f>
        <v>0</v>
      </c>
      <c r="CC203">
        <f>SUM(Table1[[#This Row],[Cost Avoidance - US11]:[Cost Avoidance - Sams12]])</f>
        <v>0</v>
      </c>
      <c r="CD203">
        <f>_xlfn.XLOOKUP(Table1[[#This Row],[Status]],Status_Lookups[Status],Status_Lookups[Value],"")</f>
        <v>0.3</v>
      </c>
    </row>
    <row r="204" spans="1:82">
      <c r="A204">
        <v>28</v>
      </c>
      <c r="B204" t="s">
        <v>98</v>
      </c>
      <c r="C204" t="s">
        <v>43</v>
      </c>
      <c r="D204" t="s">
        <v>39</v>
      </c>
      <c r="E204" s="15">
        <v>44409</v>
      </c>
      <c r="F204" s="15">
        <v>44561</v>
      </c>
      <c r="G204" s="15">
        <v>0</v>
      </c>
      <c r="H204" s="15">
        <v>0</v>
      </c>
      <c r="I204" t="s">
        <v>635</v>
      </c>
      <c r="J204" t="s">
        <v>459</v>
      </c>
      <c r="K204" t="s">
        <v>78</v>
      </c>
      <c r="L204">
        <v>0</v>
      </c>
      <c r="M204">
        <v>47400000</v>
      </c>
      <c r="N204">
        <v>54600000</v>
      </c>
      <c r="O204">
        <v>1000000</v>
      </c>
      <c r="P204">
        <v>3100000</v>
      </c>
      <c r="R204">
        <v>0</v>
      </c>
      <c r="V204">
        <v>322299416.63770002</v>
      </c>
      <c r="W204">
        <v>0</v>
      </c>
      <c r="X204" t="s">
        <v>78</v>
      </c>
      <c r="Y204" s="16">
        <v>44473.40567511574</v>
      </c>
      <c r="Z204" s="17" t="str">
        <f>_xlfn.XLOOKUP(Table1[[#This Row],[Phase]],'Lookup tables'!$Y$27:$Y$60,'Lookup tables'!$Z$27:$Z$60,"Not Updated")</f>
        <v>RFPX underway</v>
      </c>
      <c r="AA204" s="17" t="s">
        <v>654</v>
      </c>
      <c r="AB204">
        <v>0</v>
      </c>
      <c r="AC204">
        <v>0</v>
      </c>
      <c r="AD204">
        <v>0</v>
      </c>
      <c r="AE204">
        <v>0</v>
      </c>
      <c r="AF204">
        <v>0</v>
      </c>
      <c r="AG204">
        <v>0</v>
      </c>
      <c r="AH204">
        <v>0</v>
      </c>
      <c r="AI204">
        <v>0</v>
      </c>
      <c r="AJ204">
        <v>0</v>
      </c>
      <c r="AK204">
        <v>0</v>
      </c>
      <c r="AL204">
        <v>0</v>
      </c>
      <c r="AM204">
        <v>0</v>
      </c>
      <c r="AN204">
        <v>0</v>
      </c>
      <c r="AO204">
        <v>0</v>
      </c>
      <c r="AP204">
        <v>0</v>
      </c>
      <c r="AQ204">
        <v>0</v>
      </c>
      <c r="AR204">
        <v>0</v>
      </c>
      <c r="AS204">
        <v>0</v>
      </c>
      <c r="AT204">
        <v>0</v>
      </c>
      <c r="AU204">
        <v>0</v>
      </c>
      <c r="AV204">
        <v>0</v>
      </c>
      <c r="AW204">
        <v>0</v>
      </c>
      <c r="BG204" s="185"/>
      <c r="BH204" s="185"/>
      <c r="BI204" s="185"/>
      <c r="BJ204" s="185"/>
      <c r="BK204" s="185"/>
      <c r="BL204" s="185"/>
      <c r="BM204" s="185"/>
      <c r="BN204" s="185"/>
      <c r="BO204" s="185"/>
      <c r="BP204" s="185"/>
      <c r="BQ204" s="185"/>
      <c r="BR204" s="185"/>
      <c r="BS204" s="185"/>
      <c r="BT204" s="185"/>
      <c r="BU204" t="b">
        <f>IF(_xlfn.MAXIFS(Table1[Sl No],Table1[Category],Table1[[#This Row],[Category]],Table1[Execution Year],Table1[[#This Row],[Execution Year]])=Table1[[#This Row],[Sl No]],TRUE,FALSE)</f>
        <v>0</v>
      </c>
      <c r="BV204" s="201">
        <f>SUM(Table1[[#This Row],[Spend - CAN]:[Spend - Sams]])+SUM(Table1[[#This Row],[Spend - Sams Mexico]:[Spend - Sams China]])+Table1[[#This Row],[Spend - IND]]</f>
        <v>428399416.63770002</v>
      </c>
      <c r="BW204">
        <f>SUM(Table1[[#This Row],[Savings - CAN]:[Savings - Sams]])+SUM(Table1[[#This Row],[Savings - Sams Mexico]:[Savings - Sams China]])+Table1[[#This Row],[Savings - IND]]</f>
        <v>0</v>
      </c>
      <c r="BX204">
        <f>SUM(Table1[[#This Row],[Spend - CAN]:[Spend - SAF]])+SUM(Table1[[#This Row],[Spend - Sams Mexico]:[Spend - Sams China]])+Table1[[#This Row],[Spend - IND]]</f>
        <v>106100000</v>
      </c>
      <c r="BY204">
        <f>SUM(Table1[[#This Row],[Savings - CAN]:[Savings - SAF]])+SUM(Table1[[#This Row],[Savings - Sams Mexico]:[Savings - Sams China]])+Table1[[#This Row],[Savings - IND]]</f>
        <v>0</v>
      </c>
      <c r="BZ204">
        <f>SUM(Table1[[#This Row],[Spend - US]:[Spend - Sams]])</f>
        <v>322299416.63770002</v>
      </c>
      <c r="CA204">
        <f>SUM(Table1[[#This Row],[Savings - US]:[Savings - Sams]])</f>
        <v>0</v>
      </c>
      <c r="CB204">
        <f>SUM(Table1[[#This Row],[Cost Avoidance - CAN2]:[Cost Avoidance - SAF10]])+SUM(Table1[[#This Row],[Cost Avoidance - Sams Mexico]:[Cost Avoidance - Sams China]])+Table1[[#This Row],[Cost Avoidance - IND]]</f>
        <v>0</v>
      </c>
      <c r="CC204">
        <f>SUM(Table1[[#This Row],[Cost Avoidance - US11]:[Cost Avoidance - Sams12]])</f>
        <v>0</v>
      </c>
      <c r="CD204">
        <f>_xlfn.XLOOKUP(Table1[[#This Row],[Status]],Status_Lookups[Status],Status_Lookups[Value],"")</f>
        <v>0.3</v>
      </c>
    </row>
    <row r="205" spans="1:82">
      <c r="A205">
        <v>29</v>
      </c>
      <c r="B205" t="s">
        <v>98</v>
      </c>
      <c r="C205" t="s">
        <v>43</v>
      </c>
      <c r="D205" t="s">
        <v>39</v>
      </c>
      <c r="E205" s="15">
        <v>44409</v>
      </c>
      <c r="F205" s="15">
        <v>44576</v>
      </c>
      <c r="G205" s="15">
        <v>0</v>
      </c>
      <c r="H205" s="15">
        <v>0</v>
      </c>
      <c r="I205" t="s">
        <v>635</v>
      </c>
      <c r="J205" t="s">
        <v>459</v>
      </c>
      <c r="K205" t="s">
        <v>78</v>
      </c>
      <c r="L205">
        <v>0</v>
      </c>
      <c r="M205">
        <v>47400000</v>
      </c>
      <c r="N205">
        <v>54600000</v>
      </c>
      <c r="O205">
        <v>1000000</v>
      </c>
      <c r="P205">
        <v>3100000</v>
      </c>
      <c r="R205">
        <v>0</v>
      </c>
      <c r="V205">
        <v>322299416.63770002</v>
      </c>
      <c r="W205">
        <v>0</v>
      </c>
      <c r="X205" t="s">
        <v>78</v>
      </c>
      <c r="Y205" s="16">
        <v>44502.439908333334</v>
      </c>
      <c r="Z205" s="17" t="str">
        <f>_xlfn.XLOOKUP(Table1[[#This Row],[Phase]],'Lookup tables'!$Y$27:$Y$60,'Lookup tables'!$Z$27:$Z$60,"Not Updated")</f>
        <v>RFPX underway</v>
      </c>
      <c r="AA205" s="17" t="s">
        <v>654</v>
      </c>
      <c r="AB205">
        <v>0</v>
      </c>
      <c r="AC205">
        <v>0</v>
      </c>
      <c r="AD205">
        <v>0</v>
      </c>
      <c r="AE205">
        <v>0</v>
      </c>
      <c r="AF205">
        <v>0</v>
      </c>
      <c r="AG205">
        <v>0</v>
      </c>
      <c r="AH205">
        <v>0</v>
      </c>
      <c r="AI205">
        <v>0</v>
      </c>
      <c r="AJ205">
        <v>0</v>
      </c>
      <c r="AK205">
        <v>0</v>
      </c>
      <c r="AL205">
        <v>0</v>
      </c>
      <c r="AM205">
        <v>0</v>
      </c>
      <c r="AN205">
        <v>0</v>
      </c>
      <c r="AO205">
        <v>0</v>
      </c>
      <c r="AP205">
        <v>0</v>
      </c>
      <c r="AQ205">
        <v>0</v>
      </c>
      <c r="AR205">
        <v>0</v>
      </c>
      <c r="AS205">
        <v>0</v>
      </c>
      <c r="AT205">
        <v>0</v>
      </c>
      <c r="AU205">
        <v>0</v>
      </c>
      <c r="AV205">
        <v>0</v>
      </c>
      <c r="AW205">
        <v>0</v>
      </c>
      <c r="BG205" s="185"/>
      <c r="BH205" s="185"/>
      <c r="BI205" s="185"/>
      <c r="BJ205" s="185"/>
      <c r="BK205" s="185"/>
      <c r="BL205" s="185"/>
      <c r="BM205" s="185"/>
      <c r="BN205" s="185"/>
      <c r="BO205" s="185"/>
      <c r="BP205" s="185"/>
      <c r="BQ205" s="185"/>
      <c r="BR205" s="185"/>
      <c r="BS205" s="185"/>
      <c r="BT205" s="185"/>
      <c r="BU205" t="b">
        <f>IF(_xlfn.MAXIFS(Table1[Sl No],Table1[Category],Table1[[#This Row],[Category]],Table1[Execution Year],Table1[[#This Row],[Execution Year]])=Table1[[#This Row],[Sl No]],TRUE,FALSE)</f>
        <v>0</v>
      </c>
      <c r="BV205" s="201">
        <f>SUM(Table1[[#This Row],[Spend - CAN]:[Spend - Sams]])+SUM(Table1[[#This Row],[Spend - Sams Mexico]:[Spend - Sams China]])+Table1[[#This Row],[Spend - IND]]</f>
        <v>428399416.63770002</v>
      </c>
      <c r="BW205">
        <f>SUM(Table1[[#This Row],[Savings - CAN]:[Savings - Sams]])+SUM(Table1[[#This Row],[Savings - Sams Mexico]:[Savings - Sams China]])+Table1[[#This Row],[Savings - IND]]</f>
        <v>0</v>
      </c>
      <c r="BX205">
        <f>SUM(Table1[[#This Row],[Spend - CAN]:[Spend - SAF]])+SUM(Table1[[#This Row],[Spend - Sams Mexico]:[Spend - Sams China]])+Table1[[#This Row],[Spend - IND]]</f>
        <v>106100000</v>
      </c>
      <c r="BY205">
        <f>SUM(Table1[[#This Row],[Savings - CAN]:[Savings - SAF]])+SUM(Table1[[#This Row],[Savings - Sams Mexico]:[Savings - Sams China]])+Table1[[#This Row],[Savings - IND]]</f>
        <v>0</v>
      </c>
      <c r="BZ205">
        <f>SUM(Table1[[#This Row],[Spend - US]:[Spend - Sams]])</f>
        <v>322299416.63770002</v>
      </c>
      <c r="CA205">
        <f>SUM(Table1[[#This Row],[Savings - US]:[Savings - Sams]])</f>
        <v>0</v>
      </c>
      <c r="CB205">
        <f>SUM(Table1[[#This Row],[Cost Avoidance - CAN2]:[Cost Avoidance - SAF10]])+SUM(Table1[[#This Row],[Cost Avoidance - Sams Mexico]:[Cost Avoidance - Sams China]])+Table1[[#This Row],[Cost Avoidance - IND]]</f>
        <v>0</v>
      </c>
      <c r="CC205">
        <f>SUM(Table1[[#This Row],[Cost Avoidance - US11]:[Cost Avoidance - Sams12]])</f>
        <v>0</v>
      </c>
      <c r="CD205">
        <f>_xlfn.XLOOKUP(Table1[[#This Row],[Status]],Status_Lookups[Status],Status_Lookups[Value],"")</f>
        <v>0.3</v>
      </c>
    </row>
    <row r="206" spans="1:82">
      <c r="A206">
        <v>30</v>
      </c>
      <c r="B206" t="s">
        <v>98</v>
      </c>
      <c r="C206" t="s">
        <v>43</v>
      </c>
      <c r="D206" t="s">
        <v>39</v>
      </c>
      <c r="E206" s="15">
        <v>44409</v>
      </c>
      <c r="F206" s="15">
        <v>44576</v>
      </c>
      <c r="G206" s="15">
        <v>0</v>
      </c>
      <c r="H206" s="15">
        <v>0</v>
      </c>
      <c r="I206" t="s">
        <v>635</v>
      </c>
      <c r="J206" t="s">
        <v>459</v>
      </c>
      <c r="K206" t="s">
        <v>78</v>
      </c>
      <c r="L206">
        <v>0</v>
      </c>
      <c r="M206">
        <v>47400000</v>
      </c>
      <c r="N206">
        <v>74700000</v>
      </c>
      <c r="O206">
        <v>3700000</v>
      </c>
      <c r="P206">
        <v>3100000</v>
      </c>
      <c r="R206">
        <v>0</v>
      </c>
      <c r="V206">
        <v>431600000</v>
      </c>
      <c r="W206">
        <v>0</v>
      </c>
      <c r="X206" t="s">
        <v>78</v>
      </c>
      <c r="Y206" s="16">
        <v>44529.58385289352</v>
      </c>
      <c r="Z206" s="17" t="str">
        <f>_xlfn.XLOOKUP(Table1[[#This Row],[Phase]],'Lookup tables'!$Y$27:$Y$60,'Lookup tables'!$Z$27:$Z$60,"Not Updated")</f>
        <v>RFPX underway</v>
      </c>
      <c r="AA206" s="17" t="s">
        <v>654</v>
      </c>
      <c r="AB206">
        <v>0</v>
      </c>
      <c r="AC206">
        <v>0</v>
      </c>
      <c r="AD206">
        <v>0</v>
      </c>
      <c r="AE206">
        <v>0</v>
      </c>
      <c r="AF206">
        <v>0</v>
      </c>
      <c r="AG206">
        <v>0</v>
      </c>
      <c r="AH206">
        <v>0</v>
      </c>
      <c r="AI206">
        <v>0</v>
      </c>
      <c r="AJ206">
        <v>0</v>
      </c>
      <c r="AK206">
        <v>0</v>
      </c>
      <c r="AL206">
        <v>0</v>
      </c>
      <c r="AM206">
        <v>0</v>
      </c>
      <c r="AN206">
        <v>0</v>
      </c>
      <c r="AO206">
        <v>0</v>
      </c>
      <c r="AP206">
        <v>0</v>
      </c>
      <c r="AQ206">
        <v>0</v>
      </c>
      <c r="AR206">
        <v>0</v>
      </c>
      <c r="AS206">
        <v>0</v>
      </c>
      <c r="AT206">
        <v>0</v>
      </c>
      <c r="AU206">
        <v>0</v>
      </c>
      <c r="AV206">
        <v>0</v>
      </c>
      <c r="AW206">
        <v>0</v>
      </c>
      <c r="BG206" s="185"/>
      <c r="BH206" s="185"/>
      <c r="BI206" s="185"/>
      <c r="BJ206" s="185"/>
      <c r="BK206" s="185"/>
      <c r="BL206" s="185"/>
      <c r="BM206" s="185"/>
      <c r="BN206" s="185"/>
      <c r="BO206" s="185"/>
      <c r="BP206" s="185"/>
      <c r="BQ206" s="185"/>
      <c r="BR206" s="185"/>
      <c r="BS206" s="185"/>
      <c r="BT206" s="185"/>
      <c r="BU206" t="b">
        <f>IF(_xlfn.MAXIFS(Table1[Sl No],Table1[Category],Table1[[#This Row],[Category]],Table1[Execution Year],Table1[[#This Row],[Execution Year]])=Table1[[#This Row],[Sl No]],TRUE,FALSE)</f>
        <v>0</v>
      </c>
      <c r="BV206" s="201">
        <f>SUM(Table1[[#This Row],[Spend - CAN]:[Spend - Sams]])+SUM(Table1[[#This Row],[Spend - Sams Mexico]:[Spend - Sams China]])+Table1[[#This Row],[Spend - IND]]</f>
        <v>560500000</v>
      </c>
      <c r="BW206">
        <f>SUM(Table1[[#This Row],[Savings - CAN]:[Savings - Sams]])+SUM(Table1[[#This Row],[Savings - Sams Mexico]:[Savings - Sams China]])+Table1[[#This Row],[Savings - IND]]</f>
        <v>0</v>
      </c>
      <c r="BX206">
        <f>SUM(Table1[[#This Row],[Spend - CAN]:[Spend - SAF]])+SUM(Table1[[#This Row],[Spend - Sams Mexico]:[Spend - Sams China]])+Table1[[#This Row],[Spend - IND]]</f>
        <v>128900000</v>
      </c>
      <c r="BY206">
        <f>SUM(Table1[[#This Row],[Savings - CAN]:[Savings - SAF]])+SUM(Table1[[#This Row],[Savings - Sams Mexico]:[Savings - Sams China]])+Table1[[#This Row],[Savings - IND]]</f>
        <v>0</v>
      </c>
      <c r="BZ206">
        <f>SUM(Table1[[#This Row],[Spend - US]:[Spend - Sams]])</f>
        <v>431600000</v>
      </c>
      <c r="CA206">
        <f>SUM(Table1[[#This Row],[Savings - US]:[Savings - Sams]])</f>
        <v>0</v>
      </c>
      <c r="CB206">
        <f>SUM(Table1[[#This Row],[Cost Avoidance - CAN2]:[Cost Avoidance - SAF10]])+SUM(Table1[[#This Row],[Cost Avoidance - Sams Mexico]:[Cost Avoidance - Sams China]])+Table1[[#This Row],[Cost Avoidance - IND]]</f>
        <v>0</v>
      </c>
      <c r="CC206">
        <f>SUM(Table1[[#This Row],[Cost Avoidance - US11]:[Cost Avoidance - Sams12]])</f>
        <v>0</v>
      </c>
      <c r="CD206">
        <f>_xlfn.XLOOKUP(Table1[[#This Row],[Status]],Status_Lookups[Status],Status_Lookups[Value],"")</f>
        <v>0.3</v>
      </c>
    </row>
    <row r="207" spans="1:82">
      <c r="A207">
        <v>31</v>
      </c>
      <c r="B207" t="s">
        <v>98</v>
      </c>
      <c r="C207" t="s">
        <v>43</v>
      </c>
      <c r="D207" t="s">
        <v>39</v>
      </c>
      <c r="E207" s="15">
        <v>44409</v>
      </c>
      <c r="F207" s="15">
        <v>44576</v>
      </c>
      <c r="G207" s="15">
        <v>0</v>
      </c>
      <c r="H207" s="15">
        <v>0</v>
      </c>
      <c r="I207" t="s">
        <v>635</v>
      </c>
      <c r="J207" t="s">
        <v>459</v>
      </c>
      <c r="K207" t="s">
        <v>78</v>
      </c>
      <c r="L207">
        <v>0</v>
      </c>
      <c r="M207">
        <v>47400000</v>
      </c>
      <c r="N207">
        <v>74700000</v>
      </c>
      <c r="O207">
        <v>3700000</v>
      </c>
      <c r="P207">
        <v>3100000</v>
      </c>
      <c r="R207">
        <v>0</v>
      </c>
      <c r="V207">
        <v>431600000</v>
      </c>
      <c r="W207">
        <v>0</v>
      </c>
      <c r="X207" t="s">
        <v>78</v>
      </c>
      <c r="Y207" s="16">
        <v>44543.621468287034</v>
      </c>
      <c r="Z207" s="17" t="str">
        <f>_xlfn.XLOOKUP(Table1[[#This Row],[Phase]],'Lookup tables'!$Y$27:$Y$60,'Lookup tables'!$Z$27:$Z$60,"Not Updated")</f>
        <v>RFPX underway</v>
      </c>
      <c r="AA207" s="17" t="s">
        <v>654</v>
      </c>
      <c r="AB207">
        <v>0</v>
      </c>
      <c r="AC207">
        <v>0</v>
      </c>
      <c r="AD207">
        <v>0</v>
      </c>
      <c r="AE207">
        <v>0</v>
      </c>
      <c r="AF207">
        <v>0</v>
      </c>
      <c r="AG207">
        <v>0</v>
      </c>
      <c r="AH207">
        <v>0</v>
      </c>
      <c r="AI207">
        <v>0</v>
      </c>
      <c r="AJ207">
        <v>0</v>
      </c>
      <c r="AK207">
        <v>0</v>
      </c>
      <c r="AL207">
        <v>0</v>
      </c>
      <c r="AM207">
        <v>0</v>
      </c>
      <c r="AN207">
        <v>0</v>
      </c>
      <c r="AO207">
        <v>0</v>
      </c>
      <c r="AP207">
        <v>0</v>
      </c>
      <c r="AQ207">
        <v>0</v>
      </c>
      <c r="AR207">
        <v>0</v>
      </c>
      <c r="AS207">
        <v>0</v>
      </c>
      <c r="AT207">
        <v>0</v>
      </c>
      <c r="AU207">
        <v>0</v>
      </c>
      <c r="AV207">
        <v>0</v>
      </c>
      <c r="AW207">
        <v>0</v>
      </c>
      <c r="BG207" s="185"/>
      <c r="BH207" s="185"/>
      <c r="BI207" s="185"/>
      <c r="BJ207" s="185"/>
      <c r="BK207" s="185"/>
      <c r="BL207" s="185"/>
      <c r="BM207" s="185"/>
      <c r="BN207" s="185"/>
      <c r="BO207" s="185"/>
      <c r="BP207" s="185"/>
      <c r="BQ207" s="185"/>
      <c r="BR207" s="185"/>
      <c r="BS207" s="185"/>
      <c r="BT207" s="185"/>
      <c r="BU207" t="b">
        <f>IF(_xlfn.MAXIFS(Table1[Sl No],Table1[Category],Table1[[#This Row],[Category]],Table1[Execution Year],Table1[[#This Row],[Execution Year]])=Table1[[#This Row],[Sl No]],TRUE,FALSE)</f>
        <v>0</v>
      </c>
      <c r="BV207" s="201">
        <f>SUM(Table1[[#This Row],[Spend - CAN]:[Spend - Sams]])+SUM(Table1[[#This Row],[Spend - Sams Mexico]:[Spend - Sams China]])+Table1[[#This Row],[Spend - IND]]</f>
        <v>560500000</v>
      </c>
      <c r="BW207">
        <f>SUM(Table1[[#This Row],[Savings - CAN]:[Savings - Sams]])+SUM(Table1[[#This Row],[Savings - Sams Mexico]:[Savings - Sams China]])+Table1[[#This Row],[Savings - IND]]</f>
        <v>0</v>
      </c>
      <c r="BX207">
        <f>SUM(Table1[[#This Row],[Spend - CAN]:[Spend - SAF]])+SUM(Table1[[#This Row],[Spend - Sams Mexico]:[Spend - Sams China]])+Table1[[#This Row],[Spend - IND]]</f>
        <v>128900000</v>
      </c>
      <c r="BY207">
        <f>SUM(Table1[[#This Row],[Savings - CAN]:[Savings - SAF]])+SUM(Table1[[#This Row],[Savings - Sams Mexico]:[Savings - Sams China]])+Table1[[#This Row],[Savings - IND]]</f>
        <v>0</v>
      </c>
      <c r="BZ207">
        <f>SUM(Table1[[#This Row],[Spend - US]:[Spend - Sams]])</f>
        <v>431600000</v>
      </c>
      <c r="CA207">
        <f>SUM(Table1[[#This Row],[Savings - US]:[Savings - Sams]])</f>
        <v>0</v>
      </c>
      <c r="CB207">
        <f>SUM(Table1[[#This Row],[Cost Avoidance - CAN2]:[Cost Avoidance - SAF10]])+SUM(Table1[[#This Row],[Cost Avoidance - Sams Mexico]:[Cost Avoidance - Sams China]])+Table1[[#This Row],[Cost Avoidance - IND]]</f>
        <v>0</v>
      </c>
      <c r="CC207">
        <f>SUM(Table1[[#This Row],[Cost Avoidance - US11]:[Cost Avoidance - Sams12]])</f>
        <v>0</v>
      </c>
      <c r="CD207">
        <f>_xlfn.XLOOKUP(Table1[[#This Row],[Status]],Status_Lookups[Status],Status_Lookups[Value],"")</f>
        <v>0.3</v>
      </c>
    </row>
    <row r="208" spans="1:82">
      <c r="A208">
        <v>32</v>
      </c>
      <c r="B208" t="s">
        <v>98</v>
      </c>
      <c r="C208" t="s">
        <v>43</v>
      </c>
      <c r="D208" t="s">
        <v>39</v>
      </c>
      <c r="E208" s="15">
        <v>44805</v>
      </c>
      <c r="F208" s="15">
        <v>44633</v>
      </c>
      <c r="G208" s="15">
        <v>0</v>
      </c>
      <c r="H208" s="15">
        <v>0</v>
      </c>
      <c r="I208" t="s">
        <v>635</v>
      </c>
      <c r="J208" t="s">
        <v>459</v>
      </c>
      <c r="K208" t="s">
        <v>78</v>
      </c>
      <c r="L208">
        <v>0</v>
      </c>
      <c r="M208">
        <v>47400000</v>
      </c>
      <c r="N208">
        <v>74700000</v>
      </c>
      <c r="O208">
        <v>3700000</v>
      </c>
      <c r="P208">
        <v>3100000</v>
      </c>
      <c r="R208">
        <v>0</v>
      </c>
      <c r="V208">
        <v>431600000</v>
      </c>
      <c r="W208">
        <v>0</v>
      </c>
      <c r="X208" t="s">
        <v>78</v>
      </c>
      <c r="Y208" s="16">
        <v>44543.621959722223</v>
      </c>
      <c r="Z208" s="17" t="str">
        <f>_xlfn.XLOOKUP(Table1[[#This Row],[Phase]],'Lookup tables'!$Y$27:$Y$60,'Lookup tables'!$Z$27:$Z$60,"Not Updated")</f>
        <v>RFPX underway</v>
      </c>
      <c r="AA208" s="17" t="s">
        <v>654</v>
      </c>
      <c r="AB208">
        <v>0</v>
      </c>
      <c r="AC208">
        <v>0</v>
      </c>
      <c r="AD208">
        <v>0</v>
      </c>
      <c r="AE208">
        <v>0</v>
      </c>
      <c r="AF208">
        <v>0</v>
      </c>
      <c r="AG208">
        <v>0</v>
      </c>
      <c r="AH208">
        <v>0</v>
      </c>
      <c r="AI208">
        <v>0</v>
      </c>
      <c r="AJ208">
        <v>0</v>
      </c>
      <c r="AK208">
        <v>0</v>
      </c>
      <c r="AL208">
        <v>0</v>
      </c>
      <c r="AM208">
        <v>0</v>
      </c>
      <c r="AN208">
        <v>0</v>
      </c>
      <c r="AO208">
        <v>0</v>
      </c>
      <c r="AP208">
        <v>0</v>
      </c>
      <c r="AQ208">
        <v>0</v>
      </c>
      <c r="AR208">
        <v>0</v>
      </c>
      <c r="AS208">
        <v>0</v>
      </c>
      <c r="AT208">
        <v>0</v>
      </c>
      <c r="AU208">
        <v>0</v>
      </c>
      <c r="AV208">
        <v>0</v>
      </c>
      <c r="AW208">
        <v>0</v>
      </c>
      <c r="BG208" s="185"/>
      <c r="BH208" s="185"/>
      <c r="BI208" s="185"/>
      <c r="BJ208" s="185"/>
      <c r="BK208" s="185"/>
      <c r="BL208" s="185"/>
      <c r="BM208" s="185"/>
      <c r="BN208" s="185"/>
      <c r="BO208" s="185"/>
      <c r="BP208" s="185"/>
      <c r="BQ208" s="185"/>
      <c r="BR208" s="185"/>
      <c r="BS208" s="185"/>
      <c r="BT208" s="185"/>
      <c r="BU208" t="b">
        <f>IF(_xlfn.MAXIFS(Table1[Sl No],Table1[Category],Table1[[#This Row],[Category]],Table1[Execution Year],Table1[[#This Row],[Execution Year]])=Table1[[#This Row],[Sl No]],TRUE,FALSE)</f>
        <v>0</v>
      </c>
      <c r="BV208" s="201">
        <f>SUM(Table1[[#This Row],[Spend - CAN]:[Spend - Sams]])+SUM(Table1[[#This Row],[Spend - Sams Mexico]:[Spend - Sams China]])+Table1[[#This Row],[Spend - IND]]</f>
        <v>560500000</v>
      </c>
      <c r="BW208">
        <f>SUM(Table1[[#This Row],[Savings - CAN]:[Savings - Sams]])+SUM(Table1[[#This Row],[Savings - Sams Mexico]:[Savings - Sams China]])+Table1[[#This Row],[Savings - IND]]</f>
        <v>0</v>
      </c>
      <c r="BX208">
        <f>SUM(Table1[[#This Row],[Spend - CAN]:[Spend - SAF]])+SUM(Table1[[#This Row],[Spend - Sams Mexico]:[Spend - Sams China]])+Table1[[#This Row],[Spend - IND]]</f>
        <v>128900000</v>
      </c>
      <c r="BY208">
        <f>SUM(Table1[[#This Row],[Savings - CAN]:[Savings - SAF]])+SUM(Table1[[#This Row],[Savings - Sams Mexico]:[Savings - Sams China]])+Table1[[#This Row],[Savings - IND]]</f>
        <v>0</v>
      </c>
      <c r="BZ208">
        <f>SUM(Table1[[#This Row],[Spend - US]:[Spend - Sams]])</f>
        <v>431600000</v>
      </c>
      <c r="CA208">
        <f>SUM(Table1[[#This Row],[Savings - US]:[Savings - Sams]])</f>
        <v>0</v>
      </c>
      <c r="CB208">
        <f>SUM(Table1[[#This Row],[Cost Avoidance - CAN2]:[Cost Avoidance - SAF10]])+SUM(Table1[[#This Row],[Cost Avoidance - Sams Mexico]:[Cost Avoidance - Sams China]])+Table1[[#This Row],[Cost Avoidance - IND]]</f>
        <v>0</v>
      </c>
      <c r="CC208">
        <f>SUM(Table1[[#This Row],[Cost Avoidance - US11]:[Cost Avoidance - Sams12]])</f>
        <v>0</v>
      </c>
      <c r="CD208">
        <f>_xlfn.XLOOKUP(Table1[[#This Row],[Status]],Status_Lookups[Status],Status_Lookups[Value],"")</f>
        <v>0.3</v>
      </c>
    </row>
    <row r="209" spans="1:82">
      <c r="A209">
        <v>33</v>
      </c>
      <c r="B209" t="s">
        <v>98</v>
      </c>
      <c r="C209" t="s">
        <v>43</v>
      </c>
      <c r="D209" t="s">
        <v>39</v>
      </c>
      <c r="E209" s="15">
        <v>44409</v>
      </c>
      <c r="F209" s="15">
        <v>44633</v>
      </c>
      <c r="G209" s="15">
        <v>0</v>
      </c>
      <c r="H209" s="15">
        <v>0</v>
      </c>
      <c r="I209" t="s">
        <v>635</v>
      </c>
      <c r="J209" t="s">
        <v>459</v>
      </c>
      <c r="K209" t="s">
        <v>78</v>
      </c>
      <c r="L209">
        <v>0</v>
      </c>
      <c r="M209">
        <v>47400000</v>
      </c>
      <c r="N209">
        <v>74700000</v>
      </c>
      <c r="O209">
        <v>3700000</v>
      </c>
      <c r="P209">
        <v>3100000</v>
      </c>
      <c r="R209">
        <v>0</v>
      </c>
      <c r="V209">
        <v>431600000</v>
      </c>
      <c r="W209">
        <v>0</v>
      </c>
      <c r="X209" t="s">
        <v>78</v>
      </c>
      <c r="Y209" s="16">
        <v>44543.622307060185</v>
      </c>
      <c r="Z209" s="17" t="str">
        <f>_xlfn.XLOOKUP(Table1[[#This Row],[Phase]],'Lookup tables'!$Y$27:$Y$60,'Lookup tables'!$Z$27:$Z$60,"Not Updated")</f>
        <v>RFPX underway</v>
      </c>
      <c r="AA209" s="17" t="s">
        <v>654</v>
      </c>
      <c r="AB209">
        <v>0</v>
      </c>
      <c r="AC209">
        <v>0</v>
      </c>
      <c r="AD209">
        <v>0</v>
      </c>
      <c r="AE209">
        <v>0</v>
      </c>
      <c r="AF209">
        <v>0</v>
      </c>
      <c r="AG209">
        <v>0</v>
      </c>
      <c r="AH209">
        <v>0</v>
      </c>
      <c r="AI209">
        <v>0</v>
      </c>
      <c r="AJ209">
        <v>0</v>
      </c>
      <c r="AK209">
        <v>0</v>
      </c>
      <c r="AL209">
        <v>0</v>
      </c>
      <c r="AM209">
        <v>0</v>
      </c>
      <c r="AN209">
        <v>0</v>
      </c>
      <c r="AO209">
        <v>0</v>
      </c>
      <c r="AP209">
        <v>0</v>
      </c>
      <c r="AQ209">
        <v>0</v>
      </c>
      <c r="AR209">
        <v>0</v>
      </c>
      <c r="AS209">
        <v>0</v>
      </c>
      <c r="AT209">
        <v>0</v>
      </c>
      <c r="AU209">
        <v>0</v>
      </c>
      <c r="AV209">
        <v>0</v>
      </c>
      <c r="AW209">
        <v>0</v>
      </c>
      <c r="BG209" s="185"/>
      <c r="BH209" s="185"/>
      <c r="BI209" s="185"/>
      <c r="BJ209" s="185"/>
      <c r="BK209" s="185"/>
      <c r="BL209" s="185"/>
      <c r="BM209" s="185"/>
      <c r="BN209" s="185"/>
      <c r="BO209" s="185"/>
      <c r="BP209" s="185"/>
      <c r="BQ209" s="185"/>
      <c r="BR209" s="185"/>
      <c r="BS209" s="185"/>
      <c r="BT209" s="185"/>
      <c r="BU209" t="b">
        <f>IF(_xlfn.MAXIFS(Table1[Sl No],Table1[Category],Table1[[#This Row],[Category]],Table1[Execution Year],Table1[[#This Row],[Execution Year]])=Table1[[#This Row],[Sl No]],TRUE,FALSE)</f>
        <v>0</v>
      </c>
      <c r="BV209" s="201">
        <f>SUM(Table1[[#This Row],[Spend - CAN]:[Spend - Sams]])+SUM(Table1[[#This Row],[Spend - Sams Mexico]:[Spend - Sams China]])+Table1[[#This Row],[Spend - IND]]</f>
        <v>560500000</v>
      </c>
      <c r="BW209">
        <f>SUM(Table1[[#This Row],[Savings - CAN]:[Savings - Sams]])+SUM(Table1[[#This Row],[Savings - Sams Mexico]:[Savings - Sams China]])+Table1[[#This Row],[Savings - IND]]</f>
        <v>0</v>
      </c>
      <c r="BX209">
        <f>SUM(Table1[[#This Row],[Spend - CAN]:[Spend - SAF]])+SUM(Table1[[#This Row],[Spend - Sams Mexico]:[Spend - Sams China]])+Table1[[#This Row],[Spend - IND]]</f>
        <v>128900000</v>
      </c>
      <c r="BY209">
        <f>SUM(Table1[[#This Row],[Savings - CAN]:[Savings - SAF]])+SUM(Table1[[#This Row],[Savings - Sams Mexico]:[Savings - Sams China]])+Table1[[#This Row],[Savings - IND]]</f>
        <v>0</v>
      </c>
      <c r="BZ209">
        <f>SUM(Table1[[#This Row],[Spend - US]:[Spend - Sams]])</f>
        <v>431600000</v>
      </c>
      <c r="CA209">
        <f>SUM(Table1[[#This Row],[Savings - US]:[Savings - Sams]])</f>
        <v>0</v>
      </c>
      <c r="CB209">
        <f>SUM(Table1[[#This Row],[Cost Avoidance - CAN2]:[Cost Avoidance - SAF10]])+SUM(Table1[[#This Row],[Cost Avoidance - Sams Mexico]:[Cost Avoidance - Sams China]])+Table1[[#This Row],[Cost Avoidance - IND]]</f>
        <v>0</v>
      </c>
      <c r="CC209">
        <f>SUM(Table1[[#This Row],[Cost Avoidance - US11]:[Cost Avoidance - Sams12]])</f>
        <v>0</v>
      </c>
      <c r="CD209">
        <f>_xlfn.XLOOKUP(Table1[[#This Row],[Status]],Status_Lookups[Status],Status_Lookups[Value],"")</f>
        <v>0.3</v>
      </c>
    </row>
    <row r="210" spans="1:82">
      <c r="A210">
        <v>34</v>
      </c>
      <c r="B210" t="s">
        <v>98</v>
      </c>
      <c r="C210" t="s">
        <v>43</v>
      </c>
      <c r="D210" t="s">
        <v>39</v>
      </c>
      <c r="E210" s="15">
        <v>44409</v>
      </c>
      <c r="F210" s="15">
        <v>44633</v>
      </c>
      <c r="G210" s="15">
        <v>0</v>
      </c>
      <c r="H210" s="15">
        <v>0</v>
      </c>
      <c r="I210" t="s">
        <v>635</v>
      </c>
      <c r="J210" t="s">
        <v>459</v>
      </c>
      <c r="K210" t="s">
        <v>78</v>
      </c>
      <c r="L210">
        <v>0</v>
      </c>
      <c r="M210">
        <v>47400000</v>
      </c>
      <c r="N210">
        <v>74700000</v>
      </c>
      <c r="O210">
        <v>3700000</v>
      </c>
      <c r="P210">
        <v>3100000</v>
      </c>
      <c r="V210">
        <v>431600000</v>
      </c>
      <c r="X210" t="s">
        <v>78</v>
      </c>
      <c r="Y210" s="16">
        <v>44600.476524652775</v>
      </c>
      <c r="Z210" s="17" t="str">
        <f>_xlfn.XLOOKUP(Table1[[#This Row],[Phase]],'Lookup tables'!$Y$27:$Y$60,'Lookup tables'!$Z$27:$Z$60,"Not Updated")</f>
        <v>RFPX underway</v>
      </c>
      <c r="AA210" s="17" t="s">
        <v>654</v>
      </c>
      <c r="AB210">
        <v>0</v>
      </c>
      <c r="AC210">
        <v>0</v>
      </c>
      <c r="AD210">
        <v>0</v>
      </c>
      <c r="AE210">
        <v>0</v>
      </c>
      <c r="AF210">
        <v>0</v>
      </c>
      <c r="AG210">
        <v>0</v>
      </c>
      <c r="AH210">
        <v>0</v>
      </c>
      <c r="AI210">
        <v>0</v>
      </c>
      <c r="AJ210">
        <v>0</v>
      </c>
      <c r="AK210">
        <v>0</v>
      </c>
      <c r="AL210">
        <v>0</v>
      </c>
      <c r="AM210">
        <v>0</v>
      </c>
      <c r="AN210">
        <v>0</v>
      </c>
      <c r="AO210">
        <v>0</v>
      </c>
      <c r="AP210">
        <v>0</v>
      </c>
      <c r="AQ210">
        <v>0</v>
      </c>
      <c r="AR210">
        <v>0</v>
      </c>
      <c r="AS210">
        <v>0</v>
      </c>
      <c r="AT210">
        <v>0</v>
      </c>
      <c r="AU210">
        <v>0</v>
      </c>
      <c r="AV210">
        <v>0</v>
      </c>
      <c r="AW210">
        <v>0</v>
      </c>
      <c r="AX210">
        <v>0</v>
      </c>
      <c r="AY210">
        <v>0</v>
      </c>
      <c r="AZ210">
        <v>0</v>
      </c>
      <c r="BA210">
        <v>0</v>
      </c>
      <c r="BB210">
        <v>0</v>
      </c>
      <c r="BC210">
        <v>0</v>
      </c>
      <c r="BD210">
        <v>0</v>
      </c>
      <c r="BE210">
        <v>0</v>
      </c>
      <c r="BF210">
        <v>0</v>
      </c>
      <c r="BG210" s="185">
        <v>0</v>
      </c>
      <c r="BH210" s="185">
        <v>0</v>
      </c>
      <c r="BI210" s="185">
        <v>0</v>
      </c>
      <c r="BJ210" s="185">
        <v>0</v>
      </c>
      <c r="BK210" s="185">
        <v>0</v>
      </c>
      <c r="BL210" s="185">
        <v>0</v>
      </c>
      <c r="BM210" s="185">
        <v>0</v>
      </c>
      <c r="BN210" s="185">
        <v>0</v>
      </c>
      <c r="BO210" s="185">
        <v>0</v>
      </c>
      <c r="BP210" s="185">
        <v>0</v>
      </c>
      <c r="BQ210" s="185">
        <v>0</v>
      </c>
      <c r="BR210" s="185">
        <v>0</v>
      </c>
      <c r="BS210" s="185">
        <v>0</v>
      </c>
      <c r="BT210" s="185">
        <v>0</v>
      </c>
      <c r="BU210" t="b">
        <f>IF(_xlfn.MAXIFS(Table1[Sl No],Table1[Category],Table1[[#This Row],[Category]],Table1[Execution Year],Table1[[#This Row],[Execution Year]])=Table1[[#This Row],[Sl No]],TRUE,FALSE)</f>
        <v>0</v>
      </c>
      <c r="BV210" s="201">
        <f>SUM(Table1[[#This Row],[Spend - CAN]:[Spend - Sams]])+SUM(Table1[[#This Row],[Spend - Sams Mexico]:[Spend - Sams China]])+Table1[[#This Row],[Spend - IND]]</f>
        <v>560500000</v>
      </c>
      <c r="BW210">
        <f>SUM(Table1[[#This Row],[Savings - CAN]:[Savings - Sams]])+SUM(Table1[[#This Row],[Savings - Sams Mexico]:[Savings - Sams China]])+Table1[[#This Row],[Savings - IND]]</f>
        <v>0</v>
      </c>
      <c r="BX210">
        <f>SUM(Table1[[#This Row],[Spend - CAN]:[Spend - SAF]])+SUM(Table1[[#This Row],[Spend - Sams Mexico]:[Spend - Sams China]])+Table1[[#This Row],[Spend - IND]]</f>
        <v>128900000</v>
      </c>
      <c r="BY210">
        <f>SUM(Table1[[#This Row],[Savings - CAN]:[Savings - SAF]])+SUM(Table1[[#This Row],[Savings - Sams Mexico]:[Savings - Sams China]])+Table1[[#This Row],[Savings - IND]]</f>
        <v>0</v>
      </c>
      <c r="BZ210">
        <f>SUM(Table1[[#This Row],[Spend - US]:[Spend - Sams]])</f>
        <v>431600000</v>
      </c>
      <c r="CA210">
        <f>SUM(Table1[[#This Row],[Savings - US]:[Savings - Sams]])</f>
        <v>0</v>
      </c>
      <c r="CB210">
        <f>SUM(Table1[[#This Row],[Cost Avoidance - CAN2]:[Cost Avoidance - SAF10]])+SUM(Table1[[#This Row],[Cost Avoidance - Sams Mexico]:[Cost Avoidance - Sams China]])+Table1[[#This Row],[Cost Avoidance - IND]]</f>
        <v>0</v>
      </c>
      <c r="CC210">
        <f>SUM(Table1[[#This Row],[Cost Avoidance - US11]:[Cost Avoidance - Sams12]])</f>
        <v>0</v>
      </c>
      <c r="CD210">
        <f>_xlfn.XLOOKUP(Table1[[#This Row],[Status]],Status_Lookups[Status],Status_Lookups[Value],"")</f>
        <v>0.3</v>
      </c>
    </row>
    <row r="211" spans="1:82">
      <c r="A211">
        <v>35</v>
      </c>
      <c r="B211" t="s">
        <v>98</v>
      </c>
      <c r="C211" t="s">
        <v>43</v>
      </c>
      <c r="D211" t="s">
        <v>39</v>
      </c>
      <c r="E211" s="15">
        <v>44409</v>
      </c>
      <c r="F211" s="15">
        <v>44633</v>
      </c>
      <c r="G211" s="15">
        <v>0</v>
      </c>
      <c r="H211" s="15">
        <v>0</v>
      </c>
      <c r="I211" t="s">
        <v>635</v>
      </c>
      <c r="J211" t="s">
        <v>459</v>
      </c>
      <c r="K211" t="s">
        <v>78</v>
      </c>
      <c r="L211">
        <v>0</v>
      </c>
      <c r="M211">
        <v>47400000</v>
      </c>
      <c r="N211">
        <v>74700000</v>
      </c>
      <c r="O211">
        <v>3700000</v>
      </c>
      <c r="P211">
        <v>3100000</v>
      </c>
      <c r="V211">
        <v>431600000</v>
      </c>
      <c r="X211" t="s">
        <v>34</v>
      </c>
      <c r="Y211" s="16">
        <v>44600.48738958333</v>
      </c>
      <c r="Z211" s="17" t="str">
        <f>_xlfn.XLOOKUP(Table1[[#This Row],[Phase]],'Lookup tables'!$Y$27:$Y$60,'Lookup tables'!$Z$27:$Z$60,"Not Updated")</f>
        <v>RFPX underway</v>
      </c>
      <c r="AA211" s="17" t="s">
        <v>654</v>
      </c>
      <c r="AB211">
        <v>0</v>
      </c>
      <c r="AC211">
        <v>0</v>
      </c>
      <c r="AD211">
        <v>0</v>
      </c>
      <c r="AE211">
        <v>0</v>
      </c>
      <c r="AF211">
        <v>0</v>
      </c>
      <c r="AG211">
        <v>0</v>
      </c>
      <c r="AH211">
        <v>0</v>
      </c>
      <c r="AI211">
        <v>0</v>
      </c>
      <c r="AJ211">
        <v>0</v>
      </c>
      <c r="AK211">
        <v>0</v>
      </c>
      <c r="AL211">
        <v>0</v>
      </c>
      <c r="AM211">
        <v>0</v>
      </c>
      <c r="AN211">
        <v>0</v>
      </c>
      <c r="AO211">
        <v>0</v>
      </c>
      <c r="AP211">
        <v>0</v>
      </c>
      <c r="AQ211">
        <v>0</v>
      </c>
      <c r="AR211">
        <v>0</v>
      </c>
      <c r="AS211">
        <v>0</v>
      </c>
      <c r="AT211">
        <v>0</v>
      </c>
      <c r="AU211">
        <v>0</v>
      </c>
      <c r="AV211">
        <v>0</v>
      </c>
      <c r="AW211">
        <v>0</v>
      </c>
      <c r="AX211">
        <v>0</v>
      </c>
      <c r="AY211">
        <v>0</v>
      </c>
      <c r="AZ211">
        <v>0</v>
      </c>
      <c r="BA211">
        <v>0</v>
      </c>
      <c r="BB211">
        <v>0</v>
      </c>
      <c r="BC211">
        <v>0</v>
      </c>
      <c r="BD211">
        <v>0</v>
      </c>
      <c r="BE211">
        <v>0</v>
      </c>
      <c r="BF211">
        <v>0</v>
      </c>
      <c r="BG211" s="185">
        <v>0</v>
      </c>
      <c r="BH211" s="185">
        <v>0</v>
      </c>
      <c r="BI211" s="185">
        <v>0</v>
      </c>
      <c r="BJ211" s="185">
        <v>0</v>
      </c>
      <c r="BK211" s="185">
        <v>0</v>
      </c>
      <c r="BL211" s="185">
        <v>0</v>
      </c>
      <c r="BM211" s="185">
        <v>0</v>
      </c>
      <c r="BN211" s="185">
        <v>0</v>
      </c>
      <c r="BO211" s="185">
        <v>0</v>
      </c>
      <c r="BP211" s="185">
        <v>0</v>
      </c>
      <c r="BQ211" s="185">
        <v>0</v>
      </c>
      <c r="BR211" s="185">
        <v>0</v>
      </c>
      <c r="BS211" s="185">
        <v>0</v>
      </c>
      <c r="BT211" s="185">
        <v>0</v>
      </c>
      <c r="BU211" t="b">
        <f>IF(_xlfn.MAXIFS(Table1[Sl No],Table1[Category],Table1[[#This Row],[Category]],Table1[Execution Year],Table1[[#This Row],[Execution Year]])=Table1[[#This Row],[Sl No]],TRUE,FALSE)</f>
        <v>0</v>
      </c>
      <c r="BV211" s="201">
        <f>SUM(Table1[[#This Row],[Spend - CAN]:[Spend - Sams]])+SUM(Table1[[#This Row],[Spend - Sams Mexico]:[Spend - Sams China]])+Table1[[#This Row],[Spend - IND]]</f>
        <v>560500000</v>
      </c>
      <c r="BW211">
        <f>SUM(Table1[[#This Row],[Savings - CAN]:[Savings - Sams]])+SUM(Table1[[#This Row],[Savings - Sams Mexico]:[Savings - Sams China]])+Table1[[#This Row],[Savings - IND]]</f>
        <v>0</v>
      </c>
      <c r="BX211">
        <f>SUM(Table1[[#This Row],[Spend - CAN]:[Spend - SAF]])+SUM(Table1[[#This Row],[Spend - Sams Mexico]:[Spend - Sams China]])+Table1[[#This Row],[Spend - IND]]</f>
        <v>128900000</v>
      </c>
      <c r="BY211">
        <f>SUM(Table1[[#This Row],[Savings - CAN]:[Savings - SAF]])+SUM(Table1[[#This Row],[Savings - Sams Mexico]:[Savings - Sams China]])+Table1[[#This Row],[Savings - IND]]</f>
        <v>0</v>
      </c>
      <c r="BZ211">
        <f>SUM(Table1[[#This Row],[Spend - US]:[Spend - Sams]])</f>
        <v>431600000</v>
      </c>
      <c r="CA211">
        <f>SUM(Table1[[#This Row],[Savings - US]:[Savings - Sams]])</f>
        <v>0</v>
      </c>
      <c r="CB211">
        <f>SUM(Table1[[#This Row],[Cost Avoidance - CAN2]:[Cost Avoidance - SAF10]])+SUM(Table1[[#This Row],[Cost Avoidance - Sams Mexico]:[Cost Avoidance - Sams China]])+Table1[[#This Row],[Cost Avoidance - IND]]</f>
        <v>0</v>
      </c>
      <c r="CC211">
        <f>SUM(Table1[[#This Row],[Cost Avoidance - US11]:[Cost Avoidance - Sams12]])</f>
        <v>0</v>
      </c>
      <c r="CD211">
        <f>_xlfn.XLOOKUP(Table1[[#This Row],[Status]],Status_Lookups[Status],Status_Lookups[Value],"")</f>
        <v>0.3</v>
      </c>
    </row>
    <row r="212" spans="1:82">
      <c r="A212">
        <v>36</v>
      </c>
      <c r="B212" t="s">
        <v>98</v>
      </c>
      <c r="C212" t="s">
        <v>43</v>
      </c>
      <c r="D212" t="s">
        <v>39</v>
      </c>
      <c r="E212" s="15">
        <v>44409</v>
      </c>
      <c r="F212" s="15">
        <v>44633</v>
      </c>
      <c r="G212" s="15">
        <v>0</v>
      </c>
      <c r="H212" s="15">
        <v>0</v>
      </c>
      <c r="I212" t="s">
        <v>635</v>
      </c>
      <c r="J212" t="s">
        <v>459</v>
      </c>
      <c r="K212" t="s">
        <v>78</v>
      </c>
      <c r="L212">
        <v>0</v>
      </c>
      <c r="M212">
        <v>47400000</v>
      </c>
      <c r="N212">
        <v>74700000</v>
      </c>
      <c r="O212">
        <v>3700000</v>
      </c>
      <c r="P212">
        <v>3100000</v>
      </c>
      <c r="V212">
        <v>431600000</v>
      </c>
      <c r="X212" t="s">
        <v>34</v>
      </c>
      <c r="Y212" s="16">
        <v>44600.490349305554</v>
      </c>
      <c r="Z212" s="17" t="str">
        <f>_xlfn.XLOOKUP(Table1[[#This Row],[Phase]],'Lookup tables'!$Y$27:$Y$60,'Lookup tables'!$Z$27:$Z$60,"Not Updated")</f>
        <v>RFPX underway</v>
      </c>
      <c r="AA212" s="17" t="s">
        <v>654</v>
      </c>
      <c r="AB212">
        <v>0</v>
      </c>
      <c r="AC212">
        <v>0</v>
      </c>
      <c r="AD212">
        <v>0</v>
      </c>
      <c r="AE212">
        <v>0</v>
      </c>
      <c r="AF212">
        <v>0</v>
      </c>
      <c r="AG212">
        <v>0</v>
      </c>
      <c r="AH212">
        <v>0</v>
      </c>
      <c r="AI212">
        <v>0</v>
      </c>
      <c r="AJ212">
        <v>0</v>
      </c>
      <c r="AK212">
        <v>0</v>
      </c>
      <c r="AL212">
        <v>0</v>
      </c>
      <c r="AM212">
        <v>0</v>
      </c>
      <c r="AN212">
        <v>0</v>
      </c>
      <c r="AO212">
        <v>0</v>
      </c>
      <c r="AP212">
        <v>0</v>
      </c>
      <c r="AQ212">
        <v>0</v>
      </c>
      <c r="AR212">
        <v>0</v>
      </c>
      <c r="AS212">
        <v>0</v>
      </c>
      <c r="AT212">
        <v>0</v>
      </c>
      <c r="AU212">
        <v>0</v>
      </c>
      <c r="AV212">
        <v>0</v>
      </c>
      <c r="AW212">
        <v>0</v>
      </c>
      <c r="AX212">
        <v>0</v>
      </c>
      <c r="AY212">
        <v>0</v>
      </c>
      <c r="AZ212">
        <v>0</v>
      </c>
      <c r="BA212">
        <v>0</v>
      </c>
      <c r="BB212">
        <v>0</v>
      </c>
      <c r="BC212">
        <v>0</v>
      </c>
      <c r="BD212">
        <v>0</v>
      </c>
      <c r="BE212">
        <v>0</v>
      </c>
      <c r="BF212">
        <v>0</v>
      </c>
      <c r="BG212" s="185">
        <v>0</v>
      </c>
      <c r="BH212" s="185">
        <v>0</v>
      </c>
      <c r="BI212" s="185">
        <v>0</v>
      </c>
      <c r="BJ212" s="185">
        <v>0</v>
      </c>
      <c r="BK212" s="185">
        <v>0</v>
      </c>
      <c r="BL212" s="185">
        <v>0</v>
      </c>
      <c r="BM212" s="185">
        <v>0</v>
      </c>
      <c r="BN212" s="185">
        <v>0</v>
      </c>
      <c r="BO212" s="185">
        <v>0</v>
      </c>
      <c r="BP212" s="185">
        <v>0</v>
      </c>
      <c r="BQ212" s="185">
        <v>0</v>
      </c>
      <c r="BR212" s="185">
        <v>0</v>
      </c>
      <c r="BS212" s="185">
        <v>0</v>
      </c>
      <c r="BT212" s="185">
        <v>0</v>
      </c>
      <c r="BU212" t="b">
        <f>IF(_xlfn.MAXIFS(Table1[Sl No],Table1[Category],Table1[[#This Row],[Category]],Table1[Execution Year],Table1[[#This Row],[Execution Year]])=Table1[[#This Row],[Sl No]],TRUE,FALSE)</f>
        <v>0</v>
      </c>
      <c r="BV212" s="201">
        <f>SUM(Table1[[#This Row],[Spend - CAN]:[Spend - Sams]])+SUM(Table1[[#This Row],[Spend - Sams Mexico]:[Spend - Sams China]])+Table1[[#This Row],[Spend - IND]]</f>
        <v>560500000</v>
      </c>
      <c r="BW212">
        <f>SUM(Table1[[#This Row],[Savings - CAN]:[Savings - Sams]])+SUM(Table1[[#This Row],[Savings - Sams Mexico]:[Savings - Sams China]])+Table1[[#This Row],[Savings - IND]]</f>
        <v>0</v>
      </c>
      <c r="BX212">
        <f>SUM(Table1[[#This Row],[Spend - CAN]:[Spend - SAF]])+SUM(Table1[[#This Row],[Spend - Sams Mexico]:[Spend - Sams China]])+Table1[[#This Row],[Spend - IND]]</f>
        <v>128900000</v>
      </c>
      <c r="BY212">
        <f>SUM(Table1[[#This Row],[Savings - CAN]:[Savings - SAF]])+SUM(Table1[[#This Row],[Savings - Sams Mexico]:[Savings - Sams China]])+Table1[[#This Row],[Savings - IND]]</f>
        <v>0</v>
      </c>
      <c r="BZ212">
        <f>SUM(Table1[[#This Row],[Spend - US]:[Spend - Sams]])</f>
        <v>431600000</v>
      </c>
      <c r="CA212">
        <f>SUM(Table1[[#This Row],[Savings - US]:[Savings - Sams]])</f>
        <v>0</v>
      </c>
      <c r="CB212">
        <f>SUM(Table1[[#This Row],[Cost Avoidance - CAN2]:[Cost Avoidance - SAF10]])+SUM(Table1[[#This Row],[Cost Avoidance - Sams Mexico]:[Cost Avoidance - Sams China]])+Table1[[#This Row],[Cost Avoidance - IND]]</f>
        <v>0</v>
      </c>
      <c r="CC212">
        <f>SUM(Table1[[#This Row],[Cost Avoidance - US11]:[Cost Avoidance - Sams12]])</f>
        <v>0</v>
      </c>
      <c r="CD212">
        <f>_xlfn.XLOOKUP(Table1[[#This Row],[Status]],Status_Lookups[Status],Status_Lookups[Value],"")</f>
        <v>0.3</v>
      </c>
    </row>
    <row r="213" spans="1:82">
      <c r="A213">
        <v>37</v>
      </c>
      <c r="B213" t="s">
        <v>98</v>
      </c>
      <c r="C213" t="s">
        <v>43</v>
      </c>
      <c r="D213" t="s">
        <v>39</v>
      </c>
      <c r="E213" s="15">
        <v>44409</v>
      </c>
      <c r="F213" s="15">
        <v>44633</v>
      </c>
      <c r="G213" s="15">
        <v>0</v>
      </c>
      <c r="H213" s="15">
        <v>0</v>
      </c>
      <c r="I213" t="s">
        <v>635</v>
      </c>
      <c r="J213" t="s">
        <v>459</v>
      </c>
      <c r="K213" t="s">
        <v>78</v>
      </c>
      <c r="L213">
        <v>0</v>
      </c>
      <c r="M213">
        <v>47400000</v>
      </c>
      <c r="N213">
        <v>74700000</v>
      </c>
      <c r="O213">
        <v>3700000</v>
      </c>
      <c r="P213">
        <v>3100000</v>
      </c>
      <c r="V213">
        <v>431600000</v>
      </c>
      <c r="X213" t="s">
        <v>34</v>
      </c>
      <c r="Y213" s="16">
        <v>44600.504382407409</v>
      </c>
      <c r="Z213" s="17" t="str">
        <f>_xlfn.XLOOKUP(Table1[[#This Row],[Phase]],'Lookup tables'!$Y$27:$Y$60,'Lookup tables'!$Z$27:$Z$60,"Not Updated")</f>
        <v>RFPX underway</v>
      </c>
      <c r="AA213" s="17" t="s">
        <v>654</v>
      </c>
      <c r="AB213">
        <v>0</v>
      </c>
      <c r="AC213">
        <v>0</v>
      </c>
      <c r="AD213">
        <v>0</v>
      </c>
      <c r="AE213">
        <v>0</v>
      </c>
      <c r="AF213">
        <v>0</v>
      </c>
      <c r="AG213">
        <v>0</v>
      </c>
      <c r="AH213">
        <v>0</v>
      </c>
      <c r="AI213">
        <v>0</v>
      </c>
      <c r="AJ213">
        <v>0</v>
      </c>
      <c r="AK213">
        <v>0</v>
      </c>
      <c r="AL213">
        <v>0</v>
      </c>
      <c r="AM213">
        <v>0</v>
      </c>
      <c r="AN213">
        <v>0</v>
      </c>
      <c r="AO213">
        <v>0</v>
      </c>
      <c r="AP213">
        <v>0</v>
      </c>
      <c r="AQ213">
        <v>0</v>
      </c>
      <c r="AR213">
        <v>0</v>
      </c>
      <c r="AS213">
        <v>0</v>
      </c>
      <c r="AT213">
        <v>0</v>
      </c>
      <c r="AU213">
        <v>0</v>
      </c>
      <c r="AV213">
        <v>0</v>
      </c>
      <c r="AW213">
        <v>0</v>
      </c>
      <c r="AX213">
        <v>0</v>
      </c>
      <c r="AY213">
        <v>0</v>
      </c>
      <c r="AZ213">
        <v>0</v>
      </c>
      <c r="BA213">
        <v>0</v>
      </c>
      <c r="BB213">
        <v>0</v>
      </c>
      <c r="BC213">
        <v>0</v>
      </c>
      <c r="BD213">
        <v>0</v>
      </c>
      <c r="BE213">
        <v>0</v>
      </c>
      <c r="BF213">
        <v>0</v>
      </c>
      <c r="BG213" s="185">
        <v>0</v>
      </c>
      <c r="BH213" s="185">
        <v>0</v>
      </c>
      <c r="BI213" s="185">
        <v>0</v>
      </c>
      <c r="BJ213" s="185">
        <v>0</v>
      </c>
      <c r="BK213" s="185">
        <v>0</v>
      </c>
      <c r="BL213" s="185">
        <v>0</v>
      </c>
      <c r="BM213" s="185">
        <v>0</v>
      </c>
      <c r="BN213" s="185">
        <v>0</v>
      </c>
      <c r="BO213" s="185">
        <v>0</v>
      </c>
      <c r="BP213" s="185">
        <v>0</v>
      </c>
      <c r="BQ213" s="185">
        <v>0</v>
      </c>
      <c r="BR213" s="185">
        <v>0</v>
      </c>
      <c r="BS213" s="185">
        <v>0</v>
      </c>
      <c r="BT213" s="185">
        <v>0</v>
      </c>
      <c r="BU213" t="b">
        <f>IF(_xlfn.MAXIFS(Table1[Sl No],Table1[Category],Table1[[#This Row],[Category]],Table1[Execution Year],Table1[[#This Row],[Execution Year]])=Table1[[#This Row],[Sl No]],TRUE,FALSE)</f>
        <v>0</v>
      </c>
      <c r="BV213" s="201">
        <f>SUM(Table1[[#This Row],[Spend - CAN]:[Spend - Sams]])+SUM(Table1[[#This Row],[Spend - Sams Mexico]:[Spend - Sams China]])+Table1[[#This Row],[Spend - IND]]</f>
        <v>560500000</v>
      </c>
      <c r="BW213">
        <f>SUM(Table1[[#This Row],[Savings - CAN]:[Savings - Sams]])+SUM(Table1[[#This Row],[Savings - Sams Mexico]:[Savings - Sams China]])+Table1[[#This Row],[Savings - IND]]</f>
        <v>0</v>
      </c>
      <c r="BX213">
        <f>SUM(Table1[[#This Row],[Spend - CAN]:[Spend - SAF]])+SUM(Table1[[#This Row],[Spend - Sams Mexico]:[Spend - Sams China]])+Table1[[#This Row],[Spend - IND]]</f>
        <v>128900000</v>
      </c>
      <c r="BY213">
        <f>SUM(Table1[[#This Row],[Savings - CAN]:[Savings - SAF]])+SUM(Table1[[#This Row],[Savings - Sams Mexico]:[Savings - Sams China]])+Table1[[#This Row],[Savings - IND]]</f>
        <v>0</v>
      </c>
      <c r="BZ213">
        <f>SUM(Table1[[#This Row],[Spend - US]:[Spend - Sams]])</f>
        <v>431600000</v>
      </c>
      <c r="CA213">
        <f>SUM(Table1[[#This Row],[Savings - US]:[Savings - Sams]])</f>
        <v>0</v>
      </c>
      <c r="CB213">
        <f>SUM(Table1[[#This Row],[Cost Avoidance - CAN2]:[Cost Avoidance - SAF10]])+SUM(Table1[[#This Row],[Cost Avoidance - Sams Mexico]:[Cost Avoidance - Sams China]])+Table1[[#This Row],[Cost Avoidance - IND]]</f>
        <v>0</v>
      </c>
      <c r="CC213">
        <f>SUM(Table1[[#This Row],[Cost Avoidance - US11]:[Cost Avoidance - Sams12]])</f>
        <v>0</v>
      </c>
      <c r="CD213">
        <f>_xlfn.XLOOKUP(Table1[[#This Row],[Status]],Status_Lookups[Status],Status_Lookups[Value],"")</f>
        <v>0.3</v>
      </c>
    </row>
    <row r="214" spans="1:82">
      <c r="A214">
        <v>38</v>
      </c>
      <c r="B214" t="s">
        <v>98</v>
      </c>
      <c r="C214" t="s">
        <v>43</v>
      </c>
      <c r="D214" t="s">
        <v>39</v>
      </c>
      <c r="E214" s="15">
        <v>44409</v>
      </c>
      <c r="F214" s="15">
        <v>44652</v>
      </c>
      <c r="G214" s="15">
        <v>0</v>
      </c>
      <c r="H214" s="15">
        <v>0</v>
      </c>
      <c r="I214" t="s">
        <v>635</v>
      </c>
      <c r="J214" t="s">
        <v>459</v>
      </c>
      <c r="K214" t="s">
        <v>78</v>
      </c>
      <c r="L214">
        <v>0</v>
      </c>
      <c r="M214">
        <v>47400000</v>
      </c>
      <c r="N214">
        <v>74700000</v>
      </c>
      <c r="O214">
        <v>3700000</v>
      </c>
      <c r="P214">
        <v>3100000</v>
      </c>
      <c r="Q214">
        <v>0</v>
      </c>
      <c r="R214">
        <v>0</v>
      </c>
      <c r="S214">
        <v>0</v>
      </c>
      <c r="T214">
        <v>0</v>
      </c>
      <c r="U214">
        <v>0</v>
      </c>
      <c r="V214">
        <v>431600000</v>
      </c>
      <c r="W214">
        <v>0</v>
      </c>
      <c r="X214" t="s">
        <v>78</v>
      </c>
      <c r="Y214" s="16">
        <v>44648.463744212961</v>
      </c>
      <c r="Z214" s="17" t="str">
        <f>_xlfn.XLOOKUP(Table1[[#This Row],[Phase]],'Lookup tables'!$Y$27:$Y$60,'Lookup tables'!$Z$27:$Z$60,"Not Updated")</f>
        <v>RFPX underway</v>
      </c>
      <c r="AA214" s="17" t="s">
        <v>654</v>
      </c>
      <c r="AB214">
        <v>0</v>
      </c>
      <c r="AC214">
        <v>0</v>
      </c>
      <c r="AD214">
        <v>0</v>
      </c>
      <c r="AE214">
        <v>0</v>
      </c>
      <c r="AF214">
        <v>0</v>
      </c>
      <c r="AG214">
        <v>0</v>
      </c>
      <c r="AH214">
        <v>0</v>
      </c>
      <c r="AI214">
        <v>0</v>
      </c>
      <c r="AJ214">
        <v>0</v>
      </c>
      <c r="AK214">
        <v>0</v>
      </c>
      <c r="AL214">
        <v>0</v>
      </c>
      <c r="AM214">
        <v>0</v>
      </c>
      <c r="AN214">
        <v>0</v>
      </c>
      <c r="AO214">
        <v>0</v>
      </c>
      <c r="AP214">
        <v>0</v>
      </c>
      <c r="AQ214">
        <v>0</v>
      </c>
      <c r="AR214">
        <v>0</v>
      </c>
      <c r="AS214">
        <v>0</v>
      </c>
      <c r="AT214">
        <v>0</v>
      </c>
      <c r="AU214">
        <v>0</v>
      </c>
      <c r="AV214">
        <v>0</v>
      </c>
      <c r="AW214">
        <v>0</v>
      </c>
      <c r="AX214">
        <v>0</v>
      </c>
      <c r="AY214">
        <v>0</v>
      </c>
      <c r="AZ214">
        <v>0</v>
      </c>
      <c r="BA214">
        <v>0</v>
      </c>
      <c r="BB214">
        <v>0</v>
      </c>
      <c r="BC214">
        <v>0</v>
      </c>
      <c r="BD214">
        <v>0</v>
      </c>
      <c r="BE214">
        <v>0</v>
      </c>
      <c r="BF214">
        <v>0</v>
      </c>
      <c r="BG214" s="185">
        <v>0</v>
      </c>
      <c r="BH214" s="185">
        <v>0</v>
      </c>
      <c r="BI214" s="185">
        <v>0</v>
      </c>
      <c r="BJ214" s="185">
        <v>0</v>
      </c>
      <c r="BK214" s="185">
        <v>0</v>
      </c>
      <c r="BL214" s="185">
        <v>0</v>
      </c>
      <c r="BM214" s="185">
        <v>0</v>
      </c>
      <c r="BN214" s="185">
        <v>0</v>
      </c>
      <c r="BO214" s="185">
        <v>0</v>
      </c>
      <c r="BP214" s="185">
        <v>0</v>
      </c>
      <c r="BQ214" s="185">
        <v>0</v>
      </c>
      <c r="BR214" s="185">
        <v>0</v>
      </c>
      <c r="BS214" s="185">
        <v>0</v>
      </c>
      <c r="BT214" s="185">
        <v>0</v>
      </c>
      <c r="BU214" t="b">
        <f>IF(_xlfn.MAXIFS(Table1[Sl No],Table1[Category],Table1[[#This Row],[Category]],Table1[Execution Year],Table1[[#This Row],[Execution Year]])=Table1[[#This Row],[Sl No]],TRUE,FALSE)</f>
        <v>0</v>
      </c>
      <c r="BV214" s="201">
        <f>SUM(Table1[[#This Row],[Spend - CAN]:[Spend - Sams]])+SUM(Table1[[#This Row],[Spend - Sams Mexico]:[Spend - Sams China]])+Table1[[#This Row],[Spend - IND]]</f>
        <v>560500000</v>
      </c>
      <c r="BW214">
        <f>SUM(Table1[[#This Row],[Savings - CAN]:[Savings - Sams]])+SUM(Table1[[#This Row],[Savings - Sams Mexico]:[Savings - Sams China]])+Table1[[#This Row],[Savings - IND]]</f>
        <v>0</v>
      </c>
      <c r="BX214">
        <f>SUM(Table1[[#This Row],[Spend - CAN]:[Spend - SAF]])+SUM(Table1[[#This Row],[Spend - Sams Mexico]:[Spend - Sams China]])+Table1[[#This Row],[Spend - IND]]</f>
        <v>128900000</v>
      </c>
      <c r="BY214">
        <f>SUM(Table1[[#This Row],[Savings - CAN]:[Savings - SAF]])+SUM(Table1[[#This Row],[Savings - Sams Mexico]:[Savings - Sams China]])+Table1[[#This Row],[Savings - IND]]</f>
        <v>0</v>
      </c>
      <c r="BZ214">
        <f>SUM(Table1[[#This Row],[Spend - US]:[Spend - Sams]])</f>
        <v>431600000</v>
      </c>
      <c r="CA214">
        <f>SUM(Table1[[#This Row],[Savings - US]:[Savings - Sams]])</f>
        <v>0</v>
      </c>
      <c r="CB214">
        <f>SUM(Table1[[#This Row],[Cost Avoidance - CAN2]:[Cost Avoidance - SAF10]])+SUM(Table1[[#This Row],[Cost Avoidance - Sams Mexico]:[Cost Avoidance - Sams China]])+Table1[[#This Row],[Cost Avoidance - IND]]</f>
        <v>0</v>
      </c>
      <c r="CC214">
        <f>SUM(Table1[[#This Row],[Cost Avoidance - US11]:[Cost Avoidance - Sams12]])</f>
        <v>0</v>
      </c>
      <c r="CD214">
        <f>_xlfn.XLOOKUP(Table1[[#This Row],[Status]],Status_Lookups[Status],Status_Lookups[Value],"")</f>
        <v>0.3</v>
      </c>
    </row>
    <row r="215" spans="1:82">
      <c r="A215">
        <v>39</v>
      </c>
      <c r="B215" t="s">
        <v>98</v>
      </c>
      <c r="C215" t="s">
        <v>43</v>
      </c>
      <c r="D215" t="s">
        <v>39</v>
      </c>
      <c r="E215" s="15">
        <v>44409</v>
      </c>
      <c r="F215" s="15">
        <v>44652</v>
      </c>
      <c r="G215" s="15">
        <v>0</v>
      </c>
      <c r="H215" s="15">
        <v>0</v>
      </c>
      <c r="I215" t="s">
        <v>635</v>
      </c>
      <c r="J215" t="s">
        <v>459</v>
      </c>
      <c r="K215" t="s">
        <v>78</v>
      </c>
      <c r="L215">
        <v>0</v>
      </c>
      <c r="M215">
        <v>21200000</v>
      </c>
      <c r="N215">
        <v>74700000</v>
      </c>
      <c r="O215">
        <v>3700000</v>
      </c>
      <c r="P215">
        <v>3100000</v>
      </c>
      <c r="Q215">
        <v>0</v>
      </c>
      <c r="R215">
        <v>0</v>
      </c>
      <c r="S215">
        <v>0</v>
      </c>
      <c r="T215">
        <v>0</v>
      </c>
      <c r="U215">
        <v>0</v>
      </c>
      <c r="V215">
        <v>431600000</v>
      </c>
      <c r="W215">
        <v>0</v>
      </c>
      <c r="X215" t="s">
        <v>78</v>
      </c>
      <c r="Y215" s="16">
        <v>44651.470950462965</v>
      </c>
      <c r="Z215" s="17" t="str">
        <f>_xlfn.XLOOKUP(Table1[[#This Row],[Phase]],'Lookup tables'!$Y$27:$Y$60,'Lookup tables'!$Z$27:$Z$60,"Not Updated")</f>
        <v>RFPX underway</v>
      </c>
      <c r="AA215" s="17" t="s">
        <v>654</v>
      </c>
      <c r="AB215">
        <v>0</v>
      </c>
      <c r="AC215">
        <v>0</v>
      </c>
      <c r="AD215">
        <v>0</v>
      </c>
      <c r="AE215">
        <v>0</v>
      </c>
      <c r="AF215">
        <v>0</v>
      </c>
      <c r="AG215">
        <v>0</v>
      </c>
      <c r="AH215">
        <v>0</v>
      </c>
      <c r="AI215">
        <v>0</v>
      </c>
      <c r="AJ215">
        <v>0</v>
      </c>
      <c r="AK215">
        <v>0</v>
      </c>
      <c r="AL215">
        <v>0</v>
      </c>
      <c r="AM215">
        <v>0</v>
      </c>
      <c r="AN215">
        <v>0</v>
      </c>
      <c r="AO215">
        <v>0</v>
      </c>
      <c r="AP215">
        <v>0</v>
      </c>
      <c r="AQ215">
        <v>0</v>
      </c>
      <c r="AR215">
        <v>0</v>
      </c>
      <c r="AS215">
        <v>0</v>
      </c>
      <c r="AT215">
        <v>0</v>
      </c>
      <c r="AU215">
        <v>0</v>
      </c>
      <c r="AV215">
        <v>0</v>
      </c>
      <c r="AW215">
        <v>0</v>
      </c>
      <c r="AX215">
        <v>0</v>
      </c>
      <c r="AY215">
        <v>0</v>
      </c>
      <c r="AZ215">
        <v>0</v>
      </c>
      <c r="BA215">
        <v>0</v>
      </c>
      <c r="BB215">
        <v>0</v>
      </c>
      <c r="BC215">
        <v>0</v>
      </c>
      <c r="BD215">
        <v>0</v>
      </c>
      <c r="BE215">
        <v>0</v>
      </c>
      <c r="BF215">
        <v>0</v>
      </c>
      <c r="BG215" s="185">
        <v>0</v>
      </c>
      <c r="BH215" s="185">
        <v>0</v>
      </c>
      <c r="BI215" s="185">
        <v>0</v>
      </c>
      <c r="BJ215" s="185">
        <v>0</v>
      </c>
      <c r="BK215" s="185">
        <v>0</v>
      </c>
      <c r="BL215" s="185">
        <v>0</v>
      </c>
      <c r="BM215" s="185">
        <v>0</v>
      </c>
      <c r="BN215" s="185">
        <v>0</v>
      </c>
      <c r="BO215" s="185">
        <v>0</v>
      </c>
      <c r="BP215" s="185">
        <v>0</v>
      </c>
      <c r="BQ215" s="185">
        <v>0</v>
      </c>
      <c r="BR215" s="185">
        <v>0</v>
      </c>
      <c r="BS215" s="185">
        <v>0</v>
      </c>
      <c r="BT215" s="185">
        <v>0</v>
      </c>
      <c r="BU215" t="b">
        <f>IF(_xlfn.MAXIFS(Table1[Sl No],Table1[Category],Table1[[#This Row],[Category]],Table1[Execution Year],Table1[[#This Row],[Execution Year]])=Table1[[#This Row],[Sl No]],TRUE,FALSE)</f>
        <v>0</v>
      </c>
      <c r="BV215" s="201">
        <f>SUM(Table1[[#This Row],[Spend - CAN]:[Spend - Sams]])+SUM(Table1[[#This Row],[Spend - Sams Mexico]:[Spend - Sams China]])+Table1[[#This Row],[Spend - IND]]</f>
        <v>534300000</v>
      </c>
      <c r="BW215">
        <f>SUM(Table1[[#This Row],[Savings - CAN]:[Savings - Sams]])+SUM(Table1[[#This Row],[Savings - Sams Mexico]:[Savings - Sams China]])+Table1[[#This Row],[Savings - IND]]</f>
        <v>0</v>
      </c>
      <c r="BX215">
        <f>SUM(Table1[[#This Row],[Spend - CAN]:[Spend - SAF]])+SUM(Table1[[#This Row],[Spend - Sams Mexico]:[Spend - Sams China]])+Table1[[#This Row],[Spend - IND]]</f>
        <v>102700000</v>
      </c>
      <c r="BY215">
        <f>SUM(Table1[[#This Row],[Savings - CAN]:[Savings - SAF]])+SUM(Table1[[#This Row],[Savings - Sams Mexico]:[Savings - Sams China]])+Table1[[#This Row],[Savings - IND]]</f>
        <v>0</v>
      </c>
      <c r="BZ215">
        <f>SUM(Table1[[#This Row],[Spend - US]:[Spend - Sams]])</f>
        <v>431600000</v>
      </c>
      <c r="CA215">
        <f>SUM(Table1[[#This Row],[Savings - US]:[Savings - Sams]])</f>
        <v>0</v>
      </c>
      <c r="CB215">
        <f>SUM(Table1[[#This Row],[Cost Avoidance - CAN2]:[Cost Avoidance - SAF10]])+SUM(Table1[[#This Row],[Cost Avoidance - Sams Mexico]:[Cost Avoidance - Sams China]])+Table1[[#This Row],[Cost Avoidance - IND]]</f>
        <v>0</v>
      </c>
      <c r="CC215">
        <f>SUM(Table1[[#This Row],[Cost Avoidance - US11]:[Cost Avoidance - Sams12]])</f>
        <v>0</v>
      </c>
      <c r="CD215">
        <f>_xlfn.XLOOKUP(Table1[[#This Row],[Status]],Status_Lookups[Status],Status_Lookups[Value],"")</f>
        <v>0.3</v>
      </c>
    </row>
    <row r="216" spans="1:82">
      <c r="A216">
        <v>40</v>
      </c>
      <c r="B216" t="s">
        <v>98</v>
      </c>
      <c r="C216" t="s">
        <v>43</v>
      </c>
      <c r="D216" t="s">
        <v>39</v>
      </c>
      <c r="E216" s="15">
        <v>44409</v>
      </c>
      <c r="F216" s="15">
        <v>44652</v>
      </c>
      <c r="G216" s="15">
        <v>0</v>
      </c>
      <c r="H216" s="15">
        <v>0</v>
      </c>
      <c r="I216" t="s">
        <v>635</v>
      </c>
      <c r="J216" t="s">
        <v>459</v>
      </c>
      <c r="K216" t="s">
        <v>78</v>
      </c>
      <c r="L216">
        <v>0</v>
      </c>
      <c r="M216">
        <v>21200000</v>
      </c>
      <c r="N216">
        <v>74700000</v>
      </c>
      <c r="O216">
        <v>3041987</v>
      </c>
      <c r="P216">
        <v>3100000</v>
      </c>
      <c r="Q216">
        <v>0</v>
      </c>
      <c r="R216">
        <v>0</v>
      </c>
      <c r="S216">
        <v>0</v>
      </c>
      <c r="T216">
        <v>0</v>
      </c>
      <c r="U216">
        <v>0</v>
      </c>
      <c r="V216">
        <v>342102713</v>
      </c>
      <c r="W216">
        <v>0</v>
      </c>
      <c r="X216" t="s">
        <v>78</v>
      </c>
      <c r="Y216" s="16">
        <v>44652.409214699073</v>
      </c>
      <c r="Z216" s="17" t="str">
        <f>_xlfn.XLOOKUP(Table1[[#This Row],[Phase]],'Lookup tables'!$Y$27:$Y$60,'Lookup tables'!$Z$27:$Z$60,"Not Updated")</f>
        <v>RFPX underway</v>
      </c>
      <c r="AA216" s="17" t="s">
        <v>654</v>
      </c>
      <c r="AB216">
        <v>0</v>
      </c>
      <c r="AC216">
        <v>0</v>
      </c>
      <c r="AD216">
        <v>0</v>
      </c>
      <c r="AE216">
        <v>0</v>
      </c>
      <c r="AF216">
        <v>0</v>
      </c>
      <c r="AG216">
        <v>0</v>
      </c>
      <c r="AH216">
        <v>0</v>
      </c>
      <c r="AI216">
        <v>0</v>
      </c>
      <c r="AJ216">
        <v>0</v>
      </c>
      <c r="AK216">
        <v>0</v>
      </c>
      <c r="AL216">
        <v>0</v>
      </c>
      <c r="AM216">
        <v>0</v>
      </c>
      <c r="AN216">
        <v>0</v>
      </c>
      <c r="AO216">
        <v>0</v>
      </c>
      <c r="AP216">
        <v>0</v>
      </c>
      <c r="AQ216">
        <v>0</v>
      </c>
      <c r="AR216">
        <v>0</v>
      </c>
      <c r="AS216">
        <v>0</v>
      </c>
      <c r="AT216">
        <v>0</v>
      </c>
      <c r="AU216">
        <v>0</v>
      </c>
      <c r="AV216">
        <v>0</v>
      </c>
      <c r="AW216">
        <v>0</v>
      </c>
      <c r="AX216">
        <v>0</v>
      </c>
      <c r="AY216">
        <v>0</v>
      </c>
      <c r="AZ216">
        <v>0</v>
      </c>
      <c r="BA216">
        <v>0</v>
      </c>
      <c r="BB216">
        <v>0</v>
      </c>
      <c r="BC216">
        <v>0</v>
      </c>
      <c r="BD216">
        <v>0</v>
      </c>
      <c r="BE216">
        <v>0</v>
      </c>
      <c r="BF216">
        <v>0</v>
      </c>
      <c r="BG216" s="185">
        <v>0</v>
      </c>
      <c r="BH216" s="185">
        <v>0</v>
      </c>
      <c r="BI216" s="185">
        <v>0</v>
      </c>
      <c r="BJ216" s="185">
        <v>0</v>
      </c>
      <c r="BK216" s="185">
        <v>0</v>
      </c>
      <c r="BL216" s="185">
        <v>0</v>
      </c>
      <c r="BM216" s="185">
        <v>0</v>
      </c>
      <c r="BN216" s="185">
        <v>0</v>
      </c>
      <c r="BO216" s="185">
        <v>0</v>
      </c>
      <c r="BP216" s="185">
        <v>0</v>
      </c>
      <c r="BQ216" s="185">
        <v>0</v>
      </c>
      <c r="BR216" s="185">
        <v>0</v>
      </c>
      <c r="BS216" s="185">
        <v>0</v>
      </c>
      <c r="BT216" s="185">
        <v>0</v>
      </c>
      <c r="BU216" t="b">
        <f>IF(_xlfn.MAXIFS(Table1[Sl No],Table1[Category],Table1[[#This Row],[Category]],Table1[Execution Year],Table1[[#This Row],[Execution Year]])=Table1[[#This Row],[Sl No]],TRUE,FALSE)</f>
        <v>0</v>
      </c>
      <c r="BV216" s="201">
        <f>SUM(Table1[[#This Row],[Spend - CAN]:[Spend - Sams]])+SUM(Table1[[#This Row],[Spend - Sams Mexico]:[Spend - Sams China]])+Table1[[#This Row],[Spend - IND]]</f>
        <v>444144700</v>
      </c>
      <c r="BW216">
        <f>SUM(Table1[[#This Row],[Savings - CAN]:[Savings - Sams]])+SUM(Table1[[#This Row],[Savings - Sams Mexico]:[Savings - Sams China]])+Table1[[#This Row],[Savings - IND]]</f>
        <v>0</v>
      </c>
      <c r="BX216">
        <f>SUM(Table1[[#This Row],[Spend - CAN]:[Spend - SAF]])+SUM(Table1[[#This Row],[Spend - Sams Mexico]:[Spend - Sams China]])+Table1[[#This Row],[Spend - IND]]</f>
        <v>102041987</v>
      </c>
      <c r="BY216">
        <f>SUM(Table1[[#This Row],[Savings - CAN]:[Savings - SAF]])+SUM(Table1[[#This Row],[Savings - Sams Mexico]:[Savings - Sams China]])+Table1[[#This Row],[Savings - IND]]</f>
        <v>0</v>
      </c>
      <c r="BZ216">
        <f>SUM(Table1[[#This Row],[Spend - US]:[Spend - Sams]])</f>
        <v>342102713</v>
      </c>
      <c r="CA216">
        <f>SUM(Table1[[#This Row],[Savings - US]:[Savings - Sams]])</f>
        <v>0</v>
      </c>
      <c r="CB216">
        <f>SUM(Table1[[#This Row],[Cost Avoidance - CAN2]:[Cost Avoidance - SAF10]])+SUM(Table1[[#This Row],[Cost Avoidance - Sams Mexico]:[Cost Avoidance - Sams China]])+Table1[[#This Row],[Cost Avoidance - IND]]</f>
        <v>0</v>
      </c>
      <c r="CC216">
        <f>SUM(Table1[[#This Row],[Cost Avoidance - US11]:[Cost Avoidance - Sams12]])</f>
        <v>0</v>
      </c>
      <c r="CD216">
        <f>_xlfn.XLOOKUP(Table1[[#This Row],[Status]],Status_Lookups[Status],Status_Lookups[Value],"")</f>
        <v>0.3</v>
      </c>
    </row>
    <row r="217" spans="1:82">
      <c r="A217">
        <v>41</v>
      </c>
      <c r="B217" t="s">
        <v>98</v>
      </c>
      <c r="C217" t="s">
        <v>43</v>
      </c>
      <c r="D217" t="s">
        <v>39</v>
      </c>
      <c r="E217" s="15">
        <v>44409</v>
      </c>
      <c r="F217" s="15">
        <v>44652</v>
      </c>
      <c r="G217" s="15">
        <v>0</v>
      </c>
      <c r="H217" s="15">
        <v>0</v>
      </c>
      <c r="I217" t="s">
        <v>635</v>
      </c>
      <c r="J217" t="s">
        <v>459</v>
      </c>
      <c r="K217" t="s">
        <v>78</v>
      </c>
      <c r="L217">
        <v>0</v>
      </c>
      <c r="M217">
        <v>21200000</v>
      </c>
      <c r="N217">
        <v>74700000</v>
      </c>
      <c r="O217">
        <v>3041987</v>
      </c>
      <c r="P217">
        <v>3100000</v>
      </c>
      <c r="Q217">
        <v>0</v>
      </c>
      <c r="R217">
        <v>0</v>
      </c>
      <c r="S217">
        <v>0</v>
      </c>
      <c r="T217">
        <v>0</v>
      </c>
      <c r="U217">
        <v>0</v>
      </c>
      <c r="V217">
        <v>342102713</v>
      </c>
      <c r="W217">
        <v>0</v>
      </c>
      <c r="X217" t="s">
        <v>78</v>
      </c>
      <c r="Y217" s="16">
        <v>44657.345274768515</v>
      </c>
      <c r="Z217" s="17" t="str">
        <f>_xlfn.XLOOKUP(Table1[[#This Row],[Phase]],'Lookup tables'!$Y$27:$Y$60,'Lookup tables'!$Z$27:$Z$60,"Not Updated")</f>
        <v>RFPX underway</v>
      </c>
      <c r="AA217" s="17" t="s">
        <v>654</v>
      </c>
      <c r="AB217">
        <v>0</v>
      </c>
      <c r="AC217">
        <v>0</v>
      </c>
      <c r="AD217">
        <v>0</v>
      </c>
      <c r="AE217">
        <v>0</v>
      </c>
      <c r="AF217">
        <v>0</v>
      </c>
      <c r="AG217">
        <v>0</v>
      </c>
      <c r="AH217">
        <v>0</v>
      </c>
      <c r="AI217">
        <v>0</v>
      </c>
      <c r="AJ217">
        <v>0</v>
      </c>
      <c r="AK217">
        <v>0</v>
      </c>
      <c r="AL217">
        <v>0</v>
      </c>
      <c r="AM217">
        <v>0</v>
      </c>
      <c r="AN217">
        <v>0</v>
      </c>
      <c r="AO217">
        <v>0</v>
      </c>
      <c r="AP217">
        <v>0</v>
      </c>
      <c r="AQ217">
        <v>0</v>
      </c>
      <c r="AR217">
        <v>0</v>
      </c>
      <c r="AS217">
        <v>0</v>
      </c>
      <c r="AT217">
        <v>0</v>
      </c>
      <c r="AU217">
        <v>0</v>
      </c>
      <c r="AV217">
        <v>0</v>
      </c>
      <c r="AW217">
        <v>0</v>
      </c>
      <c r="AX217">
        <v>0</v>
      </c>
      <c r="AY217">
        <v>0</v>
      </c>
      <c r="AZ217">
        <v>0</v>
      </c>
      <c r="BA217">
        <v>0</v>
      </c>
      <c r="BB217">
        <v>0</v>
      </c>
      <c r="BC217">
        <v>0</v>
      </c>
      <c r="BD217">
        <v>0</v>
      </c>
      <c r="BE217">
        <v>0</v>
      </c>
      <c r="BF217">
        <v>0</v>
      </c>
      <c r="BG217" s="185">
        <v>0</v>
      </c>
      <c r="BH217" s="185">
        <v>0</v>
      </c>
      <c r="BI217" s="185">
        <v>0</v>
      </c>
      <c r="BJ217" s="185">
        <v>0</v>
      </c>
      <c r="BK217" s="185">
        <v>0</v>
      </c>
      <c r="BL217" s="185">
        <v>0</v>
      </c>
      <c r="BM217" s="185">
        <v>0</v>
      </c>
      <c r="BN217" s="185">
        <v>0</v>
      </c>
      <c r="BO217" s="185">
        <v>0</v>
      </c>
      <c r="BP217" s="185">
        <v>0</v>
      </c>
      <c r="BQ217" s="185">
        <v>0</v>
      </c>
      <c r="BR217" s="185">
        <v>0</v>
      </c>
      <c r="BS217" s="185">
        <v>0</v>
      </c>
      <c r="BT217" s="185">
        <v>0</v>
      </c>
      <c r="BU217" t="b">
        <f>IF(_xlfn.MAXIFS(Table1[Sl No],Table1[Category],Table1[[#This Row],[Category]],Table1[Execution Year],Table1[[#This Row],[Execution Year]])=Table1[[#This Row],[Sl No]],TRUE,FALSE)</f>
        <v>0</v>
      </c>
      <c r="BV217" s="201">
        <f>SUM(Table1[[#This Row],[Spend - CAN]:[Spend - Sams]])+SUM(Table1[[#This Row],[Spend - Sams Mexico]:[Spend - Sams China]])+Table1[[#This Row],[Spend - IND]]</f>
        <v>444144700</v>
      </c>
      <c r="BW217">
        <f>SUM(Table1[[#This Row],[Savings - CAN]:[Savings - Sams]])+SUM(Table1[[#This Row],[Savings - Sams Mexico]:[Savings - Sams China]])+Table1[[#This Row],[Savings - IND]]</f>
        <v>0</v>
      </c>
      <c r="BX217">
        <f>SUM(Table1[[#This Row],[Spend - CAN]:[Spend - SAF]])+SUM(Table1[[#This Row],[Spend - Sams Mexico]:[Spend - Sams China]])+Table1[[#This Row],[Spend - IND]]</f>
        <v>102041987</v>
      </c>
      <c r="BY217">
        <f>SUM(Table1[[#This Row],[Savings - CAN]:[Savings - SAF]])+SUM(Table1[[#This Row],[Savings - Sams Mexico]:[Savings - Sams China]])+Table1[[#This Row],[Savings - IND]]</f>
        <v>0</v>
      </c>
      <c r="BZ217">
        <f>SUM(Table1[[#This Row],[Spend - US]:[Spend - Sams]])</f>
        <v>342102713</v>
      </c>
      <c r="CA217">
        <f>SUM(Table1[[#This Row],[Savings - US]:[Savings - Sams]])</f>
        <v>0</v>
      </c>
      <c r="CB217">
        <f>SUM(Table1[[#This Row],[Cost Avoidance - CAN2]:[Cost Avoidance - SAF10]])+SUM(Table1[[#This Row],[Cost Avoidance - Sams Mexico]:[Cost Avoidance - Sams China]])+Table1[[#This Row],[Cost Avoidance - IND]]</f>
        <v>0</v>
      </c>
      <c r="CC217">
        <f>SUM(Table1[[#This Row],[Cost Avoidance - US11]:[Cost Avoidance - Sams12]])</f>
        <v>0</v>
      </c>
      <c r="CD217">
        <f>_xlfn.XLOOKUP(Table1[[#This Row],[Status]],Status_Lookups[Status],Status_Lookups[Value],"")</f>
        <v>0.3</v>
      </c>
    </row>
    <row r="218" spans="1:82">
      <c r="A218">
        <v>42</v>
      </c>
      <c r="B218" t="s">
        <v>98</v>
      </c>
      <c r="C218" t="s">
        <v>43</v>
      </c>
      <c r="D218" t="s">
        <v>39</v>
      </c>
      <c r="E218" s="15">
        <v>44409</v>
      </c>
      <c r="F218" s="15">
        <v>44742</v>
      </c>
      <c r="G218" s="15">
        <v>0</v>
      </c>
      <c r="H218" s="15">
        <v>0</v>
      </c>
      <c r="I218" t="s">
        <v>463</v>
      </c>
      <c r="J218" t="s">
        <v>459</v>
      </c>
      <c r="K218" t="s">
        <v>78</v>
      </c>
      <c r="L218">
        <v>0</v>
      </c>
      <c r="M218">
        <v>21200000</v>
      </c>
      <c r="N218">
        <v>74700000</v>
      </c>
      <c r="O218">
        <v>3041987</v>
      </c>
      <c r="P218">
        <v>3100000</v>
      </c>
      <c r="Q218">
        <v>0</v>
      </c>
      <c r="R218">
        <v>0</v>
      </c>
      <c r="S218">
        <v>0</v>
      </c>
      <c r="T218">
        <v>0</v>
      </c>
      <c r="U218">
        <v>0</v>
      </c>
      <c r="V218">
        <v>342102713</v>
      </c>
      <c r="W218">
        <v>0</v>
      </c>
      <c r="X218" t="s">
        <v>78</v>
      </c>
      <c r="Y218" s="16">
        <v>44714.405592013885</v>
      </c>
      <c r="Z218" s="17" t="str">
        <f>_xlfn.XLOOKUP(Table1[[#This Row],[Phase]],'Lookup tables'!$Y$27:$Y$60,'Lookup tables'!$Z$27:$Z$60,"Not Updated")</f>
        <v>Pending PB/Merch Approval</v>
      </c>
      <c r="AA218" s="17" t="s">
        <v>654</v>
      </c>
      <c r="AB218">
        <v>0</v>
      </c>
      <c r="AC218">
        <v>0</v>
      </c>
      <c r="AD218">
        <v>0</v>
      </c>
      <c r="AE218">
        <v>0</v>
      </c>
      <c r="AF218">
        <v>0</v>
      </c>
      <c r="AG218">
        <v>0</v>
      </c>
      <c r="AH218">
        <v>0</v>
      </c>
      <c r="AI218">
        <v>0</v>
      </c>
      <c r="AJ218">
        <v>0</v>
      </c>
      <c r="AK218">
        <v>0</v>
      </c>
      <c r="AL218">
        <v>0</v>
      </c>
      <c r="AM218">
        <v>0</v>
      </c>
      <c r="AN218">
        <v>0</v>
      </c>
      <c r="AO218">
        <v>0</v>
      </c>
      <c r="AP218">
        <v>0</v>
      </c>
      <c r="AQ218">
        <v>0</v>
      </c>
      <c r="AR218">
        <v>0</v>
      </c>
      <c r="AS218">
        <v>0</v>
      </c>
      <c r="AT218">
        <v>0</v>
      </c>
      <c r="AU218">
        <v>0</v>
      </c>
      <c r="AV218">
        <v>0</v>
      </c>
      <c r="AW218">
        <v>0</v>
      </c>
      <c r="AX218">
        <v>0</v>
      </c>
      <c r="AY218">
        <v>0</v>
      </c>
      <c r="AZ218">
        <v>0</v>
      </c>
      <c r="BA218">
        <v>0</v>
      </c>
      <c r="BB218">
        <v>0</v>
      </c>
      <c r="BC218">
        <v>0</v>
      </c>
      <c r="BD218">
        <v>0</v>
      </c>
      <c r="BE218">
        <v>0</v>
      </c>
      <c r="BF218">
        <v>0</v>
      </c>
      <c r="BG218" s="185">
        <v>0</v>
      </c>
      <c r="BH218" s="185">
        <v>0</v>
      </c>
      <c r="BI218" s="185">
        <v>0</v>
      </c>
      <c r="BJ218" s="185">
        <v>0</v>
      </c>
      <c r="BK218" s="185">
        <v>0</v>
      </c>
      <c r="BL218" s="185">
        <v>0</v>
      </c>
      <c r="BM218" s="185">
        <v>0</v>
      </c>
      <c r="BN218" s="185">
        <v>0</v>
      </c>
      <c r="BO218" s="185">
        <v>0</v>
      </c>
      <c r="BP218" s="185">
        <v>0</v>
      </c>
      <c r="BQ218" s="185">
        <v>0</v>
      </c>
      <c r="BR218" s="185">
        <v>0</v>
      </c>
      <c r="BS218" s="185">
        <v>0</v>
      </c>
      <c r="BT218" s="185">
        <v>0</v>
      </c>
      <c r="BU218" t="b">
        <f>IF(_xlfn.MAXIFS(Table1[Sl No],Table1[Category],Table1[[#This Row],[Category]],Table1[Execution Year],Table1[[#This Row],[Execution Year]])=Table1[[#This Row],[Sl No]],TRUE,FALSE)</f>
        <v>0</v>
      </c>
      <c r="BV218" s="201">
        <f>SUM(Table1[[#This Row],[Spend - CAN]:[Spend - Sams]])+SUM(Table1[[#This Row],[Spend - Sams Mexico]:[Spend - Sams China]])+Table1[[#This Row],[Spend - IND]]</f>
        <v>444144700</v>
      </c>
      <c r="BW218">
        <f>SUM(Table1[[#This Row],[Savings - CAN]:[Savings - Sams]])+SUM(Table1[[#This Row],[Savings - Sams Mexico]:[Savings - Sams China]])+Table1[[#This Row],[Savings - IND]]</f>
        <v>0</v>
      </c>
      <c r="BX218">
        <f>SUM(Table1[[#This Row],[Spend - CAN]:[Spend - SAF]])+SUM(Table1[[#This Row],[Spend - Sams Mexico]:[Spend - Sams China]])+Table1[[#This Row],[Spend - IND]]</f>
        <v>102041987</v>
      </c>
      <c r="BY218">
        <f>SUM(Table1[[#This Row],[Savings - CAN]:[Savings - SAF]])+SUM(Table1[[#This Row],[Savings - Sams Mexico]:[Savings - Sams China]])+Table1[[#This Row],[Savings - IND]]</f>
        <v>0</v>
      </c>
      <c r="BZ218">
        <f>SUM(Table1[[#This Row],[Spend - US]:[Spend - Sams]])</f>
        <v>342102713</v>
      </c>
      <c r="CA218">
        <f>SUM(Table1[[#This Row],[Savings - US]:[Savings - Sams]])</f>
        <v>0</v>
      </c>
      <c r="CB218">
        <f>SUM(Table1[[#This Row],[Cost Avoidance - CAN2]:[Cost Avoidance - SAF10]])+SUM(Table1[[#This Row],[Cost Avoidance - Sams Mexico]:[Cost Avoidance - Sams China]])+Table1[[#This Row],[Cost Avoidance - IND]]</f>
        <v>0</v>
      </c>
      <c r="CC218">
        <f>SUM(Table1[[#This Row],[Cost Avoidance - US11]:[Cost Avoidance - Sams12]])</f>
        <v>0</v>
      </c>
      <c r="CD218">
        <f>_xlfn.XLOOKUP(Table1[[#This Row],[Status]],Status_Lookups[Status],Status_Lookups[Value],"")</f>
        <v>0.3</v>
      </c>
    </row>
    <row r="219" spans="1:82">
      <c r="A219">
        <v>1</v>
      </c>
      <c r="B219" t="s">
        <v>525</v>
      </c>
      <c r="C219" t="s">
        <v>33</v>
      </c>
      <c r="D219" t="s">
        <v>322</v>
      </c>
      <c r="E219" s="15">
        <v>44805</v>
      </c>
      <c r="F219" s="15">
        <v>44956</v>
      </c>
      <c r="G219" s="15"/>
      <c r="H219" s="15"/>
      <c r="I219" t="s">
        <v>135</v>
      </c>
      <c r="J219" t="s">
        <v>459</v>
      </c>
      <c r="K219" t="s">
        <v>502</v>
      </c>
      <c r="X219" t="s">
        <v>47</v>
      </c>
      <c r="Y219" s="16">
        <v>44701.387036342596</v>
      </c>
      <c r="Z219" s="17" t="str">
        <f>_xlfn.XLOOKUP(Table1[[#This Row],[Phase]],'Lookup tables'!$Y$27:$Y$60,'Lookup tables'!$Z$27:$Z$60,"Not Updated")</f>
        <v>Pipeline</v>
      </c>
      <c r="AA219" s="17"/>
      <c r="BG219" s="185"/>
      <c r="BH219" s="185"/>
      <c r="BI219" s="185"/>
      <c r="BJ219" s="185"/>
      <c r="BK219" s="185"/>
      <c r="BL219" s="185"/>
      <c r="BM219" s="185"/>
      <c r="BN219" s="185"/>
      <c r="BO219" s="185"/>
      <c r="BP219" s="185"/>
      <c r="BQ219" s="185"/>
      <c r="BR219" s="185"/>
      <c r="BS219" s="185"/>
      <c r="BT219" s="185"/>
      <c r="BU219" t="b">
        <f>IF(_xlfn.MAXIFS(Table1[Sl No],Table1[Category],Table1[[#This Row],[Category]],Table1[Execution Year],Table1[[#This Row],[Execution Year]])=Table1[[#This Row],[Sl No]],TRUE,FALSE)</f>
        <v>1</v>
      </c>
      <c r="BV219" s="201">
        <f>SUM(Table1[[#This Row],[Spend - CAN]:[Spend - Sams]])+SUM(Table1[[#This Row],[Spend - Sams Mexico]:[Spend - Sams China]])+Table1[[#This Row],[Spend - IND]]</f>
        <v>0</v>
      </c>
      <c r="BW219">
        <f>SUM(Table1[[#This Row],[Savings - CAN]:[Savings - Sams]])+SUM(Table1[[#This Row],[Savings - Sams Mexico]:[Savings - Sams China]])+Table1[[#This Row],[Savings - IND]]</f>
        <v>0</v>
      </c>
      <c r="BX219">
        <f>SUM(Table1[[#This Row],[Spend - CAN]:[Spend - SAF]])+SUM(Table1[[#This Row],[Spend - Sams Mexico]:[Spend - Sams China]])+Table1[[#This Row],[Spend - IND]]</f>
        <v>0</v>
      </c>
      <c r="BY219">
        <f>SUM(Table1[[#This Row],[Savings - CAN]:[Savings - SAF]])+SUM(Table1[[#This Row],[Savings - Sams Mexico]:[Savings - Sams China]])+Table1[[#This Row],[Savings - IND]]</f>
        <v>0</v>
      </c>
      <c r="BZ219">
        <f>SUM(Table1[[#This Row],[Spend - US]:[Spend - Sams]])</f>
        <v>0</v>
      </c>
      <c r="CA219">
        <f>SUM(Table1[[#This Row],[Savings - US]:[Savings - Sams]])</f>
        <v>0</v>
      </c>
      <c r="CB219">
        <f>SUM(Table1[[#This Row],[Cost Avoidance - CAN2]:[Cost Avoidance - SAF10]])+SUM(Table1[[#This Row],[Cost Avoidance - Sams Mexico]:[Cost Avoidance - Sams China]])+Table1[[#This Row],[Cost Avoidance - IND]]</f>
        <v>0</v>
      </c>
      <c r="CC219">
        <f>SUM(Table1[[#This Row],[Cost Avoidance - US11]:[Cost Avoidance - Sams12]])</f>
        <v>0</v>
      </c>
      <c r="CD219">
        <f>_xlfn.XLOOKUP(Table1[[#This Row],[Status]],Status_Lookups[Status],Status_Lookups[Value],"")</f>
        <v>0.3</v>
      </c>
    </row>
    <row r="220" spans="1:82">
      <c r="A220">
        <v>2</v>
      </c>
      <c r="B220" t="s">
        <v>468</v>
      </c>
      <c r="C220" t="s">
        <v>43</v>
      </c>
      <c r="D220" t="s">
        <v>39</v>
      </c>
      <c r="E220" s="15">
        <v>44197</v>
      </c>
      <c r="F220" s="15">
        <v>44317</v>
      </c>
      <c r="G220" s="15"/>
      <c r="H220" s="15"/>
      <c r="I220" t="s">
        <v>625</v>
      </c>
      <c r="J220">
        <v>0</v>
      </c>
      <c r="K220">
        <v>0</v>
      </c>
      <c r="L220">
        <v>0</v>
      </c>
      <c r="M220">
        <v>0</v>
      </c>
      <c r="N220">
        <v>0</v>
      </c>
      <c r="O220">
        <v>0</v>
      </c>
      <c r="P220">
        <v>0</v>
      </c>
      <c r="Q220">
        <v>0</v>
      </c>
      <c r="R220">
        <v>0</v>
      </c>
      <c r="S220">
        <v>0</v>
      </c>
      <c r="T220">
        <v>0</v>
      </c>
      <c r="U220">
        <v>0</v>
      </c>
      <c r="V220">
        <v>0</v>
      </c>
      <c r="X220" t="s">
        <v>78</v>
      </c>
      <c r="Y220" s="16">
        <v>44207.68858425926</v>
      </c>
      <c r="Z220" s="17" t="str">
        <f>_xlfn.XLOOKUP(Table1[[#This Row],[Phase]],'Lookup tables'!$Y$27:$Y$60,'Lookup tables'!$Z$27:$Z$60,"Not Updated")</f>
        <v>Proposed</v>
      </c>
      <c r="AA220" s="17">
        <v>0</v>
      </c>
      <c r="AB220">
        <v>0</v>
      </c>
      <c r="AC220">
        <v>0</v>
      </c>
      <c r="AD220">
        <v>0</v>
      </c>
      <c r="AE220">
        <v>0</v>
      </c>
      <c r="AF220">
        <v>0</v>
      </c>
      <c r="AG220">
        <v>0</v>
      </c>
      <c r="AH220">
        <v>0</v>
      </c>
      <c r="AI220">
        <v>0</v>
      </c>
      <c r="AJ220">
        <v>0</v>
      </c>
      <c r="AK220">
        <v>0</v>
      </c>
      <c r="BG220" s="185"/>
      <c r="BH220" s="185"/>
      <c r="BI220" s="185"/>
      <c r="BJ220" s="185"/>
      <c r="BK220" s="185"/>
      <c r="BL220" s="185"/>
      <c r="BM220" s="185"/>
      <c r="BN220" s="185"/>
      <c r="BO220" s="185"/>
      <c r="BP220" s="185"/>
      <c r="BQ220" s="185"/>
      <c r="BR220" s="185"/>
      <c r="BS220" s="185"/>
      <c r="BT220" s="185"/>
      <c r="BU220" t="b">
        <f>IF(_xlfn.MAXIFS(Table1[Sl No],Table1[Category],Table1[[#This Row],[Category]],Table1[Execution Year],Table1[[#This Row],[Execution Year]])=Table1[[#This Row],[Sl No]],TRUE,FALSE)</f>
        <v>0</v>
      </c>
      <c r="BV220" s="201">
        <f>SUM(Table1[[#This Row],[Spend - CAN]:[Spend - Sams]])+SUM(Table1[[#This Row],[Spend - Sams Mexico]:[Spend - Sams China]])+Table1[[#This Row],[Spend - IND]]</f>
        <v>0</v>
      </c>
      <c r="BW220">
        <f>SUM(Table1[[#This Row],[Savings - CAN]:[Savings - Sams]])+SUM(Table1[[#This Row],[Savings - Sams Mexico]:[Savings - Sams China]])+Table1[[#This Row],[Savings - IND]]</f>
        <v>0</v>
      </c>
      <c r="BX220">
        <f>SUM(Table1[[#This Row],[Spend - CAN]:[Spend - SAF]])+SUM(Table1[[#This Row],[Spend - Sams Mexico]:[Spend - Sams China]])+Table1[[#This Row],[Spend - IND]]</f>
        <v>0</v>
      </c>
      <c r="BY220">
        <f>SUM(Table1[[#This Row],[Savings - CAN]:[Savings - SAF]])+SUM(Table1[[#This Row],[Savings - Sams Mexico]:[Savings - Sams China]])+Table1[[#This Row],[Savings - IND]]</f>
        <v>0</v>
      </c>
      <c r="BZ220">
        <f>SUM(Table1[[#This Row],[Spend - US]:[Spend - Sams]])</f>
        <v>0</v>
      </c>
      <c r="CA220">
        <f>SUM(Table1[[#This Row],[Savings - US]:[Savings - Sams]])</f>
        <v>0</v>
      </c>
      <c r="CB220">
        <f>SUM(Table1[[#This Row],[Cost Avoidance - CAN2]:[Cost Avoidance - SAF10]])+SUM(Table1[[#This Row],[Cost Avoidance - Sams Mexico]:[Cost Avoidance - Sams China]])+Table1[[#This Row],[Cost Avoidance - IND]]</f>
        <v>0</v>
      </c>
      <c r="CC220">
        <f>SUM(Table1[[#This Row],[Cost Avoidance - US11]:[Cost Avoidance - Sams12]])</f>
        <v>0</v>
      </c>
      <c r="CD220" t="str">
        <f>_xlfn.XLOOKUP(Table1[[#This Row],[Status]],Status_Lookups[Status],Status_Lookups[Value],"")</f>
        <v/>
      </c>
    </row>
    <row r="221" spans="1:82">
      <c r="A221">
        <v>3</v>
      </c>
      <c r="B221" t="s">
        <v>468</v>
      </c>
      <c r="C221" t="s">
        <v>43</v>
      </c>
      <c r="D221" t="s">
        <v>39</v>
      </c>
      <c r="E221" s="15">
        <v>44197</v>
      </c>
      <c r="F221" s="15">
        <v>44317</v>
      </c>
      <c r="G221" s="15"/>
      <c r="H221" s="15"/>
      <c r="I221" t="s">
        <v>655</v>
      </c>
      <c r="J221" t="s">
        <v>633</v>
      </c>
      <c r="K221" t="s">
        <v>445</v>
      </c>
      <c r="L221" t="s">
        <v>445</v>
      </c>
      <c r="M221">
        <v>0</v>
      </c>
      <c r="N221">
        <v>0</v>
      </c>
      <c r="O221">
        <v>0</v>
      </c>
      <c r="P221">
        <v>0</v>
      </c>
      <c r="Q221">
        <v>0</v>
      </c>
      <c r="R221">
        <v>0</v>
      </c>
      <c r="S221">
        <v>0</v>
      </c>
      <c r="T221">
        <v>0</v>
      </c>
      <c r="U221">
        <v>0</v>
      </c>
      <c r="V221">
        <v>0</v>
      </c>
      <c r="X221" t="s">
        <v>78</v>
      </c>
      <c r="Y221" s="16">
        <v>44211.449653587966</v>
      </c>
      <c r="Z221" s="17" t="str">
        <f>_xlfn.XLOOKUP(Table1[[#This Row],[Phase]],'Lookup tables'!$Y$27:$Y$60,'Lookup tables'!$Z$27:$Z$60,"Not Updated")</f>
        <v>Market objectives aligned</v>
      </c>
      <c r="AA221" s="17">
        <v>0</v>
      </c>
      <c r="AB221">
        <v>0</v>
      </c>
      <c r="AC221">
        <v>0</v>
      </c>
      <c r="AD221">
        <v>0</v>
      </c>
      <c r="AE221">
        <v>0</v>
      </c>
      <c r="AF221">
        <v>0</v>
      </c>
      <c r="AG221">
        <v>0</v>
      </c>
      <c r="AH221">
        <v>0</v>
      </c>
      <c r="AI221">
        <v>0</v>
      </c>
      <c r="AJ221">
        <v>0</v>
      </c>
      <c r="AK221">
        <v>0</v>
      </c>
      <c r="BG221" s="185"/>
      <c r="BH221" s="185"/>
      <c r="BI221" s="185"/>
      <c r="BJ221" s="185"/>
      <c r="BK221" s="185"/>
      <c r="BL221" s="185"/>
      <c r="BM221" s="185"/>
      <c r="BN221" s="185"/>
      <c r="BO221" s="185"/>
      <c r="BP221" s="185"/>
      <c r="BQ221" s="185"/>
      <c r="BR221" s="185"/>
      <c r="BS221" s="185"/>
      <c r="BT221" s="185"/>
      <c r="BU221" t="b">
        <f>IF(_xlfn.MAXIFS(Table1[Sl No],Table1[Category],Table1[[#This Row],[Category]],Table1[Execution Year],Table1[[#This Row],[Execution Year]])=Table1[[#This Row],[Sl No]],TRUE,FALSE)</f>
        <v>0</v>
      </c>
      <c r="BV221" s="201">
        <f>SUM(Table1[[#This Row],[Spend - CAN]:[Spend - Sams]])+SUM(Table1[[#This Row],[Spend - Sams Mexico]:[Spend - Sams China]])+Table1[[#This Row],[Spend - IND]]</f>
        <v>0</v>
      </c>
      <c r="BW221">
        <f>SUM(Table1[[#This Row],[Savings - CAN]:[Savings - Sams]])+SUM(Table1[[#This Row],[Savings - Sams Mexico]:[Savings - Sams China]])+Table1[[#This Row],[Savings - IND]]</f>
        <v>0</v>
      </c>
      <c r="BX221">
        <f>SUM(Table1[[#This Row],[Spend - CAN]:[Spend - SAF]])+SUM(Table1[[#This Row],[Spend - Sams Mexico]:[Spend - Sams China]])+Table1[[#This Row],[Spend - IND]]</f>
        <v>0</v>
      </c>
      <c r="BY221">
        <f>SUM(Table1[[#This Row],[Savings - CAN]:[Savings - SAF]])+SUM(Table1[[#This Row],[Savings - Sams Mexico]:[Savings - Sams China]])+Table1[[#This Row],[Savings - IND]]</f>
        <v>0</v>
      </c>
      <c r="BZ221">
        <f>SUM(Table1[[#This Row],[Spend - US]:[Spend - Sams]])</f>
        <v>0</v>
      </c>
      <c r="CA221">
        <f>SUM(Table1[[#This Row],[Savings - US]:[Savings - Sams]])</f>
        <v>0</v>
      </c>
      <c r="CB221">
        <f>SUM(Table1[[#This Row],[Cost Avoidance - CAN2]:[Cost Avoidance - SAF10]])+SUM(Table1[[#This Row],[Cost Avoidance - Sams Mexico]:[Cost Avoidance - Sams China]])+Table1[[#This Row],[Cost Avoidance - IND]]</f>
        <v>0</v>
      </c>
      <c r="CC221">
        <f>SUM(Table1[[#This Row],[Cost Avoidance - US11]:[Cost Avoidance - Sams12]])</f>
        <v>0</v>
      </c>
      <c r="CD221" t="str">
        <f>_xlfn.XLOOKUP(Table1[[#This Row],[Status]],Status_Lookups[Status],Status_Lookups[Value],"")</f>
        <v/>
      </c>
    </row>
    <row r="222" spans="1:82">
      <c r="A222">
        <v>4</v>
      </c>
      <c r="B222" t="s">
        <v>468</v>
      </c>
      <c r="C222" t="s">
        <v>43</v>
      </c>
      <c r="D222" t="s">
        <v>39</v>
      </c>
      <c r="E222" s="15">
        <v>44197</v>
      </c>
      <c r="F222" s="15">
        <v>44317</v>
      </c>
      <c r="G222" s="15"/>
      <c r="H222" s="15"/>
      <c r="I222" t="s">
        <v>655</v>
      </c>
      <c r="J222" t="s">
        <v>633</v>
      </c>
      <c r="K222" t="s">
        <v>445</v>
      </c>
      <c r="L222" t="s">
        <v>445</v>
      </c>
      <c r="M222">
        <v>3124549.0899999994</v>
      </c>
      <c r="N222">
        <v>0</v>
      </c>
      <c r="O222">
        <v>0</v>
      </c>
      <c r="P222">
        <v>0</v>
      </c>
      <c r="Q222">
        <v>0</v>
      </c>
      <c r="R222">
        <v>395865.13</v>
      </c>
      <c r="S222">
        <v>0</v>
      </c>
      <c r="T222">
        <v>0</v>
      </c>
      <c r="U222">
        <v>0</v>
      </c>
      <c r="V222">
        <v>0</v>
      </c>
      <c r="X222" t="s">
        <v>78</v>
      </c>
      <c r="Y222" s="16">
        <v>44211.480617592591</v>
      </c>
      <c r="Z222" s="17" t="str">
        <f>_xlfn.XLOOKUP(Table1[[#This Row],[Phase]],'Lookup tables'!$Y$27:$Y$60,'Lookup tables'!$Z$27:$Z$60,"Not Updated")</f>
        <v>Market objectives aligned</v>
      </c>
      <c r="AA222" s="17" t="s">
        <v>654</v>
      </c>
      <c r="AB222">
        <v>0</v>
      </c>
      <c r="AC222">
        <v>0</v>
      </c>
      <c r="AD222">
        <v>0</v>
      </c>
      <c r="AE222">
        <v>0</v>
      </c>
      <c r="AF222">
        <v>0</v>
      </c>
      <c r="AG222">
        <v>0</v>
      </c>
      <c r="AH222">
        <v>0</v>
      </c>
      <c r="AI222">
        <v>0</v>
      </c>
      <c r="AJ222">
        <v>0</v>
      </c>
      <c r="AK222">
        <v>0</v>
      </c>
      <c r="BG222" s="185"/>
      <c r="BH222" s="185"/>
      <c r="BI222" s="185"/>
      <c r="BJ222" s="185"/>
      <c r="BK222" s="185"/>
      <c r="BL222" s="185"/>
      <c r="BM222" s="185"/>
      <c r="BN222" s="185"/>
      <c r="BO222" s="185"/>
      <c r="BP222" s="185"/>
      <c r="BQ222" s="185"/>
      <c r="BR222" s="185"/>
      <c r="BS222" s="185"/>
      <c r="BT222" s="185"/>
      <c r="BU222" t="b">
        <f>IF(_xlfn.MAXIFS(Table1[Sl No],Table1[Category],Table1[[#This Row],[Category]],Table1[Execution Year],Table1[[#This Row],[Execution Year]])=Table1[[#This Row],[Sl No]],TRUE,FALSE)</f>
        <v>0</v>
      </c>
      <c r="BV222" s="201">
        <f>SUM(Table1[[#This Row],[Spend - CAN]:[Spend - Sams]])+SUM(Table1[[#This Row],[Spend - Sams Mexico]:[Spend - Sams China]])+Table1[[#This Row],[Spend - IND]]</f>
        <v>3520414.2199999993</v>
      </c>
      <c r="BW222">
        <f>SUM(Table1[[#This Row],[Savings - CAN]:[Savings - Sams]])+SUM(Table1[[#This Row],[Savings - Sams Mexico]:[Savings - Sams China]])+Table1[[#This Row],[Savings - IND]]</f>
        <v>0</v>
      </c>
      <c r="BX222">
        <f>SUM(Table1[[#This Row],[Spend - CAN]:[Spend - SAF]])+SUM(Table1[[#This Row],[Spend - Sams Mexico]:[Spend - Sams China]])+Table1[[#This Row],[Spend - IND]]</f>
        <v>3520414.2199999993</v>
      </c>
      <c r="BY222">
        <f>SUM(Table1[[#This Row],[Savings - CAN]:[Savings - SAF]])+SUM(Table1[[#This Row],[Savings - Sams Mexico]:[Savings - Sams China]])+Table1[[#This Row],[Savings - IND]]</f>
        <v>0</v>
      </c>
      <c r="BZ222">
        <f>SUM(Table1[[#This Row],[Spend - US]:[Spend - Sams]])</f>
        <v>0</v>
      </c>
      <c r="CA222">
        <f>SUM(Table1[[#This Row],[Savings - US]:[Savings - Sams]])</f>
        <v>0</v>
      </c>
      <c r="CB222">
        <f>SUM(Table1[[#This Row],[Cost Avoidance - CAN2]:[Cost Avoidance - SAF10]])+SUM(Table1[[#This Row],[Cost Avoidance - Sams Mexico]:[Cost Avoidance - Sams China]])+Table1[[#This Row],[Cost Avoidance - IND]]</f>
        <v>0</v>
      </c>
      <c r="CC222">
        <f>SUM(Table1[[#This Row],[Cost Avoidance - US11]:[Cost Avoidance - Sams12]])</f>
        <v>0</v>
      </c>
      <c r="CD222" t="str">
        <f>_xlfn.XLOOKUP(Table1[[#This Row],[Status]],Status_Lookups[Status],Status_Lookups[Value],"")</f>
        <v/>
      </c>
    </row>
    <row r="223" spans="1:82">
      <c r="A223">
        <v>5</v>
      </c>
      <c r="B223" t="s">
        <v>468</v>
      </c>
      <c r="C223" t="s">
        <v>43</v>
      </c>
      <c r="D223" t="s">
        <v>39</v>
      </c>
      <c r="E223" s="15">
        <v>44228</v>
      </c>
      <c r="F223" s="15">
        <v>44348</v>
      </c>
      <c r="G223" s="15"/>
      <c r="H223" s="15"/>
      <c r="I223" t="s">
        <v>655</v>
      </c>
      <c r="J223" t="s">
        <v>633</v>
      </c>
      <c r="K223" t="s">
        <v>445</v>
      </c>
      <c r="L223" t="s">
        <v>445</v>
      </c>
      <c r="M223">
        <v>3124549.0899999994</v>
      </c>
      <c r="N223">
        <v>0</v>
      </c>
      <c r="O223">
        <v>0</v>
      </c>
      <c r="P223">
        <v>0</v>
      </c>
      <c r="Q223">
        <v>0</v>
      </c>
      <c r="R223">
        <v>395865.13</v>
      </c>
      <c r="S223">
        <v>0</v>
      </c>
      <c r="T223">
        <v>0</v>
      </c>
      <c r="U223">
        <v>0</v>
      </c>
      <c r="V223">
        <v>0</v>
      </c>
      <c r="X223" t="s">
        <v>78</v>
      </c>
      <c r="Y223" s="16">
        <v>44215.438564583332</v>
      </c>
      <c r="Z223" s="17" t="str">
        <f>_xlfn.XLOOKUP(Table1[[#This Row],[Phase]],'Lookup tables'!$Y$27:$Y$60,'Lookup tables'!$Z$27:$Z$60,"Not Updated")</f>
        <v>Market objectives aligned</v>
      </c>
      <c r="AA223" s="17" t="s">
        <v>654</v>
      </c>
      <c r="AB223">
        <v>0</v>
      </c>
      <c r="AC223">
        <v>0</v>
      </c>
      <c r="AD223">
        <v>0</v>
      </c>
      <c r="AE223">
        <v>0</v>
      </c>
      <c r="AF223">
        <v>0</v>
      </c>
      <c r="AG223">
        <v>0</v>
      </c>
      <c r="AH223">
        <v>0</v>
      </c>
      <c r="AI223">
        <v>0</v>
      </c>
      <c r="AJ223">
        <v>0</v>
      </c>
      <c r="AK223">
        <v>0</v>
      </c>
      <c r="AL223">
        <v>0</v>
      </c>
      <c r="BG223" s="185"/>
      <c r="BH223" s="185"/>
      <c r="BI223" s="185"/>
      <c r="BJ223" s="185"/>
      <c r="BK223" s="185"/>
      <c r="BL223" s="185"/>
      <c r="BM223" s="185"/>
      <c r="BN223" s="185"/>
      <c r="BO223" s="185"/>
      <c r="BP223" s="185"/>
      <c r="BQ223" s="185"/>
      <c r="BR223" s="185"/>
      <c r="BS223" s="185"/>
      <c r="BT223" s="185"/>
      <c r="BU223" t="b">
        <f>IF(_xlfn.MAXIFS(Table1[Sl No],Table1[Category],Table1[[#This Row],[Category]],Table1[Execution Year],Table1[[#This Row],[Execution Year]])=Table1[[#This Row],[Sl No]],TRUE,FALSE)</f>
        <v>0</v>
      </c>
      <c r="BV223" s="201">
        <f>SUM(Table1[[#This Row],[Spend - CAN]:[Spend - Sams]])+SUM(Table1[[#This Row],[Spend - Sams Mexico]:[Spend - Sams China]])+Table1[[#This Row],[Spend - IND]]</f>
        <v>3520414.2199999993</v>
      </c>
      <c r="BW223">
        <f>SUM(Table1[[#This Row],[Savings - CAN]:[Savings - Sams]])+SUM(Table1[[#This Row],[Savings - Sams Mexico]:[Savings - Sams China]])+Table1[[#This Row],[Savings - IND]]</f>
        <v>0</v>
      </c>
      <c r="BX223">
        <f>SUM(Table1[[#This Row],[Spend - CAN]:[Spend - SAF]])+SUM(Table1[[#This Row],[Spend - Sams Mexico]:[Spend - Sams China]])+Table1[[#This Row],[Spend - IND]]</f>
        <v>3520414.2199999993</v>
      </c>
      <c r="BY223">
        <f>SUM(Table1[[#This Row],[Savings - CAN]:[Savings - SAF]])+SUM(Table1[[#This Row],[Savings - Sams Mexico]:[Savings - Sams China]])+Table1[[#This Row],[Savings - IND]]</f>
        <v>0</v>
      </c>
      <c r="BZ223">
        <f>SUM(Table1[[#This Row],[Spend - US]:[Spend - Sams]])</f>
        <v>0</v>
      </c>
      <c r="CA223">
        <f>SUM(Table1[[#This Row],[Savings - US]:[Savings - Sams]])</f>
        <v>0</v>
      </c>
      <c r="CB223">
        <f>SUM(Table1[[#This Row],[Cost Avoidance - CAN2]:[Cost Avoidance - SAF10]])+SUM(Table1[[#This Row],[Cost Avoidance - Sams Mexico]:[Cost Avoidance - Sams China]])+Table1[[#This Row],[Cost Avoidance - IND]]</f>
        <v>0</v>
      </c>
      <c r="CC223">
        <f>SUM(Table1[[#This Row],[Cost Avoidance - US11]:[Cost Avoidance - Sams12]])</f>
        <v>0</v>
      </c>
      <c r="CD223" t="str">
        <f>_xlfn.XLOOKUP(Table1[[#This Row],[Status]],Status_Lookups[Status],Status_Lookups[Value],"")</f>
        <v/>
      </c>
    </row>
    <row r="224" spans="1:82">
      <c r="A224">
        <v>6</v>
      </c>
      <c r="B224" t="s">
        <v>468</v>
      </c>
      <c r="C224" t="s">
        <v>43</v>
      </c>
      <c r="D224" t="s">
        <v>39</v>
      </c>
      <c r="E224" s="15">
        <v>44228</v>
      </c>
      <c r="F224" s="15">
        <v>44348</v>
      </c>
      <c r="G224" s="15"/>
      <c r="H224" s="15"/>
      <c r="I224" t="s">
        <v>655</v>
      </c>
      <c r="J224" t="s">
        <v>633</v>
      </c>
      <c r="K224" t="s">
        <v>445</v>
      </c>
      <c r="L224" t="s">
        <v>445</v>
      </c>
      <c r="M224">
        <v>842700</v>
      </c>
      <c r="N224">
        <v>0</v>
      </c>
      <c r="O224">
        <v>0</v>
      </c>
      <c r="P224">
        <v>116300</v>
      </c>
      <c r="Q224">
        <v>0</v>
      </c>
      <c r="R224">
        <v>395865.13</v>
      </c>
      <c r="S224">
        <v>444100</v>
      </c>
      <c r="T224">
        <v>1888000</v>
      </c>
      <c r="U224">
        <v>0</v>
      </c>
      <c r="V224">
        <v>73560000</v>
      </c>
      <c r="W224">
        <v>173577000</v>
      </c>
      <c r="X224" t="s">
        <v>78</v>
      </c>
      <c r="Y224" s="16">
        <v>44221.61125115741</v>
      </c>
      <c r="Z224" s="17" t="str">
        <f>_xlfn.XLOOKUP(Table1[[#This Row],[Phase]],'Lookup tables'!$Y$27:$Y$60,'Lookup tables'!$Z$27:$Z$60,"Not Updated")</f>
        <v>Market objectives aligned</v>
      </c>
      <c r="AA224" s="17" t="s">
        <v>654</v>
      </c>
      <c r="AB224">
        <v>0</v>
      </c>
      <c r="AC224">
        <v>0</v>
      </c>
      <c r="AD224">
        <v>0</v>
      </c>
      <c r="AE224">
        <v>0</v>
      </c>
      <c r="AF224">
        <v>0</v>
      </c>
      <c r="AG224">
        <v>0</v>
      </c>
      <c r="AH224">
        <v>0</v>
      </c>
      <c r="AI224">
        <v>0</v>
      </c>
      <c r="AJ224">
        <v>0</v>
      </c>
      <c r="AK224">
        <v>0</v>
      </c>
      <c r="AL224">
        <v>0</v>
      </c>
      <c r="BG224" s="185"/>
      <c r="BH224" s="185"/>
      <c r="BI224" s="185"/>
      <c r="BJ224" s="185"/>
      <c r="BK224" s="185"/>
      <c r="BL224" s="185"/>
      <c r="BM224" s="185"/>
      <c r="BN224" s="185"/>
      <c r="BO224" s="185"/>
      <c r="BP224" s="185"/>
      <c r="BQ224" s="185"/>
      <c r="BR224" s="185"/>
      <c r="BS224" s="185"/>
      <c r="BT224" s="185"/>
      <c r="BU224" t="b">
        <f>IF(_xlfn.MAXIFS(Table1[Sl No],Table1[Category],Table1[[#This Row],[Category]],Table1[Execution Year],Table1[[#This Row],[Execution Year]])=Table1[[#This Row],[Sl No]],TRUE,FALSE)</f>
        <v>0</v>
      </c>
      <c r="BV224" s="201">
        <f>SUM(Table1[[#This Row],[Spend - CAN]:[Spend - Sams]])+SUM(Table1[[#This Row],[Spend - Sams Mexico]:[Spend - Sams China]])+Table1[[#This Row],[Spend - IND]]</f>
        <v>250823965.13</v>
      </c>
      <c r="BW224">
        <f>SUM(Table1[[#This Row],[Savings - CAN]:[Savings - Sams]])+SUM(Table1[[#This Row],[Savings - Sams Mexico]:[Savings - Sams China]])+Table1[[#This Row],[Savings - IND]]</f>
        <v>0</v>
      </c>
      <c r="BX224">
        <f>SUM(Table1[[#This Row],[Spend - CAN]:[Spend - SAF]])+SUM(Table1[[#This Row],[Spend - Sams Mexico]:[Spend - Sams China]])+Table1[[#This Row],[Spend - IND]]</f>
        <v>3686965.13</v>
      </c>
      <c r="BY224">
        <f>SUM(Table1[[#This Row],[Savings - CAN]:[Savings - SAF]])+SUM(Table1[[#This Row],[Savings - Sams Mexico]:[Savings - Sams China]])+Table1[[#This Row],[Savings - IND]]</f>
        <v>0</v>
      </c>
      <c r="BZ224">
        <f>SUM(Table1[[#This Row],[Spend - US]:[Spend - Sams]])</f>
        <v>247137000</v>
      </c>
      <c r="CA224">
        <f>SUM(Table1[[#This Row],[Savings - US]:[Savings - Sams]])</f>
        <v>0</v>
      </c>
      <c r="CB224">
        <f>SUM(Table1[[#This Row],[Cost Avoidance - CAN2]:[Cost Avoidance - SAF10]])+SUM(Table1[[#This Row],[Cost Avoidance - Sams Mexico]:[Cost Avoidance - Sams China]])+Table1[[#This Row],[Cost Avoidance - IND]]</f>
        <v>0</v>
      </c>
      <c r="CC224">
        <f>SUM(Table1[[#This Row],[Cost Avoidance - US11]:[Cost Avoidance - Sams12]])</f>
        <v>0</v>
      </c>
      <c r="CD224" t="str">
        <f>_xlfn.XLOOKUP(Table1[[#This Row],[Status]],Status_Lookups[Status],Status_Lookups[Value],"")</f>
        <v/>
      </c>
    </row>
    <row r="225" spans="1:82">
      <c r="A225">
        <v>7</v>
      </c>
      <c r="B225" t="s">
        <v>468</v>
      </c>
      <c r="C225" t="s">
        <v>43</v>
      </c>
      <c r="D225" t="s">
        <v>39</v>
      </c>
      <c r="E225" s="15">
        <v>44228</v>
      </c>
      <c r="F225" s="15">
        <v>44348</v>
      </c>
      <c r="G225" s="15"/>
      <c r="H225" s="15"/>
      <c r="I225" t="s">
        <v>655</v>
      </c>
      <c r="J225" t="s">
        <v>633</v>
      </c>
      <c r="K225" t="s">
        <v>445</v>
      </c>
      <c r="L225" t="s">
        <v>445</v>
      </c>
      <c r="M225">
        <v>842790</v>
      </c>
      <c r="N225">
        <v>0</v>
      </c>
      <c r="O225">
        <v>0</v>
      </c>
      <c r="P225">
        <v>70352</v>
      </c>
      <c r="Q225">
        <v>0</v>
      </c>
      <c r="R225">
        <v>395865.13</v>
      </c>
      <c r="S225">
        <v>444125</v>
      </c>
      <c r="T225">
        <v>1635482</v>
      </c>
      <c r="U225">
        <v>0</v>
      </c>
      <c r="V225">
        <v>73560000</v>
      </c>
      <c r="W225">
        <v>173577000</v>
      </c>
      <c r="X225" t="s">
        <v>78</v>
      </c>
      <c r="Y225" s="16">
        <v>44229.690072685182</v>
      </c>
      <c r="Z225" s="17" t="str">
        <f>_xlfn.XLOOKUP(Table1[[#This Row],[Phase]],'Lookup tables'!$Y$27:$Y$60,'Lookup tables'!$Z$27:$Z$60,"Not Updated")</f>
        <v>Market objectives aligned</v>
      </c>
      <c r="AA225" s="17" t="s">
        <v>654</v>
      </c>
      <c r="AB225">
        <v>0</v>
      </c>
      <c r="AC225">
        <v>0</v>
      </c>
      <c r="AD225">
        <v>0</v>
      </c>
      <c r="AE225">
        <v>0</v>
      </c>
      <c r="AF225">
        <v>0</v>
      </c>
      <c r="AG225">
        <v>0</v>
      </c>
      <c r="AH225">
        <v>0</v>
      </c>
      <c r="AI225">
        <v>0</v>
      </c>
      <c r="AJ225">
        <v>0</v>
      </c>
      <c r="AK225">
        <v>0</v>
      </c>
      <c r="AL225">
        <v>0</v>
      </c>
      <c r="BG225" s="185"/>
      <c r="BH225" s="185"/>
      <c r="BI225" s="185"/>
      <c r="BJ225" s="185"/>
      <c r="BK225" s="185"/>
      <c r="BL225" s="185"/>
      <c r="BM225" s="185"/>
      <c r="BN225" s="185"/>
      <c r="BO225" s="185"/>
      <c r="BP225" s="185"/>
      <c r="BQ225" s="185"/>
      <c r="BR225" s="185"/>
      <c r="BS225" s="185"/>
      <c r="BT225" s="185"/>
      <c r="BU225" t="b">
        <f>IF(_xlfn.MAXIFS(Table1[Sl No],Table1[Category],Table1[[#This Row],[Category]],Table1[Execution Year],Table1[[#This Row],[Execution Year]])=Table1[[#This Row],[Sl No]],TRUE,FALSE)</f>
        <v>0</v>
      </c>
      <c r="BV225" s="201">
        <f>SUM(Table1[[#This Row],[Spend - CAN]:[Spend - Sams]])+SUM(Table1[[#This Row],[Spend - Sams Mexico]:[Spend - Sams China]])+Table1[[#This Row],[Spend - IND]]</f>
        <v>250525614.13</v>
      </c>
      <c r="BW225">
        <f>SUM(Table1[[#This Row],[Savings - CAN]:[Savings - Sams]])+SUM(Table1[[#This Row],[Savings - Sams Mexico]:[Savings - Sams China]])+Table1[[#This Row],[Savings - IND]]</f>
        <v>0</v>
      </c>
      <c r="BX225">
        <f>SUM(Table1[[#This Row],[Spend - CAN]:[Spend - SAF]])+SUM(Table1[[#This Row],[Spend - Sams Mexico]:[Spend - Sams China]])+Table1[[#This Row],[Spend - IND]]</f>
        <v>3388614.13</v>
      </c>
      <c r="BY225">
        <f>SUM(Table1[[#This Row],[Savings - CAN]:[Savings - SAF]])+SUM(Table1[[#This Row],[Savings - Sams Mexico]:[Savings - Sams China]])+Table1[[#This Row],[Savings - IND]]</f>
        <v>0</v>
      </c>
      <c r="BZ225">
        <f>SUM(Table1[[#This Row],[Spend - US]:[Spend - Sams]])</f>
        <v>247137000</v>
      </c>
      <c r="CA225">
        <f>SUM(Table1[[#This Row],[Savings - US]:[Savings - Sams]])</f>
        <v>0</v>
      </c>
      <c r="CB225">
        <f>SUM(Table1[[#This Row],[Cost Avoidance - CAN2]:[Cost Avoidance - SAF10]])+SUM(Table1[[#This Row],[Cost Avoidance - Sams Mexico]:[Cost Avoidance - Sams China]])+Table1[[#This Row],[Cost Avoidance - IND]]</f>
        <v>0</v>
      </c>
      <c r="CC225">
        <f>SUM(Table1[[#This Row],[Cost Avoidance - US11]:[Cost Avoidance - Sams12]])</f>
        <v>0</v>
      </c>
      <c r="CD225" t="str">
        <f>_xlfn.XLOOKUP(Table1[[#This Row],[Status]],Status_Lookups[Status],Status_Lookups[Value],"")</f>
        <v/>
      </c>
    </row>
    <row r="226" spans="1:82">
      <c r="A226">
        <v>8</v>
      </c>
      <c r="B226" t="s">
        <v>468</v>
      </c>
      <c r="C226" t="s">
        <v>43</v>
      </c>
      <c r="D226" t="s">
        <v>39</v>
      </c>
      <c r="E226" s="15">
        <v>44228</v>
      </c>
      <c r="F226" s="15">
        <v>44386</v>
      </c>
      <c r="G226" s="15">
        <v>0</v>
      </c>
      <c r="H226" s="15">
        <v>0</v>
      </c>
      <c r="I226" t="s">
        <v>656</v>
      </c>
      <c r="J226" t="s">
        <v>633</v>
      </c>
      <c r="K226" t="s">
        <v>445</v>
      </c>
      <c r="L226" t="s">
        <v>445</v>
      </c>
      <c r="M226">
        <v>842790</v>
      </c>
      <c r="N226">
        <v>0</v>
      </c>
      <c r="O226">
        <v>0</v>
      </c>
      <c r="P226">
        <v>70352</v>
      </c>
      <c r="Q226">
        <v>0</v>
      </c>
      <c r="R226">
        <v>0</v>
      </c>
      <c r="S226">
        <v>444125</v>
      </c>
      <c r="T226">
        <v>1900000</v>
      </c>
      <c r="U226">
        <v>0</v>
      </c>
      <c r="V226">
        <v>457000000</v>
      </c>
      <c r="W226">
        <v>173577000</v>
      </c>
      <c r="X226" t="s">
        <v>78</v>
      </c>
      <c r="Y226" s="16">
        <v>44242.462019675928</v>
      </c>
      <c r="Z226" s="17" t="str">
        <f>_xlfn.XLOOKUP(Table1[[#This Row],[Phase]],'Lookup tables'!$Y$27:$Y$60,'Lookup tables'!$Z$27:$Z$60,"Not Updated")</f>
        <v>Data collection complete</v>
      </c>
      <c r="AA226" s="17" t="s">
        <v>657</v>
      </c>
      <c r="AB226">
        <v>0</v>
      </c>
      <c r="AC226">
        <v>0</v>
      </c>
      <c r="AD226">
        <v>0</v>
      </c>
      <c r="AE226">
        <v>0</v>
      </c>
      <c r="AF226">
        <v>0</v>
      </c>
      <c r="AG226">
        <v>0</v>
      </c>
      <c r="AH226">
        <v>0</v>
      </c>
      <c r="AI226">
        <v>0</v>
      </c>
      <c r="AJ226">
        <v>0</v>
      </c>
      <c r="AK226">
        <v>0</v>
      </c>
      <c r="AL226">
        <v>0</v>
      </c>
      <c r="BG226" s="185"/>
      <c r="BH226" s="185"/>
      <c r="BI226" s="185"/>
      <c r="BJ226" s="185"/>
      <c r="BK226" s="185"/>
      <c r="BL226" s="185"/>
      <c r="BM226" s="185"/>
      <c r="BN226" s="185"/>
      <c r="BO226" s="185"/>
      <c r="BP226" s="185"/>
      <c r="BQ226" s="185"/>
      <c r="BR226" s="185"/>
      <c r="BS226" s="185"/>
      <c r="BT226" s="185"/>
      <c r="BU226" t="b">
        <f>IF(_xlfn.MAXIFS(Table1[Sl No],Table1[Category],Table1[[#This Row],[Category]],Table1[Execution Year],Table1[[#This Row],[Execution Year]])=Table1[[#This Row],[Sl No]],TRUE,FALSE)</f>
        <v>0</v>
      </c>
      <c r="BV226" s="201">
        <f>SUM(Table1[[#This Row],[Spend - CAN]:[Spend - Sams]])+SUM(Table1[[#This Row],[Spend - Sams Mexico]:[Spend - Sams China]])+Table1[[#This Row],[Spend - IND]]</f>
        <v>633834267</v>
      </c>
      <c r="BW226">
        <f>SUM(Table1[[#This Row],[Savings - CAN]:[Savings - Sams]])+SUM(Table1[[#This Row],[Savings - Sams Mexico]:[Savings - Sams China]])+Table1[[#This Row],[Savings - IND]]</f>
        <v>0</v>
      </c>
      <c r="BX226">
        <f>SUM(Table1[[#This Row],[Spend - CAN]:[Spend - SAF]])+SUM(Table1[[#This Row],[Spend - Sams Mexico]:[Spend - Sams China]])+Table1[[#This Row],[Spend - IND]]</f>
        <v>3257267</v>
      </c>
      <c r="BY226">
        <f>SUM(Table1[[#This Row],[Savings - CAN]:[Savings - SAF]])+SUM(Table1[[#This Row],[Savings - Sams Mexico]:[Savings - Sams China]])+Table1[[#This Row],[Savings - IND]]</f>
        <v>0</v>
      </c>
      <c r="BZ226">
        <f>SUM(Table1[[#This Row],[Spend - US]:[Spend - Sams]])</f>
        <v>630577000</v>
      </c>
      <c r="CA226">
        <f>SUM(Table1[[#This Row],[Savings - US]:[Savings - Sams]])</f>
        <v>0</v>
      </c>
      <c r="CB226">
        <f>SUM(Table1[[#This Row],[Cost Avoidance - CAN2]:[Cost Avoidance - SAF10]])+SUM(Table1[[#This Row],[Cost Avoidance - Sams Mexico]:[Cost Avoidance - Sams China]])+Table1[[#This Row],[Cost Avoidance - IND]]</f>
        <v>0</v>
      </c>
      <c r="CC226">
        <f>SUM(Table1[[#This Row],[Cost Avoidance - US11]:[Cost Avoidance - Sams12]])</f>
        <v>0</v>
      </c>
      <c r="CD226" t="str">
        <f>_xlfn.XLOOKUP(Table1[[#This Row],[Status]],Status_Lookups[Status],Status_Lookups[Value],"")</f>
        <v/>
      </c>
    </row>
    <row r="227" spans="1:82">
      <c r="A227">
        <v>9</v>
      </c>
      <c r="B227" t="s">
        <v>468</v>
      </c>
      <c r="C227" t="s">
        <v>43</v>
      </c>
      <c r="D227" t="s">
        <v>39</v>
      </c>
      <c r="E227" s="15">
        <v>44228</v>
      </c>
      <c r="F227" s="15">
        <v>44386</v>
      </c>
      <c r="G227" s="15"/>
      <c r="H227" s="15"/>
      <c r="I227" t="s">
        <v>656</v>
      </c>
      <c r="J227" t="s">
        <v>633</v>
      </c>
      <c r="K227" t="s">
        <v>445</v>
      </c>
      <c r="L227" t="s">
        <v>445</v>
      </c>
      <c r="M227">
        <v>842790</v>
      </c>
      <c r="N227">
        <v>0</v>
      </c>
      <c r="O227">
        <v>0</v>
      </c>
      <c r="P227">
        <v>70352</v>
      </c>
      <c r="Q227">
        <v>0</v>
      </c>
      <c r="R227">
        <v>0</v>
      </c>
      <c r="S227">
        <v>444125</v>
      </c>
      <c r="T227">
        <v>1900000</v>
      </c>
      <c r="U227">
        <v>0</v>
      </c>
      <c r="V227">
        <v>531000000</v>
      </c>
      <c r="W227">
        <v>173577000</v>
      </c>
      <c r="X227" t="s">
        <v>97</v>
      </c>
      <c r="Y227" s="16">
        <v>44250.370861342592</v>
      </c>
      <c r="Z227" s="17" t="str">
        <f>_xlfn.XLOOKUP(Table1[[#This Row],[Phase]],'Lookup tables'!$Y$27:$Y$60,'Lookup tables'!$Z$27:$Z$60,"Not Updated")</f>
        <v>Data collection complete</v>
      </c>
      <c r="AA227" s="17" t="s">
        <v>658</v>
      </c>
      <c r="AB227">
        <v>0</v>
      </c>
      <c r="AC227">
        <v>0</v>
      </c>
      <c r="AD227">
        <v>0</v>
      </c>
      <c r="AE227">
        <v>0</v>
      </c>
      <c r="AF227">
        <v>0</v>
      </c>
      <c r="AG227">
        <v>0</v>
      </c>
      <c r="AH227">
        <v>0</v>
      </c>
      <c r="AI227">
        <v>0</v>
      </c>
      <c r="AJ227">
        <v>0</v>
      </c>
      <c r="AK227">
        <v>0</v>
      </c>
      <c r="AL227">
        <v>0</v>
      </c>
      <c r="AM227">
        <v>0</v>
      </c>
      <c r="AN227">
        <v>0</v>
      </c>
      <c r="AO227">
        <v>0</v>
      </c>
      <c r="AP227">
        <v>0</v>
      </c>
      <c r="AQ227">
        <v>0</v>
      </c>
      <c r="AR227">
        <v>0</v>
      </c>
      <c r="AS227">
        <v>0</v>
      </c>
      <c r="AT227">
        <v>0</v>
      </c>
      <c r="AU227">
        <v>0</v>
      </c>
      <c r="AV227">
        <v>0</v>
      </c>
      <c r="AW227">
        <v>0</v>
      </c>
      <c r="BG227" s="185"/>
      <c r="BH227" s="185"/>
      <c r="BI227" s="185"/>
      <c r="BJ227" s="185"/>
      <c r="BK227" s="185"/>
      <c r="BL227" s="185"/>
      <c r="BM227" s="185"/>
      <c r="BN227" s="185"/>
      <c r="BO227" s="185"/>
      <c r="BP227" s="185"/>
      <c r="BQ227" s="185"/>
      <c r="BR227" s="185"/>
      <c r="BS227" s="185"/>
      <c r="BT227" s="185"/>
      <c r="BU227" t="b">
        <f>IF(_xlfn.MAXIFS(Table1[Sl No],Table1[Category],Table1[[#This Row],[Category]],Table1[Execution Year],Table1[[#This Row],[Execution Year]])=Table1[[#This Row],[Sl No]],TRUE,FALSE)</f>
        <v>0</v>
      </c>
      <c r="BV227" s="201">
        <f>SUM(Table1[[#This Row],[Spend - CAN]:[Spend - Sams]])+SUM(Table1[[#This Row],[Spend - Sams Mexico]:[Spend - Sams China]])+Table1[[#This Row],[Spend - IND]]</f>
        <v>707834267</v>
      </c>
      <c r="BW227">
        <f>SUM(Table1[[#This Row],[Savings - CAN]:[Savings - Sams]])+SUM(Table1[[#This Row],[Savings - Sams Mexico]:[Savings - Sams China]])+Table1[[#This Row],[Savings - IND]]</f>
        <v>0</v>
      </c>
      <c r="BX227">
        <f>SUM(Table1[[#This Row],[Spend - CAN]:[Spend - SAF]])+SUM(Table1[[#This Row],[Spend - Sams Mexico]:[Spend - Sams China]])+Table1[[#This Row],[Spend - IND]]</f>
        <v>3257267</v>
      </c>
      <c r="BY227">
        <f>SUM(Table1[[#This Row],[Savings - CAN]:[Savings - SAF]])+SUM(Table1[[#This Row],[Savings - Sams Mexico]:[Savings - Sams China]])+Table1[[#This Row],[Savings - IND]]</f>
        <v>0</v>
      </c>
      <c r="BZ227">
        <f>SUM(Table1[[#This Row],[Spend - US]:[Spend - Sams]])</f>
        <v>704577000</v>
      </c>
      <c r="CA227">
        <f>SUM(Table1[[#This Row],[Savings - US]:[Savings - Sams]])</f>
        <v>0</v>
      </c>
      <c r="CB227">
        <f>SUM(Table1[[#This Row],[Cost Avoidance - CAN2]:[Cost Avoidance - SAF10]])+SUM(Table1[[#This Row],[Cost Avoidance - Sams Mexico]:[Cost Avoidance - Sams China]])+Table1[[#This Row],[Cost Avoidance - IND]]</f>
        <v>0</v>
      </c>
      <c r="CC227">
        <f>SUM(Table1[[#This Row],[Cost Avoidance - US11]:[Cost Avoidance - Sams12]])</f>
        <v>0</v>
      </c>
      <c r="CD227" t="str">
        <f>_xlfn.XLOOKUP(Table1[[#This Row],[Status]],Status_Lookups[Status],Status_Lookups[Value],"")</f>
        <v/>
      </c>
    </row>
    <row r="228" spans="1:82">
      <c r="A228">
        <v>10</v>
      </c>
      <c r="B228" t="s">
        <v>468</v>
      </c>
      <c r="C228" t="s">
        <v>43</v>
      </c>
      <c r="D228" t="s">
        <v>39</v>
      </c>
      <c r="E228" s="15">
        <v>44228</v>
      </c>
      <c r="F228" s="15">
        <v>44386</v>
      </c>
      <c r="G228" s="15">
        <v>44256</v>
      </c>
      <c r="H228" s="15"/>
      <c r="I228" t="s">
        <v>656</v>
      </c>
      <c r="J228" t="s">
        <v>633</v>
      </c>
      <c r="K228" t="s">
        <v>445</v>
      </c>
      <c r="L228" t="s">
        <v>445</v>
      </c>
      <c r="M228">
        <v>842790</v>
      </c>
      <c r="N228">
        <v>0</v>
      </c>
      <c r="O228">
        <v>0</v>
      </c>
      <c r="P228">
        <v>70352</v>
      </c>
      <c r="Q228">
        <v>0</v>
      </c>
      <c r="R228">
        <v>0</v>
      </c>
      <c r="S228">
        <v>444125</v>
      </c>
      <c r="T228">
        <v>1900000</v>
      </c>
      <c r="U228">
        <v>0</v>
      </c>
      <c r="V228">
        <v>531000000</v>
      </c>
      <c r="W228">
        <v>173577000</v>
      </c>
      <c r="X228" t="s">
        <v>97</v>
      </c>
      <c r="Y228" s="16">
        <v>44257.371767129633</v>
      </c>
      <c r="Z228" s="17" t="str">
        <f>_xlfn.XLOOKUP(Table1[[#This Row],[Phase]],'Lookup tables'!$Y$27:$Y$60,'Lookup tables'!$Z$27:$Z$60,"Not Updated")</f>
        <v>Data collection complete</v>
      </c>
      <c r="AA228" s="17" t="s">
        <v>659</v>
      </c>
      <c r="AB228">
        <v>0</v>
      </c>
      <c r="AC228">
        <v>0</v>
      </c>
      <c r="AD228">
        <v>0</v>
      </c>
      <c r="AE228">
        <v>0</v>
      </c>
      <c r="AF228">
        <v>0</v>
      </c>
      <c r="AG228">
        <v>0</v>
      </c>
      <c r="AH228">
        <v>0</v>
      </c>
      <c r="AI228">
        <v>0</v>
      </c>
      <c r="AJ228">
        <v>0</v>
      </c>
      <c r="AK228">
        <v>0</v>
      </c>
      <c r="AL228">
        <v>0</v>
      </c>
      <c r="AM228">
        <v>0</v>
      </c>
      <c r="AN228">
        <v>0</v>
      </c>
      <c r="AO228">
        <v>0</v>
      </c>
      <c r="AP228">
        <v>0</v>
      </c>
      <c r="AQ228">
        <v>0</v>
      </c>
      <c r="AR228">
        <v>0</v>
      </c>
      <c r="AS228">
        <v>0</v>
      </c>
      <c r="AT228">
        <v>0</v>
      </c>
      <c r="AU228">
        <v>0</v>
      </c>
      <c r="AV228">
        <v>0</v>
      </c>
      <c r="AW228">
        <v>0</v>
      </c>
      <c r="BG228" s="185"/>
      <c r="BH228" s="185"/>
      <c r="BI228" s="185"/>
      <c r="BJ228" s="185"/>
      <c r="BK228" s="185"/>
      <c r="BL228" s="185"/>
      <c r="BM228" s="185"/>
      <c r="BN228" s="185"/>
      <c r="BO228" s="185"/>
      <c r="BP228" s="185"/>
      <c r="BQ228" s="185"/>
      <c r="BR228" s="185"/>
      <c r="BS228" s="185"/>
      <c r="BT228" s="185"/>
      <c r="BU228" t="b">
        <f>IF(_xlfn.MAXIFS(Table1[Sl No],Table1[Category],Table1[[#This Row],[Category]],Table1[Execution Year],Table1[[#This Row],[Execution Year]])=Table1[[#This Row],[Sl No]],TRUE,FALSE)</f>
        <v>0</v>
      </c>
      <c r="BV228" s="201">
        <f>SUM(Table1[[#This Row],[Spend - CAN]:[Spend - Sams]])+SUM(Table1[[#This Row],[Spend - Sams Mexico]:[Spend - Sams China]])+Table1[[#This Row],[Spend - IND]]</f>
        <v>707834267</v>
      </c>
      <c r="BW228">
        <f>SUM(Table1[[#This Row],[Savings - CAN]:[Savings - Sams]])+SUM(Table1[[#This Row],[Savings - Sams Mexico]:[Savings - Sams China]])+Table1[[#This Row],[Savings - IND]]</f>
        <v>0</v>
      </c>
      <c r="BX228">
        <f>SUM(Table1[[#This Row],[Spend - CAN]:[Spend - SAF]])+SUM(Table1[[#This Row],[Spend - Sams Mexico]:[Spend - Sams China]])+Table1[[#This Row],[Spend - IND]]</f>
        <v>3257267</v>
      </c>
      <c r="BY228">
        <f>SUM(Table1[[#This Row],[Savings - CAN]:[Savings - SAF]])+SUM(Table1[[#This Row],[Savings - Sams Mexico]:[Savings - Sams China]])+Table1[[#This Row],[Savings - IND]]</f>
        <v>0</v>
      </c>
      <c r="BZ228">
        <f>SUM(Table1[[#This Row],[Spend - US]:[Spend - Sams]])</f>
        <v>704577000</v>
      </c>
      <c r="CA228">
        <f>SUM(Table1[[#This Row],[Savings - US]:[Savings - Sams]])</f>
        <v>0</v>
      </c>
      <c r="CB228">
        <f>SUM(Table1[[#This Row],[Cost Avoidance - CAN2]:[Cost Avoidance - SAF10]])+SUM(Table1[[#This Row],[Cost Avoidance - Sams Mexico]:[Cost Avoidance - Sams China]])+Table1[[#This Row],[Cost Avoidance - IND]]</f>
        <v>0</v>
      </c>
      <c r="CC228">
        <f>SUM(Table1[[#This Row],[Cost Avoidance - US11]:[Cost Avoidance - Sams12]])</f>
        <v>0</v>
      </c>
      <c r="CD228" t="str">
        <f>_xlfn.XLOOKUP(Table1[[#This Row],[Status]],Status_Lookups[Status],Status_Lookups[Value],"")</f>
        <v/>
      </c>
    </row>
    <row r="229" spans="1:82">
      <c r="A229">
        <v>11</v>
      </c>
      <c r="B229" t="s">
        <v>468</v>
      </c>
      <c r="C229" t="s">
        <v>43</v>
      </c>
      <c r="D229" t="s">
        <v>39</v>
      </c>
      <c r="E229" s="15">
        <v>44228</v>
      </c>
      <c r="F229" s="15">
        <v>44386</v>
      </c>
      <c r="G229" s="15">
        <v>44256</v>
      </c>
      <c r="H229" s="15"/>
      <c r="I229" t="s">
        <v>635</v>
      </c>
      <c r="J229" t="s">
        <v>633</v>
      </c>
      <c r="K229" t="s">
        <v>445</v>
      </c>
      <c r="L229" t="s">
        <v>445</v>
      </c>
      <c r="M229">
        <v>842790</v>
      </c>
      <c r="N229">
        <v>0</v>
      </c>
      <c r="O229">
        <v>0</v>
      </c>
      <c r="P229">
        <v>70352</v>
      </c>
      <c r="Q229">
        <v>0</v>
      </c>
      <c r="R229">
        <v>0</v>
      </c>
      <c r="S229">
        <v>444125</v>
      </c>
      <c r="T229">
        <v>1900000</v>
      </c>
      <c r="U229">
        <v>0</v>
      </c>
      <c r="V229">
        <v>531000000</v>
      </c>
      <c r="W229">
        <v>173577000</v>
      </c>
      <c r="X229" t="s">
        <v>97</v>
      </c>
      <c r="Y229" s="16">
        <v>44259.422777662039</v>
      </c>
      <c r="Z229" s="17" t="str">
        <f>_xlfn.XLOOKUP(Table1[[#This Row],[Phase]],'Lookup tables'!$Y$27:$Y$60,'Lookup tables'!$Z$27:$Z$60,"Not Updated")</f>
        <v>RFPX underway</v>
      </c>
      <c r="AA229" s="17" t="s">
        <v>659</v>
      </c>
      <c r="AB229">
        <v>0</v>
      </c>
      <c r="AC229">
        <v>0</v>
      </c>
      <c r="AD229">
        <v>0</v>
      </c>
      <c r="AE229">
        <v>0</v>
      </c>
      <c r="AF229">
        <v>0</v>
      </c>
      <c r="AG229">
        <v>0</v>
      </c>
      <c r="AH229">
        <v>0</v>
      </c>
      <c r="AI229">
        <v>0</v>
      </c>
      <c r="AJ229">
        <v>0</v>
      </c>
      <c r="AK229">
        <v>0</v>
      </c>
      <c r="AL229">
        <v>0</v>
      </c>
      <c r="AM229">
        <v>0</v>
      </c>
      <c r="AN229">
        <v>0</v>
      </c>
      <c r="AO229">
        <v>0</v>
      </c>
      <c r="AP229">
        <v>0</v>
      </c>
      <c r="AQ229">
        <v>0</v>
      </c>
      <c r="AR229">
        <v>0</v>
      </c>
      <c r="AS229">
        <v>0</v>
      </c>
      <c r="AT229">
        <v>0</v>
      </c>
      <c r="AU229">
        <v>0</v>
      </c>
      <c r="AV229">
        <v>0</v>
      </c>
      <c r="AW229">
        <v>0</v>
      </c>
      <c r="BG229" s="185"/>
      <c r="BH229" s="185"/>
      <c r="BI229" s="185"/>
      <c r="BJ229" s="185"/>
      <c r="BK229" s="185"/>
      <c r="BL229" s="185"/>
      <c r="BM229" s="185"/>
      <c r="BN229" s="185"/>
      <c r="BO229" s="185"/>
      <c r="BP229" s="185"/>
      <c r="BQ229" s="185"/>
      <c r="BR229" s="185"/>
      <c r="BS229" s="185"/>
      <c r="BT229" s="185"/>
      <c r="BU229" t="b">
        <f>IF(_xlfn.MAXIFS(Table1[Sl No],Table1[Category],Table1[[#This Row],[Category]],Table1[Execution Year],Table1[[#This Row],[Execution Year]])=Table1[[#This Row],[Sl No]],TRUE,FALSE)</f>
        <v>0</v>
      </c>
      <c r="BV229" s="201">
        <f>SUM(Table1[[#This Row],[Spend - CAN]:[Spend - Sams]])+SUM(Table1[[#This Row],[Spend - Sams Mexico]:[Spend - Sams China]])+Table1[[#This Row],[Spend - IND]]</f>
        <v>707834267</v>
      </c>
      <c r="BW229">
        <f>SUM(Table1[[#This Row],[Savings - CAN]:[Savings - Sams]])+SUM(Table1[[#This Row],[Savings - Sams Mexico]:[Savings - Sams China]])+Table1[[#This Row],[Savings - IND]]</f>
        <v>0</v>
      </c>
      <c r="BX229">
        <f>SUM(Table1[[#This Row],[Spend - CAN]:[Spend - SAF]])+SUM(Table1[[#This Row],[Spend - Sams Mexico]:[Spend - Sams China]])+Table1[[#This Row],[Spend - IND]]</f>
        <v>3257267</v>
      </c>
      <c r="BY229">
        <f>SUM(Table1[[#This Row],[Savings - CAN]:[Savings - SAF]])+SUM(Table1[[#This Row],[Savings - Sams Mexico]:[Savings - Sams China]])+Table1[[#This Row],[Savings - IND]]</f>
        <v>0</v>
      </c>
      <c r="BZ229">
        <f>SUM(Table1[[#This Row],[Spend - US]:[Spend - Sams]])</f>
        <v>704577000</v>
      </c>
      <c r="CA229">
        <f>SUM(Table1[[#This Row],[Savings - US]:[Savings - Sams]])</f>
        <v>0</v>
      </c>
      <c r="CB229">
        <f>SUM(Table1[[#This Row],[Cost Avoidance - CAN2]:[Cost Avoidance - SAF10]])+SUM(Table1[[#This Row],[Cost Avoidance - Sams Mexico]:[Cost Avoidance - Sams China]])+Table1[[#This Row],[Cost Avoidance - IND]]</f>
        <v>0</v>
      </c>
      <c r="CC229">
        <f>SUM(Table1[[#This Row],[Cost Avoidance - US11]:[Cost Avoidance - Sams12]])</f>
        <v>0</v>
      </c>
      <c r="CD229" t="str">
        <f>_xlfn.XLOOKUP(Table1[[#This Row],[Status]],Status_Lookups[Status],Status_Lookups[Value],"")</f>
        <v/>
      </c>
    </row>
    <row r="230" spans="1:82">
      <c r="A230">
        <v>12</v>
      </c>
      <c r="B230" t="s">
        <v>468</v>
      </c>
      <c r="C230" t="s">
        <v>43</v>
      </c>
      <c r="D230" t="s">
        <v>39</v>
      </c>
      <c r="E230" s="15">
        <v>44228</v>
      </c>
      <c r="F230" s="15">
        <v>44386</v>
      </c>
      <c r="G230" s="15">
        <v>44256</v>
      </c>
      <c r="H230" s="15"/>
      <c r="I230" t="s">
        <v>635</v>
      </c>
      <c r="J230" t="s">
        <v>459</v>
      </c>
      <c r="K230" t="s">
        <v>445</v>
      </c>
      <c r="L230" t="s">
        <v>445</v>
      </c>
      <c r="M230">
        <v>842790</v>
      </c>
      <c r="N230">
        <v>0</v>
      </c>
      <c r="O230">
        <v>0</v>
      </c>
      <c r="P230">
        <v>70352</v>
      </c>
      <c r="Q230">
        <v>0</v>
      </c>
      <c r="R230">
        <v>0</v>
      </c>
      <c r="S230">
        <v>444125</v>
      </c>
      <c r="T230">
        <v>1900000</v>
      </c>
      <c r="U230">
        <v>0</v>
      </c>
      <c r="V230">
        <v>531000000</v>
      </c>
      <c r="W230">
        <v>173577000</v>
      </c>
      <c r="X230" t="s">
        <v>445</v>
      </c>
      <c r="Y230" s="16">
        <v>44302.643766782407</v>
      </c>
      <c r="Z230" s="17" t="str">
        <f>_xlfn.XLOOKUP(Table1[[#This Row],[Phase]],'Lookup tables'!$Y$27:$Y$60,'Lookup tables'!$Z$27:$Z$60,"Not Updated")</f>
        <v>RFPX underway</v>
      </c>
      <c r="AA230" s="17" t="s">
        <v>659</v>
      </c>
      <c r="AB230">
        <v>0</v>
      </c>
      <c r="AC230">
        <v>0</v>
      </c>
      <c r="AD230">
        <v>0</v>
      </c>
      <c r="AE230">
        <v>0</v>
      </c>
      <c r="AF230">
        <v>0</v>
      </c>
      <c r="AG230">
        <v>0</v>
      </c>
      <c r="AH230">
        <v>0</v>
      </c>
      <c r="AI230">
        <v>0</v>
      </c>
      <c r="AJ230">
        <v>0</v>
      </c>
      <c r="AK230">
        <v>0</v>
      </c>
      <c r="AL230">
        <v>0</v>
      </c>
      <c r="AM230">
        <v>0</v>
      </c>
      <c r="AN230">
        <v>0</v>
      </c>
      <c r="AO230">
        <v>0</v>
      </c>
      <c r="AP230">
        <v>0</v>
      </c>
      <c r="AQ230">
        <v>0</v>
      </c>
      <c r="AR230">
        <v>0</v>
      </c>
      <c r="AS230">
        <v>0</v>
      </c>
      <c r="AT230">
        <v>0</v>
      </c>
      <c r="AU230">
        <v>0</v>
      </c>
      <c r="AV230">
        <v>0</v>
      </c>
      <c r="AW230">
        <v>0</v>
      </c>
      <c r="BG230" s="185"/>
      <c r="BH230" s="185"/>
      <c r="BI230" s="185"/>
      <c r="BJ230" s="185"/>
      <c r="BK230" s="185"/>
      <c r="BL230" s="185"/>
      <c r="BM230" s="185"/>
      <c r="BN230" s="185"/>
      <c r="BO230" s="185"/>
      <c r="BP230" s="185"/>
      <c r="BQ230" s="185"/>
      <c r="BR230" s="185"/>
      <c r="BS230" s="185"/>
      <c r="BT230" s="185"/>
      <c r="BU230" t="b">
        <f>IF(_xlfn.MAXIFS(Table1[Sl No],Table1[Category],Table1[[#This Row],[Category]],Table1[Execution Year],Table1[[#This Row],[Execution Year]])=Table1[[#This Row],[Sl No]],TRUE,FALSE)</f>
        <v>0</v>
      </c>
      <c r="BV230" s="201">
        <f>SUM(Table1[[#This Row],[Spend - CAN]:[Spend - Sams]])+SUM(Table1[[#This Row],[Spend - Sams Mexico]:[Spend - Sams China]])+Table1[[#This Row],[Spend - IND]]</f>
        <v>707834267</v>
      </c>
      <c r="BW230">
        <f>SUM(Table1[[#This Row],[Savings - CAN]:[Savings - Sams]])+SUM(Table1[[#This Row],[Savings - Sams Mexico]:[Savings - Sams China]])+Table1[[#This Row],[Savings - IND]]</f>
        <v>0</v>
      </c>
      <c r="BX230">
        <f>SUM(Table1[[#This Row],[Spend - CAN]:[Spend - SAF]])+SUM(Table1[[#This Row],[Spend - Sams Mexico]:[Spend - Sams China]])+Table1[[#This Row],[Spend - IND]]</f>
        <v>3257267</v>
      </c>
      <c r="BY230">
        <f>SUM(Table1[[#This Row],[Savings - CAN]:[Savings - SAF]])+SUM(Table1[[#This Row],[Savings - Sams Mexico]:[Savings - Sams China]])+Table1[[#This Row],[Savings - IND]]</f>
        <v>0</v>
      </c>
      <c r="BZ230">
        <f>SUM(Table1[[#This Row],[Spend - US]:[Spend - Sams]])</f>
        <v>704577000</v>
      </c>
      <c r="CA230">
        <f>SUM(Table1[[#This Row],[Savings - US]:[Savings - Sams]])</f>
        <v>0</v>
      </c>
      <c r="CB230">
        <f>SUM(Table1[[#This Row],[Cost Avoidance - CAN2]:[Cost Avoidance - SAF10]])+SUM(Table1[[#This Row],[Cost Avoidance - Sams Mexico]:[Cost Avoidance - Sams China]])+Table1[[#This Row],[Cost Avoidance - IND]]</f>
        <v>0</v>
      </c>
      <c r="CC230">
        <f>SUM(Table1[[#This Row],[Cost Avoidance - US11]:[Cost Avoidance - Sams12]])</f>
        <v>0</v>
      </c>
      <c r="CD230">
        <f>_xlfn.XLOOKUP(Table1[[#This Row],[Status]],Status_Lookups[Status],Status_Lookups[Value],"")</f>
        <v>0.3</v>
      </c>
    </row>
    <row r="231" spans="1:82">
      <c r="A231">
        <v>13</v>
      </c>
      <c r="B231" t="s">
        <v>468</v>
      </c>
      <c r="C231" t="s">
        <v>43</v>
      </c>
      <c r="D231" t="s">
        <v>39</v>
      </c>
      <c r="E231" s="15">
        <v>44228</v>
      </c>
      <c r="F231" s="15">
        <v>44386</v>
      </c>
      <c r="G231" s="15">
        <v>44256</v>
      </c>
      <c r="H231" s="15">
        <v>0</v>
      </c>
      <c r="I231" t="s">
        <v>635</v>
      </c>
      <c r="J231" t="s">
        <v>459</v>
      </c>
      <c r="K231" t="s">
        <v>445</v>
      </c>
      <c r="L231" t="s">
        <v>445</v>
      </c>
      <c r="M231">
        <v>842790</v>
      </c>
      <c r="N231">
        <v>0</v>
      </c>
      <c r="O231">
        <v>0</v>
      </c>
      <c r="P231">
        <v>68602.98</v>
      </c>
      <c r="Q231">
        <v>0</v>
      </c>
      <c r="R231">
        <v>0</v>
      </c>
      <c r="S231">
        <v>444135.5</v>
      </c>
      <c r="T231">
        <v>1635483.14</v>
      </c>
      <c r="U231">
        <v>0</v>
      </c>
      <c r="V231">
        <v>565661332</v>
      </c>
      <c r="W231">
        <v>173577789.83000001</v>
      </c>
      <c r="X231" t="s">
        <v>445</v>
      </c>
      <c r="Y231" s="16">
        <v>44351.381769444444</v>
      </c>
      <c r="Z231" s="17" t="str">
        <f>_xlfn.XLOOKUP(Table1[[#This Row],[Phase]],'Lookup tables'!$Y$27:$Y$60,'Lookup tables'!$Z$27:$Z$60,"Not Updated")</f>
        <v>RFPX underway</v>
      </c>
      <c r="AA231" s="17" t="s">
        <v>660</v>
      </c>
      <c r="AB231">
        <v>0</v>
      </c>
      <c r="AC231">
        <v>0</v>
      </c>
      <c r="AD231">
        <v>0</v>
      </c>
      <c r="AE231">
        <v>0</v>
      </c>
      <c r="AF231">
        <v>0</v>
      </c>
      <c r="AG231">
        <v>0</v>
      </c>
      <c r="AH231">
        <v>0</v>
      </c>
      <c r="AI231">
        <v>0</v>
      </c>
      <c r="AJ231">
        <v>0</v>
      </c>
      <c r="AK231">
        <v>0</v>
      </c>
      <c r="AL231">
        <v>0</v>
      </c>
      <c r="AM231">
        <v>0</v>
      </c>
      <c r="AN231">
        <v>0</v>
      </c>
      <c r="AO231">
        <v>0</v>
      </c>
      <c r="AP231">
        <v>0</v>
      </c>
      <c r="AQ231">
        <v>0</v>
      </c>
      <c r="AR231">
        <v>0</v>
      </c>
      <c r="AS231">
        <v>0</v>
      </c>
      <c r="AT231">
        <v>0</v>
      </c>
      <c r="AU231">
        <v>0</v>
      </c>
      <c r="AV231">
        <v>0</v>
      </c>
      <c r="AW231">
        <v>0</v>
      </c>
      <c r="BG231" s="185"/>
      <c r="BH231" s="185"/>
      <c r="BI231" s="185"/>
      <c r="BJ231" s="185"/>
      <c r="BK231" s="185"/>
      <c r="BL231" s="185"/>
      <c r="BM231" s="185"/>
      <c r="BN231" s="185"/>
      <c r="BO231" s="185"/>
      <c r="BP231" s="185"/>
      <c r="BQ231" s="185"/>
      <c r="BR231" s="185"/>
      <c r="BS231" s="185"/>
      <c r="BT231" s="185"/>
      <c r="BU231" t="b">
        <f>IF(_xlfn.MAXIFS(Table1[Sl No],Table1[Category],Table1[[#This Row],[Category]],Table1[Execution Year],Table1[[#This Row],[Execution Year]])=Table1[[#This Row],[Sl No]],TRUE,FALSE)</f>
        <v>0</v>
      </c>
      <c r="BV231" s="201">
        <f>SUM(Table1[[#This Row],[Spend - CAN]:[Spend - Sams]])+SUM(Table1[[#This Row],[Spend - Sams Mexico]:[Spend - Sams China]])+Table1[[#This Row],[Spend - IND]]</f>
        <v>742230133.45000005</v>
      </c>
      <c r="BW231">
        <f>SUM(Table1[[#This Row],[Savings - CAN]:[Savings - Sams]])+SUM(Table1[[#This Row],[Savings - Sams Mexico]:[Savings - Sams China]])+Table1[[#This Row],[Savings - IND]]</f>
        <v>0</v>
      </c>
      <c r="BX231">
        <f>SUM(Table1[[#This Row],[Spend - CAN]:[Spend - SAF]])+SUM(Table1[[#This Row],[Spend - Sams Mexico]:[Spend - Sams China]])+Table1[[#This Row],[Spend - IND]]</f>
        <v>2991011.62</v>
      </c>
      <c r="BY231">
        <f>SUM(Table1[[#This Row],[Savings - CAN]:[Savings - SAF]])+SUM(Table1[[#This Row],[Savings - Sams Mexico]:[Savings - Sams China]])+Table1[[#This Row],[Savings - IND]]</f>
        <v>0</v>
      </c>
      <c r="BZ231">
        <f>SUM(Table1[[#This Row],[Spend - US]:[Spend - Sams]])</f>
        <v>739239121.83000004</v>
      </c>
      <c r="CA231">
        <f>SUM(Table1[[#This Row],[Savings - US]:[Savings - Sams]])</f>
        <v>0</v>
      </c>
      <c r="CB231">
        <f>SUM(Table1[[#This Row],[Cost Avoidance - CAN2]:[Cost Avoidance - SAF10]])+SUM(Table1[[#This Row],[Cost Avoidance - Sams Mexico]:[Cost Avoidance - Sams China]])+Table1[[#This Row],[Cost Avoidance - IND]]</f>
        <v>0</v>
      </c>
      <c r="CC231">
        <f>SUM(Table1[[#This Row],[Cost Avoidance - US11]:[Cost Avoidance - Sams12]])</f>
        <v>0</v>
      </c>
      <c r="CD231">
        <f>_xlfn.XLOOKUP(Table1[[#This Row],[Status]],Status_Lookups[Status],Status_Lookups[Value],"")</f>
        <v>0.3</v>
      </c>
    </row>
    <row r="232" spans="1:82">
      <c r="A232">
        <v>14</v>
      </c>
      <c r="B232" t="s">
        <v>468</v>
      </c>
      <c r="C232" t="s">
        <v>43</v>
      </c>
      <c r="D232" t="s">
        <v>39</v>
      </c>
      <c r="E232" s="15">
        <v>44228</v>
      </c>
      <c r="F232" s="15">
        <v>44386</v>
      </c>
      <c r="G232" s="15">
        <v>44256</v>
      </c>
      <c r="H232" s="15">
        <v>0</v>
      </c>
      <c r="I232" t="s">
        <v>636</v>
      </c>
      <c r="J232" t="s">
        <v>459</v>
      </c>
      <c r="K232" t="s">
        <v>445</v>
      </c>
      <c r="L232" t="s">
        <v>445</v>
      </c>
      <c r="M232">
        <v>842790</v>
      </c>
      <c r="N232">
        <v>0</v>
      </c>
      <c r="O232">
        <v>0</v>
      </c>
      <c r="P232">
        <v>68602.98</v>
      </c>
      <c r="Q232">
        <v>0</v>
      </c>
      <c r="R232">
        <v>0</v>
      </c>
      <c r="S232">
        <v>444135.5</v>
      </c>
      <c r="T232">
        <v>1635483.14</v>
      </c>
      <c r="U232">
        <v>0</v>
      </c>
      <c r="V232">
        <v>565661332</v>
      </c>
      <c r="W232">
        <v>173577789.83000001</v>
      </c>
      <c r="X232" t="s">
        <v>445</v>
      </c>
      <c r="Y232" s="16">
        <v>44391.524144328701</v>
      </c>
      <c r="Z232" s="17" t="str">
        <f>_xlfn.XLOOKUP(Table1[[#This Row],[Phase]],'Lookup tables'!$Y$27:$Y$60,'Lookup tables'!$Z$27:$Z$60,"Not Updated")</f>
        <v>Award</v>
      </c>
      <c r="AA232" s="17" t="s">
        <v>660</v>
      </c>
      <c r="AB232">
        <v>0</v>
      </c>
      <c r="AC232">
        <v>0</v>
      </c>
      <c r="AD232">
        <v>0</v>
      </c>
      <c r="AE232">
        <v>0</v>
      </c>
      <c r="AF232">
        <v>0</v>
      </c>
      <c r="AG232">
        <v>0</v>
      </c>
      <c r="AH232">
        <v>0</v>
      </c>
      <c r="AI232">
        <v>0</v>
      </c>
      <c r="AJ232">
        <v>0</v>
      </c>
      <c r="AK232">
        <v>0</v>
      </c>
      <c r="AL232">
        <v>0</v>
      </c>
      <c r="AM232">
        <v>0</v>
      </c>
      <c r="AN232">
        <v>0</v>
      </c>
      <c r="AO232">
        <v>0</v>
      </c>
      <c r="AP232">
        <v>0</v>
      </c>
      <c r="AQ232">
        <v>0</v>
      </c>
      <c r="AR232">
        <v>0</v>
      </c>
      <c r="AS232">
        <v>0</v>
      </c>
      <c r="AT232">
        <v>0</v>
      </c>
      <c r="AU232">
        <v>0</v>
      </c>
      <c r="AV232">
        <v>0</v>
      </c>
      <c r="AW232">
        <v>0</v>
      </c>
      <c r="BG232" s="185"/>
      <c r="BH232" s="185"/>
      <c r="BI232" s="185"/>
      <c r="BJ232" s="185"/>
      <c r="BK232" s="185"/>
      <c r="BL232" s="185"/>
      <c r="BM232" s="185"/>
      <c r="BN232" s="185"/>
      <c r="BO232" s="185"/>
      <c r="BP232" s="185"/>
      <c r="BQ232" s="185"/>
      <c r="BR232" s="185"/>
      <c r="BS232" s="185"/>
      <c r="BT232" s="185"/>
      <c r="BU232" t="b">
        <f>IF(_xlfn.MAXIFS(Table1[Sl No],Table1[Category],Table1[[#This Row],[Category]],Table1[Execution Year],Table1[[#This Row],[Execution Year]])=Table1[[#This Row],[Sl No]],TRUE,FALSE)</f>
        <v>0</v>
      </c>
      <c r="BV232" s="201">
        <f>SUM(Table1[[#This Row],[Spend - CAN]:[Spend - Sams]])+SUM(Table1[[#This Row],[Spend - Sams Mexico]:[Spend - Sams China]])+Table1[[#This Row],[Spend - IND]]</f>
        <v>742230133.45000005</v>
      </c>
      <c r="BW232">
        <f>SUM(Table1[[#This Row],[Savings - CAN]:[Savings - Sams]])+SUM(Table1[[#This Row],[Savings - Sams Mexico]:[Savings - Sams China]])+Table1[[#This Row],[Savings - IND]]</f>
        <v>0</v>
      </c>
      <c r="BX232">
        <f>SUM(Table1[[#This Row],[Spend - CAN]:[Spend - SAF]])+SUM(Table1[[#This Row],[Spend - Sams Mexico]:[Spend - Sams China]])+Table1[[#This Row],[Spend - IND]]</f>
        <v>2991011.62</v>
      </c>
      <c r="BY232">
        <f>SUM(Table1[[#This Row],[Savings - CAN]:[Savings - SAF]])+SUM(Table1[[#This Row],[Savings - Sams Mexico]:[Savings - Sams China]])+Table1[[#This Row],[Savings - IND]]</f>
        <v>0</v>
      </c>
      <c r="BZ232">
        <f>SUM(Table1[[#This Row],[Spend - US]:[Spend - Sams]])</f>
        <v>739239121.83000004</v>
      </c>
      <c r="CA232">
        <f>SUM(Table1[[#This Row],[Savings - US]:[Savings - Sams]])</f>
        <v>0</v>
      </c>
      <c r="CB232">
        <f>SUM(Table1[[#This Row],[Cost Avoidance - CAN2]:[Cost Avoidance - SAF10]])+SUM(Table1[[#This Row],[Cost Avoidance - Sams Mexico]:[Cost Avoidance - Sams China]])+Table1[[#This Row],[Cost Avoidance - IND]]</f>
        <v>0</v>
      </c>
      <c r="CC232">
        <f>SUM(Table1[[#This Row],[Cost Avoidance - US11]:[Cost Avoidance - Sams12]])</f>
        <v>0</v>
      </c>
      <c r="CD232">
        <f>_xlfn.XLOOKUP(Table1[[#This Row],[Status]],Status_Lookups[Status],Status_Lookups[Value],"")</f>
        <v>0.3</v>
      </c>
    </row>
    <row r="233" spans="1:82">
      <c r="A233">
        <v>15</v>
      </c>
      <c r="B233" t="s">
        <v>468</v>
      </c>
      <c r="C233" t="s">
        <v>43</v>
      </c>
      <c r="D233" t="s">
        <v>39</v>
      </c>
      <c r="E233" s="15">
        <v>44228</v>
      </c>
      <c r="F233" s="15">
        <v>44386</v>
      </c>
      <c r="G233" s="15">
        <v>44256</v>
      </c>
      <c r="H233" s="15">
        <v>0</v>
      </c>
      <c r="I233" t="s">
        <v>636</v>
      </c>
      <c r="J233" t="s">
        <v>459</v>
      </c>
      <c r="K233" t="s">
        <v>445</v>
      </c>
      <c r="L233" t="s">
        <v>445</v>
      </c>
      <c r="M233">
        <v>911351</v>
      </c>
      <c r="N233">
        <v>0</v>
      </c>
      <c r="O233">
        <v>0</v>
      </c>
      <c r="P233">
        <v>68602.98</v>
      </c>
      <c r="Q233">
        <v>0</v>
      </c>
      <c r="R233">
        <v>0</v>
      </c>
      <c r="S233">
        <v>444135.5</v>
      </c>
      <c r="T233">
        <v>1635483.14</v>
      </c>
      <c r="U233">
        <v>0</v>
      </c>
      <c r="V233">
        <v>609860236</v>
      </c>
      <c r="W233">
        <v>173577789.83000001</v>
      </c>
      <c r="X233" t="s">
        <v>78</v>
      </c>
      <c r="Y233" s="16">
        <v>44403.40163472222</v>
      </c>
      <c r="Z233" s="17" t="str">
        <f>_xlfn.XLOOKUP(Table1[[#This Row],[Phase]],'Lookup tables'!$Y$27:$Y$60,'Lookup tables'!$Z$27:$Z$60,"Not Updated")</f>
        <v>Award</v>
      </c>
      <c r="AA233" s="17" t="s">
        <v>660</v>
      </c>
      <c r="AB233">
        <v>0</v>
      </c>
      <c r="AC233">
        <v>0</v>
      </c>
      <c r="AD233">
        <v>0</v>
      </c>
      <c r="AE233">
        <v>0</v>
      </c>
      <c r="AF233">
        <v>0</v>
      </c>
      <c r="AG233">
        <v>0</v>
      </c>
      <c r="AH233">
        <v>0</v>
      </c>
      <c r="AI233">
        <v>0</v>
      </c>
      <c r="AJ233">
        <v>0</v>
      </c>
      <c r="AK233">
        <v>0</v>
      </c>
      <c r="AL233">
        <v>0</v>
      </c>
      <c r="AM233">
        <v>0</v>
      </c>
      <c r="AN233">
        <v>0</v>
      </c>
      <c r="AO233">
        <v>0</v>
      </c>
      <c r="AP233">
        <v>0</v>
      </c>
      <c r="AQ233">
        <v>0</v>
      </c>
      <c r="AR233">
        <v>0</v>
      </c>
      <c r="AS233">
        <v>0</v>
      </c>
      <c r="AT233">
        <v>0</v>
      </c>
      <c r="AU233">
        <v>0</v>
      </c>
      <c r="AV233">
        <v>0</v>
      </c>
      <c r="AW233">
        <v>0</v>
      </c>
      <c r="BG233" s="185"/>
      <c r="BH233" s="185"/>
      <c r="BI233" s="185"/>
      <c r="BJ233" s="185"/>
      <c r="BK233" s="185"/>
      <c r="BL233" s="185"/>
      <c r="BM233" s="185"/>
      <c r="BN233" s="185"/>
      <c r="BO233" s="185"/>
      <c r="BP233" s="185"/>
      <c r="BQ233" s="185"/>
      <c r="BR233" s="185"/>
      <c r="BS233" s="185"/>
      <c r="BT233" s="185"/>
      <c r="BU233" t="b">
        <f>IF(_xlfn.MAXIFS(Table1[Sl No],Table1[Category],Table1[[#This Row],[Category]],Table1[Execution Year],Table1[[#This Row],[Execution Year]])=Table1[[#This Row],[Sl No]],TRUE,FALSE)</f>
        <v>0</v>
      </c>
      <c r="BV233" s="201">
        <f>SUM(Table1[[#This Row],[Spend - CAN]:[Spend - Sams]])+SUM(Table1[[#This Row],[Spend - Sams Mexico]:[Spend - Sams China]])+Table1[[#This Row],[Spend - IND]]</f>
        <v>786497598.45000005</v>
      </c>
      <c r="BW233">
        <f>SUM(Table1[[#This Row],[Savings - CAN]:[Savings - Sams]])+SUM(Table1[[#This Row],[Savings - Sams Mexico]:[Savings - Sams China]])+Table1[[#This Row],[Savings - IND]]</f>
        <v>0</v>
      </c>
      <c r="BX233">
        <f>SUM(Table1[[#This Row],[Spend - CAN]:[Spend - SAF]])+SUM(Table1[[#This Row],[Spend - Sams Mexico]:[Spend - Sams China]])+Table1[[#This Row],[Spend - IND]]</f>
        <v>3059572.62</v>
      </c>
      <c r="BY233">
        <f>SUM(Table1[[#This Row],[Savings - CAN]:[Savings - SAF]])+SUM(Table1[[#This Row],[Savings - Sams Mexico]:[Savings - Sams China]])+Table1[[#This Row],[Savings - IND]]</f>
        <v>0</v>
      </c>
      <c r="BZ233">
        <f>SUM(Table1[[#This Row],[Spend - US]:[Spend - Sams]])</f>
        <v>783438025.83000004</v>
      </c>
      <c r="CA233">
        <f>SUM(Table1[[#This Row],[Savings - US]:[Savings - Sams]])</f>
        <v>0</v>
      </c>
      <c r="CB233">
        <f>SUM(Table1[[#This Row],[Cost Avoidance - CAN2]:[Cost Avoidance - SAF10]])+SUM(Table1[[#This Row],[Cost Avoidance - Sams Mexico]:[Cost Avoidance - Sams China]])+Table1[[#This Row],[Cost Avoidance - IND]]</f>
        <v>0</v>
      </c>
      <c r="CC233">
        <f>SUM(Table1[[#This Row],[Cost Avoidance - US11]:[Cost Avoidance - Sams12]])</f>
        <v>0</v>
      </c>
      <c r="CD233">
        <f>_xlfn.XLOOKUP(Table1[[#This Row],[Status]],Status_Lookups[Status],Status_Lookups[Value],"")</f>
        <v>0.3</v>
      </c>
    </row>
    <row r="234" spans="1:82">
      <c r="A234">
        <v>16</v>
      </c>
      <c r="B234" t="s">
        <v>468</v>
      </c>
      <c r="C234" t="s">
        <v>43</v>
      </c>
      <c r="D234" t="s">
        <v>39</v>
      </c>
      <c r="E234" s="15">
        <v>44228</v>
      </c>
      <c r="F234" s="15">
        <v>44386</v>
      </c>
      <c r="G234" s="15">
        <v>44256</v>
      </c>
      <c r="H234" s="15">
        <v>0</v>
      </c>
      <c r="I234" t="s">
        <v>636</v>
      </c>
      <c r="J234" t="s">
        <v>459</v>
      </c>
      <c r="K234" t="s">
        <v>445</v>
      </c>
      <c r="L234" t="s">
        <v>445</v>
      </c>
      <c r="M234">
        <v>911351</v>
      </c>
      <c r="N234">
        <v>0</v>
      </c>
      <c r="O234">
        <v>0</v>
      </c>
      <c r="P234">
        <v>68602.98</v>
      </c>
      <c r="Q234">
        <v>0</v>
      </c>
      <c r="R234">
        <v>0</v>
      </c>
      <c r="S234">
        <v>444135.5</v>
      </c>
      <c r="T234">
        <v>1635483.14</v>
      </c>
      <c r="U234">
        <v>0</v>
      </c>
      <c r="V234">
        <v>622539482</v>
      </c>
      <c r="W234">
        <v>173577789.83000001</v>
      </c>
      <c r="X234" t="s">
        <v>445</v>
      </c>
      <c r="Y234" s="16">
        <v>44406.316002546293</v>
      </c>
      <c r="Z234" s="17" t="str">
        <f>_xlfn.XLOOKUP(Table1[[#This Row],[Phase]],'Lookup tables'!$Y$27:$Y$60,'Lookup tables'!$Z$27:$Z$60,"Not Updated")</f>
        <v>Award</v>
      </c>
      <c r="AA234" s="17" t="s">
        <v>660</v>
      </c>
      <c r="AB234">
        <v>0</v>
      </c>
      <c r="AC234">
        <v>0</v>
      </c>
      <c r="AD234">
        <v>0</v>
      </c>
      <c r="AE234">
        <v>0</v>
      </c>
      <c r="AF234">
        <v>0</v>
      </c>
      <c r="AG234">
        <v>0</v>
      </c>
      <c r="AH234">
        <v>0</v>
      </c>
      <c r="AI234">
        <v>0</v>
      </c>
      <c r="AJ234">
        <v>0</v>
      </c>
      <c r="AK234">
        <v>0</v>
      </c>
      <c r="AL234">
        <v>0</v>
      </c>
      <c r="AM234">
        <v>0</v>
      </c>
      <c r="AN234">
        <v>0</v>
      </c>
      <c r="AO234">
        <v>0</v>
      </c>
      <c r="AP234">
        <v>0</v>
      </c>
      <c r="AQ234">
        <v>0</v>
      </c>
      <c r="AR234">
        <v>0</v>
      </c>
      <c r="AS234">
        <v>0</v>
      </c>
      <c r="AT234">
        <v>0</v>
      </c>
      <c r="AU234">
        <v>0</v>
      </c>
      <c r="AV234">
        <v>0</v>
      </c>
      <c r="AW234">
        <v>0</v>
      </c>
      <c r="BG234" s="185"/>
      <c r="BH234" s="185"/>
      <c r="BI234" s="185"/>
      <c r="BJ234" s="185"/>
      <c r="BK234" s="185"/>
      <c r="BL234" s="185"/>
      <c r="BM234" s="185"/>
      <c r="BN234" s="185"/>
      <c r="BO234" s="185"/>
      <c r="BP234" s="185"/>
      <c r="BQ234" s="185"/>
      <c r="BR234" s="185"/>
      <c r="BS234" s="185"/>
      <c r="BT234" s="185"/>
      <c r="BU234" t="b">
        <f>IF(_xlfn.MAXIFS(Table1[Sl No],Table1[Category],Table1[[#This Row],[Category]],Table1[Execution Year],Table1[[#This Row],[Execution Year]])=Table1[[#This Row],[Sl No]],TRUE,FALSE)</f>
        <v>0</v>
      </c>
      <c r="BV234" s="201">
        <f>SUM(Table1[[#This Row],[Spend - CAN]:[Spend - Sams]])+SUM(Table1[[#This Row],[Spend - Sams Mexico]:[Spend - Sams China]])+Table1[[#This Row],[Spend - IND]]</f>
        <v>799176844.45000005</v>
      </c>
      <c r="BW234">
        <f>SUM(Table1[[#This Row],[Savings - CAN]:[Savings - Sams]])+SUM(Table1[[#This Row],[Savings - Sams Mexico]:[Savings - Sams China]])+Table1[[#This Row],[Savings - IND]]</f>
        <v>0</v>
      </c>
      <c r="BX234">
        <f>SUM(Table1[[#This Row],[Spend - CAN]:[Spend - SAF]])+SUM(Table1[[#This Row],[Spend - Sams Mexico]:[Spend - Sams China]])+Table1[[#This Row],[Spend - IND]]</f>
        <v>3059572.62</v>
      </c>
      <c r="BY234">
        <f>SUM(Table1[[#This Row],[Savings - CAN]:[Savings - SAF]])+SUM(Table1[[#This Row],[Savings - Sams Mexico]:[Savings - Sams China]])+Table1[[#This Row],[Savings - IND]]</f>
        <v>0</v>
      </c>
      <c r="BZ234">
        <f>SUM(Table1[[#This Row],[Spend - US]:[Spend - Sams]])</f>
        <v>796117271.83000004</v>
      </c>
      <c r="CA234">
        <f>SUM(Table1[[#This Row],[Savings - US]:[Savings - Sams]])</f>
        <v>0</v>
      </c>
      <c r="CB234">
        <f>SUM(Table1[[#This Row],[Cost Avoidance - CAN2]:[Cost Avoidance - SAF10]])+SUM(Table1[[#This Row],[Cost Avoidance - Sams Mexico]:[Cost Avoidance - Sams China]])+Table1[[#This Row],[Cost Avoidance - IND]]</f>
        <v>0</v>
      </c>
      <c r="CC234">
        <f>SUM(Table1[[#This Row],[Cost Avoidance - US11]:[Cost Avoidance - Sams12]])</f>
        <v>0</v>
      </c>
      <c r="CD234">
        <f>_xlfn.XLOOKUP(Table1[[#This Row],[Status]],Status_Lookups[Status],Status_Lookups[Value],"")</f>
        <v>0.3</v>
      </c>
    </row>
    <row r="235" spans="1:82">
      <c r="A235">
        <v>17</v>
      </c>
      <c r="B235" t="s">
        <v>468</v>
      </c>
      <c r="C235" t="s">
        <v>43</v>
      </c>
      <c r="D235" t="s">
        <v>39</v>
      </c>
      <c r="E235" s="15">
        <v>44228</v>
      </c>
      <c r="F235" s="15">
        <v>44386</v>
      </c>
      <c r="G235" s="15">
        <v>44256</v>
      </c>
      <c r="H235" s="15">
        <v>0</v>
      </c>
      <c r="I235" t="s">
        <v>443</v>
      </c>
      <c r="J235" t="s">
        <v>444</v>
      </c>
      <c r="K235" t="s">
        <v>445</v>
      </c>
      <c r="L235" t="s">
        <v>445</v>
      </c>
      <c r="M235">
        <v>911351</v>
      </c>
      <c r="N235">
        <v>0</v>
      </c>
      <c r="O235">
        <v>0</v>
      </c>
      <c r="P235">
        <v>68602.98</v>
      </c>
      <c r="Q235">
        <v>0</v>
      </c>
      <c r="R235">
        <v>0</v>
      </c>
      <c r="S235">
        <v>444135.5</v>
      </c>
      <c r="T235">
        <v>1635483.14</v>
      </c>
      <c r="U235">
        <v>0</v>
      </c>
      <c r="V235">
        <v>622539482</v>
      </c>
      <c r="W235">
        <v>173577789.83000001</v>
      </c>
      <c r="X235" t="s">
        <v>445</v>
      </c>
      <c r="Y235" s="16">
        <v>44420.647962731484</v>
      </c>
      <c r="Z235" s="17" t="str">
        <f>_xlfn.XLOOKUP(Table1[[#This Row],[Phase]],'Lookup tables'!$Y$27:$Y$60,'Lookup tables'!$Z$27:$Z$60,"Not Updated")</f>
        <v>Completed</v>
      </c>
      <c r="AA235" s="17" t="s">
        <v>660</v>
      </c>
      <c r="AB235">
        <v>0</v>
      </c>
      <c r="AC235">
        <v>0</v>
      </c>
      <c r="AD235">
        <v>0</v>
      </c>
      <c r="AE235">
        <v>0</v>
      </c>
      <c r="AF235">
        <v>0</v>
      </c>
      <c r="AG235">
        <v>0</v>
      </c>
      <c r="AH235">
        <v>79581.2</v>
      </c>
      <c r="AI235">
        <v>0</v>
      </c>
      <c r="AJ235">
        <v>0</v>
      </c>
      <c r="AK235">
        <v>31329000</v>
      </c>
      <c r="AL235">
        <v>0</v>
      </c>
      <c r="AM235">
        <v>0</v>
      </c>
      <c r="AN235">
        <v>0</v>
      </c>
      <c r="AO235">
        <v>0</v>
      </c>
      <c r="AP235">
        <v>0</v>
      </c>
      <c r="AQ235">
        <v>0</v>
      </c>
      <c r="AR235">
        <v>0</v>
      </c>
      <c r="AS235">
        <v>0</v>
      </c>
      <c r="AT235">
        <v>0</v>
      </c>
      <c r="AU235">
        <v>0</v>
      </c>
      <c r="AV235">
        <v>0</v>
      </c>
      <c r="AW235">
        <v>0</v>
      </c>
      <c r="BG235" s="185"/>
      <c r="BH235" s="185"/>
      <c r="BI235" s="185"/>
      <c r="BJ235" s="185"/>
      <c r="BK235" s="185"/>
      <c r="BL235" s="185"/>
      <c r="BM235" s="185"/>
      <c r="BN235" s="185"/>
      <c r="BO235" s="185"/>
      <c r="BP235" s="185"/>
      <c r="BQ235" s="185"/>
      <c r="BR235" s="185"/>
      <c r="BS235" s="185"/>
      <c r="BT235" s="185"/>
      <c r="BU235" t="b">
        <f>IF(_xlfn.MAXIFS(Table1[Sl No],Table1[Category],Table1[[#This Row],[Category]],Table1[Execution Year],Table1[[#This Row],[Execution Year]])=Table1[[#This Row],[Sl No]],TRUE,FALSE)</f>
        <v>0</v>
      </c>
      <c r="BV235" s="201">
        <f>SUM(Table1[[#This Row],[Spend - CAN]:[Spend - Sams]])+SUM(Table1[[#This Row],[Spend - Sams Mexico]:[Spend - Sams China]])+Table1[[#This Row],[Spend - IND]]</f>
        <v>799176844.45000005</v>
      </c>
      <c r="BW235">
        <f>SUM(Table1[[#This Row],[Savings - CAN]:[Savings - Sams]])+SUM(Table1[[#This Row],[Savings - Sams Mexico]:[Savings - Sams China]])+Table1[[#This Row],[Savings - IND]]</f>
        <v>31408581.199999999</v>
      </c>
      <c r="BX235">
        <f>SUM(Table1[[#This Row],[Spend - CAN]:[Spend - SAF]])+SUM(Table1[[#This Row],[Spend - Sams Mexico]:[Spend - Sams China]])+Table1[[#This Row],[Spend - IND]]</f>
        <v>3059572.62</v>
      </c>
      <c r="BY235">
        <f>SUM(Table1[[#This Row],[Savings - CAN]:[Savings - SAF]])+SUM(Table1[[#This Row],[Savings - Sams Mexico]:[Savings - Sams China]])+Table1[[#This Row],[Savings - IND]]</f>
        <v>79581.2</v>
      </c>
      <c r="BZ235">
        <f>SUM(Table1[[#This Row],[Spend - US]:[Spend - Sams]])</f>
        <v>796117271.83000004</v>
      </c>
      <c r="CA235">
        <f>SUM(Table1[[#This Row],[Savings - US]:[Savings - Sams]])</f>
        <v>31329000</v>
      </c>
      <c r="CB235">
        <f>SUM(Table1[[#This Row],[Cost Avoidance - CAN2]:[Cost Avoidance - SAF10]])+SUM(Table1[[#This Row],[Cost Avoidance - Sams Mexico]:[Cost Avoidance - Sams China]])+Table1[[#This Row],[Cost Avoidance - IND]]</f>
        <v>0</v>
      </c>
      <c r="CC235">
        <f>SUM(Table1[[#This Row],[Cost Avoidance - US11]:[Cost Avoidance - Sams12]])</f>
        <v>0</v>
      </c>
      <c r="CD235">
        <f>_xlfn.XLOOKUP(Table1[[#This Row],[Status]],Status_Lookups[Status],Status_Lookups[Value],"")</f>
        <v>0.2</v>
      </c>
    </row>
    <row r="236" spans="1:82">
      <c r="A236">
        <v>18</v>
      </c>
      <c r="B236" t="s">
        <v>468</v>
      </c>
      <c r="C236" t="s">
        <v>43</v>
      </c>
      <c r="D236" t="s">
        <v>39</v>
      </c>
      <c r="E236" s="15">
        <v>44228</v>
      </c>
      <c r="F236" s="15">
        <v>44386</v>
      </c>
      <c r="G236" s="15">
        <v>44256</v>
      </c>
      <c r="H236" s="15">
        <v>0</v>
      </c>
      <c r="I236" t="s">
        <v>443</v>
      </c>
      <c r="J236" t="s">
        <v>444</v>
      </c>
      <c r="K236" t="s">
        <v>445</v>
      </c>
      <c r="L236" t="s">
        <v>445</v>
      </c>
      <c r="M236">
        <v>911351</v>
      </c>
      <c r="N236">
        <v>0</v>
      </c>
      <c r="O236">
        <v>0</v>
      </c>
      <c r="P236">
        <v>68602.98</v>
      </c>
      <c r="Q236">
        <v>0</v>
      </c>
      <c r="R236">
        <v>0</v>
      </c>
      <c r="S236">
        <v>444135.5</v>
      </c>
      <c r="T236">
        <v>1635483.14</v>
      </c>
      <c r="U236">
        <v>0</v>
      </c>
      <c r="V236">
        <v>622539482</v>
      </c>
      <c r="W236">
        <v>173577789.83000001</v>
      </c>
      <c r="X236" t="s">
        <v>445</v>
      </c>
      <c r="Y236" s="16">
        <v>44565.563335648148</v>
      </c>
      <c r="Z236" s="17" t="str">
        <f>_xlfn.XLOOKUP(Table1[[#This Row],[Phase]],'Lookup tables'!$Y$27:$Y$60,'Lookup tables'!$Z$27:$Z$60,"Not Updated")</f>
        <v>Completed</v>
      </c>
      <c r="AA236" s="17" t="s">
        <v>660</v>
      </c>
      <c r="AB236">
        <v>0</v>
      </c>
      <c r="AC236">
        <v>0</v>
      </c>
      <c r="AD236">
        <v>0</v>
      </c>
      <c r="AE236">
        <v>0</v>
      </c>
      <c r="AF236">
        <v>0</v>
      </c>
      <c r="AG236">
        <v>0</v>
      </c>
      <c r="AH236">
        <v>79581.2</v>
      </c>
      <c r="AI236">
        <v>0</v>
      </c>
      <c r="AJ236">
        <v>0</v>
      </c>
      <c r="AK236">
        <v>7884253.9699999997</v>
      </c>
      <c r="AL236">
        <v>0</v>
      </c>
      <c r="AM236">
        <v>0</v>
      </c>
      <c r="AN236">
        <v>0</v>
      </c>
      <c r="AO236">
        <v>0</v>
      </c>
      <c r="AP236">
        <v>0</v>
      </c>
      <c r="AQ236">
        <v>0</v>
      </c>
      <c r="AR236">
        <v>0</v>
      </c>
      <c r="AS236">
        <v>0</v>
      </c>
      <c r="AT236">
        <v>0</v>
      </c>
      <c r="AU236">
        <v>0</v>
      </c>
      <c r="AV236">
        <v>0</v>
      </c>
      <c r="AW236">
        <v>0</v>
      </c>
      <c r="BG236" s="185"/>
      <c r="BH236" s="185"/>
      <c r="BI236" s="185"/>
      <c r="BJ236" s="185"/>
      <c r="BK236" s="185"/>
      <c r="BL236" s="185"/>
      <c r="BM236" s="185"/>
      <c r="BN236" s="185"/>
      <c r="BO236" s="185"/>
      <c r="BP236" s="185"/>
      <c r="BQ236" s="185"/>
      <c r="BR236" s="185"/>
      <c r="BS236" s="185"/>
      <c r="BT236" s="185"/>
      <c r="BU236" t="b">
        <f>IF(_xlfn.MAXIFS(Table1[Sl No],Table1[Category],Table1[[#This Row],[Category]],Table1[Execution Year],Table1[[#This Row],[Execution Year]])=Table1[[#This Row],[Sl No]],TRUE,FALSE)</f>
        <v>1</v>
      </c>
      <c r="BV236" s="201">
        <f>SUM(Table1[[#This Row],[Spend - CAN]:[Spend - Sams]])+SUM(Table1[[#This Row],[Spend - Sams Mexico]:[Spend - Sams China]])+Table1[[#This Row],[Spend - IND]]</f>
        <v>799176844.45000005</v>
      </c>
      <c r="BW236">
        <f>SUM(Table1[[#This Row],[Savings - CAN]:[Savings - Sams]])+SUM(Table1[[#This Row],[Savings - Sams Mexico]:[Savings - Sams China]])+Table1[[#This Row],[Savings - IND]]</f>
        <v>7963835.1699999999</v>
      </c>
      <c r="BX236">
        <f>SUM(Table1[[#This Row],[Spend - CAN]:[Spend - SAF]])+SUM(Table1[[#This Row],[Spend - Sams Mexico]:[Spend - Sams China]])+Table1[[#This Row],[Spend - IND]]</f>
        <v>3059572.62</v>
      </c>
      <c r="BY236">
        <f>SUM(Table1[[#This Row],[Savings - CAN]:[Savings - SAF]])+SUM(Table1[[#This Row],[Savings - Sams Mexico]:[Savings - Sams China]])+Table1[[#This Row],[Savings - IND]]</f>
        <v>79581.2</v>
      </c>
      <c r="BZ236">
        <f>SUM(Table1[[#This Row],[Spend - US]:[Spend - Sams]])</f>
        <v>796117271.83000004</v>
      </c>
      <c r="CA236">
        <f>SUM(Table1[[#This Row],[Savings - US]:[Savings - Sams]])</f>
        <v>7884253.9699999997</v>
      </c>
      <c r="CB236">
        <f>SUM(Table1[[#This Row],[Cost Avoidance - CAN2]:[Cost Avoidance - SAF10]])+SUM(Table1[[#This Row],[Cost Avoidance - Sams Mexico]:[Cost Avoidance - Sams China]])+Table1[[#This Row],[Cost Avoidance - IND]]</f>
        <v>0</v>
      </c>
      <c r="CC236">
        <f>SUM(Table1[[#This Row],[Cost Avoidance - US11]:[Cost Avoidance - Sams12]])</f>
        <v>0</v>
      </c>
      <c r="CD236">
        <f>_xlfn.XLOOKUP(Table1[[#This Row],[Status]],Status_Lookups[Status],Status_Lookups[Value],"")</f>
        <v>0.2</v>
      </c>
    </row>
    <row r="237" spans="1:82">
      <c r="A237">
        <v>1</v>
      </c>
      <c r="B237" t="s">
        <v>457</v>
      </c>
      <c r="C237" t="s">
        <v>43</v>
      </c>
      <c r="D237" t="s">
        <v>39</v>
      </c>
      <c r="E237" s="15"/>
      <c r="F237" s="15"/>
      <c r="G237" s="15"/>
      <c r="H237" s="15"/>
      <c r="X237" t="s">
        <v>78</v>
      </c>
      <c r="Y237" s="16">
        <v>44215.459131944444</v>
      </c>
      <c r="Z237" s="17" t="str">
        <f>_xlfn.XLOOKUP(Table1[[#This Row],[Phase]],'Lookup tables'!$Y$27:$Y$60,'Lookup tables'!$Z$27:$Z$60,"Not Updated")</f>
        <v>Not Updated</v>
      </c>
      <c r="AA237" s="17"/>
      <c r="BG237" s="185"/>
      <c r="BH237" s="185"/>
      <c r="BI237" s="185"/>
      <c r="BJ237" s="185"/>
      <c r="BK237" s="185"/>
      <c r="BL237" s="185"/>
      <c r="BM237" s="185"/>
      <c r="BN237" s="185"/>
      <c r="BO237" s="185"/>
      <c r="BP237" s="185"/>
      <c r="BQ237" s="185"/>
      <c r="BR237" s="185"/>
      <c r="BS237" s="185"/>
      <c r="BT237" s="185"/>
      <c r="BU237" t="b">
        <f>IF(_xlfn.MAXIFS(Table1[Sl No],Table1[Category],Table1[[#This Row],[Category]],Table1[Execution Year],Table1[[#This Row],[Execution Year]])=Table1[[#This Row],[Sl No]],TRUE,FALSE)</f>
        <v>0</v>
      </c>
      <c r="BV237" s="201">
        <f>SUM(Table1[[#This Row],[Spend - CAN]:[Spend - Sams]])+SUM(Table1[[#This Row],[Spend - Sams Mexico]:[Spend - Sams China]])+Table1[[#This Row],[Spend - IND]]</f>
        <v>0</v>
      </c>
      <c r="BW237">
        <f>SUM(Table1[[#This Row],[Savings - CAN]:[Savings - Sams]])+SUM(Table1[[#This Row],[Savings - Sams Mexico]:[Savings - Sams China]])+Table1[[#This Row],[Savings - IND]]</f>
        <v>0</v>
      </c>
      <c r="BX237">
        <f>SUM(Table1[[#This Row],[Spend - CAN]:[Spend - SAF]])+SUM(Table1[[#This Row],[Spend - Sams Mexico]:[Spend - Sams China]])+Table1[[#This Row],[Spend - IND]]</f>
        <v>0</v>
      </c>
      <c r="BY237">
        <f>SUM(Table1[[#This Row],[Savings - CAN]:[Savings - SAF]])+SUM(Table1[[#This Row],[Savings - Sams Mexico]:[Savings - Sams China]])+Table1[[#This Row],[Savings - IND]]</f>
        <v>0</v>
      </c>
      <c r="BZ237">
        <f>SUM(Table1[[#This Row],[Spend - US]:[Spend - Sams]])</f>
        <v>0</v>
      </c>
      <c r="CA237">
        <f>SUM(Table1[[#This Row],[Savings - US]:[Savings - Sams]])</f>
        <v>0</v>
      </c>
      <c r="CB237">
        <f>SUM(Table1[[#This Row],[Cost Avoidance - CAN2]:[Cost Avoidance - SAF10]])+SUM(Table1[[#This Row],[Cost Avoidance - Sams Mexico]:[Cost Avoidance - Sams China]])+Table1[[#This Row],[Cost Avoidance - IND]]</f>
        <v>0</v>
      </c>
      <c r="CC237">
        <f>SUM(Table1[[#This Row],[Cost Avoidance - US11]:[Cost Avoidance - Sams12]])</f>
        <v>0</v>
      </c>
      <c r="CD237" t="str">
        <f>_xlfn.XLOOKUP(Table1[[#This Row],[Status]],Status_Lookups[Status],Status_Lookups[Value],"")</f>
        <v/>
      </c>
    </row>
    <row r="238" spans="1:82">
      <c r="A238">
        <v>2</v>
      </c>
      <c r="B238" t="s">
        <v>457</v>
      </c>
      <c r="C238" t="s">
        <v>43</v>
      </c>
      <c r="D238" t="s">
        <v>39</v>
      </c>
      <c r="E238" s="15">
        <v>44409</v>
      </c>
      <c r="F238" s="15">
        <v>44500</v>
      </c>
      <c r="G238" s="15"/>
      <c r="H238" s="15"/>
      <c r="I238" t="s">
        <v>625</v>
      </c>
      <c r="J238" t="s">
        <v>626</v>
      </c>
      <c r="K238" t="s">
        <v>445</v>
      </c>
      <c r="L238">
        <v>0</v>
      </c>
      <c r="M238">
        <v>3382254.4899999998</v>
      </c>
      <c r="N238">
        <v>10737118.330000002</v>
      </c>
      <c r="O238">
        <v>1827611.22</v>
      </c>
      <c r="P238">
        <v>0</v>
      </c>
      <c r="Q238">
        <v>0</v>
      </c>
      <c r="R238">
        <v>2296250.2199999997</v>
      </c>
      <c r="S238">
        <v>0</v>
      </c>
      <c r="T238">
        <v>0</v>
      </c>
      <c r="U238">
        <v>0</v>
      </c>
      <c r="V238">
        <v>0</v>
      </c>
      <c r="X238" t="s">
        <v>78</v>
      </c>
      <c r="Y238" s="16">
        <v>44215.46293425926</v>
      </c>
      <c r="Z238" s="17" t="str">
        <f>_xlfn.XLOOKUP(Table1[[#This Row],[Phase]],'Lookup tables'!$Y$27:$Y$60,'Lookup tables'!$Z$27:$Z$60,"Not Updated")</f>
        <v>Proposed</v>
      </c>
      <c r="AA238" s="17" t="s">
        <v>661</v>
      </c>
      <c r="AB238">
        <v>0</v>
      </c>
      <c r="AC238">
        <v>0</v>
      </c>
      <c r="AD238">
        <v>0</v>
      </c>
      <c r="AE238">
        <v>0</v>
      </c>
      <c r="AF238">
        <v>0</v>
      </c>
      <c r="AG238">
        <v>0</v>
      </c>
      <c r="AH238">
        <v>0</v>
      </c>
      <c r="AI238">
        <v>0</v>
      </c>
      <c r="AJ238">
        <v>0</v>
      </c>
      <c r="AK238">
        <v>0</v>
      </c>
      <c r="AL238">
        <v>0</v>
      </c>
      <c r="BG238" s="185"/>
      <c r="BH238" s="185"/>
      <c r="BI238" s="185"/>
      <c r="BJ238" s="185"/>
      <c r="BK238" s="185"/>
      <c r="BL238" s="185"/>
      <c r="BM238" s="185"/>
      <c r="BN238" s="185"/>
      <c r="BO238" s="185"/>
      <c r="BP238" s="185"/>
      <c r="BQ238" s="185"/>
      <c r="BR238" s="185"/>
      <c r="BS238" s="185"/>
      <c r="BT238" s="185"/>
      <c r="BU238" t="b">
        <f>IF(_xlfn.MAXIFS(Table1[Sl No],Table1[Category],Table1[[#This Row],[Category]],Table1[Execution Year],Table1[[#This Row],[Execution Year]])=Table1[[#This Row],[Sl No]],TRUE,FALSE)</f>
        <v>0</v>
      </c>
      <c r="BV238" s="201">
        <f>SUM(Table1[[#This Row],[Spend - CAN]:[Spend - Sams]])+SUM(Table1[[#This Row],[Spend - Sams Mexico]:[Spend - Sams China]])+Table1[[#This Row],[Spend - IND]]</f>
        <v>18243234.260000002</v>
      </c>
      <c r="BW238">
        <f>SUM(Table1[[#This Row],[Savings - CAN]:[Savings - Sams]])+SUM(Table1[[#This Row],[Savings - Sams Mexico]:[Savings - Sams China]])+Table1[[#This Row],[Savings - IND]]</f>
        <v>0</v>
      </c>
      <c r="BX238">
        <f>SUM(Table1[[#This Row],[Spend - CAN]:[Spend - SAF]])+SUM(Table1[[#This Row],[Spend - Sams Mexico]:[Spend - Sams China]])+Table1[[#This Row],[Spend - IND]]</f>
        <v>18243234.260000002</v>
      </c>
      <c r="BY238">
        <f>SUM(Table1[[#This Row],[Savings - CAN]:[Savings - SAF]])+SUM(Table1[[#This Row],[Savings - Sams Mexico]:[Savings - Sams China]])+Table1[[#This Row],[Savings - IND]]</f>
        <v>0</v>
      </c>
      <c r="BZ238">
        <f>SUM(Table1[[#This Row],[Spend - US]:[Spend - Sams]])</f>
        <v>0</v>
      </c>
      <c r="CA238">
        <f>SUM(Table1[[#This Row],[Savings - US]:[Savings - Sams]])</f>
        <v>0</v>
      </c>
      <c r="CB238">
        <f>SUM(Table1[[#This Row],[Cost Avoidance - CAN2]:[Cost Avoidance - SAF10]])+SUM(Table1[[#This Row],[Cost Avoidance - Sams Mexico]:[Cost Avoidance - Sams China]])+Table1[[#This Row],[Cost Avoidance - IND]]</f>
        <v>0</v>
      </c>
      <c r="CC238">
        <f>SUM(Table1[[#This Row],[Cost Avoidance - US11]:[Cost Avoidance - Sams12]])</f>
        <v>0</v>
      </c>
      <c r="CD238" t="str">
        <f>_xlfn.XLOOKUP(Table1[[#This Row],[Status]],Status_Lookups[Status],Status_Lookups[Value],"")</f>
        <v/>
      </c>
    </row>
    <row r="239" spans="1:82">
      <c r="A239">
        <v>3</v>
      </c>
      <c r="B239" t="s">
        <v>457</v>
      </c>
      <c r="C239" t="s">
        <v>43</v>
      </c>
      <c r="D239" t="s">
        <v>39</v>
      </c>
      <c r="E239" s="15">
        <v>44409</v>
      </c>
      <c r="F239" s="15">
        <v>44500</v>
      </c>
      <c r="G239" s="15"/>
      <c r="H239" s="15"/>
      <c r="I239" t="s">
        <v>625</v>
      </c>
      <c r="J239" t="s">
        <v>626</v>
      </c>
      <c r="K239" t="s">
        <v>445</v>
      </c>
      <c r="L239">
        <v>0</v>
      </c>
      <c r="M239">
        <v>3382254.4899999998</v>
      </c>
      <c r="N239">
        <v>10737118.330000002</v>
      </c>
      <c r="O239">
        <v>1827611.22</v>
      </c>
      <c r="P239">
        <v>0</v>
      </c>
      <c r="Q239">
        <v>0</v>
      </c>
      <c r="R239">
        <v>2296250.2199999997</v>
      </c>
      <c r="S239">
        <v>0</v>
      </c>
      <c r="T239">
        <v>0</v>
      </c>
      <c r="U239">
        <v>0</v>
      </c>
      <c r="V239">
        <v>0</v>
      </c>
      <c r="X239" t="s">
        <v>78</v>
      </c>
      <c r="Y239" s="16">
        <v>44216.412125694442</v>
      </c>
      <c r="Z239" s="17" t="str">
        <f>_xlfn.XLOOKUP(Table1[[#This Row],[Phase]],'Lookup tables'!$Y$27:$Y$60,'Lookup tables'!$Z$27:$Z$60,"Not Updated")</f>
        <v>Proposed</v>
      </c>
      <c r="AA239" s="17" t="s">
        <v>661</v>
      </c>
      <c r="AB239">
        <v>0</v>
      </c>
      <c r="AC239">
        <v>0</v>
      </c>
      <c r="AD239">
        <v>0</v>
      </c>
      <c r="AE239">
        <v>0</v>
      </c>
      <c r="AF239">
        <v>0</v>
      </c>
      <c r="AG239">
        <v>0</v>
      </c>
      <c r="AH239">
        <v>0</v>
      </c>
      <c r="AI239">
        <v>0</v>
      </c>
      <c r="AJ239">
        <v>0</v>
      </c>
      <c r="AK239">
        <v>0</v>
      </c>
      <c r="AL239">
        <v>0</v>
      </c>
      <c r="BG239" s="185"/>
      <c r="BH239" s="185"/>
      <c r="BI239" s="185"/>
      <c r="BJ239" s="185"/>
      <c r="BK239" s="185"/>
      <c r="BL239" s="185"/>
      <c r="BM239" s="185"/>
      <c r="BN239" s="185"/>
      <c r="BO239" s="185"/>
      <c r="BP239" s="185"/>
      <c r="BQ239" s="185"/>
      <c r="BR239" s="185"/>
      <c r="BS239" s="185"/>
      <c r="BT239" s="185"/>
      <c r="BU239" t="b">
        <f>IF(_xlfn.MAXIFS(Table1[Sl No],Table1[Category],Table1[[#This Row],[Category]],Table1[Execution Year],Table1[[#This Row],[Execution Year]])=Table1[[#This Row],[Sl No]],TRUE,FALSE)</f>
        <v>0</v>
      </c>
      <c r="BV239" s="201">
        <f>SUM(Table1[[#This Row],[Spend - CAN]:[Spend - Sams]])+SUM(Table1[[#This Row],[Spend - Sams Mexico]:[Spend - Sams China]])+Table1[[#This Row],[Spend - IND]]</f>
        <v>18243234.260000002</v>
      </c>
      <c r="BW239">
        <f>SUM(Table1[[#This Row],[Savings - CAN]:[Savings - Sams]])+SUM(Table1[[#This Row],[Savings - Sams Mexico]:[Savings - Sams China]])+Table1[[#This Row],[Savings - IND]]</f>
        <v>0</v>
      </c>
      <c r="BX239">
        <f>SUM(Table1[[#This Row],[Spend - CAN]:[Spend - SAF]])+SUM(Table1[[#This Row],[Spend - Sams Mexico]:[Spend - Sams China]])+Table1[[#This Row],[Spend - IND]]</f>
        <v>18243234.260000002</v>
      </c>
      <c r="BY239">
        <f>SUM(Table1[[#This Row],[Savings - CAN]:[Savings - SAF]])+SUM(Table1[[#This Row],[Savings - Sams Mexico]:[Savings - Sams China]])+Table1[[#This Row],[Savings - IND]]</f>
        <v>0</v>
      </c>
      <c r="BZ239">
        <f>SUM(Table1[[#This Row],[Spend - US]:[Spend - Sams]])</f>
        <v>0</v>
      </c>
      <c r="CA239">
        <f>SUM(Table1[[#This Row],[Savings - US]:[Savings - Sams]])</f>
        <v>0</v>
      </c>
      <c r="CB239">
        <f>SUM(Table1[[#This Row],[Cost Avoidance - CAN2]:[Cost Avoidance - SAF10]])+SUM(Table1[[#This Row],[Cost Avoidance - Sams Mexico]:[Cost Avoidance - Sams China]])+Table1[[#This Row],[Cost Avoidance - IND]]</f>
        <v>0</v>
      </c>
      <c r="CC239">
        <f>SUM(Table1[[#This Row],[Cost Avoidance - US11]:[Cost Avoidance - Sams12]])</f>
        <v>0</v>
      </c>
      <c r="CD239" t="str">
        <f>_xlfn.XLOOKUP(Table1[[#This Row],[Status]],Status_Lookups[Status],Status_Lookups[Value],"")</f>
        <v/>
      </c>
    </row>
    <row r="240" spans="1:82">
      <c r="A240">
        <v>4</v>
      </c>
      <c r="B240" t="s">
        <v>457</v>
      </c>
      <c r="C240" t="s">
        <v>43</v>
      </c>
      <c r="D240" t="s">
        <v>39</v>
      </c>
      <c r="E240" s="15">
        <v>44409</v>
      </c>
      <c r="F240" s="15">
        <v>44500</v>
      </c>
      <c r="G240" s="15"/>
      <c r="H240" s="15"/>
      <c r="I240" t="s">
        <v>625</v>
      </c>
      <c r="J240" t="s">
        <v>626</v>
      </c>
      <c r="K240" t="s">
        <v>445</v>
      </c>
      <c r="L240">
        <v>0</v>
      </c>
      <c r="M240">
        <v>3382254.4899999998</v>
      </c>
      <c r="N240">
        <v>10737118.330000002</v>
      </c>
      <c r="O240">
        <v>1827611.22</v>
      </c>
      <c r="P240">
        <v>0</v>
      </c>
      <c r="Q240">
        <v>0</v>
      </c>
      <c r="R240">
        <v>2296250.2199999997</v>
      </c>
      <c r="S240">
        <v>0</v>
      </c>
      <c r="T240">
        <v>0</v>
      </c>
      <c r="U240">
        <v>0</v>
      </c>
      <c r="V240">
        <v>181000000</v>
      </c>
      <c r="W240">
        <v>0</v>
      </c>
      <c r="X240" t="s">
        <v>78</v>
      </c>
      <c r="Y240" s="16">
        <v>44221.613595833333</v>
      </c>
      <c r="Z240" s="17" t="str">
        <f>_xlfn.XLOOKUP(Table1[[#This Row],[Phase]],'Lookup tables'!$Y$27:$Y$60,'Lookup tables'!$Z$27:$Z$60,"Not Updated")</f>
        <v>Proposed</v>
      </c>
      <c r="AA240" s="17" t="s">
        <v>661</v>
      </c>
      <c r="AB240">
        <v>0</v>
      </c>
      <c r="AC240">
        <v>0</v>
      </c>
      <c r="AD240">
        <v>0</v>
      </c>
      <c r="AE240">
        <v>0</v>
      </c>
      <c r="AF240">
        <v>0</v>
      </c>
      <c r="AG240">
        <v>0</v>
      </c>
      <c r="AH240">
        <v>0</v>
      </c>
      <c r="AI240">
        <v>0</v>
      </c>
      <c r="AJ240">
        <v>0</v>
      </c>
      <c r="AK240">
        <v>0</v>
      </c>
      <c r="AL240">
        <v>0</v>
      </c>
      <c r="BG240" s="185"/>
      <c r="BH240" s="185"/>
      <c r="BI240" s="185"/>
      <c r="BJ240" s="185"/>
      <c r="BK240" s="185"/>
      <c r="BL240" s="185"/>
      <c r="BM240" s="185"/>
      <c r="BN240" s="185"/>
      <c r="BO240" s="185"/>
      <c r="BP240" s="185"/>
      <c r="BQ240" s="185"/>
      <c r="BR240" s="185"/>
      <c r="BS240" s="185"/>
      <c r="BT240" s="185"/>
      <c r="BU240" t="b">
        <f>IF(_xlfn.MAXIFS(Table1[Sl No],Table1[Category],Table1[[#This Row],[Category]],Table1[Execution Year],Table1[[#This Row],[Execution Year]])=Table1[[#This Row],[Sl No]],TRUE,FALSE)</f>
        <v>0</v>
      </c>
      <c r="BV240" s="201">
        <f>SUM(Table1[[#This Row],[Spend - CAN]:[Spend - Sams]])+SUM(Table1[[#This Row],[Spend - Sams Mexico]:[Spend - Sams China]])+Table1[[#This Row],[Spend - IND]]</f>
        <v>199243234.25999999</v>
      </c>
      <c r="BW240">
        <f>SUM(Table1[[#This Row],[Savings - CAN]:[Savings - Sams]])+SUM(Table1[[#This Row],[Savings - Sams Mexico]:[Savings - Sams China]])+Table1[[#This Row],[Savings - IND]]</f>
        <v>0</v>
      </c>
      <c r="BX240">
        <f>SUM(Table1[[#This Row],[Spend - CAN]:[Spend - SAF]])+SUM(Table1[[#This Row],[Spend - Sams Mexico]:[Spend - Sams China]])+Table1[[#This Row],[Spend - IND]]</f>
        <v>18243234.260000002</v>
      </c>
      <c r="BY240">
        <f>SUM(Table1[[#This Row],[Savings - CAN]:[Savings - SAF]])+SUM(Table1[[#This Row],[Savings - Sams Mexico]:[Savings - Sams China]])+Table1[[#This Row],[Savings - IND]]</f>
        <v>0</v>
      </c>
      <c r="BZ240">
        <f>SUM(Table1[[#This Row],[Spend - US]:[Spend - Sams]])</f>
        <v>181000000</v>
      </c>
      <c r="CA240">
        <f>SUM(Table1[[#This Row],[Savings - US]:[Savings - Sams]])</f>
        <v>0</v>
      </c>
      <c r="CB240">
        <f>SUM(Table1[[#This Row],[Cost Avoidance - CAN2]:[Cost Avoidance - SAF10]])+SUM(Table1[[#This Row],[Cost Avoidance - Sams Mexico]:[Cost Avoidance - Sams China]])+Table1[[#This Row],[Cost Avoidance - IND]]</f>
        <v>0</v>
      </c>
      <c r="CC240">
        <f>SUM(Table1[[#This Row],[Cost Avoidance - US11]:[Cost Avoidance - Sams12]])</f>
        <v>0</v>
      </c>
      <c r="CD240" t="str">
        <f>_xlfn.XLOOKUP(Table1[[#This Row],[Status]],Status_Lookups[Status],Status_Lookups[Value],"")</f>
        <v/>
      </c>
    </row>
    <row r="241" spans="1:82">
      <c r="A241">
        <v>5</v>
      </c>
      <c r="B241" t="s">
        <v>457</v>
      </c>
      <c r="C241" t="s">
        <v>43</v>
      </c>
      <c r="D241" t="s">
        <v>39</v>
      </c>
      <c r="E241" s="15">
        <v>44409</v>
      </c>
      <c r="F241" s="15">
        <v>44500</v>
      </c>
      <c r="G241" s="15"/>
      <c r="H241" s="15"/>
      <c r="I241" t="s">
        <v>458</v>
      </c>
      <c r="J241" t="s">
        <v>626</v>
      </c>
      <c r="K241" t="s">
        <v>445</v>
      </c>
      <c r="L241">
        <v>0</v>
      </c>
      <c r="M241">
        <v>4800000</v>
      </c>
      <c r="N241">
        <v>12300000</v>
      </c>
      <c r="O241">
        <v>1900000</v>
      </c>
      <c r="P241">
        <v>0</v>
      </c>
      <c r="Q241">
        <v>0</v>
      </c>
      <c r="R241">
        <v>2000000</v>
      </c>
      <c r="S241">
        <v>0</v>
      </c>
      <c r="T241">
        <v>0</v>
      </c>
      <c r="U241">
        <v>0</v>
      </c>
      <c r="V241">
        <v>181000000</v>
      </c>
      <c r="W241">
        <v>0</v>
      </c>
      <c r="X241" t="s">
        <v>78</v>
      </c>
      <c r="Y241" s="16">
        <v>44246.534163425924</v>
      </c>
      <c r="Z241" s="17" t="str">
        <f>_xlfn.XLOOKUP(Table1[[#This Row],[Phase]],'Lookup tables'!$Y$27:$Y$60,'Lookup tables'!$Z$27:$Z$60,"Not Updated")</f>
        <v>Exploratory</v>
      </c>
      <c r="AA241" s="17" t="s">
        <v>661</v>
      </c>
      <c r="AB241">
        <v>0</v>
      </c>
      <c r="AC241">
        <v>0</v>
      </c>
      <c r="AD241">
        <v>0</v>
      </c>
      <c r="AE241">
        <v>0</v>
      </c>
      <c r="AF241">
        <v>0</v>
      </c>
      <c r="AG241">
        <v>0</v>
      </c>
      <c r="AH241">
        <v>0</v>
      </c>
      <c r="AI241">
        <v>0</v>
      </c>
      <c r="AJ241">
        <v>0</v>
      </c>
      <c r="AK241">
        <v>0</v>
      </c>
      <c r="AL241">
        <v>0</v>
      </c>
      <c r="BG241" s="185"/>
      <c r="BH241" s="185"/>
      <c r="BI241" s="185"/>
      <c r="BJ241" s="185"/>
      <c r="BK241" s="185"/>
      <c r="BL241" s="185"/>
      <c r="BM241" s="185"/>
      <c r="BN241" s="185"/>
      <c r="BO241" s="185"/>
      <c r="BP241" s="185"/>
      <c r="BQ241" s="185"/>
      <c r="BR241" s="185"/>
      <c r="BS241" s="185"/>
      <c r="BT241" s="185"/>
      <c r="BU241" t="b">
        <f>IF(_xlfn.MAXIFS(Table1[Sl No],Table1[Category],Table1[[#This Row],[Category]],Table1[Execution Year],Table1[[#This Row],[Execution Year]])=Table1[[#This Row],[Sl No]],TRUE,FALSE)</f>
        <v>0</v>
      </c>
      <c r="BV241" s="201">
        <f>SUM(Table1[[#This Row],[Spend - CAN]:[Spend - Sams]])+SUM(Table1[[#This Row],[Spend - Sams Mexico]:[Spend - Sams China]])+Table1[[#This Row],[Spend - IND]]</f>
        <v>202000000</v>
      </c>
      <c r="BW241">
        <f>SUM(Table1[[#This Row],[Savings - CAN]:[Savings - Sams]])+SUM(Table1[[#This Row],[Savings - Sams Mexico]:[Savings - Sams China]])+Table1[[#This Row],[Savings - IND]]</f>
        <v>0</v>
      </c>
      <c r="BX241">
        <f>SUM(Table1[[#This Row],[Spend - CAN]:[Spend - SAF]])+SUM(Table1[[#This Row],[Spend - Sams Mexico]:[Spend - Sams China]])+Table1[[#This Row],[Spend - IND]]</f>
        <v>21000000</v>
      </c>
      <c r="BY241">
        <f>SUM(Table1[[#This Row],[Savings - CAN]:[Savings - SAF]])+SUM(Table1[[#This Row],[Savings - Sams Mexico]:[Savings - Sams China]])+Table1[[#This Row],[Savings - IND]]</f>
        <v>0</v>
      </c>
      <c r="BZ241">
        <f>SUM(Table1[[#This Row],[Spend - US]:[Spend - Sams]])</f>
        <v>181000000</v>
      </c>
      <c r="CA241">
        <f>SUM(Table1[[#This Row],[Savings - US]:[Savings - Sams]])</f>
        <v>0</v>
      </c>
      <c r="CB241">
        <f>SUM(Table1[[#This Row],[Cost Avoidance - CAN2]:[Cost Avoidance - SAF10]])+SUM(Table1[[#This Row],[Cost Avoidance - Sams Mexico]:[Cost Avoidance - Sams China]])+Table1[[#This Row],[Cost Avoidance - IND]]</f>
        <v>0</v>
      </c>
      <c r="CC241">
        <f>SUM(Table1[[#This Row],[Cost Avoidance - US11]:[Cost Avoidance - Sams12]])</f>
        <v>0</v>
      </c>
      <c r="CD241" t="str">
        <f>_xlfn.XLOOKUP(Table1[[#This Row],[Status]],Status_Lookups[Status],Status_Lookups[Value],"")</f>
        <v/>
      </c>
    </row>
    <row r="242" spans="1:82">
      <c r="A242">
        <v>6</v>
      </c>
      <c r="B242" t="s">
        <v>457</v>
      </c>
      <c r="C242" t="s">
        <v>43</v>
      </c>
      <c r="D242" t="s">
        <v>39</v>
      </c>
      <c r="E242" s="15">
        <v>44409</v>
      </c>
      <c r="F242" s="15">
        <v>44500</v>
      </c>
      <c r="G242" s="15"/>
      <c r="H242" s="15"/>
      <c r="I242" t="s">
        <v>458</v>
      </c>
      <c r="J242" t="s">
        <v>626</v>
      </c>
      <c r="K242" t="s">
        <v>445</v>
      </c>
      <c r="L242">
        <v>0</v>
      </c>
      <c r="M242">
        <v>1440647.1400000001</v>
      </c>
      <c r="N242">
        <v>995158.5</v>
      </c>
      <c r="O242">
        <v>138716.85000000003</v>
      </c>
      <c r="P242">
        <v>0</v>
      </c>
      <c r="Q242">
        <v>113461.53</v>
      </c>
      <c r="R242">
        <v>612121.1</v>
      </c>
      <c r="S242">
        <v>0</v>
      </c>
      <c r="T242">
        <v>0</v>
      </c>
      <c r="U242">
        <v>0</v>
      </c>
      <c r="V242">
        <v>181000000</v>
      </c>
      <c r="W242">
        <v>0</v>
      </c>
      <c r="X242" t="s">
        <v>78</v>
      </c>
      <c r="Y242" s="16">
        <v>44291.623550115743</v>
      </c>
      <c r="Z242" s="17" t="str">
        <f>_xlfn.XLOOKUP(Table1[[#This Row],[Phase]],'Lookup tables'!$Y$27:$Y$60,'Lookup tables'!$Z$27:$Z$60,"Not Updated")</f>
        <v>Exploratory</v>
      </c>
      <c r="AA242" s="17" t="s">
        <v>661</v>
      </c>
      <c r="AB242">
        <v>0</v>
      </c>
      <c r="AC242">
        <v>0</v>
      </c>
      <c r="AD242">
        <v>0</v>
      </c>
      <c r="AE242">
        <v>0</v>
      </c>
      <c r="AF242">
        <v>0</v>
      </c>
      <c r="AG242">
        <v>0</v>
      </c>
      <c r="AH242">
        <v>0</v>
      </c>
      <c r="AI242">
        <v>0</v>
      </c>
      <c r="AJ242">
        <v>0</v>
      </c>
      <c r="AK242">
        <v>0</v>
      </c>
      <c r="AL242">
        <v>0</v>
      </c>
      <c r="AM242">
        <v>0</v>
      </c>
      <c r="AN242">
        <v>0</v>
      </c>
      <c r="AO242">
        <v>0</v>
      </c>
      <c r="AP242">
        <v>0</v>
      </c>
      <c r="AQ242">
        <v>0</v>
      </c>
      <c r="AR242">
        <v>0</v>
      </c>
      <c r="AS242">
        <v>0</v>
      </c>
      <c r="AT242">
        <v>0</v>
      </c>
      <c r="AU242">
        <v>0</v>
      </c>
      <c r="AV242">
        <v>0</v>
      </c>
      <c r="AW242">
        <v>0</v>
      </c>
      <c r="BG242" s="185"/>
      <c r="BH242" s="185"/>
      <c r="BI242" s="185"/>
      <c r="BJ242" s="185"/>
      <c r="BK242" s="185"/>
      <c r="BL242" s="185"/>
      <c r="BM242" s="185"/>
      <c r="BN242" s="185"/>
      <c r="BO242" s="185"/>
      <c r="BP242" s="185"/>
      <c r="BQ242" s="185"/>
      <c r="BR242" s="185"/>
      <c r="BS242" s="185"/>
      <c r="BT242" s="185"/>
      <c r="BU242" t="b">
        <f>IF(_xlfn.MAXIFS(Table1[Sl No],Table1[Category],Table1[[#This Row],[Category]],Table1[Execution Year],Table1[[#This Row],[Execution Year]])=Table1[[#This Row],[Sl No]],TRUE,FALSE)</f>
        <v>0</v>
      </c>
      <c r="BV242" s="201">
        <f>SUM(Table1[[#This Row],[Spend - CAN]:[Spend - Sams]])+SUM(Table1[[#This Row],[Spend - Sams Mexico]:[Spend - Sams China]])+Table1[[#This Row],[Spend - IND]]</f>
        <v>184300105.12</v>
      </c>
      <c r="BW242">
        <f>SUM(Table1[[#This Row],[Savings - CAN]:[Savings - Sams]])+SUM(Table1[[#This Row],[Savings - Sams Mexico]:[Savings - Sams China]])+Table1[[#This Row],[Savings - IND]]</f>
        <v>0</v>
      </c>
      <c r="BX242">
        <f>SUM(Table1[[#This Row],[Spend - CAN]:[Spend - SAF]])+SUM(Table1[[#This Row],[Spend - Sams Mexico]:[Spend - Sams China]])+Table1[[#This Row],[Spend - IND]]</f>
        <v>3300105.12</v>
      </c>
      <c r="BY242">
        <f>SUM(Table1[[#This Row],[Savings - CAN]:[Savings - SAF]])+SUM(Table1[[#This Row],[Savings - Sams Mexico]:[Savings - Sams China]])+Table1[[#This Row],[Savings - IND]]</f>
        <v>0</v>
      </c>
      <c r="BZ242">
        <f>SUM(Table1[[#This Row],[Spend - US]:[Spend - Sams]])</f>
        <v>181000000</v>
      </c>
      <c r="CA242">
        <f>SUM(Table1[[#This Row],[Savings - US]:[Savings - Sams]])</f>
        <v>0</v>
      </c>
      <c r="CB242">
        <f>SUM(Table1[[#This Row],[Cost Avoidance - CAN2]:[Cost Avoidance - SAF10]])+SUM(Table1[[#This Row],[Cost Avoidance - Sams Mexico]:[Cost Avoidance - Sams China]])+Table1[[#This Row],[Cost Avoidance - IND]]</f>
        <v>0</v>
      </c>
      <c r="CC242">
        <f>SUM(Table1[[#This Row],[Cost Avoidance - US11]:[Cost Avoidance - Sams12]])</f>
        <v>0</v>
      </c>
      <c r="CD242" t="str">
        <f>_xlfn.XLOOKUP(Table1[[#This Row],[Status]],Status_Lookups[Status],Status_Lookups[Value],"")</f>
        <v/>
      </c>
    </row>
    <row r="243" spans="1:82">
      <c r="A243">
        <v>7</v>
      </c>
      <c r="B243" t="s">
        <v>457</v>
      </c>
      <c r="C243" t="s">
        <v>43</v>
      </c>
      <c r="D243" t="s">
        <v>39</v>
      </c>
      <c r="E243" s="15">
        <v>44409</v>
      </c>
      <c r="F243" s="15">
        <v>44500</v>
      </c>
      <c r="G243" s="15"/>
      <c r="H243" s="15"/>
      <c r="I243" t="s">
        <v>458</v>
      </c>
      <c r="J243">
        <v>0</v>
      </c>
      <c r="K243" t="s">
        <v>445</v>
      </c>
      <c r="L243">
        <v>0</v>
      </c>
      <c r="M243">
        <v>1440647.1400000001</v>
      </c>
      <c r="N243">
        <v>995158.5</v>
      </c>
      <c r="O243">
        <v>138716.85000000003</v>
      </c>
      <c r="P243">
        <v>0</v>
      </c>
      <c r="Q243">
        <v>113461.53</v>
      </c>
      <c r="R243">
        <v>612121.1</v>
      </c>
      <c r="S243">
        <v>0</v>
      </c>
      <c r="T243">
        <v>0</v>
      </c>
      <c r="U243">
        <v>0</v>
      </c>
      <c r="V243">
        <v>181000000</v>
      </c>
      <c r="W243">
        <v>0</v>
      </c>
      <c r="X243" t="s">
        <v>78</v>
      </c>
      <c r="Y243" s="16">
        <v>44301.600581134262</v>
      </c>
      <c r="Z243" s="17" t="str">
        <f>_xlfn.XLOOKUP(Table1[[#This Row],[Phase]],'Lookup tables'!$Y$27:$Y$60,'Lookup tables'!$Z$27:$Z$60,"Not Updated")</f>
        <v>Exploratory</v>
      </c>
      <c r="AA243" s="17" t="s">
        <v>661</v>
      </c>
      <c r="AB243">
        <v>0</v>
      </c>
      <c r="AC243">
        <v>0</v>
      </c>
      <c r="AD243">
        <v>0</v>
      </c>
      <c r="AE243">
        <v>0</v>
      </c>
      <c r="AF243">
        <v>0</v>
      </c>
      <c r="AG243">
        <v>0</v>
      </c>
      <c r="AH243">
        <v>0</v>
      </c>
      <c r="AI243">
        <v>0</v>
      </c>
      <c r="AJ243">
        <v>0</v>
      </c>
      <c r="AK243">
        <v>0</v>
      </c>
      <c r="AL243">
        <v>0</v>
      </c>
      <c r="AM243">
        <v>0</v>
      </c>
      <c r="AN243">
        <v>0</v>
      </c>
      <c r="AO243">
        <v>0</v>
      </c>
      <c r="AP243">
        <v>0</v>
      </c>
      <c r="AQ243">
        <v>0</v>
      </c>
      <c r="AR243">
        <v>0</v>
      </c>
      <c r="AS243">
        <v>0</v>
      </c>
      <c r="AT243">
        <v>0</v>
      </c>
      <c r="AU243">
        <v>0</v>
      </c>
      <c r="AV243">
        <v>0</v>
      </c>
      <c r="AW243">
        <v>0</v>
      </c>
      <c r="BG243" s="185"/>
      <c r="BH243" s="185"/>
      <c r="BI243" s="185"/>
      <c r="BJ243" s="185"/>
      <c r="BK243" s="185"/>
      <c r="BL243" s="185"/>
      <c r="BM243" s="185"/>
      <c r="BN243" s="185"/>
      <c r="BO243" s="185"/>
      <c r="BP243" s="185"/>
      <c r="BQ243" s="185"/>
      <c r="BR243" s="185"/>
      <c r="BS243" s="185"/>
      <c r="BT243" s="185"/>
      <c r="BU243" t="b">
        <f>IF(_xlfn.MAXIFS(Table1[Sl No],Table1[Category],Table1[[#This Row],[Category]],Table1[Execution Year],Table1[[#This Row],[Execution Year]])=Table1[[#This Row],[Sl No]],TRUE,FALSE)</f>
        <v>0</v>
      </c>
      <c r="BV243" s="201">
        <f>SUM(Table1[[#This Row],[Spend - CAN]:[Spend - Sams]])+SUM(Table1[[#This Row],[Spend - Sams Mexico]:[Spend - Sams China]])+Table1[[#This Row],[Spend - IND]]</f>
        <v>184300105.12</v>
      </c>
      <c r="BW243">
        <f>SUM(Table1[[#This Row],[Savings - CAN]:[Savings - Sams]])+SUM(Table1[[#This Row],[Savings - Sams Mexico]:[Savings - Sams China]])+Table1[[#This Row],[Savings - IND]]</f>
        <v>0</v>
      </c>
      <c r="BX243">
        <f>SUM(Table1[[#This Row],[Spend - CAN]:[Spend - SAF]])+SUM(Table1[[#This Row],[Spend - Sams Mexico]:[Spend - Sams China]])+Table1[[#This Row],[Spend - IND]]</f>
        <v>3300105.12</v>
      </c>
      <c r="BY243">
        <f>SUM(Table1[[#This Row],[Savings - CAN]:[Savings - SAF]])+SUM(Table1[[#This Row],[Savings - Sams Mexico]:[Savings - Sams China]])+Table1[[#This Row],[Savings - IND]]</f>
        <v>0</v>
      </c>
      <c r="BZ243">
        <f>SUM(Table1[[#This Row],[Spend - US]:[Spend - Sams]])</f>
        <v>181000000</v>
      </c>
      <c r="CA243">
        <f>SUM(Table1[[#This Row],[Savings - US]:[Savings - Sams]])</f>
        <v>0</v>
      </c>
      <c r="CB243">
        <f>SUM(Table1[[#This Row],[Cost Avoidance - CAN2]:[Cost Avoidance - SAF10]])+SUM(Table1[[#This Row],[Cost Avoidance - Sams Mexico]:[Cost Avoidance - Sams China]])+Table1[[#This Row],[Cost Avoidance - IND]]</f>
        <v>0</v>
      </c>
      <c r="CC243">
        <f>SUM(Table1[[#This Row],[Cost Avoidance - US11]:[Cost Avoidance - Sams12]])</f>
        <v>0</v>
      </c>
      <c r="CD243" t="str">
        <f>_xlfn.XLOOKUP(Table1[[#This Row],[Status]],Status_Lookups[Status],Status_Lookups[Value],"")</f>
        <v/>
      </c>
    </row>
    <row r="244" spans="1:82">
      <c r="A244">
        <v>8</v>
      </c>
      <c r="B244" t="s">
        <v>457</v>
      </c>
      <c r="C244" t="s">
        <v>43</v>
      </c>
      <c r="D244" t="s">
        <v>39</v>
      </c>
      <c r="E244" s="15">
        <v>44470</v>
      </c>
      <c r="F244" s="15">
        <v>44562</v>
      </c>
      <c r="G244" s="15">
        <v>0</v>
      </c>
      <c r="H244" s="15">
        <v>0</v>
      </c>
      <c r="I244" t="s">
        <v>458</v>
      </c>
      <c r="J244">
        <v>0</v>
      </c>
      <c r="K244" t="s">
        <v>445</v>
      </c>
      <c r="L244">
        <v>0</v>
      </c>
      <c r="M244">
        <v>1440647.1400000001</v>
      </c>
      <c r="N244">
        <v>995158.5</v>
      </c>
      <c r="O244">
        <v>138716.85000000003</v>
      </c>
      <c r="P244">
        <v>0</v>
      </c>
      <c r="Q244">
        <v>113461.53</v>
      </c>
      <c r="R244">
        <v>612121.1</v>
      </c>
      <c r="S244">
        <v>0</v>
      </c>
      <c r="T244">
        <v>0</v>
      </c>
      <c r="U244">
        <v>0</v>
      </c>
      <c r="V244">
        <v>181000000</v>
      </c>
      <c r="W244">
        <v>0</v>
      </c>
      <c r="X244" t="s">
        <v>78</v>
      </c>
      <c r="Y244" s="16">
        <v>44385.342597337964</v>
      </c>
      <c r="Z244" s="17" t="str">
        <f>_xlfn.XLOOKUP(Table1[[#This Row],[Phase]],'Lookup tables'!$Y$27:$Y$60,'Lookup tables'!$Z$27:$Z$60,"Not Updated")</f>
        <v>Exploratory</v>
      </c>
      <c r="AA244" s="17" t="s">
        <v>661</v>
      </c>
      <c r="AB244">
        <v>0</v>
      </c>
      <c r="AC244">
        <v>0</v>
      </c>
      <c r="AD244">
        <v>0</v>
      </c>
      <c r="AE244">
        <v>0</v>
      </c>
      <c r="AF244">
        <v>0</v>
      </c>
      <c r="AG244">
        <v>0</v>
      </c>
      <c r="AH244">
        <v>0</v>
      </c>
      <c r="AI244">
        <v>0</v>
      </c>
      <c r="AJ244">
        <v>0</v>
      </c>
      <c r="AK244">
        <v>0</v>
      </c>
      <c r="AL244">
        <v>0</v>
      </c>
      <c r="AM244">
        <v>0</v>
      </c>
      <c r="AN244">
        <v>0</v>
      </c>
      <c r="AO244">
        <v>0</v>
      </c>
      <c r="AP244">
        <v>0</v>
      </c>
      <c r="AQ244">
        <v>0</v>
      </c>
      <c r="AR244">
        <v>0</v>
      </c>
      <c r="AS244">
        <v>0</v>
      </c>
      <c r="AT244">
        <v>0</v>
      </c>
      <c r="AU244">
        <v>0</v>
      </c>
      <c r="AV244">
        <v>0</v>
      </c>
      <c r="AW244">
        <v>0</v>
      </c>
      <c r="BG244" s="185"/>
      <c r="BH244" s="185"/>
      <c r="BI244" s="185"/>
      <c r="BJ244" s="185"/>
      <c r="BK244" s="185"/>
      <c r="BL244" s="185"/>
      <c r="BM244" s="185"/>
      <c r="BN244" s="185"/>
      <c r="BO244" s="185"/>
      <c r="BP244" s="185"/>
      <c r="BQ244" s="185"/>
      <c r="BR244" s="185"/>
      <c r="BS244" s="185"/>
      <c r="BT244" s="185"/>
      <c r="BU244" t="b">
        <f>IF(_xlfn.MAXIFS(Table1[Sl No],Table1[Category],Table1[[#This Row],[Category]],Table1[Execution Year],Table1[[#This Row],[Execution Year]])=Table1[[#This Row],[Sl No]],TRUE,FALSE)</f>
        <v>0</v>
      </c>
      <c r="BV244" s="201">
        <f>SUM(Table1[[#This Row],[Spend - CAN]:[Spend - Sams]])+SUM(Table1[[#This Row],[Spend - Sams Mexico]:[Spend - Sams China]])+Table1[[#This Row],[Spend - IND]]</f>
        <v>184300105.12</v>
      </c>
      <c r="BW244">
        <f>SUM(Table1[[#This Row],[Savings - CAN]:[Savings - Sams]])+SUM(Table1[[#This Row],[Savings - Sams Mexico]:[Savings - Sams China]])+Table1[[#This Row],[Savings - IND]]</f>
        <v>0</v>
      </c>
      <c r="BX244">
        <f>SUM(Table1[[#This Row],[Spend - CAN]:[Spend - SAF]])+SUM(Table1[[#This Row],[Spend - Sams Mexico]:[Spend - Sams China]])+Table1[[#This Row],[Spend - IND]]</f>
        <v>3300105.12</v>
      </c>
      <c r="BY244">
        <f>SUM(Table1[[#This Row],[Savings - CAN]:[Savings - SAF]])+SUM(Table1[[#This Row],[Savings - Sams Mexico]:[Savings - Sams China]])+Table1[[#This Row],[Savings - IND]]</f>
        <v>0</v>
      </c>
      <c r="BZ244">
        <f>SUM(Table1[[#This Row],[Spend - US]:[Spend - Sams]])</f>
        <v>181000000</v>
      </c>
      <c r="CA244">
        <f>SUM(Table1[[#This Row],[Savings - US]:[Savings - Sams]])</f>
        <v>0</v>
      </c>
      <c r="CB244">
        <f>SUM(Table1[[#This Row],[Cost Avoidance - CAN2]:[Cost Avoidance - SAF10]])+SUM(Table1[[#This Row],[Cost Avoidance - Sams Mexico]:[Cost Avoidance - Sams China]])+Table1[[#This Row],[Cost Avoidance - IND]]</f>
        <v>0</v>
      </c>
      <c r="CC244">
        <f>SUM(Table1[[#This Row],[Cost Avoidance - US11]:[Cost Avoidance - Sams12]])</f>
        <v>0</v>
      </c>
      <c r="CD244" t="str">
        <f>_xlfn.XLOOKUP(Table1[[#This Row],[Status]],Status_Lookups[Status],Status_Lookups[Value],"")</f>
        <v/>
      </c>
    </row>
    <row r="245" spans="1:82">
      <c r="A245">
        <v>9</v>
      </c>
      <c r="B245" t="s">
        <v>457</v>
      </c>
      <c r="C245" t="s">
        <v>43</v>
      </c>
      <c r="D245" t="s">
        <v>39</v>
      </c>
      <c r="E245" s="15">
        <v>44501</v>
      </c>
      <c r="F245" s="15">
        <v>44562</v>
      </c>
      <c r="G245" s="15">
        <v>0</v>
      </c>
      <c r="H245" s="15">
        <v>0</v>
      </c>
      <c r="I245" t="s">
        <v>458</v>
      </c>
      <c r="J245">
        <v>0</v>
      </c>
      <c r="K245" t="s">
        <v>445</v>
      </c>
      <c r="L245">
        <v>0</v>
      </c>
      <c r="M245">
        <v>1440647.1400000001</v>
      </c>
      <c r="N245">
        <v>995158.5</v>
      </c>
      <c r="O245">
        <v>138716.85000000003</v>
      </c>
      <c r="P245">
        <v>0</v>
      </c>
      <c r="Q245">
        <v>113461.53</v>
      </c>
      <c r="R245">
        <v>612121.1</v>
      </c>
      <c r="S245">
        <v>0</v>
      </c>
      <c r="T245">
        <v>0</v>
      </c>
      <c r="U245">
        <v>0</v>
      </c>
      <c r="V245">
        <v>181000000</v>
      </c>
      <c r="W245">
        <v>0</v>
      </c>
      <c r="X245" t="s">
        <v>78</v>
      </c>
      <c r="Y245" s="16">
        <v>44385.344070949075</v>
      </c>
      <c r="Z245" s="17" t="str">
        <f>_xlfn.XLOOKUP(Table1[[#This Row],[Phase]],'Lookup tables'!$Y$27:$Y$60,'Lookup tables'!$Z$27:$Z$60,"Not Updated")</f>
        <v>Exploratory</v>
      </c>
      <c r="AA245" s="17" t="s">
        <v>661</v>
      </c>
      <c r="AB245">
        <v>0</v>
      </c>
      <c r="AC245">
        <v>0</v>
      </c>
      <c r="AD245">
        <v>0</v>
      </c>
      <c r="AE245">
        <v>0</v>
      </c>
      <c r="AF245">
        <v>0</v>
      </c>
      <c r="AG245">
        <v>0</v>
      </c>
      <c r="AH245">
        <v>0</v>
      </c>
      <c r="AI245">
        <v>0</v>
      </c>
      <c r="AJ245">
        <v>0</v>
      </c>
      <c r="AK245">
        <v>0</v>
      </c>
      <c r="AL245">
        <v>0</v>
      </c>
      <c r="AM245">
        <v>0</v>
      </c>
      <c r="AN245">
        <v>0</v>
      </c>
      <c r="AO245">
        <v>0</v>
      </c>
      <c r="AP245">
        <v>0</v>
      </c>
      <c r="AQ245">
        <v>0</v>
      </c>
      <c r="AR245">
        <v>0</v>
      </c>
      <c r="AS245">
        <v>0</v>
      </c>
      <c r="AT245">
        <v>0</v>
      </c>
      <c r="AU245">
        <v>0</v>
      </c>
      <c r="AV245">
        <v>0</v>
      </c>
      <c r="AW245">
        <v>0</v>
      </c>
      <c r="BG245" s="185"/>
      <c r="BH245" s="185"/>
      <c r="BI245" s="185"/>
      <c r="BJ245" s="185"/>
      <c r="BK245" s="185"/>
      <c r="BL245" s="185"/>
      <c r="BM245" s="185"/>
      <c r="BN245" s="185"/>
      <c r="BO245" s="185"/>
      <c r="BP245" s="185"/>
      <c r="BQ245" s="185"/>
      <c r="BR245" s="185"/>
      <c r="BS245" s="185"/>
      <c r="BT245" s="185"/>
      <c r="BU245" t="b">
        <f>IF(_xlfn.MAXIFS(Table1[Sl No],Table1[Category],Table1[[#This Row],[Category]],Table1[Execution Year],Table1[[#This Row],[Execution Year]])=Table1[[#This Row],[Sl No]],TRUE,FALSE)</f>
        <v>0</v>
      </c>
      <c r="BV245" s="201">
        <f>SUM(Table1[[#This Row],[Spend - CAN]:[Spend - Sams]])+SUM(Table1[[#This Row],[Spend - Sams Mexico]:[Spend - Sams China]])+Table1[[#This Row],[Spend - IND]]</f>
        <v>184300105.12</v>
      </c>
      <c r="BW245">
        <f>SUM(Table1[[#This Row],[Savings - CAN]:[Savings - Sams]])+SUM(Table1[[#This Row],[Savings - Sams Mexico]:[Savings - Sams China]])+Table1[[#This Row],[Savings - IND]]</f>
        <v>0</v>
      </c>
      <c r="BX245">
        <f>SUM(Table1[[#This Row],[Spend - CAN]:[Spend - SAF]])+SUM(Table1[[#This Row],[Spend - Sams Mexico]:[Spend - Sams China]])+Table1[[#This Row],[Spend - IND]]</f>
        <v>3300105.12</v>
      </c>
      <c r="BY245">
        <f>SUM(Table1[[#This Row],[Savings - CAN]:[Savings - SAF]])+SUM(Table1[[#This Row],[Savings - Sams Mexico]:[Savings - Sams China]])+Table1[[#This Row],[Savings - IND]]</f>
        <v>0</v>
      </c>
      <c r="BZ245">
        <f>SUM(Table1[[#This Row],[Spend - US]:[Spend - Sams]])</f>
        <v>181000000</v>
      </c>
      <c r="CA245">
        <f>SUM(Table1[[#This Row],[Savings - US]:[Savings - Sams]])</f>
        <v>0</v>
      </c>
      <c r="CB245">
        <f>SUM(Table1[[#This Row],[Cost Avoidance - CAN2]:[Cost Avoidance - SAF10]])+SUM(Table1[[#This Row],[Cost Avoidance - Sams Mexico]:[Cost Avoidance - Sams China]])+Table1[[#This Row],[Cost Avoidance - IND]]</f>
        <v>0</v>
      </c>
      <c r="CC245">
        <f>SUM(Table1[[#This Row],[Cost Avoidance - US11]:[Cost Avoidance - Sams12]])</f>
        <v>0</v>
      </c>
      <c r="CD245" t="str">
        <f>_xlfn.XLOOKUP(Table1[[#This Row],[Status]],Status_Lookups[Status],Status_Lookups[Value],"")</f>
        <v/>
      </c>
    </row>
    <row r="246" spans="1:82">
      <c r="A246">
        <v>10</v>
      </c>
      <c r="B246" t="s">
        <v>457</v>
      </c>
      <c r="C246" t="s">
        <v>43</v>
      </c>
      <c r="D246" t="s">
        <v>39</v>
      </c>
      <c r="E246" s="15">
        <v>44501</v>
      </c>
      <c r="F246" s="15">
        <v>44592</v>
      </c>
      <c r="G246" s="15">
        <v>0</v>
      </c>
      <c r="H246" s="15">
        <v>0</v>
      </c>
      <c r="I246" t="s">
        <v>458</v>
      </c>
      <c r="J246">
        <v>0</v>
      </c>
      <c r="K246" t="s">
        <v>445</v>
      </c>
      <c r="L246">
        <v>0</v>
      </c>
      <c r="M246">
        <v>1440647.1400000001</v>
      </c>
      <c r="N246">
        <v>995158.5</v>
      </c>
      <c r="O246">
        <v>138716.85000000003</v>
      </c>
      <c r="P246">
        <v>0</v>
      </c>
      <c r="Q246">
        <v>113461.53</v>
      </c>
      <c r="R246">
        <v>612121.1</v>
      </c>
      <c r="S246">
        <v>0</v>
      </c>
      <c r="T246">
        <v>0</v>
      </c>
      <c r="U246">
        <v>0</v>
      </c>
      <c r="V246">
        <v>181000000</v>
      </c>
      <c r="W246">
        <v>0</v>
      </c>
      <c r="X246" t="s">
        <v>78</v>
      </c>
      <c r="Y246" s="16">
        <v>44385.347180092591</v>
      </c>
      <c r="Z246" s="17" t="str">
        <f>_xlfn.XLOOKUP(Table1[[#This Row],[Phase]],'Lookup tables'!$Y$27:$Y$60,'Lookup tables'!$Z$27:$Z$60,"Not Updated")</f>
        <v>Exploratory</v>
      </c>
      <c r="AA246" s="17" t="s">
        <v>661</v>
      </c>
      <c r="AB246">
        <v>0</v>
      </c>
      <c r="AC246">
        <v>0</v>
      </c>
      <c r="AD246">
        <v>0</v>
      </c>
      <c r="AE246">
        <v>0</v>
      </c>
      <c r="AF246">
        <v>0</v>
      </c>
      <c r="AG246">
        <v>0</v>
      </c>
      <c r="AH246">
        <v>0</v>
      </c>
      <c r="AI246">
        <v>0</v>
      </c>
      <c r="AJ246">
        <v>0</v>
      </c>
      <c r="AK246">
        <v>0</v>
      </c>
      <c r="AL246">
        <v>0</v>
      </c>
      <c r="AM246">
        <v>0</v>
      </c>
      <c r="AN246">
        <v>0</v>
      </c>
      <c r="AO246">
        <v>0</v>
      </c>
      <c r="AP246">
        <v>0</v>
      </c>
      <c r="AQ246">
        <v>0</v>
      </c>
      <c r="AR246">
        <v>0</v>
      </c>
      <c r="AS246">
        <v>0</v>
      </c>
      <c r="AT246">
        <v>0</v>
      </c>
      <c r="AU246">
        <v>0</v>
      </c>
      <c r="AV246">
        <v>0</v>
      </c>
      <c r="AW246">
        <v>0</v>
      </c>
      <c r="BG246" s="185"/>
      <c r="BH246" s="185"/>
      <c r="BI246" s="185"/>
      <c r="BJ246" s="185"/>
      <c r="BK246" s="185"/>
      <c r="BL246" s="185"/>
      <c r="BM246" s="185"/>
      <c r="BN246" s="185"/>
      <c r="BO246" s="185"/>
      <c r="BP246" s="185"/>
      <c r="BQ246" s="185"/>
      <c r="BR246" s="185"/>
      <c r="BS246" s="185"/>
      <c r="BT246" s="185"/>
      <c r="BU246" t="b">
        <f>IF(_xlfn.MAXIFS(Table1[Sl No],Table1[Category],Table1[[#This Row],[Category]],Table1[Execution Year],Table1[[#This Row],[Execution Year]])=Table1[[#This Row],[Sl No]],TRUE,FALSE)</f>
        <v>0</v>
      </c>
      <c r="BV246" s="201">
        <f>SUM(Table1[[#This Row],[Spend - CAN]:[Spend - Sams]])+SUM(Table1[[#This Row],[Spend - Sams Mexico]:[Spend - Sams China]])+Table1[[#This Row],[Spend - IND]]</f>
        <v>184300105.12</v>
      </c>
      <c r="BW246">
        <f>SUM(Table1[[#This Row],[Savings - CAN]:[Savings - Sams]])+SUM(Table1[[#This Row],[Savings - Sams Mexico]:[Savings - Sams China]])+Table1[[#This Row],[Savings - IND]]</f>
        <v>0</v>
      </c>
      <c r="BX246">
        <f>SUM(Table1[[#This Row],[Spend - CAN]:[Spend - SAF]])+SUM(Table1[[#This Row],[Spend - Sams Mexico]:[Spend - Sams China]])+Table1[[#This Row],[Spend - IND]]</f>
        <v>3300105.12</v>
      </c>
      <c r="BY246">
        <f>SUM(Table1[[#This Row],[Savings - CAN]:[Savings - SAF]])+SUM(Table1[[#This Row],[Savings - Sams Mexico]:[Savings - Sams China]])+Table1[[#This Row],[Savings - IND]]</f>
        <v>0</v>
      </c>
      <c r="BZ246">
        <f>SUM(Table1[[#This Row],[Spend - US]:[Spend - Sams]])</f>
        <v>181000000</v>
      </c>
      <c r="CA246">
        <f>SUM(Table1[[#This Row],[Savings - US]:[Savings - Sams]])</f>
        <v>0</v>
      </c>
      <c r="CB246">
        <f>SUM(Table1[[#This Row],[Cost Avoidance - CAN2]:[Cost Avoidance - SAF10]])+SUM(Table1[[#This Row],[Cost Avoidance - Sams Mexico]:[Cost Avoidance - Sams China]])+Table1[[#This Row],[Cost Avoidance - IND]]</f>
        <v>0</v>
      </c>
      <c r="CC246">
        <f>SUM(Table1[[#This Row],[Cost Avoidance - US11]:[Cost Avoidance - Sams12]])</f>
        <v>0</v>
      </c>
      <c r="CD246" t="str">
        <f>_xlfn.XLOOKUP(Table1[[#This Row],[Status]],Status_Lookups[Status],Status_Lookups[Value],"")</f>
        <v/>
      </c>
    </row>
    <row r="247" spans="1:82">
      <c r="A247">
        <v>11</v>
      </c>
      <c r="B247" t="s">
        <v>457</v>
      </c>
      <c r="C247" t="s">
        <v>43</v>
      </c>
      <c r="D247" t="s">
        <v>39</v>
      </c>
      <c r="E247" s="15">
        <v>44531</v>
      </c>
      <c r="F247" s="15">
        <v>44681</v>
      </c>
      <c r="G247" s="15">
        <v>0</v>
      </c>
      <c r="H247" s="15">
        <v>0</v>
      </c>
      <c r="I247" t="s">
        <v>458</v>
      </c>
      <c r="J247">
        <v>0</v>
      </c>
      <c r="K247" t="s">
        <v>445</v>
      </c>
      <c r="L247">
        <v>0</v>
      </c>
      <c r="M247">
        <v>1440647.1400000001</v>
      </c>
      <c r="N247">
        <v>995158.5</v>
      </c>
      <c r="O247">
        <v>138716.85000000003</v>
      </c>
      <c r="P247">
        <v>0</v>
      </c>
      <c r="Q247">
        <v>113461.53</v>
      </c>
      <c r="R247">
        <v>612121.1</v>
      </c>
      <c r="S247">
        <v>0</v>
      </c>
      <c r="T247">
        <v>0</v>
      </c>
      <c r="U247">
        <v>0</v>
      </c>
      <c r="V247">
        <v>181000000</v>
      </c>
      <c r="W247">
        <v>0</v>
      </c>
      <c r="X247" t="s">
        <v>78</v>
      </c>
      <c r="Y247" s="16">
        <v>44502.437948148145</v>
      </c>
      <c r="Z247" s="17" t="str">
        <f>_xlfn.XLOOKUP(Table1[[#This Row],[Phase]],'Lookup tables'!$Y$27:$Y$60,'Lookup tables'!$Z$27:$Z$60,"Not Updated")</f>
        <v>Exploratory</v>
      </c>
      <c r="AA247" s="17" t="s">
        <v>661</v>
      </c>
      <c r="AB247">
        <v>0</v>
      </c>
      <c r="AC247">
        <v>0</v>
      </c>
      <c r="AD247">
        <v>0</v>
      </c>
      <c r="AE247">
        <v>0</v>
      </c>
      <c r="AF247">
        <v>0</v>
      </c>
      <c r="AG247">
        <v>0</v>
      </c>
      <c r="AH247">
        <v>0</v>
      </c>
      <c r="AI247">
        <v>0</v>
      </c>
      <c r="AJ247">
        <v>0</v>
      </c>
      <c r="AK247">
        <v>0</v>
      </c>
      <c r="AL247">
        <v>0</v>
      </c>
      <c r="AM247">
        <v>0</v>
      </c>
      <c r="AN247">
        <v>0</v>
      </c>
      <c r="AO247">
        <v>0</v>
      </c>
      <c r="AP247">
        <v>0</v>
      </c>
      <c r="AQ247">
        <v>0</v>
      </c>
      <c r="AR247">
        <v>0</v>
      </c>
      <c r="AS247">
        <v>0</v>
      </c>
      <c r="AT247">
        <v>0</v>
      </c>
      <c r="AU247">
        <v>0</v>
      </c>
      <c r="AV247">
        <v>0</v>
      </c>
      <c r="AW247">
        <v>0</v>
      </c>
      <c r="BG247" s="185"/>
      <c r="BH247" s="185"/>
      <c r="BI247" s="185"/>
      <c r="BJ247" s="185"/>
      <c r="BK247" s="185"/>
      <c r="BL247" s="185"/>
      <c r="BM247" s="185"/>
      <c r="BN247" s="185"/>
      <c r="BO247" s="185"/>
      <c r="BP247" s="185"/>
      <c r="BQ247" s="185"/>
      <c r="BR247" s="185"/>
      <c r="BS247" s="185"/>
      <c r="BT247" s="185"/>
      <c r="BU247" t="b">
        <f>IF(_xlfn.MAXIFS(Table1[Sl No],Table1[Category],Table1[[#This Row],[Category]],Table1[Execution Year],Table1[[#This Row],[Execution Year]])=Table1[[#This Row],[Sl No]],TRUE,FALSE)</f>
        <v>0</v>
      </c>
      <c r="BV247" s="201">
        <f>SUM(Table1[[#This Row],[Spend - CAN]:[Spend - Sams]])+SUM(Table1[[#This Row],[Spend - Sams Mexico]:[Spend - Sams China]])+Table1[[#This Row],[Spend - IND]]</f>
        <v>184300105.12</v>
      </c>
      <c r="BW247">
        <f>SUM(Table1[[#This Row],[Savings - CAN]:[Savings - Sams]])+SUM(Table1[[#This Row],[Savings - Sams Mexico]:[Savings - Sams China]])+Table1[[#This Row],[Savings - IND]]</f>
        <v>0</v>
      </c>
      <c r="BX247">
        <f>SUM(Table1[[#This Row],[Spend - CAN]:[Spend - SAF]])+SUM(Table1[[#This Row],[Spend - Sams Mexico]:[Spend - Sams China]])+Table1[[#This Row],[Spend - IND]]</f>
        <v>3300105.12</v>
      </c>
      <c r="BY247">
        <f>SUM(Table1[[#This Row],[Savings - CAN]:[Savings - SAF]])+SUM(Table1[[#This Row],[Savings - Sams Mexico]:[Savings - Sams China]])+Table1[[#This Row],[Savings - IND]]</f>
        <v>0</v>
      </c>
      <c r="BZ247">
        <f>SUM(Table1[[#This Row],[Spend - US]:[Spend - Sams]])</f>
        <v>181000000</v>
      </c>
      <c r="CA247">
        <f>SUM(Table1[[#This Row],[Savings - US]:[Savings - Sams]])</f>
        <v>0</v>
      </c>
      <c r="CB247">
        <f>SUM(Table1[[#This Row],[Cost Avoidance - CAN2]:[Cost Avoidance - SAF10]])+SUM(Table1[[#This Row],[Cost Avoidance - Sams Mexico]:[Cost Avoidance - Sams China]])+Table1[[#This Row],[Cost Avoidance - IND]]</f>
        <v>0</v>
      </c>
      <c r="CC247">
        <f>SUM(Table1[[#This Row],[Cost Avoidance - US11]:[Cost Avoidance - Sams12]])</f>
        <v>0</v>
      </c>
      <c r="CD247" t="str">
        <f>_xlfn.XLOOKUP(Table1[[#This Row],[Status]],Status_Lookups[Status],Status_Lookups[Value],"")</f>
        <v/>
      </c>
    </row>
    <row r="248" spans="1:82">
      <c r="A248">
        <v>12</v>
      </c>
      <c r="B248" t="s">
        <v>457</v>
      </c>
      <c r="C248" t="s">
        <v>43</v>
      </c>
      <c r="D248" t="s">
        <v>39</v>
      </c>
      <c r="E248" s="15">
        <v>44531</v>
      </c>
      <c r="F248" s="15">
        <v>44681</v>
      </c>
      <c r="G248" s="15">
        <v>0</v>
      </c>
      <c r="H248" s="15">
        <v>0</v>
      </c>
      <c r="I248" t="s">
        <v>458</v>
      </c>
      <c r="J248">
        <v>0</v>
      </c>
      <c r="K248" t="s">
        <v>445</v>
      </c>
      <c r="L248">
        <v>0</v>
      </c>
      <c r="M248">
        <v>1300000</v>
      </c>
      <c r="N248">
        <v>4800000</v>
      </c>
      <c r="O248">
        <v>900000</v>
      </c>
      <c r="P248">
        <v>0</v>
      </c>
      <c r="Q248">
        <v>0</v>
      </c>
      <c r="R248">
        <v>800000</v>
      </c>
      <c r="S248">
        <v>0</v>
      </c>
      <c r="T248">
        <v>0</v>
      </c>
      <c r="U248">
        <v>0</v>
      </c>
      <c r="V248">
        <v>109000000</v>
      </c>
      <c r="W248">
        <v>103000000</v>
      </c>
      <c r="X248" t="s">
        <v>78</v>
      </c>
      <c r="Y248" s="16">
        <v>44502.439100462965</v>
      </c>
      <c r="Z248" s="17" t="str">
        <f>_xlfn.XLOOKUP(Table1[[#This Row],[Phase]],'Lookup tables'!$Y$27:$Y$60,'Lookup tables'!$Z$27:$Z$60,"Not Updated")</f>
        <v>Exploratory</v>
      </c>
      <c r="AA248" s="17" t="s">
        <v>661</v>
      </c>
      <c r="AB248">
        <v>0</v>
      </c>
      <c r="AC248">
        <v>0</v>
      </c>
      <c r="AD248">
        <v>0</v>
      </c>
      <c r="AE248">
        <v>0</v>
      </c>
      <c r="AF248">
        <v>0</v>
      </c>
      <c r="AG248">
        <v>0</v>
      </c>
      <c r="AH248">
        <v>0</v>
      </c>
      <c r="AI248">
        <v>0</v>
      </c>
      <c r="AJ248">
        <v>0</v>
      </c>
      <c r="AK248">
        <v>0</v>
      </c>
      <c r="AL248">
        <v>0</v>
      </c>
      <c r="AM248">
        <v>0</v>
      </c>
      <c r="AN248">
        <v>0</v>
      </c>
      <c r="AO248">
        <v>0</v>
      </c>
      <c r="AP248">
        <v>0</v>
      </c>
      <c r="AQ248">
        <v>0</v>
      </c>
      <c r="AR248">
        <v>0</v>
      </c>
      <c r="AS248">
        <v>0</v>
      </c>
      <c r="AT248">
        <v>0</v>
      </c>
      <c r="AU248">
        <v>0</v>
      </c>
      <c r="AV248">
        <v>0</v>
      </c>
      <c r="AW248">
        <v>0</v>
      </c>
      <c r="BG248" s="185"/>
      <c r="BH248" s="185"/>
      <c r="BI248" s="185"/>
      <c r="BJ248" s="185"/>
      <c r="BK248" s="185"/>
      <c r="BL248" s="185"/>
      <c r="BM248" s="185"/>
      <c r="BN248" s="185"/>
      <c r="BO248" s="185"/>
      <c r="BP248" s="185"/>
      <c r="BQ248" s="185"/>
      <c r="BR248" s="185"/>
      <c r="BS248" s="185"/>
      <c r="BT248" s="185"/>
      <c r="BU248" t="b">
        <f>IF(_xlfn.MAXIFS(Table1[Sl No],Table1[Category],Table1[[#This Row],[Category]],Table1[Execution Year],Table1[[#This Row],[Execution Year]])=Table1[[#This Row],[Sl No]],TRUE,FALSE)</f>
        <v>0</v>
      </c>
      <c r="BV248" s="201">
        <f>SUM(Table1[[#This Row],[Spend - CAN]:[Spend - Sams]])+SUM(Table1[[#This Row],[Spend - Sams Mexico]:[Spend - Sams China]])+Table1[[#This Row],[Spend - IND]]</f>
        <v>219800000</v>
      </c>
      <c r="BW248">
        <f>SUM(Table1[[#This Row],[Savings - CAN]:[Savings - Sams]])+SUM(Table1[[#This Row],[Savings - Sams Mexico]:[Savings - Sams China]])+Table1[[#This Row],[Savings - IND]]</f>
        <v>0</v>
      </c>
      <c r="BX248">
        <f>SUM(Table1[[#This Row],[Spend - CAN]:[Spend - SAF]])+SUM(Table1[[#This Row],[Spend - Sams Mexico]:[Spend - Sams China]])+Table1[[#This Row],[Spend - IND]]</f>
        <v>7800000</v>
      </c>
      <c r="BY248">
        <f>SUM(Table1[[#This Row],[Savings - CAN]:[Savings - SAF]])+SUM(Table1[[#This Row],[Savings - Sams Mexico]:[Savings - Sams China]])+Table1[[#This Row],[Savings - IND]]</f>
        <v>0</v>
      </c>
      <c r="BZ248">
        <f>SUM(Table1[[#This Row],[Spend - US]:[Spend - Sams]])</f>
        <v>212000000</v>
      </c>
      <c r="CA248">
        <f>SUM(Table1[[#This Row],[Savings - US]:[Savings - Sams]])</f>
        <v>0</v>
      </c>
      <c r="CB248">
        <f>SUM(Table1[[#This Row],[Cost Avoidance - CAN2]:[Cost Avoidance - SAF10]])+SUM(Table1[[#This Row],[Cost Avoidance - Sams Mexico]:[Cost Avoidance - Sams China]])+Table1[[#This Row],[Cost Avoidance - IND]]</f>
        <v>0</v>
      </c>
      <c r="CC248">
        <f>SUM(Table1[[#This Row],[Cost Avoidance - US11]:[Cost Avoidance - Sams12]])</f>
        <v>0</v>
      </c>
      <c r="CD248" t="str">
        <f>_xlfn.XLOOKUP(Table1[[#This Row],[Status]],Status_Lookups[Status],Status_Lookups[Value],"")</f>
        <v/>
      </c>
    </row>
    <row r="249" spans="1:82">
      <c r="A249">
        <v>1</v>
      </c>
      <c r="B249" t="s">
        <v>457</v>
      </c>
      <c r="C249" t="s">
        <v>43</v>
      </c>
      <c r="D249" t="s">
        <v>322</v>
      </c>
      <c r="E249" s="15"/>
      <c r="F249" s="15"/>
      <c r="G249" s="15"/>
      <c r="H249" s="15"/>
      <c r="X249" t="s">
        <v>78</v>
      </c>
      <c r="Y249" s="16">
        <v>44594.714594907404</v>
      </c>
      <c r="Z249" s="17" t="str">
        <f>_xlfn.XLOOKUP(Table1[[#This Row],[Phase]],'Lookup tables'!$Y$27:$Y$60,'Lookup tables'!$Z$27:$Z$60,"Not Updated")</f>
        <v>Not Updated</v>
      </c>
      <c r="AA249" s="17"/>
      <c r="BG249" s="185"/>
      <c r="BH249" s="185"/>
      <c r="BI249" s="185"/>
      <c r="BJ249" s="185"/>
      <c r="BK249" s="185"/>
      <c r="BL249" s="185"/>
      <c r="BM249" s="185"/>
      <c r="BN249" s="185"/>
      <c r="BO249" s="185"/>
      <c r="BP249" s="185"/>
      <c r="BQ249" s="185"/>
      <c r="BR249" s="185"/>
      <c r="BS249" s="185"/>
      <c r="BT249" s="185"/>
      <c r="BU249" t="b">
        <f>IF(_xlfn.MAXIFS(Table1[Sl No],Table1[Category],Table1[[#This Row],[Category]],Table1[Execution Year],Table1[[#This Row],[Execution Year]])=Table1[[#This Row],[Sl No]],TRUE,FALSE)</f>
        <v>0</v>
      </c>
      <c r="BV249" s="201">
        <f>SUM(Table1[[#This Row],[Spend - CAN]:[Spend - Sams]])+SUM(Table1[[#This Row],[Spend - Sams Mexico]:[Spend - Sams China]])+Table1[[#This Row],[Spend - IND]]</f>
        <v>0</v>
      </c>
      <c r="BW249">
        <f>SUM(Table1[[#This Row],[Savings - CAN]:[Savings - Sams]])+SUM(Table1[[#This Row],[Savings - Sams Mexico]:[Savings - Sams China]])+Table1[[#This Row],[Savings - IND]]</f>
        <v>0</v>
      </c>
      <c r="BX249">
        <f>SUM(Table1[[#This Row],[Spend - CAN]:[Spend - SAF]])+SUM(Table1[[#This Row],[Spend - Sams Mexico]:[Spend - Sams China]])+Table1[[#This Row],[Spend - IND]]</f>
        <v>0</v>
      </c>
      <c r="BY249">
        <f>SUM(Table1[[#This Row],[Savings - CAN]:[Savings - SAF]])+SUM(Table1[[#This Row],[Savings - Sams Mexico]:[Savings - Sams China]])+Table1[[#This Row],[Savings - IND]]</f>
        <v>0</v>
      </c>
      <c r="BZ249">
        <f>SUM(Table1[[#This Row],[Spend - US]:[Spend - Sams]])</f>
        <v>0</v>
      </c>
      <c r="CA249">
        <f>SUM(Table1[[#This Row],[Savings - US]:[Savings - Sams]])</f>
        <v>0</v>
      </c>
      <c r="CB249">
        <f>SUM(Table1[[#This Row],[Cost Avoidance - CAN2]:[Cost Avoidance - SAF10]])+SUM(Table1[[#This Row],[Cost Avoidance - Sams Mexico]:[Cost Avoidance - Sams China]])+Table1[[#This Row],[Cost Avoidance - IND]]</f>
        <v>0</v>
      </c>
      <c r="CC249">
        <f>SUM(Table1[[#This Row],[Cost Avoidance - US11]:[Cost Avoidance - Sams12]])</f>
        <v>0</v>
      </c>
      <c r="CD249" t="str">
        <f>_xlfn.XLOOKUP(Table1[[#This Row],[Status]],Status_Lookups[Status],Status_Lookups[Value],"")</f>
        <v/>
      </c>
    </row>
    <row r="250" spans="1:82">
      <c r="A250">
        <v>2</v>
      </c>
      <c r="B250" t="s">
        <v>457</v>
      </c>
      <c r="C250" t="s">
        <v>43</v>
      </c>
      <c r="D250" t="s">
        <v>322</v>
      </c>
      <c r="E250" s="15">
        <v>44593</v>
      </c>
      <c r="F250" s="15">
        <v>44774</v>
      </c>
      <c r="G250" s="15">
        <v>0</v>
      </c>
      <c r="H250" s="15">
        <v>0</v>
      </c>
      <c r="I250">
        <v>0</v>
      </c>
      <c r="J250">
        <v>0</v>
      </c>
      <c r="K250" t="s">
        <v>445</v>
      </c>
      <c r="L250">
        <v>0</v>
      </c>
      <c r="W250">
        <v>343000000</v>
      </c>
      <c r="X250" t="s">
        <v>78</v>
      </c>
      <c r="Y250" s="16">
        <v>44600.465525925923</v>
      </c>
      <c r="Z250" s="17" t="str">
        <f>_xlfn.XLOOKUP(Table1[[#This Row],[Phase]],'Lookup tables'!$Y$27:$Y$60,'Lookup tables'!$Z$27:$Z$60,"Not Updated")</f>
        <v>Not Updated</v>
      </c>
      <c r="AA250" s="17">
        <v>0</v>
      </c>
      <c r="AB250">
        <v>0</v>
      </c>
      <c r="AC250">
        <v>0</v>
      </c>
      <c r="AD250">
        <v>0</v>
      </c>
      <c r="AE250">
        <v>0</v>
      </c>
      <c r="AF250">
        <v>0</v>
      </c>
      <c r="AG250">
        <v>0</v>
      </c>
      <c r="AH250">
        <v>0</v>
      </c>
      <c r="AI250">
        <v>0</v>
      </c>
      <c r="AJ250">
        <v>0</v>
      </c>
      <c r="AK250">
        <v>0</v>
      </c>
      <c r="AL250">
        <v>0</v>
      </c>
      <c r="AM250">
        <v>0</v>
      </c>
      <c r="AN250">
        <v>0</v>
      </c>
      <c r="AO250">
        <v>0</v>
      </c>
      <c r="AP250">
        <v>0</v>
      </c>
      <c r="AQ250">
        <v>0</v>
      </c>
      <c r="AR250">
        <v>0</v>
      </c>
      <c r="AS250">
        <v>0</v>
      </c>
      <c r="AT250">
        <v>0</v>
      </c>
      <c r="AU250">
        <v>0</v>
      </c>
      <c r="AV250">
        <v>0</v>
      </c>
      <c r="AW250">
        <v>0</v>
      </c>
      <c r="AX250">
        <v>0</v>
      </c>
      <c r="AY250">
        <v>0</v>
      </c>
      <c r="AZ250">
        <v>0</v>
      </c>
      <c r="BA250">
        <v>0</v>
      </c>
      <c r="BB250">
        <v>0</v>
      </c>
      <c r="BC250">
        <v>0</v>
      </c>
      <c r="BD250">
        <v>0</v>
      </c>
      <c r="BE250">
        <v>0</v>
      </c>
      <c r="BF250">
        <v>0</v>
      </c>
      <c r="BG250" s="185">
        <v>0</v>
      </c>
      <c r="BH250" s="185">
        <v>0</v>
      </c>
      <c r="BI250" s="185">
        <v>0</v>
      </c>
      <c r="BJ250" s="185">
        <v>0</v>
      </c>
      <c r="BK250" s="185">
        <v>0</v>
      </c>
      <c r="BL250" s="185">
        <v>0</v>
      </c>
      <c r="BM250" s="185">
        <v>0</v>
      </c>
      <c r="BN250" s="185">
        <v>0</v>
      </c>
      <c r="BO250" s="185">
        <v>0</v>
      </c>
      <c r="BP250" s="185">
        <v>0</v>
      </c>
      <c r="BQ250" s="185">
        <v>0</v>
      </c>
      <c r="BR250" s="185">
        <v>0</v>
      </c>
      <c r="BS250" s="185">
        <v>0</v>
      </c>
      <c r="BT250" s="185">
        <v>0</v>
      </c>
      <c r="BU250" t="b">
        <f>IF(_xlfn.MAXIFS(Table1[Sl No],Table1[Category],Table1[[#This Row],[Category]],Table1[Execution Year],Table1[[#This Row],[Execution Year]])=Table1[[#This Row],[Sl No]],TRUE,FALSE)</f>
        <v>0</v>
      </c>
      <c r="BV250" s="201">
        <f>SUM(Table1[[#This Row],[Spend - CAN]:[Spend - Sams]])+SUM(Table1[[#This Row],[Spend - Sams Mexico]:[Spend - Sams China]])+Table1[[#This Row],[Spend - IND]]</f>
        <v>343000000</v>
      </c>
      <c r="BW250">
        <f>SUM(Table1[[#This Row],[Savings - CAN]:[Savings - Sams]])+SUM(Table1[[#This Row],[Savings - Sams Mexico]:[Savings - Sams China]])+Table1[[#This Row],[Savings - IND]]</f>
        <v>0</v>
      </c>
      <c r="BX250">
        <f>SUM(Table1[[#This Row],[Spend - CAN]:[Spend - SAF]])+SUM(Table1[[#This Row],[Spend - Sams Mexico]:[Spend - Sams China]])+Table1[[#This Row],[Spend - IND]]</f>
        <v>0</v>
      </c>
      <c r="BY250">
        <f>SUM(Table1[[#This Row],[Savings - CAN]:[Savings - SAF]])+SUM(Table1[[#This Row],[Savings - Sams Mexico]:[Savings - Sams China]])+Table1[[#This Row],[Savings - IND]]</f>
        <v>0</v>
      </c>
      <c r="BZ250">
        <f>SUM(Table1[[#This Row],[Spend - US]:[Spend - Sams]])</f>
        <v>343000000</v>
      </c>
      <c r="CA250">
        <f>SUM(Table1[[#This Row],[Savings - US]:[Savings - Sams]])</f>
        <v>0</v>
      </c>
      <c r="CB250">
        <f>SUM(Table1[[#This Row],[Cost Avoidance - CAN2]:[Cost Avoidance - SAF10]])+SUM(Table1[[#This Row],[Cost Avoidance - Sams Mexico]:[Cost Avoidance - Sams China]])+Table1[[#This Row],[Cost Avoidance - IND]]</f>
        <v>0</v>
      </c>
      <c r="CC250">
        <f>SUM(Table1[[#This Row],[Cost Avoidance - US11]:[Cost Avoidance - Sams12]])</f>
        <v>0</v>
      </c>
      <c r="CD250" t="str">
        <f>_xlfn.XLOOKUP(Table1[[#This Row],[Status]],Status_Lookups[Status],Status_Lookups[Value],"")</f>
        <v/>
      </c>
    </row>
    <row r="251" spans="1:82">
      <c r="A251">
        <v>3</v>
      </c>
      <c r="B251" t="s">
        <v>457</v>
      </c>
      <c r="C251" t="s">
        <v>43</v>
      </c>
      <c r="D251" t="s">
        <v>322</v>
      </c>
      <c r="E251" s="15">
        <v>44621</v>
      </c>
      <c r="F251" s="15">
        <v>44774</v>
      </c>
      <c r="G251" s="15">
        <v>0</v>
      </c>
      <c r="H251" s="15">
        <v>0</v>
      </c>
      <c r="I251" t="s">
        <v>484</v>
      </c>
      <c r="J251" t="s">
        <v>459</v>
      </c>
      <c r="K251" t="s">
        <v>445</v>
      </c>
      <c r="L251">
        <v>0</v>
      </c>
      <c r="W251">
        <v>343000000</v>
      </c>
      <c r="X251" t="s">
        <v>78</v>
      </c>
      <c r="Y251" s="16">
        <v>44600.466358449077</v>
      </c>
      <c r="Z251" s="17" t="str">
        <f>_xlfn.XLOOKUP(Table1[[#This Row],[Phase]],'Lookup tables'!$Y$27:$Y$60,'Lookup tables'!$Z$27:$Z$60,"Not Updated")</f>
        <v>Bid Prep</v>
      </c>
      <c r="AA251" s="17">
        <v>0</v>
      </c>
      <c r="AB251">
        <v>0</v>
      </c>
      <c r="AC251">
        <v>0</v>
      </c>
      <c r="AD251">
        <v>0</v>
      </c>
      <c r="AE251">
        <v>0</v>
      </c>
      <c r="AF251">
        <v>0</v>
      </c>
      <c r="AG251">
        <v>0</v>
      </c>
      <c r="AH251">
        <v>0</v>
      </c>
      <c r="AI251">
        <v>0</v>
      </c>
      <c r="AJ251">
        <v>0</v>
      </c>
      <c r="AK251">
        <v>0</v>
      </c>
      <c r="AL251">
        <v>0</v>
      </c>
      <c r="AM251">
        <v>0</v>
      </c>
      <c r="AN251">
        <v>0</v>
      </c>
      <c r="AO251">
        <v>0</v>
      </c>
      <c r="AP251">
        <v>0</v>
      </c>
      <c r="AQ251">
        <v>0</v>
      </c>
      <c r="AR251">
        <v>0</v>
      </c>
      <c r="AS251">
        <v>0</v>
      </c>
      <c r="AT251">
        <v>0</v>
      </c>
      <c r="AU251">
        <v>0</v>
      </c>
      <c r="AV251">
        <v>0</v>
      </c>
      <c r="AW251">
        <v>0</v>
      </c>
      <c r="AX251">
        <v>0</v>
      </c>
      <c r="AY251">
        <v>0</v>
      </c>
      <c r="AZ251">
        <v>0</v>
      </c>
      <c r="BA251">
        <v>0</v>
      </c>
      <c r="BB251">
        <v>0</v>
      </c>
      <c r="BC251">
        <v>0</v>
      </c>
      <c r="BD251">
        <v>0</v>
      </c>
      <c r="BE251">
        <v>0</v>
      </c>
      <c r="BF251">
        <v>0</v>
      </c>
      <c r="BG251" s="185">
        <v>0</v>
      </c>
      <c r="BH251" s="185">
        <v>0</v>
      </c>
      <c r="BI251" s="185">
        <v>0</v>
      </c>
      <c r="BJ251" s="185">
        <v>0</v>
      </c>
      <c r="BK251" s="185">
        <v>0</v>
      </c>
      <c r="BL251" s="185">
        <v>0</v>
      </c>
      <c r="BM251" s="185">
        <v>0</v>
      </c>
      <c r="BN251" s="185">
        <v>0</v>
      </c>
      <c r="BO251" s="185">
        <v>0</v>
      </c>
      <c r="BP251" s="185">
        <v>0</v>
      </c>
      <c r="BQ251" s="185">
        <v>0</v>
      </c>
      <c r="BR251" s="185">
        <v>0</v>
      </c>
      <c r="BS251" s="185">
        <v>0</v>
      </c>
      <c r="BT251" s="185">
        <v>0</v>
      </c>
      <c r="BU251" t="b">
        <f>IF(_xlfn.MAXIFS(Table1[Sl No],Table1[Category],Table1[[#This Row],[Category]],Table1[Execution Year],Table1[[#This Row],[Execution Year]])=Table1[[#This Row],[Sl No]],TRUE,FALSE)</f>
        <v>0</v>
      </c>
      <c r="BV251" s="201">
        <f>SUM(Table1[[#This Row],[Spend - CAN]:[Spend - Sams]])+SUM(Table1[[#This Row],[Spend - Sams Mexico]:[Spend - Sams China]])+Table1[[#This Row],[Spend - IND]]</f>
        <v>343000000</v>
      </c>
      <c r="BW251">
        <f>SUM(Table1[[#This Row],[Savings - CAN]:[Savings - Sams]])+SUM(Table1[[#This Row],[Savings - Sams Mexico]:[Savings - Sams China]])+Table1[[#This Row],[Savings - IND]]</f>
        <v>0</v>
      </c>
      <c r="BX251">
        <f>SUM(Table1[[#This Row],[Spend - CAN]:[Spend - SAF]])+SUM(Table1[[#This Row],[Spend - Sams Mexico]:[Spend - Sams China]])+Table1[[#This Row],[Spend - IND]]</f>
        <v>0</v>
      </c>
      <c r="BY251">
        <f>SUM(Table1[[#This Row],[Savings - CAN]:[Savings - SAF]])+SUM(Table1[[#This Row],[Savings - Sams Mexico]:[Savings - Sams China]])+Table1[[#This Row],[Savings - IND]]</f>
        <v>0</v>
      </c>
      <c r="BZ251">
        <f>SUM(Table1[[#This Row],[Spend - US]:[Spend - Sams]])</f>
        <v>343000000</v>
      </c>
      <c r="CA251">
        <f>SUM(Table1[[#This Row],[Savings - US]:[Savings - Sams]])</f>
        <v>0</v>
      </c>
      <c r="CB251">
        <f>SUM(Table1[[#This Row],[Cost Avoidance - CAN2]:[Cost Avoidance - SAF10]])+SUM(Table1[[#This Row],[Cost Avoidance - Sams Mexico]:[Cost Avoidance - Sams China]])+Table1[[#This Row],[Cost Avoidance - IND]]</f>
        <v>0</v>
      </c>
      <c r="CC251">
        <f>SUM(Table1[[#This Row],[Cost Avoidance - US11]:[Cost Avoidance - Sams12]])</f>
        <v>0</v>
      </c>
      <c r="CD251">
        <f>_xlfn.XLOOKUP(Table1[[#This Row],[Status]],Status_Lookups[Status],Status_Lookups[Value],"")</f>
        <v>0.3</v>
      </c>
    </row>
    <row r="252" spans="1:82">
      <c r="A252">
        <v>4</v>
      </c>
      <c r="B252" t="s">
        <v>457</v>
      </c>
      <c r="C252" t="s">
        <v>43</v>
      </c>
      <c r="D252" t="s">
        <v>322</v>
      </c>
      <c r="E252" s="15">
        <v>44652</v>
      </c>
      <c r="F252" s="15">
        <v>44774</v>
      </c>
      <c r="G252" s="15">
        <v>0</v>
      </c>
      <c r="H252" s="15">
        <v>0</v>
      </c>
      <c r="I252" t="s">
        <v>484</v>
      </c>
      <c r="J252" t="s">
        <v>459</v>
      </c>
      <c r="K252" t="s">
        <v>445</v>
      </c>
      <c r="L252">
        <v>0</v>
      </c>
      <c r="W252">
        <v>343000000</v>
      </c>
      <c r="X252" t="s">
        <v>78</v>
      </c>
      <c r="Y252" s="16">
        <v>44600.467008449072</v>
      </c>
      <c r="Z252" s="17" t="str">
        <f>_xlfn.XLOOKUP(Table1[[#This Row],[Phase]],'Lookup tables'!$Y$27:$Y$60,'Lookup tables'!$Z$27:$Z$60,"Not Updated")</f>
        <v>Bid Prep</v>
      </c>
      <c r="AA252" s="17">
        <v>0</v>
      </c>
      <c r="AB252">
        <v>0</v>
      </c>
      <c r="AC252">
        <v>0</v>
      </c>
      <c r="AD252">
        <v>0</v>
      </c>
      <c r="AE252">
        <v>0</v>
      </c>
      <c r="AF252">
        <v>0</v>
      </c>
      <c r="AG252">
        <v>0</v>
      </c>
      <c r="AH252">
        <v>0</v>
      </c>
      <c r="AI252">
        <v>0</v>
      </c>
      <c r="AJ252">
        <v>0</v>
      </c>
      <c r="AK252">
        <v>0</v>
      </c>
      <c r="AL252">
        <v>0</v>
      </c>
      <c r="AM252">
        <v>0</v>
      </c>
      <c r="AN252">
        <v>0</v>
      </c>
      <c r="AO252">
        <v>0</v>
      </c>
      <c r="AP252">
        <v>0</v>
      </c>
      <c r="AQ252">
        <v>0</v>
      </c>
      <c r="AR252">
        <v>0</v>
      </c>
      <c r="AS252">
        <v>0</v>
      </c>
      <c r="AT252">
        <v>0</v>
      </c>
      <c r="AU252">
        <v>0</v>
      </c>
      <c r="AV252">
        <v>0</v>
      </c>
      <c r="AW252">
        <v>0</v>
      </c>
      <c r="AX252">
        <v>0</v>
      </c>
      <c r="AY252">
        <v>0</v>
      </c>
      <c r="AZ252">
        <v>0</v>
      </c>
      <c r="BA252">
        <v>0</v>
      </c>
      <c r="BB252">
        <v>0</v>
      </c>
      <c r="BC252">
        <v>0</v>
      </c>
      <c r="BD252">
        <v>0</v>
      </c>
      <c r="BE252">
        <v>0</v>
      </c>
      <c r="BF252">
        <v>0</v>
      </c>
      <c r="BG252" s="185">
        <v>0</v>
      </c>
      <c r="BH252" s="185">
        <v>0</v>
      </c>
      <c r="BI252" s="185">
        <v>0</v>
      </c>
      <c r="BJ252" s="185">
        <v>0</v>
      </c>
      <c r="BK252" s="185">
        <v>0</v>
      </c>
      <c r="BL252" s="185">
        <v>0</v>
      </c>
      <c r="BM252" s="185">
        <v>0</v>
      </c>
      <c r="BN252" s="185">
        <v>0</v>
      </c>
      <c r="BO252" s="185">
        <v>0</v>
      </c>
      <c r="BP252" s="185">
        <v>0</v>
      </c>
      <c r="BQ252" s="185">
        <v>0</v>
      </c>
      <c r="BR252" s="185">
        <v>0</v>
      </c>
      <c r="BS252" s="185">
        <v>0</v>
      </c>
      <c r="BT252" s="185">
        <v>0</v>
      </c>
      <c r="BU252" t="b">
        <f>IF(_xlfn.MAXIFS(Table1[Sl No],Table1[Category],Table1[[#This Row],[Category]],Table1[Execution Year],Table1[[#This Row],[Execution Year]])=Table1[[#This Row],[Sl No]],TRUE,FALSE)</f>
        <v>0</v>
      </c>
      <c r="BV252" s="201">
        <f>SUM(Table1[[#This Row],[Spend - CAN]:[Spend - Sams]])+SUM(Table1[[#This Row],[Spend - Sams Mexico]:[Spend - Sams China]])+Table1[[#This Row],[Spend - IND]]</f>
        <v>343000000</v>
      </c>
      <c r="BW252">
        <f>SUM(Table1[[#This Row],[Savings - CAN]:[Savings - Sams]])+SUM(Table1[[#This Row],[Savings - Sams Mexico]:[Savings - Sams China]])+Table1[[#This Row],[Savings - IND]]</f>
        <v>0</v>
      </c>
      <c r="BX252">
        <f>SUM(Table1[[#This Row],[Spend - CAN]:[Spend - SAF]])+SUM(Table1[[#This Row],[Spend - Sams Mexico]:[Spend - Sams China]])+Table1[[#This Row],[Spend - IND]]</f>
        <v>0</v>
      </c>
      <c r="BY252">
        <f>SUM(Table1[[#This Row],[Savings - CAN]:[Savings - SAF]])+SUM(Table1[[#This Row],[Savings - Sams Mexico]:[Savings - Sams China]])+Table1[[#This Row],[Savings - IND]]</f>
        <v>0</v>
      </c>
      <c r="BZ252">
        <f>SUM(Table1[[#This Row],[Spend - US]:[Spend - Sams]])</f>
        <v>343000000</v>
      </c>
      <c r="CA252">
        <f>SUM(Table1[[#This Row],[Savings - US]:[Savings - Sams]])</f>
        <v>0</v>
      </c>
      <c r="CB252">
        <f>SUM(Table1[[#This Row],[Cost Avoidance - CAN2]:[Cost Avoidance - SAF10]])+SUM(Table1[[#This Row],[Cost Avoidance - Sams Mexico]:[Cost Avoidance - Sams China]])+Table1[[#This Row],[Cost Avoidance - IND]]</f>
        <v>0</v>
      </c>
      <c r="CC252">
        <f>SUM(Table1[[#This Row],[Cost Avoidance - US11]:[Cost Avoidance - Sams12]])</f>
        <v>0</v>
      </c>
      <c r="CD252">
        <f>_xlfn.XLOOKUP(Table1[[#This Row],[Status]],Status_Lookups[Status],Status_Lookups[Value],"")</f>
        <v>0.3</v>
      </c>
    </row>
    <row r="253" spans="1:82">
      <c r="A253">
        <v>5</v>
      </c>
      <c r="B253" t="s">
        <v>457</v>
      </c>
      <c r="C253" t="s">
        <v>43</v>
      </c>
      <c r="D253" t="s">
        <v>322</v>
      </c>
      <c r="E253" s="15">
        <v>44652</v>
      </c>
      <c r="F253" s="15">
        <v>44773</v>
      </c>
      <c r="G253" s="15">
        <v>0</v>
      </c>
      <c r="H253" s="15">
        <v>0</v>
      </c>
      <c r="I253" t="s">
        <v>484</v>
      </c>
      <c r="J253" t="s">
        <v>459</v>
      </c>
      <c r="K253" t="s">
        <v>445</v>
      </c>
      <c r="L253">
        <v>0</v>
      </c>
      <c r="W253">
        <v>343000000</v>
      </c>
      <c r="X253" t="s">
        <v>78</v>
      </c>
      <c r="Y253" s="16">
        <v>44600.467550810186</v>
      </c>
      <c r="Z253" s="17" t="str">
        <f>_xlfn.XLOOKUP(Table1[[#This Row],[Phase]],'Lookup tables'!$Y$27:$Y$60,'Lookup tables'!$Z$27:$Z$60,"Not Updated")</f>
        <v>Bid Prep</v>
      </c>
      <c r="AA253" s="17">
        <v>0</v>
      </c>
      <c r="AB253">
        <v>0</v>
      </c>
      <c r="AC253">
        <v>0</v>
      </c>
      <c r="AD253">
        <v>0</v>
      </c>
      <c r="AE253">
        <v>0</v>
      </c>
      <c r="AF253">
        <v>0</v>
      </c>
      <c r="AG253">
        <v>0</v>
      </c>
      <c r="AH253">
        <v>0</v>
      </c>
      <c r="AI253">
        <v>0</v>
      </c>
      <c r="AJ253">
        <v>0</v>
      </c>
      <c r="AK253">
        <v>0</v>
      </c>
      <c r="AL253">
        <v>0</v>
      </c>
      <c r="AM253">
        <v>0</v>
      </c>
      <c r="AN253">
        <v>0</v>
      </c>
      <c r="AO253">
        <v>0</v>
      </c>
      <c r="AP253">
        <v>0</v>
      </c>
      <c r="AQ253">
        <v>0</v>
      </c>
      <c r="AR253">
        <v>0</v>
      </c>
      <c r="AS253">
        <v>0</v>
      </c>
      <c r="AT253">
        <v>0</v>
      </c>
      <c r="AU253">
        <v>0</v>
      </c>
      <c r="AV253">
        <v>0</v>
      </c>
      <c r="AW253">
        <v>0</v>
      </c>
      <c r="AX253">
        <v>0</v>
      </c>
      <c r="AY253">
        <v>0</v>
      </c>
      <c r="AZ253">
        <v>0</v>
      </c>
      <c r="BA253">
        <v>0</v>
      </c>
      <c r="BB253">
        <v>0</v>
      </c>
      <c r="BC253">
        <v>0</v>
      </c>
      <c r="BD253">
        <v>0</v>
      </c>
      <c r="BE253">
        <v>0</v>
      </c>
      <c r="BF253">
        <v>0</v>
      </c>
      <c r="BG253" s="185">
        <v>0</v>
      </c>
      <c r="BH253" s="185">
        <v>0</v>
      </c>
      <c r="BI253" s="185">
        <v>0</v>
      </c>
      <c r="BJ253" s="185">
        <v>0</v>
      </c>
      <c r="BK253" s="185">
        <v>0</v>
      </c>
      <c r="BL253" s="185">
        <v>0</v>
      </c>
      <c r="BM253" s="185">
        <v>0</v>
      </c>
      <c r="BN253" s="185">
        <v>0</v>
      </c>
      <c r="BO253" s="185">
        <v>0</v>
      </c>
      <c r="BP253" s="185">
        <v>0</v>
      </c>
      <c r="BQ253" s="185">
        <v>0</v>
      </c>
      <c r="BR253" s="185">
        <v>0</v>
      </c>
      <c r="BS253" s="185">
        <v>0</v>
      </c>
      <c r="BT253" s="185">
        <v>0</v>
      </c>
      <c r="BU253" t="b">
        <f>IF(_xlfn.MAXIFS(Table1[Sl No],Table1[Category],Table1[[#This Row],[Category]],Table1[Execution Year],Table1[[#This Row],[Execution Year]])=Table1[[#This Row],[Sl No]],TRUE,FALSE)</f>
        <v>0</v>
      </c>
      <c r="BV253" s="201">
        <f>SUM(Table1[[#This Row],[Spend - CAN]:[Spend - Sams]])+SUM(Table1[[#This Row],[Spend - Sams Mexico]:[Spend - Sams China]])+Table1[[#This Row],[Spend - IND]]</f>
        <v>343000000</v>
      </c>
      <c r="BW253">
        <f>SUM(Table1[[#This Row],[Savings - CAN]:[Savings - Sams]])+SUM(Table1[[#This Row],[Savings - Sams Mexico]:[Savings - Sams China]])+Table1[[#This Row],[Savings - IND]]</f>
        <v>0</v>
      </c>
      <c r="BX253">
        <f>SUM(Table1[[#This Row],[Spend - CAN]:[Spend - SAF]])+SUM(Table1[[#This Row],[Spend - Sams Mexico]:[Spend - Sams China]])+Table1[[#This Row],[Spend - IND]]</f>
        <v>0</v>
      </c>
      <c r="BY253">
        <f>SUM(Table1[[#This Row],[Savings - CAN]:[Savings - SAF]])+SUM(Table1[[#This Row],[Savings - Sams Mexico]:[Savings - Sams China]])+Table1[[#This Row],[Savings - IND]]</f>
        <v>0</v>
      </c>
      <c r="BZ253">
        <f>SUM(Table1[[#This Row],[Spend - US]:[Spend - Sams]])</f>
        <v>343000000</v>
      </c>
      <c r="CA253">
        <f>SUM(Table1[[#This Row],[Savings - US]:[Savings - Sams]])</f>
        <v>0</v>
      </c>
      <c r="CB253">
        <f>SUM(Table1[[#This Row],[Cost Avoidance - CAN2]:[Cost Avoidance - SAF10]])+SUM(Table1[[#This Row],[Cost Avoidance - Sams Mexico]:[Cost Avoidance - Sams China]])+Table1[[#This Row],[Cost Avoidance - IND]]</f>
        <v>0</v>
      </c>
      <c r="CC253">
        <f>SUM(Table1[[#This Row],[Cost Avoidance - US11]:[Cost Avoidance - Sams12]])</f>
        <v>0</v>
      </c>
      <c r="CD253">
        <f>_xlfn.XLOOKUP(Table1[[#This Row],[Status]],Status_Lookups[Status],Status_Lookups[Value],"")</f>
        <v>0.3</v>
      </c>
    </row>
    <row r="254" spans="1:82">
      <c r="A254">
        <v>6</v>
      </c>
      <c r="B254" t="s">
        <v>457</v>
      </c>
      <c r="C254" t="s">
        <v>43</v>
      </c>
      <c r="D254" t="s">
        <v>322</v>
      </c>
      <c r="E254" s="15">
        <v>44713</v>
      </c>
      <c r="F254" s="15">
        <v>44834</v>
      </c>
      <c r="G254" s="15">
        <v>0</v>
      </c>
      <c r="H254" s="15">
        <v>0</v>
      </c>
      <c r="I254" t="s">
        <v>458</v>
      </c>
      <c r="J254" t="s">
        <v>459</v>
      </c>
      <c r="K254">
        <v>0</v>
      </c>
      <c r="L254">
        <v>0</v>
      </c>
      <c r="M254">
        <v>0</v>
      </c>
      <c r="N254">
        <v>0</v>
      </c>
      <c r="O254">
        <v>0</v>
      </c>
      <c r="P254">
        <v>0</v>
      </c>
      <c r="Q254">
        <v>0</v>
      </c>
      <c r="R254">
        <v>0</v>
      </c>
      <c r="S254">
        <v>0</v>
      </c>
      <c r="T254">
        <v>0</v>
      </c>
      <c r="U254">
        <v>0</v>
      </c>
      <c r="V254">
        <v>0</v>
      </c>
      <c r="W254">
        <v>343000000</v>
      </c>
      <c r="X254" t="s">
        <v>78</v>
      </c>
      <c r="Y254" s="16">
        <v>44622.338439699073</v>
      </c>
      <c r="Z254" s="17" t="str">
        <f>_xlfn.XLOOKUP(Table1[[#This Row],[Phase]],'Lookup tables'!$Y$27:$Y$60,'Lookup tables'!$Z$27:$Z$60,"Not Updated")</f>
        <v>Exploratory</v>
      </c>
      <c r="AA254" s="17">
        <v>0</v>
      </c>
      <c r="AB254">
        <v>0</v>
      </c>
      <c r="AC254">
        <v>0</v>
      </c>
      <c r="AD254">
        <v>0</v>
      </c>
      <c r="AE254">
        <v>0</v>
      </c>
      <c r="AF254">
        <v>0</v>
      </c>
      <c r="AG254">
        <v>0</v>
      </c>
      <c r="AH254">
        <v>0</v>
      </c>
      <c r="AI254">
        <v>0</v>
      </c>
      <c r="AJ254">
        <v>0</v>
      </c>
      <c r="AK254">
        <v>0</v>
      </c>
      <c r="AL254">
        <v>0</v>
      </c>
      <c r="AM254">
        <v>0</v>
      </c>
      <c r="AN254">
        <v>0</v>
      </c>
      <c r="AO254">
        <v>0</v>
      </c>
      <c r="AP254">
        <v>0</v>
      </c>
      <c r="AQ254">
        <v>0</v>
      </c>
      <c r="AR254">
        <v>0</v>
      </c>
      <c r="AS254">
        <v>0</v>
      </c>
      <c r="AT254">
        <v>0</v>
      </c>
      <c r="AU254">
        <v>0</v>
      </c>
      <c r="AV254">
        <v>0</v>
      </c>
      <c r="AW254">
        <v>0</v>
      </c>
      <c r="AX254">
        <v>0</v>
      </c>
      <c r="AY254">
        <v>0</v>
      </c>
      <c r="AZ254">
        <v>0</v>
      </c>
      <c r="BA254">
        <v>0</v>
      </c>
      <c r="BB254">
        <v>0</v>
      </c>
      <c r="BC254">
        <v>0</v>
      </c>
      <c r="BD254">
        <v>0</v>
      </c>
      <c r="BE254">
        <v>0</v>
      </c>
      <c r="BF254">
        <v>0</v>
      </c>
      <c r="BG254" s="185">
        <v>0</v>
      </c>
      <c r="BH254" s="185">
        <v>0</v>
      </c>
      <c r="BI254" s="185">
        <v>0</v>
      </c>
      <c r="BJ254" s="185">
        <v>0</v>
      </c>
      <c r="BK254" s="185">
        <v>0</v>
      </c>
      <c r="BL254" s="185">
        <v>0</v>
      </c>
      <c r="BM254" s="185">
        <v>0</v>
      </c>
      <c r="BN254" s="185">
        <v>0</v>
      </c>
      <c r="BO254" s="185">
        <v>0</v>
      </c>
      <c r="BP254" s="185">
        <v>0</v>
      </c>
      <c r="BQ254" s="185">
        <v>0</v>
      </c>
      <c r="BR254" s="185">
        <v>0</v>
      </c>
      <c r="BS254" s="185">
        <v>0</v>
      </c>
      <c r="BT254" s="185">
        <v>0</v>
      </c>
      <c r="BU254" t="b">
        <f>IF(_xlfn.MAXIFS(Table1[Sl No],Table1[Category],Table1[[#This Row],[Category]],Table1[Execution Year],Table1[[#This Row],[Execution Year]])=Table1[[#This Row],[Sl No]],TRUE,FALSE)</f>
        <v>0</v>
      </c>
      <c r="BV254" s="201">
        <f>SUM(Table1[[#This Row],[Spend - CAN]:[Spend - Sams]])+SUM(Table1[[#This Row],[Spend - Sams Mexico]:[Spend - Sams China]])+Table1[[#This Row],[Spend - IND]]</f>
        <v>343000000</v>
      </c>
      <c r="BW254">
        <f>SUM(Table1[[#This Row],[Savings - CAN]:[Savings - Sams]])+SUM(Table1[[#This Row],[Savings - Sams Mexico]:[Savings - Sams China]])+Table1[[#This Row],[Savings - IND]]</f>
        <v>0</v>
      </c>
      <c r="BX254">
        <f>SUM(Table1[[#This Row],[Spend - CAN]:[Spend - SAF]])+SUM(Table1[[#This Row],[Spend - Sams Mexico]:[Spend - Sams China]])+Table1[[#This Row],[Spend - IND]]</f>
        <v>0</v>
      </c>
      <c r="BY254">
        <f>SUM(Table1[[#This Row],[Savings - CAN]:[Savings - SAF]])+SUM(Table1[[#This Row],[Savings - Sams Mexico]:[Savings - Sams China]])+Table1[[#This Row],[Savings - IND]]</f>
        <v>0</v>
      </c>
      <c r="BZ254">
        <f>SUM(Table1[[#This Row],[Spend - US]:[Spend - Sams]])</f>
        <v>343000000</v>
      </c>
      <c r="CA254">
        <f>SUM(Table1[[#This Row],[Savings - US]:[Savings - Sams]])</f>
        <v>0</v>
      </c>
      <c r="CB254">
        <f>SUM(Table1[[#This Row],[Cost Avoidance - CAN2]:[Cost Avoidance - SAF10]])+SUM(Table1[[#This Row],[Cost Avoidance - Sams Mexico]:[Cost Avoidance - Sams China]])+Table1[[#This Row],[Cost Avoidance - IND]]</f>
        <v>0</v>
      </c>
      <c r="CC254">
        <f>SUM(Table1[[#This Row],[Cost Avoidance - US11]:[Cost Avoidance - Sams12]])</f>
        <v>0</v>
      </c>
      <c r="CD254">
        <f>_xlfn.XLOOKUP(Table1[[#This Row],[Status]],Status_Lookups[Status],Status_Lookups[Value],"")</f>
        <v>0.3</v>
      </c>
    </row>
    <row r="255" spans="1:82">
      <c r="A255">
        <v>13</v>
      </c>
      <c r="B255" t="s">
        <v>457</v>
      </c>
      <c r="C255" t="s">
        <v>43</v>
      </c>
      <c r="D255" t="s">
        <v>39</v>
      </c>
      <c r="E255" s="15">
        <v>44531</v>
      </c>
      <c r="F255" s="15">
        <v>44681</v>
      </c>
      <c r="G255" s="15">
        <v>0</v>
      </c>
      <c r="H255" s="15">
        <v>0</v>
      </c>
      <c r="I255" t="s">
        <v>449</v>
      </c>
      <c r="J255" t="s">
        <v>417</v>
      </c>
      <c r="K255" t="s">
        <v>445</v>
      </c>
      <c r="L255">
        <v>0</v>
      </c>
      <c r="M255">
        <v>1300000</v>
      </c>
      <c r="N255">
        <v>4800000</v>
      </c>
      <c r="O255">
        <v>900000</v>
      </c>
      <c r="P255">
        <v>0</v>
      </c>
      <c r="Q255">
        <v>0</v>
      </c>
      <c r="R255">
        <v>800000</v>
      </c>
      <c r="S255">
        <v>0</v>
      </c>
      <c r="T255">
        <v>0</v>
      </c>
      <c r="U255">
        <v>0</v>
      </c>
      <c r="V255">
        <v>109000000</v>
      </c>
      <c r="W255">
        <v>103000000</v>
      </c>
      <c r="X255" t="s">
        <v>78</v>
      </c>
      <c r="Y255" s="16">
        <v>44630.382664467594</v>
      </c>
      <c r="Z255" s="17" t="str">
        <f>_xlfn.XLOOKUP(Table1[[#This Row],[Phase]],'Lookup tables'!$Y$27:$Y$60,'Lookup tables'!$Z$27:$Z$60,"Not Updated")</f>
        <v>Cancelled</v>
      </c>
      <c r="AA255" s="17" t="s">
        <v>661</v>
      </c>
      <c r="AB255">
        <v>0</v>
      </c>
      <c r="AC255">
        <v>0</v>
      </c>
      <c r="AD255">
        <v>0</v>
      </c>
      <c r="AE255">
        <v>0</v>
      </c>
      <c r="AF255">
        <v>0</v>
      </c>
      <c r="AG255">
        <v>0</v>
      </c>
      <c r="AH255">
        <v>0</v>
      </c>
      <c r="AI255">
        <v>0</v>
      </c>
      <c r="AJ255">
        <v>0</v>
      </c>
      <c r="AK255">
        <v>0</v>
      </c>
      <c r="AL255">
        <v>0</v>
      </c>
      <c r="AM255">
        <v>0</v>
      </c>
      <c r="AN255">
        <v>0</v>
      </c>
      <c r="AO255">
        <v>0</v>
      </c>
      <c r="AP255">
        <v>0</v>
      </c>
      <c r="AQ255">
        <v>0</v>
      </c>
      <c r="AR255">
        <v>0</v>
      </c>
      <c r="AS255">
        <v>0</v>
      </c>
      <c r="AT255">
        <v>0</v>
      </c>
      <c r="AU255">
        <v>0</v>
      </c>
      <c r="AV255">
        <v>0</v>
      </c>
      <c r="AW255">
        <v>0</v>
      </c>
      <c r="AX255">
        <v>0</v>
      </c>
      <c r="AY255">
        <v>0</v>
      </c>
      <c r="AZ255">
        <v>0</v>
      </c>
      <c r="BA255">
        <v>0</v>
      </c>
      <c r="BB255">
        <v>0</v>
      </c>
      <c r="BC255">
        <v>0</v>
      </c>
      <c r="BD255">
        <v>0</v>
      </c>
      <c r="BE255">
        <v>0</v>
      </c>
      <c r="BF255">
        <v>0</v>
      </c>
      <c r="BG255" s="185">
        <v>0</v>
      </c>
      <c r="BH255" s="185">
        <v>0</v>
      </c>
      <c r="BI255" s="185">
        <v>0</v>
      </c>
      <c r="BJ255" s="185">
        <v>0</v>
      </c>
      <c r="BK255" s="185">
        <v>0</v>
      </c>
      <c r="BL255" s="185">
        <v>0</v>
      </c>
      <c r="BM255" s="185">
        <v>0</v>
      </c>
      <c r="BN255" s="185">
        <v>0</v>
      </c>
      <c r="BO255" s="185">
        <v>0</v>
      </c>
      <c r="BP255" s="185">
        <v>0</v>
      </c>
      <c r="BQ255" s="185">
        <v>0</v>
      </c>
      <c r="BR255" s="185">
        <v>0</v>
      </c>
      <c r="BS255" s="185">
        <v>0</v>
      </c>
      <c r="BT255" s="185">
        <v>0</v>
      </c>
      <c r="BU255" t="b">
        <f>IF(_xlfn.MAXIFS(Table1[Sl No],Table1[Category],Table1[[#This Row],[Category]],Table1[Execution Year],Table1[[#This Row],[Execution Year]])=Table1[[#This Row],[Sl No]],TRUE,FALSE)</f>
        <v>1</v>
      </c>
      <c r="BV255" s="201">
        <f>SUM(Table1[[#This Row],[Spend - CAN]:[Spend - Sams]])+SUM(Table1[[#This Row],[Spend - Sams Mexico]:[Spend - Sams China]])+Table1[[#This Row],[Spend - IND]]</f>
        <v>219800000</v>
      </c>
      <c r="BW255">
        <f>SUM(Table1[[#This Row],[Savings - CAN]:[Savings - Sams]])+SUM(Table1[[#This Row],[Savings - Sams Mexico]:[Savings - Sams China]])+Table1[[#This Row],[Savings - IND]]</f>
        <v>0</v>
      </c>
      <c r="BX255">
        <f>SUM(Table1[[#This Row],[Spend - CAN]:[Spend - SAF]])+SUM(Table1[[#This Row],[Spend - Sams Mexico]:[Spend - Sams China]])+Table1[[#This Row],[Spend - IND]]</f>
        <v>7800000</v>
      </c>
      <c r="BY255">
        <f>SUM(Table1[[#This Row],[Savings - CAN]:[Savings - SAF]])+SUM(Table1[[#This Row],[Savings - Sams Mexico]:[Savings - Sams China]])+Table1[[#This Row],[Savings - IND]]</f>
        <v>0</v>
      </c>
      <c r="BZ255">
        <f>SUM(Table1[[#This Row],[Spend - US]:[Spend - Sams]])</f>
        <v>212000000</v>
      </c>
      <c r="CA255">
        <f>SUM(Table1[[#This Row],[Savings - US]:[Savings - Sams]])</f>
        <v>0</v>
      </c>
      <c r="CB255">
        <f>SUM(Table1[[#This Row],[Cost Avoidance - CAN2]:[Cost Avoidance - SAF10]])+SUM(Table1[[#This Row],[Cost Avoidance - Sams Mexico]:[Cost Avoidance - Sams China]])+Table1[[#This Row],[Cost Avoidance - IND]]</f>
        <v>0</v>
      </c>
      <c r="CC255">
        <f>SUM(Table1[[#This Row],[Cost Avoidance - US11]:[Cost Avoidance - Sams12]])</f>
        <v>0</v>
      </c>
      <c r="CD255">
        <f>_xlfn.XLOOKUP(Table1[[#This Row],[Status]],Status_Lookups[Status],Status_Lookups[Value],"")</f>
        <v>0.2</v>
      </c>
    </row>
    <row r="256" spans="1:82">
      <c r="A256">
        <v>7</v>
      </c>
      <c r="B256" t="s">
        <v>457</v>
      </c>
      <c r="C256" t="s">
        <v>43</v>
      </c>
      <c r="D256" t="s">
        <v>322</v>
      </c>
      <c r="E256" s="15">
        <v>44713</v>
      </c>
      <c r="F256" s="15">
        <v>44834</v>
      </c>
      <c r="G256" s="15">
        <v>0</v>
      </c>
      <c r="H256" s="15">
        <v>0</v>
      </c>
      <c r="I256" t="s">
        <v>458</v>
      </c>
      <c r="J256" t="s">
        <v>459</v>
      </c>
      <c r="K256" t="s">
        <v>460</v>
      </c>
      <c r="L256">
        <v>0</v>
      </c>
      <c r="M256">
        <v>0</v>
      </c>
      <c r="N256">
        <v>0</v>
      </c>
      <c r="O256">
        <v>0</v>
      </c>
      <c r="P256">
        <v>0</v>
      </c>
      <c r="Q256">
        <v>0</v>
      </c>
      <c r="R256">
        <v>0</v>
      </c>
      <c r="S256">
        <v>0</v>
      </c>
      <c r="T256">
        <v>0</v>
      </c>
      <c r="U256">
        <v>0</v>
      </c>
      <c r="V256">
        <v>0</v>
      </c>
      <c r="W256">
        <v>343000000</v>
      </c>
      <c r="X256" t="s">
        <v>78</v>
      </c>
      <c r="Y256" s="16">
        <v>44677.553848148149</v>
      </c>
      <c r="Z256" s="17" t="str">
        <f>_xlfn.XLOOKUP(Table1[[#This Row],[Phase]],'Lookup tables'!$Y$27:$Y$60,'Lookup tables'!$Z$27:$Z$60,"Not Updated")</f>
        <v>Exploratory</v>
      </c>
      <c r="AA256" s="17">
        <v>0</v>
      </c>
      <c r="AB256">
        <v>0</v>
      </c>
      <c r="AC256">
        <v>0</v>
      </c>
      <c r="AD256">
        <v>0</v>
      </c>
      <c r="AE256">
        <v>0</v>
      </c>
      <c r="AF256">
        <v>0</v>
      </c>
      <c r="AG256">
        <v>0</v>
      </c>
      <c r="AH256">
        <v>0</v>
      </c>
      <c r="AI256">
        <v>0</v>
      </c>
      <c r="AJ256">
        <v>0</v>
      </c>
      <c r="AK256">
        <v>0</v>
      </c>
      <c r="AL256">
        <v>0</v>
      </c>
      <c r="AM256">
        <v>0</v>
      </c>
      <c r="AN256">
        <v>0</v>
      </c>
      <c r="AO256">
        <v>0</v>
      </c>
      <c r="AP256">
        <v>0</v>
      </c>
      <c r="AQ256">
        <v>0</v>
      </c>
      <c r="AR256">
        <v>0</v>
      </c>
      <c r="AS256">
        <v>0</v>
      </c>
      <c r="AT256">
        <v>0</v>
      </c>
      <c r="AU256">
        <v>0</v>
      </c>
      <c r="AV256">
        <v>0</v>
      </c>
      <c r="AW256">
        <v>0</v>
      </c>
      <c r="AX256">
        <v>0</v>
      </c>
      <c r="AY256">
        <v>0</v>
      </c>
      <c r="AZ256">
        <v>0</v>
      </c>
      <c r="BA256">
        <v>0</v>
      </c>
      <c r="BB256">
        <v>0</v>
      </c>
      <c r="BC256">
        <v>0</v>
      </c>
      <c r="BD256">
        <v>0</v>
      </c>
      <c r="BE256">
        <v>0</v>
      </c>
      <c r="BF256">
        <v>0</v>
      </c>
      <c r="BG256" s="185">
        <v>0</v>
      </c>
      <c r="BH256" s="185">
        <v>0</v>
      </c>
      <c r="BI256" s="185">
        <v>0</v>
      </c>
      <c r="BJ256" s="185">
        <v>0</v>
      </c>
      <c r="BK256" s="185">
        <v>0</v>
      </c>
      <c r="BL256" s="185">
        <v>0</v>
      </c>
      <c r="BM256" s="185">
        <v>0</v>
      </c>
      <c r="BN256" s="185">
        <v>0</v>
      </c>
      <c r="BO256" s="185">
        <v>0</v>
      </c>
      <c r="BP256" s="185">
        <v>0</v>
      </c>
      <c r="BQ256" s="185">
        <v>0</v>
      </c>
      <c r="BR256" s="185">
        <v>0</v>
      </c>
      <c r="BS256" s="185">
        <v>0</v>
      </c>
      <c r="BT256" s="185">
        <v>0</v>
      </c>
      <c r="BU256" t="b">
        <f>IF(_xlfn.MAXIFS(Table1[Sl No],Table1[Category],Table1[[#This Row],[Category]],Table1[Execution Year],Table1[[#This Row],[Execution Year]])=Table1[[#This Row],[Sl No]],TRUE,FALSE)</f>
        <v>0</v>
      </c>
      <c r="BV256" s="201">
        <f>SUM(Table1[[#This Row],[Spend - CAN]:[Spend - Sams]])+SUM(Table1[[#This Row],[Spend - Sams Mexico]:[Spend - Sams China]])+Table1[[#This Row],[Spend - IND]]</f>
        <v>343000000</v>
      </c>
      <c r="BW256">
        <f>SUM(Table1[[#This Row],[Savings - CAN]:[Savings - Sams]])+SUM(Table1[[#This Row],[Savings - Sams Mexico]:[Savings - Sams China]])+Table1[[#This Row],[Savings - IND]]</f>
        <v>0</v>
      </c>
      <c r="BX256">
        <f>SUM(Table1[[#This Row],[Spend - CAN]:[Spend - SAF]])+SUM(Table1[[#This Row],[Spend - Sams Mexico]:[Spend - Sams China]])+Table1[[#This Row],[Spend - IND]]</f>
        <v>0</v>
      </c>
      <c r="BY256">
        <f>SUM(Table1[[#This Row],[Savings - CAN]:[Savings - SAF]])+SUM(Table1[[#This Row],[Savings - Sams Mexico]:[Savings - Sams China]])+Table1[[#This Row],[Savings - IND]]</f>
        <v>0</v>
      </c>
      <c r="BZ256">
        <f>SUM(Table1[[#This Row],[Spend - US]:[Spend - Sams]])</f>
        <v>343000000</v>
      </c>
      <c r="CA256">
        <f>SUM(Table1[[#This Row],[Savings - US]:[Savings - Sams]])</f>
        <v>0</v>
      </c>
      <c r="CB256">
        <f>SUM(Table1[[#This Row],[Cost Avoidance - CAN2]:[Cost Avoidance - SAF10]])+SUM(Table1[[#This Row],[Cost Avoidance - Sams Mexico]:[Cost Avoidance - Sams China]])+Table1[[#This Row],[Cost Avoidance - IND]]</f>
        <v>0</v>
      </c>
      <c r="CC256">
        <f>SUM(Table1[[#This Row],[Cost Avoidance - US11]:[Cost Avoidance - Sams12]])</f>
        <v>0</v>
      </c>
      <c r="CD256">
        <f>_xlfn.XLOOKUP(Table1[[#This Row],[Status]],Status_Lookups[Status],Status_Lookups[Value],"")</f>
        <v>0.3</v>
      </c>
    </row>
    <row r="257" spans="1:82">
      <c r="A257">
        <v>8</v>
      </c>
      <c r="B257" t="s">
        <v>457</v>
      </c>
      <c r="C257" t="s">
        <v>43</v>
      </c>
      <c r="D257" t="s">
        <v>322</v>
      </c>
      <c r="E257" s="15">
        <v>44743</v>
      </c>
      <c r="F257" s="15">
        <v>44896</v>
      </c>
      <c r="G257" s="15">
        <v>0</v>
      </c>
      <c r="H257" s="15">
        <v>0</v>
      </c>
      <c r="I257" t="s">
        <v>458</v>
      </c>
      <c r="J257" t="s">
        <v>459</v>
      </c>
      <c r="K257" t="s">
        <v>460</v>
      </c>
      <c r="L257">
        <v>0</v>
      </c>
      <c r="M257">
        <v>0</v>
      </c>
      <c r="N257">
        <v>0</v>
      </c>
      <c r="O257">
        <v>0</v>
      </c>
      <c r="P257">
        <v>0</v>
      </c>
      <c r="Q257">
        <v>0</v>
      </c>
      <c r="R257">
        <v>0</v>
      </c>
      <c r="S257">
        <v>0</v>
      </c>
      <c r="T257">
        <v>0</v>
      </c>
      <c r="U257">
        <v>0</v>
      </c>
      <c r="V257">
        <v>0</v>
      </c>
      <c r="W257">
        <v>343000000</v>
      </c>
      <c r="X257" t="s">
        <v>78</v>
      </c>
      <c r="Y257" s="16">
        <v>44714.394182523145</v>
      </c>
      <c r="Z257" s="17" t="str">
        <f>_xlfn.XLOOKUP(Table1[[#This Row],[Phase]],'Lookup tables'!$Y$27:$Y$60,'Lookup tables'!$Z$27:$Z$60,"Not Updated")</f>
        <v>Exploratory</v>
      </c>
      <c r="AA257" s="17">
        <v>0</v>
      </c>
      <c r="AB257">
        <v>0</v>
      </c>
      <c r="AC257">
        <v>0</v>
      </c>
      <c r="AD257">
        <v>0</v>
      </c>
      <c r="AE257">
        <v>0</v>
      </c>
      <c r="AF257">
        <v>0</v>
      </c>
      <c r="AG257">
        <v>0</v>
      </c>
      <c r="AH257">
        <v>0</v>
      </c>
      <c r="AI257">
        <v>0</v>
      </c>
      <c r="AJ257">
        <v>0</v>
      </c>
      <c r="AK257">
        <v>0</v>
      </c>
      <c r="AL257">
        <v>0</v>
      </c>
      <c r="AM257">
        <v>0</v>
      </c>
      <c r="AN257">
        <v>0</v>
      </c>
      <c r="AO257">
        <v>0</v>
      </c>
      <c r="AP257">
        <v>0</v>
      </c>
      <c r="AQ257">
        <v>0</v>
      </c>
      <c r="AR257">
        <v>0</v>
      </c>
      <c r="AS257">
        <v>0</v>
      </c>
      <c r="AT257">
        <v>0</v>
      </c>
      <c r="AU257">
        <v>0</v>
      </c>
      <c r="AV257">
        <v>0</v>
      </c>
      <c r="AW257">
        <v>0</v>
      </c>
      <c r="AX257">
        <v>0</v>
      </c>
      <c r="AY257">
        <v>0</v>
      </c>
      <c r="AZ257">
        <v>0</v>
      </c>
      <c r="BA257">
        <v>0</v>
      </c>
      <c r="BB257">
        <v>0</v>
      </c>
      <c r="BC257">
        <v>0</v>
      </c>
      <c r="BD257">
        <v>0</v>
      </c>
      <c r="BE257">
        <v>0</v>
      </c>
      <c r="BF257">
        <v>0</v>
      </c>
      <c r="BG257" s="185">
        <v>0</v>
      </c>
      <c r="BH257" s="185">
        <v>0</v>
      </c>
      <c r="BI257" s="185">
        <v>0</v>
      </c>
      <c r="BJ257" s="185">
        <v>0</v>
      </c>
      <c r="BK257" s="185">
        <v>0</v>
      </c>
      <c r="BL257" s="185">
        <v>0</v>
      </c>
      <c r="BM257" s="185">
        <v>0</v>
      </c>
      <c r="BN257" s="185">
        <v>0</v>
      </c>
      <c r="BO257" s="185">
        <v>0</v>
      </c>
      <c r="BP257" s="185">
        <v>0</v>
      </c>
      <c r="BQ257" s="185">
        <v>0</v>
      </c>
      <c r="BR257" s="185">
        <v>0</v>
      </c>
      <c r="BS257" s="185">
        <v>0</v>
      </c>
      <c r="BT257" s="185">
        <v>0</v>
      </c>
      <c r="BU257" t="b">
        <f>IF(_xlfn.MAXIFS(Table1[Sl No],Table1[Category],Table1[[#This Row],[Category]],Table1[Execution Year],Table1[[#This Row],[Execution Year]])=Table1[[#This Row],[Sl No]],TRUE,FALSE)</f>
        <v>1</v>
      </c>
      <c r="BV257" s="201">
        <f>SUM(Table1[[#This Row],[Spend - CAN]:[Spend - Sams]])+SUM(Table1[[#This Row],[Spend - Sams Mexico]:[Spend - Sams China]])+Table1[[#This Row],[Spend - IND]]</f>
        <v>343000000</v>
      </c>
      <c r="BW257">
        <f>SUM(Table1[[#This Row],[Savings - CAN]:[Savings - Sams]])+SUM(Table1[[#This Row],[Savings - Sams Mexico]:[Savings - Sams China]])+Table1[[#This Row],[Savings - IND]]</f>
        <v>0</v>
      </c>
      <c r="BX257">
        <f>SUM(Table1[[#This Row],[Spend - CAN]:[Spend - SAF]])+SUM(Table1[[#This Row],[Spend - Sams Mexico]:[Spend - Sams China]])+Table1[[#This Row],[Spend - IND]]</f>
        <v>0</v>
      </c>
      <c r="BY257">
        <f>SUM(Table1[[#This Row],[Savings - CAN]:[Savings - SAF]])+SUM(Table1[[#This Row],[Savings - Sams Mexico]:[Savings - Sams China]])+Table1[[#This Row],[Savings - IND]]</f>
        <v>0</v>
      </c>
      <c r="BZ257">
        <f>SUM(Table1[[#This Row],[Spend - US]:[Spend - Sams]])</f>
        <v>343000000</v>
      </c>
      <c r="CA257">
        <f>SUM(Table1[[#This Row],[Savings - US]:[Savings - Sams]])</f>
        <v>0</v>
      </c>
      <c r="CB257">
        <f>SUM(Table1[[#This Row],[Cost Avoidance - CAN2]:[Cost Avoidance - SAF10]])+SUM(Table1[[#This Row],[Cost Avoidance - Sams Mexico]:[Cost Avoidance - Sams China]])+Table1[[#This Row],[Cost Avoidance - IND]]</f>
        <v>0</v>
      </c>
      <c r="CC257">
        <f>SUM(Table1[[#This Row],[Cost Avoidance - US11]:[Cost Avoidance - Sams12]])</f>
        <v>0</v>
      </c>
      <c r="CD257">
        <f>_xlfn.XLOOKUP(Table1[[#This Row],[Status]],Status_Lookups[Status],Status_Lookups[Value],"")</f>
        <v>0.3</v>
      </c>
    </row>
    <row r="258" spans="1:82">
      <c r="A258">
        <v>1</v>
      </c>
      <c r="B258" t="s">
        <v>397</v>
      </c>
      <c r="C258" t="s">
        <v>33</v>
      </c>
      <c r="D258" t="s">
        <v>322</v>
      </c>
      <c r="E258" s="15">
        <v>44805</v>
      </c>
      <c r="F258" s="15">
        <v>44895</v>
      </c>
      <c r="G258" s="15"/>
      <c r="H258" s="15"/>
      <c r="I258" t="s">
        <v>135</v>
      </c>
      <c r="J258" t="s">
        <v>459</v>
      </c>
      <c r="K258" t="s">
        <v>514</v>
      </c>
      <c r="X258" t="s">
        <v>47</v>
      </c>
      <c r="Y258" s="16">
        <v>44701.387036342596</v>
      </c>
      <c r="Z258" s="17" t="str">
        <f>_xlfn.XLOOKUP(Table1[[#This Row],[Phase]],'Lookup tables'!$Y$27:$Y$60,'Lookup tables'!$Z$27:$Z$60,"Not Updated")</f>
        <v>Pipeline</v>
      </c>
      <c r="AA258" s="17"/>
      <c r="BG258" s="185"/>
      <c r="BH258" s="185"/>
      <c r="BI258" s="185"/>
      <c r="BJ258" s="185"/>
      <c r="BK258" s="185"/>
      <c r="BL258" s="185"/>
      <c r="BM258" s="185"/>
      <c r="BN258" s="185"/>
      <c r="BO258" s="185"/>
      <c r="BP258" s="185"/>
      <c r="BQ258" s="185"/>
      <c r="BR258" s="185"/>
      <c r="BS258" s="185"/>
      <c r="BT258" s="185"/>
      <c r="BU258" t="b">
        <f>IF(_xlfn.MAXIFS(Table1[Sl No],Table1[Category],Table1[[#This Row],[Category]],Table1[Execution Year],Table1[[#This Row],[Execution Year]])=Table1[[#This Row],[Sl No]],TRUE,FALSE)</f>
        <v>1</v>
      </c>
      <c r="BV258" s="201">
        <f>SUM(Table1[[#This Row],[Spend - CAN]:[Spend - Sams]])+SUM(Table1[[#This Row],[Spend - Sams Mexico]:[Spend - Sams China]])+Table1[[#This Row],[Spend - IND]]</f>
        <v>0</v>
      </c>
      <c r="BW258">
        <f>SUM(Table1[[#This Row],[Savings - CAN]:[Savings - Sams]])+SUM(Table1[[#This Row],[Savings - Sams Mexico]:[Savings - Sams China]])+Table1[[#This Row],[Savings - IND]]</f>
        <v>0</v>
      </c>
      <c r="BX258">
        <f>SUM(Table1[[#This Row],[Spend - CAN]:[Spend - SAF]])+SUM(Table1[[#This Row],[Spend - Sams Mexico]:[Spend - Sams China]])+Table1[[#This Row],[Spend - IND]]</f>
        <v>0</v>
      </c>
      <c r="BY258">
        <f>SUM(Table1[[#This Row],[Savings - CAN]:[Savings - SAF]])+SUM(Table1[[#This Row],[Savings - Sams Mexico]:[Savings - Sams China]])+Table1[[#This Row],[Savings - IND]]</f>
        <v>0</v>
      </c>
      <c r="BZ258">
        <f>SUM(Table1[[#This Row],[Spend - US]:[Spend - Sams]])</f>
        <v>0</v>
      </c>
      <c r="CA258">
        <f>SUM(Table1[[#This Row],[Savings - US]:[Savings - Sams]])</f>
        <v>0</v>
      </c>
      <c r="CB258">
        <f>SUM(Table1[[#This Row],[Cost Avoidance - CAN2]:[Cost Avoidance - SAF10]])+SUM(Table1[[#This Row],[Cost Avoidance - Sams Mexico]:[Cost Avoidance - Sams China]])+Table1[[#This Row],[Cost Avoidance - IND]]</f>
        <v>0</v>
      </c>
      <c r="CC258">
        <f>SUM(Table1[[#This Row],[Cost Avoidance - US11]:[Cost Avoidance - Sams12]])</f>
        <v>0</v>
      </c>
      <c r="CD258">
        <f>_xlfn.XLOOKUP(Table1[[#This Row],[Status]],Status_Lookups[Status],Status_Lookups[Value],"")</f>
        <v>0.3</v>
      </c>
    </row>
    <row r="259" spans="1:82">
      <c r="A259">
        <v>1</v>
      </c>
      <c r="B259" t="s">
        <v>534</v>
      </c>
      <c r="C259" t="s">
        <v>33</v>
      </c>
      <c r="D259" t="s">
        <v>39</v>
      </c>
      <c r="E259" s="15"/>
      <c r="F259" s="15"/>
      <c r="G259" s="15"/>
      <c r="H259" s="15"/>
      <c r="I259" t="s">
        <v>415</v>
      </c>
      <c r="J259" t="s">
        <v>459</v>
      </c>
      <c r="K259" t="s">
        <v>514</v>
      </c>
      <c r="X259" t="s">
        <v>47</v>
      </c>
      <c r="Y259" s="16">
        <v>44701.387036342596</v>
      </c>
      <c r="Z259" s="17" t="str">
        <f>_xlfn.XLOOKUP(Table1[[#This Row],[Phase]],'Lookup tables'!$Y$27:$Y$60,'Lookup tables'!$Z$27:$Z$60,"Not Updated")</f>
        <v>Award</v>
      </c>
      <c r="AA259" s="17"/>
      <c r="BG259" s="185"/>
      <c r="BH259" s="185"/>
      <c r="BI259" s="185"/>
      <c r="BJ259" s="185"/>
      <c r="BK259" s="185"/>
      <c r="BL259" s="185"/>
      <c r="BM259" s="185"/>
      <c r="BN259" s="185"/>
      <c r="BO259" s="185"/>
      <c r="BP259" s="185"/>
      <c r="BQ259" s="185"/>
      <c r="BR259" s="185"/>
      <c r="BS259" s="185"/>
      <c r="BT259" s="185"/>
      <c r="BU259" t="b">
        <f>IF(_xlfn.MAXIFS(Table1[Sl No],Table1[Category],Table1[[#This Row],[Category]],Table1[Execution Year],Table1[[#This Row],[Execution Year]])=Table1[[#This Row],[Sl No]],TRUE,FALSE)</f>
        <v>0</v>
      </c>
      <c r="BV259" s="201">
        <f>SUM(Table1[[#This Row],[Spend - CAN]:[Spend - Sams]])+SUM(Table1[[#This Row],[Spend - Sams Mexico]:[Spend - Sams China]])+Table1[[#This Row],[Spend - IND]]</f>
        <v>0</v>
      </c>
      <c r="BW259">
        <f>SUM(Table1[[#This Row],[Savings - CAN]:[Savings - Sams]])+SUM(Table1[[#This Row],[Savings - Sams Mexico]:[Savings - Sams China]])+Table1[[#This Row],[Savings - IND]]</f>
        <v>0</v>
      </c>
      <c r="BX259">
        <f>SUM(Table1[[#This Row],[Spend - CAN]:[Spend - SAF]])+SUM(Table1[[#This Row],[Spend - Sams Mexico]:[Spend - Sams China]])+Table1[[#This Row],[Spend - IND]]</f>
        <v>0</v>
      </c>
      <c r="BY259">
        <f>SUM(Table1[[#This Row],[Savings - CAN]:[Savings - SAF]])+SUM(Table1[[#This Row],[Savings - Sams Mexico]:[Savings - Sams China]])+Table1[[#This Row],[Savings - IND]]</f>
        <v>0</v>
      </c>
      <c r="BZ259">
        <f>SUM(Table1[[#This Row],[Spend - US]:[Spend - Sams]])</f>
        <v>0</v>
      </c>
      <c r="CA259">
        <f>SUM(Table1[[#This Row],[Savings - US]:[Savings - Sams]])</f>
        <v>0</v>
      </c>
      <c r="CB259">
        <f>SUM(Table1[[#This Row],[Cost Avoidance - CAN2]:[Cost Avoidance - SAF10]])+SUM(Table1[[#This Row],[Cost Avoidance - Sams Mexico]:[Cost Avoidance - Sams China]])+Table1[[#This Row],[Cost Avoidance - IND]]</f>
        <v>0</v>
      </c>
      <c r="CC259">
        <f>SUM(Table1[[#This Row],[Cost Avoidance - US11]:[Cost Avoidance - Sams12]])</f>
        <v>0</v>
      </c>
      <c r="CD259">
        <f>_xlfn.XLOOKUP(Table1[[#This Row],[Status]],Status_Lookups[Status],Status_Lookups[Value],"")</f>
        <v>0.3</v>
      </c>
    </row>
    <row r="260" spans="1:82">
      <c r="A260">
        <v>2</v>
      </c>
      <c r="B260" t="s">
        <v>534</v>
      </c>
      <c r="C260" t="s">
        <v>33</v>
      </c>
      <c r="D260" t="s">
        <v>39</v>
      </c>
      <c r="E260" s="15">
        <v>44398</v>
      </c>
      <c r="F260" s="15">
        <v>44774</v>
      </c>
      <c r="G260" s="15">
        <v>0</v>
      </c>
      <c r="H260" s="15">
        <v>0</v>
      </c>
      <c r="I260" t="s">
        <v>415</v>
      </c>
      <c r="J260" t="s">
        <v>459</v>
      </c>
      <c r="K260" t="s">
        <v>514</v>
      </c>
      <c r="L260">
        <v>0</v>
      </c>
      <c r="M260">
        <v>0</v>
      </c>
      <c r="N260">
        <v>0</v>
      </c>
      <c r="O260">
        <v>0</v>
      </c>
      <c r="P260">
        <v>0</v>
      </c>
      <c r="Q260">
        <v>0</v>
      </c>
      <c r="R260">
        <v>0</v>
      </c>
      <c r="S260">
        <v>0</v>
      </c>
      <c r="T260">
        <v>0</v>
      </c>
      <c r="U260">
        <v>0</v>
      </c>
      <c r="V260">
        <v>1E-4</v>
      </c>
      <c r="W260">
        <v>0</v>
      </c>
      <c r="X260" t="s">
        <v>514</v>
      </c>
      <c r="Y260" s="16">
        <v>44728.466641087965</v>
      </c>
      <c r="Z260" s="17" t="str">
        <f>_xlfn.XLOOKUP(Table1[[#This Row],[Phase]],'Lookup tables'!$Y$27:$Y$60,'Lookup tables'!$Z$27:$Z$60,"Not Updated")</f>
        <v>Award</v>
      </c>
      <c r="AA260" s="17" t="s">
        <v>662</v>
      </c>
      <c r="AB260">
        <v>0</v>
      </c>
      <c r="AC260">
        <v>0</v>
      </c>
      <c r="AD260">
        <v>0</v>
      </c>
      <c r="AE260">
        <v>0</v>
      </c>
      <c r="AF260">
        <v>0</v>
      </c>
      <c r="AG260">
        <v>0</v>
      </c>
      <c r="AH260">
        <v>0</v>
      </c>
      <c r="AI260">
        <v>0</v>
      </c>
      <c r="AJ260">
        <v>0</v>
      </c>
      <c r="AK260">
        <v>0</v>
      </c>
      <c r="AL260">
        <v>0</v>
      </c>
      <c r="AM260">
        <v>0</v>
      </c>
      <c r="AN260">
        <v>0</v>
      </c>
      <c r="AO260">
        <v>0</v>
      </c>
      <c r="AP260">
        <v>0</v>
      </c>
      <c r="AQ260">
        <v>0</v>
      </c>
      <c r="AR260">
        <v>0</v>
      </c>
      <c r="AS260">
        <v>0</v>
      </c>
      <c r="AT260">
        <v>0</v>
      </c>
      <c r="AU260">
        <v>0</v>
      </c>
      <c r="AV260">
        <v>0</v>
      </c>
      <c r="AW260">
        <v>0</v>
      </c>
      <c r="AX260">
        <v>0</v>
      </c>
      <c r="AY260">
        <v>0</v>
      </c>
      <c r="AZ260">
        <v>0</v>
      </c>
      <c r="BA260">
        <v>0</v>
      </c>
      <c r="BB260">
        <v>0</v>
      </c>
      <c r="BC260">
        <v>0</v>
      </c>
      <c r="BD260">
        <v>0</v>
      </c>
      <c r="BE260">
        <v>0</v>
      </c>
      <c r="BF260">
        <v>0</v>
      </c>
      <c r="BG260" s="185">
        <v>0</v>
      </c>
      <c r="BH260" s="185">
        <v>0</v>
      </c>
      <c r="BI260" s="185">
        <v>0</v>
      </c>
      <c r="BJ260" s="185">
        <v>0</v>
      </c>
      <c r="BK260" s="185">
        <v>0</v>
      </c>
      <c r="BL260" s="185">
        <v>0</v>
      </c>
      <c r="BM260" s="185">
        <v>0</v>
      </c>
      <c r="BN260" s="185">
        <v>0</v>
      </c>
      <c r="BO260" s="185">
        <v>0</v>
      </c>
      <c r="BP260" s="185">
        <v>0</v>
      </c>
      <c r="BQ260" s="185">
        <v>0</v>
      </c>
      <c r="BR260" s="185">
        <v>0</v>
      </c>
      <c r="BS260" s="185">
        <v>0</v>
      </c>
      <c r="BT260" s="185">
        <v>0</v>
      </c>
      <c r="BU260" t="b">
        <f>IF(_xlfn.MAXIFS(Table1[Sl No],Table1[Category],Table1[[#This Row],[Category]],Table1[Execution Year],Table1[[#This Row],[Execution Year]])=Table1[[#This Row],[Sl No]],TRUE,FALSE)</f>
        <v>0</v>
      </c>
      <c r="BV260" s="201">
        <f>SUM(Table1[[#This Row],[Spend - CAN]:[Spend - Sams]])+SUM(Table1[[#This Row],[Spend - Sams Mexico]:[Spend - Sams China]])+Table1[[#This Row],[Spend - IND]]</f>
        <v>1E-4</v>
      </c>
      <c r="BW260">
        <f>SUM(Table1[[#This Row],[Savings - CAN]:[Savings - Sams]])+SUM(Table1[[#This Row],[Savings - Sams Mexico]:[Savings - Sams China]])+Table1[[#This Row],[Savings - IND]]</f>
        <v>0</v>
      </c>
      <c r="BX260">
        <f>SUM(Table1[[#This Row],[Spend - CAN]:[Spend - SAF]])+SUM(Table1[[#This Row],[Spend - Sams Mexico]:[Spend - Sams China]])+Table1[[#This Row],[Spend - IND]]</f>
        <v>0</v>
      </c>
      <c r="BY260">
        <f>SUM(Table1[[#This Row],[Savings - CAN]:[Savings - SAF]])+SUM(Table1[[#This Row],[Savings - Sams Mexico]:[Savings - Sams China]])+Table1[[#This Row],[Savings - IND]]</f>
        <v>0</v>
      </c>
      <c r="BZ260">
        <f>SUM(Table1[[#This Row],[Spend - US]:[Spend - Sams]])</f>
        <v>1E-4</v>
      </c>
      <c r="CA260">
        <f>SUM(Table1[[#This Row],[Savings - US]:[Savings - Sams]])</f>
        <v>0</v>
      </c>
      <c r="CB260">
        <f>SUM(Table1[[#This Row],[Cost Avoidance - CAN2]:[Cost Avoidance - SAF10]])+SUM(Table1[[#This Row],[Cost Avoidance - Sams Mexico]:[Cost Avoidance - Sams China]])+Table1[[#This Row],[Cost Avoidance - IND]]</f>
        <v>0</v>
      </c>
      <c r="CC260">
        <f>SUM(Table1[[#This Row],[Cost Avoidance - US11]:[Cost Avoidance - Sams12]])</f>
        <v>0</v>
      </c>
      <c r="CD260">
        <f>_xlfn.XLOOKUP(Table1[[#This Row],[Status]],Status_Lookups[Status],Status_Lookups[Value],"")</f>
        <v>0.3</v>
      </c>
    </row>
    <row r="261" spans="1:82">
      <c r="A261">
        <v>3</v>
      </c>
      <c r="B261" t="s">
        <v>534</v>
      </c>
      <c r="C261" t="s">
        <v>33</v>
      </c>
      <c r="D261" t="s">
        <v>39</v>
      </c>
      <c r="E261" s="15">
        <v>44398</v>
      </c>
      <c r="F261" s="15">
        <v>44774</v>
      </c>
      <c r="G261" s="15">
        <v>0</v>
      </c>
      <c r="H261" s="15">
        <v>0</v>
      </c>
      <c r="I261" t="s">
        <v>415</v>
      </c>
      <c r="J261" t="s">
        <v>459</v>
      </c>
      <c r="K261" t="s">
        <v>514</v>
      </c>
      <c r="L261">
        <v>0</v>
      </c>
      <c r="M261">
        <v>0</v>
      </c>
      <c r="N261">
        <v>0</v>
      </c>
      <c r="O261">
        <v>0</v>
      </c>
      <c r="P261">
        <v>0</v>
      </c>
      <c r="Q261">
        <v>0</v>
      </c>
      <c r="R261">
        <v>0</v>
      </c>
      <c r="S261">
        <v>0</v>
      </c>
      <c r="T261">
        <v>0</v>
      </c>
      <c r="U261">
        <v>0</v>
      </c>
      <c r="V261">
        <v>1E-4</v>
      </c>
      <c r="W261">
        <v>0</v>
      </c>
      <c r="X261" t="s">
        <v>514</v>
      </c>
      <c r="Y261" s="16">
        <v>44729.421446875</v>
      </c>
      <c r="Z261" s="17" t="str">
        <f>_xlfn.XLOOKUP(Table1[[#This Row],[Phase]],'Lookup tables'!$Y$27:$Y$60,'Lookup tables'!$Z$27:$Z$60,"Not Updated")</f>
        <v>Award</v>
      </c>
      <c r="AA261" s="17" t="s">
        <v>663</v>
      </c>
      <c r="AB261">
        <v>0</v>
      </c>
      <c r="AC261">
        <v>0</v>
      </c>
      <c r="AD261">
        <v>0</v>
      </c>
      <c r="AE261">
        <v>0</v>
      </c>
      <c r="AF261">
        <v>0</v>
      </c>
      <c r="AG261">
        <v>0</v>
      </c>
      <c r="AH261">
        <v>0</v>
      </c>
      <c r="AI261">
        <v>0</v>
      </c>
      <c r="AJ261">
        <v>0</v>
      </c>
      <c r="AK261">
        <v>0</v>
      </c>
      <c r="AL261">
        <v>0</v>
      </c>
      <c r="AM261">
        <v>0</v>
      </c>
      <c r="AN261">
        <v>0</v>
      </c>
      <c r="AO261">
        <v>0</v>
      </c>
      <c r="AP261">
        <v>0</v>
      </c>
      <c r="AQ261">
        <v>0</v>
      </c>
      <c r="AR261">
        <v>0</v>
      </c>
      <c r="AS261">
        <v>0</v>
      </c>
      <c r="AT261">
        <v>0</v>
      </c>
      <c r="AU261">
        <v>0</v>
      </c>
      <c r="AV261">
        <v>0</v>
      </c>
      <c r="AW261">
        <v>0</v>
      </c>
      <c r="AX261">
        <v>0</v>
      </c>
      <c r="AY261">
        <v>0</v>
      </c>
      <c r="AZ261">
        <v>0</v>
      </c>
      <c r="BA261">
        <v>0</v>
      </c>
      <c r="BB261">
        <v>0</v>
      </c>
      <c r="BC261">
        <v>0</v>
      </c>
      <c r="BD261">
        <v>0</v>
      </c>
      <c r="BE261">
        <v>0</v>
      </c>
      <c r="BF261">
        <v>0</v>
      </c>
      <c r="BG261" s="185">
        <v>0</v>
      </c>
      <c r="BH261" s="185">
        <v>0</v>
      </c>
      <c r="BI261" s="185">
        <v>0</v>
      </c>
      <c r="BJ261" s="185">
        <v>0</v>
      </c>
      <c r="BK261" s="185">
        <v>0</v>
      </c>
      <c r="BL261" s="185">
        <v>0</v>
      </c>
      <c r="BM261" s="185">
        <v>0</v>
      </c>
      <c r="BN261" s="185">
        <v>0</v>
      </c>
      <c r="BO261" s="185">
        <v>0</v>
      </c>
      <c r="BP261" s="185">
        <v>0</v>
      </c>
      <c r="BQ261" s="185">
        <v>0</v>
      </c>
      <c r="BR261" s="185">
        <v>0</v>
      </c>
      <c r="BS261" s="185">
        <v>0</v>
      </c>
      <c r="BT261" s="185">
        <v>0</v>
      </c>
      <c r="BU261" t="b">
        <f>IF(_xlfn.MAXIFS(Table1[Sl No],Table1[Category],Table1[[#This Row],[Category]],Table1[Execution Year],Table1[[#This Row],[Execution Year]])=Table1[[#This Row],[Sl No]],TRUE,FALSE)</f>
        <v>0</v>
      </c>
      <c r="BV261" s="201">
        <f>SUM(Table1[[#This Row],[Spend - CAN]:[Spend - Sams]])+SUM(Table1[[#This Row],[Spend - Sams Mexico]:[Spend - Sams China]])+Table1[[#This Row],[Spend - IND]]</f>
        <v>1E-4</v>
      </c>
      <c r="BW261">
        <f>SUM(Table1[[#This Row],[Savings - CAN]:[Savings - Sams]])+SUM(Table1[[#This Row],[Savings - Sams Mexico]:[Savings - Sams China]])+Table1[[#This Row],[Savings - IND]]</f>
        <v>0</v>
      </c>
      <c r="BX261">
        <f>SUM(Table1[[#This Row],[Spend - CAN]:[Spend - SAF]])+SUM(Table1[[#This Row],[Spend - Sams Mexico]:[Spend - Sams China]])+Table1[[#This Row],[Spend - IND]]</f>
        <v>0</v>
      </c>
      <c r="BY261">
        <f>SUM(Table1[[#This Row],[Savings - CAN]:[Savings - SAF]])+SUM(Table1[[#This Row],[Savings - Sams Mexico]:[Savings - Sams China]])+Table1[[#This Row],[Savings - IND]]</f>
        <v>0</v>
      </c>
      <c r="BZ261">
        <f>SUM(Table1[[#This Row],[Spend - US]:[Spend - Sams]])</f>
        <v>1E-4</v>
      </c>
      <c r="CA261">
        <f>SUM(Table1[[#This Row],[Savings - US]:[Savings - Sams]])</f>
        <v>0</v>
      </c>
      <c r="CB261">
        <f>SUM(Table1[[#This Row],[Cost Avoidance - CAN2]:[Cost Avoidance - SAF10]])+SUM(Table1[[#This Row],[Cost Avoidance - Sams Mexico]:[Cost Avoidance - Sams China]])+Table1[[#This Row],[Cost Avoidance - IND]]</f>
        <v>0</v>
      </c>
      <c r="CC261">
        <f>SUM(Table1[[#This Row],[Cost Avoidance - US11]:[Cost Avoidance - Sams12]])</f>
        <v>0</v>
      </c>
      <c r="CD261">
        <f>_xlfn.XLOOKUP(Table1[[#This Row],[Status]],Status_Lookups[Status],Status_Lookups[Value],"")</f>
        <v>0.3</v>
      </c>
    </row>
    <row r="262" spans="1:82">
      <c r="A262">
        <v>4</v>
      </c>
      <c r="B262" t="s">
        <v>534</v>
      </c>
      <c r="C262" t="s">
        <v>33</v>
      </c>
      <c r="D262" t="s">
        <v>39</v>
      </c>
      <c r="E262" s="15">
        <v>44398</v>
      </c>
      <c r="F262" s="15">
        <v>44774</v>
      </c>
      <c r="G262" s="15">
        <v>0</v>
      </c>
      <c r="H262" s="15">
        <v>0</v>
      </c>
      <c r="I262" t="s">
        <v>415</v>
      </c>
      <c r="J262" t="s">
        <v>459</v>
      </c>
      <c r="K262" t="s">
        <v>514</v>
      </c>
      <c r="L262">
        <v>0</v>
      </c>
      <c r="M262">
        <v>0</v>
      </c>
      <c r="N262">
        <v>0</v>
      </c>
      <c r="O262">
        <v>0</v>
      </c>
      <c r="P262">
        <v>0</v>
      </c>
      <c r="Q262">
        <v>0</v>
      </c>
      <c r="R262">
        <v>0</v>
      </c>
      <c r="S262">
        <v>0</v>
      </c>
      <c r="T262">
        <v>0</v>
      </c>
      <c r="U262">
        <v>0</v>
      </c>
      <c r="V262">
        <v>1E-4</v>
      </c>
      <c r="W262">
        <v>0</v>
      </c>
      <c r="X262" t="s">
        <v>514</v>
      </c>
      <c r="Y262" s="16">
        <v>44729.422567476853</v>
      </c>
      <c r="Z262" s="17" t="str">
        <f>_xlfn.XLOOKUP(Table1[[#This Row],[Phase]],'Lookup tables'!$Y$27:$Y$60,'Lookup tables'!$Z$27:$Z$60,"Not Updated")</f>
        <v>Award</v>
      </c>
      <c r="AA262" s="17" t="s">
        <v>664</v>
      </c>
      <c r="AB262">
        <v>0</v>
      </c>
      <c r="AC262">
        <v>0</v>
      </c>
      <c r="AD262">
        <v>0</v>
      </c>
      <c r="AE262">
        <v>0</v>
      </c>
      <c r="AF262">
        <v>0</v>
      </c>
      <c r="AG262">
        <v>0</v>
      </c>
      <c r="AH262">
        <v>0</v>
      </c>
      <c r="AI262">
        <v>0</v>
      </c>
      <c r="AJ262">
        <v>0</v>
      </c>
      <c r="AK262">
        <v>0</v>
      </c>
      <c r="AL262">
        <v>0</v>
      </c>
      <c r="AM262">
        <v>0</v>
      </c>
      <c r="AN262">
        <v>0</v>
      </c>
      <c r="AO262">
        <v>0</v>
      </c>
      <c r="AP262">
        <v>0</v>
      </c>
      <c r="AQ262">
        <v>0</v>
      </c>
      <c r="AR262">
        <v>0</v>
      </c>
      <c r="AS262">
        <v>0</v>
      </c>
      <c r="AT262">
        <v>0</v>
      </c>
      <c r="AU262">
        <v>0</v>
      </c>
      <c r="AV262">
        <v>0</v>
      </c>
      <c r="AW262">
        <v>0</v>
      </c>
      <c r="AX262">
        <v>0</v>
      </c>
      <c r="AY262">
        <v>0</v>
      </c>
      <c r="AZ262">
        <v>0</v>
      </c>
      <c r="BA262">
        <v>0</v>
      </c>
      <c r="BB262">
        <v>0</v>
      </c>
      <c r="BC262">
        <v>0</v>
      </c>
      <c r="BD262">
        <v>0</v>
      </c>
      <c r="BE262">
        <v>0</v>
      </c>
      <c r="BF262">
        <v>0</v>
      </c>
      <c r="BG262" s="185">
        <v>0</v>
      </c>
      <c r="BH262" s="185">
        <v>0</v>
      </c>
      <c r="BI262" s="185">
        <v>0</v>
      </c>
      <c r="BJ262" s="185">
        <v>0</v>
      </c>
      <c r="BK262" s="185">
        <v>0</v>
      </c>
      <c r="BL262" s="185">
        <v>0</v>
      </c>
      <c r="BM262" s="185">
        <v>0</v>
      </c>
      <c r="BN262" s="185">
        <v>0</v>
      </c>
      <c r="BO262" s="185">
        <v>0</v>
      </c>
      <c r="BP262" s="185">
        <v>0</v>
      </c>
      <c r="BQ262" s="185">
        <v>0</v>
      </c>
      <c r="BR262" s="185">
        <v>0</v>
      </c>
      <c r="BS262" s="185">
        <v>0</v>
      </c>
      <c r="BT262" s="185">
        <v>0</v>
      </c>
      <c r="BU262" t="b">
        <f>IF(_xlfn.MAXIFS(Table1[Sl No],Table1[Category],Table1[[#This Row],[Category]],Table1[Execution Year],Table1[[#This Row],[Execution Year]])=Table1[[#This Row],[Sl No]],TRUE,FALSE)</f>
        <v>1</v>
      </c>
      <c r="BV262" s="201">
        <f>SUM(Table1[[#This Row],[Spend - CAN]:[Spend - Sams]])+SUM(Table1[[#This Row],[Spend - Sams Mexico]:[Spend - Sams China]])+Table1[[#This Row],[Spend - IND]]</f>
        <v>1E-4</v>
      </c>
      <c r="BW262">
        <f>SUM(Table1[[#This Row],[Savings - CAN]:[Savings - Sams]])+SUM(Table1[[#This Row],[Savings - Sams Mexico]:[Savings - Sams China]])+Table1[[#This Row],[Savings - IND]]</f>
        <v>0</v>
      </c>
      <c r="BX262">
        <f>SUM(Table1[[#This Row],[Spend - CAN]:[Spend - SAF]])+SUM(Table1[[#This Row],[Spend - Sams Mexico]:[Spend - Sams China]])+Table1[[#This Row],[Spend - IND]]</f>
        <v>0</v>
      </c>
      <c r="BY262">
        <f>SUM(Table1[[#This Row],[Savings - CAN]:[Savings - SAF]])+SUM(Table1[[#This Row],[Savings - Sams Mexico]:[Savings - Sams China]])+Table1[[#This Row],[Savings - IND]]</f>
        <v>0</v>
      </c>
      <c r="BZ262">
        <f>SUM(Table1[[#This Row],[Spend - US]:[Spend - Sams]])</f>
        <v>1E-4</v>
      </c>
      <c r="CA262">
        <f>SUM(Table1[[#This Row],[Savings - US]:[Savings - Sams]])</f>
        <v>0</v>
      </c>
      <c r="CB262">
        <f>SUM(Table1[[#This Row],[Cost Avoidance - CAN2]:[Cost Avoidance - SAF10]])+SUM(Table1[[#This Row],[Cost Avoidance - Sams Mexico]:[Cost Avoidance - Sams China]])+Table1[[#This Row],[Cost Avoidance - IND]]</f>
        <v>0</v>
      </c>
      <c r="CC262">
        <f>SUM(Table1[[#This Row],[Cost Avoidance - US11]:[Cost Avoidance - Sams12]])</f>
        <v>0</v>
      </c>
      <c r="CD262">
        <f>_xlfn.XLOOKUP(Table1[[#This Row],[Status]],Status_Lookups[Status],Status_Lookups[Value],"")</f>
        <v>0.3</v>
      </c>
    </row>
    <row r="263" spans="1:82">
      <c r="A263">
        <v>1</v>
      </c>
      <c r="B263" t="s">
        <v>79</v>
      </c>
      <c r="C263" t="s">
        <v>43</v>
      </c>
      <c r="D263" t="s">
        <v>39</v>
      </c>
      <c r="E263" s="15"/>
      <c r="F263" s="15"/>
      <c r="G263" s="15"/>
      <c r="H263" s="15"/>
      <c r="X263" t="s">
        <v>78</v>
      </c>
      <c r="Y263" s="16">
        <v>44215.463692129626</v>
      </c>
      <c r="Z263" s="17" t="str">
        <f>_xlfn.XLOOKUP(Table1[[#This Row],[Phase]],'Lookup tables'!$Y$27:$Y$60,'Lookup tables'!$Z$27:$Z$60,"Not Updated")</f>
        <v>Not Updated</v>
      </c>
      <c r="AA263" s="17"/>
      <c r="BG263" s="185"/>
      <c r="BH263" s="185"/>
      <c r="BI263" s="185"/>
      <c r="BJ263" s="185"/>
      <c r="BK263" s="185"/>
      <c r="BL263" s="185"/>
      <c r="BM263" s="185"/>
      <c r="BN263" s="185"/>
      <c r="BO263" s="185"/>
      <c r="BP263" s="185"/>
      <c r="BQ263" s="185"/>
      <c r="BR263" s="185"/>
      <c r="BS263" s="185"/>
      <c r="BT263" s="185"/>
      <c r="BU263" t="b">
        <f>IF(_xlfn.MAXIFS(Table1[Sl No],Table1[Category],Table1[[#This Row],[Category]],Table1[Execution Year],Table1[[#This Row],[Execution Year]])=Table1[[#This Row],[Sl No]],TRUE,FALSE)</f>
        <v>0</v>
      </c>
      <c r="BV263" s="201">
        <f>SUM(Table1[[#This Row],[Spend - CAN]:[Spend - Sams]])+SUM(Table1[[#This Row],[Spend - Sams Mexico]:[Spend - Sams China]])+Table1[[#This Row],[Spend - IND]]</f>
        <v>0</v>
      </c>
      <c r="BW263">
        <f>SUM(Table1[[#This Row],[Savings - CAN]:[Savings - Sams]])+SUM(Table1[[#This Row],[Savings - Sams Mexico]:[Savings - Sams China]])+Table1[[#This Row],[Savings - IND]]</f>
        <v>0</v>
      </c>
      <c r="BX263">
        <f>SUM(Table1[[#This Row],[Spend - CAN]:[Spend - SAF]])+SUM(Table1[[#This Row],[Spend - Sams Mexico]:[Spend - Sams China]])+Table1[[#This Row],[Spend - IND]]</f>
        <v>0</v>
      </c>
      <c r="BY263">
        <f>SUM(Table1[[#This Row],[Savings - CAN]:[Savings - SAF]])+SUM(Table1[[#This Row],[Savings - Sams Mexico]:[Savings - Sams China]])+Table1[[#This Row],[Savings - IND]]</f>
        <v>0</v>
      </c>
      <c r="BZ263">
        <f>SUM(Table1[[#This Row],[Spend - US]:[Spend - Sams]])</f>
        <v>0</v>
      </c>
      <c r="CA263">
        <f>SUM(Table1[[#This Row],[Savings - US]:[Savings - Sams]])</f>
        <v>0</v>
      </c>
      <c r="CB263">
        <f>SUM(Table1[[#This Row],[Cost Avoidance - CAN2]:[Cost Avoidance - SAF10]])+SUM(Table1[[#This Row],[Cost Avoidance - Sams Mexico]:[Cost Avoidance - Sams China]])+Table1[[#This Row],[Cost Avoidance - IND]]</f>
        <v>0</v>
      </c>
      <c r="CC263">
        <f>SUM(Table1[[#This Row],[Cost Avoidance - US11]:[Cost Avoidance - Sams12]])</f>
        <v>0</v>
      </c>
      <c r="CD263" t="str">
        <f>_xlfn.XLOOKUP(Table1[[#This Row],[Status]],Status_Lookups[Status],Status_Lookups[Value],"")</f>
        <v/>
      </c>
    </row>
    <row r="264" spans="1:82">
      <c r="A264">
        <v>2</v>
      </c>
      <c r="B264" t="s">
        <v>79</v>
      </c>
      <c r="C264" t="s">
        <v>43</v>
      </c>
      <c r="D264" t="s">
        <v>39</v>
      </c>
      <c r="E264" s="15">
        <v>44216</v>
      </c>
      <c r="F264" s="15">
        <v>44270</v>
      </c>
      <c r="G264" s="15"/>
      <c r="H264" s="15"/>
      <c r="I264" t="s">
        <v>656</v>
      </c>
      <c r="J264" t="s">
        <v>633</v>
      </c>
      <c r="K264">
        <v>0</v>
      </c>
      <c r="L264">
        <v>0</v>
      </c>
      <c r="M264">
        <v>16.5</v>
      </c>
      <c r="N264">
        <v>1.6</v>
      </c>
      <c r="O264">
        <v>5.9</v>
      </c>
      <c r="P264">
        <v>9.1999999999999993</v>
      </c>
      <c r="Q264">
        <v>0</v>
      </c>
      <c r="R264">
        <v>3.4</v>
      </c>
      <c r="S264">
        <v>1.3</v>
      </c>
      <c r="T264">
        <v>0</v>
      </c>
      <c r="U264">
        <v>1.3</v>
      </c>
      <c r="V264">
        <v>0</v>
      </c>
      <c r="X264" t="s">
        <v>78</v>
      </c>
      <c r="Y264" s="16">
        <v>44215.470498842595</v>
      </c>
      <c r="Z264" s="17" t="str">
        <f>_xlfn.XLOOKUP(Table1[[#This Row],[Phase]],'Lookup tables'!$Y$27:$Y$60,'Lookup tables'!$Z$27:$Z$60,"Not Updated")</f>
        <v>Data collection complete</v>
      </c>
      <c r="AA264" s="17">
        <v>0</v>
      </c>
      <c r="AB264">
        <v>0</v>
      </c>
      <c r="AC264">
        <v>0</v>
      </c>
      <c r="AD264">
        <v>0</v>
      </c>
      <c r="AE264">
        <v>0</v>
      </c>
      <c r="AF264">
        <v>0</v>
      </c>
      <c r="AG264">
        <v>0</v>
      </c>
      <c r="AH264">
        <v>0</v>
      </c>
      <c r="AI264">
        <v>0</v>
      </c>
      <c r="AJ264">
        <v>0</v>
      </c>
      <c r="AK264">
        <v>0</v>
      </c>
      <c r="AL264">
        <v>0</v>
      </c>
      <c r="BG264" s="185"/>
      <c r="BH264" s="185"/>
      <c r="BI264" s="185"/>
      <c r="BJ264" s="185"/>
      <c r="BK264" s="185"/>
      <c r="BL264" s="185"/>
      <c r="BM264" s="185"/>
      <c r="BN264" s="185"/>
      <c r="BO264" s="185"/>
      <c r="BP264" s="185"/>
      <c r="BQ264" s="185"/>
      <c r="BR264" s="185"/>
      <c r="BS264" s="185"/>
      <c r="BT264" s="185"/>
      <c r="BU264" t="b">
        <f>IF(_xlfn.MAXIFS(Table1[Sl No],Table1[Category],Table1[[#This Row],[Category]],Table1[Execution Year],Table1[[#This Row],[Execution Year]])=Table1[[#This Row],[Sl No]],TRUE,FALSE)</f>
        <v>0</v>
      </c>
      <c r="BV264" s="201">
        <f>SUM(Table1[[#This Row],[Spend - CAN]:[Spend - Sams]])+SUM(Table1[[#This Row],[Spend - Sams Mexico]:[Spend - Sams China]])+Table1[[#This Row],[Spend - IND]]</f>
        <v>39.199999999999996</v>
      </c>
      <c r="BW264">
        <f>SUM(Table1[[#This Row],[Savings - CAN]:[Savings - Sams]])+SUM(Table1[[#This Row],[Savings - Sams Mexico]:[Savings - Sams China]])+Table1[[#This Row],[Savings - IND]]</f>
        <v>0</v>
      </c>
      <c r="BX264">
        <f>SUM(Table1[[#This Row],[Spend - CAN]:[Spend - SAF]])+SUM(Table1[[#This Row],[Spend - Sams Mexico]:[Spend - Sams China]])+Table1[[#This Row],[Spend - IND]]</f>
        <v>39.199999999999996</v>
      </c>
      <c r="BY264">
        <f>SUM(Table1[[#This Row],[Savings - CAN]:[Savings - SAF]])+SUM(Table1[[#This Row],[Savings - Sams Mexico]:[Savings - Sams China]])+Table1[[#This Row],[Savings - IND]]</f>
        <v>0</v>
      </c>
      <c r="BZ264">
        <f>SUM(Table1[[#This Row],[Spend - US]:[Spend - Sams]])</f>
        <v>0</v>
      </c>
      <c r="CA264">
        <f>SUM(Table1[[#This Row],[Savings - US]:[Savings - Sams]])</f>
        <v>0</v>
      </c>
      <c r="CB264">
        <f>SUM(Table1[[#This Row],[Cost Avoidance - CAN2]:[Cost Avoidance - SAF10]])+SUM(Table1[[#This Row],[Cost Avoidance - Sams Mexico]:[Cost Avoidance - Sams China]])+Table1[[#This Row],[Cost Avoidance - IND]]</f>
        <v>0</v>
      </c>
      <c r="CC264">
        <f>SUM(Table1[[#This Row],[Cost Avoidance - US11]:[Cost Avoidance - Sams12]])</f>
        <v>0</v>
      </c>
      <c r="CD264" t="str">
        <f>_xlfn.XLOOKUP(Table1[[#This Row],[Status]],Status_Lookups[Status],Status_Lookups[Value],"")</f>
        <v/>
      </c>
    </row>
    <row r="265" spans="1:82">
      <c r="A265">
        <v>3</v>
      </c>
      <c r="B265" t="s">
        <v>79</v>
      </c>
      <c r="C265" t="s">
        <v>43</v>
      </c>
      <c r="D265" t="s">
        <v>39</v>
      </c>
      <c r="E265" s="15">
        <v>44216</v>
      </c>
      <c r="F265" s="15">
        <v>44270</v>
      </c>
      <c r="G265" s="15"/>
      <c r="H265" s="15"/>
      <c r="I265" t="s">
        <v>656</v>
      </c>
      <c r="J265" t="s">
        <v>633</v>
      </c>
      <c r="K265">
        <v>0</v>
      </c>
      <c r="L265">
        <v>0</v>
      </c>
      <c r="M265">
        <v>16500000</v>
      </c>
      <c r="N265">
        <v>1600000</v>
      </c>
      <c r="O265">
        <v>5900000</v>
      </c>
      <c r="P265">
        <v>9200000</v>
      </c>
      <c r="Q265">
        <v>0</v>
      </c>
      <c r="R265">
        <v>3400000</v>
      </c>
      <c r="S265">
        <v>1300000</v>
      </c>
      <c r="T265">
        <v>0</v>
      </c>
      <c r="U265">
        <v>1300000</v>
      </c>
      <c r="V265">
        <v>1300000</v>
      </c>
      <c r="X265" t="s">
        <v>78</v>
      </c>
      <c r="Y265" s="16">
        <v>44215.545173032406</v>
      </c>
      <c r="Z265" s="17" t="str">
        <f>_xlfn.XLOOKUP(Table1[[#This Row],[Phase]],'Lookup tables'!$Y$27:$Y$60,'Lookup tables'!$Z$27:$Z$60,"Not Updated")</f>
        <v>Data collection complete</v>
      </c>
      <c r="AA265" s="17">
        <v>0</v>
      </c>
      <c r="AB265">
        <v>0</v>
      </c>
      <c r="AC265">
        <v>0</v>
      </c>
      <c r="AD265">
        <v>0</v>
      </c>
      <c r="AE265">
        <v>0</v>
      </c>
      <c r="AF265">
        <v>0</v>
      </c>
      <c r="AG265">
        <v>0</v>
      </c>
      <c r="AH265">
        <v>0</v>
      </c>
      <c r="AI265">
        <v>0</v>
      </c>
      <c r="AJ265">
        <v>0</v>
      </c>
      <c r="AK265">
        <v>0</v>
      </c>
      <c r="AL265">
        <v>0</v>
      </c>
      <c r="BG265" s="185"/>
      <c r="BH265" s="185"/>
      <c r="BI265" s="185"/>
      <c r="BJ265" s="185"/>
      <c r="BK265" s="185"/>
      <c r="BL265" s="185"/>
      <c r="BM265" s="185"/>
      <c r="BN265" s="185"/>
      <c r="BO265" s="185"/>
      <c r="BP265" s="185"/>
      <c r="BQ265" s="185"/>
      <c r="BR265" s="185"/>
      <c r="BS265" s="185"/>
      <c r="BT265" s="185"/>
      <c r="BU265" t="b">
        <f>IF(_xlfn.MAXIFS(Table1[Sl No],Table1[Category],Table1[[#This Row],[Category]],Table1[Execution Year],Table1[[#This Row],[Execution Year]])=Table1[[#This Row],[Sl No]],TRUE,FALSE)</f>
        <v>0</v>
      </c>
      <c r="BV265" s="201">
        <f>SUM(Table1[[#This Row],[Spend - CAN]:[Spend - Sams]])+SUM(Table1[[#This Row],[Spend - Sams Mexico]:[Spend - Sams China]])+Table1[[#This Row],[Spend - IND]]</f>
        <v>40500000</v>
      </c>
      <c r="BW265">
        <f>SUM(Table1[[#This Row],[Savings - CAN]:[Savings - Sams]])+SUM(Table1[[#This Row],[Savings - Sams Mexico]:[Savings - Sams China]])+Table1[[#This Row],[Savings - IND]]</f>
        <v>0</v>
      </c>
      <c r="BX265">
        <f>SUM(Table1[[#This Row],[Spend - CAN]:[Spend - SAF]])+SUM(Table1[[#This Row],[Spend - Sams Mexico]:[Spend - Sams China]])+Table1[[#This Row],[Spend - IND]]</f>
        <v>39200000</v>
      </c>
      <c r="BY265">
        <f>SUM(Table1[[#This Row],[Savings - CAN]:[Savings - SAF]])+SUM(Table1[[#This Row],[Savings - Sams Mexico]:[Savings - Sams China]])+Table1[[#This Row],[Savings - IND]]</f>
        <v>0</v>
      </c>
      <c r="BZ265">
        <f>SUM(Table1[[#This Row],[Spend - US]:[Spend - Sams]])</f>
        <v>1300000</v>
      </c>
      <c r="CA265">
        <f>SUM(Table1[[#This Row],[Savings - US]:[Savings - Sams]])</f>
        <v>0</v>
      </c>
      <c r="CB265">
        <f>SUM(Table1[[#This Row],[Cost Avoidance - CAN2]:[Cost Avoidance - SAF10]])+SUM(Table1[[#This Row],[Cost Avoidance - Sams Mexico]:[Cost Avoidance - Sams China]])+Table1[[#This Row],[Cost Avoidance - IND]]</f>
        <v>0</v>
      </c>
      <c r="CC265">
        <f>SUM(Table1[[#This Row],[Cost Avoidance - US11]:[Cost Avoidance - Sams12]])</f>
        <v>0</v>
      </c>
      <c r="CD265" t="str">
        <f>_xlfn.XLOOKUP(Table1[[#This Row],[Status]],Status_Lookups[Status],Status_Lookups[Value],"")</f>
        <v/>
      </c>
    </row>
    <row r="266" spans="1:82">
      <c r="A266">
        <v>4</v>
      </c>
      <c r="B266" t="s">
        <v>79</v>
      </c>
      <c r="C266" t="s">
        <v>43</v>
      </c>
      <c r="D266" t="s">
        <v>39</v>
      </c>
      <c r="E266" s="15">
        <v>44216</v>
      </c>
      <c r="F266" s="15">
        <v>44270</v>
      </c>
      <c r="G266" s="15"/>
      <c r="H266" s="15"/>
      <c r="I266" t="s">
        <v>656</v>
      </c>
      <c r="J266" t="s">
        <v>633</v>
      </c>
      <c r="K266">
        <v>0</v>
      </c>
      <c r="L266">
        <v>0</v>
      </c>
      <c r="M266">
        <v>16500000</v>
      </c>
      <c r="N266">
        <v>1600000</v>
      </c>
      <c r="O266">
        <v>5900000</v>
      </c>
      <c r="P266">
        <v>9200000</v>
      </c>
      <c r="Q266">
        <v>0</v>
      </c>
      <c r="R266">
        <v>3400000</v>
      </c>
      <c r="S266">
        <v>1300000</v>
      </c>
      <c r="T266">
        <v>0</v>
      </c>
      <c r="U266">
        <v>1300000</v>
      </c>
      <c r="V266">
        <v>0</v>
      </c>
      <c r="X266" t="s">
        <v>78</v>
      </c>
      <c r="Y266" s="16">
        <v>44216.415452199071</v>
      </c>
      <c r="Z266" s="17" t="str">
        <f>_xlfn.XLOOKUP(Table1[[#This Row],[Phase]],'Lookup tables'!$Y$27:$Y$60,'Lookup tables'!$Z$27:$Z$60,"Not Updated")</f>
        <v>Data collection complete</v>
      </c>
      <c r="AA266" s="17">
        <v>0</v>
      </c>
      <c r="AB266">
        <v>0</v>
      </c>
      <c r="AC266">
        <v>0</v>
      </c>
      <c r="AD266">
        <v>0</v>
      </c>
      <c r="AE266">
        <v>0</v>
      </c>
      <c r="AF266">
        <v>0</v>
      </c>
      <c r="AG266">
        <v>0</v>
      </c>
      <c r="AH266">
        <v>0</v>
      </c>
      <c r="AI266">
        <v>0</v>
      </c>
      <c r="AJ266">
        <v>0</v>
      </c>
      <c r="AK266">
        <v>0</v>
      </c>
      <c r="AL266">
        <v>0</v>
      </c>
      <c r="BG266" s="185"/>
      <c r="BH266" s="185"/>
      <c r="BI266" s="185"/>
      <c r="BJ266" s="185"/>
      <c r="BK266" s="185"/>
      <c r="BL266" s="185"/>
      <c r="BM266" s="185"/>
      <c r="BN266" s="185"/>
      <c r="BO266" s="185"/>
      <c r="BP266" s="185"/>
      <c r="BQ266" s="185"/>
      <c r="BR266" s="185"/>
      <c r="BS266" s="185"/>
      <c r="BT266" s="185"/>
      <c r="BU266" t="b">
        <f>IF(_xlfn.MAXIFS(Table1[Sl No],Table1[Category],Table1[[#This Row],[Category]],Table1[Execution Year],Table1[[#This Row],[Execution Year]])=Table1[[#This Row],[Sl No]],TRUE,FALSE)</f>
        <v>0</v>
      </c>
      <c r="BV266" s="201">
        <f>SUM(Table1[[#This Row],[Spend - CAN]:[Spend - Sams]])+SUM(Table1[[#This Row],[Spend - Sams Mexico]:[Spend - Sams China]])+Table1[[#This Row],[Spend - IND]]</f>
        <v>39200000</v>
      </c>
      <c r="BW266">
        <f>SUM(Table1[[#This Row],[Savings - CAN]:[Savings - Sams]])+SUM(Table1[[#This Row],[Savings - Sams Mexico]:[Savings - Sams China]])+Table1[[#This Row],[Savings - IND]]</f>
        <v>0</v>
      </c>
      <c r="BX266">
        <f>SUM(Table1[[#This Row],[Spend - CAN]:[Spend - SAF]])+SUM(Table1[[#This Row],[Spend - Sams Mexico]:[Spend - Sams China]])+Table1[[#This Row],[Spend - IND]]</f>
        <v>39200000</v>
      </c>
      <c r="BY266">
        <f>SUM(Table1[[#This Row],[Savings - CAN]:[Savings - SAF]])+SUM(Table1[[#This Row],[Savings - Sams Mexico]:[Savings - Sams China]])+Table1[[#This Row],[Savings - IND]]</f>
        <v>0</v>
      </c>
      <c r="BZ266">
        <f>SUM(Table1[[#This Row],[Spend - US]:[Spend - Sams]])</f>
        <v>0</v>
      </c>
      <c r="CA266">
        <f>SUM(Table1[[#This Row],[Savings - US]:[Savings - Sams]])</f>
        <v>0</v>
      </c>
      <c r="CB266">
        <f>SUM(Table1[[#This Row],[Cost Avoidance - CAN2]:[Cost Avoidance - SAF10]])+SUM(Table1[[#This Row],[Cost Avoidance - Sams Mexico]:[Cost Avoidance - Sams China]])+Table1[[#This Row],[Cost Avoidance - IND]]</f>
        <v>0</v>
      </c>
      <c r="CC266">
        <f>SUM(Table1[[#This Row],[Cost Avoidance - US11]:[Cost Avoidance - Sams12]])</f>
        <v>0</v>
      </c>
      <c r="CD266" t="str">
        <f>_xlfn.XLOOKUP(Table1[[#This Row],[Status]],Status_Lookups[Status],Status_Lookups[Value],"")</f>
        <v/>
      </c>
    </row>
    <row r="267" spans="1:82">
      <c r="A267">
        <v>5</v>
      </c>
      <c r="B267" t="s">
        <v>79</v>
      </c>
      <c r="C267" t="s">
        <v>43</v>
      </c>
      <c r="D267" t="s">
        <v>39</v>
      </c>
      <c r="E267" s="15">
        <v>44216</v>
      </c>
      <c r="F267" s="15">
        <v>44270</v>
      </c>
      <c r="G267" s="15"/>
      <c r="H267" s="15"/>
      <c r="I267" t="s">
        <v>656</v>
      </c>
      <c r="J267" t="s">
        <v>633</v>
      </c>
      <c r="K267">
        <v>0</v>
      </c>
      <c r="L267">
        <v>0</v>
      </c>
      <c r="M267">
        <v>16500000</v>
      </c>
      <c r="N267">
        <v>1600000</v>
      </c>
      <c r="O267">
        <v>5900000</v>
      </c>
      <c r="P267">
        <v>9200000</v>
      </c>
      <c r="Q267">
        <v>0</v>
      </c>
      <c r="R267">
        <v>3400000</v>
      </c>
      <c r="S267">
        <v>1300000</v>
      </c>
      <c r="T267">
        <v>0</v>
      </c>
      <c r="U267">
        <v>1300000</v>
      </c>
      <c r="V267">
        <v>0</v>
      </c>
      <c r="X267" t="s">
        <v>78</v>
      </c>
      <c r="Y267" s="16">
        <v>44216.415452199071</v>
      </c>
      <c r="Z267" s="17" t="str">
        <f>_xlfn.XLOOKUP(Table1[[#This Row],[Phase]],'Lookup tables'!$Y$27:$Y$60,'Lookup tables'!$Z$27:$Z$60,"Not Updated")</f>
        <v>Data collection complete</v>
      </c>
      <c r="AA267" s="17">
        <v>0</v>
      </c>
      <c r="AB267">
        <v>0</v>
      </c>
      <c r="AC267">
        <v>0</v>
      </c>
      <c r="AD267">
        <v>0</v>
      </c>
      <c r="AE267">
        <v>0</v>
      </c>
      <c r="AF267">
        <v>0</v>
      </c>
      <c r="AG267">
        <v>0</v>
      </c>
      <c r="AH267">
        <v>0</v>
      </c>
      <c r="AI267">
        <v>0</v>
      </c>
      <c r="AJ267">
        <v>0</v>
      </c>
      <c r="AK267">
        <v>0</v>
      </c>
      <c r="AL267">
        <v>0</v>
      </c>
      <c r="BG267" s="185"/>
      <c r="BH267" s="185"/>
      <c r="BI267" s="185"/>
      <c r="BJ267" s="185"/>
      <c r="BK267" s="185"/>
      <c r="BL267" s="185"/>
      <c r="BM267" s="185"/>
      <c r="BN267" s="185"/>
      <c r="BO267" s="185"/>
      <c r="BP267" s="185"/>
      <c r="BQ267" s="185"/>
      <c r="BR267" s="185"/>
      <c r="BS267" s="185"/>
      <c r="BT267" s="185"/>
      <c r="BU267" t="b">
        <f>IF(_xlfn.MAXIFS(Table1[Sl No],Table1[Category],Table1[[#This Row],[Category]],Table1[Execution Year],Table1[[#This Row],[Execution Year]])=Table1[[#This Row],[Sl No]],TRUE,FALSE)</f>
        <v>0</v>
      </c>
      <c r="BV267" s="201">
        <f>SUM(Table1[[#This Row],[Spend - CAN]:[Spend - Sams]])+SUM(Table1[[#This Row],[Spend - Sams Mexico]:[Spend - Sams China]])+Table1[[#This Row],[Spend - IND]]</f>
        <v>39200000</v>
      </c>
      <c r="BW267">
        <f>SUM(Table1[[#This Row],[Savings - CAN]:[Savings - Sams]])+SUM(Table1[[#This Row],[Savings - Sams Mexico]:[Savings - Sams China]])+Table1[[#This Row],[Savings - IND]]</f>
        <v>0</v>
      </c>
      <c r="BX267">
        <f>SUM(Table1[[#This Row],[Spend - CAN]:[Spend - SAF]])+SUM(Table1[[#This Row],[Spend - Sams Mexico]:[Spend - Sams China]])+Table1[[#This Row],[Spend - IND]]</f>
        <v>39200000</v>
      </c>
      <c r="BY267">
        <f>SUM(Table1[[#This Row],[Savings - CAN]:[Savings - SAF]])+SUM(Table1[[#This Row],[Savings - Sams Mexico]:[Savings - Sams China]])+Table1[[#This Row],[Savings - IND]]</f>
        <v>0</v>
      </c>
      <c r="BZ267">
        <f>SUM(Table1[[#This Row],[Spend - US]:[Spend - Sams]])</f>
        <v>0</v>
      </c>
      <c r="CA267">
        <f>SUM(Table1[[#This Row],[Savings - US]:[Savings - Sams]])</f>
        <v>0</v>
      </c>
      <c r="CB267">
        <f>SUM(Table1[[#This Row],[Cost Avoidance - CAN2]:[Cost Avoidance - SAF10]])+SUM(Table1[[#This Row],[Cost Avoidance - Sams Mexico]:[Cost Avoidance - Sams China]])+Table1[[#This Row],[Cost Avoidance - IND]]</f>
        <v>0</v>
      </c>
      <c r="CC267">
        <f>SUM(Table1[[#This Row],[Cost Avoidance - US11]:[Cost Avoidance - Sams12]])</f>
        <v>0</v>
      </c>
      <c r="CD267" t="str">
        <f>_xlfn.XLOOKUP(Table1[[#This Row],[Status]],Status_Lookups[Status],Status_Lookups[Value],"")</f>
        <v/>
      </c>
    </row>
    <row r="268" spans="1:82">
      <c r="A268">
        <v>6</v>
      </c>
      <c r="B268" t="s">
        <v>79</v>
      </c>
      <c r="C268" t="s">
        <v>43</v>
      </c>
      <c r="D268" t="s">
        <v>39</v>
      </c>
      <c r="E268" s="15">
        <v>44216</v>
      </c>
      <c r="F268" s="15">
        <v>44270</v>
      </c>
      <c r="G268" s="15">
        <v>44216</v>
      </c>
      <c r="H268" s="15"/>
      <c r="I268" t="s">
        <v>635</v>
      </c>
      <c r="J268" t="s">
        <v>633</v>
      </c>
      <c r="K268" t="s">
        <v>445</v>
      </c>
      <c r="L268">
        <v>0</v>
      </c>
      <c r="M268">
        <v>18800000</v>
      </c>
      <c r="N268">
        <v>1800000</v>
      </c>
      <c r="O268">
        <v>6000000</v>
      </c>
      <c r="P268">
        <v>7300000</v>
      </c>
      <c r="Q268">
        <v>0</v>
      </c>
      <c r="R268">
        <v>5000000</v>
      </c>
      <c r="S268">
        <v>1400000</v>
      </c>
      <c r="T268">
        <v>0</v>
      </c>
      <c r="U268">
        <v>1500000</v>
      </c>
      <c r="V268">
        <v>0</v>
      </c>
      <c r="W268">
        <v>0</v>
      </c>
      <c r="X268" t="s">
        <v>97</v>
      </c>
      <c r="Y268" s="16">
        <v>44250.341092939816</v>
      </c>
      <c r="Z268" s="17" t="str">
        <f>_xlfn.XLOOKUP(Table1[[#This Row],[Phase]],'Lookup tables'!$Y$27:$Y$60,'Lookup tables'!$Z$27:$Z$60,"Not Updated")</f>
        <v>RFPX underway</v>
      </c>
      <c r="AA268" s="17" t="s">
        <v>665</v>
      </c>
      <c r="AB268">
        <v>0</v>
      </c>
      <c r="AC268">
        <v>0</v>
      </c>
      <c r="AD268">
        <v>0</v>
      </c>
      <c r="AE268">
        <v>0</v>
      </c>
      <c r="AF268">
        <v>0</v>
      </c>
      <c r="AG268">
        <v>0</v>
      </c>
      <c r="AH268">
        <v>0</v>
      </c>
      <c r="AI268">
        <v>0</v>
      </c>
      <c r="AJ268">
        <v>0</v>
      </c>
      <c r="AK268">
        <v>0</v>
      </c>
      <c r="AL268">
        <v>0</v>
      </c>
      <c r="AM268">
        <v>0</v>
      </c>
      <c r="AN268">
        <v>0</v>
      </c>
      <c r="AO268">
        <v>0</v>
      </c>
      <c r="AP268">
        <v>0</v>
      </c>
      <c r="AQ268">
        <v>0</v>
      </c>
      <c r="AR268">
        <v>0</v>
      </c>
      <c r="AS268">
        <v>0</v>
      </c>
      <c r="AT268">
        <v>0</v>
      </c>
      <c r="AU268">
        <v>0</v>
      </c>
      <c r="AV268">
        <v>0</v>
      </c>
      <c r="AW268">
        <v>0</v>
      </c>
      <c r="BG268" s="185"/>
      <c r="BH268" s="185"/>
      <c r="BI268" s="185"/>
      <c r="BJ268" s="185"/>
      <c r="BK268" s="185"/>
      <c r="BL268" s="185"/>
      <c r="BM268" s="185"/>
      <c r="BN268" s="185"/>
      <c r="BO268" s="185"/>
      <c r="BP268" s="185"/>
      <c r="BQ268" s="185"/>
      <c r="BR268" s="185"/>
      <c r="BS268" s="185"/>
      <c r="BT268" s="185"/>
      <c r="BU268" t="b">
        <f>IF(_xlfn.MAXIFS(Table1[Sl No],Table1[Category],Table1[[#This Row],[Category]],Table1[Execution Year],Table1[[#This Row],[Execution Year]])=Table1[[#This Row],[Sl No]],TRUE,FALSE)</f>
        <v>0</v>
      </c>
      <c r="BV268" s="201">
        <f>SUM(Table1[[#This Row],[Spend - CAN]:[Spend - Sams]])+SUM(Table1[[#This Row],[Spend - Sams Mexico]:[Spend - Sams China]])+Table1[[#This Row],[Spend - IND]]</f>
        <v>41800000</v>
      </c>
      <c r="BW268">
        <f>SUM(Table1[[#This Row],[Savings - CAN]:[Savings - Sams]])+SUM(Table1[[#This Row],[Savings - Sams Mexico]:[Savings - Sams China]])+Table1[[#This Row],[Savings - IND]]</f>
        <v>0</v>
      </c>
      <c r="BX268">
        <f>SUM(Table1[[#This Row],[Spend - CAN]:[Spend - SAF]])+SUM(Table1[[#This Row],[Spend - Sams Mexico]:[Spend - Sams China]])+Table1[[#This Row],[Spend - IND]]</f>
        <v>41800000</v>
      </c>
      <c r="BY268">
        <f>SUM(Table1[[#This Row],[Savings - CAN]:[Savings - SAF]])+SUM(Table1[[#This Row],[Savings - Sams Mexico]:[Savings - Sams China]])+Table1[[#This Row],[Savings - IND]]</f>
        <v>0</v>
      </c>
      <c r="BZ268">
        <f>SUM(Table1[[#This Row],[Spend - US]:[Spend - Sams]])</f>
        <v>0</v>
      </c>
      <c r="CA268">
        <f>SUM(Table1[[#This Row],[Savings - US]:[Savings - Sams]])</f>
        <v>0</v>
      </c>
      <c r="CB268">
        <f>SUM(Table1[[#This Row],[Cost Avoidance - CAN2]:[Cost Avoidance - SAF10]])+SUM(Table1[[#This Row],[Cost Avoidance - Sams Mexico]:[Cost Avoidance - Sams China]])+Table1[[#This Row],[Cost Avoidance - IND]]</f>
        <v>0</v>
      </c>
      <c r="CC268">
        <f>SUM(Table1[[#This Row],[Cost Avoidance - US11]:[Cost Avoidance - Sams12]])</f>
        <v>0</v>
      </c>
      <c r="CD268" t="str">
        <f>_xlfn.XLOOKUP(Table1[[#This Row],[Status]],Status_Lookups[Status],Status_Lookups[Value],"")</f>
        <v/>
      </c>
    </row>
    <row r="269" spans="1:82">
      <c r="A269">
        <v>7</v>
      </c>
      <c r="B269" t="s">
        <v>79</v>
      </c>
      <c r="C269" t="s">
        <v>43</v>
      </c>
      <c r="D269" t="s">
        <v>39</v>
      </c>
      <c r="E269" s="15">
        <v>44216</v>
      </c>
      <c r="F269" s="15">
        <v>44270</v>
      </c>
      <c r="G269" s="15">
        <v>44216</v>
      </c>
      <c r="H269" s="15">
        <v>44286</v>
      </c>
      <c r="I269" t="s">
        <v>635</v>
      </c>
      <c r="J269" t="s">
        <v>666</v>
      </c>
      <c r="K269" t="s">
        <v>445</v>
      </c>
      <c r="L269">
        <v>0</v>
      </c>
      <c r="M269">
        <v>18800000</v>
      </c>
      <c r="N269">
        <v>1800000</v>
      </c>
      <c r="O269">
        <v>6000000</v>
      </c>
      <c r="P269">
        <v>7300000</v>
      </c>
      <c r="Q269">
        <v>0</v>
      </c>
      <c r="R269">
        <v>5000000</v>
      </c>
      <c r="S269">
        <v>1400000</v>
      </c>
      <c r="T269">
        <v>0</v>
      </c>
      <c r="U269">
        <v>1500000</v>
      </c>
      <c r="V269">
        <v>0</v>
      </c>
      <c r="W269">
        <v>0</v>
      </c>
      <c r="X269" t="s">
        <v>97</v>
      </c>
      <c r="Y269" s="16">
        <v>44250.348032754628</v>
      </c>
      <c r="Z269" s="17" t="str">
        <f>_xlfn.XLOOKUP(Table1[[#This Row],[Phase]],'Lookup tables'!$Y$27:$Y$60,'Lookup tables'!$Z$27:$Z$60,"Not Updated")</f>
        <v>RFPX underway</v>
      </c>
      <c r="AA269" s="17" t="s">
        <v>667</v>
      </c>
      <c r="AB269">
        <v>0</v>
      </c>
      <c r="AC269">
        <v>0</v>
      </c>
      <c r="AD269">
        <v>0</v>
      </c>
      <c r="AE269">
        <v>0</v>
      </c>
      <c r="AF269">
        <v>0</v>
      </c>
      <c r="AG269">
        <v>0</v>
      </c>
      <c r="AH269">
        <v>0</v>
      </c>
      <c r="AI269">
        <v>0</v>
      </c>
      <c r="AJ269">
        <v>0</v>
      </c>
      <c r="AK269">
        <v>0</v>
      </c>
      <c r="AL269">
        <v>0</v>
      </c>
      <c r="AM269">
        <v>0</v>
      </c>
      <c r="AN269">
        <v>0</v>
      </c>
      <c r="AO269">
        <v>0</v>
      </c>
      <c r="AP269">
        <v>0</v>
      </c>
      <c r="AQ269">
        <v>0</v>
      </c>
      <c r="AR269">
        <v>0</v>
      </c>
      <c r="AS269">
        <v>0</v>
      </c>
      <c r="AT269">
        <v>0</v>
      </c>
      <c r="AU269">
        <v>0</v>
      </c>
      <c r="AV269">
        <v>0</v>
      </c>
      <c r="AW269">
        <v>0</v>
      </c>
      <c r="BG269" s="185"/>
      <c r="BH269" s="185"/>
      <c r="BI269" s="185"/>
      <c r="BJ269" s="185"/>
      <c r="BK269" s="185"/>
      <c r="BL269" s="185"/>
      <c r="BM269" s="185"/>
      <c r="BN269" s="185"/>
      <c r="BO269" s="185"/>
      <c r="BP269" s="185"/>
      <c r="BQ269" s="185"/>
      <c r="BR269" s="185"/>
      <c r="BS269" s="185"/>
      <c r="BT269" s="185"/>
      <c r="BU269" t="b">
        <f>IF(_xlfn.MAXIFS(Table1[Sl No],Table1[Category],Table1[[#This Row],[Category]],Table1[Execution Year],Table1[[#This Row],[Execution Year]])=Table1[[#This Row],[Sl No]],TRUE,FALSE)</f>
        <v>0</v>
      </c>
      <c r="BV269" s="201">
        <f>SUM(Table1[[#This Row],[Spend - CAN]:[Spend - Sams]])+SUM(Table1[[#This Row],[Spend - Sams Mexico]:[Spend - Sams China]])+Table1[[#This Row],[Spend - IND]]</f>
        <v>41800000</v>
      </c>
      <c r="BW269">
        <f>SUM(Table1[[#This Row],[Savings - CAN]:[Savings - Sams]])+SUM(Table1[[#This Row],[Savings - Sams Mexico]:[Savings - Sams China]])+Table1[[#This Row],[Savings - IND]]</f>
        <v>0</v>
      </c>
      <c r="BX269">
        <f>SUM(Table1[[#This Row],[Spend - CAN]:[Spend - SAF]])+SUM(Table1[[#This Row],[Spend - Sams Mexico]:[Spend - Sams China]])+Table1[[#This Row],[Spend - IND]]</f>
        <v>41800000</v>
      </c>
      <c r="BY269">
        <f>SUM(Table1[[#This Row],[Savings - CAN]:[Savings - SAF]])+SUM(Table1[[#This Row],[Savings - Sams Mexico]:[Savings - Sams China]])+Table1[[#This Row],[Savings - IND]]</f>
        <v>0</v>
      </c>
      <c r="BZ269">
        <f>SUM(Table1[[#This Row],[Spend - US]:[Spend - Sams]])</f>
        <v>0</v>
      </c>
      <c r="CA269">
        <f>SUM(Table1[[#This Row],[Savings - US]:[Savings - Sams]])</f>
        <v>0</v>
      </c>
      <c r="CB269">
        <f>SUM(Table1[[#This Row],[Cost Avoidance - CAN2]:[Cost Avoidance - SAF10]])+SUM(Table1[[#This Row],[Cost Avoidance - Sams Mexico]:[Cost Avoidance - Sams China]])+Table1[[#This Row],[Cost Avoidance - IND]]</f>
        <v>0</v>
      </c>
      <c r="CC269">
        <f>SUM(Table1[[#This Row],[Cost Avoidance - US11]:[Cost Avoidance - Sams12]])</f>
        <v>0</v>
      </c>
      <c r="CD269" t="str">
        <f>_xlfn.XLOOKUP(Table1[[#This Row],[Status]],Status_Lookups[Status],Status_Lookups[Value],"")</f>
        <v/>
      </c>
    </row>
    <row r="270" spans="1:82">
      <c r="A270">
        <v>8</v>
      </c>
      <c r="B270" t="s">
        <v>79</v>
      </c>
      <c r="C270" t="s">
        <v>43</v>
      </c>
      <c r="D270" t="s">
        <v>39</v>
      </c>
      <c r="E270" s="15">
        <v>44216</v>
      </c>
      <c r="F270" s="15">
        <v>44270</v>
      </c>
      <c r="G270" s="15">
        <v>44216</v>
      </c>
      <c r="H270" s="15">
        <v>44286</v>
      </c>
      <c r="I270" t="s">
        <v>635</v>
      </c>
      <c r="J270" t="s">
        <v>666</v>
      </c>
      <c r="K270" t="s">
        <v>445</v>
      </c>
      <c r="L270">
        <v>0</v>
      </c>
      <c r="M270">
        <v>18800000</v>
      </c>
      <c r="N270">
        <v>1800000</v>
      </c>
      <c r="O270">
        <v>6000000</v>
      </c>
      <c r="P270">
        <v>7300000</v>
      </c>
      <c r="Q270">
        <v>0</v>
      </c>
      <c r="R270">
        <v>5000000</v>
      </c>
      <c r="S270">
        <v>1400000</v>
      </c>
      <c r="T270">
        <v>0</v>
      </c>
      <c r="U270">
        <v>1500000</v>
      </c>
      <c r="V270">
        <v>0</v>
      </c>
      <c r="W270">
        <v>0</v>
      </c>
      <c r="X270" t="s">
        <v>97</v>
      </c>
      <c r="Y270" s="16">
        <v>44264.358949884256</v>
      </c>
      <c r="Z270" s="17" t="str">
        <f>_xlfn.XLOOKUP(Table1[[#This Row],[Phase]],'Lookup tables'!$Y$27:$Y$60,'Lookup tables'!$Z$27:$Z$60,"Not Updated")</f>
        <v>RFPX underway</v>
      </c>
      <c r="AA270" s="17" t="s">
        <v>668</v>
      </c>
      <c r="AB270">
        <v>0</v>
      </c>
      <c r="AC270">
        <v>0</v>
      </c>
      <c r="AD270">
        <v>0</v>
      </c>
      <c r="AE270">
        <v>0</v>
      </c>
      <c r="AF270">
        <v>0</v>
      </c>
      <c r="AG270">
        <v>0</v>
      </c>
      <c r="AH270">
        <v>0</v>
      </c>
      <c r="AI270">
        <v>0</v>
      </c>
      <c r="AJ270">
        <v>0</v>
      </c>
      <c r="AK270">
        <v>0</v>
      </c>
      <c r="AL270">
        <v>0</v>
      </c>
      <c r="AM270">
        <v>0</v>
      </c>
      <c r="AN270">
        <v>0</v>
      </c>
      <c r="AO270">
        <v>0</v>
      </c>
      <c r="AP270">
        <v>0</v>
      </c>
      <c r="AQ270">
        <v>0</v>
      </c>
      <c r="AR270">
        <v>0</v>
      </c>
      <c r="AS270">
        <v>0</v>
      </c>
      <c r="AT270">
        <v>0</v>
      </c>
      <c r="AU270">
        <v>0</v>
      </c>
      <c r="AV270">
        <v>0</v>
      </c>
      <c r="AW270">
        <v>0</v>
      </c>
      <c r="BG270" s="185"/>
      <c r="BH270" s="185"/>
      <c r="BI270" s="185"/>
      <c r="BJ270" s="185"/>
      <c r="BK270" s="185"/>
      <c r="BL270" s="185"/>
      <c r="BM270" s="185"/>
      <c r="BN270" s="185"/>
      <c r="BO270" s="185"/>
      <c r="BP270" s="185"/>
      <c r="BQ270" s="185"/>
      <c r="BR270" s="185"/>
      <c r="BS270" s="185"/>
      <c r="BT270" s="185"/>
      <c r="BU270" t="b">
        <f>IF(_xlfn.MAXIFS(Table1[Sl No],Table1[Category],Table1[[#This Row],[Category]],Table1[Execution Year],Table1[[#This Row],[Execution Year]])=Table1[[#This Row],[Sl No]],TRUE,FALSE)</f>
        <v>0</v>
      </c>
      <c r="BV270" s="201">
        <f>SUM(Table1[[#This Row],[Spend - CAN]:[Spend - Sams]])+SUM(Table1[[#This Row],[Spend - Sams Mexico]:[Spend - Sams China]])+Table1[[#This Row],[Spend - IND]]</f>
        <v>41800000</v>
      </c>
      <c r="BW270">
        <f>SUM(Table1[[#This Row],[Savings - CAN]:[Savings - Sams]])+SUM(Table1[[#This Row],[Savings - Sams Mexico]:[Savings - Sams China]])+Table1[[#This Row],[Savings - IND]]</f>
        <v>0</v>
      </c>
      <c r="BX270">
        <f>SUM(Table1[[#This Row],[Spend - CAN]:[Spend - SAF]])+SUM(Table1[[#This Row],[Spend - Sams Mexico]:[Spend - Sams China]])+Table1[[#This Row],[Spend - IND]]</f>
        <v>41800000</v>
      </c>
      <c r="BY270">
        <f>SUM(Table1[[#This Row],[Savings - CAN]:[Savings - SAF]])+SUM(Table1[[#This Row],[Savings - Sams Mexico]:[Savings - Sams China]])+Table1[[#This Row],[Savings - IND]]</f>
        <v>0</v>
      </c>
      <c r="BZ270">
        <f>SUM(Table1[[#This Row],[Spend - US]:[Spend - Sams]])</f>
        <v>0</v>
      </c>
      <c r="CA270">
        <f>SUM(Table1[[#This Row],[Savings - US]:[Savings - Sams]])</f>
        <v>0</v>
      </c>
      <c r="CB270">
        <f>SUM(Table1[[#This Row],[Cost Avoidance - CAN2]:[Cost Avoidance - SAF10]])+SUM(Table1[[#This Row],[Cost Avoidance - Sams Mexico]:[Cost Avoidance - Sams China]])+Table1[[#This Row],[Cost Avoidance - IND]]</f>
        <v>0</v>
      </c>
      <c r="CC270">
        <f>SUM(Table1[[#This Row],[Cost Avoidance - US11]:[Cost Avoidance - Sams12]])</f>
        <v>0</v>
      </c>
      <c r="CD270" t="str">
        <f>_xlfn.XLOOKUP(Table1[[#This Row],[Status]],Status_Lookups[Status],Status_Lookups[Value],"")</f>
        <v/>
      </c>
    </row>
    <row r="271" spans="1:82">
      <c r="A271">
        <v>9</v>
      </c>
      <c r="B271" t="s">
        <v>79</v>
      </c>
      <c r="C271" t="s">
        <v>43</v>
      </c>
      <c r="D271" t="s">
        <v>39</v>
      </c>
      <c r="E271" s="15">
        <v>44216</v>
      </c>
      <c r="F271" s="15">
        <v>44270</v>
      </c>
      <c r="G271" s="15">
        <v>44216</v>
      </c>
      <c r="H271" s="15">
        <v>44316</v>
      </c>
      <c r="I271" t="s">
        <v>635</v>
      </c>
      <c r="J271" t="s">
        <v>666</v>
      </c>
      <c r="K271" t="s">
        <v>445</v>
      </c>
      <c r="L271">
        <v>0</v>
      </c>
      <c r="M271">
        <v>18800000</v>
      </c>
      <c r="N271">
        <v>1800000</v>
      </c>
      <c r="O271">
        <v>6000000</v>
      </c>
      <c r="P271">
        <v>7300000</v>
      </c>
      <c r="Q271">
        <v>0</v>
      </c>
      <c r="R271">
        <v>5000000</v>
      </c>
      <c r="S271">
        <v>1400000</v>
      </c>
      <c r="T271">
        <v>0</v>
      </c>
      <c r="U271">
        <v>1500000</v>
      </c>
      <c r="V271">
        <v>0</v>
      </c>
      <c r="W271">
        <v>0</v>
      </c>
      <c r="X271" t="s">
        <v>34</v>
      </c>
      <c r="Y271" s="16">
        <v>44298.623054398151</v>
      </c>
      <c r="Z271" s="17" t="str">
        <f>_xlfn.XLOOKUP(Table1[[#This Row],[Phase]],'Lookup tables'!$Y$27:$Y$60,'Lookup tables'!$Z$27:$Z$60,"Not Updated")</f>
        <v>RFPX underway</v>
      </c>
      <c r="AA271" s="17" t="s">
        <v>669</v>
      </c>
      <c r="AB271">
        <v>0</v>
      </c>
      <c r="AC271">
        <v>0</v>
      </c>
      <c r="AD271">
        <v>0</v>
      </c>
      <c r="AE271">
        <v>0</v>
      </c>
      <c r="AF271">
        <v>0</v>
      </c>
      <c r="AG271">
        <v>0</v>
      </c>
      <c r="AH271">
        <v>0</v>
      </c>
      <c r="AI271">
        <v>0</v>
      </c>
      <c r="AJ271">
        <v>0</v>
      </c>
      <c r="AK271">
        <v>0</v>
      </c>
      <c r="AL271">
        <v>0</v>
      </c>
      <c r="AM271">
        <v>0</v>
      </c>
      <c r="AN271">
        <v>0</v>
      </c>
      <c r="AO271">
        <v>0</v>
      </c>
      <c r="AP271">
        <v>0</v>
      </c>
      <c r="AQ271">
        <v>0</v>
      </c>
      <c r="AR271">
        <v>0</v>
      </c>
      <c r="AS271">
        <v>0</v>
      </c>
      <c r="AT271">
        <v>0</v>
      </c>
      <c r="AU271">
        <v>0</v>
      </c>
      <c r="AV271">
        <v>0</v>
      </c>
      <c r="AW271">
        <v>0</v>
      </c>
      <c r="BG271" s="185"/>
      <c r="BH271" s="185"/>
      <c r="BI271" s="185"/>
      <c r="BJ271" s="185"/>
      <c r="BK271" s="185"/>
      <c r="BL271" s="185"/>
      <c r="BM271" s="185"/>
      <c r="BN271" s="185"/>
      <c r="BO271" s="185"/>
      <c r="BP271" s="185"/>
      <c r="BQ271" s="185"/>
      <c r="BR271" s="185"/>
      <c r="BS271" s="185"/>
      <c r="BT271" s="185"/>
      <c r="BU271" t="b">
        <f>IF(_xlfn.MAXIFS(Table1[Sl No],Table1[Category],Table1[[#This Row],[Category]],Table1[Execution Year],Table1[[#This Row],[Execution Year]])=Table1[[#This Row],[Sl No]],TRUE,FALSE)</f>
        <v>0</v>
      </c>
      <c r="BV271" s="201">
        <f>SUM(Table1[[#This Row],[Spend - CAN]:[Spend - Sams]])+SUM(Table1[[#This Row],[Spend - Sams Mexico]:[Spend - Sams China]])+Table1[[#This Row],[Spend - IND]]</f>
        <v>41800000</v>
      </c>
      <c r="BW271">
        <f>SUM(Table1[[#This Row],[Savings - CAN]:[Savings - Sams]])+SUM(Table1[[#This Row],[Savings - Sams Mexico]:[Savings - Sams China]])+Table1[[#This Row],[Savings - IND]]</f>
        <v>0</v>
      </c>
      <c r="BX271">
        <f>SUM(Table1[[#This Row],[Spend - CAN]:[Spend - SAF]])+SUM(Table1[[#This Row],[Spend - Sams Mexico]:[Spend - Sams China]])+Table1[[#This Row],[Spend - IND]]</f>
        <v>41800000</v>
      </c>
      <c r="BY271">
        <f>SUM(Table1[[#This Row],[Savings - CAN]:[Savings - SAF]])+SUM(Table1[[#This Row],[Savings - Sams Mexico]:[Savings - Sams China]])+Table1[[#This Row],[Savings - IND]]</f>
        <v>0</v>
      </c>
      <c r="BZ271">
        <f>SUM(Table1[[#This Row],[Spend - US]:[Spend - Sams]])</f>
        <v>0</v>
      </c>
      <c r="CA271">
        <f>SUM(Table1[[#This Row],[Savings - US]:[Savings - Sams]])</f>
        <v>0</v>
      </c>
      <c r="CB271">
        <f>SUM(Table1[[#This Row],[Cost Avoidance - CAN2]:[Cost Avoidance - SAF10]])+SUM(Table1[[#This Row],[Cost Avoidance - Sams Mexico]:[Cost Avoidance - Sams China]])+Table1[[#This Row],[Cost Avoidance - IND]]</f>
        <v>0</v>
      </c>
      <c r="CC271">
        <f>SUM(Table1[[#This Row],[Cost Avoidance - US11]:[Cost Avoidance - Sams12]])</f>
        <v>0</v>
      </c>
      <c r="CD271" t="str">
        <f>_xlfn.XLOOKUP(Table1[[#This Row],[Status]],Status_Lookups[Status],Status_Lookups[Value],"")</f>
        <v/>
      </c>
    </row>
    <row r="272" spans="1:82">
      <c r="A272">
        <v>10</v>
      </c>
      <c r="B272" t="s">
        <v>79</v>
      </c>
      <c r="C272" t="s">
        <v>43</v>
      </c>
      <c r="D272" t="s">
        <v>39</v>
      </c>
      <c r="E272" s="15">
        <v>44216</v>
      </c>
      <c r="F272" s="15">
        <v>44270</v>
      </c>
      <c r="G272" s="15">
        <v>44216</v>
      </c>
      <c r="H272" s="15">
        <v>44316</v>
      </c>
      <c r="I272" t="s">
        <v>642</v>
      </c>
      <c r="J272" t="s">
        <v>666</v>
      </c>
      <c r="K272" t="s">
        <v>445</v>
      </c>
      <c r="L272">
        <v>0</v>
      </c>
      <c r="M272">
        <v>18800000</v>
      </c>
      <c r="N272">
        <v>1800000</v>
      </c>
      <c r="O272">
        <v>6000000</v>
      </c>
      <c r="P272">
        <v>7300000</v>
      </c>
      <c r="Q272">
        <v>0</v>
      </c>
      <c r="R272">
        <v>5000000</v>
      </c>
      <c r="S272">
        <v>1400000</v>
      </c>
      <c r="T272">
        <v>0</v>
      </c>
      <c r="U272">
        <v>1500000</v>
      </c>
      <c r="V272">
        <v>0</v>
      </c>
      <c r="W272">
        <v>0</v>
      </c>
      <c r="X272" t="s">
        <v>78</v>
      </c>
      <c r="Y272" s="16">
        <v>44301.584899189816</v>
      </c>
      <c r="Z272" s="17" t="str">
        <f>_xlfn.XLOOKUP(Table1[[#This Row],[Phase]],'Lookup tables'!$Y$27:$Y$60,'Lookup tables'!$Z$27:$Z$60,"Not Updated")</f>
        <v>Post Bid</v>
      </c>
      <c r="AA272" s="17" t="s">
        <v>669</v>
      </c>
      <c r="AB272">
        <v>0</v>
      </c>
      <c r="AC272">
        <v>0</v>
      </c>
      <c r="AD272">
        <v>0</v>
      </c>
      <c r="AE272">
        <v>0</v>
      </c>
      <c r="AF272">
        <v>0</v>
      </c>
      <c r="AG272">
        <v>0</v>
      </c>
      <c r="AH272">
        <v>0</v>
      </c>
      <c r="AI272">
        <v>0</v>
      </c>
      <c r="AJ272">
        <v>0</v>
      </c>
      <c r="AK272">
        <v>0</v>
      </c>
      <c r="AL272">
        <v>0</v>
      </c>
      <c r="AM272">
        <v>0</v>
      </c>
      <c r="AN272">
        <v>0</v>
      </c>
      <c r="AO272">
        <v>0</v>
      </c>
      <c r="AP272">
        <v>0</v>
      </c>
      <c r="AQ272">
        <v>0</v>
      </c>
      <c r="AR272">
        <v>0</v>
      </c>
      <c r="AS272">
        <v>0</v>
      </c>
      <c r="AT272">
        <v>0</v>
      </c>
      <c r="AU272">
        <v>0</v>
      </c>
      <c r="AV272">
        <v>0</v>
      </c>
      <c r="AW272">
        <v>0</v>
      </c>
      <c r="BG272" s="185"/>
      <c r="BH272" s="185"/>
      <c r="BI272" s="185"/>
      <c r="BJ272" s="185"/>
      <c r="BK272" s="185"/>
      <c r="BL272" s="185"/>
      <c r="BM272" s="185"/>
      <c r="BN272" s="185"/>
      <c r="BO272" s="185"/>
      <c r="BP272" s="185"/>
      <c r="BQ272" s="185"/>
      <c r="BR272" s="185"/>
      <c r="BS272" s="185"/>
      <c r="BT272" s="185"/>
      <c r="BU272" t="b">
        <f>IF(_xlfn.MAXIFS(Table1[Sl No],Table1[Category],Table1[[#This Row],[Category]],Table1[Execution Year],Table1[[#This Row],[Execution Year]])=Table1[[#This Row],[Sl No]],TRUE,FALSE)</f>
        <v>0</v>
      </c>
      <c r="BV272" s="201">
        <f>SUM(Table1[[#This Row],[Spend - CAN]:[Spend - Sams]])+SUM(Table1[[#This Row],[Spend - Sams Mexico]:[Spend - Sams China]])+Table1[[#This Row],[Spend - IND]]</f>
        <v>41800000</v>
      </c>
      <c r="BW272">
        <f>SUM(Table1[[#This Row],[Savings - CAN]:[Savings - Sams]])+SUM(Table1[[#This Row],[Savings - Sams Mexico]:[Savings - Sams China]])+Table1[[#This Row],[Savings - IND]]</f>
        <v>0</v>
      </c>
      <c r="BX272">
        <f>SUM(Table1[[#This Row],[Spend - CAN]:[Spend - SAF]])+SUM(Table1[[#This Row],[Spend - Sams Mexico]:[Spend - Sams China]])+Table1[[#This Row],[Spend - IND]]</f>
        <v>41800000</v>
      </c>
      <c r="BY272">
        <f>SUM(Table1[[#This Row],[Savings - CAN]:[Savings - SAF]])+SUM(Table1[[#This Row],[Savings - Sams Mexico]:[Savings - Sams China]])+Table1[[#This Row],[Savings - IND]]</f>
        <v>0</v>
      </c>
      <c r="BZ272">
        <f>SUM(Table1[[#This Row],[Spend - US]:[Spend - Sams]])</f>
        <v>0</v>
      </c>
      <c r="CA272">
        <f>SUM(Table1[[#This Row],[Savings - US]:[Savings - Sams]])</f>
        <v>0</v>
      </c>
      <c r="CB272">
        <f>SUM(Table1[[#This Row],[Cost Avoidance - CAN2]:[Cost Avoidance - SAF10]])+SUM(Table1[[#This Row],[Cost Avoidance - Sams Mexico]:[Cost Avoidance - Sams China]])+Table1[[#This Row],[Cost Avoidance - IND]]</f>
        <v>0</v>
      </c>
      <c r="CC272">
        <f>SUM(Table1[[#This Row],[Cost Avoidance - US11]:[Cost Avoidance - Sams12]])</f>
        <v>0</v>
      </c>
      <c r="CD272" t="str">
        <f>_xlfn.XLOOKUP(Table1[[#This Row],[Status]],Status_Lookups[Status],Status_Lookups[Value],"")</f>
        <v/>
      </c>
    </row>
    <row r="273" spans="1:82">
      <c r="A273">
        <v>11</v>
      </c>
      <c r="B273" t="s">
        <v>79</v>
      </c>
      <c r="C273" t="s">
        <v>43</v>
      </c>
      <c r="D273" t="s">
        <v>39</v>
      </c>
      <c r="E273" s="15">
        <v>44216</v>
      </c>
      <c r="F273" s="15">
        <v>44270</v>
      </c>
      <c r="G273" s="15">
        <v>44216</v>
      </c>
      <c r="H273" s="15">
        <v>44316</v>
      </c>
      <c r="I273" t="s">
        <v>642</v>
      </c>
      <c r="J273" t="s">
        <v>666</v>
      </c>
      <c r="K273" t="s">
        <v>445</v>
      </c>
      <c r="L273">
        <v>0</v>
      </c>
      <c r="M273">
        <v>18800000</v>
      </c>
      <c r="N273">
        <v>1800000</v>
      </c>
      <c r="O273">
        <v>6000000</v>
      </c>
      <c r="P273">
        <v>7300000</v>
      </c>
      <c r="Q273">
        <v>0</v>
      </c>
      <c r="R273">
        <v>5000000</v>
      </c>
      <c r="S273">
        <v>1400000</v>
      </c>
      <c r="T273">
        <v>0</v>
      </c>
      <c r="U273">
        <v>1500000</v>
      </c>
      <c r="V273">
        <v>0</v>
      </c>
      <c r="W273">
        <v>0</v>
      </c>
      <c r="X273" t="s">
        <v>78</v>
      </c>
      <c r="Y273" s="16">
        <v>44302.357184259257</v>
      </c>
      <c r="Z273" s="17" t="str">
        <f>_xlfn.XLOOKUP(Table1[[#This Row],[Phase]],'Lookup tables'!$Y$27:$Y$60,'Lookup tables'!$Z$27:$Z$60,"Not Updated")</f>
        <v>Post Bid</v>
      </c>
      <c r="AA273" s="17" t="s">
        <v>669</v>
      </c>
      <c r="AB273">
        <v>0</v>
      </c>
      <c r="AC273">
        <v>0</v>
      </c>
      <c r="AD273">
        <v>0</v>
      </c>
      <c r="AE273">
        <v>0</v>
      </c>
      <c r="AF273">
        <v>0</v>
      </c>
      <c r="AG273">
        <v>0</v>
      </c>
      <c r="AH273">
        <v>0</v>
      </c>
      <c r="AI273">
        <v>0</v>
      </c>
      <c r="AJ273">
        <v>0</v>
      </c>
      <c r="AK273">
        <v>0</v>
      </c>
      <c r="AL273">
        <v>0</v>
      </c>
      <c r="AM273">
        <v>0</v>
      </c>
      <c r="AN273">
        <v>0</v>
      </c>
      <c r="AO273">
        <v>0</v>
      </c>
      <c r="AP273">
        <v>0</v>
      </c>
      <c r="AQ273">
        <v>0</v>
      </c>
      <c r="AR273">
        <v>0</v>
      </c>
      <c r="AS273">
        <v>0</v>
      </c>
      <c r="AT273">
        <v>0</v>
      </c>
      <c r="AU273">
        <v>0</v>
      </c>
      <c r="AV273">
        <v>0</v>
      </c>
      <c r="AW273">
        <v>0</v>
      </c>
      <c r="BG273" s="185"/>
      <c r="BH273" s="185"/>
      <c r="BI273" s="185"/>
      <c r="BJ273" s="185"/>
      <c r="BK273" s="185"/>
      <c r="BL273" s="185"/>
      <c r="BM273" s="185"/>
      <c r="BN273" s="185"/>
      <c r="BO273" s="185"/>
      <c r="BP273" s="185"/>
      <c r="BQ273" s="185"/>
      <c r="BR273" s="185"/>
      <c r="BS273" s="185"/>
      <c r="BT273" s="185"/>
      <c r="BU273" t="b">
        <f>IF(_xlfn.MAXIFS(Table1[Sl No],Table1[Category],Table1[[#This Row],[Category]],Table1[Execution Year],Table1[[#This Row],[Execution Year]])=Table1[[#This Row],[Sl No]],TRUE,FALSE)</f>
        <v>0</v>
      </c>
      <c r="BV273" s="201">
        <f>SUM(Table1[[#This Row],[Spend - CAN]:[Spend - Sams]])+SUM(Table1[[#This Row],[Spend - Sams Mexico]:[Spend - Sams China]])+Table1[[#This Row],[Spend - IND]]</f>
        <v>41800000</v>
      </c>
      <c r="BW273">
        <f>SUM(Table1[[#This Row],[Savings - CAN]:[Savings - Sams]])+SUM(Table1[[#This Row],[Savings - Sams Mexico]:[Savings - Sams China]])+Table1[[#This Row],[Savings - IND]]</f>
        <v>0</v>
      </c>
      <c r="BX273">
        <f>SUM(Table1[[#This Row],[Spend - CAN]:[Spend - SAF]])+SUM(Table1[[#This Row],[Spend - Sams Mexico]:[Spend - Sams China]])+Table1[[#This Row],[Spend - IND]]</f>
        <v>41800000</v>
      </c>
      <c r="BY273">
        <f>SUM(Table1[[#This Row],[Savings - CAN]:[Savings - SAF]])+SUM(Table1[[#This Row],[Savings - Sams Mexico]:[Savings - Sams China]])+Table1[[#This Row],[Savings - IND]]</f>
        <v>0</v>
      </c>
      <c r="BZ273">
        <f>SUM(Table1[[#This Row],[Spend - US]:[Spend - Sams]])</f>
        <v>0</v>
      </c>
      <c r="CA273">
        <f>SUM(Table1[[#This Row],[Savings - US]:[Savings - Sams]])</f>
        <v>0</v>
      </c>
      <c r="CB273">
        <f>SUM(Table1[[#This Row],[Cost Avoidance - CAN2]:[Cost Avoidance - SAF10]])+SUM(Table1[[#This Row],[Cost Avoidance - Sams Mexico]:[Cost Avoidance - Sams China]])+Table1[[#This Row],[Cost Avoidance - IND]]</f>
        <v>0</v>
      </c>
      <c r="CC273">
        <f>SUM(Table1[[#This Row],[Cost Avoidance - US11]:[Cost Avoidance - Sams12]])</f>
        <v>0</v>
      </c>
      <c r="CD273" t="str">
        <f>_xlfn.XLOOKUP(Table1[[#This Row],[Status]],Status_Lookups[Status],Status_Lookups[Value],"")</f>
        <v/>
      </c>
    </row>
    <row r="274" spans="1:82">
      <c r="A274">
        <v>12</v>
      </c>
      <c r="B274" t="s">
        <v>79</v>
      </c>
      <c r="C274" t="s">
        <v>43</v>
      </c>
      <c r="D274" t="s">
        <v>39</v>
      </c>
      <c r="E274" s="15">
        <v>44216</v>
      </c>
      <c r="F274" s="15">
        <v>44270</v>
      </c>
      <c r="G274" s="15">
        <v>44216</v>
      </c>
      <c r="H274" s="15">
        <v>44316</v>
      </c>
      <c r="I274" t="s">
        <v>642</v>
      </c>
      <c r="J274" t="s">
        <v>666</v>
      </c>
      <c r="K274" t="s">
        <v>445</v>
      </c>
      <c r="L274">
        <v>0</v>
      </c>
      <c r="M274">
        <v>18800000</v>
      </c>
      <c r="N274">
        <v>1800000</v>
      </c>
      <c r="O274">
        <v>6000000</v>
      </c>
      <c r="P274">
        <v>7300000</v>
      </c>
      <c r="Q274">
        <v>0</v>
      </c>
      <c r="R274">
        <v>5000000</v>
      </c>
      <c r="S274">
        <v>1400000</v>
      </c>
      <c r="T274">
        <v>0</v>
      </c>
      <c r="U274">
        <v>1500000</v>
      </c>
      <c r="V274">
        <v>44443394.93</v>
      </c>
      <c r="W274">
        <v>0</v>
      </c>
      <c r="X274" t="s">
        <v>445</v>
      </c>
      <c r="Y274" s="16">
        <v>44308.656972337965</v>
      </c>
      <c r="Z274" s="17" t="str">
        <f>_xlfn.XLOOKUP(Table1[[#This Row],[Phase]],'Lookup tables'!$Y$27:$Y$60,'Lookup tables'!$Z$27:$Z$60,"Not Updated")</f>
        <v>Post Bid</v>
      </c>
      <c r="AA274" s="17" t="s">
        <v>670</v>
      </c>
      <c r="AB274">
        <v>0</v>
      </c>
      <c r="AC274">
        <v>0</v>
      </c>
      <c r="AD274">
        <v>0</v>
      </c>
      <c r="AE274">
        <v>0</v>
      </c>
      <c r="AF274">
        <v>0</v>
      </c>
      <c r="AG274">
        <v>0</v>
      </c>
      <c r="AH274">
        <v>0</v>
      </c>
      <c r="AI274">
        <v>0</v>
      </c>
      <c r="AJ274">
        <v>0</v>
      </c>
      <c r="AK274">
        <v>0</v>
      </c>
      <c r="AL274">
        <v>0</v>
      </c>
      <c r="AM274">
        <v>0</v>
      </c>
      <c r="AN274">
        <v>0</v>
      </c>
      <c r="AO274">
        <v>0</v>
      </c>
      <c r="AP274">
        <v>0</v>
      </c>
      <c r="AQ274">
        <v>0</v>
      </c>
      <c r="AR274">
        <v>0</v>
      </c>
      <c r="AS274">
        <v>0</v>
      </c>
      <c r="AT274">
        <v>0</v>
      </c>
      <c r="AU274">
        <v>0</v>
      </c>
      <c r="AV274">
        <v>0</v>
      </c>
      <c r="AW274">
        <v>0</v>
      </c>
      <c r="BG274" s="185"/>
      <c r="BH274" s="185"/>
      <c r="BI274" s="185"/>
      <c r="BJ274" s="185"/>
      <c r="BK274" s="185"/>
      <c r="BL274" s="185"/>
      <c r="BM274" s="185"/>
      <c r="BN274" s="185"/>
      <c r="BO274" s="185"/>
      <c r="BP274" s="185"/>
      <c r="BQ274" s="185"/>
      <c r="BR274" s="185"/>
      <c r="BS274" s="185"/>
      <c r="BT274" s="185"/>
      <c r="BU274" t="b">
        <f>IF(_xlfn.MAXIFS(Table1[Sl No],Table1[Category],Table1[[#This Row],[Category]],Table1[Execution Year],Table1[[#This Row],[Execution Year]])=Table1[[#This Row],[Sl No]],TRUE,FALSE)</f>
        <v>0</v>
      </c>
      <c r="BV274" s="201">
        <f>SUM(Table1[[#This Row],[Spend - CAN]:[Spend - Sams]])+SUM(Table1[[#This Row],[Spend - Sams Mexico]:[Spend - Sams China]])+Table1[[#This Row],[Spend - IND]]</f>
        <v>86243394.930000007</v>
      </c>
      <c r="BW274">
        <f>SUM(Table1[[#This Row],[Savings - CAN]:[Savings - Sams]])+SUM(Table1[[#This Row],[Savings - Sams Mexico]:[Savings - Sams China]])+Table1[[#This Row],[Savings - IND]]</f>
        <v>0</v>
      </c>
      <c r="BX274">
        <f>SUM(Table1[[#This Row],[Spend - CAN]:[Spend - SAF]])+SUM(Table1[[#This Row],[Spend - Sams Mexico]:[Spend - Sams China]])+Table1[[#This Row],[Spend - IND]]</f>
        <v>41800000</v>
      </c>
      <c r="BY274">
        <f>SUM(Table1[[#This Row],[Savings - CAN]:[Savings - SAF]])+SUM(Table1[[#This Row],[Savings - Sams Mexico]:[Savings - Sams China]])+Table1[[#This Row],[Savings - IND]]</f>
        <v>0</v>
      </c>
      <c r="BZ274">
        <f>SUM(Table1[[#This Row],[Spend - US]:[Spend - Sams]])</f>
        <v>44443394.93</v>
      </c>
      <c r="CA274">
        <f>SUM(Table1[[#This Row],[Savings - US]:[Savings - Sams]])</f>
        <v>0</v>
      </c>
      <c r="CB274">
        <f>SUM(Table1[[#This Row],[Cost Avoidance - CAN2]:[Cost Avoidance - SAF10]])+SUM(Table1[[#This Row],[Cost Avoidance - Sams Mexico]:[Cost Avoidance - Sams China]])+Table1[[#This Row],[Cost Avoidance - IND]]</f>
        <v>0</v>
      </c>
      <c r="CC274">
        <f>SUM(Table1[[#This Row],[Cost Avoidance - US11]:[Cost Avoidance - Sams12]])</f>
        <v>0</v>
      </c>
      <c r="CD274" t="str">
        <f>_xlfn.XLOOKUP(Table1[[#This Row],[Status]],Status_Lookups[Status],Status_Lookups[Value],"")</f>
        <v/>
      </c>
    </row>
    <row r="275" spans="1:82">
      <c r="A275">
        <v>13</v>
      </c>
      <c r="B275" t="s">
        <v>79</v>
      </c>
      <c r="C275" t="s">
        <v>43</v>
      </c>
      <c r="D275" t="s">
        <v>39</v>
      </c>
      <c r="E275" s="15">
        <v>44216</v>
      </c>
      <c r="F275" s="15">
        <v>44270</v>
      </c>
      <c r="G275" s="15">
        <v>44216</v>
      </c>
      <c r="H275" s="15">
        <v>44344</v>
      </c>
      <c r="I275" t="s">
        <v>636</v>
      </c>
      <c r="J275" t="s">
        <v>666</v>
      </c>
      <c r="K275" t="s">
        <v>445</v>
      </c>
      <c r="L275">
        <v>0</v>
      </c>
      <c r="M275">
        <v>18800000</v>
      </c>
      <c r="N275">
        <v>1800000</v>
      </c>
      <c r="O275">
        <v>6000000</v>
      </c>
      <c r="P275">
        <v>7300000</v>
      </c>
      <c r="Q275">
        <v>0</v>
      </c>
      <c r="R275">
        <v>5000000</v>
      </c>
      <c r="S275">
        <v>1400000</v>
      </c>
      <c r="T275">
        <v>0</v>
      </c>
      <c r="U275">
        <v>1500000</v>
      </c>
      <c r="V275">
        <v>44443394.93</v>
      </c>
      <c r="W275">
        <v>0</v>
      </c>
      <c r="X275" t="s">
        <v>34</v>
      </c>
      <c r="Y275" s="16">
        <v>44343.351919212961</v>
      </c>
      <c r="Z275" s="17" t="str">
        <f>_xlfn.XLOOKUP(Table1[[#This Row],[Phase]],'Lookup tables'!$Y$27:$Y$60,'Lookup tables'!$Z$27:$Z$60,"Not Updated")</f>
        <v>Award</v>
      </c>
      <c r="AA275" s="17" t="s">
        <v>671</v>
      </c>
      <c r="AB275">
        <v>0</v>
      </c>
      <c r="AC275">
        <v>0</v>
      </c>
      <c r="AD275">
        <v>0</v>
      </c>
      <c r="AE275">
        <v>0</v>
      </c>
      <c r="AF275">
        <v>0</v>
      </c>
      <c r="AG275">
        <v>0</v>
      </c>
      <c r="AH275">
        <v>0</v>
      </c>
      <c r="AI275">
        <v>0</v>
      </c>
      <c r="AJ275">
        <v>0</v>
      </c>
      <c r="AK275">
        <v>0</v>
      </c>
      <c r="AL275">
        <v>0</v>
      </c>
      <c r="AM275">
        <v>0</v>
      </c>
      <c r="AN275">
        <v>0</v>
      </c>
      <c r="AO275">
        <v>0</v>
      </c>
      <c r="AP275">
        <v>0</v>
      </c>
      <c r="AQ275">
        <v>0</v>
      </c>
      <c r="AR275">
        <v>0</v>
      </c>
      <c r="AS275">
        <v>0</v>
      </c>
      <c r="AT275">
        <v>0</v>
      </c>
      <c r="AU275">
        <v>0</v>
      </c>
      <c r="AV275">
        <v>0</v>
      </c>
      <c r="AW275">
        <v>0</v>
      </c>
      <c r="BG275" s="185"/>
      <c r="BH275" s="185"/>
      <c r="BI275" s="185"/>
      <c r="BJ275" s="185"/>
      <c r="BK275" s="185"/>
      <c r="BL275" s="185"/>
      <c r="BM275" s="185"/>
      <c r="BN275" s="185"/>
      <c r="BO275" s="185"/>
      <c r="BP275" s="185"/>
      <c r="BQ275" s="185"/>
      <c r="BR275" s="185"/>
      <c r="BS275" s="185"/>
      <c r="BT275" s="185"/>
      <c r="BU275" t="b">
        <f>IF(_xlfn.MAXIFS(Table1[Sl No],Table1[Category],Table1[[#This Row],[Category]],Table1[Execution Year],Table1[[#This Row],[Execution Year]])=Table1[[#This Row],[Sl No]],TRUE,FALSE)</f>
        <v>0</v>
      </c>
      <c r="BV275" s="201">
        <f>SUM(Table1[[#This Row],[Spend - CAN]:[Spend - Sams]])+SUM(Table1[[#This Row],[Spend - Sams Mexico]:[Spend - Sams China]])+Table1[[#This Row],[Spend - IND]]</f>
        <v>86243394.930000007</v>
      </c>
      <c r="BW275">
        <f>SUM(Table1[[#This Row],[Savings - CAN]:[Savings - Sams]])+SUM(Table1[[#This Row],[Savings - Sams Mexico]:[Savings - Sams China]])+Table1[[#This Row],[Savings - IND]]</f>
        <v>0</v>
      </c>
      <c r="BX275">
        <f>SUM(Table1[[#This Row],[Spend - CAN]:[Spend - SAF]])+SUM(Table1[[#This Row],[Spend - Sams Mexico]:[Spend - Sams China]])+Table1[[#This Row],[Spend - IND]]</f>
        <v>41800000</v>
      </c>
      <c r="BY275">
        <f>SUM(Table1[[#This Row],[Savings - CAN]:[Savings - SAF]])+SUM(Table1[[#This Row],[Savings - Sams Mexico]:[Savings - Sams China]])+Table1[[#This Row],[Savings - IND]]</f>
        <v>0</v>
      </c>
      <c r="BZ275">
        <f>SUM(Table1[[#This Row],[Spend - US]:[Spend - Sams]])</f>
        <v>44443394.93</v>
      </c>
      <c r="CA275">
        <f>SUM(Table1[[#This Row],[Savings - US]:[Savings - Sams]])</f>
        <v>0</v>
      </c>
      <c r="CB275">
        <f>SUM(Table1[[#This Row],[Cost Avoidance - CAN2]:[Cost Avoidance - SAF10]])+SUM(Table1[[#This Row],[Cost Avoidance - Sams Mexico]:[Cost Avoidance - Sams China]])+Table1[[#This Row],[Cost Avoidance - IND]]</f>
        <v>0</v>
      </c>
      <c r="CC275">
        <f>SUM(Table1[[#This Row],[Cost Avoidance - US11]:[Cost Avoidance - Sams12]])</f>
        <v>0</v>
      </c>
      <c r="CD275" t="str">
        <f>_xlfn.XLOOKUP(Table1[[#This Row],[Status]],Status_Lookups[Status],Status_Lookups[Value],"")</f>
        <v/>
      </c>
    </row>
    <row r="276" spans="1:82">
      <c r="A276">
        <v>14</v>
      </c>
      <c r="B276" t="s">
        <v>79</v>
      </c>
      <c r="C276" t="s">
        <v>43</v>
      </c>
      <c r="D276" t="s">
        <v>39</v>
      </c>
      <c r="E276" s="15">
        <v>44216</v>
      </c>
      <c r="F276" s="15">
        <v>44270</v>
      </c>
      <c r="G276" s="15">
        <v>44216</v>
      </c>
      <c r="H276" s="15">
        <v>44344</v>
      </c>
      <c r="I276" t="s">
        <v>443</v>
      </c>
      <c r="J276" t="s">
        <v>444</v>
      </c>
      <c r="K276" t="s">
        <v>445</v>
      </c>
      <c r="L276">
        <v>0</v>
      </c>
      <c r="M276">
        <v>18800000</v>
      </c>
      <c r="N276">
        <v>1800000</v>
      </c>
      <c r="O276">
        <v>6000000</v>
      </c>
      <c r="P276">
        <v>7300000</v>
      </c>
      <c r="Q276">
        <v>0</v>
      </c>
      <c r="R276">
        <v>5000000</v>
      </c>
      <c r="S276">
        <v>1400000</v>
      </c>
      <c r="T276">
        <v>0</v>
      </c>
      <c r="U276">
        <v>1500000</v>
      </c>
      <c r="V276">
        <v>44443394.93</v>
      </c>
      <c r="W276">
        <v>0</v>
      </c>
      <c r="X276" t="s">
        <v>78</v>
      </c>
      <c r="Y276" s="16">
        <v>44361.83779247685</v>
      </c>
      <c r="Z276" s="17" t="str">
        <f>_xlfn.XLOOKUP(Table1[[#This Row],[Phase]],'Lookup tables'!$Y$27:$Y$60,'Lookup tables'!$Z$27:$Z$60,"Not Updated")</f>
        <v>Completed</v>
      </c>
      <c r="AA276" s="17" t="s">
        <v>671</v>
      </c>
      <c r="AB276">
        <v>0</v>
      </c>
      <c r="AC276">
        <v>0</v>
      </c>
      <c r="AD276">
        <v>0</v>
      </c>
      <c r="AE276">
        <v>0</v>
      </c>
      <c r="AF276">
        <v>0</v>
      </c>
      <c r="AG276">
        <v>0</v>
      </c>
      <c r="AH276">
        <v>0</v>
      </c>
      <c r="AI276">
        <v>0</v>
      </c>
      <c r="AJ276">
        <v>0</v>
      </c>
      <c r="AK276">
        <v>0</v>
      </c>
      <c r="AL276">
        <v>0</v>
      </c>
      <c r="AM276">
        <v>0</v>
      </c>
      <c r="AN276">
        <v>0</v>
      </c>
      <c r="AO276">
        <v>0</v>
      </c>
      <c r="AP276">
        <v>0</v>
      </c>
      <c r="AQ276">
        <v>0</v>
      </c>
      <c r="AR276">
        <v>0</v>
      </c>
      <c r="AS276">
        <v>0</v>
      </c>
      <c r="AT276">
        <v>0</v>
      </c>
      <c r="AU276">
        <v>0</v>
      </c>
      <c r="AV276">
        <v>0</v>
      </c>
      <c r="AW276">
        <v>0</v>
      </c>
      <c r="BG276" s="185"/>
      <c r="BH276" s="185"/>
      <c r="BI276" s="185"/>
      <c r="BJ276" s="185"/>
      <c r="BK276" s="185"/>
      <c r="BL276" s="185"/>
      <c r="BM276" s="185"/>
      <c r="BN276" s="185"/>
      <c r="BO276" s="185"/>
      <c r="BP276" s="185"/>
      <c r="BQ276" s="185"/>
      <c r="BR276" s="185"/>
      <c r="BS276" s="185"/>
      <c r="BT276" s="185"/>
      <c r="BU276" t="b">
        <f>IF(_xlfn.MAXIFS(Table1[Sl No],Table1[Category],Table1[[#This Row],[Category]],Table1[Execution Year],Table1[[#This Row],[Execution Year]])=Table1[[#This Row],[Sl No]],TRUE,FALSE)</f>
        <v>0</v>
      </c>
      <c r="BV276" s="201">
        <f>SUM(Table1[[#This Row],[Spend - CAN]:[Spend - Sams]])+SUM(Table1[[#This Row],[Spend - Sams Mexico]:[Spend - Sams China]])+Table1[[#This Row],[Spend - IND]]</f>
        <v>86243394.930000007</v>
      </c>
      <c r="BW276">
        <f>SUM(Table1[[#This Row],[Savings - CAN]:[Savings - Sams]])+SUM(Table1[[#This Row],[Savings - Sams Mexico]:[Savings - Sams China]])+Table1[[#This Row],[Savings - IND]]</f>
        <v>0</v>
      </c>
      <c r="BX276">
        <f>SUM(Table1[[#This Row],[Spend - CAN]:[Spend - SAF]])+SUM(Table1[[#This Row],[Spend - Sams Mexico]:[Spend - Sams China]])+Table1[[#This Row],[Spend - IND]]</f>
        <v>41800000</v>
      </c>
      <c r="BY276">
        <f>SUM(Table1[[#This Row],[Savings - CAN]:[Savings - SAF]])+SUM(Table1[[#This Row],[Savings - Sams Mexico]:[Savings - Sams China]])+Table1[[#This Row],[Savings - IND]]</f>
        <v>0</v>
      </c>
      <c r="BZ276">
        <f>SUM(Table1[[#This Row],[Spend - US]:[Spend - Sams]])</f>
        <v>44443394.93</v>
      </c>
      <c r="CA276">
        <f>SUM(Table1[[#This Row],[Savings - US]:[Savings - Sams]])</f>
        <v>0</v>
      </c>
      <c r="CB276">
        <f>SUM(Table1[[#This Row],[Cost Avoidance - CAN2]:[Cost Avoidance - SAF10]])+SUM(Table1[[#This Row],[Cost Avoidance - Sams Mexico]:[Cost Avoidance - Sams China]])+Table1[[#This Row],[Cost Avoidance - IND]]</f>
        <v>0</v>
      </c>
      <c r="CC276">
        <f>SUM(Table1[[#This Row],[Cost Avoidance - US11]:[Cost Avoidance - Sams12]])</f>
        <v>0</v>
      </c>
      <c r="CD276">
        <f>_xlfn.XLOOKUP(Table1[[#This Row],[Status]],Status_Lookups[Status],Status_Lookups[Value],"")</f>
        <v>0.2</v>
      </c>
    </row>
    <row r="277" spans="1:82">
      <c r="A277">
        <v>15</v>
      </c>
      <c r="B277" t="s">
        <v>79</v>
      </c>
      <c r="C277" t="s">
        <v>43</v>
      </c>
      <c r="D277" t="s">
        <v>39</v>
      </c>
      <c r="E277" s="15">
        <v>44216</v>
      </c>
      <c r="F277" s="15">
        <v>44270</v>
      </c>
      <c r="G277" s="15">
        <v>44216</v>
      </c>
      <c r="H277" s="15">
        <v>44344</v>
      </c>
      <c r="I277" t="s">
        <v>443</v>
      </c>
      <c r="J277" t="s">
        <v>444</v>
      </c>
      <c r="K277" t="s">
        <v>445</v>
      </c>
      <c r="L277">
        <v>0</v>
      </c>
      <c r="M277">
        <v>18800000</v>
      </c>
      <c r="N277">
        <v>1800000</v>
      </c>
      <c r="O277">
        <v>6000000</v>
      </c>
      <c r="P277">
        <v>7300000</v>
      </c>
      <c r="Q277">
        <v>0</v>
      </c>
      <c r="R277">
        <v>5000000</v>
      </c>
      <c r="S277">
        <v>1400000</v>
      </c>
      <c r="T277">
        <v>0</v>
      </c>
      <c r="U277">
        <v>1500000</v>
      </c>
      <c r="V277">
        <v>44443394.93</v>
      </c>
      <c r="W277">
        <v>0</v>
      </c>
      <c r="X277" t="s">
        <v>78</v>
      </c>
      <c r="Y277" s="16">
        <v>44566.434689583337</v>
      </c>
      <c r="Z277" s="17" t="str">
        <f>_xlfn.XLOOKUP(Table1[[#This Row],[Phase]],'Lookup tables'!$Y$27:$Y$60,'Lookup tables'!$Z$27:$Z$60,"Not Updated")</f>
        <v>Completed</v>
      </c>
      <c r="AA277" s="17" t="s">
        <v>671</v>
      </c>
      <c r="AB277">
        <v>700000</v>
      </c>
      <c r="AC277">
        <v>400000</v>
      </c>
      <c r="AD277">
        <v>700000</v>
      </c>
      <c r="AE277">
        <v>800000</v>
      </c>
      <c r="AF277">
        <v>0</v>
      </c>
      <c r="AG277">
        <v>200000</v>
      </c>
      <c r="AH277">
        <v>100000</v>
      </c>
      <c r="AI277">
        <v>0</v>
      </c>
      <c r="AJ277">
        <v>400000</v>
      </c>
      <c r="AK277">
        <v>0</v>
      </c>
      <c r="AL277">
        <v>0</v>
      </c>
      <c r="AM277">
        <v>1500000</v>
      </c>
      <c r="AN277">
        <v>0</v>
      </c>
      <c r="AO277">
        <v>1200000</v>
      </c>
      <c r="AP277">
        <v>500000</v>
      </c>
      <c r="AQ277">
        <v>0</v>
      </c>
      <c r="AR277">
        <v>0</v>
      </c>
      <c r="AS277">
        <v>100000</v>
      </c>
      <c r="AT277">
        <v>0</v>
      </c>
      <c r="AU277">
        <v>0</v>
      </c>
      <c r="AV277">
        <v>0</v>
      </c>
      <c r="AW277">
        <v>0</v>
      </c>
      <c r="BG277" s="185"/>
      <c r="BH277" s="185"/>
      <c r="BI277" s="185"/>
      <c r="BJ277" s="185"/>
      <c r="BK277" s="185"/>
      <c r="BL277" s="185"/>
      <c r="BM277" s="185"/>
      <c r="BN277" s="185"/>
      <c r="BO277" s="185"/>
      <c r="BP277" s="185"/>
      <c r="BQ277" s="185"/>
      <c r="BR277" s="185"/>
      <c r="BS277" s="185"/>
      <c r="BT277" s="185"/>
      <c r="BU277" t="b">
        <f>IF(_xlfn.MAXIFS(Table1[Sl No],Table1[Category],Table1[[#This Row],[Category]],Table1[Execution Year],Table1[[#This Row],[Execution Year]])=Table1[[#This Row],[Sl No]],TRUE,FALSE)</f>
        <v>1</v>
      </c>
      <c r="BV277" s="201">
        <f>SUM(Table1[[#This Row],[Spend - CAN]:[Spend - Sams]])+SUM(Table1[[#This Row],[Spend - Sams Mexico]:[Spend - Sams China]])+Table1[[#This Row],[Spend - IND]]</f>
        <v>86243394.930000007</v>
      </c>
      <c r="BW277">
        <f>SUM(Table1[[#This Row],[Savings - CAN]:[Savings - Sams]])+SUM(Table1[[#This Row],[Savings - Sams Mexico]:[Savings - Sams China]])+Table1[[#This Row],[Savings - IND]]</f>
        <v>3300000</v>
      </c>
      <c r="BX277">
        <f>SUM(Table1[[#This Row],[Spend - CAN]:[Spend - SAF]])+SUM(Table1[[#This Row],[Spend - Sams Mexico]:[Spend - Sams China]])+Table1[[#This Row],[Spend - IND]]</f>
        <v>41800000</v>
      </c>
      <c r="BY277">
        <f>SUM(Table1[[#This Row],[Savings - CAN]:[Savings - SAF]])+SUM(Table1[[#This Row],[Savings - Sams Mexico]:[Savings - Sams China]])+Table1[[#This Row],[Savings - IND]]</f>
        <v>3300000</v>
      </c>
      <c r="BZ277">
        <f>SUM(Table1[[#This Row],[Spend - US]:[Spend - Sams]])</f>
        <v>44443394.93</v>
      </c>
      <c r="CA277">
        <f>SUM(Table1[[#This Row],[Savings - US]:[Savings - Sams]])</f>
        <v>0</v>
      </c>
      <c r="CB277">
        <f>SUM(Table1[[#This Row],[Cost Avoidance - CAN2]:[Cost Avoidance - SAF10]])+SUM(Table1[[#This Row],[Cost Avoidance - Sams Mexico]:[Cost Avoidance - Sams China]])+Table1[[#This Row],[Cost Avoidance - IND]]</f>
        <v>3300000</v>
      </c>
      <c r="CC277">
        <f>SUM(Table1[[#This Row],[Cost Avoidance - US11]:[Cost Avoidance - Sams12]])</f>
        <v>0</v>
      </c>
      <c r="CD277">
        <f>_xlfn.XLOOKUP(Table1[[#This Row],[Status]],Status_Lookups[Status],Status_Lookups[Value],"")</f>
        <v>0.2</v>
      </c>
    </row>
    <row r="278" spans="1:82">
      <c r="A278">
        <v>1</v>
      </c>
      <c r="B278" t="s">
        <v>532</v>
      </c>
      <c r="C278" t="s">
        <v>33</v>
      </c>
      <c r="D278" t="s">
        <v>322</v>
      </c>
      <c r="E278" s="15"/>
      <c r="F278" s="15"/>
      <c r="G278" s="15"/>
      <c r="H278" s="15"/>
      <c r="I278" t="s">
        <v>135</v>
      </c>
      <c r="J278" t="s">
        <v>459</v>
      </c>
      <c r="K278" t="s">
        <v>533</v>
      </c>
      <c r="X278" t="s">
        <v>47</v>
      </c>
      <c r="Y278" s="16">
        <v>44701.387036342596</v>
      </c>
      <c r="Z278" s="17" t="str">
        <f>_xlfn.XLOOKUP(Table1[[#This Row],[Phase]],'Lookup tables'!$Y$27:$Y$60,'Lookup tables'!$Z$27:$Z$60,"Not Updated")</f>
        <v>Pipeline</v>
      </c>
      <c r="AA278" s="17"/>
      <c r="BG278" s="185"/>
      <c r="BH278" s="185"/>
      <c r="BI278" s="185"/>
      <c r="BJ278" s="185"/>
      <c r="BK278" s="185"/>
      <c r="BL278" s="185"/>
      <c r="BM278" s="185"/>
      <c r="BN278" s="185"/>
      <c r="BO278" s="185"/>
      <c r="BP278" s="185"/>
      <c r="BQ278" s="185"/>
      <c r="BR278" s="185"/>
      <c r="BS278" s="185"/>
      <c r="BT278" s="185"/>
      <c r="BU278" t="b">
        <f>IF(_xlfn.MAXIFS(Table1[Sl No],Table1[Category],Table1[[#This Row],[Category]],Table1[Execution Year],Table1[[#This Row],[Execution Year]])=Table1[[#This Row],[Sl No]],TRUE,FALSE)</f>
        <v>1</v>
      </c>
      <c r="BV278" s="201">
        <f>SUM(Table1[[#This Row],[Spend - CAN]:[Spend - Sams]])+SUM(Table1[[#This Row],[Spend - Sams Mexico]:[Spend - Sams China]])+Table1[[#This Row],[Spend - IND]]</f>
        <v>0</v>
      </c>
      <c r="BW278">
        <f>SUM(Table1[[#This Row],[Savings - CAN]:[Savings - Sams]])+SUM(Table1[[#This Row],[Savings - Sams Mexico]:[Savings - Sams China]])+Table1[[#This Row],[Savings - IND]]</f>
        <v>0</v>
      </c>
      <c r="BX278">
        <f>SUM(Table1[[#This Row],[Spend - CAN]:[Spend - SAF]])+SUM(Table1[[#This Row],[Spend - Sams Mexico]:[Spend - Sams China]])+Table1[[#This Row],[Spend - IND]]</f>
        <v>0</v>
      </c>
      <c r="BY278">
        <f>SUM(Table1[[#This Row],[Savings - CAN]:[Savings - SAF]])+SUM(Table1[[#This Row],[Savings - Sams Mexico]:[Savings - Sams China]])+Table1[[#This Row],[Savings - IND]]</f>
        <v>0</v>
      </c>
      <c r="BZ278">
        <f>SUM(Table1[[#This Row],[Spend - US]:[Spend - Sams]])</f>
        <v>0</v>
      </c>
      <c r="CA278">
        <f>SUM(Table1[[#This Row],[Savings - US]:[Savings - Sams]])</f>
        <v>0</v>
      </c>
      <c r="CB278">
        <f>SUM(Table1[[#This Row],[Cost Avoidance - CAN2]:[Cost Avoidance - SAF10]])+SUM(Table1[[#This Row],[Cost Avoidance - Sams Mexico]:[Cost Avoidance - Sams China]])+Table1[[#This Row],[Cost Avoidance - IND]]</f>
        <v>0</v>
      </c>
      <c r="CC278">
        <f>SUM(Table1[[#This Row],[Cost Avoidance - US11]:[Cost Avoidance - Sams12]])</f>
        <v>0</v>
      </c>
      <c r="CD278">
        <f>_xlfn.XLOOKUP(Table1[[#This Row],[Status]],Status_Lookups[Status],Status_Lookups[Value],"")</f>
        <v>0.3</v>
      </c>
    </row>
    <row r="279" spans="1:82">
      <c r="A279">
        <v>1</v>
      </c>
      <c r="B279" t="s">
        <v>555</v>
      </c>
      <c r="C279" t="s">
        <v>543</v>
      </c>
      <c r="D279" t="s">
        <v>322</v>
      </c>
      <c r="E279" s="15"/>
      <c r="F279" s="15"/>
      <c r="G279" s="15"/>
      <c r="H279" s="15"/>
      <c r="I279" t="s">
        <v>470</v>
      </c>
      <c r="J279" t="s">
        <v>470</v>
      </c>
      <c r="K279" t="s">
        <v>533</v>
      </c>
      <c r="X279" t="s">
        <v>47</v>
      </c>
      <c r="Y279" s="16">
        <v>44701.387036342596</v>
      </c>
      <c r="Z279" s="17" t="str">
        <f>_xlfn.XLOOKUP(Table1[[#This Row],[Phase]],'Lookup tables'!$Y$27:$Y$60,'Lookup tables'!$Z$27:$Z$60,"Not Updated")</f>
        <v>Complete</v>
      </c>
      <c r="AA279" s="17"/>
      <c r="BG279" s="185"/>
      <c r="BH279" s="185"/>
      <c r="BI279" s="185"/>
      <c r="BJ279" s="185"/>
      <c r="BK279" s="185"/>
      <c r="BL279" s="185"/>
      <c r="BM279" s="185"/>
      <c r="BN279" s="185"/>
      <c r="BO279" s="185"/>
      <c r="BP279" s="185"/>
      <c r="BQ279" s="185"/>
      <c r="BR279" s="185"/>
      <c r="BS279" s="185"/>
      <c r="BT279" s="185"/>
      <c r="BU279" t="b">
        <f>IF(_xlfn.MAXIFS(Table1[Sl No],Table1[Category],Table1[[#This Row],[Category]],Table1[Execution Year],Table1[[#This Row],[Execution Year]])=Table1[[#This Row],[Sl No]],TRUE,FALSE)</f>
        <v>0</v>
      </c>
      <c r="BV279" s="201">
        <f>SUM(Table1[[#This Row],[Spend - CAN]:[Spend - Sams]])+SUM(Table1[[#This Row],[Spend - Sams Mexico]:[Spend - Sams China]])+Table1[[#This Row],[Spend - IND]]</f>
        <v>0</v>
      </c>
      <c r="BW279">
        <f>SUM(Table1[[#This Row],[Savings - CAN]:[Savings - Sams]])+SUM(Table1[[#This Row],[Savings - Sams Mexico]:[Savings - Sams China]])+Table1[[#This Row],[Savings - IND]]</f>
        <v>0</v>
      </c>
      <c r="BX279">
        <f>SUM(Table1[[#This Row],[Spend - CAN]:[Spend - SAF]])+SUM(Table1[[#This Row],[Spend - Sams Mexico]:[Spend - Sams China]])+Table1[[#This Row],[Spend - IND]]</f>
        <v>0</v>
      </c>
      <c r="BY279">
        <f>SUM(Table1[[#This Row],[Savings - CAN]:[Savings - SAF]])+SUM(Table1[[#This Row],[Savings - Sams Mexico]:[Savings - Sams China]])+Table1[[#This Row],[Savings - IND]]</f>
        <v>0</v>
      </c>
      <c r="BZ279">
        <f>SUM(Table1[[#This Row],[Spend - US]:[Spend - Sams]])</f>
        <v>0</v>
      </c>
      <c r="CA279">
        <f>SUM(Table1[[#This Row],[Savings - US]:[Savings - Sams]])</f>
        <v>0</v>
      </c>
      <c r="CB279">
        <f>SUM(Table1[[#This Row],[Cost Avoidance - CAN2]:[Cost Avoidance - SAF10]])+SUM(Table1[[#This Row],[Cost Avoidance - Sams Mexico]:[Cost Avoidance - Sams China]])+Table1[[#This Row],[Cost Avoidance - IND]]</f>
        <v>0</v>
      </c>
      <c r="CC279">
        <f>SUM(Table1[[#This Row],[Cost Avoidance - US11]:[Cost Avoidance - Sams12]])</f>
        <v>0</v>
      </c>
      <c r="CD279" t="str">
        <f>_xlfn.XLOOKUP(Table1[[#This Row],[Status]],Status_Lookups[Status],Status_Lookups[Value],"")</f>
        <v/>
      </c>
    </row>
    <row r="280" spans="1:82">
      <c r="A280">
        <v>1</v>
      </c>
      <c r="B280" t="s">
        <v>556</v>
      </c>
      <c r="C280" t="s">
        <v>543</v>
      </c>
      <c r="D280" t="s">
        <v>322</v>
      </c>
      <c r="E280" s="15"/>
      <c r="F280" s="15"/>
      <c r="G280" s="15"/>
      <c r="H280" s="15"/>
      <c r="I280" t="s">
        <v>470</v>
      </c>
      <c r="J280" t="s">
        <v>470</v>
      </c>
      <c r="K280" t="s">
        <v>533</v>
      </c>
      <c r="X280" t="s">
        <v>47</v>
      </c>
      <c r="Y280" s="16">
        <v>44701.387036342596</v>
      </c>
      <c r="Z280" s="17" t="str">
        <f>_xlfn.XLOOKUP(Table1[[#This Row],[Phase]],'Lookup tables'!$Y$27:$Y$60,'Lookup tables'!$Z$27:$Z$60,"Not Updated")</f>
        <v>Complete</v>
      </c>
      <c r="AA280" s="17"/>
      <c r="BG280" s="185"/>
      <c r="BH280" s="185"/>
      <c r="BI280" s="185"/>
      <c r="BJ280" s="185"/>
      <c r="BK280" s="185"/>
      <c r="BL280" s="185"/>
      <c r="BM280" s="185"/>
      <c r="BN280" s="185"/>
      <c r="BO280" s="185"/>
      <c r="BP280" s="185"/>
      <c r="BQ280" s="185"/>
      <c r="BR280" s="185"/>
      <c r="BS280" s="185"/>
      <c r="BT280" s="185"/>
      <c r="BU280" t="b">
        <f>IF(_xlfn.MAXIFS(Table1[Sl No],Table1[Category],Table1[[#This Row],[Category]],Table1[Execution Year],Table1[[#This Row],[Execution Year]])=Table1[[#This Row],[Sl No]],TRUE,FALSE)</f>
        <v>0</v>
      </c>
      <c r="BV280" s="201">
        <f>SUM(Table1[[#This Row],[Spend - CAN]:[Spend - Sams]])+SUM(Table1[[#This Row],[Spend - Sams Mexico]:[Spend - Sams China]])+Table1[[#This Row],[Spend - IND]]</f>
        <v>0</v>
      </c>
      <c r="BW280">
        <f>SUM(Table1[[#This Row],[Savings - CAN]:[Savings - Sams]])+SUM(Table1[[#This Row],[Savings - Sams Mexico]:[Savings - Sams China]])+Table1[[#This Row],[Savings - IND]]</f>
        <v>0</v>
      </c>
      <c r="BX280">
        <f>SUM(Table1[[#This Row],[Spend - CAN]:[Spend - SAF]])+SUM(Table1[[#This Row],[Spend - Sams Mexico]:[Spend - Sams China]])+Table1[[#This Row],[Spend - IND]]</f>
        <v>0</v>
      </c>
      <c r="BY280">
        <f>SUM(Table1[[#This Row],[Savings - CAN]:[Savings - SAF]])+SUM(Table1[[#This Row],[Savings - Sams Mexico]:[Savings - Sams China]])+Table1[[#This Row],[Savings - IND]]</f>
        <v>0</v>
      </c>
      <c r="BZ280">
        <f>SUM(Table1[[#This Row],[Spend - US]:[Spend - Sams]])</f>
        <v>0</v>
      </c>
      <c r="CA280">
        <f>SUM(Table1[[#This Row],[Savings - US]:[Savings - Sams]])</f>
        <v>0</v>
      </c>
      <c r="CB280">
        <f>SUM(Table1[[#This Row],[Cost Avoidance - CAN2]:[Cost Avoidance - SAF10]])+SUM(Table1[[#This Row],[Cost Avoidance - Sams Mexico]:[Cost Avoidance - Sams China]])+Table1[[#This Row],[Cost Avoidance - IND]]</f>
        <v>0</v>
      </c>
      <c r="CC280">
        <f>SUM(Table1[[#This Row],[Cost Avoidance - US11]:[Cost Avoidance - Sams12]])</f>
        <v>0</v>
      </c>
      <c r="CD280" t="str">
        <f>_xlfn.XLOOKUP(Table1[[#This Row],[Status]],Status_Lookups[Status],Status_Lookups[Value],"")</f>
        <v/>
      </c>
    </row>
    <row r="281" spans="1:82">
      <c r="A281">
        <v>1</v>
      </c>
      <c r="B281" t="s">
        <v>558</v>
      </c>
      <c r="C281" t="s">
        <v>543</v>
      </c>
      <c r="D281" t="s">
        <v>322</v>
      </c>
      <c r="E281" s="15"/>
      <c r="F281" s="15"/>
      <c r="G281" s="15"/>
      <c r="H281" s="15"/>
      <c r="I281" t="s">
        <v>470</v>
      </c>
      <c r="J281" t="s">
        <v>470</v>
      </c>
      <c r="K281" t="s">
        <v>533</v>
      </c>
      <c r="X281" t="s">
        <v>47</v>
      </c>
      <c r="Y281" s="16">
        <v>44701.387036342596</v>
      </c>
      <c r="Z281" s="17" t="str">
        <f>_xlfn.XLOOKUP(Table1[[#This Row],[Phase]],'Lookup tables'!$Y$27:$Y$60,'Lookup tables'!$Z$27:$Z$60,"Not Updated")</f>
        <v>Complete</v>
      </c>
      <c r="AA281" s="17"/>
      <c r="BG281" s="185"/>
      <c r="BH281" s="185"/>
      <c r="BI281" s="185"/>
      <c r="BJ281" s="185"/>
      <c r="BK281" s="185"/>
      <c r="BL281" s="185"/>
      <c r="BM281" s="185"/>
      <c r="BN281" s="185"/>
      <c r="BO281" s="185"/>
      <c r="BP281" s="185"/>
      <c r="BQ281" s="185"/>
      <c r="BR281" s="185"/>
      <c r="BS281" s="185"/>
      <c r="BT281" s="185"/>
      <c r="BU281" t="b">
        <f>IF(_xlfn.MAXIFS(Table1[Sl No],Table1[Category],Table1[[#This Row],[Category]],Table1[Execution Year],Table1[[#This Row],[Execution Year]])=Table1[[#This Row],[Sl No]],TRUE,FALSE)</f>
        <v>0</v>
      </c>
      <c r="BV281" s="201">
        <f>SUM(Table1[[#This Row],[Spend - CAN]:[Spend - Sams]])+SUM(Table1[[#This Row],[Spend - Sams Mexico]:[Spend - Sams China]])+Table1[[#This Row],[Spend - IND]]</f>
        <v>0</v>
      </c>
      <c r="BW281">
        <f>SUM(Table1[[#This Row],[Savings - CAN]:[Savings - Sams]])+SUM(Table1[[#This Row],[Savings - Sams Mexico]:[Savings - Sams China]])+Table1[[#This Row],[Savings - IND]]</f>
        <v>0</v>
      </c>
      <c r="BX281">
        <f>SUM(Table1[[#This Row],[Spend - CAN]:[Spend - SAF]])+SUM(Table1[[#This Row],[Spend - Sams Mexico]:[Spend - Sams China]])+Table1[[#This Row],[Spend - IND]]</f>
        <v>0</v>
      </c>
      <c r="BY281">
        <f>SUM(Table1[[#This Row],[Savings - CAN]:[Savings - SAF]])+SUM(Table1[[#This Row],[Savings - Sams Mexico]:[Savings - Sams China]])+Table1[[#This Row],[Savings - IND]]</f>
        <v>0</v>
      </c>
      <c r="BZ281">
        <f>SUM(Table1[[#This Row],[Spend - US]:[Spend - Sams]])</f>
        <v>0</v>
      </c>
      <c r="CA281">
        <f>SUM(Table1[[#This Row],[Savings - US]:[Savings - Sams]])</f>
        <v>0</v>
      </c>
      <c r="CB281">
        <f>SUM(Table1[[#This Row],[Cost Avoidance - CAN2]:[Cost Avoidance - SAF10]])+SUM(Table1[[#This Row],[Cost Avoidance - Sams Mexico]:[Cost Avoidance - Sams China]])+Table1[[#This Row],[Cost Avoidance - IND]]</f>
        <v>0</v>
      </c>
      <c r="CC281">
        <f>SUM(Table1[[#This Row],[Cost Avoidance - US11]:[Cost Avoidance - Sams12]])</f>
        <v>0</v>
      </c>
      <c r="CD281" t="str">
        <f>_xlfn.XLOOKUP(Table1[[#This Row],[Status]],Status_Lookups[Status],Status_Lookups[Value],"")</f>
        <v/>
      </c>
    </row>
    <row r="282" spans="1:82">
      <c r="A282">
        <v>1</v>
      </c>
      <c r="B282" t="s">
        <v>539</v>
      </c>
      <c r="C282" t="s">
        <v>33</v>
      </c>
      <c r="D282" t="s">
        <v>322</v>
      </c>
      <c r="E282" s="15"/>
      <c r="F282" s="15"/>
      <c r="G282" s="15"/>
      <c r="H282" s="15"/>
      <c r="I282" t="s">
        <v>135</v>
      </c>
      <c r="J282" t="s">
        <v>459</v>
      </c>
      <c r="K282" t="s">
        <v>514</v>
      </c>
      <c r="X282" t="s">
        <v>47</v>
      </c>
      <c r="Y282" s="16">
        <v>44701.387036342596</v>
      </c>
      <c r="Z282" s="17" t="str">
        <f>_xlfn.XLOOKUP(Table1[[#This Row],[Phase]],'Lookup tables'!$Y$27:$Y$60,'Lookup tables'!$Z$27:$Z$60,"Not Updated")</f>
        <v>Pipeline</v>
      </c>
      <c r="AA282" s="17"/>
      <c r="BG282" s="185"/>
      <c r="BH282" s="185"/>
      <c r="BI282" s="185"/>
      <c r="BJ282" s="185"/>
      <c r="BK282" s="185"/>
      <c r="BL282" s="185"/>
      <c r="BM282" s="185"/>
      <c r="BN282" s="185"/>
      <c r="BO282" s="185"/>
      <c r="BP282" s="185"/>
      <c r="BQ282" s="185"/>
      <c r="BR282" s="185"/>
      <c r="BS282" s="185"/>
      <c r="BT282" s="185"/>
      <c r="BU282" t="b">
        <f>IF(_xlfn.MAXIFS(Table1[Sl No],Table1[Category],Table1[[#This Row],[Category]],Table1[Execution Year],Table1[[#This Row],[Execution Year]])=Table1[[#This Row],[Sl No]],TRUE,FALSE)</f>
        <v>1</v>
      </c>
      <c r="BV282" s="201">
        <f>SUM(Table1[[#This Row],[Spend - CAN]:[Spend - Sams]])+SUM(Table1[[#This Row],[Spend - Sams Mexico]:[Spend - Sams China]])+Table1[[#This Row],[Spend - IND]]</f>
        <v>0</v>
      </c>
      <c r="BW282">
        <f>SUM(Table1[[#This Row],[Savings - CAN]:[Savings - Sams]])+SUM(Table1[[#This Row],[Savings - Sams Mexico]:[Savings - Sams China]])+Table1[[#This Row],[Savings - IND]]</f>
        <v>0</v>
      </c>
      <c r="BX282">
        <f>SUM(Table1[[#This Row],[Spend - CAN]:[Spend - SAF]])+SUM(Table1[[#This Row],[Spend - Sams Mexico]:[Spend - Sams China]])+Table1[[#This Row],[Spend - IND]]</f>
        <v>0</v>
      </c>
      <c r="BY282">
        <f>SUM(Table1[[#This Row],[Savings - CAN]:[Savings - SAF]])+SUM(Table1[[#This Row],[Savings - Sams Mexico]:[Savings - Sams China]])+Table1[[#This Row],[Savings - IND]]</f>
        <v>0</v>
      </c>
      <c r="BZ282">
        <f>SUM(Table1[[#This Row],[Spend - US]:[Spend - Sams]])</f>
        <v>0</v>
      </c>
      <c r="CA282">
        <f>SUM(Table1[[#This Row],[Savings - US]:[Savings - Sams]])</f>
        <v>0</v>
      </c>
      <c r="CB282">
        <f>SUM(Table1[[#This Row],[Cost Avoidance - CAN2]:[Cost Avoidance - SAF10]])+SUM(Table1[[#This Row],[Cost Avoidance - Sams Mexico]:[Cost Avoidance - Sams China]])+Table1[[#This Row],[Cost Avoidance - IND]]</f>
        <v>0</v>
      </c>
      <c r="CC282">
        <f>SUM(Table1[[#This Row],[Cost Avoidance - US11]:[Cost Avoidance - Sams12]])</f>
        <v>0</v>
      </c>
      <c r="CD282">
        <f>_xlfn.XLOOKUP(Table1[[#This Row],[Status]],Status_Lookups[Status],Status_Lookups[Value],"")</f>
        <v>0.3</v>
      </c>
    </row>
    <row r="283" spans="1:82">
      <c r="A283">
        <v>1</v>
      </c>
      <c r="B283" t="s">
        <v>560</v>
      </c>
      <c r="C283" t="s">
        <v>543</v>
      </c>
      <c r="D283" t="s">
        <v>322</v>
      </c>
      <c r="E283" s="15"/>
      <c r="F283" s="15"/>
      <c r="G283" s="15"/>
      <c r="H283" s="15"/>
      <c r="I283" t="s">
        <v>470</v>
      </c>
      <c r="J283" t="s">
        <v>470</v>
      </c>
      <c r="K283" t="s">
        <v>533</v>
      </c>
      <c r="X283" t="s">
        <v>47</v>
      </c>
      <c r="Y283" s="16">
        <v>44701.387036342596</v>
      </c>
      <c r="Z283" s="17" t="str">
        <f>_xlfn.XLOOKUP(Table1[[#This Row],[Phase]],'Lookup tables'!$Y$27:$Y$60,'Lookup tables'!$Z$27:$Z$60,"Not Updated")</f>
        <v>Complete</v>
      </c>
      <c r="AA283" s="17"/>
      <c r="BG283" s="185"/>
      <c r="BH283" s="185"/>
      <c r="BI283" s="185"/>
      <c r="BJ283" s="185"/>
      <c r="BK283" s="185"/>
      <c r="BL283" s="185"/>
      <c r="BM283" s="185"/>
      <c r="BN283" s="185"/>
      <c r="BO283" s="185"/>
      <c r="BP283" s="185"/>
      <c r="BQ283" s="185"/>
      <c r="BR283" s="185"/>
      <c r="BS283" s="185"/>
      <c r="BT283" s="185"/>
      <c r="BU283" t="b">
        <f>IF(_xlfn.MAXIFS(Table1[Sl No],Table1[Category],Table1[[#This Row],[Category]],Table1[Execution Year],Table1[[#This Row],[Execution Year]])=Table1[[#This Row],[Sl No]],TRUE,FALSE)</f>
        <v>0</v>
      </c>
      <c r="BV283" s="201">
        <f>SUM(Table1[[#This Row],[Spend - CAN]:[Spend - Sams]])+SUM(Table1[[#This Row],[Spend - Sams Mexico]:[Spend - Sams China]])+Table1[[#This Row],[Spend - IND]]</f>
        <v>0</v>
      </c>
      <c r="BW283">
        <f>SUM(Table1[[#This Row],[Savings - CAN]:[Savings - Sams]])+SUM(Table1[[#This Row],[Savings - Sams Mexico]:[Savings - Sams China]])+Table1[[#This Row],[Savings - IND]]</f>
        <v>0</v>
      </c>
      <c r="BX283">
        <f>SUM(Table1[[#This Row],[Spend - CAN]:[Spend - SAF]])+SUM(Table1[[#This Row],[Spend - Sams Mexico]:[Spend - Sams China]])+Table1[[#This Row],[Spend - IND]]</f>
        <v>0</v>
      </c>
      <c r="BY283">
        <f>SUM(Table1[[#This Row],[Savings - CAN]:[Savings - SAF]])+SUM(Table1[[#This Row],[Savings - Sams Mexico]:[Savings - Sams China]])+Table1[[#This Row],[Savings - IND]]</f>
        <v>0</v>
      </c>
      <c r="BZ283">
        <f>SUM(Table1[[#This Row],[Spend - US]:[Spend - Sams]])</f>
        <v>0</v>
      </c>
      <c r="CA283">
        <f>SUM(Table1[[#This Row],[Savings - US]:[Savings - Sams]])</f>
        <v>0</v>
      </c>
      <c r="CB283">
        <f>SUM(Table1[[#This Row],[Cost Avoidance - CAN2]:[Cost Avoidance - SAF10]])+SUM(Table1[[#This Row],[Cost Avoidance - Sams Mexico]:[Cost Avoidance - Sams China]])+Table1[[#This Row],[Cost Avoidance - IND]]</f>
        <v>0</v>
      </c>
      <c r="CC283">
        <f>SUM(Table1[[#This Row],[Cost Avoidance - US11]:[Cost Avoidance - Sams12]])</f>
        <v>0</v>
      </c>
      <c r="CD283" t="str">
        <f>_xlfn.XLOOKUP(Table1[[#This Row],[Status]],Status_Lookups[Status],Status_Lookups[Value],"")</f>
        <v/>
      </c>
    </row>
    <row r="284" spans="1:82">
      <c r="A284">
        <v>1</v>
      </c>
      <c r="B284" t="s">
        <v>84</v>
      </c>
      <c r="C284" t="s">
        <v>33</v>
      </c>
      <c r="D284" t="s">
        <v>322</v>
      </c>
      <c r="E284" s="15">
        <v>44682</v>
      </c>
      <c r="F284" s="15">
        <v>44772</v>
      </c>
      <c r="G284" s="15"/>
      <c r="H284" s="15"/>
      <c r="I284" t="s">
        <v>135</v>
      </c>
      <c r="J284" t="s">
        <v>459</v>
      </c>
      <c r="K284" t="s">
        <v>496</v>
      </c>
      <c r="X284" t="s">
        <v>47</v>
      </c>
      <c r="Y284" s="16">
        <v>44701.387036342596</v>
      </c>
      <c r="Z284" s="17" t="str">
        <f>_xlfn.XLOOKUP(Table1[[#This Row],[Phase]],'Lookup tables'!$Y$27:$Y$60,'Lookup tables'!$Z$27:$Z$60,"Not Updated")</f>
        <v>Pipeline</v>
      </c>
      <c r="AA284" s="17"/>
      <c r="BG284" s="185"/>
      <c r="BH284" s="185"/>
      <c r="BI284" s="185"/>
      <c r="BJ284" s="185"/>
      <c r="BK284" s="185"/>
      <c r="BL284" s="185"/>
      <c r="BM284" s="185"/>
      <c r="BN284" s="185"/>
      <c r="BO284" s="185"/>
      <c r="BP284" s="185"/>
      <c r="BQ284" s="185"/>
      <c r="BR284" s="185"/>
      <c r="BS284" s="185"/>
      <c r="BT284" s="185"/>
      <c r="BU284" t="b">
        <f>IF(_xlfn.MAXIFS(Table1[Sl No],Table1[Category],Table1[[#This Row],[Category]],Table1[Execution Year],Table1[[#This Row],[Execution Year]])=Table1[[#This Row],[Sl No]],TRUE,FALSE)</f>
        <v>1</v>
      </c>
      <c r="BV284" s="201">
        <f>SUM(Table1[[#This Row],[Spend - CAN]:[Spend - Sams]])+SUM(Table1[[#This Row],[Spend - Sams Mexico]:[Spend - Sams China]])+Table1[[#This Row],[Spend - IND]]</f>
        <v>0</v>
      </c>
      <c r="BW284">
        <f>SUM(Table1[[#This Row],[Savings - CAN]:[Savings - Sams]])+SUM(Table1[[#This Row],[Savings - Sams Mexico]:[Savings - Sams China]])+Table1[[#This Row],[Savings - IND]]</f>
        <v>0</v>
      </c>
      <c r="BX284">
        <f>SUM(Table1[[#This Row],[Spend - CAN]:[Spend - SAF]])+SUM(Table1[[#This Row],[Spend - Sams Mexico]:[Spend - Sams China]])+Table1[[#This Row],[Spend - IND]]</f>
        <v>0</v>
      </c>
      <c r="BY284">
        <f>SUM(Table1[[#This Row],[Savings - CAN]:[Savings - SAF]])+SUM(Table1[[#This Row],[Savings - Sams Mexico]:[Savings - Sams China]])+Table1[[#This Row],[Savings - IND]]</f>
        <v>0</v>
      </c>
      <c r="BZ284">
        <f>SUM(Table1[[#This Row],[Spend - US]:[Spend - Sams]])</f>
        <v>0</v>
      </c>
      <c r="CA284">
        <f>SUM(Table1[[#This Row],[Savings - US]:[Savings - Sams]])</f>
        <v>0</v>
      </c>
      <c r="CB284">
        <f>SUM(Table1[[#This Row],[Cost Avoidance - CAN2]:[Cost Avoidance - SAF10]])+SUM(Table1[[#This Row],[Cost Avoidance - Sams Mexico]:[Cost Avoidance - Sams China]])+Table1[[#This Row],[Cost Avoidance - IND]]</f>
        <v>0</v>
      </c>
      <c r="CC284">
        <f>SUM(Table1[[#This Row],[Cost Avoidance - US11]:[Cost Avoidance - Sams12]])</f>
        <v>0</v>
      </c>
      <c r="CD284">
        <f>_xlfn.XLOOKUP(Table1[[#This Row],[Status]],Status_Lookups[Status],Status_Lookups[Value],"")</f>
        <v>0.3</v>
      </c>
    </row>
    <row r="285" spans="1:82">
      <c r="A285">
        <v>1</v>
      </c>
      <c r="B285" t="s">
        <v>568</v>
      </c>
      <c r="C285" t="s">
        <v>33</v>
      </c>
      <c r="D285" t="s">
        <v>322</v>
      </c>
      <c r="E285" s="15"/>
      <c r="F285" s="15"/>
      <c r="G285" s="15"/>
      <c r="H285" s="15"/>
      <c r="I285" t="s">
        <v>466</v>
      </c>
      <c r="J285" t="s">
        <v>459</v>
      </c>
      <c r="K285" t="s">
        <v>567</v>
      </c>
      <c r="X285" t="s">
        <v>47</v>
      </c>
      <c r="Y285" s="16">
        <v>44701.387036342596</v>
      </c>
      <c r="Z285" s="17" t="str">
        <f>_xlfn.XLOOKUP(Table1[[#This Row],[Phase]],'Lookup tables'!$Y$27:$Y$60,'Lookup tables'!$Z$27:$Z$60,"Not Updated")</f>
        <v>Post Award</v>
      </c>
      <c r="AA285" s="17"/>
      <c r="BG285" s="185"/>
      <c r="BH285" s="185"/>
      <c r="BI285" s="185"/>
      <c r="BJ285" s="185"/>
      <c r="BK285" s="185"/>
      <c r="BL285" s="185"/>
      <c r="BM285" s="185"/>
      <c r="BN285" s="185"/>
      <c r="BO285" s="185"/>
      <c r="BP285" s="185"/>
      <c r="BQ285" s="185"/>
      <c r="BR285" s="185"/>
      <c r="BS285" s="185"/>
      <c r="BT285" s="185"/>
      <c r="BU285" t="b">
        <f>IF(_xlfn.MAXIFS(Table1[Sl No],Table1[Category],Table1[[#This Row],[Category]],Table1[Execution Year],Table1[[#This Row],[Execution Year]])=Table1[[#This Row],[Sl No]],TRUE,FALSE)</f>
        <v>0</v>
      </c>
      <c r="BV285" s="201">
        <f>SUM(Table1[[#This Row],[Spend - CAN]:[Spend - Sams]])+SUM(Table1[[#This Row],[Spend - Sams Mexico]:[Spend - Sams China]])+Table1[[#This Row],[Spend - IND]]</f>
        <v>0</v>
      </c>
      <c r="BW285">
        <f>SUM(Table1[[#This Row],[Savings - CAN]:[Savings - Sams]])+SUM(Table1[[#This Row],[Savings - Sams Mexico]:[Savings - Sams China]])+Table1[[#This Row],[Savings - IND]]</f>
        <v>0</v>
      </c>
      <c r="BX285">
        <f>SUM(Table1[[#This Row],[Spend - CAN]:[Spend - SAF]])+SUM(Table1[[#This Row],[Spend - Sams Mexico]:[Spend - Sams China]])+Table1[[#This Row],[Spend - IND]]</f>
        <v>0</v>
      </c>
      <c r="BY285">
        <f>SUM(Table1[[#This Row],[Savings - CAN]:[Savings - SAF]])+SUM(Table1[[#This Row],[Savings - Sams Mexico]:[Savings - Sams China]])+Table1[[#This Row],[Savings - IND]]</f>
        <v>0</v>
      </c>
      <c r="BZ285">
        <f>SUM(Table1[[#This Row],[Spend - US]:[Spend - Sams]])</f>
        <v>0</v>
      </c>
      <c r="CA285">
        <f>SUM(Table1[[#This Row],[Savings - US]:[Savings - Sams]])</f>
        <v>0</v>
      </c>
      <c r="CB285">
        <f>SUM(Table1[[#This Row],[Cost Avoidance - CAN2]:[Cost Avoidance - SAF10]])+SUM(Table1[[#This Row],[Cost Avoidance - Sams Mexico]:[Cost Avoidance - Sams China]])+Table1[[#This Row],[Cost Avoidance - IND]]</f>
        <v>0</v>
      </c>
      <c r="CC285">
        <f>SUM(Table1[[#This Row],[Cost Avoidance - US11]:[Cost Avoidance - Sams12]])</f>
        <v>0</v>
      </c>
      <c r="CD285">
        <f>_xlfn.XLOOKUP(Table1[[#This Row],[Status]],Status_Lookups[Status],Status_Lookups[Value],"")</f>
        <v>0.3</v>
      </c>
    </row>
    <row r="286" spans="1:82">
      <c r="A286">
        <v>2</v>
      </c>
      <c r="B286" t="s">
        <v>568</v>
      </c>
      <c r="C286" t="s">
        <v>33</v>
      </c>
      <c r="D286" t="s">
        <v>322</v>
      </c>
      <c r="E286" s="15">
        <v>0</v>
      </c>
      <c r="F286" s="15">
        <v>0</v>
      </c>
      <c r="G286" s="15">
        <v>0</v>
      </c>
      <c r="H286" s="15">
        <v>0</v>
      </c>
      <c r="I286" t="s">
        <v>470</v>
      </c>
      <c r="J286" t="s">
        <v>459</v>
      </c>
      <c r="K286" t="s">
        <v>567</v>
      </c>
      <c r="L286">
        <v>0</v>
      </c>
      <c r="M286">
        <v>0</v>
      </c>
      <c r="N286">
        <v>0</v>
      </c>
      <c r="O286">
        <v>0</v>
      </c>
      <c r="P286">
        <v>0</v>
      </c>
      <c r="Q286">
        <v>0</v>
      </c>
      <c r="R286">
        <v>0</v>
      </c>
      <c r="S286">
        <v>0</v>
      </c>
      <c r="T286">
        <v>0</v>
      </c>
      <c r="U286">
        <v>0</v>
      </c>
      <c r="V286">
        <v>17000000</v>
      </c>
      <c r="W286">
        <v>0</v>
      </c>
      <c r="X286" t="s">
        <v>567</v>
      </c>
      <c r="Y286" s="16">
        <v>44729.578793402776</v>
      </c>
      <c r="Z286" s="17" t="str">
        <f>_xlfn.XLOOKUP(Table1[[#This Row],[Phase]],'Lookup tables'!$Y$27:$Y$60,'Lookup tables'!$Z$27:$Z$60,"Not Updated")</f>
        <v>Complete</v>
      </c>
      <c r="AA286" s="17" t="s">
        <v>672</v>
      </c>
      <c r="AB286">
        <v>0</v>
      </c>
      <c r="AC286">
        <v>0</v>
      </c>
      <c r="AD286">
        <v>0</v>
      </c>
      <c r="AE286">
        <v>0</v>
      </c>
      <c r="AF286">
        <v>0</v>
      </c>
      <c r="AG286">
        <v>0</v>
      </c>
      <c r="AH286">
        <v>0</v>
      </c>
      <c r="AI286">
        <v>0</v>
      </c>
      <c r="AJ286">
        <v>0</v>
      </c>
      <c r="AK286">
        <v>0</v>
      </c>
      <c r="AL286">
        <v>0</v>
      </c>
      <c r="AM286">
        <v>0</v>
      </c>
      <c r="AN286">
        <v>0</v>
      </c>
      <c r="AO286">
        <v>0</v>
      </c>
      <c r="AP286">
        <v>0</v>
      </c>
      <c r="AQ286">
        <v>0</v>
      </c>
      <c r="AR286">
        <v>0</v>
      </c>
      <c r="AS286">
        <v>0</v>
      </c>
      <c r="AT286">
        <v>0</v>
      </c>
      <c r="AU286">
        <v>0</v>
      </c>
      <c r="AV286">
        <v>0</v>
      </c>
      <c r="AW286">
        <v>0</v>
      </c>
      <c r="AX286">
        <v>0</v>
      </c>
      <c r="AY286">
        <v>0</v>
      </c>
      <c r="AZ286">
        <v>0</v>
      </c>
      <c r="BA286">
        <v>0</v>
      </c>
      <c r="BB286">
        <v>0</v>
      </c>
      <c r="BC286">
        <v>0</v>
      </c>
      <c r="BD286">
        <v>0</v>
      </c>
      <c r="BE286">
        <v>0</v>
      </c>
      <c r="BF286">
        <v>0</v>
      </c>
      <c r="BG286" s="185">
        <v>0</v>
      </c>
      <c r="BH286" s="185">
        <v>0</v>
      </c>
      <c r="BI286" s="185">
        <v>0</v>
      </c>
      <c r="BJ286" s="185">
        <v>0</v>
      </c>
      <c r="BK286" s="185">
        <v>0</v>
      </c>
      <c r="BL286" s="185">
        <v>0</v>
      </c>
      <c r="BM286" s="185">
        <v>0</v>
      </c>
      <c r="BN286" s="185">
        <v>0</v>
      </c>
      <c r="BO286" s="185">
        <v>0</v>
      </c>
      <c r="BP286" s="185">
        <v>0</v>
      </c>
      <c r="BQ286" s="185">
        <v>0</v>
      </c>
      <c r="BR286" s="185">
        <v>0</v>
      </c>
      <c r="BS286" s="185">
        <v>0</v>
      </c>
      <c r="BT286" s="185">
        <v>0</v>
      </c>
      <c r="BU286" t="b">
        <f>IF(_xlfn.MAXIFS(Table1[Sl No],Table1[Category],Table1[[#This Row],[Category]],Table1[Execution Year],Table1[[#This Row],[Execution Year]])=Table1[[#This Row],[Sl No]],TRUE,FALSE)</f>
        <v>1</v>
      </c>
      <c r="BV286" s="201">
        <f>SUM(Table1[[#This Row],[Spend - CAN]:[Spend - Sams]])+SUM(Table1[[#This Row],[Spend - Sams Mexico]:[Spend - Sams China]])+Table1[[#This Row],[Spend - IND]]</f>
        <v>17000000</v>
      </c>
      <c r="BW286">
        <f>SUM(Table1[[#This Row],[Savings - CAN]:[Savings - Sams]])+SUM(Table1[[#This Row],[Savings - Sams Mexico]:[Savings - Sams China]])+Table1[[#This Row],[Savings - IND]]</f>
        <v>0</v>
      </c>
      <c r="BX286">
        <f>SUM(Table1[[#This Row],[Spend - CAN]:[Spend - SAF]])+SUM(Table1[[#This Row],[Spend - Sams Mexico]:[Spend - Sams China]])+Table1[[#This Row],[Spend - IND]]</f>
        <v>0</v>
      </c>
      <c r="BY286">
        <f>SUM(Table1[[#This Row],[Savings - CAN]:[Savings - SAF]])+SUM(Table1[[#This Row],[Savings - Sams Mexico]:[Savings - Sams China]])+Table1[[#This Row],[Savings - IND]]</f>
        <v>0</v>
      </c>
      <c r="BZ286">
        <f>SUM(Table1[[#This Row],[Spend - US]:[Spend - Sams]])</f>
        <v>17000000</v>
      </c>
      <c r="CA286">
        <f>SUM(Table1[[#This Row],[Savings - US]:[Savings - Sams]])</f>
        <v>0</v>
      </c>
      <c r="CB286">
        <f>SUM(Table1[[#This Row],[Cost Avoidance - CAN2]:[Cost Avoidance - SAF10]])+SUM(Table1[[#This Row],[Cost Avoidance - Sams Mexico]:[Cost Avoidance - Sams China]])+Table1[[#This Row],[Cost Avoidance - IND]]</f>
        <v>0</v>
      </c>
      <c r="CC286">
        <f>SUM(Table1[[#This Row],[Cost Avoidance - US11]:[Cost Avoidance - Sams12]])</f>
        <v>0</v>
      </c>
      <c r="CD286">
        <f>_xlfn.XLOOKUP(Table1[[#This Row],[Status]],Status_Lookups[Status],Status_Lookups[Value],"")</f>
        <v>0.3</v>
      </c>
    </row>
    <row r="287" spans="1:82">
      <c r="A287">
        <v>1</v>
      </c>
      <c r="B287" t="s">
        <v>546</v>
      </c>
      <c r="C287" t="s">
        <v>543</v>
      </c>
      <c r="D287" t="s">
        <v>322</v>
      </c>
      <c r="E287" s="15"/>
      <c r="F287" s="15"/>
      <c r="G287" s="15"/>
      <c r="H287" s="15"/>
      <c r="I287" t="s">
        <v>470</v>
      </c>
      <c r="J287" t="s">
        <v>470</v>
      </c>
      <c r="K287" t="s">
        <v>533</v>
      </c>
      <c r="X287" t="s">
        <v>47</v>
      </c>
      <c r="Y287" s="16">
        <v>44701.387036342596</v>
      </c>
      <c r="Z287" s="17" t="str">
        <f>_xlfn.XLOOKUP(Table1[[#This Row],[Phase]],'Lookup tables'!$Y$27:$Y$60,'Lookup tables'!$Z$27:$Z$60,"Not Updated")</f>
        <v>Complete</v>
      </c>
      <c r="AA287" s="17"/>
      <c r="BG287" s="185"/>
      <c r="BH287" s="185"/>
      <c r="BI287" s="185"/>
      <c r="BJ287" s="185"/>
      <c r="BK287" s="185"/>
      <c r="BL287" s="185"/>
      <c r="BM287" s="185"/>
      <c r="BN287" s="185"/>
      <c r="BO287" s="185"/>
      <c r="BP287" s="185"/>
      <c r="BQ287" s="185"/>
      <c r="BR287" s="185"/>
      <c r="BS287" s="185"/>
      <c r="BT287" s="185"/>
      <c r="BU287" t="b">
        <f>IF(_xlfn.MAXIFS(Table1[Sl No],Table1[Category],Table1[[#This Row],[Category]],Table1[Execution Year],Table1[[#This Row],[Execution Year]])=Table1[[#This Row],[Sl No]],TRUE,FALSE)</f>
        <v>0</v>
      </c>
      <c r="BV287" s="201">
        <f>SUM(Table1[[#This Row],[Spend - CAN]:[Spend - Sams]])+SUM(Table1[[#This Row],[Spend - Sams Mexico]:[Spend - Sams China]])+Table1[[#This Row],[Spend - IND]]</f>
        <v>0</v>
      </c>
      <c r="BW287">
        <f>SUM(Table1[[#This Row],[Savings - CAN]:[Savings - Sams]])+SUM(Table1[[#This Row],[Savings - Sams Mexico]:[Savings - Sams China]])+Table1[[#This Row],[Savings - IND]]</f>
        <v>0</v>
      </c>
      <c r="BX287">
        <f>SUM(Table1[[#This Row],[Spend - CAN]:[Spend - SAF]])+SUM(Table1[[#This Row],[Spend - Sams Mexico]:[Spend - Sams China]])+Table1[[#This Row],[Spend - IND]]</f>
        <v>0</v>
      </c>
      <c r="BY287">
        <f>SUM(Table1[[#This Row],[Savings - CAN]:[Savings - SAF]])+SUM(Table1[[#This Row],[Savings - Sams Mexico]:[Savings - Sams China]])+Table1[[#This Row],[Savings - IND]]</f>
        <v>0</v>
      </c>
      <c r="BZ287">
        <f>SUM(Table1[[#This Row],[Spend - US]:[Spend - Sams]])</f>
        <v>0</v>
      </c>
      <c r="CA287">
        <f>SUM(Table1[[#This Row],[Savings - US]:[Savings - Sams]])</f>
        <v>0</v>
      </c>
      <c r="CB287">
        <f>SUM(Table1[[#This Row],[Cost Avoidance - CAN2]:[Cost Avoidance - SAF10]])+SUM(Table1[[#This Row],[Cost Avoidance - Sams Mexico]:[Cost Avoidance - Sams China]])+Table1[[#This Row],[Cost Avoidance - IND]]</f>
        <v>0</v>
      </c>
      <c r="CC287">
        <f>SUM(Table1[[#This Row],[Cost Avoidance - US11]:[Cost Avoidance - Sams12]])</f>
        <v>0</v>
      </c>
      <c r="CD287" t="str">
        <f>_xlfn.XLOOKUP(Table1[[#This Row],[Status]],Status_Lookups[Status],Status_Lookups[Value],"")</f>
        <v/>
      </c>
    </row>
    <row r="288" spans="1:82">
      <c r="A288">
        <v>1</v>
      </c>
      <c r="B288" t="s">
        <v>553</v>
      </c>
      <c r="C288" t="s">
        <v>543</v>
      </c>
      <c r="D288" t="s">
        <v>322</v>
      </c>
      <c r="E288" s="15"/>
      <c r="F288" s="15"/>
      <c r="G288" s="15"/>
      <c r="H288" s="15"/>
      <c r="I288" t="s">
        <v>470</v>
      </c>
      <c r="J288" t="s">
        <v>470</v>
      </c>
      <c r="K288" t="s">
        <v>533</v>
      </c>
      <c r="X288" t="s">
        <v>47</v>
      </c>
      <c r="Y288" s="16">
        <v>44701.387036342596</v>
      </c>
      <c r="Z288" s="17" t="str">
        <f>_xlfn.XLOOKUP(Table1[[#This Row],[Phase]],'Lookup tables'!$Y$27:$Y$60,'Lookup tables'!$Z$27:$Z$60,"Not Updated")</f>
        <v>Complete</v>
      </c>
      <c r="AA288" s="17"/>
      <c r="BG288" s="185"/>
      <c r="BH288" s="185"/>
      <c r="BI288" s="185"/>
      <c r="BJ288" s="185"/>
      <c r="BK288" s="185"/>
      <c r="BL288" s="185"/>
      <c r="BM288" s="185"/>
      <c r="BN288" s="185"/>
      <c r="BO288" s="185"/>
      <c r="BP288" s="185"/>
      <c r="BQ288" s="185"/>
      <c r="BR288" s="185"/>
      <c r="BS288" s="185"/>
      <c r="BT288" s="185"/>
      <c r="BU288" t="b">
        <f>IF(_xlfn.MAXIFS(Table1[Sl No],Table1[Category],Table1[[#This Row],[Category]],Table1[Execution Year],Table1[[#This Row],[Execution Year]])=Table1[[#This Row],[Sl No]],TRUE,FALSE)</f>
        <v>0</v>
      </c>
      <c r="BV288" s="201">
        <f>SUM(Table1[[#This Row],[Spend - CAN]:[Spend - Sams]])+SUM(Table1[[#This Row],[Spend - Sams Mexico]:[Spend - Sams China]])+Table1[[#This Row],[Spend - IND]]</f>
        <v>0</v>
      </c>
      <c r="BW288">
        <f>SUM(Table1[[#This Row],[Savings - CAN]:[Savings - Sams]])+SUM(Table1[[#This Row],[Savings - Sams Mexico]:[Savings - Sams China]])+Table1[[#This Row],[Savings - IND]]</f>
        <v>0</v>
      </c>
      <c r="BX288">
        <f>SUM(Table1[[#This Row],[Spend - CAN]:[Spend - SAF]])+SUM(Table1[[#This Row],[Spend - Sams Mexico]:[Spend - Sams China]])+Table1[[#This Row],[Spend - IND]]</f>
        <v>0</v>
      </c>
      <c r="BY288">
        <f>SUM(Table1[[#This Row],[Savings - CAN]:[Savings - SAF]])+SUM(Table1[[#This Row],[Savings - Sams Mexico]:[Savings - Sams China]])+Table1[[#This Row],[Savings - IND]]</f>
        <v>0</v>
      </c>
      <c r="BZ288">
        <f>SUM(Table1[[#This Row],[Spend - US]:[Spend - Sams]])</f>
        <v>0</v>
      </c>
      <c r="CA288">
        <f>SUM(Table1[[#This Row],[Savings - US]:[Savings - Sams]])</f>
        <v>0</v>
      </c>
      <c r="CB288">
        <f>SUM(Table1[[#This Row],[Cost Avoidance - CAN2]:[Cost Avoidance - SAF10]])+SUM(Table1[[#This Row],[Cost Avoidance - Sams Mexico]:[Cost Avoidance - Sams China]])+Table1[[#This Row],[Cost Avoidance - IND]]</f>
        <v>0</v>
      </c>
      <c r="CC288">
        <f>SUM(Table1[[#This Row],[Cost Avoidance - US11]:[Cost Avoidance - Sams12]])</f>
        <v>0</v>
      </c>
      <c r="CD288" t="str">
        <f>_xlfn.XLOOKUP(Table1[[#This Row],[Status]],Status_Lookups[Status],Status_Lookups[Value],"")</f>
        <v/>
      </c>
    </row>
    <row r="289" spans="1:82">
      <c r="A289">
        <v>1</v>
      </c>
      <c r="B289" t="s">
        <v>557</v>
      </c>
      <c r="C289" t="s">
        <v>543</v>
      </c>
      <c r="D289" t="s">
        <v>322</v>
      </c>
      <c r="E289" s="15"/>
      <c r="F289" s="15"/>
      <c r="G289" s="15"/>
      <c r="H289" s="15"/>
      <c r="I289" t="s">
        <v>470</v>
      </c>
      <c r="J289" t="s">
        <v>470</v>
      </c>
      <c r="K289" t="s">
        <v>533</v>
      </c>
      <c r="X289" t="s">
        <v>47</v>
      </c>
      <c r="Y289" s="16">
        <v>44701.387036342596</v>
      </c>
      <c r="Z289" s="17" t="str">
        <f>_xlfn.XLOOKUP(Table1[[#This Row],[Phase]],'Lookup tables'!$Y$27:$Y$60,'Lookup tables'!$Z$27:$Z$60,"Not Updated")</f>
        <v>Complete</v>
      </c>
      <c r="AA289" s="17"/>
      <c r="BG289" s="185"/>
      <c r="BH289" s="185"/>
      <c r="BI289" s="185"/>
      <c r="BJ289" s="185"/>
      <c r="BK289" s="185"/>
      <c r="BL289" s="185"/>
      <c r="BM289" s="185"/>
      <c r="BN289" s="185"/>
      <c r="BO289" s="185"/>
      <c r="BP289" s="185"/>
      <c r="BQ289" s="185"/>
      <c r="BR289" s="185"/>
      <c r="BS289" s="185"/>
      <c r="BT289" s="185"/>
      <c r="BU289" t="b">
        <f>IF(_xlfn.MAXIFS(Table1[Sl No],Table1[Category],Table1[[#This Row],[Category]],Table1[Execution Year],Table1[[#This Row],[Execution Year]])=Table1[[#This Row],[Sl No]],TRUE,FALSE)</f>
        <v>0</v>
      </c>
      <c r="BV289" s="201">
        <f>SUM(Table1[[#This Row],[Spend - CAN]:[Spend - Sams]])+SUM(Table1[[#This Row],[Spend - Sams Mexico]:[Spend - Sams China]])+Table1[[#This Row],[Spend - IND]]</f>
        <v>0</v>
      </c>
      <c r="BW289">
        <f>SUM(Table1[[#This Row],[Savings - CAN]:[Savings - Sams]])+SUM(Table1[[#This Row],[Savings - Sams Mexico]:[Savings - Sams China]])+Table1[[#This Row],[Savings - IND]]</f>
        <v>0</v>
      </c>
      <c r="BX289">
        <f>SUM(Table1[[#This Row],[Spend - CAN]:[Spend - SAF]])+SUM(Table1[[#This Row],[Spend - Sams Mexico]:[Spend - Sams China]])+Table1[[#This Row],[Spend - IND]]</f>
        <v>0</v>
      </c>
      <c r="BY289">
        <f>SUM(Table1[[#This Row],[Savings - CAN]:[Savings - SAF]])+SUM(Table1[[#This Row],[Savings - Sams Mexico]:[Savings - Sams China]])+Table1[[#This Row],[Savings - IND]]</f>
        <v>0</v>
      </c>
      <c r="BZ289">
        <f>SUM(Table1[[#This Row],[Spend - US]:[Spend - Sams]])</f>
        <v>0</v>
      </c>
      <c r="CA289">
        <f>SUM(Table1[[#This Row],[Savings - US]:[Savings - Sams]])</f>
        <v>0</v>
      </c>
      <c r="CB289">
        <f>SUM(Table1[[#This Row],[Cost Avoidance - CAN2]:[Cost Avoidance - SAF10]])+SUM(Table1[[#This Row],[Cost Avoidance - Sams Mexico]:[Cost Avoidance - Sams China]])+Table1[[#This Row],[Cost Avoidance - IND]]</f>
        <v>0</v>
      </c>
      <c r="CC289">
        <f>SUM(Table1[[#This Row],[Cost Avoidance - US11]:[Cost Avoidance - Sams12]])</f>
        <v>0</v>
      </c>
      <c r="CD289" t="str">
        <f>_xlfn.XLOOKUP(Table1[[#This Row],[Status]],Status_Lookups[Status],Status_Lookups[Value],"")</f>
        <v/>
      </c>
    </row>
    <row r="290" spans="1:82">
      <c r="A290">
        <v>1</v>
      </c>
      <c r="B290" t="s">
        <v>549</v>
      </c>
      <c r="C290" t="s">
        <v>543</v>
      </c>
      <c r="D290" t="s">
        <v>322</v>
      </c>
      <c r="E290" s="15"/>
      <c r="F290" s="15"/>
      <c r="G290" s="15"/>
      <c r="H290" s="15"/>
      <c r="I290" t="s">
        <v>470</v>
      </c>
      <c r="J290" t="s">
        <v>470</v>
      </c>
      <c r="K290" t="s">
        <v>533</v>
      </c>
      <c r="X290" t="s">
        <v>47</v>
      </c>
      <c r="Y290" s="16">
        <v>44701.387036342596</v>
      </c>
      <c r="Z290" s="17" t="str">
        <f>_xlfn.XLOOKUP(Table1[[#This Row],[Phase]],'Lookup tables'!$Y$27:$Y$60,'Lookup tables'!$Z$27:$Z$60,"Not Updated")</f>
        <v>Complete</v>
      </c>
      <c r="AA290" s="17"/>
      <c r="BG290" s="185"/>
      <c r="BH290" s="185"/>
      <c r="BI290" s="185"/>
      <c r="BJ290" s="185"/>
      <c r="BK290" s="185"/>
      <c r="BL290" s="185"/>
      <c r="BM290" s="185"/>
      <c r="BN290" s="185"/>
      <c r="BO290" s="185"/>
      <c r="BP290" s="185"/>
      <c r="BQ290" s="185"/>
      <c r="BR290" s="185"/>
      <c r="BS290" s="185"/>
      <c r="BT290" s="185"/>
      <c r="BU290" t="b">
        <f>IF(_xlfn.MAXIFS(Table1[Sl No],Table1[Category],Table1[[#This Row],[Category]],Table1[Execution Year],Table1[[#This Row],[Execution Year]])=Table1[[#This Row],[Sl No]],TRUE,FALSE)</f>
        <v>0</v>
      </c>
      <c r="BV290" s="201">
        <f>SUM(Table1[[#This Row],[Spend - CAN]:[Spend - Sams]])+SUM(Table1[[#This Row],[Spend - Sams Mexico]:[Spend - Sams China]])+Table1[[#This Row],[Spend - IND]]</f>
        <v>0</v>
      </c>
      <c r="BW290">
        <f>SUM(Table1[[#This Row],[Savings - CAN]:[Savings - Sams]])+SUM(Table1[[#This Row],[Savings - Sams Mexico]:[Savings - Sams China]])+Table1[[#This Row],[Savings - IND]]</f>
        <v>0</v>
      </c>
      <c r="BX290">
        <f>SUM(Table1[[#This Row],[Spend - CAN]:[Spend - SAF]])+SUM(Table1[[#This Row],[Spend - Sams Mexico]:[Spend - Sams China]])+Table1[[#This Row],[Spend - IND]]</f>
        <v>0</v>
      </c>
      <c r="BY290">
        <f>SUM(Table1[[#This Row],[Savings - CAN]:[Savings - SAF]])+SUM(Table1[[#This Row],[Savings - Sams Mexico]:[Savings - Sams China]])+Table1[[#This Row],[Savings - IND]]</f>
        <v>0</v>
      </c>
      <c r="BZ290">
        <f>SUM(Table1[[#This Row],[Spend - US]:[Spend - Sams]])</f>
        <v>0</v>
      </c>
      <c r="CA290">
        <f>SUM(Table1[[#This Row],[Savings - US]:[Savings - Sams]])</f>
        <v>0</v>
      </c>
      <c r="CB290">
        <f>SUM(Table1[[#This Row],[Cost Avoidance - CAN2]:[Cost Avoidance - SAF10]])+SUM(Table1[[#This Row],[Cost Avoidance - Sams Mexico]:[Cost Avoidance - Sams China]])+Table1[[#This Row],[Cost Avoidance - IND]]</f>
        <v>0</v>
      </c>
      <c r="CC290">
        <f>SUM(Table1[[#This Row],[Cost Avoidance - US11]:[Cost Avoidance - Sams12]])</f>
        <v>0</v>
      </c>
      <c r="CD290" t="str">
        <f>_xlfn.XLOOKUP(Table1[[#This Row],[Status]],Status_Lookups[Status],Status_Lookups[Value],"")</f>
        <v/>
      </c>
    </row>
    <row r="291" spans="1:82">
      <c r="A291">
        <v>1</v>
      </c>
      <c r="B291" t="s">
        <v>566</v>
      </c>
      <c r="C291" t="s">
        <v>33</v>
      </c>
      <c r="D291" t="s">
        <v>322</v>
      </c>
      <c r="E291" s="15"/>
      <c r="F291" s="15"/>
      <c r="G291" s="15"/>
      <c r="H291" s="15"/>
      <c r="I291" t="s">
        <v>412</v>
      </c>
      <c r="J291" t="s">
        <v>459</v>
      </c>
      <c r="K291" t="s">
        <v>567</v>
      </c>
      <c r="X291" t="s">
        <v>47</v>
      </c>
      <c r="Y291" s="16">
        <v>44701.387036342596</v>
      </c>
      <c r="Z291" s="17" t="str">
        <f>_xlfn.XLOOKUP(Table1[[#This Row],[Phase]],'Lookup tables'!$Y$27:$Y$60,'Lookup tables'!$Z$27:$Z$60,"Not Updated")</f>
        <v>Exploratory</v>
      </c>
      <c r="AA291" s="17"/>
      <c r="BG291" s="185"/>
      <c r="BH291" s="185"/>
      <c r="BI291" s="185"/>
      <c r="BJ291" s="185"/>
      <c r="BK291" s="185"/>
      <c r="BL291" s="185"/>
      <c r="BM291" s="185"/>
      <c r="BN291" s="185"/>
      <c r="BO291" s="185"/>
      <c r="BP291" s="185"/>
      <c r="BQ291" s="185"/>
      <c r="BR291" s="185"/>
      <c r="BS291" s="185"/>
      <c r="BT291" s="185"/>
      <c r="BU291" t="b">
        <f>IF(_xlfn.MAXIFS(Table1[Sl No],Table1[Category],Table1[[#This Row],[Category]],Table1[Execution Year],Table1[[#This Row],[Execution Year]])=Table1[[#This Row],[Sl No]],TRUE,FALSE)</f>
        <v>0</v>
      </c>
      <c r="BV291" s="201">
        <f>SUM(Table1[[#This Row],[Spend - CAN]:[Spend - Sams]])+SUM(Table1[[#This Row],[Spend - Sams Mexico]:[Spend - Sams China]])+Table1[[#This Row],[Spend - IND]]</f>
        <v>0</v>
      </c>
      <c r="BW291">
        <f>SUM(Table1[[#This Row],[Savings - CAN]:[Savings - Sams]])+SUM(Table1[[#This Row],[Savings - Sams Mexico]:[Savings - Sams China]])+Table1[[#This Row],[Savings - IND]]</f>
        <v>0</v>
      </c>
      <c r="BX291">
        <f>SUM(Table1[[#This Row],[Spend - CAN]:[Spend - SAF]])+SUM(Table1[[#This Row],[Spend - Sams Mexico]:[Spend - Sams China]])+Table1[[#This Row],[Spend - IND]]</f>
        <v>0</v>
      </c>
      <c r="BY291">
        <f>SUM(Table1[[#This Row],[Savings - CAN]:[Savings - SAF]])+SUM(Table1[[#This Row],[Savings - Sams Mexico]:[Savings - Sams China]])+Table1[[#This Row],[Savings - IND]]</f>
        <v>0</v>
      </c>
      <c r="BZ291">
        <f>SUM(Table1[[#This Row],[Spend - US]:[Spend - Sams]])</f>
        <v>0</v>
      </c>
      <c r="CA291">
        <f>SUM(Table1[[#This Row],[Savings - US]:[Savings - Sams]])</f>
        <v>0</v>
      </c>
      <c r="CB291">
        <f>SUM(Table1[[#This Row],[Cost Avoidance - CAN2]:[Cost Avoidance - SAF10]])+SUM(Table1[[#This Row],[Cost Avoidance - Sams Mexico]:[Cost Avoidance - Sams China]])+Table1[[#This Row],[Cost Avoidance - IND]]</f>
        <v>0</v>
      </c>
      <c r="CC291">
        <f>SUM(Table1[[#This Row],[Cost Avoidance - US11]:[Cost Avoidance - Sams12]])</f>
        <v>0</v>
      </c>
      <c r="CD291">
        <f>_xlfn.XLOOKUP(Table1[[#This Row],[Status]],Status_Lookups[Status],Status_Lookups[Value],"")</f>
        <v>0.3</v>
      </c>
    </row>
    <row r="292" spans="1:82">
      <c r="A292">
        <v>2</v>
      </c>
      <c r="B292" t="s">
        <v>566</v>
      </c>
      <c r="C292" t="s">
        <v>33</v>
      </c>
      <c r="D292" t="s">
        <v>322</v>
      </c>
      <c r="E292" s="15">
        <v>0</v>
      </c>
      <c r="F292" s="15">
        <v>0</v>
      </c>
      <c r="G292" s="15">
        <v>0</v>
      </c>
      <c r="H292" s="15">
        <v>0</v>
      </c>
      <c r="I292" t="s">
        <v>417</v>
      </c>
      <c r="J292" t="s">
        <v>459</v>
      </c>
      <c r="K292" t="s">
        <v>567</v>
      </c>
      <c r="L292">
        <v>0</v>
      </c>
      <c r="M292">
        <v>0</v>
      </c>
      <c r="N292">
        <v>0</v>
      </c>
      <c r="O292">
        <v>0</v>
      </c>
      <c r="P292">
        <v>0</v>
      </c>
      <c r="Q292">
        <v>0</v>
      </c>
      <c r="R292">
        <v>0</v>
      </c>
      <c r="S292">
        <v>0</v>
      </c>
      <c r="T292">
        <v>0</v>
      </c>
      <c r="U292">
        <v>0</v>
      </c>
      <c r="V292">
        <v>0</v>
      </c>
      <c r="W292">
        <v>0</v>
      </c>
      <c r="X292" t="s">
        <v>567</v>
      </c>
      <c r="Y292" s="16">
        <v>44729.579323958336</v>
      </c>
      <c r="Z292" s="17" t="str">
        <f>_xlfn.XLOOKUP(Table1[[#This Row],[Phase]],'Lookup tables'!$Y$27:$Y$60,'Lookup tables'!$Z$27:$Z$60,"Not Updated")</f>
        <v>Cancelled</v>
      </c>
      <c r="AA292" s="17" t="s">
        <v>673</v>
      </c>
      <c r="AB292">
        <v>0</v>
      </c>
      <c r="AC292">
        <v>0</v>
      </c>
      <c r="AD292">
        <v>0</v>
      </c>
      <c r="AE292">
        <v>0</v>
      </c>
      <c r="AF292">
        <v>0</v>
      </c>
      <c r="AG292">
        <v>0</v>
      </c>
      <c r="AH292">
        <v>0</v>
      </c>
      <c r="AI292">
        <v>0</v>
      </c>
      <c r="AJ292">
        <v>0</v>
      </c>
      <c r="AK292">
        <v>0</v>
      </c>
      <c r="AL292">
        <v>0</v>
      </c>
      <c r="AM292">
        <v>0</v>
      </c>
      <c r="AN292">
        <v>0</v>
      </c>
      <c r="AO292">
        <v>0</v>
      </c>
      <c r="AP292">
        <v>0</v>
      </c>
      <c r="AQ292">
        <v>0</v>
      </c>
      <c r="AR292">
        <v>0</v>
      </c>
      <c r="AS292">
        <v>0</v>
      </c>
      <c r="AT292">
        <v>0</v>
      </c>
      <c r="AU292">
        <v>0</v>
      </c>
      <c r="AV292">
        <v>0</v>
      </c>
      <c r="AW292">
        <v>0</v>
      </c>
      <c r="AX292">
        <v>0</v>
      </c>
      <c r="AY292">
        <v>0</v>
      </c>
      <c r="AZ292">
        <v>0</v>
      </c>
      <c r="BA292">
        <v>0</v>
      </c>
      <c r="BB292">
        <v>0</v>
      </c>
      <c r="BC292">
        <v>0</v>
      </c>
      <c r="BD292">
        <v>0</v>
      </c>
      <c r="BE292">
        <v>0</v>
      </c>
      <c r="BF292">
        <v>0</v>
      </c>
      <c r="BG292" s="185">
        <v>0</v>
      </c>
      <c r="BH292" s="185">
        <v>0</v>
      </c>
      <c r="BI292" s="185">
        <v>0</v>
      </c>
      <c r="BJ292" s="185">
        <v>0</v>
      </c>
      <c r="BK292" s="185">
        <v>0</v>
      </c>
      <c r="BL292" s="185">
        <v>0</v>
      </c>
      <c r="BM292" s="185">
        <v>0</v>
      </c>
      <c r="BN292" s="185">
        <v>0</v>
      </c>
      <c r="BO292" s="185">
        <v>0</v>
      </c>
      <c r="BP292" s="185">
        <v>0</v>
      </c>
      <c r="BQ292" s="185">
        <v>0</v>
      </c>
      <c r="BR292" s="185">
        <v>0</v>
      </c>
      <c r="BS292" s="185">
        <v>0</v>
      </c>
      <c r="BT292" s="185">
        <v>0</v>
      </c>
      <c r="BU292" t="b">
        <f>IF(_xlfn.MAXIFS(Table1[Sl No],Table1[Category],Table1[[#This Row],[Category]],Table1[Execution Year],Table1[[#This Row],[Execution Year]])=Table1[[#This Row],[Sl No]],TRUE,FALSE)</f>
        <v>1</v>
      </c>
      <c r="BV292" s="201">
        <f>SUM(Table1[[#This Row],[Spend - CAN]:[Spend - Sams]])+SUM(Table1[[#This Row],[Spend - Sams Mexico]:[Spend - Sams China]])+Table1[[#This Row],[Spend - IND]]</f>
        <v>0</v>
      </c>
      <c r="BW292">
        <f>SUM(Table1[[#This Row],[Savings - CAN]:[Savings - Sams]])+SUM(Table1[[#This Row],[Savings - Sams Mexico]:[Savings - Sams China]])+Table1[[#This Row],[Savings - IND]]</f>
        <v>0</v>
      </c>
      <c r="BX292">
        <f>SUM(Table1[[#This Row],[Spend - CAN]:[Spend - SAF]])+SUM(Table1[[#This Row],[Spend - Sams Mexico]:[Spend - Sams China]])+Table1[[#This Row],[Spend - IND]]</f>
        <v>0</v>
      </c>
      <c r="BY292">
        <f>SUM(Table1[[#This Row],[Savings - CAN]:[Savings - SAF]])+SUM(Table1[[#This Row],[Savings - Sams Mexico]:[Savings - Sams China]])+Table1[[#This Row],[Savings - IND]]</f>
        <v>0</v>
      </c>
      <c r="BZ292">
        <f>SUM(Table1[[#This Row],[Spend - US]:[Spend - Sams]])</f>
        <v>0</v>
      </c>
      <c r="CA292">
        <f>SUM(Table1[[#This Row],[Savings - US]:[Savings - Sams]])</f>
        <v>0</v>
      </c>
      <c r="CB292">
        <f>SUM(Table1[[#This Row],[Cost Avoidance - CAN2]:[Cost Avoidance - SAF10]])+SUM(Table1[[#This Row],[Cost Avoidance - Sams Mexico]:[Cost Avoidance - Sams China]])+Table1[[#This Row],[Cost Avoidance - IND]]</f>
        <v>0</v>
      </c>
      <c r="CC292">
        <f>SUM(Table1[[#This Row],[Cost Avoidance - US11]:[Cost Avoidance - Sams12]])</f>
        <v>0</v>
      </c>
      <c r="CD292">
        <f>_xlfn.XLOOKUP(Table1[[#This Row],[Status]],Status_Lookups[Status],Status_Lookups[Value],"")</f>
        <v>0.3</v>
      </c>
    </row>
    <row r="293" spans="1:82">
      <c r="A293">
        <v>1</v>
      </c>
      <c r="B293" t="s">
        <v>501</v>
      </c>
      <c r="C293" t="s">
        <v>33</v>
      </c>
      <c r="D293" t="s">
        <v>322</v>
      </c>
      <c r="E293" s="15">
        <v>44621</v>
      </c>
      <c r="F293" s="15">
        <v>44772</v>
      </c>
      <c r="G293" s="15"/>
      <c r="H293" s="15"/>
      <c r="I293" t="s">
        <v>413</v>
      </c>
      <c r="J293" t="s">
        <v>459</v>
      </c>
      <c r="K293" t="s">
        <v>674</v>
      </c>
      <c r="X293" t="s">
        <v>47</v>
      </c>
      <c r="Y293" s="16">
        <v>44701.387036342596</v>
      </c>
      <c r="Z293" s="17" t="str">
        <f>_xlfn.XLOOKUP(Table1[[#This Row],[Phase]],'Lookup tables'!$Y$27:$Y$60,'Lookup tables'!$Z$27:$Z$60,"Not Updated")</f>
        <v>Bid Prep</v>
      </c>
      <c r="AA293" s="17"/>
      <c r="BG293" s="185"/>
      <c r="BH293" s="185"/>
      <c r="BI293" s="185"/>
      <c r="BJ293" s="185"/>
      <c r="BK293" s="185"/>
      <c r="BL293" s="185"/>
      <c r="BM293" s="185"/>
      <c r="BN293" s="185"/>
      <c r="BO293" s="185"/>
      <c r="BP293" s="185"/>
      <c r="BQ293" s="185"/>
      <c r="BR293" s="185"/>
      <c r="BS293" s="185"/>
      <c r="BT293" s="185"/>
      <c r="BU293" t="b">
        <f>IF(_xlfn.MAXIFS(Table1[Sl No],Table1[Category],Table1[[#This Row],[Category]],Table1[Execution Year],Table1[[#This Row],[Execution Year]])=Table1[[#This Row],[Sl No]],TRUE,FALSE)</f>
        <v>0</v>
      </c>
      <c r="BV293" s="201">
        <f>SUM(Table1[[#This Row],[Spend - CAN]:[Spend - Sams]])+SUM(Table1[[#This Row],[Spend - Sams Mexico]:[Spend - Sams China]])+Table1[[#This Row],[Spend - IND]]</f>
        <v>0</v>
      </c>
      <c r="BW293">
        <f>SUM(Table1[[#This Row],[Savings - CAN]:[Savings - Sams]])+SUM(Table1[[#This Row],[Savings - Sams Mexico]:[Savings - Sams China]])+Table1[[#This Row],[Savings - IND]]</f>
        <v>0</v>
      </c>
      <c r="BX293">
        <f>SUM(Table1[[#This Row],[Spend - CAN]:[Spend - SAF]])+SUM(Table1[[#This Row],[Spend - Sams Mexico]:[Spend - Sams China]])+Table1[[#This Row],[Spend - IND]]</f>
        <v>0</v>
      </c>
      <c r="BY293">
        <f>SUM(Table1[[#This Row],[Savings - CAN]:[Savings - SAF]])+SUM(Table1[[#This Row],[Savings - Sams Mexico]:[Savings - Sams China]])+Table1[[#This Row],[Savings - IND]]</f>
        <v>0</v>
      </c>
      <c r="BZ293">
        <f>SUM(Table1[[#This Row],[Spend - US]:[Spend - Sams]])</f>
        <v>0</v>
      </c>
      <c r="CA293">
        <f>SUM(Table1[[#This Row],[Savings - US]:[Savings - Sams]])</f>
        <v>0</v>
      </c>
      <c r="CB293">
        <f>SUM(Table1[[#This Row],[Cost Avoidance - CAN2]:[Cost Avoidance - SAF10]])+SUM(Table1[[#This Row],[Cost Avoidance - Sams Mexico]:[Cost Avoidance - Sams China]])+Table1[[#This Row],[Cost Avoidance - IND]]</f>
        <v>0</v>
      </c>
      <c r="CC293">
        <f>SUM(Table1[[#This Row],[Cost Avoidance - US11]:[Cost Avoidance - Sams12]])</f>
        <v>0</v>
      </c>
      <c r="CD293">
        <f>_xlfn.XLOOKUP(Table1[[#This Row],[Status]],Status_Lookups[Status],Status_Lookups[Value],"")</f>
        <v>0.3</v>
      </c>
    </row>
    <row r="294" spans="1:82">
      <c r="A294">
        <v>2</v>
      </c>
      <c r="B294" t="s">
        <v>501</v>
      </c>
      <c r="C294" t="s">
        <v>33</v>
      </c>
      <c r="D294" t="s">
        <v>322</v>
      </c>
      <c r="E294" s="15">
        <v>44621</v>
      </c>
      <c r="F294" s="15">
        <v>44772</v>
      </c>
      <c r="G294" s="15">
        <v>44705</v>
      </c>
      <c r="H294" s="15">
        <v>0</v>
      </c>
      <c r="I294" t="s">
        <v>413</v>
      </c>
      <c r="J294" t="s">
        <v>459</v>
      </c>
      <c r="K294" t="s">
        <v>674</v>
      </c>
      <c r="L294">
        <v>0</v>
      </c>
      <c r="M294">
        <v>0</v>
      </c>
      <c r="N294">
        <v>0</v>
      </c>
      <c r="O294">
        <v>0</v>
      </c>
      <c r="P294">
        <v>0</v>
      </c>
      <c r="Q294">
        <v>0</v>
      </c>
      <c r="R294">
        <v>0</v>
      </c>
      <c r="S294">
        <v>0</v>
      </c>
      <c r="T294">
        <v>0</v>
      </c>
      <c r="U294">
        <v>0</v>
      </c>
      <c r="V294">
        <v>0</v>
      </c>
      <c r="W294">
        <v>0</v>
      </c>
      <c r="X294" t="s">
        <v>674</v>
      </c>
      <c r="Y294" s="16">
        <v>44704.374633449072</v>
      </c>
      <c r="Z294" s="17" t="str">
        <f>_xlfn.XLOOKUP(Table1[[#This Row],[Phase]],'Lookup tables'!$Y$27:$Y$60,'Lookup tables'!$Z$27:$Z$60,"Not Updated")</f>
        <v>Bid Prep</v>
      </c>
      <c r="AA294" s="17">
        <v>0</v>
      </c>
      <c r="AB294">
        <v>0</v>
      </c>
      <c r="AC294">
        <v>0</v>
      </c>
      <c r="AD294">
        <v>0</v>
      </c>
      <c r="AE294">
        <v>0</v>
      </c>
      <c r="AF294">
        <v>0</v>
      </c>
      <c r="AG294">
        <v>0</v>
      </c>
      <c r="AH294">
        <v>0</v>
      </c>
      <c r="AI294">
        <v>0</v>
      </c>
      <c r="AJ294">
        <v>0</v>
      </c>
      <c r="AK294">
        <v>0</v>
      </c>
      <c r="AL294">
        <v>0</v>
      </c>
      <c r="AM294">
        <v>0</v>
      </c>
      <c r="AN294">
        <v>0</v>
      </c>
      <c r="AO294">
        <v>0</v>
      </c>
      <c r="AP294">
        <v>0</v>
      </c>
      <c r="AQ294">
        <v>0</v>
      </c>
      <c r="AR294">
        <v>0</v>
      </c>
      <c r="AS294">
        <v>0</v>
      </c>
      <c r="AT294">
        <v>0</v>
      </c>
      <c r="AU294">
        <v>0</v>
      </c>
      <c r="AV294">
        <v>0</v>
      </c>
      <c r="AW294">
        <v>0</v>
      </c>
      <c r="AX294">
        <v>0</v>
      </c>
      <c r="AY294">
        <v>0</v>
      </c>
      <c r="AZ294">
        <v>0</v>
      </c>
      <c r="BA294">
        <v>0</v>
      </c>
      <c r="BB294">
        <v>0</v>
      </c>
      <c r="BC294">
        <v>0</v>
      </c>
      <c r="BD294">
        <v>0</v>
      </c>
      <c r="BE294">
        <v>0</v>
      </c>
      <c r="BF294">
        <v>0</v>
      </c>
      <c r="BG294" s="185">
        <v>0</v>
      </c>
      <c r="BH294" s="185">
        <v>0</v>
      </c>
      <c r="BI294" s="185">
        <v>0</v>
      </c>
      <c r="BJ294" s="185">
        <v>0</v>
      </c>
      <c r="BK294" s="185">
        <v>0</v>
      </c>
      <c r="BL294" s="185">
        <v>0</v>
      </c>
      <c r="BM294" s="185">
        <v>0</v>
      </c>
      <c r="BN294" s="185">
        <v>0</v>
      </c>
      <c r="BO294" s="185">
        <v>0</v>
      </c>
      <c r="BP294" s="185">
        <v>0</v>
      </c>
      <c r="BQ294" s="185">
        <v>0</v>
      </c>
      <c r="BR294" s="185">
        <v>0</v>
      </c>
      <c r="BS294" s="185">
        <v>0</v>
      </c>
      <c r="BT294" s="185">
        <v>0</v>
      </c>
      <c r="BU294" t="b">
        <f>IF(_xlfn.MAXIFS(Table1[Sl No],Table1[Category],Table1[[#This Row],[Category]],Table1[Execution Year],Table1[[#This Row],[Execution Year]])=Table1[[#This Row],[Sl No]],TRUE,FALSE)</f>
        <v>0</v>
      </c>
      <c r="BV294" s="201">
        <f>SUM(Table1[[#This Row],[Spend - CAN]:[Spend - Sams]])+SUM(Table1[[#This Row],[Spend - Sams Mexico]:[Spend - Sams China]])+Table1[[#This Row],[Spend - IND]]</f>
        <v>0</v>
      </c>
      <c r="BW294">
        <f>SUM(Table1[[#This Row],[Savings - CAN]:[Savings - Sams]])+SUM(Table1[[#This Row],[Savings - Sams Mexico]:[Savings - Sams China]])+Table1[[#This Row],[Savings - IND]]</f>
        <v>0</v>
      </c>
      <c r="BX294">
        <f>SUM(Table1[[#This Row],[Spend - CAN]:[Spend - SAF]])+SUM(Table1[[#This Row],[Spend - Sams Mexico]:[Spend - Sams China]])+Table1[[#This Row],[Spend - IND]]</f>
        <v>0</v>
      </c>
      <c r="BY294">
        <f>SUM(Table1[[#This Row],[Savings - CAN]:[Savings - SAF]])+SUM(Table1[[#This Row],[Savings - Sams Mexico]:[Savings - Sams China]])+Table1[[#This Row],[Savings - IND]]</f>
        <v>0</v>
      </c>
      <c r="BZ294">
        <f>SUM(Table1[[#This Row],[Spend - US]:[Spend - Sams]])</f>
        <v>0</v>
      </c>
      <c r="CA294">
        <f>SUM(Table1[[#This Row],[Savings - US]:[Savings - Sams]])</f>
        <v>0</v>
      </c>
      <c r="CB294">
        <f>SUM(Table1[[#This Row],[Cost Avoidance - CAN2]:[Cost Avoidance - SAF10]])+SUM(Table1[[#This Row],[Cost Avoidance - Sams Mexico]:[Cost Avoidance - Sams China]])+Table1[[#This Row],[Cost Avoidance - IND]]</f>
        <v>0</v>
      </c>
      <c r="CC294">
        <f>SUM(Table1[[#This Row],[Cost Avoidance - US11]:[Cost Avoidance - Sams12]])</f>
        <v>0</v>
      </c>
      <c r="CD294">
        <f>_xlfn.XLOOKUP(Table1[[#This Row],[Status]],Status_Lookups[Status],Status_Lookups[Value],"")</f>
        <v>0.3</v>
      </c>
    </row>
    <row r="295" spans="1:82">
      <c r="A295">
        <v>3</v>
      </c>
      <c r="B295" t="s">
        <v>501</v>
      </c>
      <c r="C295" t="s">
        <v>33</v>
      </c>
      <c r="D295" t="s">
        <v>322</v>
      </c>
      <c r="E295" s="15">
        <v>44621</v>
      </c>
      <c r="F295" s="15">
        <v>44772</v>
      </c>
      <c r="G295" s="15">
        <v>44705</v>
      </c>
      <c r="H295" s="15">
        <v>0</v>
      </c>
      <c r="I295" t="s">
        <v>481</v>
      </c>
      <c r="J295" t="s">
        <v>459</v>
      </c>
      <c r="K295" t="s">
        <v>502</v>
      </c>
      <c r="L295">
        <v>0</v>
      </c>
      <c r="M295">
        <v>0</v>
      </c>
      <c r="N295">
        <v>0</v>
      </c>
      <c r="O295">
        <v>0</v>
      </c>
      <c r="P295">
        <v>0</v>
      </c>
      <c r="Q295">
        <v>0</v>
      </c>
      <c r="R295">
        <v>0</v>
      </c>
      <c r="S295">
        <v>0</v>
      </c>
      <c r="T295">
        <v>0</v>
      </c>
      <c r="U295">
        <v>0</v>
      </c>
      <c r="V295">
        <v>1000000</v>
      </c>
      <c r="W295">
        <v>0</v>
      </c>
      <c r="X295" t="s">
        <v>674</v>
      </c>
      <c r="Y295" s="16">
        <v>44729.655555324076</v>
      </c>
      <c r="Z295" s="17" t="str">
        <f>_xlfn.XLOOKUP(Table1[[#This Row],[Phase]],'Lookup tables'!$Y$27:$Y$60,'Lookup tables'!$Z$27:$Z$60,"Not Updated")</f>
        <v>RFPX underway</v>
      </c>
      <c r="AA295" s="17">
        <v>0</v>
      </c>
      <c r="AB295">
        <v>0</v>
      </c>
      <c r="AC295">
        <v>0</v>
      </c>
      <c r="AD295">
        <v>0</v>
      </c>
      <c r="AE295">
        <v>0</v>
      </c>
      <c r="AF295">
        <v>0</v>
      </c>
      <c r="AG295">
        <v>0</v>
      </c>
      <c r="AH295">
        <v>0</v>
      </c>
      <c r="AI295">
        <v>0</v>
      </c>
      <c r="AJ295">
        <v>0</v>
      </c>
      <c r="AK295">
        <v>0</v>
      </c>
      <c r="AL295">
        <v>0</v>
      </c>
      <c r="AM295">
        <v>0</v>
      </c>
      <c r="AN295">
        <v>0</v>
      </c>
      <c r="AO295">
        <v>0</v>
      </c>
      <c r="AP295">
        <v>0</v>
      </c>
      <c r="AQ295">
        <v>0</v>
      </c>
      <c r="AR295">
        <v>0</v>
      </c>
      <c r="AS295">
        <v>0</v>
      </c>
      <c r="AT295">
        <v>0</v>
      </c>
      <c r="AU295">
        <v>0</v>
      </c>
      <c r="AV295">
        <v>0</v>
      </c>
      <c r="AW295">
        <v>0</v>
      </c>
      <c r="AX295">
        <v>0</v>
      </c>
      <c r="AY295">
        <v>0</v>
      </c>
      <c r="AZ295">
        <v>0</v>
      </c>
      <c r="BA295">
        <v>0</v>
      </c>
      <c r="BB295">
        <v>0</v>
      </c>
      <c r="BC295">
        <v>0</v>
      </c>
      <c r="BD295">
        <v>0</v>
      </c>
      <c r="BE295">
        <v>0</v>
      </c>
      <c r="BF295">
        <v>0</v>
      </c>
      <c r="BG295" s="185">
        <v>0</v>
      </c>
      <c r="BH295" s="185">
        <v>0</v>
      </c>
      <c r="BI295" s="185">
        <v>0</v>
      </c>
      <c r="BJ295" s="185">
        <v>0</v>
      </c>
      <c r="BK295" s="185">
        <v>0</v>
      </c>
      <c r="BL295" s="185">
        <v>0</v>
      </c>
      <c r="BM295" s="185">
        <v>0</v>
      </c>
      <c r="BN295" s="185">
        <v>0</v>
      </c>
      <c r="BO295" s="185">
        <v>0</v>
      </c>
      <c r="BP295" s="185">
        <v>0</v>
      </c>
      <c r="BQ295" s="185">
        <v>0</v>
      </c>
      <c r="BR295" s="185">
        <v>0</v>
      </c>
      <c r="BS295" s="185">
        <v>0</v>
      </c>
      <c r="BT295" s="185">
        <v>0</v>
      </c>
      <c r="BU295" t="b">
        <f>IF(_xlfn.MAXIFS(Table1[Sl No],Table1[Category],Table1[[#This Row],[Category]],Table1[Execution Year],Table1[[#This Row],[Execution Year]])=Table1[[#This Row],[Sl No]],TRUE,FALSE)</f>
        <v>0</v>
      </c>
      <c r="BV295" s="201">
        <f>SUM(Table1[[#This Row],[Spend - CAN]:[Spend - Sams]])+SUM(Table1[[#This Row],[Spend - Sams Mexico]:[Spend - Sams China]])+Table1[[#This Row],[Spend - IND]]</f>
        <v>1000000</v>
      </c>
      <c r="BW295">
        <f>SUM(Table1[[#This Row],[Savings - CAN]:[Savings - Sams]])+SUM(Table1[[#This Row],[Savings - Sams Mexico]:[Savings - Sams China]])+Table1[[#This Row],[Savings - IND]]</f>
        <v>0</v>
      </c>
      <c r="BX295">
        <f>SUM(Table1[[#This Row],[Spend - CAN]:[Spend - SAF]])+SUM(Table1[[#This Row],[Spend - Sams Mexico]:[Spend - Sams China]])+Table1[[#This Row],[Spend - IND]]</f>
        <v>0</v>
      </c>
      <c r="BY295">
        <f>SUM(Table1[[#This Row],[Savings - CAN]:[Savings - SAF]])+SUM(Table1[[#This Row],[Savings - Sams Mexico]:[Savings - Sams China]])+Table1[[#This Row],[Savings - IND]]</f>
        <v>0</v>
      </c>
      <c r="BZ295">
        <f>SUM(Table1[[#This Row],[Spend - US]:[Spend - Sams]])</f>
        <v>1000000</v>
      </c>
      <c r="CA295">
        <f>SUM(Table1[[#This Row],[Savings - US]:[Savings - Sams]])</f>
        <v>0</v>
      </c>
      <c r="CB295">
        <f>SUM(Table1[[#This Row],[Cost Avoidance - CAN2]:[Cost Avoidance - SAF10]])+SUM(Table1[[#This Row],[Cost Avoidance - Sams Mexico]:[Cost Avoidance - Sams China]])+Table1[[#This Row],[Cost Avoidance - IND]]</f>
        <v>0</v>
      </c>
      <c r="CC295">
        <f>SUM(Table1[[#This Row],[Cost Avoidance - US11]:[Cost Avoidance - Sams12]])</f>
        <v>0</v>
      </c>
      <c r="CD295">
        <f>_xlfn.XLOOKUP(Table1[[#This Row],[Status]],Status_Lookups[Status],Status_Lookups[Value],"")</f>
        <v>0.3</v>
      </c>
    </row>
    <row r="296" spans="1:82">
      <c r="A296">
        <v>1</v>
      </c>
      <c r="B296" t="s">
        <v>554</v>
      </c>
      <c r="C296" t="s">
        <v>543</v>
      </c>
      <c r="D296" t="s">
        <v>322</v>
      </c>
      <c r="E296" s="15"/>
      <c r="F296" s="15"/>
      <c r="G296" s="15"/>
      <c r="H296" s="15"/>
      <c r="I296" t="s">
        <v>470</v>
      </c>
      <c r="J296" t="s">
        <v>470</v>
      </c>
      <c r="K296" t="s">
        <v>533</v>
      </c>
      <c r="X296" t="s">
        <v>47</v>
      </c>
      <c r="Y296" s="16">
        <v>44701.387036342596</v>
      </c>
      <c r="Z296" s="17" t="str">
        <f>_xlfn.XLOOKUP(Table1[[#This Row],[Phase]],'Lookup tables'!$Y$27:$Y$60,'Lookup tables'!$Z$27:$Z$60,"Not Updated")</f>
        <v>Complete</v>
      </c>
      <c r="AA296" s="17"/>
      <c r="BG296" s="185"/>
      <c r="BH296" s="185"/>
      <c r="BI296" s="185"/>
      <c r="BJ296" s="185"/>
      <c r="BK296" s="185"/>
      <c r="BL296" s="185"/>
      <c r="BM296" s="185"/>
      <c r="BN296" s="185"/>
      <c r="BO296" s="185"/>
      <c r="BP296" s="185"/>
      <c r="BQ296" s="185"/>
      <c r="BR296" s="185"/>
      <c r="BS296" s="185"/>
      <c r="BT296" s="185"/>
      <c r="BU296" t="b">
        <f>IF(_xlfn.MAXIFS(Table1[Sl No],Table1[Category],Table1[[#This Row],[Category]],Table1[Execution Year],Table1[[#This Row],[Execution Year]])=Table1[[#This Row],[Sl No]],TRUE,FALSE)</f>
        <v>0</v>
      </c>
      <c r="BV296" s="201">
        <f>SUM(Table1[[#This Row],[Spend - CAN]:[Spend - Sams]])+SUM(Table1[[#This Row],[Spend - Sams Mexico]:[Spend - Sams China]])+Table1[[#This Row],[Spend - IND]]</f>
        <v>0</v>
      </c>
      <c r="BW296">
        <f>SUM(Table1[[#This Row],[Savings - CAN]:[Savings - Sams]])+SUM(Table1[[#This Row],[Savings - Sams Mexico]:[Savings - Sams China]])+Table1[[#This Row],[Savings - IND]]</f>
        <v>0</v>
      </c>
      <c r="BX296">
        <f>SUM(Table1[[#This Row],[Spend - CAN]:[Spend - SAF]])+SUM(Table1[[#This Row],[Spend - Sams Mexico]:[Spend - Sams China]])+Table1[[#This Row],[Spend - IND]]</f>
        <v>0</v>
      </c>
      <c r="BY296">
        <f>SUM(Table1[[#This Row],[Savings - CAN]:[Savings - SAF]])+SUM(Table1[[#This Row],[Savings - Sams Mexico]:[Savings - Sams China]])+Table1[[#This Row],[Savings - IND]]</f>
        <v>0</v>
      </c>
      <c r="BZ296">
        <f>SUM(Table1[[#This Row],[Spend - US]:[Spend - Sams]])</f>
        <v>0</v>
      </c>
      <c r="CA296">
        <f>SUM(Table1[[#This Row],[Savings - US]:[Savings - Sams]])</f>
        <v>0</v>
      </c>
      <c r="CB296">
        <f>SUM(Table1[[#This Row],[Cost Avoidance - CAN2]:[Cost Avoidance - SAF10]])+SUM(Table1[[#This Row],[Cost Avoidance - Sams Mexico]:[Cost Avoidance - Sams China]])+Table1[[#This Row],[Cost Avoidance - IND]]</f>
        <v>0</v>
      </c>
      <c r="CC296">
        <f>SUM(Table1[[#This Row],[Cost Avoidance - US11]:[Cost Avoidance - Sams12]])</f>
        <v>0</v>
      </c>
      <c r="CD296" t="str">
        <f>_xlfn.XLOOKUP(Table1[[#This Row],[Status]],Status_Lookups[Status],Status_Lookups[Value],"")</f>
        <v/>
      </c>
    </row>
    <row r="297" spans="1:82">
      <c r="A297">
        <v>1</v>
      </c>
      <c r="B297" t="s">
        <v>559</v>
      </c>
      <c r="C297" t="s">
        <v>543</v>
      </c>
      <c r="D297" t="s">
        <v>322</v>
      </c>
      <c r="E297" s="15"/>
      <c r="F297" s="15"/>
      <c r="G297" s="15"/>
      <c r="H297" s="15"/>
      <c r="I297" t="s">
        <v>675</v>
      </c>
      <c r="J297" t="s">
        <v>459</v>
      </c>
      <c r="K297" t="s">
        <v>533</v>
      </c>
      <c r="X297" t="s">
        <v>47</v>
      </c>
      <c r="Y297" s="16">
        <v>44701.387036342596</v>
      </c>
      <c r="Z297" s="17" t="str">
        <f>_xlfn.XLOOKUP(Table1[[#This Row],[Phase]],'Lookup tables'!$Y$27:$Y$60,'Lookup tables'!$Z$27:$Z$60,"Not Updated")</f>
        <v>RFPX underway</v>
      </c>
      <c r="AA297" s="17"/>
      <c r="BG297" s="185"/>
      <c r="BH297" s="185"/>
      <c r="BI297" s="185"/>
      <c r="BJ297" s="185"/>
      <c r="BK297" s="185"/>
      <c r="BL297" s="185"/>
      <c r="BM297" s="185"/>
      <c r="BN297" s="185"/>
      <c r="BO297" s="185"/>
      <c r="BP297" s="185"/>
      <c r="BQ297" s="185"/>
      <c r="BR297" s="185"/>
      <c r="BS297" s="185"/>
      <c r="BT297" s="185"/>
      <c r="BU297" t="b">
        <f>IF(_xlfn.MAXIFS(Table1[Sl No],Table1[Category],Table1[[#This Row],[Category]],Table1[Execution Year],Table1[[#This Row],[Execution Year]])=Table1[[#This Row],[Sl No]],TRUE,FALSE)</f>
        <v>0</v>
      </c>
      <c r="BV297" s="201">
        <f>SUM(Table1[[#This Row],[Spend - CAN]:[Spend - Sams]])+SUM(Table1[[#This Row],[Spend - Sams Mexico]:[Spend - Sams China]])+Table1[[#This Row],[Spend - IND]]</f>
        <v>0</v>
      </c>
      <c r="BW297">
        <f>SUM(Table1[[#This Row],[Savings - CAN]:[Savings - Sams]])+SUM(Table1[[#This Row],[Savings - Sams Mexico]:[Savings - Sams China]])+Table1[[#This Row],[Savings - IND]]</f>
        <v>0</v>
      </c>
      <c r="BX297">
        <f>SUM(Table1[[#This Row],[Spend - CAN]:[Spend - SAF]])+SUM(Table1[[#This Row],[Spend - Sams Mexico]:[Spend - Sams China]])+Table1[[#This Row],[Spend - IND]]</f>
        <v>0</v>
      </c>
      <c r="BY297">
        <f>SUM(Table1[[#This Row],[Savings - CAN]:[Savings - SAF]])+SUM(Table1[[#This Row],[Savings - Sams Mexico]:[Savings - Sams China]])+Table1[[#This Row],[Savings - IND]]</f>
        <v>0</v>
      </c>
      <c r="BZ297">
        <f>SUM(Table1[[#This Row],[Spend - US]:[Spend - Sams]])</f>
        <v>0</v>
      </c>
      <c r="CA297">
        <f>SUM(Table1[[#This Row],[Savings - US]:[Savings - Sams]])</f>
        <v>0</v>
      </c>
      <c r="CB297">
        <f>SUM(Table1[[#This Row],[Cost Avoidance - CAN2]:[Cost Avoidance - SAF10]])+SUM(Table1[[#This Row],[Cost Avoidance - Sams Mexico]:[Cost Avoidance - Sams China]])+Table1[[#This Row],[Cost Avoidance - IND]]</f>
        <v>0</v>
      </c>
      <c r="CC297">
        <f>SUM(Table1[[#This Row],[Cost Avoidance - US11]:[Cost Avoidance - Sams12]])</f>
        <v>0</v>
      </c>
      <c r="CD297">
        <f>_xlfn.XLOOKUP(Table1[[#This Row],[Status]],Status_Lookups[Status],Status_Lookups[Value],"")</f>
        <v>0.3</v>
      </c>
    </row>
    <row r="298" spans="1:82">
      <c r="A298">
        <v>1</v>
      </c>
      <c r="B298" t="s">
        <v>552</v>
      </c>
      <c r="C298" t="s">
        <v>543</v>
      </c>
      <c r="D298" t="s">
        <v>322</v>
      </c>
      <c r="E298" s="15"/>
      <c r="F298" s="15"/>
      <c r="G298" s="15"/>
      <c r="H298" s="15"/>
      <c r="I298" t="s">
        <v>470</v>
      </c>
      <c r="J298" t="s">
        <v>470</v>
      </c>
      <c r="K298" t="s">
        <v>533</v>
      </c>
      <c r="X298" t="s">
        <v>47</v>
      </c>
      <c r="Y298" s="16">
        <v>44701.387036342596</v>
      </c>
      <c r="Z298" s="17" t="str">
        <f>_xlfn.XLOOKUP(Table1[[#This Row],[Phase]],'Lookup tables'!$Y$27:$Y$60,'Lookup tables'!$Z$27:$Z$60,"Not Updated")</f>
        <v>Complete</v>
      </c>
      <c r="AA298" s="17"/>
      <c r="BG298" s="185"/>
      <c r="BH298" s="185"/>
      <c r="BI298" s="185"/>
      <c r="BJ298" s="185"/>
      <c r="BK298" s="185"/>
      <c r="BL298" s="185"/>
      <c r="BM298" s="185"/>
      <c r="BN298" s="185"/>
      <c r="BO298" s="185"/>
      <c r="BP298" s="185"/>
      <c r="BQ298" s="185"/>
      <c r="BR298" s="185"/>
      <c r="BS298" s="185"/>
      <c r="BT298" s="185"/>
      <c r="BU298" t="b">
        <f>IF(_xlfn.MAXIFS(Table1[Sl No],Table1[Category],Table1[[#This Row],[Category]],Table1[Execution Year],Table1[[#This Row],[Execution Year]])=Table1[[#This Row],[Sl No]],TRUE,FALSE)</f>
        <v>0</v>
      </c>
      <c r="BV298" s="201">
        <f>SUM(Table1[[#This Row],[Spend - CAN]:[Spend - Sams]])+SUM(Table1[[#This Row],[Spend - Sams Mexico]:[Spend - Sams China]])+Table1[[#This Row],[Spend - IND]]</f>
        <v>0</v>
      </c>
      <c r="BW298">
        <f>SUM(Table1[[#This Row],[Savings - CAN]:[Savings - Sams]])+SUM(Table1[[#This Row],[Savings - Sams Mexico]:[Savings - Sams China]])+Table1[[#This Row],[Savings - IND]]</f>
        <v>0</v>
      </c>
      <c r="BX298">
        <f>SUM(Table1[[#This Row],[Spend - CAN]:[Spend - SAF]])+SUM(Table1[[#This Row],[Spend - Sams Mexico]:[Spend - Sams China]])+Table1[[#This Row],[Spend - IND]]</f>
        <v>0</v>
      </c>
      <c r="BY298">
        <f>SUM(Table1[[#This Row],[Savings - CAN]:[Savings - SAF]])+SUM(Table1[[#This Row],[Savings - Sams Mexico]:[Savings - Sams China]])+Table1[[#This Row],[Savings - IND]]</f>
        <v>0</v>
      </c>
      <c r="BZ298">
        <f>SUM(Table1[[#This Row],[Spend - US]:[Spend - Sams]])</f>
        <v>0</v>
      </c>
      <c r="CA298">
        <f>SUM(Table1[[#This Row],[Savings - US]:[Savings - Sams]])</f>
        <v>0</v>
      </c>
      <c r="CB298">
        <f>SUM(Table1[[#This Row],[Cost Avoidance - CAN2]:[Cost Avoidance - SAF10]])+SUM(Table1[[#This Row],[Cost Avoidance - Sams Mexico]:[Cost Avoidance - Sams China]])+Table1[[#This Row],[Cost Avoidance - IND]]</f>
        <v>0</v>
      </c>
      <c r="CC298">
        <f>SUM(Table1[[#This Row],[Cost Avoidance - US11]:[Cost Avoidance - Sams12]])</f>
        <v>0</v>
      </c>
      <c r="CD298" t="str">
        <f>_xlfn.XLOOKUP(Table1[[#This Row],[Status]],Status_Lookups[Status],Status_Lookups[Value],"")</f>
        <v/>
      </c>
    </row>
    <row r="299" spans="1:82">
      <c r="A299">
        <v>1</v>
      </c>
      <c r="B299" t="s">
        <v>550</v>
      </c>
      <c r="C299" t="s">
        <v>543</v>
      </c>
      <c r="D299" t="s">
        <v>322</v>
      </c>
      <c r="E299" s="15"/>
      <c r="F299" s="15"/>
      <c r="G299" s="15"/>
      <c r="H299" s="15"/>
      <c r="I299" t="s">
        <v>470</v>
      </c>
      <c r="J299" t="s">
        <v>470</v>
      </c>
      <c r="K299" t="s">
        <v>533</v>
      </c>
      <c r="X299" t="s">
        <v>47</v>
      </c>
      <c r="Y299" s="16">
        <v>44701.387036342596</v>
      </c>
      <c r="Z299" s="17" t="str">
        <f>_xlfn.XLOOKUP(Table1[[#This Row],[Phase]],'Lookup tables'!$Y$27:$Y$60,'Lookup tables'!$Z$27:$Z$60,"Not Updated")</f>
        <v>Complete</v>
      </c>
      <c r="AA299" s="17"/>
      <c r="BG299" s="185"/>
      <c r="BH299" s="185"/>
      <c r="BI299" s="185"/>
      <c r="BJ299" s="185"/>
      <c r="BK299" s="185"/>
      <c r="BL299" s="185"/>
      <c r="BM299" s="185"/>
      <c r="BN299" s="185"/>
      <c r="BO299" s="185"/>
      <c r="BP299" s="185"/>
      <c r="BQ299" s="185"/>
      <c r="BR299" s="185"/>
      <c r="BS299" s="185"/>
      <c r="BT299" s="185"/>
      <c r="BU299" t="b">
        <f>IF(_xlfn.MAXIFS(Table1[Sl No],Table1[Category],Table1[[#This Row],[Category]],Table1[Execution Year],Table1[[#This Row],[Execution Year]])=Table1[[#This Row],[Sl No]],TRUE,FALSE)</f>
        <v>0</v>
      </c>
      <c r="BV299" s="201">
        <f>SUM(Table1[[#This Row],[Spend - CAN]:[Spend - Sams]])+SUM(Table1[[#This Row],[Spend - Sams Mexico]:[Spend - Sams China]])+Table1[[#This Row],[Spend - IND]]</f>
        <v>0</v>
      </c>
      <c r="BW299">
        <f>SUM(Table1[[#This Row],[Savings - CAN]:[Savings - Sams]])+SUM(Table1[[#This Row],[Savings - Sams Mexico]:[Savings - Sams China]])+Table1[[#This Row],[Savings - IND]]</f>
        <v>0</v>
      </c>
      <c r="BX299">
        <f>SUM(Table1[[#This Row],[Spend - CAN]:[Spend - SAF]])+SUM(Table1[[#This Row],[Spend - Sams Mexico]:[Spend - Sams China]])+Table1[[#This Row],[Spend - IND]]</f>
        <v>0</v>
      </c>
      <c r="BY299">
        <f>SUM(Table1[[#This Row],[Savings - CAN]:[Savings - SAF]])+SUM(Table1[[#This Row],[Savings - Sams Mexico]:[Savings - Sams China]])+Table1[[#This Row],[Savings - IND]]</f>
        <v>0</v>
      </c>
      <c r="BZ299">
        <f>SUM(Table1[[#This Row],[Spend - US]:[Spend - Sams]])</f>
        <v>0</v>
      </c>
      <c r="CA299">
        <f>SUM(Table1[[#This Row],[Savings - US]:[Savings - Sams]])</f>
        <v>0</v>
      </c>
      <c r="CB299">
        <f>SUM(Table1[[#This Row],[Cost Avoidance - CAN2]:[Cost Avoidance - SAF10]])+SUM(Table1[[#This Row],[Cost Avoidance - Sams Mexico]:[Cost Avoidance - Sams China]])+Table1[[#This Row],[Cost Avoidance - IND]]</f>
        <v>0</v>
      </c>
      <c r="CC299">
        <f>SUM(Table1[[#This Row],[Cost Avoidance - US11]:[Cost Avoidance - Sams12]])</f>
        <v>0</v>
      </c>
      <c r="CD299" t="str">
        <f>_xlfn.XLOOKUP(Table1[[#This Row],[Status]],Status_Lookups[Status],Status_Lookups[Value],"")</f>
        <v/>
      </c>
    </row>
    <row r="300" spans="1:82">
      <c r="A300">
        <v>1</v>
      </c>
      <c r="B300" t="s">
        <v>83</v>
      </c>
      <c r="C300" t="s">
        <v>33</v>
      </c>
      <c r="D300" t="s">
        <v>322</v>
      </c>
      <c r="E300" s="15">
        <v>44835</v>
      </c>
      <c r="F300" s="15">
        <v>44925</v>
      </c>
      <c r="G300" s="15"/>
      <c r="H300" s="15"/>
      <c r="I300" t="s">
        <v>135</v>
      </c>
      <c r="J300" t="s">
        <v>459</v>
      </c>
      <c r="K300" t="s">
        <v>496</v>
      </c>
      <c r="X300" t="s">
        <v>47</v>
      </c>
      <c r="Y300" s="16">
        <v>44701.387036342596</v>
      </c>
      <c r="Z300" s="17" t="str">
        <f>_xlfn.XLOOKUP(Table1[[#This Row],[Phase]],'Lookup tables'!$Y$27:$Y$60,'Lookup tables'!$Z$27:$Z$60,"Not Updated")</f>
        <v>Pipeline</v>
      </c>
      <c r="AA300" s="17"/>
      <c r="BG300" s="185"/>
      <c r="BH300" s="185"/>
      <c r="BI300" s="185"/>
      <c r="BJ300" s="185"/>
      <c r="BK300" s="185"/>
      <c r="BL300" s="185"/>
      <c r="BM300" s="185"/>
      <c r="BN300" s="185"/>
      <c r="BO300" s="185"/>
      <c r="BP300" s="185"/>
      <c r="BQ300" s="185"/>
      <c r="BR300" s="185"/>
      <c r="BS300" s="185"/>
      <c r="BT300" s="185"/>
      <c r="BU300" t="b">
        <f>IF(_xlfn.MAXIFS(Table1[Sl No],Table1[Category],Table1[[#This Row],[Category]],Table1[Execution Year],Table1[[#This Row],[Execution Year]])=Table1[[#This Row],[Sl No]],TRUE,FALSE)</f>
        <v>1</v>
      </c>
      <c r="BV300" s="201">
        <f>SUM(Table1[[#This Row],[Spend - CAN]:[Spend - Sams]])+SUM(Table1[[#This Row],[Spend - Sams Mexico]:[Spend - Sams China]])+Table1[[#This Row],[Spend - IND]]</f>
        <v>0</v>
      </c>
      <c r="BW300">
        <f>SUM(Table1[[#This Row],[Savings - CAN]:[Savings - Sams]])+SUM(Table1[[#This Row],[Savings - Sams Mexico]:[Savings - Sams China]])+Table1[[#This Row],[Savings - IND]]</f>
        <v>0</v>
      </c>
      <c r="BX300">
        <f>SUM(Table1[[#This Row],[Spend - CAN]:[Spend - SAF]])+SUM(Table1[[#This Row],[Spend - Sams Mexico]:[Spend - Sams China]])+Table1[[#This Row],[Spend - IND]]</f>
        <v>0</v>
      </c>
      <c r="BY300">
        <f>SUM(Table1[[#This Row],[Savings - CAN]:[Savings - SAF]])+SUM(Table1[[#This Row],[Savings - Sams Mexico]:[Savings - Sams China]])+Table1[[#This Row],[Savings - IND]]</f>
        <v>0</v>
      </c>
      <c r="BZ300">
        <f>SUM(Table1[[#This Row],[Spend - US]:[Spend - Sams]])</f>
        <v>0</v>
      </c>
      <c r="CA300">
        <f>SUM(Table1[[#This Row],[Savings - US]:[Savings - Sams]])</f>
        <v>0</v>
      </c>
      <c r="CB300">
        <f>SUM(Table1[[#This Row],[Cost Avoidance - CAN2]:[Cost Avoidance - SAF10]])+SUM(Table1[[#This Row],[Cost Avoidance - Sams Mexico]:[Cost Avoidance - Sams China]])+Table1[[#This Row],[Cost Avoidance - IND]]</f>
        <v>0</v>
      </c>
      <c r="CC300">
        <f>SUM(Table1[[#This Row],[Cost Avoidance - US11]:[Cost Avoidance - Sams12]])</f>
        <v>0</v>
      </c>
      <c r="CD300">
        <f>_xlfn.XLOOKUP(Table1[[#This Row],[Status]],Status_Lookups[Status],Status_Lookups[Value],"")</f>
        <v>0.3</v>
      </c>
    </row>
    <row r="301" spans="1:82">
      <c r="A301">
        <v>1</v>
      </c>
      <c r="B301" t="s">
        <v>83</v>
      </c>
      <c r="C301" t="s">
        <v>33</v>
      </c>
      <c r="D301" t="s">
        <v>39</v>
      </c>
      <c r="E301" s="15">
        <v>44501</v>
      </c>
      <c r="F301" s="15">
        <v>44742</v>
      </c>
      <c r="G301" s="15"/>
      <c r="H301" s="15"/>
      <c r="I301" t="s">
        <v>473</v>
      </c>
      <c r="J301" t="s">
        <v>459</v>
      </c>
      <c r="K301" t="s">
        <v>502</v>
      </c>
      <c r="X301" t="s">
        <v>47</v>
      </c>
      <c r="Y301" s="16">
        <v>44701.387036342596</v>
      </c>
      <c r="Z301" s="17" t="str">
        <f>_xlfn.XLOOKUP(Table1[[#This Row],[Phase]],'Lookup tables'!$Y$27:$Y$60,'Lookup tables'!$Z$27:$Z$60,"Not Updated")</f>
        <v>SCO Analysis</v>
      </c>
      <c r="AA301" s="17"/>
      <c r="BG301" s="185"/>
      <c r="BH301" s="185"/>
      <c r="BI301" s="185"/>
      <c r="BJ301" s="185"/>
      <c r="BK301" s="185"/>
      <c r="BL301" s="185"/>
      <c r="BM301" s="185"/>
      <c r="BN301" s="185"/>
      <c r="BO301" s="185"/>
      <c r="BP301" s="185"/>
      <c r="BQ301" s="185"/>
      <c r="BR301" s="185"/>
      <c r="BS301" s="185"/>
      <c r="BT301" s="185"/>
      <c r="BU301" t="b">
        <f>IF(_xlfn.MAXIFS(Table1[Sl No],Table1[Category],Table1[[#This Row],[Category]],Table1[Execution Year],Table1[[#This Row],[Execution Year]])=Table1[[#This Row],[Sl No]],TRUE,FALSE)</f>
        <v>0</v>
      </c>
      <c r="BV301" s="201">
        <f>SUM(Table1[[#This Row],[Spend - CAN]:[Spend - Sams]])+SUM(Table1[[#This Row],[Spend - Sams Mexico]:[Spend - Sams China]])+Table1[[#This Row],[Spend - IND]]</f>
        <v>0</v>
      </c>
      <c r="BW301">
        <f>SUM(Table1[[#This Row],[Savings - CAN]:[Savings - Sams]])+SUM(Table1[[#This Row],[Savings - Sams Mexico]:[Savings - Sams China]])+Table1[[#This Row],[Savings - IND]]</f>
        <v>0</v>
      </c>
      <c r="BX301">
        <f>SUM(Table1[[#This Row],[Spend - CAN]:[Spend - SAF]])+SUM(Table1[[#This Row],[Spend - Sams Mexico]:[Spend - Sams China]])+Table1[[#This Row],[Spend - IND]]</f>
        <v>0</v>
      </c>
      <c r="BY301">
        <f>SUM(Table1[[#This Row],[Savings - CAN]:[Savings - SAF]])+SUM(Table1[[#This Row],[Savings - Sams Mexico]:[Savings - Sams China]])+Table1[[#This Row],[Savings - IND]]</f>
        <v>0</v>
      </c>
      <c r="BZ301">
        <f>SUM(Table1[[#This Row],[Spend - US]:[Spend - Sams]])</f>
        <v>0</v>
      </c>
      <c r="CA301">
        <f>SUM(Table1[[#This Row],[Savings - US]:[Savings - Sams]])</f>
        <v>0</v>
      </c>
      <c r="CB301">
        <f>SUM(Table1[[#This Row],[Cost Avoidance - CAN2]:[Cost Avoidance - SAF10]])+SUM(Table1[[#This Row],[Cost Avoidance - Sams Mexico]:[Cost Avoidance - Sams China]])+Table1[[#This Row],[Cost Avoidance - IND]]</f>
        <v>0</v>
      </c>
      <c r="CC301">
        <f>SUM(Table1[[#This Row],[Cost Avoidance - US11]:[Cost Avoidance - Sams12]])</f>
        <v>0</v>
      </c>
      <c r="CD301">
        <f>_xlfn.XLOOKUP(Table1[[#This Row],[Status]],Status_Lookups[Status],Status_Lookups[Value],"")</f>
        <v>0.3</v>
      </c>
    </row>
    <row r="302" spans="1:82">
      <c r="A302">
        <v>2</v>
      </c>
      <c r="B302" t="s">
        <v>83</v>
      </c>
      <c r="C302" t="s">
        <v>33</v>
      </c>
      <c r="D302" t="s">
        <v>39</v>
      </c>
      <c r="E302" s="15">
        <v>44501</v>
      </c>
      <c r="F302" s="15">
        <v>44742</v>
      </c>
      <c r="G302" s="15">
        <v>0</v>
      </c>
      <c r="H302" s="15">
        <v>0</v>
      </c>
      <c r="I302" t="s">
        <v>473</v>
      </c>
      <c r="J302" t="s">
        <v>459</v>
      </c>
      <c r="K302" t="s">
        <v>502</v>
      </c>
      <c r="L302">
        <v>0</v>
      </c>
      <c r="M302">
        <v>0</v>
      </c>
      <c r="N302">
        <v>0</v>
      </c>
      <c r="O302">
        <v>0</v>
      </c>
      <c r="P302">
        <v>0</v>
      </c>
      <c r="Q302">
        <v>0</v>
      </c>
      <c r="R302">
        <v>0</v>
      </c>
      <c r="S302">
        <v>0</v>
      </c>
      <c r="T302">
        <v>0</v>
      </c>
      <c r="U302">
        <v>0</v>
      </c>
      <c r="V302">
        <v>1000000</v>
      </c>
      <c r="W302">
        <v>0</v>
      </c>
      <c r="X302" t="s">
        <v>502</v>
      </c>
      <c r="Y302" s="16">
        <v>44729.644895717596</v>
      </c>
      <c r="Z302" s="17" t="str">
        <f>_xlfn.XLOOKUP(Table1[[#This Row],[Phase]],'Lookup tables'!$Y$27:$Y$60,'Lookup tables'!$Z$27:$Z$60,"Not Updated")</f>
        <v>SCO Analysis</v>
      </c>
      <c r="AA302" s="17" t="s">
        <v>676</v>
      </c>
      <c r="AB302">
        <v>0</v>
      </c>
      <c r="AC302">
        <v>0</v>
      </c>
      <c r="AD302">
        <v>0</v>
      </c>
      <c r="AE302">
        <v>0</v>
      </c>
      <c r="AF302">
        <v>0</v>
      </c>
      <c r="AG302">
        <v>0</v>
      </c>
      <c r="AH302">
        <v>0</v>
      </c>
      <c r="AI302">
        <v>0</v>
      </c>
      <c r="AJ302">
        <v>0</v>
      </c>
      <c r="AK302">
        <v>0</v>
      </c>
      <c r="AL302">
        <v>0</v>
      </c>
      <c r="AM302">
        <v>0</v>
      </c>
      <c r="AN302">
        <v>0</v>
      </c>
      <c r="AO302">
        <v>0</v>
      </c>
      <c r="AP302">
        <v>0</v>
      </c>
      <c r="AQ302">
        <v>0</v>
      </c>
      <c r="AR302">
        <v>0</v>
      </c>
      <c r="AS302">
        <v>0</v>
      </c>
      <c r="AT302">
        <v>0</v>
      </c>
      <c r="AU302">
        <v>0</v>
      </c>
      <c r="AV302">
        <v>0</v>
      </c>
      <c r="AW302">
        <v>0</v>
      </c>
      <c r="AX302">
        <v>0</v>
      </c>
      <c r="AY302">
        <v>0</v>
      </c>
      <c r="AZ302">
        <v>0</v>
      </c>
      <c r="BA302">
        <v>0</v>
      </c>
      <c r="BB302">
        <v>0</v>
      </c>
      <c r="BC302">
        <v>0</v>
      </c>
      <c r="BD302">
        <v>0</v>
      </c>
      <c r="BE302">
        <v>0</v>
      </c>
      <c r="BF302">
        <v>0</v>
      </c>
      <c r="BG302" s="185">
        <v>0</v>
      </c>
      <c r="BH302" s="185">
        <v>0</v>
      </c>
      <c r="BI302" s="185">
        <v>0</v>
      </c>
      <c r="BJ302" s="185">
        <v>0</v>
      </c>
      <c r="BK302" s="185">
        <v>0</v>
      </c>
      <c r="BL302" s="185">
        <v>0</v>
      </c>
      <c r="BM302" s="185">
        <v>0</v>
      </c>
      <c r="BN302" s="185">
        <v>0</v>
      </c>
      <c r="BO302" s="185">
        <v>0</v>
      </c>
      <c r="BP302" s="185">
        <v>0</v>
      </c>
      <c r="BQ302" s="185">
        <v>0</v>
      </c>
      <c r="BR302" s="185">
        <v>0</v>
      </c>
      <c r="BS302" s="185">
        <v>0</v>
      </c>
      <c r="BT302" s="185">
        <v>0</v>
      </c>
      <c r="BU302" t="b">
        <f>IF(_xlfn.MAXIFS(Table1[Sl No],Table1[Category],Table1[[#This Row],[Category]],Table1[Execution Year],Table1[[#This Row],[Execution Year]])=Table1[[#This Row],[Sl No]],TRUE,FALSE)</f>
        <v>0</v>
      </c>
      <c r="BV302" s="201">
        <f>SUM(Table1[[#This Row],[Spend - CAN]:[Spend - Sams]])+SUM(Table1[[#This Row],[Spend - Sams Mexico]:[Spend - Sams China]])+Table1[[#This Row],[Spend - IND]]</f>
        <v>1000000</v>
      </c>
      <c r="BW302">
        <f>SUM(Table1[[#This Row],[Savings - CAN]:[Savings - Sams]])+SUM(Table1[[#This Row],[Savings - Sams Mexico]:[Savings - Sams China]])+Table1[[#This Row],[Savings - IND]]</f>
        <v>0</v>
      </c>
      <c r="BX302">
        <f>SUM(Table1[[#This Row],[Spend - CAN]:[Spend - SAF]])+SUM(Table1[[#This Row],[Spend - Sams Mexico]:[Spend - Sams China]])+Table1[[#This Row],[Spend - IND]]</f>
        <v>0</v>
      </c>
      <c r="BY302">
        <f>SUM(Table1[[#This Row],[Savings - CAN]:[Savings - SAF]])+SUM(Table1[[#This Row],[Savings - Sams Mexico]:[Savings - Sams China]])+Table1[[#This Row],[Savings - IND]]</f>
        <v>0</v>
      </c>
      <c r="BZ302">
        <f>SUM(Table1[[#This Row],[Spend - US]:[Spend - Sams]])</f>
        <v>1000000</v>
      </c>
      <c r="CA302">
        <f>SUM(Table1[[#This Row],[Savings - US]:[Savings - Sams]])</f>
        <v>0</v>
      </c>
      <c r="CB302">
        <f>SUM(Table1[[#This Row],[Cost Avoidance - CAN2]:[Cost Avoidance - SAF10]])+SUM(Table1[[#This Row],[Cost Avoidance - Sams Mexico]:[Cost Avoidance - Sams China]])+Table1[[#This Row],[Cost Avoidance - IND]]</f>
        <v>0</v>
      </c>
      <c r="CC302">
        <f>SUM(Table1[[#This Row],[Cost Avoidance - US11]:[Cost Avoidance - Sams12]])</f>
        <v>0</v>
      </c>
      <c r="CD302">
        <f>_xlfn.XLOOKUP(Table1[[#This Row],[Status]],Status_Lookups[Status],Status_Lookups[Value],"")</f>
        <v>0.3</v>
      </c>
    </row>
    <row r="303" spans="1:82">
      <c r="A303">
        <v>3</v>
      </c>
      <c r="B303" t="s">
        <v>83</v>
      </c>
      <c r="C303" t="s">
        <v>33</v>
      </c>
      <c r="D303" t="s">
        <v>39</v>
      </c>
      <c r="E303" s="15">
        <v>44501</v>
      </c>
      <c r="F303" s="15">
        <v>44742</v>
      </c>
      <c r="G303" s="15">
        <v>0</v>
      </c>
      <c r="H303" s="15">
        <v>0</v>
      </c>
      <c r="I303" t="s">
        <v>473</v>
      </c>
      <c r="J303" t="s">
        <v>459</v>
      </c>
      <c r="K303" t="s">
        <v>502</v>
      </c>
      <c r="L303">
        <v>0</v>
      </c>
      <c r="M303">
        <v>0</v>
      </c>
      <c r="N303">
        <v>0</v>
      </c>
      <c r="O303">
        <v>0</v>
      </c>
      <c r="P303">
        <v>0</v>
      </c>
      <c r="Q303">
        <v>0</v>
      </c>
      <c r="R303">
        <v>0</v>
      </c>
      <c r="S303">
        <v>0</v>
      </c>
      <c r="T303">
        <v>0</v>
      </c>
      <c r="U303">
        <v>0</v>
      </c>
      <c r="V303">
        <v>1000000</v>
      </c>
      <c r="W303">
        <v>0</v>
      </c>
      <c r="X303" t="s">
        <v>502</v>
      </c>
      <c r="Y303" s="16">
        <v>44729.645777893522</v>
      </c>
      <c r="Z303" s="17" t="str">
        <f>_xlfn.XLOOKUP(Table1[[#This Row],[Phase]],'Lookup tables'!$Y$27:$Y$60,'Lookup tables'!$Z$27:$Z$60,"Not Updated")</f>
        <v>SCO Analysis</v>
      </c>
      <c r="AA303" s="17" t="s">
        <v>676</v>
      </c>
      <c r="AB303">
        <v>0</v>
      </c>
      <c r="AC303">
        <v>0</v>
      </c>
      <c r="AD303">
        <v>0</v>
      </c>
      <c r="AE303">
        <v>0</v>
      </c>
      <c r="AF303">
        <v>0</v>
      </c>
      <c r="AG303">
        <v>0</v>
      </c>
      <c r="AH303">
        <v>0</v>
      </c>
      <c r="AI303">
        <v>0</v>
      </c>
      <c r="AJ303">
        <v>0</v>
      </c>
      <c r="AK303">
        <v>0</v>
      </c>
      <c r="AL303">
        <v>0</v>
      </c>
      <c r="AM303">
        <v>0</v>
      </c>
      <c r="AN303">
        <v>0</v>
      </c>
      <c r="AO303">
        <v>0</v>
      </c>
      <c r="AP303">
        <v>0</v>
      </c>
      <c r="AQ303">
        <v>0</v>
      </c>
      <c r="AR303">
        <v>0</v>
      </c>
      <c r="AS303">
        <v>0</v>
      </c>
      <c r="AT303">
        <v>0</v>
      </c>
      <c r="AU303">
        <v>0</v>
      </c>
      <c r="AV303">
        <v>0</v>
      </c>
      <c r="AW303">
        <v>0</v>
      </c>
      <c r="AX303">
        <v>0</v>
      </c>
      <c r="AY303">
        <v>0</v>
      </c>
      <c r="AZ303">
        <v>0</v>
      </c>
      <c r="BA303">
        <v>0</v>
      </c>
      <c r="BB303">
        <v>0</v>
      </c>
      <c r="BC303">
        <v>0</v>
      </c>
      <c r="BD303">
        <v>0</v>
      </c>
      <c r="BE303">
        <v>0</v>
      </c>
      <c r="BF303">
        <v>0</v>
      </c>
      <c r="BG303" s="185">
        <v>0</v>
      </c>
      <c r="BH303" s="185">
        <v>0</v>
      </c>
      <c r="BI303" s="185">
        <v>0</v>
      </c>
      <c r="BJ303" s="185">
        <v>0</v>
      </c>
      <c r="BK303" s="185">
        <v>0</v>
      </c>
      <c r="BL303" s="185">
        <v>0</v>
      </c>
      <c r="BM303" s="185">
        <v>0</v>
      </c>
      <c r="BN303" s="185">
        <v>0</v>
      </c>
      <c r="BO303" s="185">
        <v>0</v>
      </c>
      <c r="BP303" s="185">
        <v>0</v>
      </c>
      <c r="BQ303" s="185">
        <v>0</v>
      </c>
      <c r="BR303" s="185">
        <v>0</v>
      </c>
      <c r="BS303" s="185">
        <v>0</v>
      </c>
      <c r="BT303" s="185">
        <v>0</v>
      </c>
      <c r="BU303" t="b">
        <f>IF(_xlfn.MAXIFS(Table1[Sl No],Table1[Category],Table1[[#This Row],[Category]],Table1[Execution Year],Table1[[#This Row],[Execution Year]])=Table1[[#This Row],[Sl No]],TRUE,FALSE)</f>
        <v>1</v>
      </c>
      <c r="BV303" s="201">
        <f>SUM(Table1[[#This Row],[Spend - CAN]:[Spend - Sams]])+SUM(Table1[[#This Row],[Spend - Sams Mexico]:[Spend - Sams China]])+Table1[[#This Row],[Spend - IND]]</f>
        <v>1000000</v>
      </c>
      <c r="BW303">
        <f>SUM(Table1[[#This Row],[Savings - CAN]:[Savings - Sams]])+SUM(Table1[[#This Row],[Savings - Sams Mexico]:[Savings - Sams China]])+Table1[[#This Row],[Savings - IND]]</f>
        <v>0</v>
      </c>
      <c r="BX303">
        <f>SUM(Table1[[#This Row],[Spend - CAN]:[Spend - SAF]])+SUM(Table1[[#This Row],[Spend - Sams Mexico]:[Spend - Sams China]])+Table1[[#This Row],[Spend - IND]]</f>
        <v>0</v>
      </c>
      <c r="BY303">
        <f>SUM(Table1[[#This Row],[Savings - CAN]:[Savings - SAF]])+SUM(Table1[[#This Row],[Savings - Sams Mexico]:[Savings - Sams China]])+Table1[[#This Row],[Savings - IND]]</f>
        <v>0</v>
      </c>
      <c r="BZ303">
        <f>SUM(Table1[[#This Row],[Spend - US]:[Spend - Sams]])</f>
        <v>1000000</v>
      </c>
      <c r="CA303">
        <f>SUM(Table1[[#This Row],[Savings - US]:[Savings - Sams]])</f>
        <v>0</v>
      </c>
      <c r="CB303">
        <f>SUM(Table1[[#This Row],[Cost Avoidance - CAN2]:[Cost Avoidance - SAF10]])+SUM(Table1[[#This Row],[Cost Avoidance - Sams Mexico]:[Cost Avoidance - Sams China]])+Table1[[#This Row],[Cost Avoidance - IND]]</f>
        <v>0</v>
      </c>
      <c r="CC303">
        <f>SUM(Table1[[#This Row],[Cost Avoidance - US11]:[Cost Avoidance - Sams12]])</f>
        <v>0</v>
      </c>
      <c r="CD303">
        <f>_xlfn.XLOOKUP(Table1[[#This Row],[Status]],Status_Lookups[Status],Status_Lookups[Value],"")</f>
        <v>0.3</v>
      </c>
    </row>
    <row r="304" spans="1:82">
      <c r="A304">
        <v>3</v>
      </c>
      <c r="B304" t="s">
        <v>83</v>
      </c>
      <c r="C304" t="s">
        <v>33</v>
      </c>
      <c r="D304" t="s">
        <v>39</v>
      </c>
      <c r="E304" s="15">
        <v>44501</v>
      </c>
      <c r="F304" s="15">
        <v>44742</v>
      </c>
      <c r="G304" s="15">
        <v>0</v>
      </c>
      <c r="H304" s="15">
        <v>0</v>
      </c>
      <c r="I304" t="s">
        <v>473</v>
      </c>
      <c r="J304" t="s">
        <v>459</v>
      </c>
      <c r="K304" t="s">
        <v>502</v>
      </c>
      <c r="L304">
        <v>0</v>
      </c>
      <c r="M304">
        <v>0</v>
      </c>
      <c r="N304">
        <v>0</v>
      </c>
      <c r="O304">
        <v>0</v>
      </c>
      <c r="P304">
        <v>0</v>
      </c>
      <c r="Q304">
        <v>0</v>
      </c>
      <c r="R304">
        <v>0</v>
      </c>
      <c r="S304">
        <v>0</v>
      </c>
      <c r="T304">
        <v>0</v>
      </c>
      <c r="U304">
        <v>0</v>
      </c>
      <c r="V304">
        <v>1000000</v>
      </c>
      <c r="W304">
        <v>0</v>
      </c>
      <c r="X304" t="s">
        <v>502</v>
      </c>
      <c r="Y304" s="16">
        <v>44729.649795949073</v>
      </c>
      <c r="Z304" s="17" t="str">
        <f>_xlfn.XLOOKUP(Table1[[#This Row],[Phase]],'Lookup tables'!$Y$27:$Y$60,'Lookup tables'!$Z$27:$Z$60,"Not Updated")</f>
        <v>SCO Analysis</v>
      </c>
      <c r="AA304" s="17" t="s">
        <v>676</v>
      </c>
      <c r="AB304">
        <v>0</v>
      </c>
      <c r="AC304">
        <v>0</v>
      </c>
      <c r="AD304">
        <v>0</v>
      </c>
      <c r="AE304">
        <v>0</v>
      </c>
      <c r="AF304">
        <v>0</v>
      </c>
      <c r="AG304">
        <v>0</v>
      </c>
      <c r="AH304">
        <v>0</v>
      </c>
      <c r="AI304">
        <v>0</v>
      </c>
      <c r="AJ304">
        <v>0</v>
      </c>
      <c r="AK304">
        <v>0</v>
      </c>
      <c r="AL304">
        <v>0</v>
      </c>
      <c r="AM304">
        <v>0</v>
      </c>
      <c r="AN304">
        <v>0</v>
      </c>
      <c r="AO304">
        <v>0</v>
      </c>
      <c r="AP304">
        <v>0</v>
      </c>
      <c r="AQ304">
        <v>0</v>
      </c>
      <c r="AR304">
        <v>0</v>
      </c>
      <c r="AS304">
        <v>0</v>
      </c>
      <c r="AT304">
        <v>0</v>
      </c>
      <c r="AU304">
        <v>0</v>
      </c>
      <c r="AV304">
        <v>0</v>
      </c>
      <c r="AW304">
        <v>0</v>
      </c>
      <c r="AX304">
        <v>0</v>
      </c>
      <c r="AY304">
        <v>0</v>
      </c>
      <c r="AZ304">
        <v>0</v>
      </c>
      <c r="BA304">
        <v>0</v>
      </c>
      <c r="BB304">
        <v>0</v>
      </c>
      <c r="BC304">
        <v>0</v>
      </c>
      <c r="BD304">
        <v>0</v>
      </c>
      <c r="BE304">
        <v>0</v>
      </c>
      <c r="BF304">
        <v>0</v>
      </c>
      <c r="BG304" s="185">
        <v>0</v>
      </c>
      <c r="BH304" s="185">
        <v>0</v>
      </c>
      <c r="BI304" s="185">
        <v>0</v>
      </c>
      <c r="BJ304" s="185">
        <v>0</v>
      </c>
      <c r="BK304" s="185">
        <v>0</v>
      </c>
      <c r="BL304" s="185">
        <v>0</v>
      </c>
      <c r="BM304" s="185">
        <v>0</v>
      </c>
      <c r="BN304" s="185">
        <v>0</v>
      </c>
      <c r="BO304" s="185">
        <v>0</v>
      </c>
      <c r="BP304" s="185">
        <v>0</v>
      </c>
      <c r="BQ304" s="185">
        <v>0</v>
      </c>
      <c r="BR304" s="185">
        <v>0</v>
      </c>
      <c r="BS304" s="185">
        <v>0</v>
      </c>
      <c r="BT304" s="185">
        <v>0</v>
      </c>
      <c r="BU304" t="b">
        <f>IF(_xlfn.MAXIFS(Table1[Sl No],Table1[Category],Table1[[#This Row],[Category]],Table1[Execution Year],Table1[[#This Row],[Execution Year]])=Table1[[#This Row],[Sl No]],TRUE,FALSE)</f>
        <v>1</v>
      </c>
      <c r="BV304" s="201">
        <f>SUM(Table1[[#This Row],[Spend - CAN]:[Spend - Sams]])+SUM(Table1[[#This Row],[Spend - Sams Mexico]:[Spend - Sams China]])+Table1[[#This Row],[Spend - IND]]</f>
        <v>1000000</v>
      </c>
      <c r="BW304">
        <f>SUM(Table1[[#This Row],[Savings - CAN]:[Savings - Sams]])+SUM(Table1[[#This Row],[Savings - Sams Mexico]:[Savings - Sams China]])+Table1[[#This Row],[Savings - IND]]</f>
        <v>0</v>
      </c>
      <c r="BX304">
        <f>SUM(Table1[[#This Row],[Spend - CAN]:[Spend - SAF]])+SUM(Table1[[#This Row],[Spend - Sams Mexico]:[Spend - Sams China]])+Table1[[#This Row],[Spend - IND]]</f>
        <v>0</v>
      </c>
      <c r="BY304">
        <f>SUM(Table1[[#This Row],[Savings - CAN]:[Savings - SAF]])+SUM(Table1[[#This Row],[Savings - Sams Mexico]:[Savings - Sams China]])+Table1[[#This Row],[Savings - IND]]</f>
        <v>0</v>
      </c>
      <c r="BZ304">
        <f>SUM(Table1[[#This Row],[Spend - US]:[Spend - Sams]])</f>
        <v>1000000</v>
      </c>
      <c r="CA304">
        <f>SUM(Table1[[#This Row],[Savings - US]:[Savings - Sams]])</f>
        <v>0</v>
      </c>
      <c r="CB304">
        <f>SUM(Table1[[#This Row],[Cost Avoidance - CAN2]:[Cost Avoidance - SAF10]])+SUM(Table1[[#This Row],[Cost Avoidance - Sams Mexico]:[Cost Avoidance - Sams China]])+Table1[[#This Row],[Cost Avoidance - IND]]</f>
        <v>0</v>
      </c>
      <c r="CC304">
        <f>SUM(Table1[[#This Row],[Cost Avoidance - US11]:[Cost Avoidance - Sams12]])</f>
        <v>0</v>
      </c>
      <c r="CD304">
        <f>_xlfn.XLOOKUP(Table1[[#This Row],[Status]],Status_Lookups[Status],Status_Lookups[Value],"")</f>
        <v>0.3</v>
      </c>
    </row>
    <row r="305" spans="1:82">
      <c r="A305">
        <v>1</v>
      </c>
      <c r="B305" t="s">
        <v>551</v>
      </c>
      <c r="C305" t="s">
        <v>543</v>
      </c>
      <c r="D305" t="s">
        <v>322</v>
      </c>
      <c r="E305" s="15"/>
      <c r="F305" s="15"/>
      <c r="G305" s="15"/>
      <c r="H305" s="15"/>
      <c r="I305" t="s">
        <v>470</v>
      </c>
      <c r="J305" t="s">
        <v>470</v>
      </c>
      <c r="K305" t="s">
        <v>533</v>
      </c>
      <c r="X305" t="s">
        <v>47</v>
      </c>
      <c r="Y305" s="16">
        <v>44701.387036342596</v>
      </c>
      <c r="Z305" s="17" t="str">
        <f>_xlfn.XLOOKUP(Table1[[#This Row],[Phase]],'Lookup tables'!$Y$27:$Y$60,'Lookup tables'!$Z$27:$Z$60,"Not Updated")</f>
        <v>Complete</v>
      </c>
      <c r="AA305" s="17"/>
      <c r="BG305" s="185"/>
      <c r="BH305" s="185"/>
      <c r="BI305" s="185"/>
      <c r="BJ305" s="185"/>
      <c r="BK305" s="185"/>
      <c r="BL305" s="185"/>
      <c r="BM305" s="185"/>
      <c r="BN305" s="185"/>
      <c r="BO305" s="185"/>
      <c r="BP305" s="185"/>
      <c r="BQ305" s="185"/>
      <c r="BR305" s="185"/>
      <c r="BS305" s="185"/>
      <c r="BT305" s="185"/>
      <c r="BU305" t="b">
        <f>IF(_xlfn.MAXIFS(Table1[Sl No],Table1[Category],Table1[[#This Row],[Category]],Table1[Execution Year],Table1[[#This Row],[Execution Year]])=Table1[[#This Row],[Sl No]],TRUE,FALSE)</f>
        <v>0</v>
      </c>
      <c r="BV305" s="201">
        <f>SUM(Table1[[#This Row],[Spend - CAN]:[Spend - Sams]])+SUM(Table1[[#This Row],[Spend - Sams Mexico]:[Spend - Sams China]])+Table1[[#This Row],[Spend - IND]]</f>
        <v>0</v>
      </c>
      <c r="BW305">
        <f>SUM(Table1[[#This Row],[Savings - CAN]:[Savings - Sams]])+SUM(Table1[[#This Row],[Savings - Sams Mexico]:[Savings - Sams China]])+Table1[[#This Row],[Savings - IND]]</f>
        <v>0</v>
      </c>
      <c r="BX305">
        <f>SUM(Table1[[#This Row],[Spend - CAN]:[Spend - SAF]])+SUM(Table1[[#This Row],[Spend - Sams Mexico]:[Spend - Sams China]])+Table1[[#This Row],[Spend - IND]]</f>
        <v>0</v>
      </c>
      <c r="BY305">
        <f>SUM(Table1[[#This Row],[Savings - CAN]:[Savings - SAF]])+SUM(Table1[[#This Row],[Savings - Sams Mexico]:[Savings - Sams China]])+Table1[[#This Row],[Savings - IND]]</f>
        <v>0</v>
      </c>
      <c r="BZ305">
        <f>SUM(Table1[[#This Row],[Spend - US]:[Spend - Sams]])</f>
        <v>0</v>
      </c>
      <c r="CA305">
        <f>SUM(Table1[[#This Row],[Savings - US]:[Savings - Sams]])</f>
        <v>0</v>
      </c>
      <c r="CB305">
        <f>SUM(Table1[[#This Row],[Cost Avoidance - CAN2]:[Cost Avoidance - SAF10]])+SUM(Table1[[#This Row],[Cost Avoidance - Sams Mexico]:[Cost Avoidance - Sams China]])+Table1[[#This Row],[Cost Avoidance - IND]]</f>
        <v>0</v>
      </c>
      <c r="CC305">
        <f>SUM(Table1[[#This Row],[Cost Avoidance - US11]:[Cost Avoidance - Sams12]])</f>
        <v>0</v>
      </c>
      <c r="CD305" t="str">
        <f>_xlfn.XLOOKUP(Table1[[#This Row],[Status]],Status_Lookups[Status],Status_Lookups[Value],"")</f>
        <v/>
      </c>
    </row>
    <row r="306" spans="1:82">
      <c r="A306">
        <v>1</v>
      </c>
      <c r="B306" t="s">
        <v>60</v>
      </c>
      <c r="C306" t="s">
        <v>33</v>
      </c>
      <c r="D306" t="s">
        <v>322</v>
      </c>
      <c r="E306" s="15"/>
      <c r="F306" s="15"/>
      <c r="G306" s="15"/>
      <c r="H306" s="15"/>
      <c r="I306" t="s">
        <v>412</v>
      </c>
      <c r="J306" t="s">
        <v>459</v>
      </c>
      <c r="K306" t="s">
        <v>570</v>
      </c>
      <c r="X306" t="s">
        <v>47</v>
      </c>
      <c r="Y306" s="16">
        <v>44701.387036342596</v>
      </c>
      <c r="Z306" s="17" t="str">
        <f>_xlfn.XLOOKUP(Table1[[#This Row],[Phase]],'Lookup tables'!$Y$27:$Y$60,'Lookup tables'!$Z$27:$Z$60,"Not Updated")</f>
        <v>Exploratory</v>
      </c>
      <c r="AA306" s="17"/>
      <c r="BG306" s="185"/>
      <c r="BH306" s="185"/>
      <c r="BI306" s="185"/>
      <c r="BJ306" s="185"/>
      <c r="BK306" s="185"/>
      <c r="BL306" s="185"/>
      <c r="BM306" s="185"/>
      <c r="BN306" s="185"/>
      <c r="BO306" s="185"/>
      <c r="BP306" s="185"/>
      <c r="BQ306" s="185"/>
      <c r="BR306" s="185"/>
      <c r="BS306" s="185"/>
      <c r="BT306" s="185"/>
      <c r="BU306" t="b">
        <f>IF(_xlfn.MAXIFS(Table1[Sl No],Table1[Category],Table1[[#This Row],[Category]],Table1[Execution Year],Table1[[#This Row],[Execution Year]])=Table1[[#This Row],[Sl No]],TRUE,FALSE)</f>
        <v>0</v>
      </c>
      <c r="BV306" s="201">
        <f>SUM(Table1[[#This Row],[Spend - CAN]:[Spend - Sams]])+SUM(Table1[[#This Row],[Spend - Sams Mexico]:[Spend - Sams China]])+Table1[[#This Row],[Spend - IND]]</f>
        <v>0</v>
      </c>
      <c r="BW306">
        <f>SUM(Table1[[#This Row],[Savings - CAN]:[Savings - Sams]])+SUM(Table1[[#This Row],[Savings - Sams Mexico]:[Savings - Sams China]])+Table1[[#This Row],[Savings - IND]]</f>
        <v>0</v>
      </c>
      <c r="BX306">
        <f>SUM(Table1[[#This Row],[Spend - CAN]:[Spend - SAF]])+SUM(Table1[[#This Row],[Spend - Sams Mexico]:[Spend - Sams China]])+Table1[[#This Row],[Spend - IND]]</f>
        <v>0</v>
      </c>
      <c r="BY306">
        <f>SUM(Table1[[#This Row],[Savings - CAN]:[Savings - SAF]])+SUM(Table1[[#This Row],[Savings - Sams Mexico]:[Savings - Sams China]])+Table1[[#This Row],[Savings - IND]]</f>
        <v>0</v>
      </c>
      <c r="BZ306">
        <f>SUM(Table1[[#This Row],[Spend - US]:[Spend - Sams]])</f>
        <v>0</v>
      </c>
      <c r="CA306">
        <f>SUM(Table1[[#This Row],[Savings - US]:[Savings - Sams]])</f>
        <v>0</v>
      </c>
      <c r="CB306">
        <f>SUM(Table1[[#This Row],[Cost Avoidance - CAN2]:[Cost Avoidance - SAF10]])+SUM(Table1[[#This Row],[Cost Avoidance - Sams Mexico]:[Cost Avoidance - Sams China]])+Table1[[#This Row],[Cost Avoidance - IND]]</f>
        <v>0</v>
      </c>
      <c r="CC306">
        <f>SUM(Table1[[#This Row],[Cost Avoidance - US11]:[Cost Avoidance - Sams12]])</f>
        <v>0</v>
      </c>
      <c r="CD306">
        <f>_xlfn.XLOOKUP(Table1[[#This Row],[Status]],Status_Lookups[Status],Status_Lookups[Value],"")</f>
        <v>0.3</v>
      </c>
    </row>
    <row r="307" spans="1:82">
      <c r="A307">
        <v>1</v>
      </c>
      <c r="B307" t="s">
        <v>574</v>
      </c>
      <c r="C307" t="s">
        <v>33</v>
      </c>
      <c r="D307" t="s">
        <v>322</v>
      </c>
      <c r="E307" s="15"/>
      <c r="F307" s="15"/>
      <c r="G307" s="15"/>
      <c r="H307" s="15"/>
      <c r="I307" t="s">
        <v>412</v>
      </c>
      <c r="J307" t="s">
        <v>459</v>
      </c>
      <c r="K307" t="s">
        <v>570</v>
      </c>
      <c r="X307" t="s">
        <v>47</v>
      </c>
      <c r="Y307" s="16">
        <v>44701.387036342596</v>
      </c>
      <c r="Z307" s="17" t="str">
        <f>_xlfn.XLOOKUP(Table1[[#This Row],[Phase]],'Lookup tables'!$Y$27:$Y$60,'Lookup tables'!$Z$27:$Z$60,"Not Updated")</f>
        <v>Exploratory</v>
      </c>
      <c r="AA307" s="17"/>
      <c r="BG307" s="185"/>
      <c r="BH307" s="185"/>
      <c r="BI307" s="185"/>
      <c r="BJ307" s="185"/>
      <c r="BK307" s="185"/>
      <c r="BL307" s="185"/>
      <c r="BM307" s="185"/>
      <c r="BN307" s="185"/>
      <c r="BO307" s="185"/>
      <c r="BP307" s="185"/>
      <c r="BQ307" s="185"/>
      <c r="BR307" s="185"/>
      <c r="BS307" s="185"/>
      <c r="BT307" s="185"/>
      <c r="BU307" t="b">
        <f>IF(_xlfn.MAXIFS(Table1[Sl No],Table1[Category],Table1[[#This Row],[Category]],Table1[Execution Year],Table1[[#This Row],[Execution Year]])=Table1[[#This Row],[Sl No]],TRUE,FALSE)</f>
        <v>0</v>
      </c>
      <c r="BV307" s="201">
        <f>SUM(Table1[[#This Row],[Spend - CAN]:[Spend - Sams]])+SUM(Table1[[#This Row],[Spend - Sams Mexico]:[Spend - Sams China]])+Table1[[#This Row],[Spend - IND]]</f>
        <v>0</v>
      </c>
      <c r="BW307">
        <f>SUM(Table1[[#This Row],[Savings - CAN]:[Savings - Sams]])+SUM(Table1[[#This Row],[Savings - Sams Mexico]:[Savings - Sams China]])+Table1[[#This Row],[Savings - IND]]</f>
        <v>0</v>
      </c>
      <c r="BX307">
        <f>SUM(Table1[[#This Row],[Spend - CAN]:[Spend - SAF]])+SUM(Table1[[#This Row],[Spend - Sams Mexico]:[Spend - Sams China]])+Table1[[#This Row],[Spend - IND]]</f>
        <v>0</v>
      </c>
      <c r="BY307">
        <f>SUM(Table1[[#This Row],[Savings - CAN]:[Savings - SAF]])+SUM(Table1[[#This Row],[Savings - Sams Mexico]:[Savings - Sams China]])+Table1[[#This Row],[Savings - IND]]</f>
        <v>0</v>
      </c>
      <c r="BZ307">
        <f>SUM(Table1[[#This Row],[Spend - US]:[Spend - Sams]])</f>
        <v>0</v>
      </c>
      <c r="CA307">
        <f>SUM(Table1[[#This Row],[Savings - US]:[Savings - Sams]])</f>
        <v>0</v>
      </c>
      <c r="CB307">
        <f>SUM(Table1[[#This Row],[Cost Avoidance - CAN2]:[Cost Avoidance - SAF10]])+SUM(Table1[[#This Row],[Cost Avoidance - Sams Mexico]:[Cost Avoidance - Sams China]])+Table1[[#This Row],[Cost Avoidance - IND]]</f>
        <v>0</v>
      </c>
      <c r="CC307">
        <f>SUM(Table1[[#This Row],[Cost Avoidance - US11]:[Cost Avoidance - Sams12]])</f>
        <v>0</v>
      </c>
      <c r="CD307">
        <f>_xlfn.XLOOKUP(Table1[[#This Row],[Status]],Status_Lookups[Status],Status_Lookups[Value],"")</f>
        <v>0.3</v>
      </c>
    </row>
    <row r="308" spans="1:82">
      <c r="A308">
        <v>1</v>
      </c>
      <c r="B308" t="s">
        <v>582</v>
      </c>
      <c r="C308" t="s">
        <v>33</v>
      </c>
      <c r="D308" t="s">
        <v>322</v>
      </c>
      <c r="E308" s="15"/>
      <c r="F308" s="15"/>
      <c r="G308" s="15"/>
      <c r="H308" s="15"/>
      <c r="I308" t="s">
        <v>466</v>
      </c>
      <c r="J308" t="s">
        <v>459</v>
      </c>
      <c r="K308" t="s">
        <v>567</v>
      </c>
      <c r="X308" t="s">
        <v>47</v>
      </c>
      <c r="Y308" s="16">
        <v>44701.387036342596</v>
      </c>
      <c r="Z308" s="17" t="str">
        <f>_xlfn.XLOOKUP(Table1[[#This Row],[Phase]],'Lookup tables'!$Y$27:$Y$60,'Lookup tables'!$Z$27:$Z$60,"Not Updated")</f>
        <v>Post Award</v>
      </c>
      <c r="AA308" s="17"/>
      <c r="BG308" s="185"/>
      <c r="BH308" s="185"/>
      <c r="BI308" s="185"/>
      <c r="BJ308" s="185"/>
      <c r="BK308" s="185"/>
      <c r="BL308" s="185"/>
      <c r="BM308" s="185"/>
      <c r="BN308" s="185"/>
      <c r="BO308" s="185"/>
      <c r="BP308" s="185"/>
      <c r="BQ308" s="185"/>
      <c r="BR308" s="185"/>
      <c r="BS308" s="185"/>
      <c r="BT308" s="185"/>
      <c r="BU308" t="b">
        <f>IF(_xlfn.MAXIFS(Table1[Sl No],Table1[Category],Table1[[#This Row],[Category]],Table1[Execution Year],Table1[[#This Row],[Execution Year]])=Table1[[#This Row],[Sl No]],TRUE,FALSE)</f>
        <v>0</v>
      </c>
      <c r="BV308" s="201">
        <f>SUM(Table1[[#This Row],[Spend - CAN]:[Spend - Sams]])+SUM(Table1[[#This Row],[Spend - Sams Mexico]:[Spend - Sams China]])+Table1[[#This Row],[Spend - IND]]</f>
        <v>0</v>
      </c>
      <c r="BW308">
        <f>SUM(Table1[[#This Row],[Savings - CAN]:[Savings - Sams]])+SUM(Table1[[#This Row],[Savings - Sams Mexico]:[Savings - Sams China]])+Table1[[#This Row],[Savings - IND]]</f>
        <v>0</v>
      </c>
      <c r="BX308">
        <f>SUM(Table1[[#This Row],[Spend - CAN]:[Spend - SAF]])+SUM(Table1[[#This Row],[Spend - Sams Mexico]:[Spend - Sams China]])+Table1[[#This Row],[Spend - IND]]</f>
        <v>0</v>
      </c>
      <c r="BY308">
        <f>SUM(Table1[[#This Row],[Savings - CAN]:[Savings - SAF]])+SUM(Table1[[#This Row],[Savings - Sams Mexico]:[Savings - Sams China]])+Table1[[#This Row],[Savings - IND]]</f>
        <v>0</v>
      </c>
      <c r="BZ308">
        <f>SUM(Table1[[#This Row],[Spend - US]:[Spend - Sams]])</f>
        <v>0</v>
      </c>
      <c r="CA308">
        <f>SUM(Table1[[#This Row],[Savings - US]:[Savings - Sams]])</f>
        <v>0</v>
      </c>
      <c r="CB308">
        <f>SUM(Table1[[#This Row],[Cost Avoidance - CAN2]:[Cost Avoidance - SAF10]])+SUM(Table1[[#This Row],[Cost Avoidance - Sams Mexico]:[Cost Avoidance - Sams China]])+Table1[[#This Row],[Cost Avoidance - IND]]</f>
        <v>0</v>
      </c>
      <c r="CC308">
        <f>SUM(Table1[[#This Row],[Cost Avoidance - US11]:[Cost Avoidance - Sams12]])</f>
        <v>0</v>
      </c>
      <c r="CD308">
        <f>_xlfn.XLOOKUP(Table1[[#This Row],[Status]],Status_Lookups[Status],Status_Lookups[Value],"")</f>
        <v>0.3</v>
      </c>
    </row>
    <row r="309" spans="1:82">
      <c r="A309">
        <v>2</v>
      </c>
      <c r="B309" t="s">
        <v>582</v>
      </c>
      <c r="C309" t="s">
        <v>33</v>
      </c>
      <c r="D309" t="s">
        <v>322</v>
      </c>
      <c r="E309" s="15">
        <v>44501</v>
      </c>
      <c r="F309" s="15">
        <v>44591</v>
      </c>
      <c r="G309" s="15">
        <v>0</v>
      </c>
      <c r="H309" s="15">
        <v>0</v>
      </c>
      <c r="I309" t="s">
        <v>470</v>
      </c>
      <c r="J309" t="s">
        <v>459</v>
      </c>
      <c r="K309" t="s">
        <v>567</v>
      </c>
      <c r="L309">
        <v>0</v>
      </c>
      <c r="M309">
        <v>0</v>
      </c>
      <c r="N309">
        <v>0</v>
      </c>
      <c r="O309">
        <v>0</v>
      </c>
      <c r="P309">
        <v>0</v>
      </c>
      <c r="Q309">
        <v>0</v>
      </c>
      <c r="R309">
        <v>0</v>
      </c>
      <c r="S309">
        <v>0</v>
      </c>
      <c r="T309">
        <v>0</v>
      </c>
      <c r="U309">
        <v>0</v>
      </c>
      <c r="V309">
        <v>16000000</v>
      </c>
      <c r="W309">
        <v>6000000</v>
      </c>
      <c r="X309" t="s">
        <v>567</v>
      </c>
      <c r="Y309" s="16">
        <v>44729.576891898148</v>
      </c>
      <c r="Z309" s="17" t="str">
        <f>_xlfn.XLOOKUP(Table1[[#This Row],[Phase]],'Lookup tables'!$Y$27:$Y$60,'Lookup tables'!$Z$27:$Z$60,"Not Updated")</f>
        <v>Complete</v>
      </c>
      <c r="AA309" s="17">
        <v>0</v>
      </c>
      <c r="AB309">
        <v>0</v>
      </c>
      <c r="AC309">
        <v>0</v>
      </c>
      <c r="AD309">
        <v>0</v>
      </c>
      <c r="AE309">
        <v>0</v>
      </c>
      <c r="AF309">
        <v>0</v>
      </c>
      <c r="AG309">
        <v>0</v>
      </c>
      <c r="AH309">
        <v>0</v>
      </c>
      <c r="AI309">
        <v>0</v>
      </c>
      <c r="AJ309">
        <v>0</v>
      </c>
      <c r="AK309">
        <v>0</v>
      </c>
      <c r="AL309">
        <v>0</v>
      </c>
      <c r="AM309">
        <v>0</v>
      </c>
      <c r="AN309">
        <v>0</v>
      </c>
      <c r="AO309">
        <v>0</v>
      </c>
      <c r="AP309">
        <v>0</v>
      </c>
      <c r="AQ309">
        <v>0</v>
      </c>
      <c r="AR309">
        <v>0</v>
      </c>
      <c r="AS309">
        <v>0</v>
      </c>
      <c r="AT309">
        <v>0</v>
      </c>
      <c r="AU309">
        <v>0</v>
      </c>
      <c r="AV309">
        <v>0</v>
      </c>
      <c r="AW309">
        <v>0</v>
      </c>
      <c r="AX309">
        <v>0</v>
      </c>
      <c r="AY309">
        <v>0</v>
      </c>
      <c r="AZ309">
        <v>0</v>
      </c>
      <c r="BA309">
        <v>0</v>
      </c>
      <c r="BB309">
        <v>0</v>
      </c>
      <c r="BC309">
        <v>0</v>
      </c>
      <c r="BD309">
        <v>0</v>
      </c>
      <c r="BE309">
        <v>0</v>
      </c>
      <c r="BF309">
        <v>0</v>
      </c>
      <c r="BG309" s="185">
        <v>0</v>
      </c>
      <c r="BH309" s="185">
        <v>0</v>
      </c>
      <c r="BI309" s="185">
        <v>0</v>
      </c>
      <c r="BJ309" s="185">
        <v>0</v>
      </c>
      <c r="BK309" s="185">
        <v>0</v>
      </c>
      <c r="BL309" s="185">
        <v>0</v>
      </c>
      <c r="BM309" s="185">
        <v>0</v>
      </c>
      <c r="BN309" s="185">
        <v>0</v>
      </c>
      <c r="BO309" s="185">
        <v>0</v>
      </c>
      <c r="BP309" s="185">
        <v>0</v>
      </c>
      <c r="BQ309" s="185">
        <v>0</v>
      </c>
      <c r="BR309" s="185">
        <v>0</v>
      </c>
      <c r="BS309" s="185">
        <v>0</v>
      </c>
      <c r="BT309" s="185">
        <v>0</v>
      </c>
      <c r="BU309" t="b">
        <f>IF(_xlfn.MAXIFS(Table1[Sl No],Table1[Category],Table1[[#This Row],[Category]],Table1[Execution Year],Table1[[#This Row],[Execution Year]])=Table1[[#This Row],[Sl No]],TRUE,FALSE)</f>
        <v>1</v>
      </c>
      <c r="BV309" s="201">
        <f>SUM(Table1[[#This Row],[Spend - CAN]:[Spend - Sams]])+SUM(Table1[[#This Row],[Spend - Sams Mexico]:[Spend - Sams China]])+Table1[[#This Row],[Spend - IND]]</f>
        <v>22000000</v>
      </c>
      <c r="BW309">
        <f>SUM(Table1[[#This Row],[Savings - CAN]:[Savings - Sams]])+SUM(Table1[[#This Row],[Savings - Sams Mexico]:[Savings - Sams China]])+Table1[[#This Row],[Savings - IND]]</f>
        <v>0</v>
      </c>
      <c r="BX309">
        <f>SUM(Table1[[#This Row],[Spend - CAN]:[Spend - SAF]])+SUM(Table1[[#This Row],[Spend - Sams Mexico]:[Spend - Sams China]])+Table1[[#This Row],[Spend - IND]]</f>
        <v>0</v>
      </c>
      <c r="BY309">
        <f>SUM(Table1[[#This Row],[Savings - CAN]:[Savings - SAF]])+SUM(Table1[[#This Row],[Savings - Sams Mexico]:[Savings - Sams China]])+Table1[[#This Row],[Savings - IND]]</f>
        <v>0</v>
      </c>
      <c r="BZ309">
        <f>SUM(Table1[[#This Row],[Spend - US]:[Spend - Sams]])</f>
        <v>22000000</v>
      </c>
      <c r="CA309">
        <f>SUM(Table1[[#This Row],[Savings - US]:[Savings - Sams]])</f>
        <v>0</v>
      </c>
      <c r="CB309">
        <f>SUM(Table1[[#This Row],[Cost Avoidance - CAN2]:[Cost Avoidance - SAF10]])+SUM(Table1[[#This Row],[Cost Avoidance - Sams Mexico]:[Cost Avoidance - Sams China]])+Table1[[#This Row],[Cost Avoidance - IND]]</f>
        <v>0</v>
      </c>
      <c r="CC309">
        <f>SUM(Table1[[#This Row],[Cost Avoidance - US11]:[Cost Avoidance - Sams12]])</f>
        <v>0</v>
      </c>
      <c r="CD309">
        <f>_xlfn.XLOOKUP(Table1[[#This Row],[Status]],Status_Lookups[Status],Status_Lookups[Value],"")</f>
        <v>0.3</v>
      </c>
    </row>
    <row r="310" spans="1:82">
      <c r="A310">
        <v>1</v>
      </c>
      <c r="B310" t="s">
        <v>579</v>
      </c>
      <c r="C310" t="s">
        <v>33</v>
      </c>
      <c r="D310" t="s">
        <v>322</v>
      </c>
      <c r="E310" s="15"/>
      <c r="F310" s="15"/>
      <c r="G310" s="15"/>
      <c r="H310" s="15"/>
      <c r="I310" t="s">
        <v>412</v>
      </c>
      <c r="J310" t="s">
        <v>459</v>
      </c>
      <c r="K310" t="s">
        <v>562</v>
      </c>
      <c r="X310" t="s">
        <v>47</v>
      </c>
      <c r="Y310" s="16">
        <v>44701.387036342596</v>
      </c>
      <c r="Z310" s="17" t="str">
        <f>_xlfn.XLOOKUP(Table1[[#This Row],[Phase]],'Lookup tables'!$Y$27:$Y$60,'Lookup tables'!$Z$27:$Z$60,"Not Updated")</f>
        <v>Exploratory</v>
      </c>
      <c r="AA310" s="17"/>
      <c r="BG310" s="185"/>
      <c r="BH310" s="185"/>
      <c r="BI310" s="185"/>
      <c r="BJ310" s="185"/>
      <c r="BK310" s="185"/>
      <c r="BL310" s="185"/>
      <c r="BM310" s="185"/>
      <c r="BN310" s="185"/>
      <c r="BO310" s="185"/>
      <c r="BP310" s="185"/>
      <c r="BQ310" s="185"/>
      <c r="BR310" s="185"/>
      <c r="BS310" s="185"/>
      <c r="BT310" s="185"/>
      <c r="BU310" t="b">
        <f>IF(_xlfn.MAXIFS(Table1[Sl No],Table1[Category],Table1[[#This Row],[Category]],Table1[Execution Year],Table1[[#This Row],[Execution Year]])=Table1[[#This Row],[Sl No]],TRUE,FALSE)</f>
        <v>1</v>
      </c>
      <c r="BV310" s="201">
        <f>SUM(Table1[[#This Row],[Spend - CAN]:[Spend - Sams]])+SUM(Table1[[#This Row],[Spend - Sams Mexico]:[Spend - Sams China]])+Table1[[#This Row],[Spend - IND]]</f>
        <v>0</v>
      </c>
      <c r="BW310">
        <f>SUM(Table1[[#This Row],[Savings - CAN]:[Savings - Sams]])+SUM(Table1[[#This Row],[Savings - Sams Mexico]:[Savings - Sams China]])+Table1[[#This Row],[Savings - IND]]</f>
        <v>0</v>
      </c>
      <c r="BX310">
        <f>SUM(Table1[[#This Row],[Spend - CAN]:[Spend - SAF]])+SUM(Table1[[#This Row],[Spend - Sams Mexico]:[Spend - Sams China]])+Table1[[#This Row],[Spend - IND]]</f>
        <v>0</v>
      </c>
      <c r="BY310">
        <f>SUM(Table1[[#This Row],[Savings - CAN]:[Savings - SAF]])+SUM(Table1[[#This Row],[Savings - Sams Mexico]:[Savings - Sams China]])+Table1[[#This Row],[Savings - IND]]</f>
        <v>0</v>
      </c>
      <c r="BZ310">
        <f>SUM(Table1[[#This Row],[Spend - US]:[Spend - Sams]])</f>
        <v>0</v>
      </c>
      <c r="CA310">
        <f>SUM(Table1[[#This Row],[Savings - US]:[Savings - Sams]])</f>
        <v>0</v>
      </c>
      <c r="CB310">
        <f>SUM(Table1[[#This Row],[Cost Avoidance - CAN2]:[Cost Avoidance - SAF10]])+SUM(Table1[[#This Row],[Cost Avoidance - Sams Mexico]:[Cost Avoidance - Sams China]])+Table1[[#This Row],[Cost Avoidance - IND]]</f>
        <v>0</v>
      </c>
      <c r="CC310">
        <f>SUM(Table1[[#This Row],[Cost Avoidance - US11]:[Cost Avoidance - Sams12]])</f>
        <v>0</v>
      </c>
      <c r="CD310">
        <f>_xlfn.XLOOKUP(Table1[[#This Row],[Status]],Status_Lookups[Status],Status_Lookups[Value],"")</f>
        <v>0.3</v>
      </c>
    </row>
    <row r="311" spans="1:82">
      <c r="A311">
        <v>1</v>
      </c>
      <c r="B311" t="s">
        <v>82</v>
      </c>
      <c r="C311" t="s">
        <v>33</v>
      </c>
      <c r="D311" t="s">
        <v>322</v>
      </c>
      <c r="E311" s="15">
        <v>44835</v>
      </c>
      <c r="F311" s="15">
        <v>44925</v>
      </c>
      <c r="G311" s="15"/>
      <c r="H311" s="15"/>
      <c r="I311" t="s">
        <v>135</v>
      </c>
      <c r="J311" t="s">
        <v>459</v>
      </c>
      <c r="K311" t="s">
        <v>514</v>
      </c>
      <c r="X311" t="s">
        <v>47</v>
      </c>
      <c r="Y311" s="16">
        <v>44701.387036342596</v>
      </c>
      <c r="Z311" s="17" t="str">
        <f>_xlfn.XLOOKUP(Table1[[#This Row],[Phase]],'Lookup tables'!$Y$27:$Y$60,'Lookup tables'!$Z$27:$Z$60,"Not Updated")</f>
        <v>Pipeline</v>
      </c>
      <c r="AA311" s="17"/>
      <c r="BG311" s="185"/>
      <c r="BH311" s="185"/>
      <c r="BI311" s="185"/>
      <c r="BJ311" s="185"/>
      <c r="BK311" s="185"/>
      <c r="BL311" s="185"/>
      <c r="BM311" s="185"/>
      <c r="BN311" s="185"/>
      <c r="BO311" s="185"/>
      <c r="BP311" s="185"/>
      <c r="BQ311" s="185"/>
      <c r="BR311" s="185"/>
      <c r="BS311" s="185"/>
      <c r="BT311" s="185"/>
      <c r="BU311" t="b">
        <f>IF(_xlfn.MAXIFS(Table1[Sl No],Table1[Category],Table1[[#This Row],[Category]],Table1[Execution Year],Table1[[#This Row],[Execution Year]])=Table1[[#This Row],[Sl No]],TRUE,FALSE)</f>
        <v>1</v>
      </c>
      <c r="BV311" s="201">
        <f>SUM(Table1[[#This Row],[Spend - CAN]:[Spend - Sams]])+SUM(Table1[[#This Row],[Spend - Sams Mexico]:[Spend - Sams China]])+Table1[[#This Row],[Spend - IND]]</f>
        <v>0</v>
      </c>
      <c r="BW311">
        <f>SUM(Table1[[#This Row],[Savings - CAN]:[Savings - Sams]])+SUM(Table1[[#This Row],[Savings - Sams Mexico]:[Savings - Sams China]])+Table1[[#This Row],[Savings - IND]]</f>
        <v>0</v>
      </c>
      <c r="BX311">
        <f>SUM(Table1[[#This Row],[Spend - CAN]:[Spend - SAF]])+SUM(Table1[[#This Row],[Spend - Sams Mexico]:[Spend - Sams China]])+Table1[[#This Row],[Spend - IND]]</f>
        <v>0</v>
      </c>
      <c r="BY311">
        <f>SUM(Table1[[#This Row],[Savings - CAN]:[Savings - SAF]])+SUM(Table1[[#This Row],[Savings - Sams Mexico]:[Savings - Sams China]])+Table1[[#This Row],[Savings - IND]]</f>
        <v>0</v>
      </c>
      <c r="BZ311">
        <f>SUM(Table1[[#This Row],[Spend - US]:[Spend - Sams]])</f>
        <v>0</v>
      </c>
      <c r="CA311">
        <f>SUM(Table1[[#This Row],[Savings - US]:[Savings - Sams]])</f>
        <v>0</v>
      </c>
      <c r="CB311">
        <f>SUM(Table1[[#This Row],[Cost Avoidance - CAN2]:[Cost Avoidance - SAF10]])+SUM(Table1[[#This Row],[Cost Avoidance - Sams Mexico]:[Cost Avoidance - Sams China]])+Table1[[#This Row],[Cost Avoidance - IND]]</f>
        <v>0</v>
      </c>
      <c r="CC311">
        <f>SUM(Table1[[#This Row],[Cost Avoidance - US11]:[Cost Avoidance - Sams12]])</f>
        <v>0</v>
      </c>
      <c r="CD311">
        <f>_xlfn.XLOOKUP(Table1[[#This Row],[Status]],Status_Lookups[Status],Status_Lookups[Value],"")</f>
        <v>0.3</v>
      </c>
    </row>
    <row r="312" spans="1:82">
      <c r="A312">
        <v>1</v>
      </c>
      <c r="B312" t="s">
        <v>82</v>
      </c>
      <c r="C312" t="s">
        <v>33</v>
      </c>
      <c r="D312" t="s">
        <v>39</v>
      </c>
      <c r="E312" s="15"/>
      <c r="F312" s="15"/>
      <c r="G312" s="15"/>
      <c r="H312" s="15"/>
      <c r="I312" t="s">
        <v>415</v>
      </c>
      <c r="J312" t="s">
        <v>459</v>
      </c>
      <c r="K312" t="s">
        <v>514</v>
      </c>
      <c r="X312" t="s">
        <v>47</v>
      </c>
      <c r="Y312" s="16">
        <v>44701.387036342596</v>
      </c>
      <c r="Z312" s="17" t="str">
        <f>_xlfn.XLOOKUP(Table1[[#This Row],[Phase]],'Lookup tables'!$Y$27:$Y$60,'Lookup tables'!$Z$27:$Z$60,"Not Updated")</f>
        <v>Award</v>
      </c>
      <c r="AA312" s="17"/>
      <c r="BG312" s="185"/>
      <c r="BH312" s="185"/>
      <c r="BI312" s="185"/>
      <c r="BJ312" s="185"/>
      <c r="BK312" s="185"/>
      <c r="BL312" s="185"/>
      <c r="BM312" s="185"/>
      <c r="BN312" s="185"/>
      <c r="BO312" s="185"/>
      <c r="BP312" s="185"/>
      <c r="BQ312" s="185"/>
      <c r="BR312" s="185"/>
      <c r="BS312" s="185"/>
      <c r="BT312" s="185"/>
      <c r="BU312" t="b">
        <f>IF(_xlfn.MAXIFS(Table1[Sl No],Table1[Category],Table1[[#This Row],[Category]],Table1[Execution Year],Table1[[#This Row],[Execution Year]])=Table1[[#This Row],[Sl No]],TRUE,FALSE)</f>
        <v>1</v>
      </c>
      <c r="BV312" s="201">
        <f>SUM(Table1[[#This Row],[Spend - CAN]:[Spend - Sams]])+SUM(Table1[[#This Row],[Spend - Sams Mexico]:[Spend - Sams China]])+Table1[[#This Row],[Spend - IND]]</f>
        <v>0</v>
      </c>
      <c r="BW312">
        <f>SUM(Table1[[#This Row],[Savings - CAN]:[Savings - Sams]])+SUM(Table1[[#This Row],[Savings - Sams Mexico]:[Savings - Sams China]])+Table1[[#This Row],[Savings - IND]]</f>
        <v>0</v>
      </c>
      <c r="BX312">
        <f>SUM(Table1[[#This Row],[Spend - CAN]:[Spend - SAF]])+SUM(Table1[[#This Row],[Spend - Sams Mexico]:[Spend - Sams China]])+Table1[[#This Row],[Spend - IND]]</f>
        <v>0</v>
      </c>
      <c r="BY312">
        <f>SUM(Table1[[#This Row],[Savings - CAN]:[Savings - SAF]])+SUM(Table1[[#This Row],[Savings - Sams Mexico]:[Savings - Sams China]])+Table1[[#This Row],[Savings - IND]]</f>
        <v>0</v>
      </c>
      <c r="BZ312">
        <f>SUM(Table1[[#This Row],[Spend - US]:[Spend - Sams]])</f>
        <v>0</v>
      </c>
      <c r="CA312">
        <f>SUM(Table1[[#This Row],[Savings - US]:[Savings - Sams]])</f>
        <v>0</v>
      </c>
      <c r="CB312">
        <f>SUM(Table1[[#This Row],[Cost Avoidance - CAN2]:[Cost Avoidance - SAF10]])+SUM(Table1[[#This Row],[Cost Avoidance - Sams Mexico]:[Cost Avoidance - Sams China]])+Table1[[#This Row],[Cost Avoidance - IND]]</f>
        <v>0</v>
      </c>
      <c r="CC312">
        <f>SUM(Table1[[#This Row],[Cost Avoidance - US11]:[Cost Avoidance - Sams12]])</f>
        <v>0</v>
      </c>
      <c r="CD312">
        <f>_xlfn.XLOOKUP(Table1[[#This Row],[Status]],Status_Lookups[Status],Status_Lookups[Value],"")</f>
        <v>0.3</v>
      </c>
    </row>
    <row r="313" spans="1:82">
      <c r="A313">
        <v>1</v>
      </c>
      <c r="B313" t="s">
        <v>112</v>
      </c>
      <c r="C313" t="s">
        <v>43</v>
      </c>
      <c r="D313" t="s">
        <v>39</v>
      </c>
      <c r="E313" s="15"/>
      <c r="F313" s="15"/>
      <c r="G313" s="15"/>
      <c r="H313" s="15"/>
      <c r="X313" t="s">
        <v>78</v>
      </c>
      <c r="Y313" s="16">
        <v>44301.596979166665</v>
      </c>
      <c r="Z313" s="17" t="str">
        <f>_xlfn.XLOOKUP(Table1[[#This Row],[Phase]],'Lookup tables'!$Y$27:$Y$60,'Lookup tables'!$Z$27:$Z$60,"Not Updated")</f>
        <v>Not Updated</v>
      </c>
      <c r="AA313" s="17"/>
      <c r="BG313" s="185"/>
      <c r="BH313" s="185"/>
      <c r="BI313" s="185"/>
      <c r="BJ313" s="185"/>
      <c r="BK313" s="185"/>
      <c r="BL313" s="185"/>
      <c r="BM313" s="185"/>
      <c r="BN313" s="185"/>
      <c r="BO313" s="185"/>
      <c r="BP313" s="185"/>
      <c r="BQ313" s="185"/>
      <c r="BR313" s="185"/>
      <c r="BS313" s="185"/>
      <c r="BT313" s="185"/>
      <c r="BU313" t="b">
        <f>IF(_xlfn.MAXIFS(Table1[Sl No],Table1[Category],Table1[[#This Row],[Category]],Table1[Execution Year],Table1[[#This Row],[Execution Year]])=Table1[[#This Row],[Sl No]],TRUE,FALSE)</f>
        <v>0</v>
      </c>
      <c r="BV313" s="201">
        <f>SUM(Table1[[#This Row],[Spend - CAN]:[Spend - Sams]])+SUM(Table1[[#This Row],[Spend - Sams Mexico]:[Spend - Sams China]])+Table1[[#This Row],[Spend - IND]]</f>
        <v>0</v>
      </c>
      <c r="BW313">
        <f>SUM(Table1[[#This Row],[Savings - CAN]:[Savings - Sams]])+SUM(Table1[[#This Row],[Savings - Sams Mexico]:[Savings - Sams China]])+Table1[[#This Row],[Savings - IND]]</f>
        <v>0</v>
      </c>
      <c r="BX313">
        <f>SUM(Table1[[#This Row],[Spend - CAN]:[Spend - SAF]])+SUM(Table1[[#This Row],[Spend - Sams Mexico]:[Spend - Sams China]])+Table1[[#This Row],[Spend - IND]]</f>
        <v>0</v>
      </c>
      <c r="BY313">
        <f>SUM(Table1[[#This Row],[Savings - CAN]:[Savings - SAF]])+SUM(Table1[[#This Row],[Savings - Sams Mexico]:[Savings - Sams China]])+Table1[[#This Row],[Savings - IND]]</f>
        <v>0</v>
      </c>
      <c r="BZ313">
        <f>SUM(Table1[[#This Row],[Spend - US]:[Spend - Sams]])</f>
        <v>0</v>
      </c>
      <c r="CA313">
        <f>SUM(Table1[[#This Row],[Savings - US]:[Savings - Sams]])</f>
        <v>0</v>
      </c>
      <c r="CB313">
        <f>SUM(Table1[[#This Row],[Cost Avoidance - CAN2]:[Cost Avoidance - SAF10]])+SUM(Table1[[#This Row],[Cost Avoidance - Sams Mexico]:[Cost Avoidance - Sams China]])+Table1[[#This Row],[Cost Avoidance - IND]]</f>
        <v>0</v>
      </c>
      <c r="CC313">
        <f>SUM(Table1[[#This Row],[Cost Avoidance - US11]:[Cost Avoidance - Sams12]])</f>
        <v>0</v>
      </c>
      <c r="CD313" t="str">
        <f>_xlfn.XLOOKUP(Table1[[#This Row],[Status]],Status_Lookups[Status],Status_Lookups[Value],"")</f>
        <v/>
      </c>
    </row>
    <row r="314" spans="1:82">
      <c r="A314">
        <v>2</v>
      </c>
      <c r="B314" t="s">
        <v>112</v>
      </c>
      <c r="C314" t="s">
        <v>43</v>
      </c>
      <c r="D314" t="s">
        <v>39</v>
      </c>
      <c r="E314" s="15">
        <v>44440</v>
      </c>
      <c r="F314" s="15">
        <v>44530</v>
      </c>
      <c r="G314" s="15"/>
      <c r="H314" s="15"/>
      <c r="I314" t="s">
        <v>458</v>
      </c>
      <c r="J314">
        <v>0</v>
      </c>
      <c r="K314">
        <v>0</v>
      </c>
      <c r="L314">
        <v>0</v>
      </c>
      <c r="M314">
        <v>2300000</v>
      </c>
      <c r="N314">
        <v>1900000</v>
      </c>
      <c r="O314">
        <v>2700000</v>
      </c>
      <c r="P314">
        <v>1200000</v>
      </c>
      <c r="Q314">
        <v>300000</v>
      </c>
      <c r="R314">
        <v>400000</v>
      </c>
      <c r="S314">
        <v>0</v>
      </c>
      <c r="T314">
        <v>9500000</v>
      </c>
      <c r="U314">
        <v>0</v>
      </c>
      <c r="V314">
        <v>0</v>
      </c>
      <c r="W314">
        <v>0</v>
      </c>
      <c r="X314" t="s">
        <v>78</v>
      </c>
      <c r="Y314" s="16">
        <v>44301.59816238426</v>
      </c>
      <c r="Z314" s="17" t="str">
        <f>_xlfn.XLOOKUP(Table1[[#This Row],[Phase]],'Lookup tables'!$Y$27:$Y$60,'Lookup tables'!$Z$27:$Z$60,"Not Updated")</f>
        <v>Exploratory</v>
      </c>
      <c r="AA314" s="17">
        <v>0</v>
      </c>
      <c r="AB314">
        <v>0</v>
      </c>
      <c r="AC314">
        <v>0</v>
      </c>
      <c r="AD314">
        <v>0</v>
      </c>
      <c r="AE314">
        <v>0</v>
      </c>
      <c r="AF314">
        <v>0</v>
      </c>
      <c r="AG314">
        <v>0</v>
      </c>
      <c r="AH314">
        <v>0</v>
      </c>
      <c r="AI314">
        <v>0</v>
      </c>
      <c r="AJ314">
        <v>0</v>
      </c>
      <c r="AK314">
        <v>0</v>
      </c>
      <c r="AL314">
        <v>0</v>
      </c>
      <c r="AM314">
        <v>0</v>
      </c>
      <c r="AN314">
        <v>0</v>
      </c>
      <c r="AO314">
        <v>0</v>
      </c>
      <c r="AP314">
        <v>0</v>
      </c>
      <c r="AQ314">
        <v>0</v>
      </c>
      <c r="AR314">
        <v>0</v>
      </c>
      <c r="AS314">
        <v>0</v>
      </c>
      <c r="AT314">
        <v>0</v>
      </c>
      <c r="AU314">
        <v>0</v>
      </c>
      <c r="AV314">
        <v>0</v>
      </c>
      <c r="AW314">
        <v>0</v>
      </c>
      <c r="BG314" s="185"/>
      <c r="BH314" s="185"/>
      <c r="BI314" s="185"/>
      <c r="BJ314" s="185"/>
      <c r="BK314" s="185"/>
      <c r="BL314" s="185"/>
      <c r="BM314" s="185"/>
      <c r="BN314" s="185"/>
      <c r="BO314" s="185"/>
      <c r="BP314" s="185"/>
      <c r="BQ314" s="185"/>
      <c r="BR314" s="185"/>
      <c r="BS314" s="185"/>
      <c r="BT314" s="185"/>
      <c r="BU314" t="b">
        <f>IF(_xlfn.MAXIFS(Table1[Sl No],Table1[Category],Table1[[#This Row],[Category]],Table1[Execution Year],Table1[[#This Row],[Execution Year]])=Table1[[#This Row],[Sl No]],TRUE,FALSE)</f>
        <v>0</v>
      </c>
      <c r="BV314" s="201">
        <f>SUM(Table1[[#This Row],[Spend - CAN]:[Spend - Sams]])+SUM(Table1[[#This Row],[Spend - Sams Mexico]:[Spend - Sams China]])+Table1[[#This Row],[Spend - IND]]</f>
        <v>18300000</v>
      </c>
      <c r="BW314">
        <f>SUM(Table1[[#This Row],[Savings - CAN]:[Savings - Sams]])+SUM(Table1[[#This Row],[Savings - Sams Mexico]:[Savings - Sams China]])+Table1[[#This Row],[Savings - IND]]</f>
        <v>0</v>
      </c>
      <c r="BX314">
        <f>SUM(Table1[[#This Row],[Spend - CAN]:[Spend - SAF]])+SUM(Table1[[#This Row],[Spend - Sams Mexico]:[Spend - Sams China]])+Table1[[#This Row],[Spend - IND]]</f>
        <v>18300000</v>
      </c>
      <c r="BY314">
        <f>SUM(Table1[[#This Row],[Savings - CAN]:[Savings - SAF]])+SUM(Table1[[#This Row],[Savings - Sams Mexico]:[Savings - Sams China]])+Table1[[#This Row],[Savings - IND]]</f>
        <v>0</v>
      </c>
      <c r="BZ314">
        <f>SUM(Table1[[#This Row],[Spend - US]:[Spend - Sams]])</f>
        <v>0</v>
      </c>
      <c r="CA314">
        <f>SUM(Table1[[#This Row],[Savings - US]:[Savings - Sams]])</f>
        <v>0</v>
      </c>
      <c r="CB314">
        <f>SUM(Table1[[#This Row],[Cost Avoidance - CAN2]:[Cost Avoidance - SAF10]])+SUM(Table1[[#This Row],[Cost Avoidance - Sams Mexico]:[Cost Avoidance - Sams China]])+Table1[[#This Row],[Cost Avoidance - IND]]</f>
        <v>0</v>
      </c>
      <c r="CC314">
        <f>SUM(Table1[[#This Row],[Cost Avoidance - US11]:[Cost Avoidance - Sams12]])</f>
        <v>0</v>
      </c>
      <c r="CD314" t="str">
        <f>_xlfn.XLOOKUP(Table1[[#This Row],[Status]],Status_Lookups[Status],Status_Lookups[Value],"")</f>
        <v/>
      </c>
    </row>
    <row r="315" spans="1:82">
      <c r="A315">
        <v>3</v>
      </c>
      <c r="B315" t="s">
        <v>112</v>
      </c>
      <c r="C315" t="s">
        <v>43</v>
      </c>
      <c r="D315" t="s">
        <v>39</v>
      </c>
      <c r="E315" s="15">
        <v>44440</v>
      </c>
      <c r="F315" s="15">
        <v>44530</v>
      </c>
      <c r="G315" s="15"/>
      <c r="H315" s="15"/>
      <c r="I315" t="s">
        <v>458</v>
      </c>
      <c r="J315">
        <v>0</v>
      </c>
      <c r="K315">
        <v>0</v>
      </c>
      <c r="L315">
        <v>0</v>
      </c>
      <c r="M315">
        <v>2300000</v>
      </c>
      <c r="N315">
        <v>1900000</v>
      </c>
      <c r="O315">
        <v>2700000</v>
      </c>
      <c r="P315">
        <v>1200000</v>
      </c>
      <c r="Q315">
        <v>300000</v>
      </c>
      <c r="R315">
        <v>400000</v>
      </c>
      <c r="S315">
        <v>0</v>
      </c>
      <c r="T315">
        <v>9500000</v>
      </c>
      <c r="U315">
        <v>0</v>
      </c>
      <c r="V315">
        <v>78462082.200000003</v>
      </c>
      <c r="W315">
        <v>0</v>
      </c>
      <c r="X315" t="s">
        <v>445</v>
      </c>
      <c r="Y315" s="16">
        <v>44302.640823611109</v>
      </c>
      <c r="Z315" s="17" t="str">
        <f>_xlfn.XLOOKUP(Table1[[#This Row],[Phase]],'Lookup tables'!$Y$27:$Y$60,'Lookup tables'!$Z$27:$Z$60,"Not Updated")</f>
        <v>Exploratory</v>
      </c>
      <c r="AA315" s="17">
        <v>0</v>
      </c>
      <c r="AB315">
        <v>0</v>
      </c>
      <c r="AC315">
        <v>0</v>
      </c>
      <c r="AD315">
        <v>0</v>
      </c>
      <c r="AE315">
        <v>0</v>
      </c>
      <c r="AF315">
        <v>0</v>
      </c>
      <c r="AG315">
        <v>0</v>
      </c>
      <c r="AH315">
        <v>0</v>
      </c>
      <c r="AI315">
        <v>0</v>
      </c>
      <c r="AJ315">
        <v>0</v>
      </c>
      <c r="AK315">
        <v>0</v>
      </c>
      <c r="AL315">
        <v>0</v>
      </c>
      <c r="AM315">
        <v>0</v>
      </c>
      <c r="AN315">
        <v>0</v>
      </c>
      <c r="AO315">
        <v>0</v>
      </c>
      <c r="AP315">
        <v>0</v>
      </c>
      <c r="AQ315">
        <v>0</v>
      </c>
      <c r="AR315">
        <v>0</v>
      </c>
      <c r="AS315">
        <v>0</v>
      </c>
      <c r="AT315">
        <v>0</v>
      </c>
      <c r="AU315">
        <v>0</v>
      </c>
      <c r="AV315">
        <v>0</v>
      </c>
      <c r="AW315">
        <v>0</v>
      </c>
      <c r="BG315" s="185"/>
      <c r="BH315" s="185"/>
      <c r="BI315" s="185"/>
      <c r="BJ315" s="185"/>
      <c r="BK315" s="185"/>
      <c r="BL315" s="185"/>
      <c r="BM315" s="185"/>
      <c r="BN315" s="185"/>
      <c r="BO315" s="185"/>
      <c r="BP315" s="185"/>
      <c r="BQ315" s="185"/>
      <c r="BR315" s="185"/>
      <c r="BS315" s="185"/>
      <c r="BT315" s="185"/>
      <c r="BU315" t="b">
        <f>IF(_xlfn.MAXIFS(Table1[Sl No],Table1[Category],Table1[[#This Row],[Category]],Table1[Execution Year],Table1[[#This Row],[Execution Year]])=Table1[[#This Row],[Sl No]],TRUE,FALSE)</f>
        <v>0</v>
      </c>
      <c r="BV315" s="201">
        <f>SUM(Table1[[#This Row],[Spend - CAN]:[Spend - Sams]])+SUM(Table1[[#This Row],[Spend - Sams Mexico]:[Spend - Sams China]])+Table1[[#This Row],[Spend - IND]]</f>
        <v>96762082.200000003</v>
      </c>
      <c r="BW315">
        <f>SUM(Table1[[#This Row],[Savings - CAN]:[Savings - Sams]])+SUM(Table1[[#This Row],[Savings - Sams Mexico]:[Savings - Sams China]])+Table1[[#This Row],[Savings - IND]]</f>
        <v>0</v>
      </c>
      <c r="BX315">
        <f>SUM(Table1[[#This Row],[Spend - CAN]:[Spend - SAF]])+SUM(Table1[[#This Row],[Spend - Sams Mexico]:[Spend - Sams China]])+Table1[[#This Row],[Spend - IND]]</f>
        <v>18300000</v>
      </c>
      <c r="BY315">
        <f>SUM(Table1[[#This Row],[Savings - CAN]:[Savings - SAF]])+SUM(Table1[[#This Row],[Savings - Sams Mexico]:[Savings - Sams China]])+Table1[[#This Row],[Savings - IND]]</f>
        <v>0</v>
      </c>
      <c r="BZ315">
        <f>SUM(Table1[[#This Row],[Spend - US]:[Spend - Sams]])</f>
        <v>78462082.200000003</v>
      </c>
      <c r="CA315">
        <f>SUM(Table1[[#This Row],[Savings - US]:[Savings - Sams]])</f>
        <v>0</v>
      </c>
      <c r="CB315">
        <f>SUM(Table1[[#This Row],[Cost Avoidance - CAN2]:[Cost Avoidance - SAF10]])+SUM(Table1[[#This Row],[Cost Avoidance - Sams Mexico]:[Cost Avoidance - Sams China]])+Table1[[#This Row],[Cost Avoidance - IND]]</f>
        <v>0</v>
      </c>
      <c r="CC315">
        <f>SUM(Table1[[#This Row],[Cost Avoidance - US11]:[Cost Avoidance - Sams12]])</f>
        <v>0</v>
      </c>
      <c r="CD315" t="str">
        <f>_xlfn.XLOOKUP(Table1[[#This Row],[Status]],Status_Lookups[Status],Status_Lookups[Value],"")</f>
        <v/>
      </c>
    </row>
    <row r="316" spans="1:82">
      <c r="A316">
        <v>4</v>
      </c>
      <c r="B316" t="s">
        <v>112</v>
      </c>
      <c r="C316" t="s">
        <v>43</v>
      </c>
      <c r="D316" t="s">
        <v>39</v>
      </c>
      <c r="E316" s="15">
        <v>44440</v>
      </c>
      <c r="F316" s="15">
        <v>44530</v>
      </c>
      <c r="G316" s="15"/>
      <c r="H316" s="15"/>
      <c r="I316" t="s">
        <v>458</v>
      </c>
      <c r="J316">
        <v>0</v>
      </c>
      <c r="K316" t="s">
        <v>445</v>
      </c>
      <c r="L316">
        <v>0</v>
      </c>
      <c r="M316">
        <v>2300000</v>
      </c>
      <c r="N316">
        <v>1900000</v>
      </c>
      <c r="O316">
        <v>2700000</v>
      </c>
      <c r="P316">
        <v>1200000</v>
      </c>
      <c r="Q316">
        <v>300000</v>
      </c>
      <c r="R316">
        <v>400000</v>
      </c>
      <c r="S316">
        <v>0</v>
      </c>
      <c r="T316">
        <v>9500000</v>
      </c>
      <c r="U316">
        <v>0</v>
      </c>
      <c r="V316">
        <v>78462082.200000003</v>
      </c>
      <c r="W316">
        <v>0</v>
      </c>
      <c r="X316" t="s">
        <v>445</v>
      </c>
      <c r="Y316" s="16">
        <v>44302.641285185186</v>
      </c>
      <c r="Z316" s="17" t="str">
        <f>_xlfn.XLOOKUP(Table1[[#This Row],[Phase]],'Lookup tables'!$Y$27:$Y$60,'Lookup tables'!$Z$27:$Z$60,"Not Updated")</f>
        <v>Exploratory</v>
      </c>
      <c r="AA316" s="17">
        <v>0</v>
      </c>
      <c r="AB316">
        <v>0</v>
      </c>
      <c r="AC316">
        <v>0</v>
      </c>
      <c r="AD316">
        <v>0</v>
      </c>
      <c r="AE316">
        <v>0</v>
      </c>
      <c r="AF316">
        <v>0</v>
      </c>
      <c r="AG316">
        <v>0</v>
      </c>
      <c r="AH316">
        <v>0</v>
      </c>
      <c r="AI316">
        <v>0</v>
      </c>
      <c r="AJ316">
        <v>0</v>
      </c>
      <c r="AK316">
        <v>0</v>
      </c>
      <c r="AL316">
        <v>0</v>
      </c>
      <c r="AM316">
        <v>0</v>
      </c>
      <c r="AN316">
        <v>0</v>
      </c>
      <c r="AO316">
        <v>0</v>
      </c>
      <c r="AP316">
        <v>0</v>
      </c>
      <c r="AQ316">
        <v>0</v>
      </c>
      <c r="AR316">
        <v>0</v>
      </c>
      <c r="AS316">
        <v>0</v>
      </c>
      <c r="AT316">
        <v>0</v>
      </c>
      <c r="AU316">
        <v>0</v>
      </c>
      <c r="AV316">
        <v>0</v>
      </c>
      <c r="AW316">
        <v>0</v>
      </c>
      <c r="BG316" s="185"/>
      <c r="BH316" s="185"/>
      <c r="BI316" s="185"/>
      <c r="BJ316" s="185"/>
      <c r="BK316" s="185"/>
      <c r="BL316" s="185"/>
      <c r="BM316" s="185"/>
      <c r="BN316" s="185"/>
      <c r="BO316" s="185"/>
      <c r="BP316" s="185"/>
      <c r="BQ316" s="185"/>
      <c r="BR316" s="185"/>
      <c r="BS316" s="185"/>
      <c r="BT316" s="185"/>
      <c r="BU316" t="b">
        <f>IF(_xlfn.MAXIFS(Table1[Sl No],Table1[Category],Table1[[#This Row],[Category]],Table1[Execution Year],Table1[[#This Row],[Execution Year]])=Table1[[#This Row],[Sl No]],TRUE,FALSE)</f>
        <v>0</v>
      </c>
      <c r="BV316" s="201">
        <f>SUM(Table1[[#This Row],[Spend - CAN]:[Spend - Sams]])+SUM(Table1[[#This Row],[Spend - Sams Mexico]:[Spend - Sams China]])+Table1[[#This Row],[Spend - IND]]</f>
        <v>96762082.200000003</v>
      </c>
      <c r="BW316">
        <f>SUM(Table1[[#This Row],[Savings - CAN]:[Savings - Sams]])+SUM(Table1[[#This Row],[Savings - Sams Mexico]:[Savings - Sams China]])+Table1[[#This Row],[Savings - IND]]</f>
        <v>0</v>
      </c>
      <c r="BX316">
        <f>SUM(Table1[[#This Row],[Spend - CAN]:[Spend - SAF]])+SUM(Table1[[#This Row],[Spend - Sams Mexico]:[Spend - Sams China]])+Table1[[#This Row],[Spend - IND]]</f>
        <v>18300000</v>
      </c>
      <c r="BY316">
        <f>SUM(Table1[[#This Row],[Savings - CAN]:[Savings - SAF]])+SUM(Table1[[#This Row],[Savings - Sams Mexico]:[Savings - Sams China]])+Table1[[#This Row],[Savings - IND]]</f>
        <v>0</v>
      </c>
      <c r="BZ316">
        <f>SUM(Table1[[#This Row],[Spend - US]:[Spend - Sams]])</f>
        <v>78462082.200000003</v>
      </c>
      <c r="CA316">
        <f>SUM(Table1[[#This Row],[Savings - US]:[Savings - Sams]])</f>
        <v>0</v>
      </c>
      <c r="CB316">
        <f>SUM(Table1[[#This Row],[Cost Avoidance - CAN2]:[Cost Avoidance - SAF10]])+SUM(Table1[[#This Row],[Cost Avoidance - Sams Mexico]:[Cost Avoidance - Sams China]])+Table1[[#This Row],[Cost Avoidance - IND]]</f>
        <v>0</v>
      </c>
      <c r="CC316">
        <f>SUM(Table1[[#This Row],[Cost Avoidance - US11]:[Cost Avoidance - Sams12]])</f>
        <v>0</v>
      </c>
      <c r="CD316" t="str">
        <f>_xlfn.XLOOKUP(Table1[[#This Row],[Status]],Status_Lookups[Status],Status_Lookups[Value],"")</f>
        <v/>
      </c>
    </row>
    <row r="317" spans="1:82">
      <c r="A317">
        <v>5</v>
      </c>
      <c r="B317" t="s">
        <v>112</v>
      </c>
      <c r="C317" t="s">
        <v>43</v>
      </c>
      <c r="D317" t="s">
        <v>39</v>
      </c>
      <c r="E317" s="15">
        <v>44440</v>
      </c>
      <c r="F317" s="15">
        <v>44552</v>
      </c>
      <c r="G317" s="15">
        <v>0</v>
      </c>
      <c r="H317" s="15">
        <v>0</v>
      </c>
      <c r="I317" t="s">
        <v>458</v>
      </c>
      <c r="J317">
        <v>0</v>
      </c>
      <c r="K317" t="s">
        <v>445</v>
      </c>
      <c r="L317">
        <v>0</v>
      </c>
      <c r="M317">
        <v>2300000</v>
      </c>
      <c r="N317">
        <v>1900000</v>
      </c>
      <c r="O317">
        <v>2700000</v>
      </c>
      <c r="P317">
        <v>1200000</v>
      </c>
      <c r="Q317">
        <v>300000</v>
      </c>
      <c r="R317">
        <v>400000</v>
      </c>
      <c r="S317">
        <v>0</v>
      </c>
      <c r="T317">
        <v>9500000</v>
      </c>
      <c r="U317">
        <v>0</v>
      </c>
      <c r="V317">
        <v>78462082.200000003</v>
      </c>
      <c r="W317">
        <v>0</v>
      </c>
      <c r="X317" t="s">
        <v>445</v>
      </c>
      <c r="Y317" s="16">
        <v>44342.809746874998</v>
      </c>
      <c r="Z317" s="17" t="str">
        <f>_xlfn.XLOOKUP(Table1[[#This Row],[Phase]],'Lookup tables'!$Y$27:$Y$60,'Lookup tables'!$Z$27:$Z$60,"Not Updated")</f>
        <v>Exploratory</v>
      </c>
      <c r="AA317" s="17">
        <v>0</v>
      </c>
      <c r="AB317">
        <v>0</v>
      </c>
      <c r="AC317">
        <v>0</v>
      </c>
      <c r="AD317">
        <v>0</v>
      </c>
      <c r="AE317">
        <v>0</v>
      </c>
      <c r="AF317">
        <v>0</v>
      </c>
      <c r="AG317">
        <v>0</v>
      </c>
      <c r="AH317">
        <v>0</v>
      </c>
      <c r="AI317">
        <v>0</v>
      </c>
      <c r="AJ317">
        <v>0</v>
      </c>
      <c r="AK317">
        <v>0</v>
      </c>
      <c r="AL317">
        <v>0</v>
      </c>
      <c r="AM317">
        <v>0</v>
      </c>
      <c r="AN317">
        <v>0</v>
      </c>
      <c r="AO317">
        <v>0</v>
      </c>
      <c r="AP317">
        <v>0</v>
      </c>
      <c r="AQ317">
        <v>0</v>
      </c>
      <c r="AR317">
        <v>0</v>
      </c>
      <c r="AS317">
        <v>0</v>
      </c>
      <c r="AT317">
        <v>0</v>
      </c>
      <c r="AU317">
        <v>0</v>
      </c>
      <c r="AV317">
        <v>0</v>
      </c>
      <c r="AW317">
        <v>0</v>
      </c>
      <c r="BG317" s="185"/>
      <c r="BH317" s="185"/>
      <c r="BI317" s="185"/>
      <c r="BJ317" s="185"/>
      <c r="BK317" s="185"/>
      <c r="BL317" s="185"/>
      <c r="BM317" s="185"/>
      <c r="BN317" s="185"/>
      <c r="BO317" s="185"/>
      <c r="BP317" s="185"/>
      <c r="BQ317" s="185"/>
      <c r="BR317" s="185"/>
      <c r="BS317" s="185"/>
      <c r="BT317" s="185"/>
      <c r="BU317" t="b">
        <f>IF(_xlfn.MAXIFS(Table1[Sl No],Table1[Category],Table1[[#This Row],[Category]],Table1[Execution Year],Table1[[#This Row],[Execution Year]])=Table1[[#This Row],[Sl No]],TRUE,FALSE)</f>
        <v>0</v>
      </c>
      <c r="BV317" s="201">
        <f>SUM(Table1[[#This Row],[Spend - CAN]:[Spend - Sams]])+SUM(Table1[[#This Row],[Spend - Sams Mexico]:[Spend - Sams China]])+Table1[[#This Row],[Spend - IND]]</f>
        <v>96762082.200000003</v>
      </c>
      <c r="BW317">
        <f>SUM(Table1[[#This Row],[Savings - CAN]:[Savings - Sams]])+SUM(Table1[[#This Row],[Savings - Sams Mexico]:[Savings - Sams China]])+Table1[[#This Row],[Savings - IND]]</f>
        <v>0</v>
      </c>
      <c r="BX317">
        <f>SUM(Table1[[#This Row],[Spend - CAN]:[Spend - SAF]])+SUM(Table1[[#This Row],[Spend - Sams Mexico]:[Spend - Sams China]])+Table1[[#This Row],[Spend - IND]]</f>
        <v>18300000</v>
      </c>
      <c r="BY317">
        <f>SUM(Table1[[#This Row],[Savings - CAN]:[Savings - SAF]])+SUM(Table1[[#This Row],[Savings - Sams Mexico]:[Savings - Sams China]])+Table1[[#This Row],[Savings - IND]]</f>
        <v>0</v>
      </c>
      <c r="BZ317">
        <f>SUM(Table1[[#This Row],[Spend - US]:[Spend - Sams]])</f>
        <v>78462082.200000003</v>
      </c>
      <c r="CA317">
        <f>SUM(Table1[[#This Row],[Savings - US]:[Savings - Sams]])</f>
        <v>0</v>
      </c>
      <c r="CB317">
        <f>SUM(Table1[[#This Row],[Cost Avoidance - CAN2]:[Cost Avoidance - SAF10]])+SUM(Table1[[#This Row],[Cost Avoidance - Sams Mexico]:[Cost Avoidance - Sams China]])+Table1[[#This Row],[Cost Avoidance - IND]]</f>
        <v>0</v>
      </c>
      <c r="CC317">
        <f>SUM(Table1[[#This Row],[Cost Avoidance - US11]:[Cost Avoidance - Sams12]])</f>
        <v>0</v>
      </c>
      <c r="CD317" t="str">
        <f>_xlfn.XLOOKUP(Table1[[#This Row],[Status]],Status_Lookups[Status],Status_Lookups[Value],"")</f>
        <v/>
      </c>
    </row>
    <row r="318" spans="1:82">
      <c r="A318">
        <v>6</v>
      </c>
      <c r="B318" t="s">
        <v>112</v>
      </c>
      <c r="C318" t="s">
        <v>43</v>
      </c>
      <c r="D318" t="s">
        <v>39</v>
      </c>
      <c r="E318" s="15">
        <v>44440</v>
      </c>
      <c r="F318" s="15">
        <v>44552</v>
      </c>
      <c r="G318" s="15">
        <v>0</v>
      </c>
      <c r="H318" s="15">
        <v>0</v>
      </c>
      <c r="I318" t="s">
        <v>458</v>
      </c>
      <c r="J318" t="s">
        <v>459</v>
      </c>
      <c r="K318" t="s">
        <v>445</v>
      </c>
      <c r="L318">
        <v>0</v>
      </c>
      <c r="M318">
        <v>2300000</v>
      </c>
      <c r="N318">
        <v>1900000</v>
      </c>
      <c r="O318">
        <v>2700000</v>
      </c>
      <c r="P318">
        <v>1200000</v>
      </c>
      <c r="Q318">
        <v>300000</v>
      </c>
      <c r="R318">
        <v>400000</v>
      </c>
      <c r="S318">
        <v>0</v>
      </c>
      <c r="T318">
        <v>9500000</v>
      </c>
      <c r="U318">
        <v>0</v>
      </c>
      <c r="V318">
        <v>78462082.200000003</v>
      </c>
      <c r="W318">
        <v>0</v>
      </c>
      <c r="X318" t="s">
        <v>445</v>
      </c>
      <c r="Y318" s="16">
        <v>44389.565875462962</v>
      </c>
      <c r="Z318" s="17" t="str">
        <f>_xlfn.XLOOKUP(Table1[[#This Row],[Phase]],'Lookup tables'!$Y$27:$Y$60,'Lookup tables'!$Z$27:$Z$60,"Not Updated")</f>
        <v>Exploratory</v>
      </c>
      <c r="AA318" s="17"/>
      <c r="AB318">
        <v>0</v>
      </c>
      <c r="AC318">
        <v>0</v>
      </c>
      <c r="AD318">
        <v>0</v>
      </c>
      <c r="AE318">
        <v>0</v>
      </c>
      <c r="AF318">
        <v>0</v>
      </c>
      <c r="AG318">
        <v>0</v>
      </c>
      <c r="AH318">
        <v>0</v>
      </c>
      <c r="AI318">
        <v>0</v>
      </c>
      <c r="AJ318">
        <v>0</v>
      </c>
      <c r="AK318">
        <v>0</v>
      </c>
      <c r="AL318">
        <v>0</v>
      </c>
      <c r="AM318">
        <v>0</v>
      </c>
      <c r="AN318">
        <v>0</v>
      </c>
      <c r="AO318">
        <v>0</v>
      </c>
      <c r="AP318">
        <v>0</v>
      </c>
      <c r="AQ318">
        <v>0</v>
      </c>
      <c r="AR318">
        <v>0</v>
      </c>
      <c r="AS318">
        <v>0</v>
      </c>
      <c r="AT318">
        <v>0</v>
      </c>
      <c r="AU318">
        <v>0</v>
      </c>
      <c r="AV318">
        <v>0</v>
      </c>
      <c r="AW318">
        <v>0</v>
      </c>
      <c r="BG318" s="185"/>
      <c r="BH318" s="185"/>
      <c r="BI318" s="185"/>
      <c r="BJ318" s="185"/>
      <c r="BK318" s="185"/>
      <c r="BL318" s="185"/>
      <c r="BM318" s="185"/>
      <c r="BN318" s="185"/>
      <c r="BO318" s="185"/>
      <c r="BP318" s="185"/>
      <c r="BQ318" s="185"/>
      <c r="BR318" s="185"/>
      <c r="BS318" s="185"/>
      <c r="BT318" s="185"/>
      <c r="BU318" t="b">
        <f>IF(_xlfn.MAXIFS(Table1[Sl No],Table1[Category],Table1[[#This Row],[Category]],Table1[Execution Year],Table1[[#This Row],[Execution Year]])=Table1[[#This Row],[Sl No]],TRUE,FALSE)</f>
        <v>0</v>
      </c>
      <c r="BV318" s="201">
        <f>SUM(Table1[[#This Row],[Spend - CAN]:[Spend - Sams]])+SUM(Table1[[#This Row],[Spend - Sams Mexico]:[Spend - Sams China]])+Table1[[#This Row],[Spend - IND]]</f>
        <v>96762082.200000003</v>
      </c>
      <c r="BW318">
        <f>SUM(Table1[[#This Row],[Savings - CAN]:[Savings - Sams]])+SUM(Table1[[#This Row],[Savings - Sams Mexico]:[Savings - Sams China]])+Table1[[#This Row],[Savings - IND]]</f>
        <v>0</v>
      </c>
      <c r="BX318">
        <f>SUM(Table1[[#This Row],[Spend - CAN]:[Spend - SAF]])+SUM(Table1[[#This Row],[Spend - Sams Mexico]:[Spend - Sams China]])+Table1[[#This Row],[Spend - IND]]</f>
        <v>18300000</v>
      </c>
      <c r="BY318">
        <f>SUM(Table1[[#This Row],[Savings - CAN]:[Savings - SAF]])+SUM(Table1[[#This Row],[Savings - Sams Mexico]:[Savings - Sams China]])+Table1[[#This Row],[Savings - IND]]</f>
        <v>0</v>
      </c>
      <c r="BZ318">
        <f>SUM(Table1[[#This Row],[Spend - US]:[Spend - Sams]])</f>
        <v>78462082.200000003</v>
      </c>
      <c r="CA318">
        <f>SUM(Table1[[#This Row],[Savings - US]:[Savings - Sams]])</f>
        <v>0</v>
      </c>
      <c r="CB318">
        <f>SUM(Table1[[#This Row],[Cost Avoidance - CAN2]:[Cost Avoidance - SAF10]])+SUM(Table1[[#This Row],[Cost Avoidance - Sams Mexico]:[Cost Avoidance - Sams China]])+Table1[[#This Row],[Cost Avoidance - IND]]</f>
        <v>0</v>
      </c>
      <c r="CC318">
        <f>SUM(Table1[[#This Row],[Cost Avoidance - US11]:[Cost Avoidance - Sams12]])</f>
        <v>0</v>
      </c>
      <c r="CD318">
        <f>_xlfn.XLOOKUP(Table1[[#This Row],[Status]],Status_Lookups[Status],Status_Lookups[Value],"")</f>
        <v>0.3</v>
      </c>
    </row>
    <row r="319" spans="1:82">
      <c r="A319">
        <v>7</v>
      </c>
      <c r="B319" t="s">
        <v>112</v>
      </c>
      <c r="C319" t="s">
        <v>43</v>
      </c>
      <c r="D319" t="s">
        <v>39</v>
      </c>
      <c r="E319" s="15">
        <v>44440</v>
      </c>
      <c r="F319" s="15">
        <v>44552</v>
      </c>
      <c r="G319" s="15">
        <v>0</v>
      </c>
      <c r="H319" s="15">
        <v>0</v>
      </c>
      <c r="I319" t="s">
        <v>484</v>
      </c>
      <c r="J319" t="s">
        <v>459</v>
      </c>
      <c r="K319" t="s">
        <v>445</v>
      </c>
      <c r="L319">
        <v>0</v>
      </c>
      <c r="M319">
        <v>2300000</v>
      </c>
      <c r="N319">
        <v>1900000</v>
      </c>
      <c r="O319">
        <v>2700000</v>
      </c>
      <c r="P319">
        <v>1200000</v>
      </c>
      <c r="Q319">
        <v>300000</v>
      </c>
      <c r="R319">
        <v>400000</v>
      </c>
      <c r="S319">
        <v>0</v>
      </c>
      <c r="T319">
        <v>9500000</v>
      </c>
      <c r="U319">
        <v>0</v>
      </c>
      <c r="V319">
        <v>78462082.200000003</v>
      </c>
      <c r="W319">
        <v>0</v>
      </c>
      <c r="X319" t="s">
        <v>78</v>
      </c>
      <c r="Y319" s="16">
        <v>44403.402032638885</v>
      </c>
      <c r="Z319" s="17" t="str">
        <f>_xlfn.XLOOKUP(Table1[[#This Row],[Phase]],'Lookup tables'!$Y$27:$Y$60,'Lookup tables'!$Z$27:$Z$60,"Not Updated")</f>
        <v>Bid Prep</v>
      </c>
      <c r="AA319" s="17"/>
      <c r="AB319">
        <v>0</v>
      </c>
      <c r="AC319">
        <v>0</v>
      </c>
      <c r="AD319">
        <v>0</v>
      </c>
      <c r="AE319">
        <v>0</v>
      </c>
      <c r="AF319">
        <v>0</v>
      </c>
      <c r="AG319">
        <v>0</v>
      </c>
      <c r="AH319">
        <v>0</v>
      </c>
      <c r="AI319">
        <v>0</v>
      </c>
      <c r="AJ319">
        <v>0</v>
      </c>
      <c r="AK319">
        <v>0</v>
      </c>
      <c r="AL319">
        <v>0</v>
      </c>
      <c r="AM319">
        <v>0</v>
      </c>
      <c r="AN319">
        <v>0</v>
      </c>
      <c r="AO319">
        <v>0</v>
      </c>
      <c r="AP319">
        <v>0</v>
      </c>
      <c r="AQ319">
        <v>0</v>
      </c>
      <c r="AR319">
        <v>0</v>
      </c>
      <c r="AS319">
        <v>0</v>
      </c>
      <c r="AT319">
        <v>0</v>
      </c>
      <c r="AU319">
        <v>0</v>
      </c>
      <c r="AV319">
        <v>0</v>
      </c>
      <c r="AW319">
        <v>0</v>
      </c>
      <c r="BG319" s="185"/>
      <c r="BH319" s="185"/>
      <c r="BI319" s="185"/>
      <c r="BJ319" s="185"/>
      <c r="BK319" s="185"/>
      <c r="BL319" s="185"/>
      <c r="BM319" s="185"/>
      <c r="BN319" s="185"/>
      <c r="BO319" s="185"/>
      <c r="BP319" s="185"/>
      <c r="BQ319" s="185"/>
      <c r="BR319" s="185"/>
      <c r="BS319" s="185"/>
      <c r="BT319" s="185"/>
      <c r="BU319" t="b">
        <f>IF(_xlfn.MAXIFS(Table1[Sl No],Table1[Category],Table1[[#This Row],[Category]],Table1[Execution Year],Table1[[#This Row],[Execution Year]])=Table1[[#This Row],[Sl No]],TRUE,FALSE)</f>
        <v>0</v>
      </c>
      <c r="BV319" s="201">
        <f>SUM(Table1[[#This Row],[Spend - CAN]:[Spend - Sams]])+SUM(Table1[[#This Row],[Spend - Sams Mexico]:[Spend - Sams China]])+Table1[[#This Row],[Spend - IND]]</f>
        <v>96762082.200000003</v>
      </c>
      <c r="BW319">
        <f>SUM(Table1[[#This Row],[Savings - CAN]:[Savings - Sams]])+SUM(Table1[[#This Row],[Savings - Sams Mexico]:[Savings - Sams China]])+Table1[[#This Row],[Savings - IND]]</f>
        <v>0</v>
      </c>
      <c r="BX319">
        <f>SUM(Table1[[#This Row],[Spend - CAN]:[Spend - SAF]])+SUM(Table1[[#This Row],[Spend - Sams Mexico]:[Spend - Sams China]])+Table1[[#This Row],[Spend - IND]]</f>
        <v>18300000</v>
      </c>
      <c r="BY319">
        <f>SUM(Table1[[#This Row],[Savings - CAN]:[Savings - SAF]])+SUM(Table1[[#This Row],[Savings - Sams Mexico]:[Savings - Sams China]])+Table1[[#This Row],[Savings - IND]]</f>
        <v>0</v>
      </c>
      <c r="BZ319">
        <f>SUM(Table1[[#This Row],[Spend - US]:[Spend - Sams]])</f>
        <v>78462082.200000003</v>
      </c>
      <c r="CA319">
        <f>SUM(Table1[[#This Row],[Savings - US]:[Savings - Sams]])</f>
        <v>0</v>
      </c>
      <c r="CB319">
        <f>SUM(Table1[[#This Row],[Cost Avoidance - CAN2]:[Cost Avoidance - SAF10]])+SUM(Table1[[#This Row],[Cost Avoidance - Sams Mexico]:[Cost Avoidance - Sams China]])+Table1[[#This Row],[Cost Avoidance - IND]]</f>
        <v>0</v>
      </c>
      <c r="CC319">
        <f>SUM(Table1[[#This Row],[Cost Avoidance - US11]:[Cost Avoidance - Sams12]])</f>
        <v>0</v>
      </c>
      <c r="CD319">
        <f>_xlfn.XLOOKUP(Table1[[#This Row],[Status]],Status_Lookups[Status],Status_Lookups[Value],"")</f>
        <v>0.3</v>
      </c>
    </row>
    <row r="320" spans="1:82">
      <c r="A320">
        <v>8</v>
      </c>
      <c r="B320" t="s">
        <v>112</v>
      </c>
      <c r="C320" t="s">
        <v>43</v>
      </c>
      <c r="D320" t="s">
        <v>39</v>
      </c>
      <c r="E320" s="15">
        <v>44409</v>
      </c>
      <c r="F320" s="15">
        <v>44621</v>
      </c>
      <c r="G320" s="15">
        <v>0</v>
      </c>
      <c r="H320" s="15">
        <v>0</v>
      </c>
      <c r="I320" t="s">
        <v>484</v>
      </c>
      <c r="J320" t="s">
        <v>459</v>
      </c>
      <c r="K320" t="s">
        <v>445</v>
      </c>
      <c r="L320">
        <v>0</v>
      </c>
      <c r="M320">
        <v>2300000</v>
      </c>
      <c r="N320">
        <v>1900000</v>
      </c>
      <c r="O320">
        <v>2700000</v>
      </c>
      <c r="P320">
        <v>1200000</v>
      </c>
      <c r="Q320">
        <v>300000</v>
      </c>
      <c r="R320">
        <v>400000</v>
      </c>
      <c r="S320">
        <v>0</v>
      </c>
      <c r="T320">
        <v>9500000</v>
      </c>
      <c r="U320">
        <v>0</v>
      </c>
      <c r="V320">
        <v>78462082.200000003</v>
      </c>
      <c r="W320">
        <v>0</v>
      </c>
      <c r="X320" t="s">
        <v>78</v>
      </c>
      <c r="Y320" s="16">
        <v>44502.437190046294</v>
      </c>
      <c r="Z320" s="17" t="str">
        <f>_xlfn.XLOOKUP(Table1[[#This Row],[Phase]],'Lookup tables'!$Y$27:$Y$60,'Lookup tables'!$Z$27:$Z$60,"Not Updated")</f>
        <v>Bid Prep</v>
      </c>
      <c r="AA320" s="17">
        <v>0</v>
      </c>
      <c r="AB320">
        <v>0</v>
      </c>
      <c r="AC320">
        <v>0</v>
      </c>
      <c r="AD320">
        <v>0</v>
      </c>
      <c r="AE320">
        <v>0</v>
      </c>
      <c r="AF320">
        <v>0</v>
      </c>
      <c r="AG320">
        <v>0</v>
      </c>
      <c r="AH320">
        <v>0</v>
      </c>
      <c r="AI320">
        <v>0</v>
      </c>
      <c r="AJ320">
        <v>0</v>
      </c>
      <c r="AK320">
        <v>0</v>
      </c>
      <c r="AL320">
        <v>0</v>
      </c>
      <c r="AM320">
        <v>0</v>
      </c>
      <c r="AN320">
        <v>0</v>
      </c>
      <c r="AO320">
        <v>0</v>
      </c>
      <c r="AP320">
        <v>0</v>
      </c>
      <c r="AQ320">
        <v>0</v>
      </c>
      <c r="AR320">
        <v>0</v>
      </c>
      <c r="AS320">
        <v>0</v>
      </c>
      <c r="AT320">
        <v>0</v>
      </c>
      <c r="AU320">
        <v>0</v>
      </c>
      <c r="AV320">
        <v>0</v>
      </c>
      <c r="AW320">
        <v>0</v>
      </c>
      <c r="BG320" s="185"/>
      <c r="BH320" s="185"/>
      <c r="BI320" s="185"/>
      <c r="BJ320" s="185"/>
      <c r="BK320" s="185"/>
      <c r="BL320" s="185"/>
      <c r="BM320" s="185"/>
      <c r="BN320" s="185"/>
      <c r="BO320" s="185"/>
      <c r="BP320" s="185"/>
      <c r="BQ320" s="185"/>
      <c r="BR320" s="185"/>
      <c r="BS320" s="185"/>
      <c r="BT320" s="185"/>
      <c r="BU320" t="b">
        <f>IF(_xlfn.MAXIFS(Table1[Sl No],Table1[Category],Table1[[#This Row],[Category]],Table1[Execution Year],Table1[[#This Row],[Execution Year]])=Table1[[#This Row],[Sl No]],TRUE,FALSE)</f>
        <v>0</v>
      </c>
      <c r="BV320" s="201">
        <f>SUM(Table1[[#This Row],[Spend - CAN]:[Spend - Sams]])+SUM(Table1[[#This Row],[Spend - Sams Mexico]:[Spend - Sams China]])+Table1[[#This Row],[Spend - IND]]</f>
        <v>96762082.200000003</v>
      </c>
      <c r="BW320">
        <f>SUM(Table1[[#This Row],[Savings - CAN]:[Savings - Sams]])+SUM(Table1[[#This Row],[Savings - Sams Mexico]:[Savings - Sams China]])+Table1[[#This Row],[Savings - IND]]</f>
        <v>0</v>
      </c>
      <c r="BX320">
        <f>SUM(Table1[[#This Row],[Spend - CAN]:[Spend - SAF]])+SUM(Table1[[#This Row],[Spend - Sams Mexico]:[Spend - Sams China]])+Table1[[#This Row],[Spend - IND]]</f>
        <v>18300000</v>
      </c>
      <c r="BY320">
        <f>SUM(Table1[[#This Row],[Savings - CAN]:[Savings - SAF]])+SUM(Table1[[#This Row],[Savings - Sams Mexico]:[Savings - Sams China]])+Table1[[#This Row],[Savings - IND]]</f>
        <v>0</v>
      </c>
      <c r="BZ320">
        <f>SUM(Table1[[#This Row],[Spend - US]:[Spend - Sams]])</f>
        <v>78462082.200000003</v>
      </c>
      <c r="CA320">
        <f>SUM(Table1[[#This Row],[Savings - US]:[Savings - Sams]])</f>
        <v>0</v>
      </c>
      <c r="CB320">
        <f>SUM(Table1[[#This Row],[Cost Avoidance - CAN2]:[Cost Avoidance - SAF10]])+SUM(Table1[[#This Row],[Cost Avoidance - Sams Mexico]:[Cost Avoidance - Sams China]])+Table1[[#This Row],[Cost Avoidance - IND]]</f>
        <v>0</v>
      </c>
      <c r="CC320">
        <f>SUM(Table1[[#This Row],[Cost Avoidance - US11]:[Cost Avoidance - Sams12]])</f>
        <v>0</v>
      </c>
      <c r="CD320">
        <f>_xlfn.XLOOKUP(Table1[[#This Row],[Status]],Status_Lookups[Status],Status_Lookups[Value],"")</f>
        <v>0.3</v>
      </c>
    </row>
    <row r="321" spans="1:82">
      <c r="A321">
        <v>9</v>
      </c>
      <c r="B321" t="s">
        <v>112</v>
      </c>
      <c r="C321" t="s">
        <v>43</v>
      </c>
      <c r="D321" t="s">
        <v>39</v>
      </c>
      <c r="E321" s="15">
        <v>44409</v>
      </c>
      <c r="F321" s="15">
        <v>44621</v>
      </c>
      <c r="G321" s="15">
        <v>0</v>
      </c>
      <c r="H321" s="15">
        <v>0</v>
      </c>
      <c r="I321" t="s">
        <v>484</v>
      </c>
      <c r="J321" t="s">
        <v>459</v>
      </c>
      <c r="K321" t="s">
        <v>445</v>
      </c>
      <c r="L321">
        <v>0</v>
      </c>
      <c r="M321">
        <v>0</v>
      </c>
      <c r="N321">
        <v>7130908.2999999998</v>
      </c>
      <c r="O321">
        <v>1980407.33</v>
      </c>
      <c r="P321">
        <v>184368</v>
      </c>
      <c r="Q321">
        <v>0</v>
      </c>
      <c r="R321">
        <v>0</v>
      </c>
      <c r="S321">
        <v>0</v>
      </c>
      <c r="T321">
        <v>0</v>
      </c>
      <c r="U321">
        <v>0</v>
      </c>
      <c r="V321">
        <v>125750772.41</v>
      </c>
      <c r="W321">
        <v>0</v>
      </c>
      <c r="X321" t="s">
        <v>445</v>
      </c>
      <c r="Y321" s="16">
        <v>44526.436172800924</v>
      </c>
      <c r="Z321" s="17" t="str">
        <f>_xlfn.XLOOKUP(Table1[[#This Row],[Phase]],'Lookup tables'!$Y$27:$Y$60,'Lookup tables'!$Z$27:$Z$60,"Not Updated")</f>
        <v>Bid Prep</v>
      </c>
      <c r="AA321" s="17" t="s">
        <v>677</v>
      </c>
      <c r="AB321">
        <v>0</v>
      </c>
      <c r="AC321">
        <v>0</v>
      </c>
      <c r="AD321">
        <v>0</v>
      </c>
      <c r="AE321">
        <v>0</v>
      </c>
      <c r="AF321">
        <v>0</v>
      </c>
      <c r="AG321">
        <v>0</v>
      </c>
      <c r="AH321">
        <v>0</v>
      </c>
      <c r="AI321">
        <v>0</v>
      </c>
      <c r="AJ321">
        <v>0</v>
      </c>
      <c r="AK321">
        <v>0</v>
      </c>
      <c r="AL321">
        <v>0</v>
      </c>
      <c r="AM321">
        <v>0</v>
      </c>
      <c r="AN321">
        <v>0</v>
      </c>
      <c r="AO321">
        <v>0</v>
      </c>
      <c r="AP321">
        <v>0</v>
      </c>
      <c r="AQ321">
        <v>0</v>
      </c>
      <c r="AR321">
        <v>0</v>
      </c>
      <c r="AS321">
        <v>0</v>
      </c>
      <c r="AT321">
        <v>0</v>
      </c>
      <c r="AU321">
        <v>0</v>
      </c>
      <c r="AV321">
        <v>0</v>
      </c>
      <c r="AW321">
        <v>0</v>
      </c>
      <c r="BG321" s="185"/>
      <c r="BH321" s="185"/>
      <c r="BI321" s="185"/>
      <c r="BJ321" s="185"/>
      <c r="BK321" s="185"/>
      <c r="BL321" s="185"/>
      <c r="BM321" s="185"/>
      <c r="BN321" s="185"/>
      <c r="BO321" s="185"/>
      <c r="BP321" s="185"/>
      <c r="BQ321" s="185"/>
      <c r="BR321" s="185"/>
      <c r="BS321" s="185"/>
      <c r="BT321" s="185"/>
      <c r="BU321" t="b">
        <f>IF(_xlfn.MAXIFS(Table1[Sl No],Table1[Category],Table1[[#This Row],[Category]],Table1[Execution Year],Table1[[#This Row],[Execution Year]])=Table1[[#This Row],[Sl No]],TRUE,FALSE)</f>
        <v>0</v>
      </c>
      <c r="BV321" s="201">
        <f>SUM(Table1[[#This Row],[Spend - CAN]:[Spend - Sams]])+SUM(Table1[[#This Row],[Spend - Sams Mexico]:[Spend - Sams China]])+Table1[[#This Row],[Spend - IND]]</f>
        <v>135046456.03999999</v>
      </c>
      <c r="BW321">
        <f>SUM(Table1[[#This Row],[Savings - CAN]:[Savings - Sams]])+SUM(Table1[[#This Row],[Savings - Sams Mexico]:[Savings - Sams China]])+Table1[[#This Row],[Savings - IND]]</f>
        <v>0</v>
      </c>
      <c r="BX321">
        <f>SUM(Table1[[#This Row],[Spend - CAN]:[Spend - SAF]])+SUM(Table1[[#This Row],[Spend - Sams Mexico]:[Spend - Sams China]])+Table1[[#This Row],[Spend - IND]]</f>
        <v>9295683.629999999</v>
      </c>
      <c r="BY321">
        <f>SUM(Table1[[#This Row],[Savings - CAN]:[Savings - SAF]])+SUM(Table1[[#This Row],[Savings - Sams Mexico]:[Savings - Sams China]])+Table1[[#This Row],[Savings - IND]]</f>
        <v>0</v>
      </c>
      <c r="BZ321">
        <f>SUM(Table1[[#This Row],[Spend - US]:[Spend - Sams]])</f>
        <v>125750772.41</v>
      </c>
      <c r="CA321">
        <f>SUM(Table1[[#This Row],[Savings - US]:[Savings - Sams]])</f>
        <v>0</v>
      </c>
      <c r="CB321">
        <f>SUM(Table1[[#This Row],[Cost Avoidance - CAN2]:[Cost Avoidance - SAF10]])+SUM(Table1[[#This Row],[Cost Avoidance - Sams Mexico]:[Cost Avoidance - Sams China]])+Table1[[#This Row],[Cost Avoidance - IND]]</f>
        <v>0</v>
      </c>
      <c r="CC321">
        <f>SUM(Table1[[#This Row],[Cost Avoidance - US11]:[Cost Avoidance - Sams12]])</f>
        <v>0</v>
      </c>
      <c r="CD321">
        <f>_xlfn.XLOOKUP(Table1[[#This Row],[Status]],Status_Lookups[Status],Status_Lookups[Value],"")</f>
        <v>0.3</v>
      </c>
    </row>
    <row r="322" spans="1:82">
      <c r="A322">
        <v>10</v>
      </c>
      <c r="B322" t="s">
        <v>112</v>
      </c>
      <c r="C322" t="s">
        <v>43</v>
      </c>
      <c r="D322" t="s">
        <v>39</v>
      </c>
      <c r="E322" s="15">
        <v>44409</v>
      </c>
      <c r="F322" s="15">
        <v>44621</v>
      </c>
      <c r="G322" s="15">
        <v>0</v>
      </c>
      <c r="H322" s="15">
        <v>0</v>
      </c>
      <c r="I322" t="s">
        <v>484</v>
      </c>
      <c r="J322" t="s">
        <v>459</v>
      </c>
      <c r="K322" t="s">
        <v>445</v>
      </c>
      <c r="L322">
        <v>0</v>
      </c>
      <c r="M322">
        <v>0</v>
      </c>
      <c r="N322">
        <v>7130908.2999999998</v>
      </c>
      <c r="O322">
        <v>1980407.33</v>
      </c>
      <c r="P322">
        <v>184368</v>
      </c>
      <c r="Q322">
        <v>0</v>
      </c>
      <c r="R322">
        <v>0</v>
      </c>
      <c r="S322">
        <v>0</v>
      </c>
      <c r="T322">
        <v>0</v>
      </c>
      <c r="U322">
        <v>0</v>
      </c>
      <c r="V322">
        <v>42018996.200000003</v>
      </c>
      <c r="W322">
        <v>0</v>
      </c>
      <c r="X322" t="s">
        <v>445</v>
      </c>
      <c r="Y322" s="16">
        <v>44533.568295949073</v>
      </c>
      <c r="Z322" s="17" t="str">
        <f>_xlfn.XLOOKUP(Table1[[#This Row],[Phase]],'Lookup tables'!$Y$27:$Y$60,'Lookup tables'!$Z$27:$Z$60,"Not Updated")</f>
        <v>Bid Prep</v>
      </c>
      <c r="AA322" s="17" t="s">
        <v>678</v>
      </c>
      <c r="AB322">
        <v>0</v>
      </c>
      <c r="AC322">
        <v>0</v>
      </c>
      <c r="AD322">
        <v>0</v>
      </c>
      <c r="AE322">
        <v>0</v>
      </c>
      <c r="AF322">
        <v>0</v>
      </c>
      <c r="AG322">
        <v>0</v>
      </c>
      <c r="AH322">
        <v>0</v>
      </c>
      <c r="AI322">
        <v>0</v>
      </c>
      <c r="AJ322">
        <v>0</v>
      </c>
      <c r="AK322">
        <v>0</v>
      </c>
      <c r="AL322">
        <v>0</v>
      </c>
      <c r="AM322">
        <v>0</v>
      </c>
      <c r="AN322">
        <v>0</v>
      </c>
      <c r="AO322">
        <v>0</v>
      </c>
      <c r="AP322">
        <v>0</v>
      </c>
      <c r="AQ322">
        <v>0</v>
      </c>
      <c r="AR322">
        <v>0</v>
      </c>
      <c r="AS322">
        <v>0</v>
      </c>
      <c r="AT322">
        <v>0</v>
      </c>
      <c r="AU322">
        <v>0</v>
      </c>
      <c r="AV322">
        <v>0</v>
      </c>
      <c r="AW322">
        <v>0</v>
      </c>
      <c r="BG322" s="185"/>
      <c r="BH322" s="185"/>
      <c r="BI322" s="185"/>
      <c r="BJ322" s="185"/>
      <c r="BK322" s="185"/>
      <c r="BL322" s="185"/>
      <c r="BM322" s="185"/>
      <c r="BN322" s="185"/>
      <c r="BO322" s="185"/>
      <c r="BP322" s="185"/>
      <c r="BQ322" s="185"/>
      <c r="BR322" s="185"/>
      <c r="BS322" s="185"/>
      <c r="BT322" s="185"/>
      <c r="BU322" t="b">
        <f>IF(_xlfn.MAXIFS(Table1[Sl No],Table1[Category],Table1[[#This Row],[Category]],Table1[Execution Year],Table1[[#This Row],[Execution Year]])=Table1[[#This Row],[Sl No]],TRUE,FALSE)</f>
        <v>0</v>
      </c>
      <c r="BV322" s="201">
        <f>SUM(Table1[[#This Row],[Spend - CAN]:[Spend - Sams]])+SUM(Table1[[#This Row],[Spend - Sams Mexico]:[Spend - Sams China]])+Table1[[#This Row],[Spend - IND]]</f>
        <v>51314679.829999998</v>
      </c>
      <c r="BW322">
        <f>SUM(Table1[[#This Row],[Savings - CAN]:[Savings - Sams]])+SUM(Table1[[#This Row],[Savings - Sams Mexico]:[Savings - Sams China]])+Table1[[#This Row],[Savings - IND]]</f>
        <v>0</v>
      </c>
      <c r="BX322">
        <f>SUM(Table1[[#This Row],[Spend - CAN]:[Spend - SAF]])+SUM(Table1[[#This Row],[Spend - Sams Mexico]:[Spend - Sams China]])+Table1[[#This Row],[Spend - IND]]</f>
        <v>9295683.629999999</v>
      </c>
      <c r="BY322">
        <f>SUM(Table1[[#This Row],[Savings - CAN]:[Savings - SAF]])+SUM(Table1[[#This Row],[Savings - Sams Mexico]:[Savings - Sams China]])+Table1[[#This Row],[Savings - IND]]</f>
        <v>0</v>
      </c>
      <c r="BZ322">
        <f>SUM(Table1[[#This Row],[Spend - US]:[Spend - Sams]])</f>
        <v>42018996.200000003</v>
      </c>
      <c r="CA322">
        <f>SUM(Table1[[#This Row],[Savings - US]:[Savings - Sams]])</f>
        <v>0</v>
      </c>
      <c r="CB322">
        <f>SUM(Table1[[#This Row],[Cost Avoidance - CAN2]:[Cost Avoidance - SAF10]])+SUM(Table1[[#This Row],[Cost Avoidance - Sams Mexico]:[Cost Avoidance - Sams China]])+Table1[[#This Row],[Cost Avoidance - IND]]</f>
        <v>0</v>
      </c>
      <c r="CC322">
        <f>SUM(Table1[[#This Row],[Cost Avoidance - US11]:[Cost Avoidance - Sams12]])</f>
        <v>0</v>
      </c>
      <c r="CD322">
        <f>_xlfn.XLOOKUP(Table1[[#This Row],[Status]],Status_Lookups[Status],Status_Lookups[Value],"")</f>
        <v>0.3</v>
      </c>
    </row>
    <row r="323" spans="1:82">
      <c r="A323">
        <v>11</v>
      </c>
      <c r="B323" t="s">
        <v>112</v>
      </c>
      <c r="C323" t="s">
        <v>43</v>
      </c>
      <c r="D323" t="s">
        <v>39</v>
      </c>
      <c r="E323" s="15">
        <v>44409</v>
      </c>
      <c r="F323" s="15">
        <v>44621</v>
      </c>
      <c r="G323" s="15">
        <v>0</v>
      </c>
      <c r="H323" s="15">
        <v>0</v>
      </c>
      <c r="I323" t="s">
        <v>635</v>
      </c>
      <c r="J323" t="s">
        <v>459</v>
      </c>
      <c r="K323" t="s">
        <v>445</v>
      </c>
      <c r="L323">
        <v>0</v>
      </c>
      <c r="M323">
        <v>0</v>
      </c>
      <c r="N323">
        <v>7130908.2999999998</v>
      </c>
      <c r="O323">
        <v>1980407.33</v>
      </c>
      <c r="P323">
        <v>184368</v>
      </c>
      <c r="Q323">
        <v>0</v>
      </c>
      <c r="R323">
        <v>0</v>
      </c>
      <c r="S323">
        <v>0</v>
      </c>
      <c r="T323">
        <v>0</v>
      </c>
      <c r="U323">
        <v>0</v>
      </c>
      <c r="V323">
        <v>42018996.200000003</v>
      </c>
      <c r="W323">
        <v>0</v>
      </c>
      <c r="X323" t="s">
        <v>445</v>
      </c>
      <c r="Y323" s="16">
        <v>44547.452968518519</v>
      </c>
      <c r="Z323" s="17" t="str">
        <f>_xlfn.XLOOKUP(Table1[[#This Row],[Phase]],'Lookup tables'!$Y$27:$Y$60,'Lookup tables'!$Z$27:$Z$60,"Not Updated")</f>
        <v>RFPX underway</v>
      </c>
      <c r="AA323" s="17" t="s">
        <v>679</v>
      </c>
      <c r="AB323">
        <v>0</v>
      </c>
      <c r="AC323">
        <v>0</v>
      </c>
      <c r="AD323">
        <v>0</v>
      </c>
      <c r="AE323">
        <v>0</v>
      </c>
      <c r="AF323">
        <v>0</v>
      </c>
      <c r="AG323">
        <v>0</v>
      </c>
      <c r="AH323">
        <v>0</v>
      </c>
      <c r="AI323">
        <v>0</v>
      </c>
      <c r="AJ323">
        <v>0</v>
      </c>
      <c r="AK323">
        <v>0</v>
      </c>
      <c r="AL323">
        <v>0</v>
      </c>
      <c r="AM323">
        <v>0</v>
      </c>
      <c r="AN323">
        <v>0</v>
      </c>
      <c r="AO323">
        <v>0</v>
      </c>
      <c r="AP323">
        <v>0</v>
      </c>
      <c r="AQ323">
        <v>0</v>
      </c>
      <c r="AR323">
        <v>0</v>
      </c>
      <c r="AS323">
        <v>0</v>
      </c>
      <c r="AT323">
        <v>0</v>
      </c>
      <c r="AU323">
        <v>0</v>
      </c>
      <c r="AV323">
        <v>0</v>
      </c>
      <c r="AW323">
        <v>0</v>
      </c>
      <c r="BG323" s="185"/>
      <c r="BH323" s="185"/>
      <c r="BI323" s="185"/>
      <c r="BJ323" s="185"/>
      <c r="BK323" s="185"/>
      <c r="BL323" s="185"/>
      <c r="BM323" s="185"/>
      <c r="BN323" s="185"/>
      <c r="BO323" s="185"/>
      <c r="BP323" s="185"/>
      <c r="BQ323" s="185"/>
      <c r="BR323" s="185"/>
      <c r="BS323" s="185"/>
      <c r="BT323" s="185"/>
      <c r="BU323" t="b">
        <f>IF(_xlfn.MAXIFS(Table1[Sl No],Table1[Category],Table1[[#This Row],[Category]],Table1[Execution Year],Table1[[#This Row],[Execution Year]])=Table1[[#This Row],[Sl No]],TRUE,FALSE)</f>
        <v>0</v>
      </c>
      <c r="BV323" s="201">
        <f>SUM(Table1[[#This Row],[Spend - CAN]:[Spend - Sams]])+SUM(Table1[[#This Row],[Spend - Sams Mexico]:[Spend - Sams China]])+Table1[[#This Row],[Spend - IND]]</f>
        <v>51314679.829999998</v>
      </c>
      <c r="BW323">
        <f>SUM(Table1[[#This Row],[Savings - CAN]:[Savings - Sams]])+SUM(Table1[[#This Row],[Savings - Sams Mexico]:[Savings - Sams China]])+Table1[[#This Row],[Savings - IND]]</f>
        <v>0</v>
      </c>
      <c r="BX323">
        <f>SUM(Table1[[#This Row],[Spend - CAN]:[Spend - SAF]])+SUM(Table1[[#This Row],[Spend - Sams Mexico]:[Spend - Sams China]])+Table1[[#This Row],[Spend - IND]]</f>
        <v>9295683.629999999</v>
      </c>
      <c r="BY323">
        <f>SUM(Table1[[#This Row],[Savings - CAN]:[Savings - SAF]])+SUM(Table1[[#This Row],[Savings - Sams Mexico]:[Savings - Sams China]])+Table1[[#This Row],[Savings - IND]]</f>
        <v>0</v>
      </c>
      <c r="BZ323">
        <f>SUM(Table1[[#This Row],[Spend - US]:[Spend - Sams]])</f>
        <v>42018996.200000003</v>
      </c>
      <c r="CA323">
        <f>SUM(Table1[[#This Row],[Savings - US]:[Savings - Sams]])</f>
        <v>0</v>
      </c>
      <c r="CB323">
        <f>SUM(Table1[[#This Row],[Cost Avoidance - CAN2]:[Cost Avoidance - SAF10]])+SUM(Table1[[#This Row],[Cost Avoidance - Sams Mexico]:[Cost Avoidance - Sams China]])+Table1[[#This Row],[Cost Avoidance - IND]]</f>
        <v>0</v>
      </c>
      <c r="CC323">
        <f>SUM(Table1[[#This Row],[Cost Avoidance - US11]:[Cost Avoidance - Sams12]])</f>
        <v>0</v>
      </c>
      <c r="CD323">
        <f>_xlfn.XLOOKUP(Table1[[#This Row],[Status]],Status_Lookups[Status],Status_Lookups[Value],"")</f>
        <v>0.3</v>
      </c>
    </row>
    <row r="324" spans="1:82">
      <c r="A324">
        <v>12</v>
      </c>
      <c r="B324" t="s">
        <v>112</v>
      </c>
      <c r="C324" t="s">
        <v>43</v>
      </c>
      <c r="D324" t="s">
        <v>39</v>
      </c>
      <c r="E324" s="15">
        <v>44409</v>
      </c>
      <c r="F324" s="15">
        <v>44621</v>
      </c>
      <c r="G324" s="15">
        <v>0</v>
      </c>
      <c r="H324" s="15">
        <v>0</v>
      </c>
      <c r="I324" t="s">
        <v>635</v>
      </c>
      <c r="J324" t="s">
        <v>459</v>
      </c>
      <c r="K324" t="s">
        <v>445</v>
      </c>
      <c r="L324">
        <v>0</v>
      </c>
      <c r="M324">
        <v>0</v>
      </c>
      <c r="N324">
        <v>7130908.2999999998</v>
      </c>
      <c r="O324">
        <v>1980407.33</v>
      </c>
      <c r="P324">
        <v>184368</v>
      </c>
      <c r="Q324">
        <v>0</v>
      </c>
      <c r="R324">
        <v>0</v>
      </c>
      <c r="S324">
        <v>0</v>
      </c>
      <c r="T324">
        <v>0</v>
      </c>
      <c r="U324">
        <v>0</v>
      </c>
      <c r="V324">
        <v>29959581.100000001</v>
      </c>
      <c r="W324">
        <v>1209415.1000000001</v>
      </c>
      <c r="X324" t="s">
        <v>445</v>
      </c>
      <c r="Y324" s="16">
        <v>44566.680588078707</v>
      </c>
      <c r="Z324" s="17" t="str">
        <f>_xlfn.XLOOKUP(Table1[[#This Row],[Phase]],'Lookup tables'!$Y$27:$Y$60,'Lookup tables'!$Z$27:$Z$60,"Not Updated")</f>
        <v>RFPX underway</v>
      </c>
      <c r="AA324" s="17" t="s">
        <v>679</v>
      </c>
      <c r="AB324">
        <v>0</v>
      </c>
      <c r="AC324">
        <v>0</v>
      </c>
      <c r="AD324">
        <v>0</v>
      </c>
      <c r="AE324">
        <v>0</v>
      </c>
      <c r="AF324">
        <v>0</v>
      </c>
      <c r="AG324">
        <v>0</v>
      </c>
      <c r="AH324">
        <v>0</v>
      </c>
      <c r="AI324">
        <v>0</v>
      </c>
      <c r="AJ324">
        <v>0</v>
      </c>
      <c r="AK324">
        <v>0</v>
      </c>
      <c r="AL324">
        <v>0</v>
      </c>
      <c r="AM324">
        <v>0</v>
      </c>
      <c r="AN324">
        <v>0</v>
      </c>
      <c r="AO324">
        <v>0</v>
      </c>
      <c r="AP324">
        <v>0</v>
      </c>
      <c r="AQ324">
        <v>0</v>
      </c>
      <c r="AR324">
        <v>0</v>
      </c>
      <c r="AS324">
        <v>0</v>
      </c>
      <c r="AT324">
        <v>0</v>
      </c>
      <c r="AU324">
        <v>0</v>
      </c>
      <c r="AV324">
        <v>0</v>
      </c>
      <c r="AW324">
        <v>0</v>
      </c>
      <c r="BG324" s="185"/>
      <c r="BH324" s="185"/>
      <c r="BI324" s="185"/>
      <c r="BJ324" s="185"/>
      <c r="BK324" s="185"/>
      <c r="BL324" s="185"/>
      <c r="BM324" s="185"/>
      <c r="BN324" s="185"/>
      <c r="BO324" s="185"/>
      <c r="BP324" s="185"/>
      <c r="BQ324" s="185"/>
      <c r="BR324" s="185"/>
      <c r="BS324" s="185"/>
      <c r="BT324" s="185"/>
      <c r="BU324" t="b">
        <f>IF(_xlfn.MAXIFS(Table1[Sl No],Table1[Category],Table1[[#This Row],[Category]],Table1[Execution Year],Table1[[#This Row],[Execution Year]])=Table1[[#This Row],[Sl No]],TRUE,FALSE)</f>
        <v>0</v>
      </c>
      <c r="BV324" s="201">
        <f>SUM(Table1[[#This Row],[Spend - CAN]:[Spend - Sams]])+SUM(Table1[[#This Row],[Spend - Sams Mexico]:[Spend - Sams China]])+Table1[[#This Row],[Spend - IND]]</f>
        <v>40464679.830000006</v>
      </c>
      <c r="BW324">
        <f>SUM(Table1[[#This Row],[Savings - CAN]:[Savings - Sams]])+SUM(Table1[[#This Row],[Savings - Sams Mexico]:[Savings - Sams China]])+Table1[[#This Row],[Savings - IND]]</f>
        <v>0</v>
      </c>
      <c r="BX324">
        <f>SUM(Table1[[#This Row],[Spend - CAN]:[Spend - SAF]])+SUM(Table1[[#This Row],[Spend - Sams Mexico]:[Spend - Sams China]])+Table1[[#This Row],[Spend - IND]]</f>
        <v>9295683.629999999</v>
      </c>
      <c r="BY324">
        <f>SUM(Table1[[#This Row],[Savings - CAN]:[Savings - SAF]])+SUM(Table1[[#This Row],[Savings - Sams Mexico]:[Savings - Sams China]])+Table1[[#This Row],[Savings - IND]]</f>
        <v>0</v>
      </c>
      <c r="BZ324">
        <f>SUM(Table1[[#This Row],[Spend - US]:[Spend - Sams]])</f>
        <v>31168996.200000003</v>
      </c>
      <c r="CA324">
        <f>SUM(Table1[[#This Row],[Savings - US]:[Savings - Sams]])</f>
        <v>0</v>
      </c>
      <c r="CB324">
        <f>SUM(Table1[[#This Row],[Cost Avoidance - CAN2]:[Cost Avoidance - SAF10]])+SUM(Table1[[#This Row],[Cost Avoidance - Sams Mexico]:[Cost Avoidance - Sams China]])+Table1[[#This Row],[Cost Avoidance - IND]]</f>
        <v>0</v>
      </c>
      <c r="CC324">
        <f>SUM(Table1[[#This Row],[Cost Avoidance - US11]:[Cost Avoidance - Sams12]])</f>
        <v>0</v>
      </c>
      <c r="CD324">
        <f>_xlfn.XLOOKUP(Table1[[#This Row],[Status]],Status_Lookups[Status],Status_Lookups[Value],"")</f>
        <v>0.3</v>
      </c>
    </row>
    <row r="325" spans="1:82">
      <c r="A325">
        <v>13</v>
      </c>
      <c r="B325" t="s">
        <v>112</v>
      </c>
      <c r="C325" t="s">
        <v>43</v>
      </c>
      <c r="D325" t="s">
        <v>39</v>
      </c>
      <c r="E325" s="15">
        <v>44409</v>
      </c>
      <c r="F325" s="15">
        <v>44621</v>
      </c>
      <c r="G325" s="15">
        <v>0</v>
      </c>
      <c r="H325" s="15">
        <v>0</v>
      </c>
      <c r="I325" t="s">
        <v>635</v>
      </c>
      <c r="J325" t="s">
        <v>459</v>
      </c>
      <c r="K325" t="s">
        <v>445</v>
      </c>
      <c r="L325">
        <v>0</v>
      </c>
      <c r="M325">
        <v>0</v>
      </c>
      <c r="N325">
        <v>7130908.2999999998</v>
      </c>
      <c r="O325">
        <v>1980407.33</v>
      </c>
      <c r="P325">
        <v>184368</v>
      </c>
      <c r="Q325">
        <v>0</v>
      </c>
      <c r="R325">
        <v>0</v>
      </c>
      <c r="S325">
        <v>0</v>
      </c>
      <c r="T325">
        <v>0</v>
      </c>
      <c r="U325">
        <v>0</v>
      </c>
      <c r="V325">
        <v>29959581.100000001</v>
      </c>
      <c r="W325">
        <v>12059415.1</v>
      </c>
      <c r="X325" t="s">
        <v>445</v>
      </c>
      <c r="Y325" s="16">
        <v>44566.681446643517</v>
      </c>
      <c r="Z325" s="17" t="str">
        <f>_xlfn.XLOOKUP(Table1[[#This Row],[Phase]],'Lookup tables'!$Y$27:$Y$60,'Lookup tables'!$Z$27:$Z$60,"Not Updated")</f>
        <v>RFPX underway</v>
      </c>
      <c r="AA325" s="17" t="s">
        <v>679</v>
      </c>
      <c r="AB325">
        <v>0</v>
      </c>
      <c r="AC325">
        <v>0</v>
      </c>
      <c r="AD325">
        <v>0</v>
      </c>
      <c r="AE325">
        <v>0</v>
      </c>
      <c r="AF325">
        <v>0</v>
      </c>
      <c r="AG325">
        <v>0</v>
      </c>
      <c r="AH325">
        <v>0</v>
      </c>
      <c r="AI325">
        <v>0</v>
      </c>
      <c r="AJ325">
        <v>0</v>
      </c>
      <c r="AK325">
        <v>0</v>
      </c>
      <c r="AL325">
        <v>0</v>
      </c>
      <c r="AM325">
        <v>0</v>
      </c>
      <c r="AN325">
        <v>0</v>
      </c>
      <c r="AO325">
        <v>0</v>
      </c>
      <c r="AP325">
        <v>0</v>
      </c>
      <c r="AQ325">
        <v>0</v>
      </c>
      <c r="AR325">
        <v>0</v>
      </c>
      <c r="AS325">
        <v>0</v>
      </c>
      <c r="AT325">
        <v>0</v>
      </c>
      <c r="AU325">
        <v>0</v>
      </c>
      <c r="AV325">
        <v>0</v>
      </c>
      <c r="AW325">
        <v>0</v>
      </c>
      <c r="BG325" s="185"/>
      <c r="BH325" s="185"/>
      <c r="BI325" s="185"/>
      <c r="BJ325" s="185"/>
      <c r="BK325" s="185"/>
      <c r="BL325" s="185"/>
      <c r="BM325" s="185"/>
      <c r="BN325" s="185"/>
      <c r="BO325" s="185"/>
      <c r="BP325" s="185"/>
      <c r="BQ325" s="185"/>
      <c r="BR325" s="185"/>
      <c r="BS325" s="185"/>
      <c r="BT325" s="185"/>
      <c r="BU325" t="b">
        <f>IF(_xlfn.MAXIFS(Table1[Sl No],Table1[Category],Table1[[#This Row],[Category]],Table1[Execution Year],Table1[[#This Row],[Execution Year]])=Table1[[#This Row],[Sl No]],TRUE,FALSE)</f>
        <v>0</v>
      </c>
      <c r="BV325" s="201">
        <f>SUM(Table1[[#This Row],[Spend - CAN]:[Spend - Sams]])+SUM(Table1[[#This Row],[Spend - Sams Mexico]:[Spend - Sams China]])+Table1[[#This Row],[Spend - IND]]</f>
        <v>51314679.830000006</v>
      </c>
      <c r="BW325">
        <f>SUM(Table1[[#This Row],[Savings - CAN]:[Savings - Sams]])+SUM(Table1[[#This Row],[Savings - Sams Mexico]:[Savings - Sams China]])+Table1[[#This Row],[Savings - IND]]</f>
        <v>0</v>
      </c>
      <c r="BX325">
        <f>SUM(Table1[[#This Row],[Spend - CAN]:[Spend - SAF]])+SUM(Table1[[#This Row],[Spend - Sams Mexico]:[Spend - Sams China]])+Table1[[#This Row],[Spend - IND]]</f>
        <v>9295683.629999999</v>
      </c>
      <c r="BY325">
        <f>SUM(Table1[[#This Row],[Savings - CAN]:[Savings - SAF]])+SUM(Table1[[#This Row],[Savings - Sams Mexico]:[Savings - Sams China]])+Table1[[#This Row],[Savings - IND]]</f>
        <v>0</v>
      </c>
      <c r="BZ325">
        <f>SUM(Table1[[#This Row],[Spend - US]:[Spend - Sams]])</f>
        <v>42018996.200000003</v>
      </c>
      <c r="CA325">
        <f>SUM(Table1[[#This Row],[Savings - US]:[Savings - Sams]])</f>
        <v>0</v>
      </c>
      <c r="CB325">
        <f>SUM(Table1[[#This Row],[Cost Avoidance - CAN2]:[Cost Avoidance - SAF10]])+SUM(Table1[[#This Row],[Cost Avoidance - Sams Mexico]:[Cost Avoidance - Sams China]])+Table1[[#This Row],[Cost Avoidance - IND]]</f>
        <v>0</v>
      </c>
      <c r="CC325">
        <f>SUM(Table1[[#This Row],[Cost Avoidance - US11]:[Cost Avoidance - Sams12]])</f>
        <v>0</v>
      </c>
      <c r="CD325">
        <f>_xlfn.XLOOKUP(Table1[[#This Row],[Status]],Status_Lookups[Status],Status_Lookups[Value],"")</f>
        <v>0.3</v>
      </c>
    </row>
    <row r="326" spans="1:82">
      <c r="A326">
        <v>14</v>
      </c>
      <c r="B326" t="s">
        <v>112</v>
      </c>
      <c r="C326" t="s">
        <v>43</v>
      </c>
      <c r="D326" t="s">
        <v>39</v>
      </c>
      <c r="E326" s="15">
        <v>44409</v>
      </c>
      <c r="F326" s="15">
        <v>44621</v>
      </c>
      <c r="G326" s="15">
        <v>0</v>
      </c>
      <c r="H326" s="15">
        <v>0</v>
      </c>
      <c r="I326" t="s">
        <v>642</v>
      </c>
      <c r="J326" t="s">
        <v>459</v>
      </c>
      <c r="K326" t="s">
        <v>445</v>
      </c>
      <c r="L326">
        <v>0</v>
      </c>
      <c r="M326">
        <v>0</v>
      </c>
      <c r="N326">
        <v>5336826.25</v>
      </c>
      <c r="O326">
        <v>1980402.78</v>
      </c>
      <c r="P326">
        <v>184368</v>
      </c>
      <c r="Q326">
        <v>0</v>
      </c>
      <c r="R326">
        <v>0</v>
      </c>
      <c r="S326">
        <v>0</v>
      </c>
      <c r="T326">
        <v>0</v>
      </c>
      <c r="U326">
        <v>0</v>
      </c>
      <c r="V326">
        <v>29669564.829999998</v>
      </c>
      <c r="W326">
        <v>12059415.1</v>
      </c>
      <c r="X326" t="s">
        <v>445</v>
      </c>
      <c r="Y326" s="16">
        <v>44631.327485995367</v>
      </c>
      <c r="Z326" s="17" t="str">
        <f>_xlfn.XLOOKUP(Table1[[#This Row],[Phase]],'Lookup tables'!$Y$27:$Y$60,'Lookup tables'!$Z$27:$Z$60,"Not Updated")</f>
        <v>Post Bid</v>
      </c>
      <c r="AA326" s="17" t="s">
        <v>679</v>
      </c>
      <c r="AB326">
        <v>0</v>
      </c>
      <c r="AC326">
        <v>0</v>
      </c>
      <c r="AD326">
        <v>0</v>
      </c>
      <c r="AE326">
        <v>0</v>
      </c>
      <c r="AF326">
        <v>0</v>
      </c>
      <c r="AG326">
        <v>0</v>
      </c>
      <c r="AH326">
        <v>0</v>
      </c>
      <c r="AI326">
        <v>0</v>
      </c>
      <c r="AJ326">
        <v>0</v>
      </c>
      <c r="AK326">
        <v>0</v>
      </c>
      <c r="AL326">
        <v>0</v>
      </c>
      <c r="AM326">
        <v>0</v>
      </c>
      <c r="AN326">
        <v>0</v>
      </c>
      <c r="AO326">
        <v>0</v>
      </c>
      <c r="AP326">
        <v>0</v>
      </c>
      <c r="AQ326">
        <v>0</v>
      </c>
      <c r="AR326">
        <v>0</v>
      </c>
      <c r="AS326">
        <v>0</v>
      </c>
      <c r="AT326">
        <v>0</v>
      </c>
      <c r="AU326">
        <v>0</v>
      </c>
      <c r="AV326">
        <v>0</v>
      </c>
      <c r="AW326">
        <v>0</v>
      </c>
      <c r="AX326">
        <v>1794239.32</v>
      </c>
      <c r="AY326">
        <v>0</v>
      </c>
      <c r="AZ326">
        <v>0</v>
      </c>
      <c r="BA326">
        <v>0</v>
      </c>
      <c r="BB326">
        <v>0</v>
      </c>
      <c r="BC326">
        <v>0</v>
      </c>
      <c r="BD326">
        <v>0</v>
      </c>
      <c r="BE326">
        <v>0</v>
      </c>
      <c r="BF326">
        <v>0</v>
      </c>
      <c r="BG326" s="185">
        <v>0</v>
      </c>
      <c r="BH326" s="185">
        <v>0</v>
      </c>
      <c r="BI326" s="185">
        <v>0</v>
      </c>
      <c r="BJ326" s="185">
        <v>0</v>
      </c>
      <c r="BK326" s="185">
        <v>0</v>
      </c>
      <c r="BL326" s="185">
        <v>0</v>
      </c>
      <c r="BM326" s="185">
        <v>0</v>
      </c>
      <c r="BN326" s="185">
        <v>0</v>
      </c>
      <c r="BO326" s="185">
        <v>0</v>
      </c>
      <c r="BP326" s="185">
        <v>0</v>
      </c>
      <c r="BQ326" s="185">
        <v>0</v>
      </c>
      <c r="BR326" s="185">
        <v>0</v>
      </c>
      <c r="BS326" s="185">
        <v>0</v>
      </c>
      <c r="BT326" s="185">
        <v>0</v>
      </c>
      <c r="BU326" t="b">
        <f>IF(_xlfn.MAXIFS(Table1[Sl No],Table1[Category],Table1[[#This Row],[Category]],Table1[Execution Year],Table1[[#This Row],[Execution Year]])=Table1[[#This Row],[Sl No]],TRUE,FALSE)</f>
        <v>0</v>
      </c>
      <c r="BV326" s="201">
        <f>SUM(Table1[[#This Row],[Spend - CAN]:[Spend - Sams]])+SUM(Table1[[#This Row],[Spend - Sams Mexico]:[Spend - Sams China]])+Table1[[#This Row],[Spend - IND]]</f>
        <v>51024816.280000001</v>
      </c>
      <c r="BW326">
        <f>SUM(Table1[[#This Row],[Savings - CAN]:[Savings - Sams]])+SUM(Table1[[#This Row],[Savings - Sams Mexico]:[Savings - Sams China]])+Table1[[#This Row],[Savings - IND]]</f>
        <v>0</v>
      </c>
      <c r="BX326">
        <f>SUM(Table1[[#This Row],[Spend - CAN]:[Spend - SAF]])+SUM(Table1[[#This Row],[Spend - Sams Mexico]:[Spend - Sams China]])+Table1[[#This Row],[Spend - IND]]</f>
        <v>9295836.3499999996</v>
      </c>
      <c r="BY326">
        <f>SUM(Table1[[#This Row],[Savings - CAN]:[Savings - SAF]])+SUM(Table1[[#This Row],[Savings - Sams Mexico]:[Savings - Sams China]])+Table1[[#This Row],[Savings - IND]]</f>
        <v>0</v>
      </c>
      <c r="BZ326">
        <f>SUM(Table1[[#This Row],[Spend - US]:[Spend - Sams]])</f>
        <v>41728979.93</v>
      </c>
      <c r="CA326">
        <f>SUM(Table1[[#This Row],[Savings - US]:[Savings - Sams]])</f>
        <v>0</v>
      </c>
      <c r="CB326">
        <f>SUM(Table1[[#This Row],[Cost Avoidance - CAN2]:[Cost Avoidance - SAF10]])+SUM(Table1[[#This Row],[Cost Avoidance - Sams Mexico]:[Cost Avoidance - Sams China]])+Table1[[#This Row],[Cost Avoidance - IND]]</f>
        <v>0</v>
      </c>
      <c r="CC326">
        <f>SUM(Table1[[#This Row],[Cost Avoidance - US11]:[Cost Avoidance - Sams12]])</f>
        <v>0</v>
      </c>
      <c r="CD326">
        <f>_xlfn.XLOOKUP(Table1[[#This Row],[Status]],Status_Lookups[Status],Status_Lookups[Value],"")</f>
        <v>0.3</v>
      </c>
    </row>
    <row r="327" spans="1:82">
      <c r="A327">
        <v>15</v>
      </c>
      <c r="B327" t="s">
        <v>112</v>
      </c>
      <c r="C327" t="s">
        <v>43</v>
      </c>
      <c r="D327" t="s">
        <v>39</v>
      </c>
      <c r="E327" s="15">
        <v>44409</v>
      </c>
      <c r="F327" s="15">
        <v>44742</v>
      </c>
      <c r="G327" s="15">
        <v>0</v>
      </c>
      <c r="H327" s="15">
        <v>0</v>
      </c>
      <c r="I327" t="s">
        <v>463</v>
      </c>
      <c r="J327" t="s">
        <v>459</v>
      </c>
      <c r="K327" t="s">
        <v>445</v>
      </c>
      <c r="L327">
        <v>0</v>
      </c>
      <c r="M327">
        <v>0</v>
      </c>
      <c r="N327">
        <v>5336826.25</v>
      </c>
      <c r="O327">
        <v>1980402.78</v>
      </c>
      <c r="P327">
        <v>184368</v>
      </c>
      <c r="Q327">
        <v>0</v>
      </c>
      <c r="R327">
        <v>0</v>
      </c>
      <c r="S327">
        <v>0</v>
      </c>
      <c r="T327">
        <v>0</v>
      </c>
      <c r="U327">
        <v>0</v>
      </c>
      <c r="V327">
        <v>29669564.829999998</v>
      </c>
      <c r="W327">
        <v>12059415.1</v>
      </c>
      <c r="X327" t="s">
        <v>78</v>
      </c>
      <c r="Y327" s="16">
        <v>44714.410506365741</v>
      </c>
      <c r="Z327" s="17" t="str">
        <f>_xlfn.XLOOKUP(Table1[[#This Row],[Phase]],'Lookup tables'!$Y$27:$Y$60,'Lookup tables'!$Z$27:$Z$60,"Not Updated")</f>
        <v>Pending PB/Merch Approval</v>
      </c>
      <c r="AA327" s="17" t="s">
        <v>679</v>
      </c>
      <c r="AB327">
        <v>0</v>
      </c>
      <c r="AC327">
        <v>0</v>
      </c>
      <c r="AD327">
        <v>0</v>
      </c>
      <c r="AE327">
        <v>0</v>
      </c>
      <c r="AF327">
        <v>0</v>
      </c>
      <c r="AG327">
        <v>0</v>
      </c>
      <c r="AH327">
        <v>0</v>
      </c>
      <c r="AI327">
        <v>0</v>
      </c>
      <c r="AJ327">
        <v>0</v>
      </c>
      <c r="AK327">
        <v>0</v>
      </c>
      <c r="AL327">
        <v>0</v>
      </c>
      <c r="AM327">
        <v>0</v>
      </c>
      <c r="AN327">
        <v>0</v>
      </c>
      <c r="AO327">
        <v>0</v>
      </c>
      <c r="AP327">
        <v>0</v>
      </c>
      <c r="AQ327">
        <v>0</v>
      </c>
      <c r="AR327">
        <v>0</v>
      </c>
      <c r="AS327">
        <v>0</v>
      </c>
      <c r="AT327">
        <v>0</v>
      </c>
      <c r="AU327">
        <v>0</v>
      </c>
      <c r="AV327">
        <v>0</v>
      </c>
      <c r="AW327">
        <v>0</v>
      </c>
      <c r="AX327">
        <v>1794239.32</v>
      </c>
      <c r="AY327">
        <v>0</v>
      </c>
      <c r="AZ327">
        <v>0</v>
      </c>
      <c r="BA327">
        <v>0</v>
      </c>
      <c r="BB327">
        <v>0</v>
      </c>
      <c r="BC327">
        <v>0</v>
      </c>
      <c r="BD327">
        <v>0</v>
      </c>
      <c r="BE327">
        <v>0</v>
      </c>
      <c r="BF327">
        <v>0</v>
      </c>
      <c r="BG327" s="185">
        <v>0</v>
      </c>
      <c r="BH327" s="185">
        <v>0</v>
      </c>
      <c r="BI327" s="185">
        <v>0</v>
      </c>
      <c r="BJ327" s="185">
        <v>0</v>
      </c>
      <c r="BK327" s="185">
        <v>0</v>
      </c>
      <c r="BL327" s="185">
        <v>0</v>
      </c>
      <c r="BM327" s="185">
        <v>0</v>
      </c>
      <c r="BN327" s="185">
        <v>0</v>
      </c>
      <c r="BO327" s="185">
        <v>0</v>
      </c>
      <c r="BP327" s="185">
        <v>0</v>
      </c>
      <c r="BQ327" s="185">
        <v>0</v>
      </c>
      <c r="BR327" s="185">
        <v>0</v>
      </c>
      <c r="BS327" s="185">
        <v>0</v>
      </c>
      <c r="BT327" s="185">
        <v>0</v>
      </c>
      <c r="BU327" t="b">
        <f>IF(_xlfn.MAXIFS(Table1[Sl No],Table1[Category],Table1[[#This Row],[Category]],Table1[Execution Year],Table1[[#This Row],[Execution Year]])=Table1[[#This Row],[Sl No]],TRUE,FALSE)</f>
        <v>1</v>
      </c>
      <c r="BV327" s="201">
        <f>SUM(Table1[[#This Row],[Spend - CAN]:[Spend - Sams]])+SUM(Table1[[#This Row],[Spend - Sams Mexico]:[Spend - Sams China]])+Table1[[#This Row],[Spend - IND]]</f>
        <v>51024816.280000001</v>
      </c>
      <c r="BW327">
        <f>SUM(Table1[[#This Row],[Savings - CAN]:[Savings - Sams]])+SUM(Table1[[#This Row],[Savings - Sams Mexico]:[Savings - Sams China]])+Table1[[#This Row],[Savings - IND]]</f>
        <v>0</v>
      </c>
      <c r="BX327">
        <f>SUM(Table1[[#This Row],[Spend - CAN]:[Spend - SAF]])+SUM(Table1[[#This Row],[Spend - Sams Mexico]:[Spend - Sams China]])+Table1[[#This Row],[Spend - IND]]</f>
        <v>9295836.3499999996</v>
      </c>
      <c r="BY327">
        <f>SUM(Table1[[#This Row],[Savings - CAN]:[Savings - SAF]])+SUM(Table1[[#This Row],[Savings - Sams Mexico]:[Savings - Sams China]])+Table1[[#This Row],[Savings - IND]]</f>
        <v>0</v>
      </c>
      <c r="BZ327">
        <f>SUM(Table1[[#This Row],[Spend - US]:[Spend - Sams]])</f>
        <v>41728979.93</v>
      </c>
      <c r="CA327">
        <f>SUM(Table1[[#This Row],[Savings - US]:[Savings - Sams]])</f>
        <v>0</v>
      </c>
      <c r="CB327">
        <f>SUM(Table1[[#This Row],[Cost Avoidance - CAN2]:[Cost Avoidance - SAF10]])+SUM(Table1[[#This Row],[Cost Avoidance - Sams Mexico]:[Cost Avoidance - Sams China]])+Table1[[#This Row],[Cost Avoidance - IND]]</f>
        <v>0</v>
      </c>
      <c r="CC327">
        <f>SUM(Table1[[#This Row],[Cost Avoidance - US11]:[Cost Avoidance - Sams12]])</f>
        <v>0</v>
      </c>
      <c r="CD327">
        <f>_xlfn.XLOOKUP(Table1[[#This Row],[Status]],Status_Lookups[Status],Status_Lookups[Value],"")</f>
        <v>0.3</v>
      </c>
    </row>
    <row r="328" spans="1:82">
      <c r="A328">
        <v>1</v>
      </c>
      <c r="B328" t="s">
        <v>478</v>
      </c>
      <c r="C328" t="s">
        <v>43</v>
      </c>
      <c r="D328" t="s">
        <v>322</v>
      </c>
      <c r="E328" s="15"/>
      <c r="F328" s="15"/>
      <c r="G328" s="15"/>
      <c r="H328" s="15"/>
      <c r="X328" t="s">
        <v>78</v>
      </c>
      <c r="Y328" s="16">
        <v>44594.715624999997</v>
      </c>
      <c r="Z328" s="17" t="str">
        <f>_xlfn.XLOOKUP(Table1[[#This Row],[Phase]],'Lookup tables'!$Y$27:$Y$60,'Lookup tables'!$Z$27:$Z$60,"Not Updated")</f>
        <v>Not Updated</v>
      </c>
      <c r="AA328" s="17"/>
      <c r="BG328" s="185"/>
      <c r="BH328" s="185"/>
      <c r="BI328" s="185"/>
      <c r="BJ328" s="185"/>
      <c r="BK328" s="185"/>
      <c r="BL328" s="185"/>
      <c r="BM328" s="185"/>
      <c r="BN328" s="185"/>
      <c r="BO328" s="185"/>
      <c r="BP328" s="185"/>
      <c r="BQ328" s="185"/>
      <c r="BR328" s="185"/>
      <c r="BS328" s="185"/>
      <c r="BT328" s="185"/>
      <c r="BU328" t="b">
        <f>IF(_xlfn.MAXIFS(Table1[Sl No],Table1[Category],Table1[[#This Row],[Category]],Table1[Execution Year],Table1[[#This Row],[Execution Year]])=Table1[[#This Row],[Sl No]],TRUE,FALSE)</f>
        <v>0</v>
      </c>
      <c r="BV328" s="201">
        <f>SUM(Table1[[#This Row],[Spend - CAN]:[Spend - Sams]])+SUM(Table1[[#This Row],[Spend - Sams Mexico]:[Spend - Sams China]])+Table1[[#This Row],[Spend - IND]]</f>
        <v>0</v>
      </c>
      <c r="BW328">
        <f>SUM(Table1[[#This Row],[Savings - CAN]:[Savings - Sams]])+SUM(Table1[[#This Row],[Savings - Sams Mexico]:[Savings - Sams China]])+Table1[[#This Row],[Savings - IND]]</f>
        <v>0</v>
      </c>
      <c r="BX328">
        <f>SUM(Table1[[#This Row],[Spend - CAN]:[Spend - SAF]])+SUM(Table1[[#This Row],[Spend - Sams Mexico]:[Spend - Sams China]])+Table1[[#This Row],[Spend - IND]]</f>
        <v>0</v>
      </c>
      <c r="BY328">
        <f>SUM(Table1[[#This Row],[Savings - CAN]:[Savings - SAF]])+SUM(Table1[[#This Row],[Savings - Sams Mexico]:[Savings - Sams China]])+Table1[[#This Row],[Savings - IND]]</f>
        <v>0</v>
      </c>
      <c r="BZ328">
        <f>SUM(Table1[[#This Row],[Spend - US]:[Spend - Sams]])</f>
        <v>0</v>
      </c>
      <c r="CA328">
        <f>SUM(Table1[[#This Row],[Savings - US]:[Savings - Sams]])</f>
        <v>0</v>
      </c>
      <c r="CB328">
        <f>SUM(Table1[[#This Row],[Cost Avoidance - CAN2]:[Cost Avoidance - SAF10]])+SUM(Table1[[#This Row],[Cost Avoidance - Sams Mexico]:[Cost Avoidance - Sams China]])+Table1[[#This Row],[Cost Avoidance - IND]]</f>
        <v>0</v>
      </c>
      <c r="CC328">
        <f>SUM(Table1[[#This Row],[Cost Avoidance - US11]:[Cost Avoidance - Sams12]])</f>
        <v>0</v>
      </c>
      <c r="CD328" t="str">
        <f>_xlfn.XLOOKUP(Table1[[#This Row],[Status]],Status_Lookups[Status],Status_Lookups[Value],"")</f>
        <v/>
      </c>
    </row>
    <row r="329" spans="1:82">
      <c r="A329">
        <v>2</v>
      </c>
      <c r="B329" t="s">
        <v>478</v>
      </c>
      <c r="C329" t="s">
        <v>43</v>
      </c>
      <c r="D329" t="s">
        <v>322</v>
      </c>
      <c r="E329" s="15">
        <v>0</v>
      </c>
      <c r="F329" s="15">
        <v>0</v>
      </c>
      <c r="G329" s="15">
        <v>0</v>
      </c>
      <c r="H329" s="15">
        <v>0</v>
      </c>
      <c r="I329" t="s">
        <v>458</v>
      </c>
      <c r="J329">
        <v>0</v>
      </c>
      <c r="K329">
        <v>0</v>
      </c>
      <c r="L329">
        <v>0</v>
      </c>
      <c r="W329">
        <v>45000000</v>
      </c>
      <c r="X329" t="s">
        <v>78</v>
      </c>
      <c r="Y329" s="16">
        <v>44600.469849421293</v>
      </c>
      <c r="Z329" s="17" t="str">
        <f>_xlfn.XLOOKUP(Table1[[#This Row],[Phase]],'Lookup tables'!$Y$27:$Y$60,'Lookup tables'!$Z$27:$Z$60,"Not Updated")</f>
        <v>Exploratory</v>
      </c>
      <c r="AA329" s="17">
        <v>0</v>
      </c>
      <c r="AB329">
        <v>0</v>
      </c>
      <c r="AC329">
        <v>0</v>
      </c>
      <c r="AD329">
        <v>0</v>
      </c>
      <c r="AE329">
        <v>0</v>
      </c>
      <c r="AF329">
        <v>0</v>
      </c>
      <c r="AG329">
        <v>0</v>
      </c>
      <c r="AH329">
        <v>0</v>
      </c>
      <c r="AI329">
        <v>0</v>
      </c>
      <c r="AJ329">
        <v>0</v>
      </c>
      <c r="AK329">
        <v>0</v>
      </c>
      <c r="AL329">
        <v>0</v>
      </c>
      <c r="AM329">
        <v>0</v>
      </c>
      <c r="AN329">
        <v>0</v>
      </c>
      <c r="AO329">
        <v>0</v>
      </c>
      <c r="AP329">
        <v>0</v>
      </c>
      <c r="AQ329">
        <v>0</v>
      </c>
      <c r="AR329">
        <v>0</v>
      </c>
      <c r="AS329">
        <v>0</v>
      </c>
      <c r="AT329">
        <v>0</v>
      </c>
      <c r="AU329">
        <v>0</v>
      </c>
      <c r="AV329">
        <v>0</v>
      </c>
      <c r="AW329">
        <v>0</v>
      </c>
      <c r="AX329">
        <v>0</v>
      </c>
      <c r="AY329">
        <v>0</v>
      </c>
      <c r="AZ329">
        <v>0</v>
      </c>
      <c r="BA329">
        <v>0</v>
      </c>
      <c r="BB329">
        <v>0</v>
      </c>
      <c r="BC329">
        <v>0</v>
      </c>
      <c r="BD329">
        <v>0</v>
      </c>
      <c r="BE329">
        <v>0</v>
      </c>
      <c r="BF329">
        <v>0</v>
      </c>
      <c r="BG329" s="185">
        <v>0</v>
      </c>
      <c r="BH329" s="185">
        <v>0</v>
      </c>
      <c r="BI329" s="185">
        <v>0</v>
      </c>
      <c r="BJ329" s="185">
        <v>0</v>
      </c>
      <c r="BK329" s="185">
        <v>0</v>
      </c>
      <c r="BL329" s="185">
        <v>0</v>
      </c>
      <c r="BM329" s="185">
        <v>0</v>
      </c>
      <c r="BN329" s="185">
        <v>0</v>
      </c>
      <c r="BO329" s="185">
        <v>0</v>
      </c>
      <c r="BP329" s="185">
        <v>0</v>
      </c>
      <c r="BQ329" s="185">
        <v>0</v>
      </c>
      <c r="BR329" s="185">
        <v>0</v>
      </c>
      <c r="BS329" s="185">
        <v>0</v>
      </c>
      <c r="BT329" s="185">
        <v>0</v>
      </c>
      <c r="BU329" t="b">
        <f>IF(_xlfn.MAXIFS(Table1[Sl No],Table1[Category],Table1[[#This Row],[Category]],Table1[Execution Year],Table1[[#This Row],[Execution Year]])=Table1[[#This Row],[Sl No]],TRUE,FALSE)</f>
        <v>0</v>
      </c>
      <c r="BV329" s="201">
        <f>SUM(Table1[[#This Row],[Spend - CAN]:[Spend - Sams]])+SUM(Table1[[#This Row],[Spend - Sams Mexico]:[Spend - Sams China]])+Table1[[#This Row],[Spend - IND]]</f>
        <v>45000000</v>
      </c>
      <c r="BW329">
        <f>SUM(Table1[[#This Row],[Savings - CAN]:[Savings - Sams]])+SUM(Table1[[#This Row],[Savings - Sams Mexico]:[Savings - Sams China]])+Table1[[#This Row],[Savings - IND]]</f>
        <v>0</v>
      </c>
      <c r="BX329">
        <f>SUM(Table1[[#This Row],[Spend - CAN]:[Spend - SAF]])+SUM(Table1[[#This Row],[Spend - Sams Mexico]:[Spend - Sams China]])+Table1[[#This Row],[Spend - IND]]</f>
        <v>0</v>
      </c>
      <c r="BY329">
        <f>SUM(Table1[[#This Row],[Savings - CAN]:[Savings - SAF]])+SUM(Table1[[#This Row],[Savings - Sams Mexico]:[Savings - Sams China]])+Table1[[#This Row],[Savings - IND]]</f>
        <v>0</v>
      </c>
      <c r="BZ329">
        <f>SUM(Table1[[#This Row],[Spend - US]:[Spend - Sams]])</f>
        <v>45000000</v>
      </c>
      <c r="CA329">
        <f>SUM(Table1[[#This Row],[Savings - US]:[Savings - Sams]])</f>
        <v>0</v>
      </c>
      <c r="CB329">
        <f>SUM(Table1[[#This Row],[Cost Avoidance - CAN2]:[Cost Avoidance - SAF10]])+SUM(Table1[[#This Row],[Cost Avoidance - Sams Mexico]:[Cost Avoidance - Sams China]])+Table1[[#This Row],[Cost Avoidance - IND]]</f>
        <v>0</v>
      </c>
      <c r="CC329">
        <f>SUM(Table1[[#This Row],[Cost Avoidance - US11]:[Cost Avoidance - Sams12]])</f>
        <v>0</v>
      </c>
      <c r="CD329" t="str">
        <f>_xlfn.XLOOKUP(Table1[[#This Row],[Status]],Status_Lookups[Status],Status_Lookups[Value],"")</f>
        <v/>
      </c>
    </row>
    <row r="330" spans="1:82">
      <c r="A330">
        <v>3</v>
      </c>
      <c r="B330" t="s">
        <v>478</v>
      </c>
      <c r="C330" t="s">
        <v>43</v>
      </c>
      <c r="D330" t="s">
        <v>322</v>
      </c>
      <c r="E330" s="15">
        <v>0</v>
      </c>
      <c r="F330" s="15">
        <v>0</v>
      </c>
      <c r="G330" s="15">
        <v>0</v>
      </c>
      <c r="H330" s="15">
        <v>0</v>
      </c>
      <c r="I330" t="s">
        <v>458</v>
      </c>
      <c r="J330" t="s">
        <v>417</v>
      </c>
      <c r="K330">
        <v>0</v>
      </c>
      <c r="L330">
        <v>0</v>
      </c>
      <c r="M330">
        <v>0</v>
      </c>
      <c r="N330">
        <v>0</v>
      </c>
      <c r="O330">
        <v>0</v>
      </c>
      <c r="P330">
        <v>0</v>
      </c>
      <c r="Q330">
        <v>0</v>
      </c>
      <c r="R330">
        <v>0</v>
      </c>
      <c r="S330">
        <v>0</v>
      </c>
      <c r="T330">
        <v>0</v>
      </c>
      <c r="U330">
        <v>0</v>
      </c>
      <c r="V330">
        <v>0</v>
      </c>
      <c r="W330">
        <v>45000000</v>
      </c>
      <c r="X330" t="s">
        <v>78</v>
      </c>
      <c r="Y330" s="16">
        <v>44714.398592824073</v>
      </c>
      <c r="Z330" s="17" t="str">
        <f>_xlfn.XLOOKUP(Table1[[#This Row],[Phase]],'Lookup tables'!$Y$27:$Y$60,'Lookup tables'!$Z$27:$Z$60,"Not Updated")</f>
        <v>Exploratory</v>
      </c>
      <c r="AA330" s="17">
        <v>0</v>
      </c>
      <c r="AB330">
        <v>0</v>
      </c>
      <c r="AC330">
        <v>0</v>
      </c>
      <c r="AD330">
        <v>0</v>
      </c>
      <c r="AE330">
        <v>0</v>
      </c>
      <c r="AF330">
        <v>0</v>
      </c>
      <c r="AG330">
        <v>0</v>
      </c>
      <c r="AH330">
        <v>0</v>
      </c>
      <c r="AI330">
        <v>0</v>
      </c>
      <c r="AJ330">
        <v>0</v>
      </c>
      <c r="AK330">
        <v>0</v>
      </c>
      <c r="AL330">
        <v>0</v>
      </c>
      <c r="AM330">
        <v>0</v>
      </c>
      <c r="AN330">
        <v>0</v>
      </c>
      <c r="AO330">
        <v>0</v>
      </c>
      <c r="AP330">
        <v>0</v>
      </c>
      <c r="AQ330">
        <v>0</v>
      </c>
      <c r="AR330">
        <v>0</v>
      </c>
      <c r="AS330">
        <v>0</v>
      </c>
      <c r="AT330">
        <v>0</v>
      </c>
      <c r="AU330">
        <v>0</v>
      </c>
      <c r="AV330">
        <v>0</v>
      </c>
      <c r="AW330">
        <v>0</v>
      </c>
      <c r="AX330">
        <v>0</v>
      </c>
      <c r="AY330">
        <v>0</v>
      </c>
      <c r="AZ330">
        <v>0</v>
      </c>
      <c r="BA330">
        <v>0</v>
      </c>
      <c r="BB330">
        <v>0</v>
      </c>
      <c r="BC330">
        <v>0</v>
      </c>
      <c r="BD330">
        <v>0</v>
      </c>
      <c r="BE330">
        <v>0</v>
      </c>
      <c r="BF330">
        <v>0</v>
      </c>
      <c r="BG330" s="185">
        <v>0</v>
      </c>
      <c r="BH330" s="185">
        <v>0</v>
      </c>
      <c r="BI330" s="185">
        <v>0</v>
      </c>
      <c r="BJ330" s="185">
        <v>0</v>
      </c>
      <c r="BK330" s="185">
        <v>0</v>
      </c>
      <c r="BL330" s="185">
        <v>0</v>
      </c>
      <c r="BM330" s="185">
        <v>0</v>
      </c>
      <c r="BN330" s="185">
        <v>0</v>
      </c>
      <c r="BO330" s="185">
        <v>0</v>
      </c>
      <c r="BP330" s="185">
        <v>0</v>
      </c>
      <c r="BQ330" s="185">
        <v>0</v>
      </c>
      <c r="BR330" s="185">
        <v>0</v>
      </c>
      <c r="BS330" s="185">
        <v>0</v>
      </c>
      <c r="BT330" s="185">
        <v>0</v>
      </c>
      <c r="BU330" t="b">
        <f>IF(_xlfn.MAXIFS(Table1[Sl No],Table1[Category],Table1[[#This Row],[Category]],Table1[Execution Year],Table1[[#This Row],[Execution Year]])=Table1[[#This Row],[Sl No]],TRUE,FALSE)</f>
        <v>0</v>
      </c>
      <c r="BV330" s="201">
        <f>SUM(Table1[[#This Row],[Spend - CAN]:[Spend - Sams]])+SUM(Table1[[#This Row],[Spend - Sams Mexico]:[Spend - Sams China]])+Table1[[#This Row],[Spend - IND]]</f>
        <v>45000000</v>
      </c>
      <c r="BW330">
        <f>SUM(Table1[[#This Row],[Savings - CAN]:[Savings - Sams]])+SUM(Table1[[#This Row],[Savings - Sams Mexico]:[Savings - Sams China]])+Table1[[#This Row],[Savings - IND]]</f>
        <v>0</v>
      </c>
      <c r="BX330">
        <f>SUM(Table1[[#This Row],[Spend - CAN]:[Spend - SAF]])+SUM(Table1[[#This Row],[Spend - Sams Mexico]:[Spend - Sams China]])+Table1[[#This Row],[Spend - IND]]</f>
        <v>0</v>
      </c>
      <c r="BY330">
        <f>SUM(Table1[[#This Row],[Savings - CAN]:[Savings - SAF]])+SUM(Table1[[#This Row],[Savings - Sams Mexico]:[Savings - Sams China]])+Table1[[#This Row],[Savings - IND]]</f>
        <v>0</v>
      </c>
      <c r="BZ330">
        <f>SUM(Table1[[#This Row],[Spend - US]:[Spend - Sams]])</f>
        <v>45000000</v>
      </c>
      <c r="CA330">
        <f>SUM(Table1[[#This Row],[Savings - US]:[Savings - Sams]])</f>
        <v>0</v>
      </c>
      <c r="CB330">
        <f>SUM(Table1[[#This Row],[Cost Avoidance - CAN2]:[Cost Avoidance - SAF10]])+SUM(Table1[[#This Row],[Cost Avoidance - Sams Mexico]:[Cost Avoidance - Sams China]])+Table1[[#This Row],[Cost Avoidance - IND]]</f>
        <v>0</v>
      </c>
      <c r="CC330">
        <f>SUM(Table1[[#This Row],[Cost Avoidance - US11]:[Cost Avoidance - Sams12]])</f>
        <v>0</v>
      </c>
      <c r="CD330">
        <f>_xlfn.XLOOKUP(Table1[[#This Row],[Status]],Status_Lookups[Status],Status_Lookups[Value],"")</f>
        <v>0.2</v>
      </c>
    </row>
    <row r="331" spans="1:82">
      <c r="A331">
        <v>4</v>
      </c>
      <c r="B331" t="s">
        <v>478</v>
      </c>
      <c r="C331" t="s">
        <v>43</v>
      </c>
      <c r="D331">
        <v>0</v>
      </c>
      <c r="E331" s="15">
        <v>0</v>
      </c>
      <c r="F331" s="15">
        <v>0</v>
      </c>
      <c r="G331" s="15">
        <v>0</v>
      </c>
      <c r="H331" s="15">
        <v>0</v>
      </c>
      <c r="I331" t="s">
        <v>417</v>
      </c>
      <c r="J331" t="s">
        <v>417</v>
      </c>
      <c r="K331">
        <v>0</v>
      </c>
      <c r="L331">
        <v>0</v>
      </c>
      <c r="M331">
        <v>0</v>
      </c>
      <c r="N331">
        <v>0</v>
      </c>
      <c r="O331">
        <v>0</v>
      </c>
      <c r="P331">
        <v>0</v>
      </c>
      <c r="Q331">
        <v>0</v>
      </c>
      <c r="R331">
        <v>0</v>
      </c>
      <c r="S331">
        <v>0</v>
      </c>
      <c r="T331">
        <v>0</v>
      </c>
      <c r="U331">
        <v>0</v>
      </c>
      <c r="V331">
        <v>0</v>
      </c>
      <c r="W331">
        <v>0</v>
      </c>
      <c r="X331" t="s">
        <v>78</v>
      </c>
      <c r="Y331" s="16">
        <v>44714.403059953707</v>
      </c>
      <c r="Z331" s="17" t="str">
        <f>_xlfn.XLOOKUP(Table1[[#This Row],[Phase]],'Lookup tables'!$Y$27:$Y$60,'Lookup tables'!$Z$27:$Z$60,"Not Updated")</f>
        <v>Cancelled</v>
      </c>
      <c r="AA331" s="17">
        <v>0</v>
      </c>
      <c r="AB331">
        <v>0</v>
      </c>
      <c r="AC331">
        <v>0</v>
      </c>
      <c r="AD331">
        <v>0</v>
      </c>
      <c r="AE331">
        <v>0</v>
      </c>
      <c r="AF331">
        <v>0</v>
      </c>
      <c r="AG331">
        <v>0</v>
      </c>
      <c r="AH331">
        <v>0</v>
      </c>
      <c r="AI331">
        <v>0</v>
      </c>
      <c r="AJ331">
        <v>0</v>
      </c>
      <c r="AK331">
        <v>0</v>
      </c>
      <c r="AL331">
        <v>0</v>
      </c>
      <c r="AM331">
        <v>0</v>
      </c>
      <c r="AN331">
        <v>0</v>
      </c>
      <c r="AO331">
        <v>0</v>
      </c>
      <c r="AP331">
        <v>0</v>
      </c>
      <c r="AQ331">
        <v>0</v>
      </c>
      <c r="AR331">
        <v>0</v>
      </c>
      <c r="AS331">
        <v>0</v>
      </c>
      <c r="AT331">
        <v>0</v>
      </c>
      <c r="AU331">
        <v>0</v>
      </c>
      <c r="AV331">
        <v>0</v>
      </c>
      <c r="AW331">
        <v>0</v>
      </c>
      <c r="AX331">
        <v>0</v>
      </c>
      <c r="AY331">
        <v>0</v>
      </c>
      <c r="AZ331">
        <v>0</v>
      </c>
      <c r="BA331">
        <v>0</v>
      </c>
      <c r="BB331">
        <v>0</v>
      </c>
      <c r="BC331">
        <v>0</v>
      </c>
      <c r="BD331">
        <v>0</v>
      </c>
      <c r="BE331">
        <v>0</v>
      </c>
      <c r="BF331">
        <v>0</v>
      </c>
      <c r="BG331" s="185">
        <v>0</v>
      </c>
      <c r="BH331" s="185">
        <v>0</v>
      </c>
      <c r="BI331" s="185">
        <v>0</v>
      </c>
      <c r="BJ331" s="185">
        <v>0</v>
      </c>
      <c r="BK331" s="185">
        <v>0</v>
      </c>
      <c r="BL331" s="185">
        <v>0</v>
      </c>
      <c r="BM331" s="185">
        <v>0</v>
      </c>
      <c r="BN331" s="185">
        <v>0</v>
      </c>
      <c r="BO331" s="185">
        <v>0</v>
      </c>
      <c r="BP331" s="185">
        <v>0</v>
      </c>
      <c r="BQ331" s="185">
        <v>0</v>
      </c>
      <c r="BR331" s="185">
        <v>0</v>
      </c>
      <c r="BS331" s="185">
        <v>0</v>
      </c>
      <c r="BT331" s="185">
        <v>0</v>
      </c>
      <c r="BU331" t="b">
        <f>IF(_xlfn.MAXIFS(Table1[Sl No],Table1[Category],Table1[[#This Row],[Category]],Table1[Execution Year],Table1[[#This Row],[Execution Year]])=Table1[[#This Row],[Sl No]],TRUE,FALSE)</f>
        <v>1</v>
      </c>
      <c r="BV331" s="201">
        <f>SUM(Table1[[#This Row],[Spend - CAN]:[Spend - Sams]])+SUM(Table1[[#This Row],[Spend - Sams Mexico]:[Spend - Sams China]])+Table1[[#This Row],[Spend - IND]]</f>
        <v>0</v>
      </c>
      <c r="BW331">
        <f>SUM(Table1[[#This Row],[Savings - CAN]:[Savings - Sams]])+SUM(Table1[[#This Row],[Savings - Sams Mexico]:[Savings - Sams China]])+Table1[[#This Row],[Savings - IND]]</f>
        <v>0</v>
      </c>
      <c r="BX331">
        <f>SUM(Table1[[#This Row],[Spend - CAN]:[Spend - SAF]])+SUM(Table1[[#This Row],[Spend - Sams Mexico]:[Spend - Sams China]])+Table1[[#This Row],[Spend - IND]]</f>
        <v>0</v>
      </c>
      <c r="BY331">
        <f>SUM(Table1[[#This Row],[Savings - CAN]:[Savings - SAF]])+SUM(Table1[[#This Row],[Savings - Sams Mexico]:[Savings - Sams China]])+Table1[[#This Row],[Savings - IND]]</f>
        <v>0</v>
      </c>
      <c r="BZ331">
        <f>SUM(Table1[[#This Row],[Spend - US]:[Spend - Sams]])</f>
        <v>0</v>
      </c>
      <c r="CA331">
        <f>SUM(Table1[[#This Row],[Savings - US]:[Savings - Sams]])</f>
        <v>0</v>
      </c>
      <c r="CB331">
        <f>SUM(Table1[[#This Row],[Cost Avoidance - CAN2]:[Cost Avoidance - SAF10]])+SUM(Table1[[#This Row],[Cost Avoidance - Sams Mexico]:[Cost Avoidance - Sams China]])+Table1[[#This Row],[Cost Avoidance - IND]]</f>
        <v>0</v>
      </c>
      <c r="CC331">
        <f>SUM(Table1[[#This Row],[Cost Avoidance - US11]:[Cost Avoidance - Sams12]])</f>
        <v>0</v>
      </c>
      <c r="CD331">
        <f>_xlfn.XLOOKUP(Table1[[#This Row],[Status]],Status_Lookups[Status],Status_Lookups[Value],"")</f>
        <v>0.2</v>
      </c>
    </row>
    <row r="332" spans="1:82">
      <c r="A332">
        <v>4</v>
      </c>
      <c r="B332" t="s">
        <v>478</v>
      </c>
      <c r="C332" t="s">
        <v>43</v>
      </c>
      <c r="D332">
        <v>0</v>
      </c>
      <c r="E332" s="15">
        <v>0</v>
      </c>
      <c r="F332" s="15">
        <v>0</v>
      </c>
      <c r="G332" s="15">
        <v>0</v>
      </c>
      <c r="H332" s="15">
        <v>0</v>
      </c>
      <c r="I332" t="s">
        <v>417</v>
      </c>
      <c r="J332" t="s">
        <v>417</v>
      </c>
      <c r="K332">
        <v>0</v>
      </c>
      <c r="L332">
        <v>0</v>
      </c>
      <c r="M332">
        <v>0</v>
      </c>
      <c r="N332">
        <v>0</v>
      </c>
      <c r="O332">
        <v>0</v>
      </c>
      <c r="P332">
        <v>0</v>
      </c>
      <c r="Q332">
        <v>0</v>
      </c>
      <c r="R332">
        <v>0</v>
      </c>
      <c r="S332">
        <v>0</v>
      </c>
      <c r="T332">
        <v>0</v>
      </c>
      <c r="U332">
        <v>0</v>
      </c>
      <c r="V332">
        <v>0</v>
      </c>
      <c r="W332">
        <v>0</v>
      </c>
      <c r="X332" t="s">
        <v>78</v>
      </c>
      <c r="Y332" s="16">
        <v>44714.403173148145</v>
      </c>
      <c r="Z332" s="17" t="str">
        <f>_xlfn.XLOOKUP(Table1[[#This Row],[Phase]],'Lookup tables'!$Y$27:$Y$60,'Lookup tables'!$Z$27:$Z$60,"Not Updated")</f>
        <v>Cancelled</v>
      </c>
      <c r="AA332" s="17">
        <v>0</v>
      </c>
      <c r="AB332">
        <v>0</v>
      </c>
      <c r="AC332">
        <v>0</v>
      </c>
      <c r="AD332">
        <v>0</v>
      </c>
      <c r="AE332">
        <v>0</v>
      </c>
      <c r="AF332">
        <v>0</v>
      </c>
      <c r="AG332">
        <v>0</v>
      </c>
      <c r="AH332">
        <v>0</v>
      </c>
      <c r="AI332">
        <v>0</v>
      </c>
      <c r="AJ332">
        <v>0</v>
      </c>
      <c r="AK332">
        <v>0</v>
      </c>
      <c r="AL332">
        <v>0</v>
      </c>
      <c r="AM332">
        <v>0</v>
      </c>
      <c r="AN332">
        <v>0</v>
      </c>
      <c r="AO332">
        <v>0</v>
      </c>
      <c r="AP332">
        <v>0</v>
      </c>
      <c r="AQ332">
        <v>0</v>
      </c>
      <c r="AR332">
        <v>0</v>
      </c>
      <c r="AS332">
        <v>0</v>
      </c>
      <c r="AT332">
        <v>0</v>
      </c>
      <c r="AU332">
        <v>0</v>
      </c>
      <c r="AV332">
        <v>0</v>
      </c>
      <c r="AW332">
        <v>0</v>
      </c>
      <c r="AX332">
        <v>0</v>
      </c>
      <c r="AY332">
        <v>0</v>
      </c>
      <c r="AZ332">
        <v>0</v>
      </c>
      <c r="BA332">
        <v>0</v>
      </c>
      <c r="BB332">
        <v>0</v>
      </c>
      <c r="BC332">
        <v>0</v>
      </c>
      <c r="BD332">
        <v>0</v>
      </c>
      <c r="BE332">
        <v>0</v>
      </c>
      <c r="BF332">
        <v>0</v>
      </c>
      <c r="BG332" s="185">
        <v>0</v>
      </c>
      <c r="BH332" s="185">
        <v>0</v>
      </c>
      <c r="BI332" s="185">
        <v>0</v>
      </c>
      <c r="BJ332" s="185">
        <v>0</v>
      </c>
      <c r="BK332" s="185">
        <v>0</v>
      </c>
      <c r="BL332" s="185">
        <v>0</v>
      </c>
      <c r="BM332" s="185">
        <v>0</v>
      </c>
      <c r="BN332" s="185">
        <v>0</v>
      </c>
      <c r="BO332" s="185">
        <v>0</v>
      </c>
      <c r="BP332" s="185">
        <v>0</v>
      </c>
      <c r="BQ332" s="185">
        <v>0</v>
      </c>
      <c r="BR332" s="185">
        <v>0</v>
      </c>
      <c r="BS332" s="185">
        <v>0</v>
      </c>
      <c r="BT332" s="185">
        <v>0</v>
      </c>
      <c r="BU332" t="b">
        <f>IF(_xlfn.MAXIFS(Table1[Sl No],Table1[Category],Table1[[#This Row],[Category]],Table1[Execution Year],Table1[[#This Row],[Execution Year]])=Table1[[#This Row],[Sl No]],TRUE,FALSE)</f>
        <v>1</v>
      </c>
      <c r="BV332" s="201">
        <f>SUM(Table1[[#This Row],[Spend - CAN]:[Spend - Sams]])+SUM(Table1[[#This Row],[Spend - Sams Mexico]:[Spend - Sams China]])+Table1[[#This Row],[Spend - IND]]</f>
        <v>0</v>
      </c>
      <c r="BW332">
        <f>SUM(Table1[[#This Row],[Savings - CAN]:[Savings - Sams]])+SUM(Table1[[#This Row],[Savings - Sams Mexico]:[Savings - Sams China]])+Table1[[#This Row],[Savings - IND]]</f>
        <v>0</v>
      </c>
      <c r="BX332">
        <f>SUM(Table1[[#This Row],[Spend - CAN]:[Spend - SAF]])+SUM(Table1[[#This Row],[Spend - Sams Mexico]:[Spend - Sams China]])+Table1[[#This Row],[Spend - IND]]</f>
        <v>0</v>
      </c>
      <c r="BY332">
        <f>SUM(Table1[[#This Row],[Savings - CAN]:[Savings - SAF]])+SUM(Table1[[#This Row],[Savings - Sams Mexico]:[Savings - Sams China]])+Table1[[#This Row],[Savings - IND]]</f>
        <v>0</v>
      </c>
      <c r="BZ332">
        <f>SUM(Table1[[#This Row],[Spend - US]:[Spend - Sams]])</f>
        <v>0</v>
      </c>
      <c r="CA332">
        <f>SUM(Table1[[#This Row],[Savings - US]:[Savings - Sams]])</f>
        <v>0</v>
      </c>
      <c r="CB332">
        <f>SUM(Table1[[#This Row],[Cost Avoidance - CAN2]:[Cost Avoidance - SAF10]])+SUM(Table1[[#This Row],[Cost Avoidance - Sams Mexico]:[Cost Avoidance - Sams China]])+Table1[[#This Row],[Cost Avoidance - IND]]</f>
        <v>0</v>
      </c>
      <c r="CC332">
        <f>SUM(Table1[[#This Row],[Cost Avoidance - US11]:[Cost Avoidance - Sams12]])</f>
        <v>0</v>
      </c>
      <c r="CD332">
        <f>_xlfn.XLOOKUP(Table1[[#This Row],[Status]],Status_Lookups[Status],Status_Lookups[Value],"")</f>
        <v>0.2</v>
      </c>
    </row>
    <row r="333" spans="1:82">
      <c r="A333">
        <v>4</v>
      </c>
      <c r="B333" t="s">
        <v>478</v>
      </c>
      <c r="C333" t="s">
        <v>43</v>
      </c>
      <c r="D333" t="s">
        <v>322</v>
      </c>
      <c r="E333" s="15">
        <v>0</v>
      </c>
      <c r="F333" s="15">
        <v>0</v>
      </c>
      <c r="G333" s="15">
        <v>0</v>
      </c>
      <c r="H333" s="15">
        <v>0</v>
      </c>
      <c r="I333" t="s">
        <v>417</v>
      </c>
      <c r="J333" t="s">
        <v>417</v>
      </c>
      <c r="K333">
        <v>0</v>
      </c>
      <c r="L333">
        <v>0</v>
      </c>
      <c r="M333">
        <v>0</v>
      </c>
      <c r="N333">
        <v>0</v>
      </c>
      <c r="O333">
        <v>0</v>
      </c>
      <c r="P333">
        <v>0</v>
      </c>
      <c r="Q333">
        <v>0</v>
      </c>
      <c r="R333">
        <v>0</v>
      </c>
      <c r="S333">
        <v>0</v>
      </c>
      <c r="T333">
        <v>0</v>
      </c>
      <c r="U333">
        <v>0</v>
      </c>
      <c r="V333">
        <v>0</v>
      </c>
      <c r="W333">
        <v>0</v>
      </c>
      <c r="X333" t="s">
        <v>78</v>
      </c>
      <c r="Y333" s="16">
        <v>44714.403359027776</v>
      </c>
      <c r="Z333" s="17" t="str">
        <f>_xlfn.XLOOKUP(Table1[[#This Row],[Phase]],'Lookup tables'!$Y$27:$Y$60,'Lookup tables'!$Z$27:$Z$60,"Not Updated")</f>
        <v>Cancelled</v>
      </c>
      <c r="AA333" s="17">
        <v>0</v>
      </c>
      <c r="AB333">
        <v>0</v>
      </c>
      <c r="AC333">
        <v>0</v>
      </c>
      <c r="AD333">
        <v>0</v>
      </c>
      <c r="AE333">
        <v>0</v>
      </c>
      <c r="AF333">
        <v>0</v>
      </c>
      <c r="AG333">
        <v>0</v>
      </c>
      <c r="AH333">
        <v>0</v>
      </c>
      <c r="AI333">
        <v>0</v>
      </c>
      <c r="AJ333">
        <v>0</v>
      </c>
      <c r="AK333">
        <v>0</v>
      </c>
      <c r="AL333">
        <v>0</v>
      </c>
      <c r="AM333">
        <v>0</v>
      </c>
      <c r="AN333">
        <v>0</v>
      </c>
      <c r="AO333">
        <v>0</v>
      </c>
      <c r="AP333">
        <v>0</v>
      </c>
      <c r="AQ333">
        <v>0</v>
      </c>
      <c r="AR333">
        <v>0</v>
      </c>
      <c r="AS333">
        <v>0</v>
      </c>
      <c r="AT333">
        <v>0</v>
      </c>
      <c r="AU333">
        <v>0</v>
      </c>
      <c r="AV333">
        <v>0</v>
      </c>
      <c r="AW333">
        <v>0</v>
      </c>
      <c r="AX333">
        <v>0</v>
      </c>
      <c r="AY333">
        <v>0</v>
      </c>
      <c r="AZ333">
        <v>0</v>
      </c>
      <c r="BA333">
        <v>0</v>
      </c>
      <c r="BB333">
        <v>0</v>
      </c>
      <c r="BC333">
        <v>0</v>
      </c>
      <c r="BD333">
        <v>0</v>
      </c>
      <c r="BE333">
        <v>0</v>
      </c>
      <c r="BF333">
        <v>0</v>
      </c>
      <c r="BG333" s="185">
        <v>0</v>
      </c>
      <c r="BH333" s="185">
        <v>0</v>
      </c>
      <c r="BI333" s="185">
        <v>0</v>
      </c>
      <c r="BJ333" s="185">
        <v>0</v>
      </c>
      <c r="BK333" s="185">
        <v>0</v>
      </c>
      <c r="BL333" s="185">
        <v>0</v>
      </c>
      <c r="BM333" s="185">
        <v>0</v>
      </c>
      <c r="BN333" s="185">
        <v>0</v>
      </c>
      <c r="BO333" s="185">
        <v>0</v>
      </c>
      <c r="BP333" s="185">
        <v>0</v>
      </c>
      <c r="BQ333" s="185">
        <v>0</v>
      </c>
      <c r="BR333" s="185">
        <v>0</v>
      </c>
      <c r="BS333" s="185">
        <v>0</v>
      </c>
      <c r="BT333" s="185">
        <v>0</v>
      </c>
      <c r="BU333" t="b">
        <f>IF(_xlfn.MAXIFS(Table1[Sl No],Table1[Category],Table1[[#This Row],[Category]],Table1[Execution Year],Table1[[#This Row],[Execution Year]])=Table1[[#This Row],[Sl No]],TRUE,FALSE)</f>
        <v>1</v>
      </c>
      <c r="BV333" s="201">
        <f>SUM(Table1[[#This Row],[Spend - CAN]:[Spend - Sams]])+SUM(Table1[[#This Row],[Spend - Sams Mexico]:[Spend - Sams China]])+Table1[[#This Row],[Spend - IND]]</f>
        <v>0</v>
      </c>
      <c r="BW333">
        <f>SUM(Table1[[#This Row],[Savings - CAN]:[Savings - Sams]])+SUM(Table1[[#This Row],[Savings - Sams Mexico]:[Savings - Sams China]])+Table1[[#This Row],[Savings - IND]]</f>
        <v>0</v>
      </c>
      <c r="BX333">
        <f>SUM(Table1[[#This Row],[Spend - CAN]:[Spend - SAF]])+SUM(Table1[[#This Row],[Spend - Sams Mexico]:[Spend - Sams China]])+Table1[[#This Row],[Spend - IND]]</f>
        <v>0</v>
      </c>
      <c r="BY333">
        <f>SUM(Table1[[#This Row],[Savings - CAN]:[Savings - SAF]])+SUM(Table1[[#This Row],[Savings - Sams Mexico]:[Savings - Sams China]])+Table1[[#This Row],[Savings - IND]]</f>
        <v>0</v>
      </c>
      <c r="BZ333">
        <f>SUM(Table1[[#This Row],[Spend - US]:[Spend - Sams]])</f>
        <v>0</v>
      </c>
      <c r="CA333">
        <f>SUM(Table1[[#This Row],[Savings - US]:[Savings - Sams]])</f>
        <v>0</v>
      </c>
      <c r="CB333">
        <f>SUM(Table1[[#This Row],[Cost Avoidance - CAN2]:[Cost Avoidance - SAF10]])+SUM(Table1[[#This Row],[Cost Avoidance - Sams Mexico]:[Cost Avoidance - Sams China]])+Table1[[#This Row],[Cost Avoidance - IND]]</f>
        <v>0</v>
      </c>
      <c r="CC333">
        <f>SUM(Table1[[#This Row],[Cost Avoidance - US11]:[Cost Avoidance - Sams12]])</f>
        <v>0</v>
      </c>
      <c r="CD333">
        <f>_xlfn.XLOOKUP(Table1[[#This Row],[Status]],Status_Lookups[Status],Status_Lookups[Value],"")</f>
        <v>0.2</v>
      </c>
    </row>
    <row r="334" spans="1:82">
      <c r="A334">
        <v>1</v>
      </c>
      <c r="B334" t="s">
        <v>580</v>
      </c>
      <c r="C334" t="s">
        <v>33</v>
      </c>
      <c r="D334" t="s">
        <v>322</v>
      </c>
      <c r="E334" s="15"/>
      <c r="F334" s="15"/>
      <c r="G334" s="15"/>
      <c r="H334" s="15"/>
      <c r="I334" t="s">
        <v>412</v>
      </c>
      <c r="J334" t="s">
        <v>459</v>
      </c>
      <c r="K334" t="s">
        <v>570</v>
      </c>
      <c r="X334" t="s">
        <v>47</v>
      </c>
      <c r="Y334" s="16">
        <v>44701.387036342596</v>
      </c>
      <c r="Z334" s="17" t="str">
        <f>_xlfn.XLOOKUP(Table1[[#This Row],[Phase]],'Lookup tables'!$Y$27:$Y$60,'Lookup tables'!$Z$27:$Z$60,"Not Updated")</f>
        <v>Exploratory</v>
      </c>
      <c r="AA334" s="17"/>
      <c r="BG334" s="185"/>
      <c r="BH334" s="185"/>
      <c r="BI334" s="185"/>
      <c r="BJ334" s="185"/>
      <c r="BK334" s="185"/>
      <c r="BL334" s="185"/>
      <c r="BM334" s="185"/>
      <c r="BN334" s="185"/>
      <c r="BO334" s="185"/>
      <c r="BP334" s="185"/>
      <c r="BQ334" s="185"/>
      <c r="BR334" s="185"/>
      <c r="BS334" s="185"/>
      <c r="BT334" s="185"/>
      <c r="BU334" t="b">
        <f>IF(_xlfn.MAXIFS(Table1[Sl No],Table1[Category],Table1[[#This Row],[Category]],Table1[Execution Year],Table1[[#This Row],[Execution Year]])=Table1[[#This Row],[Sl No]],TRUE,FALSE)</f>
        <v>0</v>
      </c>
      <c r="BV334" s="201">
        <f>SUM(Table1[[#This Row],[Spend - CAN]:[Spend - Sams]])+SUM(Table1[[#This Row],[Spend - Sams Mexico]:[Spend - Sams China]])+Table1[[#This Row],[Spend - IND]]</f>
        <v>0</v>
      </c>
      <c r="BW334">
        <f>SUM(Table1[[#This Row],[Savings - CAN]:[Savings - Sams]])+SUM(Table1[[#This Row],[Savings - Sams Mexico]:[Savings - Sams China]])+Table1[[#This Row],[Savings - IND]]</f>
        <v>0</v>
      </c>
      <c r="BX334">
        <f>SUM(Table1[[#This Row],[Spend - CAN]:[Spend - SAF]])+SUM(Table1[[#This Row],[Spend - Sams Mexico]:[Spend - Sams China]])+Table1[[#This Row],[Spend - IND]]</f>
        <v>0</v>
      </c>
      <c r="BY334">
        <f>SUM(Table1[[#This Row],[Savings - CAN]:[Savings - SAF]])+SUM(Table1[[#This Row],[Savings - Sams Mexico]:[Savings - Sams China]])+Table1[[#This Row],[Savings - IND]]</f>
        <v>0</v>
      </c>
      <c r="BZ334">
        <f>SUM(Table1[[#This Row],[Spend - US]:[Spend - Sams]])</f>
        <v>0</v>
      </c>
      <c r="CA334">
        <f>SUM(Table1[[#This Row],[Savings - US]:[Savings - Sams]])</f>
        <v>0</v>
      </c>
      <c r="CB334">
        <f>SUM(Table1[[#This Row],[Cost Avoidance - CAN2]:[Cost Avoidance - SAF10]])+SUM(Table1[[#This Row],[Cost Avoidance - Sams Mexico]:[Cost Avoidance - Sams China]])+Table1[[#This Row],[Cost Avoidance - IND]]</f>
        <v>0</v>
      </c>
      <c r="CC334">
        <f>SUM(Table1[[#This Row],[Cost Avoidance - US11]:[Cost Avoidance - Sams12]])</f>
        <v>0</v>
      </c>
      <c r="CD334">
        <f>_xlfn.XLOOKUP(Table1[[#This Row],[Status]],Status_Lookups[Status],Status_Lookups[Value],"")</f>
        <v>0.3</v>
      </c>
    </row>
    <row r="335" spans="1:82">
      <c r="A335">
        <v>1</v>
      </c>
      <c r="B335" t="s">
        <v>40</v>
      </c>
      <c r="C335" t="s">
        <v>33</v>
      </c>
      <c r="D335" t="s">
        <v>39</v>
      </c>
      <c r="E335" s="15">
        <v>44409</v>
      </c>
      <c r="F335" s="15">
        <v>44591</v>
      </c>
      <c r="G335" s="15"/>
      <c r="H335" s="15"/>
      <c r="I335" t="s">
        <v>466</v>
      </c>
      <c r="J335" t="s">
        <v>459</v>
      </c>
      <c r="K335" t="s">
        <v>508</v>
      </c>
      <c r="X335" t="s">
        <v>47</v>
      </c>
      <c r="Y335" s="16">
        <v>44701.387036342596</v>
      </c>
      <c r="Z335" s="17" t="str">
        <f>_xlfn.XLOOKUP(Table1[[#This Row],[Phase]],'Lookup tables'!$Y$27:$Y$60,'Lookup tables'!$Z$27:$Z$60,"Not Updated")</f>
        <v>Post Award</v>
      </c>
      <c r="AA335" s="17"/>
      <c r="BG335" s="185"/>
      <c r="BH335" s="185"/>
      <c r="BI335" s="185"/>
      <c r="BJ335" s="185"/>
      <c r="BK335" s="185"/>
      <c r="BL335" s="185"/>
      <c r="BM335" s="185"/>
      <c r="BN335" s="185"/>
      <c r="BO335" s="185"/>
      <c r="BP335" s="185"/>
      <c r="BQ335" s="185"/>
      <c r="BR335" s="185"/>
      <c r="BS335" s="185"/>
      <c r="BT335" s="185"/>
      <c r="BU335" t="b">
        <f>IF(_xlfn.MAXIFS(Table1[Sl No],Table1[Category],Table1[[#This Row],[Category]],Table1[Execution Year],Table1[[#This Row],[Execution Year]])=Table1[[#This Row],[Sl No]],TRUE,FALSE)</f>
        <v>1</v>
      </c>
      <c r="BV335" s="201">
        <f>SUM(Table1[[#This Row],[Spend - CAN]:[Spend - Sams]])+SUM(Table1[[#This Row],[Spend - Sams Mexico]:[Spend - Sams China]])+Table1[[#This Row],[Spend - IND]]</f>
        <v>0</v>
      </c>
      <c r="BW335">
        <f>SUM(Table1[[#This Row],[Savings - CAN]:[Savings - Sams]])+SUM(Table1[[#This Row],[Savings - Sams Mexico]:[Savings - Sams China]])+Table1[[#This Row],[Savings - IND]]</f>
        <v>0</v>
      </c>
      <c r="BX335">
        <f>SUM(Table1[[#This Row],[Spend - CAN]:[Spend - SAF]])+SUM(Table1[[#This Row],[Spend - Sams Mexico]:[Spend - Sams China]])+Table1[[#This Row],[Spend - IND]]</f>
        <v>0</v>
      </c>
      <c r="BY335">
        <f>SUM(Table1[[#This Row],[Savings - CAN]:[Savings - SAF]])+SUM(Table1[[#This Row],[Savings - Sams Mexico]:[Savings - Sams China]])+Table1[[#This Row],[Savings - IND]]</f>
        <v>0</v>
      </c>
      <c r="BZ335">
        <f>SUM(Table1[[#This Row],[Spend - US]:[Spend - Sams]])</f>
        <v>0</v>
      </c>
      <c r="CA335">
        <f>SUM(Table1[[#This Row],[Savings - US]:[Savings - Sams]])</f>
        <v>0</v>
      </c>
      <c r="CB335">
        <f>SUM(Table1[[#This Row],[Cost Avoidance - CAN2]:[Cost Avoidance - SAF10]])+SUM(Table1[[#This Row],[Cost Avoidance - Sams Mexico]:[Cost Avoidance - Sams China]])+Table1[[#This Row],[Cost Avoidance - IND]]</f>
        <v>0</v>
      </c>
      <c r="CC335">
        <f>SUM(Table1[[#This Row],[Cost Avoidance - US11]:[Cost Avoidance - Sams12]])</f>
        <v>0</v>
      </c>
      <c r="CD335">
        <f>_xlfn.XLOOKUP(Table1[[#This Row],[Status]],Status_Lookups[Status],Status_Lookups[Value],"")</f>
        <v>0.3</v>
      </c>
    </row>
    <row r="336" spans="1:82">
      <c r="A336">
        <v>1</v>
      </c>
      <c r="B336" t="s">
        <v>40</v>
      </c>
      <c r="C336" t="s">
        <v>33</v>
      </c>
      <c r="D336" t="s">
        <v>322</v>
      </c>
      <c r="E336" s="15">
        <v>44805</v>
      </c>
      <c r="F336" s="15">
        <v>44925</v>
      </c>
      <c r="G336" s="15"/>
      <c r="H336" s="15"/>
      <c r="I336" t="s">
        <v>135</v>
      </c>
      <c r="J336" t="s">
        <v>459</v>
      </c>
      <c r="K336" t="s">
        <v>508</v>
      </c>
      <c r="X336" t="s">
        <v>47</v>
      </c>
      <c r="Y336" s="16">
        <v>44701.387036342596</v>
      </c>
      <c r="Z336" s="17" t="str">
        <f>_xlfn.XLOOKUP(Table1[[#This Row],[Phase]],'Lookup tables'!$Y$27:$Y$60,'Lookup tables'!$Z$27:$Z$60,"Not Updated")</f>
        <v>Pipeline</v>
      </c>
      <c r="AA336" s="17"/>
      <c r="BG336" s="185"/>
      <c r="BH336" s="185"/>
      <c r="BI336" s="185"/>
      <c r="BJ336" s="185"/>
      <c r="BK336" s="185"/>
      <c r="BL336" s="185"/>
      <c r="BM336" s="185"/>
      <c r="BN336" s="185"/>
      <c r="BO336" s="185"/>
      <c r="BP336" s="185"/>
      <c r="BQ336" s="185"/>
      <c r="BR336" s="185"/>
      <c r="BS336" s="185"/>
      <c r="BT336" s="185"/>
      <c r="BU336" t="b">
        <f>IF(_xlfn.MAXIFS(Table1[Sl No],Table1[Category],Table1[[#This Row],[Category]],Table1[Execution Year],Table1[[#This Row],[Execution Year]])=Table1[[#This Row],[Sl No]],TRUE,FALSE)</f>
        <v>0</v>
      </c>
      <c r="BV336" s="201">
        <f>SUM(Table1[[#This Row],[Spend - CAN]:[Spend - Sams]])+SUM(Table1[[#This Row],[Spend - Sams Mexico]:[Spend - Sams China]])+Table1[[#This Row],[Spend - IND]]</f>
        <v>0</v>
      </c>
      <c r="BW336">
        <f>SUM(Table1[[#This Row],[Savings - CAN]:[Savings - Sams]])+SUM(Table1[[#This Row],[Savings - Sams Mexico]:[Savings - Sams China]])+Table1[[#This Row],[Savings - IND]]</f>
        <v>0</v>
      </c>
      <c r="BX336">
        <f>SUM(Table1[[#This Row],[Spend - CAN]:[Spend - SAF]])+SUM(Table1[[#This Row],[Spend - Sams Mexico]:[Spend - Sams China]])+Table1[[#This Row],[Spend - IND]]</f>
        <v>0</v>
      </c>
      <c r="BY336">
        <f>SUM(Table1[[#This Row],[Savings - CAN]:[Savings - SAF]])+SUM(Table1[[#This Row],[Savings - Sams Mexico]:[Savings - Sams China]])+Table1[[#This Row],[Savings - IND]]</f>
        <v>0</v>
      </c>
      <c r="BZ336">
        <f>SUM(Table1[[#This Row],[Spend - US]:[Spend - Sams]])</f>
        <v>0</v>
      </c>
      <c r="CA336">
        <f>SUM(Table1[[#This Row],[Savings - US]:[Savings - Sams]])</f>
        <v>0</v>
      </c>
      <c r="CB336">
        <f>SUM(Table1[[#This Row],[Cost Avoidance - CAN2]:[Cost Avoidance - SAF10]])+SUM(Table1[[#This Row],[Cost Avoidance - Sams Mexico]:[Cost Avoidance - Sams China]])+Table1[[#This Row],[Cost Avoidance - IND]]</f>
        <v>0</v>
      </c>
      <c r="CC336">
        <f>SUM(Table1[[#This Row],[Cost Avoidance - US11]:[Cost Avoidance - Sams12]])</f>
        <v>0</v>
      </c>
      <c r="CD336">
        <f>_xlfn.XLOOKUP(Table1[[#This Row],[Status]],Status_Lookups[Status],Status_Lookups[Value],"")</f>
        <v>0.3</v>
      </c>
    </row>
    <row r="337" spans="1:82">
      <c r="A337">
        <v>2</v>
      </c>
      <c r="B337" t="s">
        <v>40</v>
      </c>
      <c r="C337" t="s">
        <v>33</v>
      </c>
      <c r="D337" t="s">
        <v>322</v>
      </c>
      <c r="E337" s="15">
        <v>44774</v>
      </c>
      <c r="F337" s="15">
        <v>44925</v>
      </c>
      <c r="G337" s="15">
        <v>0</v>
      </c>
      <c r="H337" s="15">
        <v>0</v>
      </c>
      <c r="I337" t="s">
        <v>135</v>
      </c>
      <c r="J337" t="s">
        <v>459</v>
      </c>
      <c r="K337" t="s">
        <v>508</v>
      </c>
      <c r="L337" t="s">
        <v>524</v>
      </c>
      <c r="M337">
        <v>0</v>
      </c>
      <c r="N337">
        <v>0</v>
      </c>
      <c r="O337">
        <v>0</v>
      </c>
      <c r="P337">
        <v>0</v>
      </c>
      <c r="Q337">
        <v>0</v>
      </c>
      <c r="R337">
        <v>0</v>
      </c>
      <c r="S337">
        <v>0</v>
      </c>
      <c r="T337">
        <v>0</v>
      </c>
      <c r="U337">
        <v>0</v>
      </c>
      <c r="V337">
        <v>1E-4</v>
      </c>
      <c r="W337">
        <v>0</v>
      </c>
      <c r="X337" t="s">
        <v>508</v>
      </c>
      <c r="Y337" s="16">
        <v>44729.440152546296</v>
      </c>
      <c r="Z337" s="17" t="str">
        <f>_xlfn.XLOOKUP(Table1[[#This Row],[Phase]],'Lookup tables'!$Y$27:$Y$60,'Lookup tables'!$Z$27:$Z$60,"Not Updated")</f>
        <v>Pipeline</v>
      </c>
      <c r="AA337" s="17" t="s">
        <v>680</v>
      </c>
      <c r="AB337">
        <v>0</v>
      </c>
      <c r="AC337">
        <v>0</v>
      </c>
      <c r="AD337">
        <v>0</v>
      </c>
      <c r="AE337">
        <v>0</v>
      </c>
      <c r="AF337">
        <v>0</v>
      </c>
      <c r="AG337">
        <v>0</v>
      </c>
      <c r="AH337">
        <v>0</v>
      </c>
      <c r="AI337">
        <v>0</v>
      </c>
      <c r="AJ337">
        <v>0</v>
      </c>
      <c r="AK337">
        <v>0</v>
      </c>
      <c r="AL337">
        <v>0</v>
      </c>
      <c r="AM337">
        <v>0</v>
      </c>
      <c r="AN337">
        <v>0</v>
      </c>
      <c r="AO337">
        <v>0</v>
      </c>
      <c r="AP337">
        <v>0</v>
      </c>
      <c r="AQ337">
        <v>0</v>
      </c>
      <c r="AR337">
        <v>0</v>
      </c>
      <c r="AS337">
        <v>0</v>
      </c>
      <c r="AT337">
        <v>0</v>
      </c>
      <c r="AU337">
        <v>0</v>
      </c>
      <c r="AV337">
        <v>0</v>
      </c>
      <c r="AW337">
        <v>0</v>
      </c>
      <c r="AX337">
        <v>0</v>
      </c>
      <c r="AY337">
        <v>0</v>
      </c>
      <c r="AZ337">
        <v>0</v>
      </c>
      <c r="BA337">
        <v>0</v>
      </c>
      <c r="BB337">
        <v>0</v>
      </c>
      <c r="BC337">
        <v>0</v>
      </c>
      <c r="BD337">
        <v>0</v>
      </c>
      <c r="BE337">
        <v>0</v>
      </c>
      <c r="BF337">
        <v>0</v>
      </c>
      <c r="BG337" s="185">
        <v>0</v>
      </c>
      <c r="BH337" s="185">
        <v>0</v>
      </c>
      <c r="BI337" s="185">
        <v>0</v>
      </c>
      <c r="BJ337" s="185">
        <v>0</v>
      </c>
      <c r="BK337" s="185">
        <v>0</v>
      </c>
      <c r="BL337" s="185">
        <v>0</v>
      </c>
      <c r="BM337" s="185">
        <v>0</v>
      </c>
      <c r="BN337" s="185">
        <v>0</v>
      </c>
      <c r="BO337" s="185">
        <v>0</v>
      </c>
      <c r="BP337" s="185">
        <v>0</v>
      </c>
      <c r="BQ337" s="185">
        <v>0</v>
      </c>
      <c r="BR337" s="185">
        <v>0</v>
      </c>
      <c r="BS337" s="185">
        <v>0</v>
      </c>
      <c r="BT337" s="185">
        <v>0</v>
      </c>
      <c r="BU337" t="b">
        <f>IF(_xlfn.MAXIFS(Table1[Sl No],Table1[Category],Table1[[#This Row],[Category]],Table1[Execution Year],Table1[[#This Row],[Execution Year]])=Table1[[#This Row],[Sl No]],TRUE,FALSE)</f>
        <v>0</v>
      </c>
      <c r="BV337" s="201">
        <f>SUM(Table1[[#This Row],[Spend - CAN]:[Spend - Sams]])+SUM(Table1[[#This Row],[Spend - Sams Mexico]:[Spend - Sams China]])+Table1[[#This Row],[Spend - IND]]</f>
        <v>1E-4</v>
      </c>
      <c r="BW337">
        <f>SUM(Table1[[#This Row],[Savings - CAN]:[Savings - Sams]])+SUM(Table1[[#This Row],[Savings - Sams Mexico]:[Savings - Sams China]])+Table1[[#This Row],[Savings - IND]]</f>
        <v>0</v>
      </c>
      <c r="BX337">
        <f>SUM(Table1[[#This Row],[Spend - CAN]:[Spend - SAF]])+SUM(Table1[[#This Row],[Spend - Sams Mexico]:[Spend - Sams China]])+Table1[[#This Row],[Spend - IND]]</f>
        <v>0</v>
      </c>
      <c r="BY337">
        <f>SUM(Table1[[#This Row],[Savings - CAN]:[Savings - SAF]])+SUM(Table1[[#This Row],[Savings - Sams Mexico]:[Savings - Sams China]])+Table1[[#This Row],[Savings - IND]]</f>
        <v>0</v>
      </c>
      <c r="BZ337">
        <f>SUM(Table1[[#This Row],[Spend - US]:[Spend - Sams]])</f>
        <v>1E-4</v>
      </c>
      <c r="CA337">
        <f>SUM(Table1[[#This Row],[Savings - US]:[Savings - Sams]])</f>
        <v>0</v>
      </c>
      <c r="CB337">
        <f>SUM(Table1[[#This Row],[Cost Avoidance - CAN2]:[Cost Avoidance - SAF10]])+SUM(Table1[[#This Row],[Cost Avoidance - Sams Mexico]:[Cost Avoidance - Sams China]])+Table1[[#This Row],[Cost Avoidance - IND]]</f>
        <v>0</v>
      </c>
      <c r="CC337">
        <f>SUM(Table1[[#This Row],[Cost Avoidance - US11]:[Cost Avoidance - Sams12]])</f>
        <v>0</v>
      </c>
      <c r="CD337">
        <f>_xlfn.XLOOKUP(Table1[[#This Row],[Status]],Status_Lookups[Status],Status_Lookups[Value],"")</f>
        <v>0.3</v>
      </c>
    </row>
    <row r="338" spans="1:82">
      <c r="A338">
        <v>3</v>
      </c>
      <c r="B338" t="s">
        <v>40</v>
      </c>
      <c r="C338" t="s">
        <v>33</v>
      </c>
      <c r="D338" t="s">
        <v>322</v>
      </c>
      <c r="E338" s="15">
        <v>44774</v>
      </c>
      <c r="F338" s="15">
        <v>44925</v>
      </c>
      <c r="G338" s="15">
        <v>0</v>
      </c>
      <c r="H338" s="15">
        <v>0</v>
      </c>
      <c r="I338" t="s">
        <v>135</v>
      </c>
      <c r="J338" t="s">
        <v>459</v>
      </c>
      <c r="K338" t="s">
        <v>508</v>
      </c>
      <c r="L338" t="s">
        <v>524</v>
      </c>
      <c r="M338">
        <v>0</v>
      </c>
      <c r="N338">
        <v>0</v>
      </c>
      <c r="O338">
        <v>0</v>
      </c>
      <c r="P338">
        <v>0</v>
      </c>
      <c r="Q338">
        <v>0</v>
      </c>
      <c r="R338">
        <v>0</v>
      </c>
      <c r="S338">
        <v>0</v>
      </c>
      <c r="T338">
        <v>0</v>
      </c>
      <c r="U338">
        <v>0</v>
      </c>
      <c r="V338">
        <v>1E-4</v>
      </c>
      <c r="W338">
        <v>0</v>
      </c>
      <c r="X338" t="s">
        <v>508</v>
      </c>
      <c r="Y338" s="16">
        <v>44729.440949421296</v>
      </c>
      <c r="Z338" s="17" t="str">
        <f>_xlfn.XLOOKUP(Table1[[#This Row],[Phase]],'Lookup tables'!$Y$27:$Y$60,'Lookup tables'!$Z$27:$Z$60,"Not Updated")</f>
        <v>Pipeline</v>
      </c>
      <c r="AA338" s="17" t="s">
        <v>680</v>
      </c>
      <c r="AB338">
        <v>0</v>
      </c>
      <c r="AC338">
        <v>0</v>
      </c>
      <c r="AD338">
        <v>0</v>
      </c>
      <c r="AE338">
        <v>0</v>
      </c>
      <c r="AF338">
        <v>0</v>
      </c>
      <c r="AG338">
        <v>0</v>
      </c>
      <c r="AH338">
        <v>0</v>
      </c>
      <c r="AI338">
        <v>0</v>
      </c>
      <c r="AJ338">
        <v>0</v>
      </c>
      <c r="AK338">
        <v>0</v>
      </c>
      <c r="AL338">
        <v>0</v>
      </c>
      <c r="AM338">
        <v>0</v>
      </c>
      <c r="AN338">
        <v>0</v>
      </c>
      <c r="AO338">
        <v>0</v>
      </c>
      <c r="AP338">
        <v>0</v>
      </c>
      <c r="AQ338">
        <v>0</v>
      </c>
      <c r="AR338">
        <v>0</v>
      </c>
      <c r="AS338">
        <v>0</v>
      </c>
      <c r="AT338">
        <v>0</v>
      </c>
      <c r="AU338">
        <v>0</v>
      </c>
      <c r="AV338">
        <v>0</v>
      </c>
      <c r="AW338">
        <v>0</v>
      </c>
      <c r="AX338">
        <v>0</v>
      </c>
      <c r="AY338">
        <v>0</v>
      </c>
      <c r="AZ338">
        <v>0</v>
      </c>
      <c r="BA338">
        <v>0</v>
      </c>
      <c r="BB338">
        <v>0</v>
      </c>
      <c r="BC338">
        <v>0</v>
      </c>
      <c r="BD338">
        <v>0</v>
      </c>
      <c r="BE338">
        <v>0</v>
      </c>
      <c r="BF338">
        <v>0</v>
      </c>
      <c r="BG338" s="185">
        <v>0</v>
      </c>
      <c r="BH338" s="185">
        <v>0</v>
      </c>
      <c r="BI338" s="185">
        <v>0</v>
      </c>
      <c r="BJ338" s="185">
        <v>0</v>
      </c>
      <c r="BK338" s="185">
        <v>0</v>
      </c>
      <c r="BL338" s="185">
        <v>0</v>
      </c>
      <c r="BM338" s="185">
        <v>0</v>
      </c>
      <c r="BN338" s="185">
        <v>0</v>
      </c>
      <c r="BO338" s="185">
        <v>0</v>
      </c>
      <c r="BP338" s="185">
        <v>0</v>
      </c>
      <c r="BQ338" s="185">
        <v>0</v>
      </c>
      <c r="BR338" s="185">
        <v>0</v>
      </c>
      <c r="BS338" s="185">
        <v>0</v>
      </c>
      <c r="BT338" s="185">
        <v>0</v>
      </c>
      <c r="BU338" t="b">
        <f>IF(_xlfn.MAXIFS(Table1[Sl No],Table1[Category],Table1[[#This Row],[Category]],Table1[Execution Year],Table1[[#This Row],[Execution Year]])=Table1[[#This Row],[Sl No]],TRUE,FALSE)</f>
        <v>0</v>
      </c>
      <c r="BV338" s="201">
        <f>SUM(Table1[[#This Row],[Spend - CAN]:[Spend - Sams]])+SUM(Table1[[#This Row],[Spend - Sams Mexico]:[Spend - Sams China]])+Table1[[#This Row],[Spend - IND]]</f>
        <v>1E-4</v>
      </c>
      <c r="BW338">
        <f>SUM(Table1[[#This Row],[Savings - CAN]:[Savings - Sams]])+SUM(Table1[[#This Row],[Savings - Sams Mexico]:[Savings - Sams China]])+Table1[[#This Row],[Savings - IND]]</f>
        <v>0</v>
      </c>
      <c r="BX338">
        <f>SUM(Table1[[#This Row],[Spend - CAN]:[Spend - SAF]])+SUM(Table1[[#This Row],[Spend - Sams Mexico]:[Spend - Sams China]])+Table1[[#This Row],[Spend - IND]]</f>
        <v>0</v>
      </c>
      <c r="BY338">
        <f>SUM(Table1[[#This Row],[Savings - CAN]:[Savings - SAF]])+SUM(Table1[[#This Row],[Savings - Sams Mexico]:[Savings - Sams China]])+Table1[[#This Row],[Savings - IND]]</f>
        <v>0</v>
      </c>
      <c r="BZ338">
        <f>SUM(Table1[[#This Row],[Spend - US]:[Spend - Sams]])</f>
        <v>1E-4</v>
      </c>
      <c r="CA338">
        <f>SUM(Table1[[#This Row],[Savings - US]:[Savings - Sams]])</f>
        <v>0</v>
      </c>
      <c r="CB338">
        <f>SUM(Table1[[#This Row],[Cost Avoidance - CAN2]:[Cost Avoidance - SAF10]])+SUM(Table1[[#This Row],[Cost Avoidance - Sams Mexico]:[Cost Avoidance - Sams China]])+Table1[[#This Row],[Cost Avoidance - IND]]</f>
        <v>0</v>
      </c>
      <c r="CC338">
        <f>SUM(Table1[[#This Row],[Cost Avoidance - US11]:[Cost Avoidance - Sams12]])</f>
        <v>0</v>
      </c>
      <c r="CD338">
        <f>_xlfn.XLOOKUP(Table1[[#This Row],[Status]],Status_Lookups[Status],Status_Lookups[Value],"")</f>
        <v>0.3</v>
      </c>
    </row>
    <row r="339" spans="1:82">
      <c r="A339">
        <v>4</v>
      </c>
      <c r="B339" t="s">
        <v>40</v>
      </c>
      <c r="C339" t="s">
        <v>33</v>
      </c>
      <c r="D339" t="s">
        <v>322</v>
      </c>
      <c r="E339" s="15">
        <v>44774</v>
      </c>
      <c r="F339" s="15">
        <v>44925</v>
      </c>
      <c r="G339" s="15">
        <v>0</v>
      </c>
      <c r="H339" s="15">
        <v>0</v>
      </c>
      <c r="I339" t="s">
        <v>135</v>
      </c>
      <c r="J339" t="s">
        <v>459</v>
      </c>
      <c r="K339" t="s">
        <v>508</v>
      </c>
      <c r="L339" t="s">
        <v>524</v>
      </c>
      <c r="M339">
        <v>0</v>
      </c>
      <c r="N339">
        <v>0</v>
      </c>
      <c r="O339">
        <v>0</v>
      </c>
      <c r="P339">
        <v>0</v>
      </c>
      <c r="Q339">
        <v>0</v>
      </c>
      <c r="R339">
        <v>0</v>
      </c>
      <c r="S339">
        <v>0</v>
      </c>
      <c r="T339">
        <v>0</v>
      </c>
      <c r="U339">
        <v>0</v>
      </c>
      <c r="V339">
        <v>109</v>
      </c>
      <c r="W339">
        <v>0</v>
      </c>
      <c r="X339" t="s">
        <v>508</v>
      </c>
      <c r="Y339" s="16">
        <v>44729.53761122685</v>
      </c>
      <c r="Z339" s="17" t="str">
        <f>_xlfn.XLOOKUP(Table1[[#This Row],[Phase]],'Lookup tables'!$Y$27:$Y$60,'Lookup tables'!$Z$27:$Z$60,"Not Updated")</f>
        <v>Pipeline</v>
      </c>
      <c r="AA339" s="17" t="s">
        <v>680</v>
      </c>
      <c r="AB339">
        <v>0</v>
      </c>
      <c r="AC339">
        <v>0</v>
      </c>
      <c r="AD339">
        <v>0</v>
      </c>
      <c r="AE339">
        <v>0</v>
      </c>
      <c r="AF339">
        <v>0</v>
      </c>
      <c r="AG339">
        <v>0</v>
      </c>
      <c r="AH339">
        <v>0</v>
      </c>
      <c r="AI339">
        <v>0</v>
      </c>
      <c r="AJ339">
        <v>0</v>
      </c>
      <c r="AK339">
        <v>0</v>
      </c>
      <c r="AL339">
        <v>0</v>
      </c>
      <c r="AM339">
        <v>0</v>
      </c>
      <c r="AN339">
        <v>0</v>
      </c>
      <c r="AO339">
        <v>0</v>
      </c>
      <c r="AP339">
        <v>0</v>
      </c>
      <c r="AQ339">
        <v>0</v>
      </c>
      <c r="AR339">
        <v>0</v>
      </c>
      <c r="AS339">
        <v>0</v>
      </c>
      <c r="AT339">
        <v>0</v>
      </c>
      <c r="AU339">
        <v>0</v>
      </c>
      <c r="AV339">
        <v>0</v>
      </c>
      <c r="AW339">
        <v>0</v>
      </c>
      <c r="AX339">
        <v>0</v>
      </c>
      <c r="AY339">
        <v>0</v>
      </c>
      <c r="AZ339">
        <v>0</v>
      </c>
      <c r="BA339">
        <v>0</v>
      </c>
      <c r="BB339">
        <v>0</v>
      </c>
      <c r="BC339">
        <v>0</v>
      </c>
      <c r="BD339">
        <v>0</v>
      </c>
      <c r="BE339">
        <v>0</v>
      </c>
      <c r="BF339">
        <v>0</v>
      </c>
      <c r="BG339" s="185">
        <v>0</v>
      </c>
      <c r="BH339" s="185">
        <v>0</v>
      </c>
      <c r="BI339" s="185">
        <v>0</v>
      </c>
      <c r="BJ339" s="185">
        <v>0</v>
      </c>
      <c r="BK339" s="185">
        <v>0</v>
      </c>
      <c r="BL339" s="185">
        <v>0</v>
      </c>
      <c r="BM339" s="185">
        <v>0</v>
      </c>
      <c r="BN339" s="185">
        <v>0</v>
      </c>
      <c r="BO339" s="185">
        <v>0</v>
      </c>
      <c r="BP339" s="185">
        <v>0</v>
      </c>
      <c r="BQ339" s="185">
        <v>0</v>
      </c>
      <c r="BR339" s="185">
        <v>0</v>
      </c>
      <c r="BS339" s="185">
        <v>0</v>
      </c>
      <c r="BT339" s="185">
        <v>0</v>
      </c>
      <c r="BU339" t="b">
        <f>IF(_xlfn.MAXIFS(Table1[Sl No],Table1[Category],Table1[[#This Row],[Category]],Table1[Execution Year],Table1[[#This Row],[Execution Year]])=Table1[[#This Row],[Sl No]],TRUE,FALSE)</f>
        <v>0</v>
      </c>
      <c r="BV339" s="201">
        <f>SUM(Table1[[#This Row],[Spend - CAN]:[Spend - Sams]])+SUM(Table1[[#This Row],[Spend - Sams Mexico]:[Spend - Sams China]])+Table1[[#This Row],[Spend - IND]]</f>
        <v>109</v>
      </c>
      <c r="BW339">
        <f>SUM(Table1[[#This Row],[Savings - CAN]:[Savings - Sams]])+SUM(Table1[[#This Row],[Savings - Sams Mexico]:[Savings - Sams China]])+Table1[[#This Row],[Savings - IND]]</f>
        <v>0</v>
      </c>
      <c r="BX339">
        <f>SUM(Table1[[#This Row],[Spend - CAN]:[Spend - SAF]])+SUM(Table1[[#This Row],[Spend - Sams Mexico]:[Spend - Sams China]])+Table1[[#This Row],[Spend - IND]]</f>
        <v>0</v>
      </c>
      <c r="BY339">
        <f>SUM(Table1[[#This Row],[Savings - CAN]:[Savings - SAF]])+SUM(Table1[[#This Row],[Savings - Sams Mexico]:[Savings - Sams China]])+Table1[[#This Row],[Savings - IND]]</f>
        <v>0</v>
      </c>
      <c r="BZ339">
        <f>SUM(Table1[[#This Row],[Spend - US]:[Spend - Sams]])</f>
        <v>109</v>
      </c>
      <c r="CA339">
        <f>SUM(Table1[[#This Row],[Savings - US]:[Savings - Sams]])</f>
        <v>0</v>
      </c>
      <c r="CB339">
        <f>SUM(Table1[[#This Row],[Cost Avoidance - CAN2]:[Cost Avoidance - SAF10]])+SUM(Table1[[#This Row],[Cost Avoidance - Sams Mexico]:[Cost Avoidance - Sams China]])+Table1[[#This Row],[Cost Avoidance - IND]]</f>
        <v>0</v>
      </c>
      <c r="CC339">
        <f>SUM(Table1[[#This Row],[Cost Avoidance - US11]:[Cost Avoidance - Sams12]])</f>
        <v>0</v>
      </c>
      <c r="CD339">
        <f>_xlfn.XLOOKUP(Table1[[#This Row],[Status]],Status_Lookups[Status],Status_Lookups[Value],"")</f>
        <v>0.3</v>
      </c>
    </row>
    <row r="340" spans="1:82">
      <c r="A340">
        <v>5</v>
      </c>
      <c r="B340" t="s">
        <v>40</v>
      </c>
      <c r="C340" t="s">
        <v>33</v>
      </c>
      <c r="D340" t="s">
        <v>322</v>
      </c>
      <c r="E340" s="15">
        <v>44774</v>
      </c>
      <c r="F340" s="15">
        <v>44925</v>
      </c>
      <c r="G340" s="15">
        <v>0</v>
      </c>
      <c r="H340" s="15">
        <v>0</v>
      </c>
      <c r="I340" t="s">
        <v>135</v>
      </c>
      <c r="J340" t="s">
        <v>459</v>
      </c>
      <c r="K340" t="s">
        <v>508</v>
      </c>
      <c r="L340" t="s">
        <v>524</v>
      </c>
      <c r="M340">
        <v>0</v>
      </c>
      <c r="N340">
        <v>0</v>
      </c>
      <c r="O340">
        <v>0</v>
      </c>
      <c r="P340">
        <v>0</v>
      </c>
      <c r="Q340">
        <v>0</v>
      </c>
      <c r="R340">
        <v>0</v>
      </c>
      <c r="S340">
        <v>0</v>
      </c>
      <c r="T340">
        <v>0</v>
      </c>
      <c r="U340">
        <v>0</v>
      </c>
      <c r="V340">
        <v>109</v>
      </c>
      <c r="W340">
        <v>0</v>
      </c>
      <c r="X340" t="s">
        <v>508</v>
      </c>
      <c r="Y340" s="16">
        <v>44729.539068287035</v>
      </c>
      <c r="Z340" s="17" t="str">
        <f>_xlfn.XLOOKUP(Table1[[#This Row],[Phase]],'Lookup tables'!$Y$27:$Y$60,'Lookup tables'!$Z$27:$Z$60,"Not Updated")</f>
        <v>Pipeline</v>
      </c>
      <c r="AA340" s="17" t="s">
        <v>680</v>
      </c>
      <c r="AB340">
        <v>0</v>
      </c>
      <c r="AC340">
        <v>0</v>
      </c>
      <c r="AD340">
        <v>0</v>
      </c>
      <c r="AE340">
        <v>0</v>
      </c>
      <c r="AF340">
        <v>0</v>
      </c>
      <c r="AG340">
        <v>0</v>
      </c>
      <c r="AH340">
        <v>0</v>
      </c>
      <c r="AI340">
        <v>0</v>
      </c>
      <c r="AJ340">
        <v>0</v>
      </c>
      <c r="AK340">
        <v>0</v>
      </c>
      <c r="AL340">
        <v>0</v>
      </c>
      <c r="AM340">
        <v>0</v>
      </c>
      <c r="AN340">
        <v>0</v>
      </c>
      <c r="AO340">
        <v>0</v>
      </c>
      <c r="AP340">
        <v>0</v>
      </c>
      <c r="AQ340">
        <v>0</v>
      </c>
      <c r="AR340">
        <v>0</v>
      </c>
      <c r="AS340">
        <v>0</v>
      </c>
      <c r="AT340">
        <v>0</v>
      </c>
      <c r="AU340">
        <v>0</v>
      </c>
      <c r="AV340">
        <v>0</v>
      </c>
      <c r="AW340">
        <v>0</v>
      </c>
      <c r="AX340">
        <v>0</v>
      </c>
      <c r="AY340">
        <v>0</v>
      </c>
      <c r="AZ340">
        <v>0</v>
      </c>
      <c r="BA340">
        <v>0</v>
      </c>
      <c r="BB340">
        <v>0</v>
      </c>
      <c r="BC340">
        <v>0</v>
      </c>
      <c r="BD340">
        <v>0</v>
      </c>
      <c r="BE340">
        <v>0</v>
      </c>
      <c r="BF340">
        <v>0</v>
      </c>
      <c r="BG340" s="185">
        <v>0</v>
      </c>
      <c r="BH340" s="185">
        <v>0</v>
      </c>
      <c r="BI340" s="185">
        <v>0</v>
      </c>
      <c r="BJ340" s="185">
        <v>0</v>
      </c>
      <c r="BK340" s="185">
        <v>0</v>
      </c>
      <c r="BL340" s="185">
        <v>0</v>
      </c>
      <c r="BM340" s="185">
        <v>0</v>
      </c>
      <c r="BN340" s="185">
        <v>0</v>
      </c>
      <c r="BO340" s="185">
        <v>0</v>
      </c>
      <c r="BP340" s="185">
        <v>0</v>
      </c>
      <c r="BQ340" s="185">
        <v>0</v>
      </c>
      <c r="BR340" s="185">
        <v>0</v>
      </c>
      <c r="BS340" s="185">
        <v>0</v>
      </c>
      <c r="BT340" s="185">
        <v>0</v>
      </c>
      <c r="BU340" t="b">
        <f>IF(_xlfn.MAXIFS(Table1[Sl No],Table1[Category],Table1[[#This Row],[Category]],Table1[Execution Year],Table1[[#This Row],[Execution Year]])=Table1[[#This Row],[Sl No]],TRUE,FALSE)</f>
        <v>0</v>
      </c>
      <c r="BV340" s="201">
        <f>SUM(Table1[[#This Row],[Spend - CAN]:[Spend - Sams]])+SUM(Table1[[#This Row],[Spend - Sams Mexico]:[Spend - Sams China]])+Table1[[#This Row],[Spend - IND]]</f>
        <v>109</v>
      </c>
      <c r="BW340">
        <f>SUM(Table1[[#This Row],[Savings - CAN]:[Savings - Sams]])+SUM(Table1[[#This Row],[Savings - Sams Mexico]:[Savings - Sams China]])+Table1[[#This Row],[Savings - IND]]</f>
        <v>0</v>
      </c>
      <c r="BX340">
        <f>SUM(Table1[[#This Row],[Spend - CAN]:[Spend - SAF]])+SUM(Table1[[#This Row],[Spend - Sams Mexico]:[Spend - Sams China]])+Table1[[#This Row],[Spend - IND]]</f>
        <v>0</v>
      </c>
      <c r="BY340">
        <f>SUM(Table1[[#This Row],[Savings - CAN]:[Savings - SAF]])+SUM(Table1[[#This Row],[Savings - Sams Mexico]:[Savings - Sams China]])+Table1[[#This Row],[Savings - IND]]</f>
        <v>0</v>
      </c>
      <c r="BZ340">
        <f>SUM(Table1[[#This Row],[Spend - US]:[Spend - Sams]])</f>
        <v>109</v>
      </c>
      <c r="CA340">
        <f>SUM(Table1[[#This Row],[Savings - US]:[Savings - Sams]])</f>
        <v>0</v>
      </c>
      <c r="CB340">
        <f>SUM(Table1[[#This Row],[Cost Avoidance - CAN2]:[Cost Avoidance - SAF10]])+SUM(Table1[[#This Row],[Cost Avoidance - Sams Mexico]:[Cost Avoidance - Sams China]])+Table1[[#This Row],[Cost Avoidance - IND]]</f>
        <v>0</v>
      </c>
      <c r="CC340">
        <f>SUM(Table1[[#This Row],[Cost Avoidance - US11]:[Cost Avoidance - Sams12]])</f>
        <v>0</v>
      </c>
      <c r="CD340">
        <f>_xlfn.XLOOKUP(Table1[[#This Row],[Status]],Status_Lookups[Status],Status_Lookups[Value],"")</f>
        <v>0.3</v>
      </c>
    </row>
    <row r="341" spans="1:82">
      <c r="A341">
        <v>6</v>
      </c>
      <c r="B341" t="s">
        <v>40</v>
      </c>
      <c r="C341" t="s">
        <v>33</v>
      </c>
      <c r="D341" t="s">
        <v>322</v>
      </c>
      <c r="E341" s="15">
        <v>44774</v>
      </c>
      <c r="F341" s="15">
        <v>44925</v>
      </c>
      <c r="G341" s="15">
        <v>0</v>
      </c>
      <c r="H341" s="15">
        <v>0</v>
      </c>
      <c r="I341" t="s">
        <v>135</v>
      </c>
      <c r="J341" t="s">
        <v>459</v>
      </c>
      <c r="K341" t="s">
        <v>508</v>
      </c>
      <c r="L341" t="s">
        <v>524</v>
      </c>
      <c r="M341">
        <v>5450677</v>
      </c>
      <c r="N341">
        <v>8041000</v>
      </c>
      <c r="O341">
        <v>4802000</v>
      </c>
      <c r="P341">
        <v>1197000</v>
      </c>
      <c r="Q341">
        <v>0</v>
      </c>
      <c r="R341">
        <v>0</v>
      </c>
      <c r="S341">
        <v>0</v>
      </c>
      <c r="T341">
        <v>8533000</v>
      </c>
      <c r="U341">
        <v>0</v>
      </c>
      <c r="V341">
        <v>109000000</v>
      </c>
      <c r="W341">
        <v>73000000</v>
      </c>
      <c r="X341" t="s">
        <v>508</v>
      </c>
      <c r="Y341" s="16">
        <v>44729.550327777775</v>
      </c>
      <c r="Z341" s="17" t="str">
        <f>_xlfn.XLOOKUP(Table1[[#This Row],[Phase]],'Lookup tables'!$Y$27:$Y$60,'Lookup tables'!$Z$27:$Z$60,"Not Updated")</f>
        <v>Pipeline</v>
      </c>
      <c r="AA341" s="17" t="s">
        <v>680</v>
      </c>
      <c r="AB341">
        <v>0</v>
      </c>
      <c r="AC341">
        <v>0</v>
      </c>
      <c r="AD341">
        <v>0</v>
      </c>
      <c r="AE341">
        <v>0</v>
      </c>
      <c r="AF341">
        <v>0</v>
      </c>
      <c r="AG341">
        <v>0</v>
      </c>
      <c r="AH341">
        <v>0</v>
      </c>
      <c r="AI341">
        <v>0</v>
      </c>
      <c r="AJ341">
        <v>0</v>
      </c>
      <c r="AK341">
        <v>0</v>
      </c>
      <c r="AL341">
        <v>0</v>
      </c>
      <c r="AM341">
        <v>0</v>
      </c>
      <c r="AN341">
        <v>0</v>
      </c>
      <c r="AO341">
        <v>0</v>
      </c>
      <c r="AP341">
        <v>0</v>
      </c>
      <c r="AQ341">
        <v>0</v>
      </c>
      <c r="AR341">
        <v>0</v>
      </c>
      <c r="AS341">
        <v>0</v>
      </c>
      <c r="AT341">
        <v>0</v>
      </c>
      <c r="AU341">
        <v>0</v>
      </c>
      <c r="AV341">
        <v>0</v>
      </c>
      <c r="AW341">
        <v>0</v>
      </c>
      <c r="AX341">
        <v>14839000</v>
      </c>
      <c r="AY341">
        <v>19457000</v>
      </c>
      <c r="AZ341">
        <v>0</v>
      </c>
      <c r="BA341">
        <v>0</v>
      </c>
      <c r="BB341">
        <v>0</v>
      </c>
      <c r="BC341">
        <v>0</v>
      </c>
      <c r="BD341">
        <v>0</v>
      </c>
      <c r="BE341">
        <v>0</v>
      </c>
      <c r="BF341">
        <v>0</v>
      </c>
      <c r="BG341" s="185">
        <v>0</v>
      </c>
      <c r="BH341" s="185">
        <v>0</v>
      </c>
      <c r="BI341" s="185">
        <v>0</v>
      </c>
      <c r="BJ341" s="185">
        <v>0</v>
      </c>
      <c r="BK341" s="185">
        <v>0</v>
      </c>
      <c r="BL341" s="185">
        <v>0</v>
      </c>
      <c r="BM341" s="185">
        <v>0</v>
      </c>
      <c r="BN341" s="185">
        <v>0</v>
      </c>
      <c r="BO341" s="185">
        <v>0</v>
      </c>
      <c r="BP341" s="185">
        <v>0</v>
      </c>
      <c r="BQ341" s="185">
        <v>0</v>
      </c>
      <c r="BR341" s="185">
        <v>0</v>
      </c>
      <c r="BS341" s="185">
        <v>0</v>
      </c>
      <c r="BT341" s="185">
        <v>0</v>
      </c>
      <c r="BU341" t="b">
        <f>IF(_xlfn.MAXIFS(Table1[Sl No],Table1[Category],Table1[[#This Row],[Category]],Table1[Execution Year],Table1[[#This Row],[Execution Year]])=Table1[[#This Row],[Sl No]],TRUE,FALSE)</f>
        <v>0</v>
      </c>
      <c r="BV341" s="201">
        <f>SUM(Table1[[#This Row],[Spend - CAN]:[Spend - Sams]])+SUM(Table1[[#This Row],[Spend - Sams Mexico]:[Spend - Sams China]])+Table1[[#This Row],[Spend - IND]]</f>
        <v>244319677</v>
      </c>
      <c r="BW341">
        <f>SUM(Table1[[#This Row],[Savings - CAN]:[Savings - Sams]])+SUM(Table1[[#This Row],[Savings - Sams Mexico]:[Savings - Sams China]])+Table1[[#This Row],[Savings - IND]]</f>
        <v>0</v>
      </c>
      <c r="BX341">
        <f>SUM(Table1[[#This Row],[Spend - CAN]:[Spend - SAF]])+SUM(Table1[[#This Row],[Spend - Sams Mexico]:[Spend - Sams China]])+Table1[[#This Row],[Spend - IND]]</f>
        <v>62319677</v>
      </c>
      <c r="BY341">
        <f>SUM(Table1[[#This Row],[Savings - CAN]:[Savings - SAF]])+SUM(Table1[[#This Row],[Savings - Sams Mexico]:[Savings - Sams China]])+Table1[[#This Row],[Savings - IND]]</f>
        <v>0</v>
      </c>
      <c r="BZ341">
        <f>SUM(Table1[[#This Row],[Spend - US]:[Spend - Sams]])</f>
        <v>182000000</v>
      </c>
      <c r="CA341">
        <f>SUM(Table1[[#This Row],[Savings - US]:[Savings - Sams]])</f>
        <v>0</v>
      </c>
      <c r="CB341">
        <f>SUM(Table1[[#This Row],[Cost Avoidance - CAN2]:[Cost Avoidance - SAF10]])+SUM(Table1[[#This Row],[Cost Avoidance - Sams Mexico]:[Cost Avoidance - Sams China]])+Table1[[#This Row],[Cost Avoidance - IND]]</f>
        <v>0</v>
      </c>
      <c r="CC341">
        <f>SUM(Table1[[#This Row],[Cost Avoidance - US11]:[Cost Avoidance - Sams12]])</f>
        <v>0</v>
      </c>
      <c r="CD341">
        <f>_xlfn.XLOOKUP(Table1[[#This Row],[Status]],Status_Lookups[Status],Status_Lookups[Value],"")</f>
        <v>0.3</v>
      </c>
    </row>
    <row r="342" spans="1:82">
      <c r="A342">
        <v>7</v>
      </c>
      <c r="B342" t="s">
        <v>40</v>
      </c>
      <c r="C342" t="s">
        <v>33</v>
      </c>
      <c r="D342" t="s">
        <v>322</v>
      </c>
      <c r="E342" s="15">
        <v>44774</v>
      </c>
      <c r="F342" s="15">
        <v>44925</v>
      </c>
      <c r="G342" s="15">
        <v>0</v>
      </c>
      <c r="H342" s="15">
        <v>0</v>
      </c>
      <c r="I342" t="s">
        <v>135</v>
      </c>
      <c r="J342" t="s">
        <v>459</v>
      </c>
      <c r="K342" t="s">
        <v>508</v>
      </c>
      <c r="L342" t="s">
        <v>524</v>
      </c>
      <c r="M342">
        <v>5450677</v>
      </c>
      <c r="N342">
        <v>8041000</v>
      </c>
      <c r="O342">
        <v>4802000</v>
      </c>
      <c r="P342">
        <v>1197000</v>
      </c>
      <c r="Q342">
        <v>0</v>
      </c>
      <c r="R342">
        <v>0</v>
      </c>
      <c r="S342">
        <v>0</v>
      </c>
      <c r="T342">
        <v>8533000</v>
      </c>
      <c r="U342">
        <v>0</v>
      </c>
      <c r="V342">
        <v>109000000</v>
      </c>
      <c r="W342">
        <v>73000000</v>
      </c>
      <c r="X342" t="s">
        <v>508</v>
      </c>
      <c r="Y342" s="16">
        <v>44729.552860995369</v>
      </c>
      <c r="Z342" s="17" t="str">
        <f>_xlfn.XLOOKUP(Table1[[#This Row],[Phase]],'Lookup tables'!$Y$27:$Y$60,'Lookup tables'!$Z$27:$Z$60,"Not Updated")</f>
        <v>Pipeline</v>
      </c>
      <c r="AA342" s="17" t="s">
        <v>680</v>
      </c>
      <c r="AB342">
        <v>0</v>
      </c>
      <c r="AC342">
        <v>0</v>
      </c>
      <c r="AD342">
        <v>0</v>
      </c>
      <c r="AE342">
        <v>0</v>
      </c>
      <c r="AF342">
        <v>0</v>
      </c>
      <c r="AG342">
        <v>0</v>
      </c>
      <c r="AH342">
        <v>0</v>
      </c>
      <c r="AI342">
        <v>0</v>
      </c>
      <c r="AJ342">
        <v>0</v>
      </c>
      <c r="AK342">
        <v>0</v>
      </c>
      <c r="AL342">
        <v>0</v>
      </c>
      <c r="AM342">
        <v>0</v>
      </c>
      <c r="AN342">
        <v>0</v>
      </c>
      <c r="AO342">
        <v>0</v>
      </c>
      <c r="AP342">
        <v>0</v>
      </c>
      <c r="AQ342">
        <v>0</v>
      </c>
      <c r="AR342">
        <v>0</v>
      </c>
      <c r="AS342">
        <v>0</v>
      </c>
      <c r="AT342">
        <v>0</v>
      </c>
      <c r="AU342">
        <v>0</v>
      </c>
      <c r="AV342">
        <v>0</v>
      </c>
      <c r="AW342">
        <v>0</v>
      </c>
      <c r="AX342">
        <v>14839000</v>
      </c>
      <c r="AY342">
        <v>19457000</v>
      </c>
      <c r="AZ342">
        <v>0</v>
      </c>
      <c r="BA342">
        <v>0</v>
      </c>
      <c r="BB342">
        <v>0</v>
      </c>
      <c r="BC342">
        <v>0</v>
      </c>
      <c r="BD342">
        <v>0</v>
      </c>
      <c r="BE342">
        <v>0</v>
      </c>
      <c r="BF342">
        <v>0</v>
      </c>
      <c r="BG342" s="185">
        <v>0</v>
      </c>
      <c r="BH342" s="185">
        <v>0</v>
      </c>
      <c r="BI342" s="185">
        <v>0</v>
      </c>
      <c r="BJ342" s="185">
        <v>0</v>
      </c>
      <c r="BK342" s="185">
        <v>0</v>
      </c>
      <c r="BL342" s="185">
        <v>0</v>
      </c>
      <c r="BM342" s="185">
        <v>0</v>
      </c>
      <c r="BN342" s="185">
        <v>0</v>
      </c>
      <c r="BO342" s="185">
        <v>0</v>
      </c>
      <c r="BP342" s="185">
        <v>0</v>
      </c>
      <c r="BQ342" s="185">
        <v>0</v>
      </c>
      <c r="BR342" s="185">
        <v>0</v>
      </c>
      <c r="BS342" s="185">
        <v>0</v>
      </c>
      <c r="BT342" s="185">
        <v>0</v>
      </c>
      <c r="BU342" t="b">
        <f>IF(_xlfn.MAXIFS(Table1[Sl No],Table1[Category],Table1[[#This Row],[Category]],Table1[Execution Year],Table1[[#This Row],[Execution Year]])=Table1[[#This Row],[Sl No]],TRUE,FALSE)</f>
        <v>0</v>
      </c>
      <c r="BV342" s="201">
        <f>SUM(Table1[[#This Row],[Spend - CAN]:[Spend - Sams]])+SUM(Table1[[#This Row],[Spend - Sams Mexico]:[Spend - Sams China]])+Table1[[#This Row],[Spend - IND]]</f>
        <v>244319677</v>
      </c>
      <c r="BW342">
        <f>SUM(Table1[[#This Row],[Savings - CAN]:[Savings - Sams]])+SUM(Table1[[#This Row],[Savings - Sams Mexico]:[Savings - Sams China]])+Table1[[#This Row],[Savings - IND]]</f>
        <v>0</v>
      </c>
      <c r="BX342">
        <f>SUM(Table1[[#This Row],[Spend - CAN]:[Spend - SAF]])+SUM(Table1[[#This Row],[Spend - Sams Mexico]:[Spend - Sams China]])+Table1[[#This Row],[Spend - IND]]</f>
        <v>62319677</v>
      </c>
      <c r="BY342">
        <f>SUM(Table1[[#This Row],[Savings - CAN]:[Savings - SAF]])+SUM(Table1[[#This Row],[Savings - Sams Mexico]:[Savings - Sams China]])+Table1[[#This Row],[Savings - IND]]</f>
        <v>0</v>
      </c>
      <c r="BZ342">
        <f>SUM(Table1[[#This Row],[Spend - US]:[Spend - Sams]])</f>
        <v>182000000</v>
      </c>
      <c r="CA342">
        <f>SUM(Table1[[#This Row],[Savings - US]:[Savings - Sams]])</f>
        <v>0</v>
      </c>
      <c r="CB342">
        <f>SUM(Table1[[#This Row],[Cost Avoidance - CAN2]:[Cost Avoidance - SAF10]])+SUM(Table1[[#This Row],[Cost Avoidance - Sams Mexico]:[Cost Avoidance - Sams China]])+Table1[[#This Row],[Cost Avoidance - IND]]</f>
        <v>0</v>
      </c>
      <c r="CC342">
        <f>SUM(Table1[[#This Row],[Cost Avoidance - US11]:[Cost Avoidance - Sams12]])</f>
        <v>0</v>
      </c>
      <c r="CD342">
        <f>_xlfn.XLOOKUP(Table1[[#This Row],[Status]],Status_Lookups[Status],Status_Lookups[Value],"")</f>
        <v>0.3</v>
      </c>
    </row>
    <row r="343" spans="1:82">
      <c r="A343">
        <v>8</v>
      </c>
      <c r="B343" t="s">
        <v>40</v>
      </c>
      <c r="C343" t="s">
        <v>33</v>
      </c>
      <c r="D343" t="s">
        <v>322</v>
      </c>
      <c r="E343" s="15">
        <v>44774</v>
      </c>
      <c r="F343" s="15">
        <v>44925</v>
      </c>
      <c r="G343" s="15">
        <v>0</v>
      </c>
      <c r="H343" s="15">
        <v>0</v>
      </c>
      <c r="I343" t="s">
        <v>135</v>
      </c>
      <c r="J343" t="s">
        <v>459</v>
      </c>
      <c r="K343" t="s">
        <v>508</v>
      </c>
      <c r="L343" t="s">
        <v>524</v>
      </c>
      <c r="M343">
        <v>5450677</v>
      </c>
      <c r="N343">
        <v>8041000</v>
      </c>
      <c r="O343">
        <v>4802000</v>
      </c>
      <c r="P343">
        <v>1197000</v>
      </c>
      <c r="Q343">
        <v>0</v>
      </c>
      <c r="R343">
        <v>0</v>
      </c>
      <c r="S343">
        <v>0</v>
      </c>
      <c r="T343">
        <v>8533000</v>
      </c>
      <c r="U343">
        <v>0</v>
      </c>
      <c r="V343">
        <v>109000000</v>
      </c>
      <c r="W343">
        <v>73000000</v>
      </c>
      <c r="X343" t="s">
        <v>508</v>
      </c>
      <c r="Y343" s="16">
        <v>44729.553572337965</v>
      </c>
      <c r="Z343" s="17" t="str">
        <f>_xlfn.XLOOKUP(Table1[[#This Row],[Phase]],'Lookup tables'!$Y$27:$Y$60,'Lookup tables'!$Z$27:$Z$60,"Not Updated")</f>
        <v>Pipeline</v>
      </c>
      <c r="AA343" s="17" t="s">
        <v>680</v>
      </c>
      <c r="AB343">
        <v>0</v>
      </c>
      <c r="AC343">
        <v>0</v>
      </c>
      <c r="AD343">
        <v>0</v>
      </c>
      <c r="AE343">
        <v>0</v>
      </c>
      <c r="AF343">
        <v>0</v>
      </c>
      <c r="AG343">
        <v>0</v>
      </c>
      <c r="AH343">
        <v>0</v>
      </c>
      <c r="AI343">
        <v>0</v>
      </c>
      <c r="AJ343">
        <v>0</v>
      </c>
      <c r="AK343">
        <v>0</v>
      </c>
      <c r="AL343">
        <v>0</v>
      </c>
      <c r="AM343">
        <v>0</v>
      </c>
      <c r="AN343">
        <v>0</v>
      </c>
      <c r="AO343">
        <v>0</v>
      </c>
      <c r="AP343">
        <v>0</v>
      </c>
      <c r="AQ343">
        <v>0</v>
      </c>
      <c r="AR343">
        <v>0</v>
      </c>
      <c r="AS343">
        <v>0</v>
      </c>
      <c r="AT343">
        <v>0</v>
      </c>
      <c r="AU343">
        <v>0</v>
      </c>
      <c r="AV343">
        <v>0</v>
      </c>
      <c r="AW343">
        <v>0</v>
      </c>
      <c r="AX343">
        <v>14839000</v>
      </c>
      <c r="AY343">
        <v>19457000</v>
      </c>
      <c r="AZ343">
        <v>0</v>
      </c>
      <c r="BA343">
        <v>0</v>
      </c>
      <c r="BB343">
        <v>0</v>
      </c>
      <c r="BC343">
        <v>0</v>
      </c>
      <c r="BD343">
        <v>0</v>
      </c>
      <c r="BE343">
        <v>0</v>
      </c>
      <c r="BF343">
        <v>0</v>
      </c>
      <c r="BG343" s="185">
        <v>0</v>
      </c>
      <c r="BH343" s="185">
        <v>0</v>
      </c>
      <c r="BI343" s="185">
        <v>0</v>
      </c>
      <c r="BJ343" s="185">
        <v>0</v>
      </c>
      <c r="BK343" s="185">
        <v>0</v>
      </c>
      <c r="BL343" s="185">
        <v>0</v>
      </c>
      <c r="BM343" s="185">
        <v>0</v>
      </c>
      <c r="BN343" s="185">
        <v>0</v>
      </c>
      <c r="BO343" s="185">
        <v>0</v>
      </c>
      <c r="BP343" s="185">
        <v>0</v>
      </c>
      <c r="BQ343" s="185">
        <v>0</v>
      </c>
      <c r="BR343" s="185">
        <v>0</v>
      </c>
      <c r="BS343" s="185">
        <v>0</v>
      </c>
      <c r="BT343" s="185">
        <v>0</v>
      </c>
      <c r="BU343" t="b">
        <f>IF(_xlfn.MAXIFS(Table1[Sl No],Table1[Category],Table1[[#This Row],[Category]],Table1[Execution Year],Table1[[#This Row],[Execution Year]])=Table1[[#This Row],[Sl No]],TRUE,FALSE)</f>
        <v>0</v>
      </c>
      <c r="BV343" s="201">
        <f>SUM(Table1[[#This Row],[Spend - CAN]:[Spend - Sams]])+SUM(Table1[[#This Row],[Spend - Sams Mexico]:[Spend - Sams China]])+Table1[[#This Row],[Spend - IND]]</f>
        <v>244319677</v>
      </c>
      <c r="BW343">
        <f>SUM(Table1[[#This Row],[Savings - CAN]:[Savings - Sams]])+SUM(Table1[[#This Row],[Savings - Sams Mexico]:[Savings - Sams China]])+Table1[[#This Row],[Savings - IND]]</f>
        <v>0</v>
      </c>
      <c r="BX343">
        <f>SUM(Table1[[#This Row],[Spend - CAN]:[Spend - SAF]])+SUM(Table1[[#This Row],[Spend - Sams Mexico]:[Spend - Sams China]])+Table1[[#This Row],[Spend - IND]]</f>
        <v>62319677</v>
      </c>
      <c r="BY343">
        <f>SUM(Table1[[#This Row],[Savings - CAN]:[Savings - SAF]])+SUM(Table1[[#This Row],[Savings - Sams Mexico]:[Savings - Sams China]])+Table1[[#This Row],[Savings - IND]]</f>
        <v>0</v>
      </c>
      <c r="BZ343">
        <f>SUM(Table1[[#This Row],[Spend - US]:[Spend - Sams]])</f>
        <v>182000000</v>
      </c>
      <c r="CA343">
        <f>SUM(Table1[[#This Row],[Savings - US]:[Savings - Sams]])</f>
        <v>0</v>
      </c>
      <c r="CB343">
        <f>SUM(Table1[[#This Row],[Cost Avoidance - CAN2]:[Cost Avoidance - SAF10]])+SUM(Table1[[#This Row],[Cost Avoidance - Sams Mexico]:[Cost Avoidance - Sams China]])+Table1[[#This Row],[Cost Avoidance - IND]]</f>
        <v>0</v>
      </c>
      <c r="CC343">
        <f>SUM(Table1[[#This Row],[Cost Avoidance - US11]:[Cost Avoidance - Sams12]])</f>
        <v>0</v>
      </c>
      <c r="CD343">
        <f>_xlfn.XLOOKUP(Table1[[#This Row],[Status]],Status_Lookups[Status],Status_Lookups[Value],"")</f>
        <v>0.3</v>
      </c>
    </row>
    <row r="344" spans="1:82">
      <c r="A344">
        <v>9</v>
      </c>
      <c r="B344" t="s">
        <v>40</v>
      </c>
      <c r="C344" t="s">
        <v>33</v>
      </c>
      <c r="D344" t="s">
        <v>322</v>
      </c>
      <c r="E344" s="15">
        <v>44774</v>
      </c>
      <c r="F344" s="15">
        <v>44925</v>
      </c>
      <c r="G344" s="15">
        <v>0</v>
      </c>
      <c r="H344" s="15">
        <v>0</v>
      </c>
      <c r="I344" t="s">
        <v>135</v>
      </c>
      <c r="J344" t="s">
        <v>459</v>
      </c>
      <c r="K344" t="s">
        <v>508</v>
      </c>
      <c r="L344" t="s">
        <v>524</v>
      </c>
      <c r="M344">
        <v>5450677</v>
      </c>
      <c r="N344">
        <v>8041000</v>
      </c>
      <c r="O344">
        <v>4802000</v>
      </c>
      <c r="P344">
        <v>1197000</v>
      </c>
      <c r="Q344">
        <v>0</v>
      </c>
      <c r="R344">
        <v>0</v>
      </c>
      <c r="S344">
        <v>0</v>
      </c>
      <c r="T344">
        <v>8533000</v>
      </c>
      <c r="U344">
        <v>0</v>
      </c>
      <c r="V344">
        <v>109000000</v>
      </c>
      <c r="W344">
        <v>73000000</v>
      </c>
      <c r="X344" t="s">
        <v>508</v>
      </c>
      <c r="Y344" s="16">
        <v>44729.661117708332</v>
      </c>
      <c r="Z344" s="17" t="str">
        <f>_xlfn.XLOOKUP(Table1[[#This Row],[Phase]],'Lookup tables'!$Y$27:$Y$60,'Lookup tables'!$Z$27:$Z$60,"Not Updated")</f>
        <v>Pipeline</v>
      </c>
      <c r="AA344" s="17" t="s">
        <v>680</v>
      </c>
      <c r="AB344">
        <v>0</v>
      </c>
      <c r="AC344">
        <v>0</v>
      </c>
      <c r="AD344">
        <v>0</v>
      </c>
      <c r="AE344">
        <v>0</v>
      </c>
      <c r="AF344">
        <v>0</v>
      </c>
      <c r="AG344">
        <v>0</v>
      </c>
      <c r="AH344">
        <v>0</v>
      </c>
      <c r="AI344">
        <v>0</v>
      </c>
      <c r="AJ344">
        <v>0</v>
      </c>
      <c r="AK344">
        <v>0</v>
      </c>
      <c r="AL344">
        <v>0</v>
      </c>
      <c r="AM344">
        <v>0</v>
      </c>
      <c r="AN344">
        <v>0</v>
      </c>
      <c r="AO344">
        <v>0</v>
      </c>
      <c r="AP344">
        <v>0</v>
      </c>
      <c r="AQ344">
        <v>0</v>
      </c>
      <c r="AR344">
        <v>0</v>
      </c>
      <c r="AS344">
        <v>0</v>
      </c>
      <c r="AT344">
        <v>0</v>
      </c>
      <c r="AU344">
        <v>0</v>
      </c>
      <c r="AV344">
        <v>0</v>
      </c>
      <c r="AW344">
        <v>0</v>
      </c>
      <c r="AX344">
        <v>14839000</v>
      </c>
      <c r="AY344">
        <v>19457000</v>
      </c>
      <c r="AZ344">
        <v>0</v>
      </c>
      <c r="BA344">
        <v>0</v>
      </c>
      <c r="BB344">
        <v>0</v>
      </c>
      <c r="BC344">
        <v>0</v>
      </c>
      <c r="BD344">
        <v>0</v>
      </c>
      <c r="BE344">
        <v>0</v>
      </c>
      <c r="BF344">
        <v>0</v>
      </c>
      <c r="BG344" s="185">
        <v>0</v>
      </c>
      <c r="BH344" s="185">
        <v>0</v>
      </c>
      <c r="BI344" s="185">
        <v>0</v>
      </c>
      <c r="BJ344" s="185">
        <v>0</v>
      </c>
      <c r="BK344" s="185">
        <v>0</v>
      </c>
      <c r="BL344" s="185">
        <v>0</v>
      </c>
      <c r="BM344" s="185">
        <v>0</v>
      </c>
      <c r="BN344" s="185">
        <v>0</v>
      </c>
      <c r="BO344" s="185">
        <v>0</v>
      </c>
      <c r="BP344" s="185">
        <v>0</v>
      </c>
      <c r="BQ344" s="185">
        <v>0</v>
      </c>
      <c r="BR344" s="185">
        <v>0</v>
      </c>
      <c r="BS344" s="185">
        <v>0</v>
      </c>
      <c r="BT344" s="185">
        <v>0</v>
      </c>
      <c r="BU344" t="b">
        <f>IF(_xlfn.MAXIFS(Table1[Sl No],Table1[Category],Table1[[#This Row],[Category]],Table1[Execution Year],Table1[[#This Row],[Execution Year]])=Table1[[#This Row],[Sl No]],TRUE,FALSE)</f>
        <v>1</v>
      </c>
      <c r="BV344" s="201">
        <f>SUM(Table1[[#This Row],[Spend - CAN]:[Spend - Sams]])+SUM(Table1[[#This Row],[Spend - Sams Mexico]:[Spend - Sams China]])+Table1[[#This Row],[Spend - IND]]</f>
        <v>244319677</v>
      </c>
      <c r="BW344">
        <f>SUM(Table1[[#This Row],[Savings - CAN]:[Savings - Sams]])+SUM(Table1[[#This Row],[Savings - Sams Mexico]:[Savings - Sams China]])+Table1[[#This Row],[Savings - IND]]</f>
        <v>0</v>
      </c>
      <c r="BX344">
        <f>SUM(Table1[[#This Row],[Spend - CAN]:[Spend - SAF]])+SUM(Table1[[#This Row],[Spend - Sams Mexico]:[Spend - Sams China]])+Table1[[#This Row],[Spend - IND]]</f>
        <v>62319677</v>
      </c>
      <c r="BY344">
        <f>SUM(Table1[[#This Row],[Savings - CAN]:[Savings - SAF]])+SUM(Table1[[#This Row],[Savings - Sams Mexico]:[Savings - Sams China]])+Table1[[#This Row],[Savings - IND]]</f>
        <v>0</v>
      </c>
      <c r="BZ344">
        <f>SUM(Table1[[#This Row],[Spend - US]:[Spend - Sams]])</f>
        <v>182000000</v>
      </c>
      <c r="CA344">
        <f>SUM(Table1[[#This Row],[Savings - US]:[Savings - Sams]])</f>
        <v>0</v>
      </c>
      <c r="CB344">
        <f>SUM(Table1[[#This Row],[Cost Avoidance - CAN2]:[Cost Avoidance - SAF10]])+SUM(Table1[[#This Row],[Cost Avoidance - Sams Mexico]:[Cost Avoidance - Sams China]])+Table1[[#This Row],[Cost Avoidance - IND]]</f>
        <v>0</v>
      </c>
      <c r="CC344">
        <f>SUM(Table1[[#This Row],[Cost Avoidance - US11]:[Cost Avoidance - Sams12]])</f>
        <v>0</v>
      </c>
      <c r="CD344">
        <f>_xlfn.XLOOKUP(Table1[[#This Row],[Status]],Status_Lookups[Status],Status_Lookups[Value],"")</f>
        <v>0.3</v>
      </c>
    </row>
    <row r="345" spans="1:82">
      <c r="A345">
        <v>2</v>
      </c>
      <c r="B345" t="s">
        <v>93</v>
      </c>
      <c r="C345" t="s">
        <v>43</v>
      </c>
      <c r="D345" t="s">
        <v>32</v>
      </c>
      <c r="E345" s="15">
        <v>44136</v>
      </c>
      <c r="F345" s="15">
        <v>44252</v>
      </c>
      <c r="G345" s="15"/>
      <c r="H345" s="15"/>
      <c r="I345" t="s">
        <v>681</v>
      </c>
      <c r="J345">
        <v>0</v>
      </c>
      <c r="K345">
        <v>0</v>
      </c>
      <c r="L345">
        <v>0</v>
      </c>
      <c r="M345">
        <v>0</v>
      </c>
      <c r="N345">
        <v>0</v>
      </c>
      <c r="O345">
        <v>0</v>
      </c>
      <c r="P345">
        <v>0</v>
      </c>
      <c r="Q345">
        <v>0</v>
      </c>
      <c r="R345">
        <v>0</v>
      </c>
      <c r="S345">
        <v>0</v>
      </c>
      <c r="T345">
        <v>0</v>
      </c>
      <c r="U345">
        <v>0</v>
      </c>
      <c r="V345">
        <v>0</v>
      </c>
      <c r="X345" t="s">
        <v>78</v>
      </c>
      <c r="Y345" s="16">
        <v>44207.689410648149</v>
      </c>
      <c r="Z345" s="17" t="str">
        <f>_xlfn.XLOOKUP(Table1[[#This Row],[Phase]],'Lookup tables'!$Y$27:$Y$60,'Lookup tables'!$Z$27:$Z$60,"Not Updated")</f>
        <v>RFPX (RFP1, RFP2, etc.) complete</v>
      </c>
      <c r="AA345" s="17">
        <v>0</v>
      </c>
      <c r="AB345">
        <v>0</v>
      </c>
      <c r="AC345">
        <v>0</v>
      </c>
      <c r="AD345">
        <v>0</v>
      </c>
      <c r="AE345">
        <v>0</v>
      </c>
      <c r="AF345">
        <v>0</v>
      </c>
      <c r="AG345">
        <v>0</v>
      </c>
      <c r="AH345">
        <v>0</v>
      </c>
      <c r="AI345">
        <v>0</v>
      </c>
      <c r="AJ345">
        <v>0</v>
      </c>
      <c r="AK345">
        <v>0</v>
      </c>
      <c r="BG345" s="185"/>
      <c r="BH345" s="185"/>
      <c r="BI345" s="185"/>
      <c r="BJ345" s="185"/>
      <c r="BK345" s="185"/>
      <c r="BL345" s="185"/>
      <c r="BM345" s="185"/>
      <c r="BN345" s="185"/>
      <c r="BO345" s="185"/>
      <c r="BP345" s="185"/>
      <c r="BQ345" s="185"/>
      <c r="BR345" s="185"/>
      <c r="BS345" s="185"/>
      <c r="BT345" s="185"/>
      <c r="BU345" t="b">
        <f>IF(_xlfn.MAXIFS(Table1[Sl No],Table1[Category],Table1[[#This Row],[Category]],Table1[Execution Year],Table1[[#This Row],[Execution Year]])=Table1[[#This Row],[Sl No]],TRUE,FALSE)</f>
        <v>0</v>
      </c>
      <c r="BV345" s="201">
        <f>SUM(Table1[[#This Row],[Spend - CAN]:[Spend - Sams]])+SUM(Table1[[#This Row],[Spend - Sams Mexico]:[Spend - Sams China]])+Table1[[#This Row],[Spend - IND]]</f>
        <v>0</v>
      </c>
      <c r="BW345">
        <f>SUM(Table1[[#This Row],[Savings - CAN]:[Savings - Sams]])+SUM(Table1[[#This Row],[Savings - Sams Mexico]:[Savings - Sams China]])+Table1[[#This Row],[Savings - IND]]</f>
        <v>0</v>
      </c>
      <c r="BX345">
        <f>SUM(Table1[[#This Row],[Spend - CAN]:[Spend - SAF]])+SUM(Table1[[#This Row],[Spend - Sams Mexico]:[Spend - Sams China]])+Table1[[#This Row],[Spend - IND]]</f>
        <v>0</v>
      </c>
      <c r="BY345">
        <f>SUM(Table1[[#This Row],[Savings - CAN]:[Savings - SAF]])+SUM(Table1[[#This Row],[Savings - Sams Mexico]:[Savings - Sams China]])+Table1[[#This Row],[Savings - IND]]</f>
        <v>0</v>
      </c>
      <c r="BZ345">
        <f>SUM(Table1[[#This Row],[Spend - US]:[Spend - Sams]])</f>
        <v>0</v>
      </c>
      <c r="CA345">
        <f>SUM(Table1[[#This Row],[Savings - US]:[Savings - Sams]])</f>
        <v>0</v>
      </c>
      <c r="CB345">
        <f>SUM(Table1[[#This Row],[Cost Avoidance - CAN2]:[Cost Avoidance - SAF10]])+SUM(Table1[[#This Row],[Cost Avoidance - Sams Mexico]:[Cost Avoidance - Sams China]])+Table1[[#This Row],[Cost Avoidance - IND]]</f>
        <v>0</v>
      </c>
      <c r="CC345">
        <f>SUM(Table1[[#This Row],[Cost Avoidance - US11]:[Cost Avoidance - Sams12]])</f>
        <v>0</v>
      </c>
      <c r="CD345" t="str">
        <f>_xlfn.XLOOKUP(Table1[[#This Row],[Status]],Status_Lookups[Status],Status_Lookups[Value],"")</f>
        <v/>
      </c>
    </row>
    <row r="346" spans="1:82">
      <c r="A346">
        <v>3</v>
      </c>
      <c r="B346" t="s">
        <v>93</v>
      </c>
      <c r="C346" t="s">
        <v>43</v>
      </c>
      <c r="D346" t="s">
        <v>32</v>
      </c>
      <c r="E346" s="15">
        <v>44136</v>
      </c>
      <c r="F346" s="15">
        <v>44252</v>
      </c>
      <c r="G346" s="15"/>
      <c r="H346" s="15"/>
      <c r="I346" t="s">
        <v>681</v>
      </c>
      <c r="J346" t="s">
        <v>633</v>
      </c>
      <c r="K346">
        <v>0</v>
      </c>
      <c r="L346">
        <v>0</v>
      </c>
      <c r="M346">
        <v>0</v>
      </c>
      <c r="N346">
        <v>0</v>
      </c>
      <c r="O346">
        <v>0</v>
      </c>
      <c r="P346">
        <v>0</v>
      </c>
      <c r="Q346">
        <v>0</v>
      </c>
      <c r="R346">
        <v>0</v>
      </c>
      <c r="S346">
        <v>0</v>
      </c>
      <c r="T346">
        <v>0</v>
      </c>
      <c r="U346">
        <v>0</v>
      </c>
      <c r="V346">
        <v>0</v>
      </c>
      <c r="X346" t="s">
        <v>78</v>
      </c>
      <c r="Y346" s="16">
        <v>44211.432541898146</v>
      </c>
      <c r="Z346" s="17" t="str">
        <f>_xlfn.XLOOKUP(Table1[[#This Row],[Phase]],'Lookup tables'!$Y$27:$Y$60,'Lookup tables'!$Z$27:$Z$60,"Not Updated")</f>
        <v>RFPX (RFP1, RFP2, etc.) complete</v>
      </c>
      <c r="AA346" s="17">
        <v>0</v>
      </c>
      <c r="AB346">
        <v>0</v>
      </c>
      <c r="AC346">
        <v>0</v>
      </c>
      <c r="AD346">
        <v>0</v>
      </c>
      <c r="AE346">
        <v>0</v>
      </c>
      <c r="AF346">
        <v>0</v>
      </c>
      <c r="AG346">
        <v>0</v>
      </c>
      <c r="AH346">
        <v>0</v>
      </c>
      <c r="AI346">
        <v>0</v>
      </c>
      <c r="AJ346">
        <v>0</v>
      </c>
      <c r="AK346">
        <v>0</v>
      </c>
      <c r="BG346" s="185"/>
      <c r="BH346" s="185"/>
      <c r="BI346" s="185"/>
      <c r="BJ346" s="185"/>
      <c r="BK346" s="185"/>
      <c r="BL346" s="185"/>
      <c r="BM346" s="185"/>
      <c r="BN346" s="185"/>
      <c r="BO346" s="185"/>
      <c r="BP346" s="185"/>
      <c r="BQ346" s="185"/>
      <c r="BR346" s="185"/>
      <c r="BS346" s="185"/>
      <c r="BT346" s="185"/>
      <c r="BU346" t="b">
        <f>IF(_xlfn.MAXIFS(Table1[Sl No],Table1[Category],Table1[[#This Row],[Category]],Table1[Execution Year],Table1[[#This Row],[Execution Year]])=Table1[[#This Row],[Sl No]],TRUE,FALSE)</f>
        <v>0</v>
      </c>
      <c r="BV346" s="201">
        <f>SUM(Table1[[#This Row],[Spend - CAN]:[Spend - Sams]])+SUM(Table1[[#This Row],[Spend - Sams Mexico]:[Spend - Sams China]])+Table1[[#This Row],[Spend - IND]]</f>
        <v>0</v>
      </c>
      <c r="BW346">
        <f>SUM(Table1[[#This Row],[Savings - CAN]:[Savings - Sams]])+SUM(Table1[[#This Row],[Savings - Sams Mexico]:[Savings - Sams China]])+Table1[[#This Row],[Savings - IND]]</f>
        <v>0</v>
      </c>
      <c r="BX346">
        <f>SUM(Table1[[#This Row],[Spend - CAN]:[Spend - SAF]])+SUM(Table1[[#This Row],[Spend - Sams Mexico]:[Spend - Sams China]])+Table1[[#This Row],[Spend - IND]]</f>
        <v>0</v>
      </c>
      <c r="BY346">
        <f>SUM(Table1[[#This Row],[Savings - CAN]:[Savings - SAF]])+SUM(Table1[[#This Row],[Savings - Sams Mexico]:[Savings - Sams China]])+Table1[[#This Row],[Savings - IND]]</f>
        <v>0</v>
      </c>
      <c r="BZ346">
        <f>SUM(Table1[[#This Row],[Spend - US]:[Spend - Sams]])</f>
        <v>0</v>
      </c>
      <c r="CA346">
        <f>SUM(Table1[[#This Row],[Savings - US]:[Savings - Sams]])</f>
        <v>0</v>
      </c>
      <c r="CB346">
        <f>SUM(Table1[[#This Row],[Cost Avoidance - CAN2]:[Cost Avoidance - SAF10]])+SUM(Table1[[#This Row],[Cost Avoidance - Sams Mexico]:[Cost Avoidance - Sams China]])+Table1[[#This Row],[Cost Avoidance - IND]]</f>
        <v>0</v>
      </c>
      <c r="CC346">
        <f>SUM(Table1[[#This Row],[Cost Avoidance - US11]:[Cost Avoidance - Sams12]])</f>
        <v>0</v>
      </c>
      <c r="CD346" t="str">
        <f>_xlfn.XLOOKUP(Table1[[#This Row],[Status]],Status_Lookups[Status],Status_Lookups[Value],"")</f>
        <v/>
      </c>
    </row>
    <row r="347" spans="1:82">
      <c r="A347">
        <v>4</v>
      </c>
      <c r="B347" t="s">
        <v>93</v>
      </c>
      <c r="C347" t="s">
        <v>43</v>
      </c>
      <c r="D347" t="s">
        <v>39</v>
      </c>
      <c r="E347" s="15">
        <v>44136</v>
      </c>
      <c r="F347" s="15">
        <v>44252</v>
      </c>
      <c r="G347" s="15"/>
      <c r="H347" s="15"/>
      <c r="I347" t="s">
        <v>681</v>
      </c>
      <c r="J347" t="s">
        <v>633</v>
      </c>
      <c r="K347">
        <v>0</v>
      </c>
      <c r="L347">
        <v>0</v>
      </c>
      <c r="M347">
        <v>0</v>
      </c>
      <c r="N347">
        <v>0</v>
      </c>
      <c r="O347">
        <v>0</v>
      </c>
      <c r="P347">
        <v>0</v>
      </c>
      <c r="Q347">
        <v>0</v>
      </c>
      <c r="R347">
        <v>0</v>
      </c>
      <c r="S347">
        <v>0</v>
      </c>
      <c r="T347">
        <v>0</v>
      </c>
      <c r="U347">
        <v>0</v>
      </c>
      <c r="V347">
        <v>0</v>
      </c>
      <c r="X347" t="s">
        <v>78</v>
      </c>
      <c r="Y347" s="16">
        <v>44211.446108912038</v>
      </c>
      <c r="Z347" s="17" t="str">
        <f>_xlfn.XLOOKUP(Table1[[#This Row],[Phase]],'Lookup tables'!$Y$27:$Y$60,'Lookup tables'!$Z$27:$Z$60,"Not Updated")</f>
        <v>RFPX (RFP1, RFP2, etc.) complete</v>
      </c>
      <c r="AA347" s="17">
        <v>0</v>
      </c>
      <c r="AB347">
        <v>0</v>
      </c>
      <c r="AC347">
        <v>0</v>
      </c>
      <c r="AD347">
        <v>0</v>
      </c>
      <c r="AE347">
        <v>0</v>
      </c>
      <c r="AF347">
        <v>0</v>
      </c>
      <c r="AG347">
        <v>0</v>
      </c>
      <c r="AH347">
        <v>0</v>
      </c>
      <c r="AI347">
        <v>0</v>
      </c>
      <c r="AJ347">
        <v>0</v>
      </c>
      <c r="AK347">
        <v>0</v>
      </c>
      <c r="BG347" s="185"/>
      <c r="BH347" s="185"/>
      <c r="BI347" s="185"/>
      <c r="BJ347" s="185"/>
      <c r="BK347" s="185"/>
      <c r="BL347" s="185"/>
      <c r="BM347" s="185"/>
      <c r="BN347" s="185"/>
      <c r="BO347" s="185"/>
      <c r="BP347" s="185"/>
      <c r="BQ347" s="185"/>
      <c r="BR347" s="185"/>
      <c r="BS347" s="185"/>
      <c r="BT347" s="185"/>
      <c r="BU347" t="b">
        <f>IF(_xlfn.MAXIFS(Table1[Sl No],Table1[Category],Table1[[#This Row],[Category]],Table1[Execution Year],Table1[[#This Row],[Execution Year]])=Table1[[#This Row],[Sl No]],TRUE,FALSE)</f>
        <v>0</v>
      </c>
      <c r="BV347" s="201">
        <f>SUM(Table1[[#This Row],[Spend - CAN]:[Spend - Sams]])+SUM(Table1[[#This Row],[Spend - Sams Mexico]:[Spend - Sams China]])+Table1[[#This Row],[Spend - IND]]</f>
        <v>0</v>
      </c>
      <c r="BW347">
        <f>SUM(Table1[[#This Row],[Savings - CAN]:[Savings - Sams]])+SUM(Table1[[#This Row],[Savings - Sams Mexico]:[Savings - Sams China]])+Table1[[#This Row],[Savings - IND]]</f>
        <v>0</v>
      </c>
      <c r="BX347">
        <f>SUM(Table1[[#This Row],[Spend - CAN]:[Spend - SAF]])+SUM(Table1[[#This Row],[Spend - Sams Mexico]:[Spend - Sams China]])+Table1[[#This Row],[Spend - IND]]</f>
        <v>0</v>
      </c>
      <c r="BY347">
        <f>SUM(Table1[[#This Row],[Savings - CAN]:[Savings - SAF]])+SUM(Table1[[#This Row],[Savings - Sams Mexico]:[Savings - Sams China]])+Table1[[#This Row],[Savings - IND]]</f>
        <v>0</v>
      </c>
      <c r="BZ347">
        <f>SUM(Table1[[#This Row],[Spend - US]:[Spend - Sams]])</f>
        <v>0</v>
      </c>
      <c r="CA347">
        <f>SUM(Table1[[#This Row],[Savings - US]:[Savings - Sams]])</f>
        <v>0</v>
      </c>
      <c r="CB347">
        <f>SUM(Table1[[#This Row],[Cost Avoidance - CAN2]:[Cost Avoidance - SAF10]])+SUM(Table1[[#This Row],[Cost Avoidance - Sams Mexico]:[Cost Avoidance - Sams China]])+Table1[[#This Row],[Cost Avoidance - IND]]</f>
        <v>0</v>
      </c>
      <c r="CC347">
        <f>SUM(Table1[[#This Row],[Cost Avoidance - US11]:[Cost Avoidance - Sams12]])</f>
        <v>0</v>
      </c>
      <c r="CD347" t="str">
        <f>_xlfn.XLOOKUP(Table1[[#This Row],[Status]],Status_Lookups[Status],Status_Lookups[Value],"")</f>
        <v/>
      </c>
    </row>
    <row r="348" spans="1:82">
      <c r="A348">
        <v>5</v>
      </c>
      <c r="B348" t="s">
        <v>93</v>
      </c>
      <c r="C348" t="s">
        <v>43</v>
      </c>
      <c r="D348" t="s">
        <v>39</v>
      </c>
      <c r="E348" s="15">
        <v>44136</v>
      </c>
      <c r="F348" s="15">
        <v>44252</v>
      </c>
      <c r="G348" s="15"/>
      <c r="H348" s="15"/>
      <c r="I348" t="s">
        <v>681</v>
      </c>
      <c r="J348" t="s">
        <v>633</v>
      </c>
      <c r="K348" t="s">
        <v>445</v>
      </c>
      <c r="L348" t="s">
        <v>445</v>
      </c>
      <c r="M348">
        <v>0</v>
      </c>
      <c r="N348">
        <v>0</v>
      </c>
      <c r="O348">
        <v>0</v>
      </c>
      <c r="P348">
        <v>0</v>
      </c>
      <c r="Q348">
        <v>0</v>
      </c>
      <c r="R348">
        <v>0</v>
      </c>
      <c r="S348">
        <v>0</v>
      </c>
      <c r="T348">
        <v>0</v>
      </c>
      <c r="U348">
        <v>0</v>
      </c>
      <c r="V348">
        <v>0</v>
      </c>
      <c r="X348" t="s">
        <v>78</v>
      </c>
      <c r="Y348" s="16">
        <v>44211.448049537037</v>
      </c>
      <c r="Z348" s="17" t="str">
        <f>_xlfn.XLOOKUP(Table1[[#This Row],[Phase]],'Lookup tables'!$Y$27:$Y$60,'Lookup tables'!$Z$27:$Z$60,"Not Updated")</f>
        <v>RFPX (RFP1, RFP2, etc.) complete</v>
      </c>
      <c r="AA348" s="17">
        <v>0</v>
      </c>
      <c r="AB348">
        <v>0</v>
      </c>
      <c r="AC348">
        <v>0</v>
      </c>
      <c r="AD348">
        <v>0</v>
      </c>
      <c r="AE348">
        <v>0</v>
      </c>
      <c r="AF348">
        <v>0</v>
      </c>
      <c r="AG348">
        <v>0</v>
      </c>
      <c r="AH348">
        <v>0</v>
      </c>
      <c r="AI348">
        <v>0</v>
      </c>
      <c r="AJ348">
        <v>0</v>
      </c>
      <c r="AK348">
        <v>0</v>
      </c>
      <c r="BG348" s="185"/>
      <c r="BH348" s="185"/>
      <c r="BI348" s="185"/>
      <c r="BJ348" s="185"/>
      <c r="BK348" s="185"/>
      <c r="BL348" s="185"/>
      <c r="BM348" s="185"/>
      <c r="BN348" s="185"/>
      <c r="BO348" s="185"/>
      <c r="BP348" s="185"/>
      <c r="BQ348" s="185"/>
      <c r="BR348" s="185"/>
      <c r="BS348" s="185"/>
      <c r="BT348" s="185"/>
      <c r="BU348" t="b">
        <f>IF(_xlfn.MAXIFS(Table1[Sl No],Table1[Category],Table1[[#This Row],[Category]],Table1[Execution Year],Table1[[#This Row],[Execution Year]])=Table1[[#This Row],[Sl No]],TRUE,FALSE)</f>
        <v>0</v>
      </c>
      <c r="BV348" s="201">
        <f>SUM(Table1[[#This Row],[Spend - CAN]:[Spend - Sams]])+SUM(Table1[[#This Row],[Spend - Sams Mexico]:[Spend - Sams China]])+Table1[[#This Row],[Spend - IND]]</f>
        <v>0</v>
      </c>
      <c r="BW348">
        <f>SUM(Table1[[#This Row],[Savings - CAN]:[Savings - Sams]])+SUM(Table1[[#This Row],[Savings - Sams Mexico]:[Savings - Sams China]])+Table1[[#This Row],[Savings - IND]]</f>
        <v>0</v>
      </c>
      <c r="BX348">
        <f>SUM(Table1[[#This Row],[Spend - CAN]:[Spend - SAF]])+SUM(Table1[[#This Row],[Spend - Sams Mexico]:[Spend - Sams China]])+Table1[[#This Row],[Spend - IND]]</f>
        <v>0</v>
      </c>
      <c r="BY348">
        <f>SUM(Table1[[#This Row],[Savings - CAN]:[Savings - SAF]])+SUM(Table1[[#This Row],[Savings - Sams Mexico]:[Savings - Sams China]])+Table1[[#This Row],[Savings - IND]]</f>
        <v>0</v>
      </c>
      <c r="BZ348">
        <f>SUM(Table1[[#This Row],[Spend - US]:[Spend - Sams]])</f>
        <v>0</v>
      </c>
      <c r="CA348">
        <f>SUM(Table1[[#This Row],[Savings - US]:[Savings - Sams]])</f>
        <v>0</v>
      </c>
      <c r="CB348">
        <f>SUM(Table1[[#This Row],[Cost Avoidance - CAN2]:[Cost Avoidance - SAF10]])+SUM(Table1[[#This Row],[Cost Avoidance - Sams Mexico]:[Cost Avoidance - Sams China]])+Table1[[#This Row],[Cost Avoidance - IND]]</f>
        <v>0</v>
      </c>
      <c r="CC348">
        <f>SUM(Table1[[#This Row],[Cost Avoidance - US11]:[Cost Avoidance - Sams12]])</f>
        <v>0</v>
      </c>
      <c r="CD348" t="str">
        <f>_xlfn.XLOOKUP(Table1[[#This Row],[Status]],Status_Lookups[Status],Status_Lookups[Value],"")</f>
        <v/>
      </c>
    </row>
    <row r="349" spans="1:82">
      <c r="A349">
        <v>6</v>
      </c>
      <c r="B349" t="s">
        <v>93</v>
      </c>
      <c r="C349" t="s">
        <v>43</v>
      </c>
      <c r="D349" t="s">
        <v>39</v>
      </c>
      <c r="E349" s="15">
        <v>44136</v>
      </c>
      <c r="F349" s="15">
        <v>44252</v>
      </c>
      <c r="G349" s="15"/>
      <c r="H349" s="15"/>
      <c r="I349" t="s">
        <v>681</v>
      </c>
      <c r="J349" t="s">
        <v>633</v>
      </c>
      <c r="K349" t="s">
        <v>445</v>
      </c>
      <c r="L349" t="s">
        <v>445</v>
      </c>
      <c r="M349">
        <v>37618857.79999999</v>
      </c>
      <c r="N349">
        <v>0</v>
      </c>
      <c r="O349">
        <v>0</v>
      </c>
      <c r="P349">
        <v>0</v>
      </c>
      <c r="Q349">
        <v>0</v>
      </c>
      <c r="R349">
        <v>4701067.9000000004</v>
      </c>
      <c r="S349">
        <v>62746.489999999991</v>
      </c>
      <c r="T349">
        <v>90523547.75999999</v>
      </c>
      <c r="U349">
        <v>0</v>
      </c>
      <c r="V349">
        <v>0</v>
      </c>
      <c r="X349" t="s">
        <v>78</v>
      </c>
      <c r="Y349" s="16">
        <v>44211.476417129626</v>
      </c>
      <c r="Z349" s="17" t="str">
        <f>_xlfn.XLOOKUP(Table1[[#This Row],[Phase]],'Lookup tables'!$Y$27:$Y$60,'Lookup tables'!$Z$27:$Z$60,"Not Updated")</f>
        <v>RFPX (RFP1, RFP2, etc.) complete</v>
      </c>
      <c r="AA349" s="17" t="s">
        <v>654</v>
      </c>
      <c r="AB349">
        <v>0</v>
      </c>
      <c r="AC349">
        <v>0</v>
      </c>
      <c r="AD349">
        <v>0</v>
      </c>
      <c r="AE349">
        <v>0</v>
      </c>
      <c r="AF349">
        <v>0</v>
      </c>
      <c r="AG349">
        <v>0</v>
      </c>
      <c r="AH349">
        <v>0</v>
      </c>
      <c r="AI349">
        <v>0</v>
      </c>
      <c r="AJ349">
        <v>0</v>
      </c>
      <c r="AK349">
        <v>0</v>
      </c>
      <c r="BG349" s="185"/>
      <c r="BH349" s="185"/>
      <c r="BI349" s="185"/>
      <c r="BJ349" s="185"/>
      <c r="BK349" s="185"/>
      <c r="BL349" s="185"/>
      <c r="BM349" s="185"/>
      <c r="BN349" s="185"/>
      <c r="BO349" s="185"/>
      <c r="BP349" s="185"/>
      <c r="BQ349" s="185"/>
      <c r="BR349" s="185"/>
      <c r="BS349" s="185"/>
      <c r="BT349" s="185"/>
      <c r="BU349" t="b">
        <f>IF(_xlfn.MAXIFS(Table1[Sl No],Table1[Category],Table1[[#This Row],[Category]],Table1[Execution Year],Table1[[#This Row],[Execution Year]])=Table1[[#This Row],[Sl No]],TRUE,FALSE)</f>
        <v>0</v>
      </c>
      <c r="BV349" s="201">
        <f>SUM(Table1[[#This Row],[Spend - CAN]:[Spend - Sams]])+SUM(Table1[[#This Row],[Spend - Sams Mexico]:[Spend - Sams China]])+Table1[[#This Row],[Spend - IND]]</f>
        <v>132906219.94999999</v>
      </c>
      <c r="BW349">
        <f>SUM(Table1[[#This Row],[Savings - CAN]:[Savings - Sams]])+SUM(Table1[[#This Row],[Savings - Sams Mexico]:[Savings - Sams China]])+Table1[[#This Row],[Savings - IND]]</f>
        <v>0</v>
      </c>
      <c r="BX349">
        <f>SUM(Table1[[#This Row],[Spend - CAN]:[Spend - SAF]])+SUM(Table1[[#This Row],[Spend - Sams Mexico]:[Spend - Sams China]])+Table1[[#This Row],[Spend - IND]]</f>
        <v>132906219.94999999</v>
      </c>
      <c r="BY349">
        <f>SUM(Table1[[#This Row],[Savings - CAN]:[Savings - SAF]])+SUM(Table1[[#This Row],[Savings - Sams Mexico]:[Savings - Sams China]])+Table1[[#This Row],[Savings - IND]]</f>
        <v>0</v>
      </c>
      <c r="BZ349">
        <f>SUM(Table1[[#This Row],[Spend - US]:[Spend - Sams]])</f>
        <v>0</v>
      </c>
      <c r="CA349">
        <f>SUM(Table1[[#This Row],[Savings - US]:[Savings - Sams]])</f>
        <v>0</v>
      </c>
      <c r="CB349">
        <f>SUM(Table1[[#This Row],[Cost Avoidance - CAN2]:[Cost Avoidance - SAF10]])+SUM(Table1[[#This Row],[Cost Avoidance - Sams Mexico]:[Cost Avoidance - Sams China]])+Table1[[#This Row],[Cost Avoidance - IND]]</f>
        <v>0</v>
      </c>
      <c r="CC349">
        <f>SUM(Table1[[#This Row],[Cost Avoidance - US11]:[Cost Avoidance - Sams12]])</f>
        <v>0</v>
      </c>
      <c r="CD349" t="str">
        <f>_xlfn.XLOOKUP(Table1[[#This Row],[Status]],Status_Lookups[Status],Status_Lookups[Value],"")</f>
        <v/>
      </c>
    </row>
    <row r="350" spans="1:82">
      <c r="A350">
        <v>4</v>
      </c>
      <c r="B350" t="s">
        <v>93</v>
      </c>
      <c r="C350" t="s">
        <v>43</v>
      </c>
      <c r="D350" t="s">
        <v>32</v>
      </c>
      <c r="E350" s="15">
        <v>44136</v>
      </c>
      <c r="F350" s="15">
        <v>44252</v>
      </c>
      <c r="G350" s="15"/>
      <c r="H350" s="15"/>
      <c r="I350">
        <v>0</v>
      </c>
      <c r="J350" t="s">
        <v>417</v>
      </c>
      <c r="K350">
        <v>0</v>
      </c>
      <c r="L350">
        <v>0</v>
      </c>
      <c r="M350">
        <v>0</v>
      </c>
      <c r="N350">
        <v>0</v>
      </c>
      <c r="O350">
        <v>0</v>
      </c>
      <c r="P350">
        <v>0</v>
      </c>
      <c r="Q350">
        <v>0</v>
      </c>
      <c r="R350">
        <v>0</v>
      </c>
      <c r="S350">
        <v>0</v>
      </c>
      <c r="T350">
        <v>0</v>
      </c>
      <c r="U350">
        <v>0</v>
      </c>
      <c r="V350">
        <v>0</v>
      </c>
      <c r="W350">
        <v>0</v>
      </c>
      <c r="X350" t="s">
        <v>34</v>
      </c>
      <c r="Y350" s="16">
        <v>44221.409323032407</v>
      </c>
      <c r="Z350" s="17" t="str">
        <f>_xlfn.XLOOKUP(Table1[[#This Row],[Phase]],'Lookup tables'!$Y$27:$Y$60,'Lookup tables'!$Z$27:$Z$60,"Not Updated")</f>
        <v>Not Updated</v>
      </c>
      <c r="AA350" s="17" t="s">
        <v>682</v>
      </c>
      <c r="AB350">
        <v>0</v>
      </c>
      <c r="AC350">
        <v>0</v>
      </c>
      <c r="AD350">
        <v>0</v>
      </c>
      <c r="AE350">
        <v>0</v>
      </c>
      <c r="AF350">
        <v>0</v>
      </c>
      <c r="AG350">
        <v>0</v>
      </c>
      <c r="AH350">
        <v>0</v>
      </c>
      <c r="AI350">
        <v>0</v>
      </c>
      <c r="AJ350">
        <v>0</v>
      </c>
      <c r="AK350">
        <v>0</v>
      </c>
      <c r="AL350">
        <v>0</v>
      </c>
      <c r="BG350" s="185"/>
      <c r="BH350" s="185"/>
      <c r="BI350" s="185"/>
      <c r="BJ350" s="185"/>
      <c r="BK350" s="185"/>
      <c r="BL350" s="185"/>
      <c r="BM350" s="185"/>
      <c r="BN350" s="185"/>
      <c r="BO350" s="185"/>
      <c r="BP350" s="185"/>
      <c r="BQ350" s="185"/>
      <c r="BR350" s="185"/>
      <c r="BS350" s="185"/>
      <c r="BT350" s="185"/>
      <c r="BU350" t="b">
        <f>IF(_xlfn.MAXIFS(Table1[Sl No],Table1[Category],Table1[[#This Row],[Category]],Table1[Execution Year],Table1[[#This Row],[Execution Year]])=Table1[[#This Row],[Sl No]],TRUE,FALSE)</f>
        <v>0</v>
      </c>
      <c r="BV350" s="201">
        <f>SUM(Table1[[#This Row],[Spend - CAN]:[Spend - Sams]])+SUM(Table1[[#This Row],[Spend - Sams Mexico]:[Spend - Sams China]])+Table1[[#This Row],[Spend - IND]]</f>
        <v>0</v>
      </c>
      <c r="BW350">
        <f>SUM(Table1[[#This Row],[Savings - CAN]:[Savings - Sams]])+SUM(Table1[[#This Row],[Savings - Sams Mexico]:[Savings - Sams China]])+Table1[[#This Row],[Savings - IND]]</f>
        <v>0</v>
      </c>
      <c r="BX350">
        <f>SUM(Table1[[#This Row],[Spend - CAN]:[Spend - SAF]])+SUM(Table1[[#This Row],[Spend - Sams Mexico]:[Spend - Sams China]])+Table1[[#This Row],[Spend - IND]]</f>
        <v>0</v>
      </c>
      <c r="BY350">
        <f>SUM(Table1[[#This Row],[Savings - CAN]:[Savings - SAF]])+SUM(Table1[[#This Row],[Savings - Sams Mexico]:[Savings - Sams China]])+Table1[[#This Row],[Savings - IND]]</f>
        <v>0</v>
      </c>
      <c r="BZ350">
        <f>SUM(Table1[[#This Row],[Spend - US]:[Spend - Sams]])</f>
        <v>0</v>
      </c>
      <c r="CA350">
        <f>SUM(Table1[[#This Row],[Savings - US]:[Savings - Sams]])</f>
        <v>0</v>
      </c>
      <c r="CB350">
        <f>SUM(Table1[[#This Row],[Cost Avoidance - CAN2]:[Cost Avoidance - SAF10]])+SUM(Table1[[#This Row],[Cost Avoidance - Sams Mexico]:[Cost Avoidance - Sams China]])+Table1[[#This Row],[Cost Avoidance - IND]]</f>
        <v>0</v>
      </c>
      <c r="CC350">
        <f>SUM(Table1[[#This Row],[Cost Avoidance - US11]:[Cost Avoidance - Sams12]])</f>
        <v>0</v>
      </c>
      <c r="CD350">
        <f>_xlfn.XLOOKUP(Table1[[#This Row],[Status]],Status_Lookups[Status],Status_Lookups[Value],"")</f>
        <v>0.2</v>
      </c>
    </row>
    <row r="351" spans="1:82">
      <c r="A351">
        <v>7</v>
      </c>
      <c r="B351" t="s">
        <v>93</v>
      </c>
      <c r="C351" t="s">
        <v>43</v>
      </c>
      <c r="D351" t="s">
        <v>39</v>
      </c>
      <c r="E351" s="15">
        <v>44136</v>
      </c>
      <c r="F351" s="15">
        <v>44252</v>
      </c>
      <c r="G351" s="15"/>
      <c r="H351" s="15"/>
      <c r="I351" t="s">
        <v>681</v>
      </c>
      <c r="J351" t="s">
        <v>633</v>
      </c>
      <c r="K351" t="s">
        <v>445</v>
      </c>
      <c r="L351" t="s">
        <v>445</v>
      </c>
      <c r="M351">
        <v>37618857.79999999</v>
      </c>
      <c r="N351">
        <v>0</v>
      </c>
      <c r="O351">
        <v>0</v>
      </c>
      <c r="P351">
        <v>0</v>
      </c>
      <c r="Q351">
        <v>0</v>
      </c>
      <c r="R351">
        <v>4701067.9000000004</v>
      </c>
      <c r="S351">
        <v>62746.489999999991</v>
      </c>
      <c r="T351">
        <v>90523547.75999999</v>
      </c>
      <c r="U351">
        <v>0</v>
      </c>
      <c r="V351">
        <v>158000000</v>
      </c>
      <c r="W351">
        <v>0</v>
      </c>
      <c r="X351" t="s">
        <v>78</v>
      </c>
      <c r="Y351" s="16">
        <v>44221.574270370373</v>
      </c>
      <c r="Z351" s="17" t="str">
        <f>_xlfn.XLOOKUP(Table1[[#This Row],[Phase]],'Lookup tables'!$Y$27:$Y$60,'Lookup tables'!$Z$27:$Z$60,"Not Updated")</f>
        <v>RFPX (RFP1, RFP2, etc.) complete</v>
      </c>
      <c r="AA351" s="17" t="s">
        <v>654</v>
      </c>
      <c r="AB351">
        <v>0</v>
      </c>
      <c r="AC351">
        <v>0</v>
      </c>
      <c r="AD351">
        <v>0</v>
      </c>
      <c r="AE351">
        <v>0</v>
      </c>
      <c r="AF351">
        <v>0</v>
      </c>
      <c r="AG351">
        <v>0</v>
      </c>
      <c r="AH351">
        <v>0</v>
      </c>
      <c r="AI351">
        <v>0</v>
      </c>
      <c r="AJ351">
        <v>0</v>
      </c>
      <c r="AK351">
        <v>0</v>
      </c>
      <c r="AL351">
        <v>0</v>
      </c>
      <c r="BG351" s="185"/>
      <c r="BH351" s="185"/>
      <c r="BI351" s="185"/>
      <c r="BJ351" s="185"/>
      <c r="BK351" s="185"/>
      <c r="BL351" s="185"/>
      <c r="BM351" s="185"/>
      <c r="BN351" s="185"/>
      <c r="BO351" s="185"/>
      <c r="BP351" s="185"/>
      <c r="BQ351" s="185"/>
      <c r="BR351" s="185"/>
      <c r="BS351" s="185"/>
      <c r="BT351" s="185"/>
      <c r="BU351" t="b">
        <f>IF(_xlfn.MAXIFS(Table1[Sl No],Table1[Category],Table1[[#This Row],[Category]],Table1[Execution Year],Table1[[#This Row],[Execution Year]])=Table1[[#This Row],[Sl No]],TRUE,FALSE)</f>
        <v>0</v>
      </c>
      <c r="BV351" s="201">
        <f>SUM(Table1[[#This Row],[Spend - CAN]:[Spend - Sams]])+SUM(Table1[[#This Row],[Spend - Sams Mexico]:[Spend - Sams China]])+Table1[[#This Row],[Spend - IND]]</f>
        <v>290906219.94999999</v>
      </c>
      <c r="BW351">
        <f>SUM(Table1[[#This Row],[Savings - CAN]:[Savings - Sams]])+SUM(Table1[[#This Row],[Savings - Sams Mexico]:[Savings - Sams China]])+Table1[[#This Row],[Savings - IND]]</f>
        <v>0</v>
      </c>
      <c r="BX351">
        <f>SUM(Table1[[#This Row],[Spend - CAN]:[Spend - SAF]])+SUM(Table1[[#This Row],[Spend - Sams Mexico]:[Spend - Sams China]])+Table1[[#This Row],[Spend - IND]]</f>
        <v>132906219.94999999</v>
      </c>
      <c r="BY351">
        <f>SUM(Table1[[#This Row],[Savings - CAN]:[Savings - SAF]])+SUM(Table1[[#This Row],[Savings - Sams Mexico]:[Savings - Sams China]])+Table1[[#This Row],[Savings - IND]]</f>
        <v>0</v>
      </c>
      <c r="BZ351">
        <f>SUM(Table1[[#This Row],[Spend - US]:[Spend - Sams]])</f>
        <v>158000000</v>
      </c>
      <c r="CA351">
        <f>SUM(Table1[[#This Row],[Savings - US]:[Savings - Sams]])</f>
        <v>0</v>
      </c>
      <c r="CB351">
        <f>SUM(Table1[[#This Row],[Cost Avoidance - CAN2]:[Cost Avoidance - SAF10]])+SUM(Table1[[#This Row],[Cost Avoidance - Sams Mexico]:[Cost Avoidance - Sams China]])+Table1[[#This Row],[Cost Avoidance - IND]]</f>
        <v>0</v>
      </c>
      <c r="CC351">
        <f>SUM(Table1[[#This Row],[Cost Avoidance - US11]:[Cost Avoidance - Sams12]])</f>
        <v>0</v>
      </c>
      <c r="CD351" t="str">
        <f>_xlfn.XLOOKUP(Table1[[#This Row],[Status]],Status_Lookups[Status],Status_Lookups[Value],"")</f>
        <v/>
      </c>
    </row>
    <row r="352" spans="1:82">
      <c r="A352">
        <v>8</v>
      </c>
      <c r="B352" t="s">
        <v>93</v>
      </c>
      <c r="C352" t="s">
        <v>43</v>
      </c>
      <c r="D352" t="s">
        <v>39</v>
      </c>
      <c r="E352" s="15">
        <v>44136</v>
      </c>
      <c r="F352" s="15">
        <v>44252</v>
      </c>
      <c r="G352" s="15"/>
      <c r="H352" s="15"/>
      <c r="I352" t="s">
        <v>681</v>
      </c>
      <c r="J352" t="s">
        <v>633</v>
      </c>
      <c r="K352" t="s">
        <v>445</v>
      </c>
      <c r="L352" t="s">
        <v>445</v>
      </c>
      <c r="M352">
        <v>4978768</v>
      </c>
      <c r="N352">
        <v>49318669</v>
      </c>
      <c r="O352">
        <v>3152621</v>
      </c>
      <c r="P352">
        <v>2914920</v>
      </c>
      <c r="Q352">
        <v>0</v>
      </c>
      <c r="R352">
        <v>2748000</v>
      </c>
      <c r="S352">
        <v>62746.489999999991</v>
      </c>
      <c r="T352">
        <v>0</v>
      </c>
      <c r="U352">
        <v>0</v>
      </c>
      <c r="V352">
        <v>158000000</v>
      </c>
      <c r="W352">
        <v>0</v>
      </c>
      <c r="X352" t="s">
        <v>78</v>
      </c>
      <c r="Y352" s="16">
        <v>44229.685433217594</v>
      </c>
      <c r="Z352" s="17" t="str">
        <f>_xlfn.XLOOKUP(Table1[[#This Row],[Phase]],'Lookup tables'!$Y$27:$Y$60,'Lookup tables'!$Z$27:$Z$60,"Not Updated")</f>
        <v>RFPX (RFP1, RFP2, etc.) complete</v>
      </c>
      <c r="AA352" s="17" t="s">
        <v>654</v>
      </c>
      <c r="AB352">
        <v>0</v>
      </c>
      <c r="AC352">
        <v>0</v>
      </c>
      <c r="AD352">
        <v>0</v>
      </c>
      <c r="AE352">
        <v>0</v>
      </c>
      <c r="AF352">
        <v>0</v>
      </c>
      <c r="AG352">
        <v>0</v>
      </c>
      <c r="AH352">
        <v>0</v>
      </c>
      <c r="AI352">
        <v>0</v>
      </c>
      <c r="AJ352">
        <v>0</v>
      </c>
      <c r="AK352">
        <v>0</v>
      </c>
      <c r="AL352">
        <v>0</v>
      </c>
      <c r="BG352" s="185"/>
      <c r="BH352" s="185"/>
      <c r="BI352" s="185"/>
      <c r="BJ352" s="185"/>
      <c r="BK352" s="185"/>
      <c r="BL352" s="185"/>
      <c r="BM352" s="185"/>
      <c r="BN352" s="185"/>
      <c r="BO352" s="185"/>
      <c r="BP352" s="185"/>
      <c r="BQ352" s="185"/>
      <c r="BR352" s="185"/>
      <c r="BS352" s="185"/>
      <c r="BT352" s="185"/>
      <c r="BU352" t="b">
        <f>IF(_xlfn.MAXIFS(Table1[Sl No],Table1[Category],Table1[[#This Row],[Category]],Table1[Execution Year],Table1[[#This Row],[Execution Year]])=Table1[[#This Row],[Sl No]],TRUE,FALSE)</f>
        <v>0</v>
      </c>
      <c r="BV352" s="201">
        <f>SUM(Table1[[#This Row],[Spend - CAN]:[Spend - Sams]])+SUM(Table1[[#This Row],[Spend - Sams Mexico]:[Spend - Sams China]])+Table1[[#This Row],[Spend - IND]]</f>
        <v>221175724.49000001</v>
      </c>
      <c r="BW352">
        <f>SUM(Table1[[#This Row],[Savings - CAN]:[Savings - Sams]])+SUM(Table1[[#This Row],[Savings - Sams Mexico]:[Savings - Sams China]])+Table1[[#This Row],[Savings - IND]]</f>
        <v>0</v>
      </c>
      <c r="BX352">
        <f>SUM(Table1[[#This Row],[Spend - CAN]:[Spend - SAF]])+SUM(Table1[[#This Row],[Spend - Sams Mexico]:[Spend - Sams China]])+Table1[[#This Row],[Spend - IND]]</f>
        <v>63175724.490000002</v>
      </c>
      <c r="BY352">
        <f>SUM(Table1[[#This Row],[Savings - CAN]:[Savings - SAF]])+SUM(Table1[[#This Row],[Savings - Sams Mexico]:[Savings - Sams China]])+Table1[[#This Row],[Savings - IND]]</f>
        <v>0</v>
      </c>
      <c r="BZ352">
        <f>SUM(Table1[[#This Row],[Spend - US]:[Spend - Sams]])</f>
        <v>158000000</v>
      </c>
      <c r="CA352">
        <f>SUM(Table1[[#This Row],[Savings - US]:[Savings - Sams]])</f>
        <v>0</v>
      </c>
      <c r="CB352">
        <f>SUM(Table1[[#This Row],[Cost Avoidance - CAN2]:[Cost Avoidance - SAF10]])+SUM(Table1[[#This Row],[Cost Avoidance - Sams Mexico]:[Cost Avoidance - Sams China]])+Table1[[#This Row],[Cost Avoidance - IND]]</f>
        <v>0</v>
      </c>
      <c r="CC352">
        <f>SUM(Table1[[#This Row],[Cost Avoidance - US11]:[Cost Avoidance - Sams12]])</f>
        <v>0</v>
      </c>
      <c r="CD352" t="str">
        <f>_xlfn.XLOOKUP(Table1[[#This Row],[Status]],Status_Lookups[Status],Status_Lookups[Value],"")</f>
        <v/>
      </c>
    </row>
    <row r="353" spans="1:82">
      <c r="A353">
        <v>9</v>
      </c>
      <c r="B353" t="s">
        <v>93</v>
      </c>
      <c r="C353" t="s">
        <v>43</v>
      </c>
      <c r="D353" t="s">
        <v>39</v>
      </c>
      <c r="E353" s="15">
        <v>44136</v>
      </c>
      <c r="F353" s="15">
        <v>44285</v>
      </c>
      <c r="G353" s="15">
        <v>44144</v>
      </c>
      <c r="H353" s="15">
        <v>0</v>
      </c>
      <c r="I353" t="s">
        <v>681</v>
      </c>
      <c r="J353" t="s">
        <v>633</v>
      </c>
      <c r="K353" t="s">
        <v>445</v>
      </c>
      <c r="L353" t="s">
        <v>445</v>
      </c>
      <c r="M353">
        <v>4978768</v>
      </c>
      <c r="N353">
        <v>49318669</v>
      </c>
      <c r="O353">
        <v>3152621</v>
      </c>
      <c r="P353">
        <v>2914920</v>
      </c>
      <c r="Q353">
        <v>0</v>
      </c>
      <c r="R353">
        <v>2748000</v>
      </c>
      <c r="S353">
        <v>62746.489999999991</v>
      </c>
      <c r="T353">
        <v>0</v>
      </c>
      <c r="U353">
        <v>0</v>
      </c>
      <c r="V353">
        <v>158000000</v>
      </c>
      <c r="W353">
        <v>0</v>
      </c>
      <c r="X353" t="s">
        <v>78</v>
      </c>
      <c r="Y353" s="16">
        <v>44242.455058333333</v>
      </c>
      <c r="Z353" s="17" t="str">
        <f>_xlfn.XLOOKUP(Table1[[#This Row],[Phase]],'Lookup tables'!$Y$27:$Y$60,'Lookup tables'!$Z$27:$Z$60,"Not Updated")</f>
        <v>RFPX (RFP1, RFP2, etc.) complete</v>
      </c>
      <c r="AA353" s="17" t="s">
        <v>654</v>
      </c>
      <c r="AB353">
        <v>0</v>
      </c>
      <c r="AC353">
        <v>0</v>
      </c>
      <c r="AD353">
        <v>0</v>
      </c>
      <c r="AE353">
        <v>0</v>
      </c>
      <c r="AF353">
        <v>0</v>
      </c>
      <c r="AG353">
        <v>0</v>
      </c>
      <c r="AH353">
        <v>0</v>
      </c>
      <c r="AI353">
        <v>0</v>
      </c>
      <c r="AJ353">
        <v>0</v>
      </c>
      <c r="AK353">
        <v>0</v>
      </c>
      <c r="AL353">
        <v>0</v>
      </c>
      <c r="BG353" s="185"/>
      <c r="BH353" s="185"/>
      <c r="BI353" s="185"/>
      <c r="BJ353" s="185"/>
      <c r="BK353" s="185"/>
      <c r="BL353" s="185"/>
      <c r="BM353" s="185"/>
      <c r="BN353" s="185"/>
      <c r="BO353" s="185"/>
      <c r="BP353" s="185"/>
      <c r="BQ353" s="185"/>
      <c r="BR353" s="185"/>
      <c r="BS353" s="185"/>
      <c r="BT353" s="185"/>
      <c r="BU353" t="b">
        <f>IF(_xlfn.MAXIFS(Table1[Sl No],Table1[Category],Table1[[#This Row],[Category]],Table1[Execution Year],Table1[[#This Row],[Execution Year]])=Table1[[#This Row],[Sl No]],TRUE,FALSE)</f>
        <v>0</v>
      </c>
      <c r="BV353" s="201">
        <f>SUM(Table1[[#This Row],[Spend - CAN]:[Spend - Sams]])+SUM(Table1[[#This Row],[Spend - Sams Mexico]:[Spend - Sams China]])+Table1[[#This Row],[Spend - IND]]</f>
        <v>221175724.49000001</v>
      </c>
      <c r="BW353">
        <f>SUM(Table1[[#This Row],[Savings - CAN]:[Savings - Sams]])+SUM(Table1[[#This Row],[Savings - Sams Mexico]:[Savings - Sams China]])+Table1[[#This Row],[Savings - IND]]</f>
        <v>0</v>
      </c>
      <c r="BX353">
        <f>SUM(Table1[[#This Row],[Spend - CAN]:[Spend - SAF]])+SUM(Table1[[#This Row],[Spend - Sams Mexico]:[Spend - Sams China]])+Table1[[#This Row],[Spend - IND]]</f>
        <v>63175724.490000002</v>
      </c>
      <c r="BY353">
        <f>SUM(Table1[[#This Row],[Savings - CAN]:[Savings - SAF]])+SUM(Table1[[#This Row],[Savings - Sams Mexico]:[Savings - Sams China]])+Table1[[#This Row],[Savings - IND]]</f>
        <v>0</v>
      </c>
      <c r="BZ353">
        <f>SUM(Table1[[#This Row],[Spend - US]:[Spend - Sams]])</f>
        <v>158000000</v>
      </c>
      <c r="CA353">
        <f>SUM(Table1[[#This Row],[Savings - US]:[Savings - Sams]])</f>
        <v>0</v>
      </c>
      <c r="CB353">
        <f>SUM(Table1[[#This Row],[Cost Avoidance - CAN2]:[Cost Avoidance - SAF10]])+SUM(Table1[[#This Row],[Cost Avoidance - Sams Mexico]:[Cost Avoidance - Sams China]])+Table1[[#This Row],[Cost Avoidance - IND]]</f>
        <v>0</v>
      </c>
      <c r="CC353">
        <f>SUM(Table1[[#This Row],[Cost Avoidance - US11]:[Cost Avoidance - Sams12]])</f>
        <v>0</v>
      </c>
      <c r="CD353" t="str">
        <f>_xlfn.XLOOKUP(Table1[[#This Row],[Status]],Status_Lookups[Status],Status_Lookups[Value],"")</f>
        <v/>
      </c>
    </row>
    <row r="354" spans="1:82">
      <c r="A354">
        <v>10</v>
      </c>
      <c r="B354" t="s">
        <v>93</v>
      </c>
      <c r="C354" t="s">
        <v>43</v>
      </c>
      <c r="D354" t="s">
        <v>39</v>
      </c>
      <c r="E354" s="15">
        <v>44136</v>
      </c>
      <c r="F354" s="15">
        <v>44314</v>
      </c>
      <c r="G354" s="15">
        <v>44144</v>
      </c>
      <c r="H354" s="15">
        <v>0</v>
      </c>
      <c r="I354" t="s">
        <v>681</v>
      </c>
      <c r="J354" t="s">
        <v>633</v>
      </c>
      <c r="K354" t="s">
        <v>445</v>
      </c>
      <c r="L354" t="s">
        <v>445</v>
      </c>
      <c r="M354">
        <v>4978768</v>
      </c>
      <c r="N354">
        <v>84400000</v>
      </c>
      <c r="O354">
        <v>3152621</v>
      </c>
      <c r="P354">
        <v>2914920</v>
      </c>
      <c r="Q354">
        <v>0</v>
      </c>
      <c r="R354">
        <v>7500000</v>
      </c>
      <c r="S354">
        <v>3000000</v>
      </c>
      <c r="T354">
        <v>0</v>
      </c>
      <c r="U354">
        <v>0</v>
      </c>
      <c r="V354">
        <v>158000000</v>
      </c>
      <c r="W354">
        <v>0</v>
      </c>
      <c r="X354" t="s">
        <v>78</v>
      </c>
      <c r="Y354" s="16">
        <v>44242.470728703702</v>
      </c>
      <c r="Z354" s="17" t="str">
        <f>_xlfn.XLOOKUP(Table1[[#This Row],[Phase]],'Lookup tables'!$Y$27:$Y$60,'Lookup tables'!$Z$27:$Z$60,"Not Updated")</f>
        <v>RFPX (RFP1, RFP2, etc.) complete</v>
      </c>
      <c r="AA354" s="17" t="s">
        <v>683</v>
      </c>
      <c r="AB354">
        <v>0</v>
      </c>
      <c r="AC354">
        <v>0</v>
      </c>
      <c r="AD354">
        <v>0</v>
      </c>
      <c r="AE354">
        <v>0</v>
      </c>
      <c r="AF354">
        <v>0</v>
      </c>
      <c r="AG354">
        <v>0</v>
      </c>
      <c r="AH354">
        <v>0</v>
      </c>
      <c r="AI354">
        <v>0</v>
      </c>
      <c r="AJ354">
        <v>0</v>
      </c>
      <c r="AK354">
        <v>0</v>
      </c>
      <c r="AL354">
        <v>0</v>
      </c>
      <c r="BG354" s="185"/>
      <c r="BH354" s="185"/>
      <c r="BI354" s="185"/>
      <c r="BJ354" s="185"/>
      <c r="BK354" s="185"/>
      <c r="BL354" s="185"/>
      <c r="BM354" s="185"/>
      <c r="BN354" s="185"/>
      <c r="BO354" s="185"/>
      <c r="BP354" s="185"/>
      <c r="BQ354" s="185"/>
      <c r="BR354" s="185"/>
      <c r="BS354" s="185"/>
      <c r="BT354" s="185"/>
      <c r="BU354" t="b">
        <f>IF(_xlfn.MAXIFS(Table1[Sl No],Table1[Category],Table1[[#This Row],[Category]],Table1[Execution Year],Table1[[#This Row],[Execution Year]])=Table1[[#This Row],[Sl No]],TRUE,FALSE)</f>
        <v>0</v>
      </c>
      <c r="BV354" s="201">
        <f>SUM(Table1[[#This Row],[Spend - CAN]:[Spend - Sams]])+SUM(Table1[[#This Row],[Spend - Sams Mexico]:[Spend - Sams China]])+Table1[[#This Row],[Spend - IND]]</f>
        <v>263946309</v>
      </c>
      <c r="BW354">
        <f>SUM(Table1[[#This Row],[Savings - CAN]:[Savings - Sams]])+SUM(Table1[[#This Row],[Savings - Sams Mexico]:[Savings - Sams China]])+Table1[[#This Row],[Savings - IND]]</f>
        <v>0</v>
      </c>
      <c r="BX354">
        <f>SUM(Table1[[#This Row],[Spend - CAN]:[Spend - SAF]])+SUM(Table1[[#This Row],[Spend - Sams Mexico]:[Spend - Sams China]])+Table1[[#This Row],[Spend - IND]]</f>
        <v>105946309</v>
      </c>
      <c r="BY354">
        <f>SUM(Table1[[#This Row],[Savings - CAN]:[Savings - SAF]])+SUM(Table1[[#This Row],[Savings - Sams Mexico]:[Savings - Sams China]])+Table1[[#This Row],[Savings - IND]]</f>
        <v>0</v>
      </c>
      <c r="BZ354">
        <f>SUM(Table1[[#This Row],[Spend - US]:[Spend - Sams]])</f>
        <v>158000000</v>
      </c>
      <c r="CA354">
        <f>SUM(Table1[[#This Row],[Savings - US]:[Savings - Sams]])</f>
        <v>0</v>
      </c>
      <c r="CB354">
        <f>SUM(Table1[[#This Row],[Cost Avoidance - CAN2]:[Cost Avoidance - SAF10]])+SUM(Table1[[#This Row],[Cost Avoidance - Sams Mexico]:[Cost Avoidance - Sams China]])+Table1[[#This Row],[Cost Avoidance - IND]]</f>
        <v>0</v>
      </c>
      <c r="CC354">
        <f>SUM(Table1[[#This Row],[Cost Avoidance - US11]:[Cost Avoidance - Sams12]])</f>
        <v>0</v>
      </c>
      <c r="CD354" t="str">
        <f>_xlfn.XLOOKUP(Table1[[#This Row],[Status]],Status_Lookups[Status],Status_Lookups[Value],"")</f>
        <v/>
      </c>
    </row>
    <row r="355" spans="1:82">
      <c r="A355">
        <v>11</v>
      </c>
      <c r="B355" t="s">
        <v>93</v>
      </c>
      <c r="C355" t="s">
        <v>43</v>
      </c>
      <c r="D355" t="s">
        <v>39</v>
      </c>
      <c r="E355" s="15">
        <v>44136</v>
      </c>
      <c r="F355" s="15">
        <v>44314</v>
      </c>
      <c r="G355" s="15">
        <v>44144</v>
      </c>
      <c r="H355" s="15"/>
      <c r="I355" s="18" t="s">
        <v>642</v>
      </c>
      <c r="J355" t="s">
        <v>633</v>
      </c>
      <c r="K355" t="s">
        <v>445</v>
      </c>
      <c r="L355" t="s">
        <v>445</v>
      </c>
      <c r="M355">
        <v>4978768</v>
      </c>
      <c r="N355">
        <v>84400000</v>
      </c>
      <c r="O355">
        <v>3152621</v>
      </c>
      <c r="P355">
        <v>2914920</v>
      </c>
      <c r="Q355">
        <v>0</v>
      </c>
      <c r="R355">
        <v>7500000</v>
      </c>
      <c r="S355">
        <v>3000000</v>
      </c>
      <c r="T355">
        <v>0</v>
      </c>
      <c r="U355">
        <v>0</v>
      </c>
      <c r="V355">
        <v>158000000</v>
      </c>
      <c r="W355">
        <v>0</v>
      </c>
      <c r="X355" t="s">
        <v>97</v>
      </c>
      <c r="Y355" s="16">
        <v>44250.369566666668</v>
      </c>
      <c r="Z355" s="17" t="str">
        <f>_xlfn.XLOOKUP(Table1[[#This Row],[Phase]],'Lookup tables'!$Y$27:$Y$60,'Lookup tables'!$Z$27:$Z$60,"Not Updated")</f>
        <v>Post Bid</v>
      </c>
      <c r="AA355" s="17" t="s">
        <v>684</v>
      </c>
      <c r="AB355">
        <v>0</v>
      </c>
      <c r="AC355">
        <v>0</v>
      </c>
      <c r="AD355">
        <v>0</v>
      </c>
      <c r="AE355">
        <v>0</v>
      </c>
      <c r="AF355">
        <v>0</v>
      </c>
      <c r="AG355">
        <v>0</v>
      </c>
      <c r="AH355">
        <v>0</v>
      </c>
      <c r="AI355">
        <v>0</v>
      </c>
      <c r="AJ355">
        <v>0</v>
      </c>
      <c r="AK355">
        <v>0</v>
      </c>
      <c r="AL355">
        <v>0</v>
      </c>
      <c r="AM355">
        <v>0</v>
      </c>
      <c r="AN355">
        <v>0</v>
      </c>
      <c r="AO355">
        <v>0</v>
      </c>
      <c r="AP355">
        <v>0</v>
      </c>
      <c r="AQ355">
        <v>0</v>
      </c>
      <c r="AR355">
        <v>0</v>
      </c>
      <c r="AS355">
        <v>0</v>
      </c>
      <c r="AT355">
        <v>0</v>
      </c>
      <c r="AU355">
        <v>0</v>
      </c>
      <c r="AV355">
        <v>0</v>
      </c>
      <c r="AW355">
        <v>0</v>
      </c>
      <c r="BG355" s="185"/>
      <c r="BH355" s="185"/>
      <c r="BI355" s="185"/>
      <c r="BJ355" s="185"/>
      <c r="BK355" s="185"/>
      <c r="BL355" s="185"/>
      <c r="BM355" s="185"/>
      <c r="BN355" s="185"/>
      <c r="BO355" s="185"/>
      <c r="BP355" s="185"/>
      <c r="BQ355" s="185"/>
      <c r="BR355" s="185"/>
      <c r="BS355" s="185"/>
      <c r="BT355" s="185"/>
      <c r="BU355" t="b">
        <f>IF(_xlfn.MAXIFS(Table1[Sl No],Table1[Category],Table1[[#This Row],[Category]],Table1[Execution Year],Table1[[#This Row],[Execution Year]])=Table1[[#This Row],[Sl No]],TRUE,FALSE)</f>
        <v>0</v>
      </c>
      <c r="BV355" s="201">
        <f>SUM(Table1[[#This Row],[Spend - CAN]:[Spend - Sams]])+SUM(Table1[[#This Row],[Spend - Sams Mexico]:[Spend - Sams China]])+Table1[[#This Row],[Spend - IND]]</f>
        <v>263946309</v>
      </c>
      <c r="BW355">
        <f>SUM(Table1[[#This Row],[Savings - CAN]:[Savings - Sams]])+SUM(Table1[[#This Row],[Savings - Sams Mexico]:[Savings - Sams China]])+Table1[[#This Row],[Savings - IND]]</f>
        <v>0</v>
      </c>
      <c r="BX355">
        <f>SUM(Table1[[#This Row],[Spend - CAN]:[Spend - SAF]])+SUM(Table1[[#This Row],[Spend - Sams Mexico]:[Spend - Sams China]])+Table1[[#This Row],[Spend - IND]]</f>
        <v>105946309</v>
      </c>
      <c r="BY355">
        <f>SUM(Table1[[#This Row],[Savings - CAN]:[Savings - SAF]])+SUM(Table1[[#This Row],[Savings - Sams Mexico]:[Savings - Sams China]])+Table1[[#This Row],[Savings - IND]]</f>
        <v>0</v>
      </c>
      <c r="BZ355">
        <f>SUM(Table1[[#This Row],[Spend - US]:[Spend - Sams]])</f>
        <v>158000000</v>
      </c>
      <c r="CA355">
        <f>SUM(Table1[[#This Row],[Savings - US]:[Savings - Sams]])</f>
        <v>0</v>
      </c>
      <c r="CB355">
        <f>SUM(Table1[[#This Row],[Cost Avoidance - CAN2]:[Cost Avoidance - SAF10]])+SUM(Table1[[#This Row],[Cost Avoidance - Sams Mexico]:[Cost Avoidance - Sams China]])+Table1[[#This Row],[Cost Avoidance - IND]]</f>
        <v>0</v>
      </c>
      <c r="CC355">
        <f>SUM(Table1[[#This Row],[Cost Avoidance - US11]:[Cost Avoidance - Sams12]])</f>
        <v>0</v>
      </c>
      <c r="CD355" t="str">
        <f>_xlfn.XLOOKUP(Table1[[#This Row],[Status]],Status_Lookups[Status],Status_Lookups[Value],"")</f>
        <v/>
      </c>
    </row>
    <row r="356" spans="1:82">
      <c r="A356">
        <v>12</v>
      </c>
      <c r="B356" t="s">
        <v>93</v>
      </c>
      <c r="C356" t="s">
        <v>43</v>
      </c>
      <c r="D356" t="s">
        <v>39</v>
      </c>
      <c r="E356" s="15">
        <v>44136</v>
      </c>
      <c r="F356" s="15">
        <v>44314</v>
      </c>
      <c r="G356" s="15">
        <v>44144</v>
      </c>
      <c r="H356" s="15"/>
      <c r="I356" t="s">
        <v>642</v>
      </c>
      <c r="J356" t="s">
        <v>633</v>
      </c>
      <c r="K356" t="s">
        <v>445</v>
      </c>
      <c r="L356" t="s">
        <v>445</v>
      </c>
      <c r="M356">
        <v>4978768</v>
      </c>
      <c r="N356">
        <v>84400000</v>
      </c>
      <c r="O356">
        <v>3152621</v>
      </c>
      <c r="P356">
        <v>2914920</v>
      </c>
      <c r="Q356">
        <v>0</v>
      </c>
      <c r="R356">
        <v>7500000</v>
      </c>
      <c r="S356">
        <v>3000000</v>
      </c>
      <c r="T356">
        <v>0</v>
      </c>
      <c r="U356">
        <v>0</v>
      </c>
      <c r="V356">
        <v>209492734</v>
      </c>
      <c r="W356">
        <v>0</v>
      </c>
      <c r="X356" t="s">
        <v>34</v>
      </c>
      <c r="Y356" s="16">
        <v>44302.626824421299</v>
      </c>
      <c r="Z356" s="17" t="str">
        <f>_xlfn.XLOOKUP(Table1[[#This Row],[Phase]],'Lookup tables'!$Y$27:$Y$60,'Lookup tables'!$Z$27:$Z$60,"Not Updated")</f>
        <v>Post Bid</v>
      </c>
      <c r="AA356" s="17" t="s">
        <v>685</v>
      </c>
      <c r="AB356">
        <v>0</v>
      </c>
      <c r="AC356">
        <v>0</v>
      </c>
      <c r="AD356">
        <v>0</v>
      </c>
      <c r="AE356">
        <v>0</v>
      </c>
      <c r="AF356">
        <v>0</v>
      </c>
      <c r="AG356">
        <v>0</v>
      </c>
      <c r="AH356">
        <v>0</v>
      </c>
      <c r="AI356">
        <v>0</v>
      </c>
      <c r="AJ356">
        <v>0</v>
      </c>
      <c r="AK356">
        <v>0</v>
      </c>
      <c r="AL356">
        <v>0</v>
      </c>
      <c r="AM356">
        <v>0</v>
      </c>
      <c r="AN356">
        <v>0</v>
      </c>
      <c r="AO356">
        <v>0</v>
      </c>
      <c r="AP356">
        <v>0</v>
      </c>
      <c r="AQ356">
        <v>0</v>
      </c>
      <c r="AR356">
        <v>0</v>
      </c>
      <c r="AS356">
        <v>0</v>
      </c>
      <c r="AT356">
        <v>0</v>
      </c>
      <c r="AU356">
        <v>0</v>
      </c>
      <c r="AV356">
        <v>0</v>
      </c>
      <c r="AW356">
        <v>0</v>
      </c>
      <c r="BG356" s="185"/>
      <c r="BH356" s="185"/>
      <c r="BI356" s="185"/>
      <c r="BJ356" s="185"/>
      <c r="BK356" s="185"/>
      <c r="BL356" s="185"/>
      <c r="BM356" s="185"/>
      <c r="BN356" s="185"/>
      <c r="BO356" s="185"/>
      <c r="BP356" s="185"/>
      <c r="BQ356" s="185"/>
      <c r="BR356" s="185"/>
      <c r="BS356" s="185"/>
      <c r="BT356" s="185"/>
      <c r="BU356" t="b">
        <f>IF(_xlfn.MAXIFS(Table1[Sl No],Table1[Category],Table1[[#This Row],[Category]],Table1[Execution Year],Table1[[#This Row],[Execution Year]])=Table1[[#This Row],[Sl No]],TRUE,FALSE)</f>
        <v>0</v>
      </c>
      <c r="BV356" s="201">
        <f>SUM(Table1[[#This Row],[Spend - CAN]:[Spend - Sams]])+SUM(Table1[[#This Row],[Spend - Sams Mexico]:[Spend - Sams China]])+Table1[[#This Row],[Spend - IND]]</f>
        <v>315439043</v>
      </c>
      <c r="BW356">
        <f>SUM(Table1[[#This Row],[Savings - CAN]:[Savings - Sams]])+SUM(Table1[[#This Row],[Savings - Sams Mexico]:[Savings - Sams China]])+Table1[[#This Row],[Savings - IND]]</f>
        <v>0</v>
      </c>
      <c r="BX356">
        <f>SUM(Table1[[#This Row],[Spend - CAN]:[Spend - SAF]])+SUM(Table1[[#This Row],[Spend - Sams Mexico]:[Spend - Sams China]])+Table1[[#This Row],[Spend - IND]]</f>
        <v>105946309</v>
      </c>
      <c r="BY356">
        <f>SUM(Table1[[#This Row],[Savings - CAN]:[Savings - SAF]])+SUM(Table1[[#This Row],[Savings - Sams Mexico]:[Savings - Sams China]])+Table1[[#This Row],[Savings - IND]]</f>
        <v>0</v>
      </c>
      <c r="BZ356">
        <f>SUM(Table1[[#This Row],[Spend - US]:[Spend - Sams]])</f>
        <v>209492734</v>
      </c>
      <c r="CA356">
        <f>SUM(Table1[[#This Row],[Savings - US]:[Savings - Sams]])</f>
        <v>0</v>
      </c>
      <c r="CB356">
        <f>SUM(Table1[[#This Row],[Cost Avoidance - CAN2]:[Cost Avoidance - SAF10]])+SUM(Table1[[#This Row],[Cost Avoidance - Sams Mexico]:[Cost Avoidance - Sams China]])+Table1[[#This Row],[Cost Avoidance - IND]]</f>
        <v>0</v>
      </c>
      <c r="CC356">
        <f>SUM(Table1[[#This Row],[Cost Avoidance - US11]:[Cost Avoidance - Sams12]])</f>
        <v>0</v>
      </c>
      <c r="CD356" t="str">
        <f>_xlfn.XLOOKUP(Table1[[#This Row],[Status]],Status_Lookups[Status],Status_Lookups[Value],"")</f>
        <v/>
      </c>
    </row>
    <row r="357" spans="1:82">
      <c r="A357">
        <v>13</v>
      </c>
      <c r="B357" t="s">
        <v>93</v>
      </c>
      <c r="C357" t="s">
        <v>43</v>
      </c>
      <c r="D357" t="s">
        <v>39</v>
      </c>
      <c r="E357" s="15">
        <v>44136</v>
      </c>
      <c r="F357" s="15">
        <v>44314</v>
      </c>
      <c r="G357" s="15">
        <v>44144</v>
      </c>
      <c r="H357" s="15"/>
      <c r="I357" t="s">
        <v>642</v>
      </c>
      <c r="J357" t="s">
        <v>633</v>
      </c>
      <c r="K357" t="s">
        <v>445</v>
      </c>
      <c r="L357" t="s">
        <v>445</v>
      </c>
      <c r="M357">
        <v>4978768</v>
      </c>
      <c r="N357">
        <v>88295070</v>
      </c>
      <c r="O357">
        <v>3210712</v>
      </c>
      <c r="P357">
        <v>3074368</v>
      </c>
      <c r="Q357">
        <v>0</v>
      </c>
      <c r="R357">
        <v>7639382</v>
      </c>
      <c r="S357">
        <v>3605429</v>
      </c>
      <c r="T357">
        <v>0</v>
      </c>
      <c r="U357">
        <v>0</v>
      </c>
      <c r="V357">
        <v>209492734</v>
      </c>
      <c r="W357">
        <v>0</v>
      </c>
      <c r="X357" t="s">
        <v>445</v>
      </c>
      <c r="Y357" s="16">
        <v>44302.633244675926</v>
      </c>
      <c r="Z357" s="17" t="str">
        <f>_xlfn.XLOOKUP(Table1[[#This Row],[Phase]],'Lookup tables'!$Y$27:$Y$60,'Lookup tables'!$Z$27:$Z$60,"Not Updated")</f>
        <v>Post Bid</v>
      </c>
      <c r="AA357" s="17" t="s">
        <v>686</v>
      </c>
      <c r="AB357">
        <v>0</v>
      </c>
      <c r="AC357">
        <v>1074291</v>
      </c>
      <c r="AD357">
        <v>0</v>
      </c>
      <c r="AE357">
        <v>0</v>
      </c>
      <c r="AF357">
        <v>0</v>
      </c>
      <c r="AG357">
        <v>0</v>
      </c>
      <c r="AH357">
        <v>307780.53999999998</v>
      </c>
      <c r="AI357">
        <v>0</v>
      </c>
      <c r="AJ357">
        <v>0</v>
      </c>
      <c r="AK357">
        <v>5174934</v>
      </c>
      <c r="AL357">
        <v>0</v>
      </c>
      <c r="AM357">
        <v>310000</v>
      </c>
      <c r="AN357">
        <v>0</v>
      </c>
      <c r="AO357">
        <v>0</v>
      </c>
      <c r="AP357">
        <v>0</v>
      </c>
      <c r="AQ357">
        <v>0</v>
      </c>
      <c r="AR357">
        <v>0</v>
      </c>
      <c r="AS357">
        <v>0</v>
      </c>
      <c r="AT357">
        <v>0</v>
      </c>
      <c r="AU357">
        <v>0</v>
      </c>
      <c r="AV357">
        <v>6332008</v>
      </c>
      <c r="AW357">
        <v>0</v>
      </c>
      <c r="BG357" s="185"/>
      <c r="BH357" s="185"/>
      <c r="BI357" s="185"/>
      <c r="BJ357" s="185"/>
      <c r="BK357" s="185"/>
      <c r="BL357" s="185"/>
      <c r="BM357" s="185"/>
      <c r="BN357" s="185"/>
      <c r="BO357" s="185"/>
      <c r="BP357" s="185"/>
      <c r="BQ357" s="185"/>
      <c r="BR357" s="185"/>
      <c r="BS357" s="185"/>
      <c r="BT357" s="185"/>
      <c r="BU357" t="b">
        <f>IF(_xlfn.MAXIFS(Table1[Sl No],Table1[Category],Table1[[#This Row],[Category]],Table1[Execution Year],Table1[[#This Row],[Execution Year]])=Table1[[#This Row],[Sl No]],TRUE,FALSE)</f>
        <v>0</v>
      </c>
      <c r="BV357" s="201">
        <f>SUM(Table1[[#This Row],[Spend - CAN]:[Spend - Sams]])+SUM(Table1[[#This Row],[Spend - Sams Mexico]:[Spend - Sams China]])+Table1[[#This Row],[Spend - IND]]</f>
        <v>320296463</v>
      </c>
      <c r="BW357">
        <f>SUM(Table1[[#This Row],[Savings - CAN]:[Savings - Sams]])+SUM(Table1[[#This Row],[Savings - Sams Mexico]:[Savings - Sams China]])+Table1[[#This Row],[Savings - IND]]</f>
        <v>6557005.54</v>
      </c>
      <c r="BX357">
        <f>SUM(Table1[[#This Row],[Spend - CAN]:[Spend - SAF]])+SUM(Table1[[#This Row],[Spend - Sams Mexico]:[Spend - Sams China]])+Table1[[#This Row],[Spend - IND]]</f>
        <v>110803729</v>
      </c>
      <c r="BY357">
        <f>SUM(Table1[[#This Row],[Savings - CAN]:[Savings - SAF]])+SUM(Table1[[#This Row],[Savings - Sams Mexico]:[Savings - Sams China]])+Table1[[#This Row],[Savings - IND]]</f>
        <v>1382071.54</v>
      </c>
      <c r="BZ357">
        <f>SUM(Table1[[#This Row],[Spend - US]:[Spend - Sams]])</f>
        <v>209492734</v>
      </c>
      <c r="CA357">
        <f>SUM(Table1[[#This Row],[Savings - US]:[Savings - Sams]])</f>
        <v>5174934</v>
      </c>
      <c r="CB357">
        <f>SUM(Table1[[#This Row],[Cost Avoidance - CAN2]:[Cost Avoidance - SAF10]])+SUM(Table1[[#This Row],[Cost Avoidance - Sams Mexico]:[Cost Avoidance - Sams China]])+Table1[[#This Row],[Cost Avoidance - IND]]</f>
        <v>310000</v>
      </c>
      <c r="CC357">
        <f>SUM(Table1[[#This Row],[Cost Avoidance - US11]:[Cost Avoidance - Sams12]])</f>
        <v>6332008</v>
      </c>
      <c r="CD357" t="str">
        <f>_xlfn.XLOOKUP(Table1[[#This Row],[Status]],Status_Lookups[Status],Status_Lookups[Value],"")</f>
        <v/>
      </c>
    </row>
    <row r="358" spans="1:82">
      <c r="A358">
        <v>14</v>
      </c>
      <c r="B358" t="s">
        <v>93</v>
      </c>
      <c r="C358" t="s">
        <v>43</v>
      </c>
      <c r="D358" t="s">
        <v>39</v>
      </c>
      <c r="E358" s="15">
        <v>44136</v>
      </c>
      <c r="F358" s="15">
        <v>44314</v>
      </c>
      <c r="G358" s="15">
        <v>44144</v>
      </c>
      <c r="H358" s="15"/>
      <c r="I358" t="s">
        <v>642</v>
      </c>
      <c r="J358" t="s">
        <v>633</v>
      </c>
      <c r="K358" t="s">
        <v>445</v>
      </c>
      <c r="L358" t="s">
        <v>445</v>
      </c>
      <c r="M358">
        <v>4978768</v>
      </c>
      <c r="N358">
        <v>88295070</v>
      </c>
      <c r="O358">
        <v>3210712</v>
      </c>
      <c r="P358">
        <v>3074368</v>
      </c>
      <c r="Q358">
        <v>0</v>
      </c>
      <c r="R358">
        <v>7639382</v>
      </c>
      <c r="S358">
        <v>3605429</v>
      </c>
      <c r="T358">
        <v>0</v>
      </c>
      <c r="U358">
        <v>0</v>
      </c>
      <c r="V358">
        <v>209492734</v>
      </c>
      <c r="W358">
        <v>0</v>
      </c>
      <c r="X358" t="s">
        <v>445</v>
      </c>
      <c r="Y358" s="16">
        <v>44302.635220138887</v>
      </c>
      <c r="Z358" s="17" t="str">
        <f>_xlfn.XLOOKUP(Table1[[#This Row],[Phase]],'Lookup tables'!$Y$27:$Y$60,'Lookup tables'!$Z$27:$Z$60,"Not Updated")</f>
        <v>Post Bid</v>
      </c>
      <c r="AA358" s="17" t="s">
        <v>686</v>
      </c>
      <c r="AB358">
        <v>-252000</v>
      </c>
      <c r="AC358">
        <v>1074291</v>
      </c>
      <c r="AD358">
        <v>0</v>
      </c>
      <c r="AE358">
        <v>0</v>
      </c>
      <c r="AF358">
        <v>0</v>
      </c>
      <c r="AG358">
        <v>0</v>
      </c>
      <c r="AH358">
        <v>307780.53999999998</v>
      </c>
      <c r="AI358">
        <v>0</v>
      </c>
      <c r="AJ358">
        <v>0</v>
      </c>
      <c r="AK358">
        <v>5174934</v>
      </c>
      <c r="AL358">
        <v>0</v>
      </c>
      <c r="AM358">
        <v>310000</v>
      </c>
      <c r="AN358">
        <v>0</v>
      </c>
      <c r="AO358">
        <v>0</v>
      </c>
      <c r="AP358">
        <v>0</v>
      </c>
      <c r="AQ358">
        <v>0</v>
      </c>
      <c r="AR358">
        <v>0</v>
      </c>
      <c r="AS358">
        <v>0</v>
      </c>
      <c r="AT358">
        <v>0</v>
      </c>
      <c r="AU358">
        <v>0</v>
      </c>
      <c r="AV358">
        <v>6332008</v>
      </c>
      <c r="AW358">
        <v>0</v>
      </c>
      <c r="BG358" s="185"/>
      <c r="BH358" s="185"/>
      <c r="BI358" s="185"/>
      <c r="BJ358" s="185"/>
      <c r="BK358" s="185"/>
      <c r="BL358" s="185"/>
      <c r="BM358" s="185"/>
      <c r="BN358" s="185"/>
      <c r="BO358" s="185"/>
      <c r="BP358" s="185"/>
      <c r="BQ358" s="185"/>
      <c r="BR358" s="185"/>
      <c r="BS358" s="185"/>
      <c r="BT358" s="185"/>
      <c r="BU358" t="b">
        <f>IF(_xlfn.MAXIFS(Table1[Sl No],Table1[Category],Table1[[#This Row],[Category]],Table1[Execution Year],Table1[[#This Row],[Execution Year]])=Table1[[#This Row],[Sl No]],TRUE,FALSE)</f>
        <v>0</v>
      </c>
      <c r="BV358" s="201">
        <f>SUM(Table1[[#This Row],[Spend - CAN]:[Spend - Sams]])+SUM(Table1[[#This Row],[Spend - Sams Mexico]:[Spend - Sams China]])+Table1[[#This Row],[Spend - IND]]</f>
        <v>320296463</v>
      </c>
      <c r="BW358">
        <f>SUM(Table1[[#This Row],[Savings - CAN]:[Savings - Sams]])+SUM(Table1[[#This Row],[Savings - Sams Mexico]:[Savings - Sams China]])+Table1[[#This Row],[Savings - IND]]</f>
        <v>6305005.54</v>
      </c>
      <c r="BX358">
        <f>SUM(Table1[[#This Row],[Spend - CAN]:[Spend - SAF]])+SUM(Table1[[#This Row],[Spend - Sams Mexico]:[Spend - Sams China]])+Table1[[#This Row],[Spend - IND]]</f>
        <v>110803729</v>
      </c>
      <c r="BY358">
        <f>SUM(Table1[[#This Row],[Savings - CAN]:[Savings - SAF]])+SUM(Table1[[#This Row],[Savings - Sams Mexico]:[Savings - Sams China]])+Table1[[#This Row],[Savings - IND]]</f>
        <v>1130071.54</v>
      </c>
      <c r="BZ358">
        <f>SUM(Table1[[#This Row],[Spend - US]:[Spend - Sams]])</f>
        <v>209492734</v>
      </c>
      <c r="CA358">
        <f>SUM(Table1[[#This Row],[Savings - US]:[Savings - Sams]])</f>
        <v>5174934</v>
      </c>
      <c r="CB358">
        <f>SUM(Table1[[#This Row],[Cost Avoidance - CAN2]:[Cost Avoidance - SAF10]])+SUM(Table1[[#This Row],[Cost Avoidance - Sams Mexico]:[Cost Avoidance - Sams China]])+Table1[[#This Row],[Cost Avoidance - IND]]</f>
        <v>310000</v>
      </c>
      <c r="CC358">
        <f>SUM(Table1[[#This Row],[Cost Avoidance - US11]:[Cost Avoidance - Sams12]])</f>
        <v>6332008</v>
      </c>
      <c r="CD358" t="str">
        <f>_xlfn.XLOOKUP(Table1[[#This Row],[Status]],Status_Lookups[Status],Status_Lookups[Value],"")</f>
        <v/>
      </c>
    </row>
    <row r="359" spans="1:82">
      <c r="A359">
        <v>15</v>
      </c>
      <c r="B359" t="s">
        <v>93</v>
      </c>
      <c r="C359" t="s">
        <v>43</v>
      </c>
      <c r="D359" t="s">
        <v>39</v>
      </c>
      <c r="E359" s="15">
        <v>44136</v>
      </c>
      <c r="F359" s="15">
        <v>44314</v>
      </c>
      <c r="G359" s="15">
        <v>44144</v>
      </c>
      <c r="H359" s="15"/>
      <c r="I359" t="s">
        <v>642</v>
      </c>
      <c r="J359" t="s">
        <v>459</v>
      </c>
      <c r="K359" t="s">
        <v>445</v>
      </c>
      <c r="L359" t="s">
        <v>445</v>
      </c>
      <c r="M359">
        <v>4978768</v>
      </c>
      <c r="N359">
        <v>88295070</v>
      </c>
      <c r="O359">
        <v>3210712</v>
      </c>
      <c r="P359">
        <v>3074368</v>
      </c>
      <c r="Q359">
        <v>0</v>
      </c>
      <c r="R359">
        <v>7639382</v>
      </c>
      <c r="S359">
        <v>3605429</v>
      </c>
      <c r="T359">
        <v>0</v>
      </c>
      <c r="U359">
        <v>0</v>
      </c>
      <c r="V359">
        <v>209492734</v>
      </c>
      <c r="W359">
        <v>0</v>
      </c>
      <c r="X359" t="s">
        <v>445</v>
      </c>
      <c r="Y359" s="16">
        <v>44302.643356828703</v>
      </c>
      <c r="Z359" s="17" t="str">
        <f>_xlfn.XLOOKUP(Table1[[#This Row],[Phase]],'Lookup tables'!$Y$27:$Y$60,'Lookup tables'!$Z$27:$Z$60,"Not Updated")</f>
        <v>Post Bid</v>
      </c>
      <c r="AA359" s="17" t="s">
        <v>686</v>
      </c>
      <c r="AB359">
        <v>-252000</v>
      </c>
      <c r="AC359">
        <v>1074291</v>
      </c>
      <c r="AD359">
        <v>0</v>
      </c>
      <c r="AE359">
        <v>0</v>
      </c>
      <c r="AF359">
        <v>0</v>
      </c>
      <c r="AG359">
        <v>0</v>
      </c>
      <c r="AH359">
        <v>307780.53999999998</v>
      </c>
      <c r="AI359">
        <v>0</v>
      </c>
      <c r="AJ359">
        <v>0</v>
      </c>
      <c r="AK359">
        <v>5174934</v>
      </c>
      <c r="AL359">
        <v>0</v>
      </c>
      <c r="AM359">
        <v>310000</v>
      </c>
      <c r="AN359">
        <v>0</v>
      </c>
      <c r="AO359">
        <v>0</v>
      </c>
      <c r="AP359">
        <v>0</v>
      </c>
      <c r="AQ359">
        <v>0</v>
      </c>
      <c r="AR359">
        <v>0</v>
      </c>
      <c r="AS359">
        <v>0</v>
      </c>
      <c r="AT359">
        <v>0</v>
      </c>
      <c r="AU359">
        <v>0</v>
      </c>
      <c r="AV359">
        <v>6332008</v>
      </c>
      <c r="AW359">
        <v>0</v>
      </c>
      <c r="BG359" s="185"/>
      <c r="BH359" s="185"/>
      <c r="BI359" s="185"/>
      <c r="BJ359" s="185"/>
      <c r="BK359" s="185"/>
      <c r="BL359" s="185"/>
      <c r="BM359" s="185"/>
      <c r="BN359" s="185"/>
      <c r="BO359" s="185"/>
      <c r="BP359" s="185"/>
      <c r="BQ359" s="185"/>
      <c r="BR359" s="185"/>
      <c r="BS359" s="185"/>
      <c r="BT359" s="185"/>
      <c r="BU359" t="b">
        <f>IF(_xlfn.MAXIFS(Table1[Sl No],Table1[Category],Table1[[#This Row],[Category]],Table1[Execution Year],Table1[[#This Row],[Execution Year]])=Table1[[#This Row],[Sl No]],TRUE,FALSE)</f>
        <v>0</v>
      </c>
      <c r="BV359" s="201">
        <f>SUM(Table1[[#This Row],[Spend - CAN]:[Spend - Sams]])+SUM(Table1[[#This Row],[Spend - Sams Mexico]:[Spend - Sams China]])+Table1[[#This Row],[Spend - IND]]</f>
        <v>320296463</v>
      </c>
      <c r="BW359">
        <f>SUM(Table1[[#This Row],[Savings - CAN]:[Savings - Sams]])+SUM(Table1[[#This Row],[Savings - Sams Mexico]:[Savings - Sams China]])+Table1[[#This Row],[Savings - IND]]</f>
        <v>6305005.54</v>
      </c>
      <c r="BX359">
        <f>SUM(Table1[[#This Row],[Spend - CAN]:[Spend - SAF]])+SUM(Table1[[#This Row],[Spend - Sams Mexico]:[Spend - Sams China]])+Table1[[#This Row],[Spend - IND]]</f>
        <v>110803729</v>
      </c>
      <c r="BY359">
        <f>SUM(Table1[[#This Row],[Savings - CAN]:[Savings - SAF]])+SUM(Table1[[#This Row],[Savings - Sams Mexico]:[Savings - Sams China]])+Table1[[#This Row],[Savings - IND]]</f>
        <v>1130071.54</v>
      </c>
      <c r="BZ359">
        <f>SUM(Table1[[#This Row],[Spend - US]:[Spend - Sams]])</f>
        <v>209492734</v>
      </c>
      <c r="CA359">
        <f>SUM(Table1[[#This Row],[Savings - US]:[Savings - Sams]])</f>
        <v>5174934</v>
      </c>
      <c r="CB359">
        <f>SUM(Table1[[#This Row],[Cost Avoidance - CAN2]:[Cost Avoidance - SAF10]])+SUM(Table1[[#This Row],[Cost Avoidance - Sams Mexico]:[Cost Avoidance - Sams China]])+Table1[[#This Row],[Cost Avoidance - IND]]</f>
        <v>310000</v>
      </c>
      <c r="CC359">
        <f>SUM(Table1[[#This Row],[Cost Avoidance - US11]:[Cost Avoidance - Sams12]])</f>
        <v>6332008</v>
      </c>
      <c r="CD359">
        <f>_xlfn.XLOOKUP(Table1[[#This Row],[Status]],Status_Lookups[Status],Status_Lookups[Value],"")</f>
        <v>0.3</v>
      </c>
    </row>
    <row r="360" spans="1:82">
      <c r="A360">
        <v>16</v>
      </c>
      <c r="B360" t="s">
        <v>93</v>
      </c>
      <c r="C360" t="s">
        <v>43</v>
      </c>
      <c r="D360" t="s">
        <v>39</v>
      </c>
      <c r="E360" s="15">
        <v>44136</v>
      </c>
      <c r="F360" s="15">
        <v>44314</v>
      </c>
      <c r="G360" s="15">
        <v>44144</v>
      </c>
      <c r="H360" s="15">
        <v>0</v>
      </c>
      <c r="I360" t="s">
        <v>642</v>
      </c>
      <c r="J360" t="s">
        <v>459</v>
      </c>
      <c r="K360" t="s">
        <v>445</v>
      </c>
      <c r="L360" t="s">
        <v>445</v>
      </c>
      <c r="M360">
        <v>4978768</v>
      </c>
      <c r="N360">
        <v>88295070</v>
      </c>
      <c r="O360">
        <v>3210712</v>
      </c>
      <c r="P360">
        <v>3074368</v>
      </c>
      <c r="Q360">
        <v>0</v>
      </c>
      <c r="R360">
        <v>7639382</v>
      </c>
      <c r="S360">
        <v>3605429</v>
      </c>
      <c r="T360">
        <v>0</v>
      </c>
      <c r="U360">
        <v>0</v>
      </c>
      <c r="V360">
        <v>209492734</v>
      </c>
      <c r="W360">
        <v>0</v>
      </c>
      <c r="X360" t="s">
        <v>445</v>
      </c>
      <c r="Y360" s="16">
        <v>44343.610424652776</v>
      </c>
      <c r="Z360" s="17" t="str">
        <f>_xlfn.XLOOKUP(Table1[[#This Row],[Phase]],'Lookup tables'!$Y$27:$Y$60,'Lookup tables'!$Z$27:$Z$60,"Not Updated")</f>
        <v>Post Bid</v>
      </c>
      <c r="AA360" s="17" t="s">
        <v>686</v>
      </c>
      <c r="AB360">
        <v>-252000</v>
      </c>
      <c r="AC360">
        <v>1074291</v>
      </c>
      <c r="AD360">
        <v>0</v>
      </c>
      <c r="AE360">
        <v>0</v>
      </c>
      <c r="AF360">
        <v>0</v>
      </c>
      <c r="AG360">
        <v>0</v>
      </c>
      <c r="AH360">
        <v>307780.53999999998</v>
      </c>
      <c r="AI360">
        <v>0</v>
      </c>
      <c r="AJ360">
        <v>0</v>
      </c>
      <c r="AK360">
        <v>1986907.48</v>
      </c>
      <c r="AL360">
        <v>0</v>
      </c>
      <c r="AM360">
        <v>310000</v>
      </c>
      <c r="AN360">
        <v>0</v>
      </c>
      <c r="AO360">
        <v>0</v>
      </c>
      <c r="AP360">
        <v>862804</v>
      </c>
      <c r="AQ360">
        <v>0</v>
      </c>
      <c r="AR360">
        <v>0</v>
      </c>
      <c r="AS360">
        <v>0</v>
      </c>
      <c r="AT360">
        <v>0</v>
      </c>
      <c r="AU360">
        <v>0</v>
      </c>
      <c r="AV360">
        <v>10154569</v>
      </c>
      <c r="AW360">
        <v>0</v>
      </c>
      <c r="BG360" s="185"/>
      <c r="BH360" s="185"/>
      <c r="BI360" s="185"/>
      <c r="BJ360" s="185"/>
      <c r="BK360" s="185"/>
      <c r="BL360" s="185"/>
      <c r="BM360" s="185"/>
      <c r="BN360" s="185"/>
      <c r="BO360" s="185"/>
      <c r="BP360" s="185"/>
      <c r="BQ360" s="185"/>
      <c r="BR360" s="185"/>
      <c r="BS360" s="185"/>
      <c r="BT360" s="185"/>
      <c r="BU360" t="b">
        <f>IF(_xlfn.MAXIFS(Table1[Sl No],Table1[Category],Table1[[#This Row],[Category]],Table1[Execution Year],Table1[[#This Row],[Execution Year]])=Table1[[#This Row],[Sl No]],TRUE,FALSE)</f>
        <v>0</v>
      </c>
      <c r="BV360" s="201">
        <f>SUM(Table1[[#This Row],[Spend - CAN]:[Spend - Sams]])+SUM(Table1[[#This Row],[Spend - Sams Mexico]:[Spend - Sams China]])+Table1[[#This Row],[Spend - IND]]</f>
        <v>320296463</v>
      </c>
      <c r="BW360">
        <f>SUM(Table1[[#This Row],[Savings - CAN]:[Savings - Sams]])+SUM(Table1[[#This Row],[Savings - Sams Mexico]:[Savings - Sams China]])+Table1[[#This Row],[Savings - IND]]</f>
        <v>3116979.02</v>
      </c>
      <c r="BX360">
        <f>SUM(Table1[[#This Row],[Spend - CAN]:[Spend - SAF]])+SUM(Table1[[#This Row],[Spend - Sams Mexico]:[Spend - Sams China]])+Table1[[#This Row],[Spend - IND]]</f>
        <v>110803729</v>
      </c>
      <c r="BY360">
        <f>SUM(Table1[[#This Row],[Savings - CAN]:[Savings - SAF]])+SUM(Table1[[#This Row],[Savings - Sams Mexico]:[Savings - Sams China]])+Table1[[#This Row],[Savings - IND]]</f>
        <v>1130071.54</v>
      </c>
      <c r="BZ360">
        <f>SUM(Table1[[#This Row],[Spend - US]:[Spend - Sams]])</f>
        <v>209492734</v>
      </c>
      <c r="CA360">
        <f>SUM(Table1[[#This Row],[Savings - US]:[Savings - Sams]])</f>
        <v>1986907.48</v>
      </c>
      <c r="CB360">
        <f>SUM(Table1[[#This Row],[Cost Avoidance - CAN2]:[Cost Avoidance - SAF10]])+SUM(Table1[[#This Row],[Cost Avoidance - Sams Mexico]:[Cost Avoidance - Sams China]])+Table1[[#This Row],[Cost Avoidance - IND]]</f>
        <v>1172804</v>
      </c>
      <c r="CC360">
        <f>SUM(Table1[[#This Row],[Cost Avoidance - US11]:[Cost Avoidance - Sams12]])</f>
        <v>10154569</v>
      </c>
      <c r="CD360">
        <f>_xlfn.XLOOKUP(Table1[[#This Row],[Status]],Status_Lookups[Status],Status_Lookups[Value],"")</f>
        <v>0.3</v>
      </c>
    </row>
    <row r="361" spans="1:82">
      <c r="A361">
        <v>17</v>
      </c>
      <c r="B361" t="s">
        <v>93</v>
      </c>
      <c r="C361" t="s">
        <v>43</v>
      </c>
      <c r="D361" t="s">
        <v>39</v>
      </c>
      <c r="E361" s="15">
        <v>44136</v>
      </c>
      <c r="F361" s="15">
        <v>44314</v>
      </c>
      <c r="G361" s="15">
        <v>44144</v>
      </c>
      <c r="H361" s="15">
        <v>44347</v>
      </c>
      <c r="I361" t="s">
        <v>642</v>
      </c>
      <c r="J361" t="s">
        <v>489</v>
      </c>
      <c r="K361" t="s">
        <v>445</v>
      </c>
      <c r="L361" t="s">
        <v>445</v>
      </c>
      <c r="M361">
        <v>4978768</v>
      </c>
      <c r="N361">
        <v>88295070</v>
      </c>
      <c r="O361">
        <v>3210712</v>
      </c>
      <c r="P361">
        <v>3074368</v>
      </c>
      <c r="Q361">
        <v>0</v>
      </c>
      <c r="R361">
        <v>7639382</v>
      </c>
      <c r="S361">
        <v>3605429</v>
      </c>
      <c r="T361">
        <v>0</v>
      </c>
      <c r="U361">
        <v>0</v>
      </c>
      <c r="V361">
        <v>209492734</v>
      </c>
      <c r="W361">
        <v>0</v>
      </c>
      <c r="X361" t="s">
        <v>34</v>
      </c>
      <c r="Y361" s="16">
        <v>44344.922671759261</v>
      </c>
      <c r="Z361" s="17" t="str">
        <f>_xlfn.XLOOKUP(Table1[[#This Row],[Phase]],'Lookup tables'!$Y$27:$Y$60,'Lookup tables'!$Z$27:$Z$60,"Not Updated")</f>
        <v>Post Bid</v>
      </c>
      <c r="AA361" s="17" t="s">
        <v>687</v>
      </c>
      <c r="AB361">
        <v>-252000</v>
      </c>
      <c r="AC361">
        <v>1074291</v>
      </c>
      <c r="AD361">
        <v>0</v>
      </c>
      <c r="AE361">
        <v>0</v>
      </c>
      <c r="AF361">
        <v>0</v>
      </c>
      <c r="AG361">
        <v>0</v>
      </c>
      <c r="AH361">
        <v>307780.53999999998</v>
      </c>
      <c r="AI361">
        <v>0</v>
      </c>
      <c r="AJ361">
        <v>0</v>
      </c>
      <c r="AK361">
        <v>1986907.48</v>
      </c>
      <c r="AL361">
        <v>0</v>
      </c>
      <c r="AM361">
        <v>310000</v>
      </c>
      <c r="AN361">
        <v>0</v>
      </c>
      <c r="AO361">
        <v>0</v>
      </c>
      <c r="AP361">
        <v>862804</v>
      </c>
      <c r="AQ361">
        <v>0</v>
      </c>
      <c r="AR361">
        <v>0</v>
      </c>
      <c r="AS361">
        <v>0</v>
      </c>
      <c r="AT361">
        <v>0</v>
      </c>
      <c r="AU361">
        <v>0</v>
      </c>
      <c r="AV361">
        <v>10154569</v>
      </c>
      <c r="AW361">
        <v>0</v>
      </c>
      <c r="BG361" s="185"/>
      <c r="BH361" s="185"/>
      <c r="BI361" s="185"/>
      <c r="BJ361" s="185"/>
      <c r="BK361" s="185"/>
      <c r="BL361" s="185"/>
      <c r="BM361" s="185"/>
      <c r="BN361" s="185"/>
      <c r="BO361" s="185"/>
      <c r="BP361" s="185"/>
      <c r="BQ361" s="185"/>
      <c r="BR361" s="185"/>
      <c r="BS361" s="185"/>
      <c r="BT361" s="185"/>
      <c r="BU361" t="b">
        <f>IF(_xlfn.MAXIFS(Table1[Sl No],Table1[Category],Table1[[#This Row],[Category]],Table1[Execution Year],Table1[[#This Row],[Execution Year]])=Table1[[#This Row],[Sl No]],TRUE,FALSE)</f>
        <v>0</v>
      </c>
      <c r="BV361" s="201">
        <f>SUM(Table1[[#This Row],[Spend - CAN]:[Spend - Sams]])+SUM(Table1[[#This Row],[Spend - Sams Mexico]:[Spend - Sams China]])+Table1[[#This Row],[Spend - IND]]</f>
        <v>320296463</v>
      </c>
      <c r="BW361">
        <f>SUM(Table1[[#This Row],[Savings - CAN]:[Savings - Sams]])+SUM(Table1[[#This Row],[Savings - Sams Mexico]:[Savings - Sams China]])+Table1[[#This Row],[Savings - IND]]</f>
        <v>3116979.02</v>
      </c>
      <c r="BX361">
        <f>SUM(Table1[[#This Row],[Spend - CAN]:[Spend - SAF]])+SUM(Table1[[#This Row],[Spend - Sams Mexico]:[Spend - Sams China]])+Table1[[#This Row],[Spend - IND]]</f>
        <v>110803729</v>
      </c>
      <c r="BY361">
        <f>SUM(Table1[[#This Row],[Savings - CAN]:[Savings - SAF]])+SUM(Table1[[#This Row],[Savings - Sams Mexico]:[Savings - Sams China]])+Table1[[#This Row],[Savings - IND]]</f>
        <v>1130071.54</v>
      </c>
      <c r="BZ361">
        <f>SUM(Table1[[#This Row],[Spend - US]:[Spend - Sams]])</f>
        <v>209492734</v>
      </c>
      <c r="CA361">
        <f>SUM(Table1[[#This Row],[Savings - US]:[Savings - Sams]])</f>
        <v>1986907.48</v>
      </c>
      <c r="CB361">
        <f>SUM(Table1[[#This Row],[Cost Avoidance - CAN2]:[Cost Avoidance - SAF10]])+SUM(Table1[[#This Row],[Cost Avoidance - Sams Mexico]:[Cost Avoidance - Sams China]])+Table1[[#This Row],[Cost Avoidance - IND]]</f>
        <v>1172804</v>
      </c>
      <c r="CC361">
        <f>SUM(Table1[[#This Row],[Cost Avoidance - US11]:[Cost Avoidance - Sams12]])</f>
        <v>10154569</v>
      </c>
      <c r="CD361">
        <f>_xlfn.XLOOKUP(Table1[[#This Row],[Status]],Status_Lookups[Status],Status_Lookups[Value],"")</f>
        <v>0.6</v>
      </c>
    </row>
    <row r="362" spans="1:82">
      <c r="A362">
        <v>1</v>
      </c>
      <c r="B362" t="s">
        <v>688</v>
      </c>
      <c r="C362" t="s">
        <v>43</v>
      </c>
      <c r="D362" t="s">
        <v>39</v>
      </c>
      <c r="E362" s="15"/>
      <c r="F362" s="15"/>
      <c r="G362" s="15"/>
      <c r="H362" s="15"/>
      <c r="X362" t="s">
        <v>78</v>
      </c>
      <c r="Y362" s="16">
        <v>44385.344675925924</v>
      </c>
      <c r="Z362" s="17" t="str">
        <f>_xlfn.XLOOKUP(Table1[[#This Row],[Phase]],'Lookup tables'!$Y$27:$Y$60,'Lookup tables'!$Z$27:$Z$60,"Not Updated")</f>
        <v>Not Updated</v>
      </c>
      <c r="AA362" s="17"/>
      <c r="BG362" s="185"/>
      <c r="BH362" s="185"/>
      <c r="BI362" s="185"/>
      <c r="BJ362" s="185"/>
      <c r="BK362" s="185"/>
      <c r="BL362" s="185"/>
      <c r="BM362" s="185"/>
      <c r="BN362" s="185"/>
      <c r="BO362" s="185"/>
      <c r="BP362" s="185"/>
      <c r="BQ362" s="185"/>
      <c r="BR362" s="185"/>
      <c r="BS362" s="185"/>
      <c r="BT362" s="185"/>
      <c r="BU362" t="b">
        <f>IF(_xlfn.MAXIFS(Table1[Sl No],Table1[Category],Table1[[#This Row],[Category]],Table1[Execution Year],Table1[[#This Row],[Execution Year]])=Table1[[#This Row],[Sl No]],TRUE,FALSE)</f>
        <v>0</v>
      </c>
      <c r="BV362" s="201">
        <f>SUM(Table1[[#This Row],[Spend - CAN]:[Spend - Sams]])+SUM(Table1[[#This Row],[Spend - Sams Mexico]:[Spend - Sams China]])+Table1[[#This Row],[Spend - IND]]</f>
        <v>0</v>
      </c>
      <c r="BW362">
        <f>SUM(Table1[[#This Row],[Savings - CAN]:[Savings - Sams]])+SUM(Table1[[#This Row],[Savings - Sams Mexico]:[Savings - Sams China]])+Table1[[#This Row],[Savings - IND]]</f>
        <v>0</v>
      </c>
      <c r="BX362">
        <f>SUM(Table1[[#This Row],[Spend - CAN]:[Spend - SAF]])+SUM(Table1[[#This Row],[Spend - Sams Mexico]:[Spend - Sams China]])+Table1[[#This Row],[Spend - IND]]</f>
        <v>0</v>
      </c>
      <c r="BY362">
        <f>SUM(Table1[[#This Row],[Savings - CAN]:[Savings - SAF]])+SUM(Table1[[#This Row],[Savings - Sams Mexico]:[Savings - Sams China]])+Table1[[#This Row],[Savings - IND]]</f>
        <v>0</v>
      </c>
      <c r="BZ362">
        <f>SUM(Table1[[#This Row],[Spend - US]:[Spend - Sams]])</f>
        <v>0</v>
      </c>
      <c r="CA362">
        <f>SUM(Table1[[#This Row],[Savings - US]:[Savings - Sams]])</f>
        <v>0</v>
      </c>
      <c r="CB362">
        <f>SUM(Table1[[#This Row],[Cost Avoidance - CAN2]:[Cost Avoidance - SAF10]])+SUM(Table1[[#This Row],[Cost Avoidance - Sams Mexico]:[Cost Avoidance - Sams China]])+Table1[[#This Row],[Cost Avoidance - IND]]</f>
        <v>0</v>
      </c>
      <c r="CC362">
        <f>SUM(Table1[[#This Row],[Cost Avoidance - US11]:[Cost Avoidance - Sams12]])</f>
        <v>0</v>
      </c>
      <c r="CD362" t="str">
        <f>_xlfn.XLOOKUP(Table1[[#This Row],[Status]],Status_Lookups[Status],Status_Lookups[Value],"")</f>
        <v/>
      </c>
    </row>
    <row r="363" spans="1:82">
      <c r="A363">
        <v>18</v>
      </c>
      <c r="B363" t="s">
        <v>93</v>
      </c>
      <c r="C363" t="s">
        <v>43</v>
      </c>
      <c r="D363" t="s">
        <v>39</v>
      </c>
      <c r="E363" s="15">
        <v>44136</v>
      </c>
      <c r="F363" s="15">
        <v>44314</v>
      </c>
      <c r="G363" s="15">
        <v>44144</v>
      </c>
      <c r="H363" s="15">
        <v>44347</v>
      </c>
      <c r="I363" t="s">
        <v>443</v>
      </c>
      <c r="J363" t="s">
        <v>444</v>
      </c>
      <c r="K363" t="s">
        <v>445</v>
      </c>
      <c r="L363" t="s">
        <v>445</v>
      </c>
      <c r="M363">
        <v>4978768</v>
      </c>
      <c r="N363">
        <v>88295070</v>
      </c>
      <c r="O363">
        <v>3210712</v>
      </c>
      <c r="P363">
        <v>3074368</v>
      </c>
      <c r="Q363">
        <v>0</v>
      </c>
      <c r="R363">
        <v>7639382</v>
      </c>
      <c r="S363">
        <v>3605429</v>
      </c>
      <c r="T363">
        <v>0</v>
      </c>
      <c r="U363">
        <v>0</v>
      </c>
      <c r="V363">
        <v>209492734</v>
      </c>
      <c r="W363">
        <v>0</v>
      </c>
      <c r="X363" t="s">
        <v>445</v>
      </c>
      <c r="Y363" s="16">
        <v>44391.522707407406</v>
      </c>
      <c r="Z363" s="17" t="str">
        <f>_xlfn.XLOOKUP(Table1[[#This Row],[Phase]],'Lookup tables'!$Y$27:$Y$60,'Lookup tables'!$Z$27:$Z$60,"Not Updated")</f>
        <v>Completed</v>
      </c>
      <c r="AA363" s="17" t="s">
        <v>687</v>
      </c>
      <c r="AB363">
        <v>-252000</v>
      </c>
      <c r="AC363">
        <v>1074291</v>
      </c>
      <c r="AD363">
        <v>0</v>
      </c>
      <c r="AE363">
        <v>0</v>
      </c>
      <c r="AF363">
        <v>0</v>
      </c>
      <c r="AG363">
        <v>0</v>
      </c>
      <c r="AH363">
        <v>307780.53999999998</v>
      </c>
      <c r="AI363">
        <v>0</v>
      </c>
      <c r="AJ363">
        <v>0</v>
      </c>
      <c r="AK363">
        <v>1986907.48</v>
      </c>
      <c r="AL363">
        <v>0</v>
      </c>
      <c r="AM363">
        <v>310000</v>
      </c>
      <c r="AN363">
        <v>0</v>
      </c>
      <c r="AO363">
        <v>0</v>
      </c>
      <c r="AP363">
        <v>862804</v>
      </c>
      <c r="AQ363">
        <v>0</v>
      </c>
      <c r="AR363">
        <v>0</v>
      </c>
      <c r="AS363">
        <v>0</v>
      </c>
      <c r="AT363">
        <v>0</v>
      </c>
      <c r="AU363">
        <v>0</v>
      </c>
      <c r="AV363">
        <v>10154569</v>
      </c>
      <c r="AW363">
        <v>0</v>
      </c>
      <c r="BG363" s="185"/>
      <c r="BH363" s="185"/>
      <c r="BI363" s="185"/>
      <c r="BJ363" s="185"/>
      <c r="BK363" s="185"/>
      <c r="BL363" s="185"/>
      <c r="BM363" s="185"/>
      <c r="BN363" s="185"/>
      <c r="BO363" s="185"/>
      <c r="BP363" s="185"/>
      <c r="BQ363" s="185"/>
      <c r="BR363" s="185"/>
      <c r="BS363" s="185"/>
      <c r="BT363" s="185"/>
      <c r="BU363" t="b">
        <f>IF(_xlfn.MAXIFS(Table1[Sl No],Table1[Category],Table1[[#This Row],[Category]],Table1[Execution Year],Table1[[#This Row],[Execution Year]])=Table1[[#This Row],[Sl No]],TRUE,FALSE)</f>
        <v>0</v>
      </c>
      <c r="BV363" s="201">
        <f>SUM(Table1[[#This Row],[Spend - CAN]:[Spend - Sams]])+SUM(Table1[[#This Row],[Spend - Sams Mexico]:[Spend - Sams China]])+Table1[[#This Row],[Spend - IND]]</f>
        <v>320296463</v>
      </c>
      <c r="BW363">
        <f>SUM(Table1[[#This Row],[Savings - CAN]:[Savings - Sams]])+SUM(Table1[[#This Row],[Savings - Sams Mexico]:[Savings - Sams China]])+Table1[[#This Row],[Savings - IND]]</f>
        <v>3116979.02</v>
      </c>
      <c r="BX363">
        <f>SUM(Table1[[#This Row],[Spend - CAN]:[Spend - SAF]])+SUM(Table1[[#This Row],[Spend - Sams Mexico]:[Spend - Sams China]])+Table1[[#This Row],[Spend - IND]]</f>
        <v>110803729</v>
      </c>
      <c r="BY363">
        <f>SUM(Table1[[#This Row],[Savings - CAN]:[Savings - SAF]])+SUM(Table1[[#This Row],[Savings - Sams Mexico]:[Savings - Sams China]])+Table1[[#This Row],[Savings - IND]]</f>
        <v>1130071.54</v>
      </c>
      <c r="BZ363">
        <f>SUM(Table1[[#This Row],[Spend - US]:[Spend - Sams]])</f>
        <v>209492734</v>
      </c>
      <c r="CA363">
        <f>SUM(Table1[[#This Row],[Savings - US]:[Savings - Sams]])</f>
        <v>1986907.48</v>
      </c>
      <c r="CB363">
        <f>SUM(Table1[[#This Row],[Cost Avoidance - CAN2]:[Cost Avoidance - SAF10]])+SUM(Table1[[#This Row],[Cost Avoidance - Sams Mexico]:[Cost Avoidance - Sams China]])+Table1[[#This Row],[Cost Avoidance - IND]]</f>
        <v>1172804</v>
      </c>
      <c r="CC363">
        <f>SUM(Table1[[#This Row],[Cost Avoidance - US11]:[Cost Avoidance - Sams12]])</f>
        <v>10154569</v>
      </c>
      <c r="CD363">
        <f>_xlfn.XLOOKUP(Table1[[#This Row],[Status]],Status_Lookups[Status],Status_Lookups[Value],"")</f>
        <v>0.2</v>
      </c>
    </row>
    <row r="364" spans="1:82">
      <c r="A364">
        <v>19</v>
      </c>
      <c r="B364" t="s">
        <v>93</v>
      </c>
      <c r="C364" t="s">
        <v>43</v>
      </c>
      <c r="D364" t="s">
        <v>39</v>
      </c>
      <c r="E364" s="15">
        <v>44136</v>
      </c>
      <c r="F364" s="15">
        <v>44314</v>
      </c>
      <c r="G364" s="15">
        <v>44144</v>
      </c>
      <c r="H364" s="15">
        <v>44347</v>
      </c>
      <c r="I364" t="s">
        <v>443</v>
      </c>
      <c r="J364" t="s">
        <v>444</v>
      </c>
      <c r="K364" t="s">
        <v>445</v>
      </c>
      <c r="L364" t="s">
        <v>445</v>
      </c>
      <c r="M364">
        <v>4978768</v>
      </c>
      <c r="N364">
        <v>88295070</v>
      </c>
      <c r="O364">
        <v>3210712</v>
      </c>
      <c r="P364">
        <v>3074368</v>
      </c>
      <c r="Q364">
        <v>0</v>
      </c>
      <c r="R364">
        <v>7639382</v>
      </c>
      <c r="S364">
        <v>3605429</v>
      </c>
      <c r="T364">
        <v>0</v>
      </c>
      <c r="U364">
        <v>0</v>
      </c>
      <c r="V364">
        <v>209492734</v>
      </c>
      <c r="W364">
        <v>0</v>
      </c>
      <c r="X364" t="s">
        <v>445</v>
      </c>
      <c r="Y364" s="16">
        <v>44393.333735995373</v>
      </c>
      <c r="Z364" s="17" t="str">
        <f>_xlfn.XLOOKUP(Table1[[#This Row],[Phase]],'Lookup tables'!$Y$27:$Y$60,'Lookup tables'!$Z$27:$Z$60,"Not Updated")</f>
        <v>Completed</v>
      </c>
      <c r="AA364" s="17" t="s">
        <v>687</v>
      </c>
      <c r="AB364">
        <v>-252000</v>
      </c>
      <c r="AC364">
        <v>1074291</v>
      </c>
      <c r="AD364">
        <v>0</v>
      </c>
      <c r="AE364">
        <v>0</v>
      </c>
      <c r="AF364">
        <v>0</v>
      </c>
      <c r="AG364">
        <v>0</v>
      </c>
      <c r="AH364">
        <v>307780.53999999998</v>
      </c>
      <c r="AI364">
        <v>0</v>
      </c>
      <c r="AJ364">
        <v>0</v>
      </c>
      <c r="AK364">
        <v>9660010</v>
      </c>
      <c r="AL364">
        <v>0</v>
      </c>
      <c r="AM364">
        <v>310000</v>
      </c>
      <c r="AN364">
        <v>0</v>
      </c>
      <c r="AO364">
        <v>0</v>
      </c>
      <c r="AP364">
        <v>862804</v>
      </c>
      <c r="AQ364">
        <v>0</v>
      </c>
      <c r="AR364">
        <v>0</v>
      </c>
      <c r="AS364">
        <v>0</v>
      </c>
      <c r="AT364">
        <v>0</v>
      </c>
      <c r="AU364">
        <v>0</v>
      </c>
      <c r="AV364">
        <v>0</v>
      </c>
      <c r="AW364">
        <v>0</v>
      </c>
      <c r="BG364" s="185"/>
      <c r="BH364" s="185"/>
      <c r="BI364" s="185"/>
      <c r="BJ364" s="185"/>
      <c r="BK364" s="185"/>
      <c r="BL364" s="185"/>
      <c r="BM364" s="185"/>
      <c r="BN364" s="185"/>
      <c r="BO364" s="185"/>
      <c r="BP364" s="185"/>
      <c r="BQ364" s="185"/>
      <c r="BR364" s="185"/>
      <c r="BS364" s="185"/>
      <c r="BT364" s="185"/>
      <c r="BU364" t="b">
        <f>IF(_xlfn.MAXIFS(Table1[Sl No],Table1[Category],Table1[[#This Row],[Category]],Table1[Execution Year],Table1[[#This Row],[Execution Year]])=Table1[[#This Row],[Sl No]],TRUE,FALSE)</f>
        <v>1</v>
      </c>
      <c r="BV364" s="201">
        <f>SUM(Table1[[#This Row],[Spend - CAN]:[Spend - Sams]])+SUM(Table1[[#This Row],[Spend - Sams Mexico]:[Spend - Sams China]])+Table1[[#This Row],[Spend - IND]]</f>
        <v>320296463</v>
      </c>
      <c r="BW364">
        <f>SUM(Table1[[#This Row],[Savings - CAN]:[Savings - Sams]])+SUM(Table1[[#This Row],[Savings - Sams Mexico]:[Savings - Sams China]])+Table1[[#This Row],[Savings - IND]]</f>
        <v>10790081.539999999</v>
      </c>
      <c r="BX364">
        <f>SUM(Table1[[#This Row],[Spend - CAN]:[Spend - SAF]])+SUM(Table1[[#This Row],[Spend - Sams Mexico]:[Spend - Sams China]])+Table1[[#This Row],[Spend - IND]]</f>
        <v>110803729</v>
      </c>
      <c r="BY364">
        <f>SUM(Table1[[#This Row],[Savings - CAN]:[Savings - SAF]])+SUM(Table1[[#This Row],[Savings - Sams Mexico]:[Savings - Sams China]])+Table1[[#This Row],[Savings - IND]]</f>
        <v>1130071.54</v>
      </c>
      <c r="BZ364">
        <f>SUM(Table1[[#This Row],[Spend - US]:[Spend - Sams]])</f>
        <v>209492734</v>
      </c>
      <c r="CA364">
        <f>SUM(Table1[[#This Row],[Savings - US]:[Savings - Sams]])</f>
        <v>9660010</v>
      </c>
      <c r="CB364">
        <f>SUM(Table1[[#This Row],[Cost Avoidance - CAN2]:[Cost Avoidance - SAF10]])+SUM(Table1[[#This Row],[Cost Avoidance - Sams Mexico]:[Cost Avoidance - Sams China]])+Table1[[#This Row],[Cost Avoidance - IND]]</f>
        <v>1172804</v>
      </c>
      <c r="CC364">
        <f>SUM(Table1[[#This Row],[Cost Avoidance - US11]:[Cost Avoidance - Sams12]])</f>
        <v>0</v>
      </c>
      <c r="CD364">
        <f>_xlfn.XLOOKUP(Table1[[#This Row],[Status]],Status_Lookups[Status],Status_Lookups[Value],"")</f>
        <v>0.2</v>
      </c>
    </row>
    <row r="365" spans="1:82">
      <c r="A365">
        <v>5</v>
      </c>
      <c r="B365" t="s">
        <v>93</v>
      </c>
      <c r="C365" t="s">
        <v>43</v>
      </c>
      <c r="D365" t="s">
        <v>32</v>
      </c>
      <c r="E365" s="15">
        <v>44136</v>
      </c>
      <c r="F365" s="15">
        <v>44252</v>
      </c>
      <c r="G365" s="15">
        <v>0</v>
      </c>
      <c r="H365" s="15">
        <v>0</v>
      </c>
      <c r="I365" t="s">
        <v>449</v>
      </c>
      <c r="J365" t="s">
        <v>444</v>
      </c>
      <c r="K365">
        <v>0</v>
      </c>
      <c r="L365">
        <v>0</v>
      </c>
      <c r="M365">
        <v>0</v>
      </c>
      <c r="N365">
        <v>0</v>
      </c>
      <c r="O365">
        <v>0</v>
      </c>
      <c r="P365">
        <v>0</v>
      </c>
      <c r="Q365">
        <v>0</v>
      </c>
      <c r="R365">
        <v>0</v>
      </c>
      <c r="S365">
        <v>0</v>
      </c>
      <c r="T365">
        <v>0</v>
      </c>
      <c r="U365">
        <v>0</v>
      </c>
      <c r="V365">
        <v>0</v>
      </c>
      <c r="W365">
        <v>0</v>
      </c>
      <c r="X365" t="s">
        <v>78</v>
      </c>
      <c r="Y365" s="16">
        <v>44622.339638541664</v>
      </c>
      <c r="Z365" s="17" t="str">
        <f>_xlfn.XLOOKUP(Table1[[#This Row],[Phase]],'Lookup tables'!$Y$27:$Y$60,'Lookup tables'!$Z$27:$Z$60,"Not Updated")</f>
        <v>Cancelled</v>
      </c>
      <c r="AA365" s="17" t="s">
        <v>682</v>
      </c>
      <c r="AB365">
        <v>0</v>
      </c>
      <c r="AC365">
        <v>0</v>
      </c>
      <c r="AD365">
        <v>0</v>
      </c>
      <c r="AE365">
        <v>0</v>
      </c>
      <c r="AF365">
        <v>0</v>
      </c>
      <c r="AG365">
        <v>0</v>
      </c>
      <c r="AH365">
        <v>0</v>
      </c>
      <c r="AI365">
        <v>0</v>
      </c>
      <c r="AJ365">
        <v>0</v>
      </c>
      <c r="AK365">
        <v>0</v>
      </c>
      <c r="AL365">
        <v>0</v>
      </c>
      <c r="AM365">
        <v>0</v>
      </c>
      <c r="AN365">
        <v>0</v>
      </c>
      <c r="AO365">
        <v>0</v>
      </c>
      <c r="AP365">
        <v>0</v>
      </c>
      <c r="AQ365">
        <v>0</v>
      </c>
      <c r="AR365">
        <v>0</v>
      </c>
      <c r="AS365">
        <v>0</v>
      </c>
      <c r="AT365">
        <v>0</v>
      </c>
      <c r="AU365">
        <v>0</v>
      </c>
      <c r="AV365">
        <v>0</v>
      </c>
      <c r="AW365">
        <v>0</v>
      </c>
      <c r="AX365">
        <v>0</v>
      </c>
      <c r="AY365">
        <v>0</v>
      </c>
      <c r="AZ365">
        <v>0</v>
      </c>
      <c r="BA365">
        <v>0</v>
      </c>
      <c r="BB365">
        <v>0</v>
      </c>
      <c r="BC365">
        <v>0</v>
      </c>
      <c r="BD365">
        <v>0</v>
      </c>
      <c r="BE365">
        <v>0</v>
      </c>
      <c r="BF365">
        <v>0</v>
      </c>
      <c r="BG365" s="185">
        <v>0</v>
      </c>
      <c r="BH365" s="185">
        <v>0</v>
      </c>
      <c r="BI365" s="185">
        <v>0</v>
      </c>
      <c r="BJ365" s="185">
        <v>0</v>
      </c>
      <c r="BK365" s="185">
        <v>0</v>
      </c>
      <c r="BL365" s="185">
        <v>0</v>
      </c>
      <c r="BM365" s="185">
        <v>0</v>
      </c>
      <c r="BN365" s="185">
        <v>0</v>
      </c>
      <c r="BO365" s="185">
        <v>0</v>
      </c>
      <c r="BP365" s="185">
        <v>0</v>
      </c>
      <c r="BQ365" s="185">
        <v>0</v>
      </c>
      <c r="BR365" s="185">
        <v>0</v>
      </c>
      <c r="BS365" s="185">
        <v>0</v>
      </c>
      <c r="BT365" s="185">
        <v>0</v>
      </c>
      <c r="BU365" t="b">
        <f>IF(_xlfn.MAXIFS(Table1[Sl No],Table1[Category],Table1[[#This Row],[Category]],Table1[Execution Year],Table1[[#This Row],[Execution Year]])=Table1[[#This Row],[Sl No]],TRUE,FALSE)</f>
        <v>1</v>
      </c>
      <c r="BV365" s="201">
        <f>SUM(Table1[[#This Row],[Spend - CAN]:[Spend - Sams]])+SUM(Table1[[#This Row],[Spend - Sams Mexico]:[Spend - Sams China]])+Table1[[#This Row],[Spend - IND]]</f>
        <v>0</v>
      </c>
      <c r="BW365">
        <f>SUM(Table1[[#This Row],[Savings - CAN]:[Savings - Sams]])+SUM(Table1[[#This Row],[Savings - Sams Mexico]:[Savings - Sams China]])+Table1[[#This Row],[Savings - IND]]</f>
        <v>0</v>
      </c>
      <c r="BX365">
        <f>SUM(Table1[[#This Row],[Spend - CAN]:[Spend - SAF]])+SUM(Table1[[#This Row],[Spend - Sams Mexico]:[Spend - Sams China]])+Table1[[#This Row],[Spend - IND]]</f>
        <v>0</v>
      </c>
      <c r="BY365">
        <f>SUM(Table1[[#This Row],[Savings - CAN]:[Savings - SAF]])+SUM(Table1[[#This Row],[Savings - Sams Mexico]:[Savings - Sams China]])+Table1[[#This Row],[Savings - IND]]</f>
        <v>0</v>
      </c>
      <c r="BZ365">
        <f>SUM(Table1[[#This Row],[Spend - US]:[Spend - Sams]])</f>
        <v>0</v>
      </c>
      <c r="CA365">
        <f>SUM(Table1[[#This Row],[Savings - US]:[Savings - Sams]])</f>
        <v>0</v>
      </c>
      <c r="CB365">
        <f>SUM(Table1[[#This Row],[Cost Avoidance - CAN2]:[Cost Avoidance - SAF10]])+SUM(Table1[[#This Row],[Cost Avoidance - Sams Mexico]:[Cost Avoidance - Sams China]])+Table1[[#This Row],[Cost Avoidance - IND]]</f>
        <v>0</v>
      </c>
      <c r="CC365">
        <f>SUM(Table1[[#This Row],[Cost Avoidance - US11]:[Cost Avoidance - Sams12]])</f>
        <v>0</v>
      </c>
      <c r="CD365">
        <f>_xlfn.XLOOKUP(Table1[[#This Row],[Status]],Status_Lookups[Status],Status_Lookups[Value],"")</f>
        <v>0.2</v>
      </c>
    </row>
    <row r="366" spans="1:82">
      <c r="A366">
        <v>1</v>
      </c>
      <c r="B366" t="s">
        <v>456</v>
      </c>
      <c r="C366" t="s">
        <v>43</v>
      </c>
      <c r="D366" t="s">
        <v>39</v>
      </c>
      <c r="E366" s="15"/>
      <c r="F366" s="15"/>
      <c r="G366" s="15"/>
      <c r="H366" s="15"/>
      <c r="X366" t="s">
        <v>78</v>
      </c>
      <c r="Y366" s="16">
        <v>44385.346284722225</v>
      </c>
      <c r="Z366" s="17" t="str">
        <f>_xlfn.XLOOKUP(Table1[[#This Row],[Phase]],'Lookup tables'!$Y$27:$Y$60,'Lookup tables'!$Z$27:$Z$60,"Not Updated")</f>
        <v>Not Updated</v>
      </c>
      <c r="AA366" s="17"/>
      <c r="BG366" s="185"/>
      <c r="BH366" s="185"/>
      <c r="BI366" s="185"/>
      <c r="BJ366" s="185"/>
      <c r="BK366" s="185"/>
      <c r="BL366" s="185"/>
      <c r="BM366" s="185"/>
      <c r="BN366" s="185"/>
      <c r="BO366" s="185"/>
      <c r="BP366" s="185"/>
      <c r="BQ366" s="185"/>
      <c r="BR366" s="185"/>
      <c r="BS366" s="185"/>
      <c r="BT366" s="185"/>
      <c r="BU366" t="b">
        <f>IF(_xlfn.MAXIFS(Table1[Sl No],Table1[Category],Table1[[#This Row],[Category]],Table1[Execution Year],Table1[[#This Row],[Execution Year]])=Table1[[#This Row],[Sl No]],TRUE,FALSE)</f>
        <v>0</v>
      </c>
      <c r="BV366" s="201">
        <f>SUM(Table1[[#This Row],[Spend - CAN]:[Spend - Sams]])+SUM(Table1[[#This Row],[Spend - Sams Mexico]:[Spend - Sams China]])+Table1[[#This Row],[Spend - IND]]</f>
        <v>0</v>
      </c>
      <c r="BW366">
        <f>SUM(Table1[[#This Row],[Savings - CAN]:[Savings - Sams]])+SUM(Table1[[#This Row],[Savings - Sams Mexico]:[Savings - Sams China]])+Table1[[#This Row],[Savings - IND]]</f>
        <v>0</v>
      </c>
      <c r="BX366">
        <f>SUM(Table1[[#This Row],[Spend - CAN]:[Spend - SAF]])+SUM(Table1[[#This Row],[Spend - Sams Mexico]:[Spend - Sams China]])+Table1[[#This Row],[Spend - IND]]</f>
        <v>0</v>
      </c>
      <c r="BY366">
        <f>SUM(Table1[[#This Row],[Savings - CAN]:[Savings - SAF]])+SUM(Table1[[#This Row],[Savings - Sams Mexico]:[Savings - Sams China]])+Table1[[#This Row],[Savings - IND]]</f>
        <v>0</v>
      </c>
      <c r="BZ366">
        <f>SUM(Table1[[#This Row],[Spend - US]:[Spend - Sams]])</f>
        <v>0</v>
      </c>
      <c r="CA366">
        <f>SUM(Table1[[#This Row],[Savings - US]:[Savings - Sams]])</f>
        <v>0</v>
      </c>
      <c r="CB366">
        <f>SUM(Table1[[#This Row],[Cost Avoidance - CAN2]:[Cost Avoidance - SAF10]])+SUM(Table1[[#This Row],[Cost Avoidance - Sams Mexico]:[Cost Avoidance - Sams China]])+Table1[[#This Row],[Cost Avoidance - IND]]</f>
        <v>0</v>
      </c>
      <c r="CC366">
        <f>SUM(Table1[[#This Row],[Cost Avoidance - US11]:[Cost Avoidance - Sams12]])</f>
        <v>0</v>
      </c>
      <c r="CD366" t="str">
        <f>_xlfn.XLOOKUP(Table1[[#This Row],[Status]],Status_Lookups[Status],Status_Lookups[Value],"")</f>
        <v/>
      </c>
    </row>
    <row r="367" spans="1:82">
      <c r="A367">
        <v>2</v>
      </c>
      <c r="B367" t="s">
        <v>456</v>
      </c>
      <c r="C367" t="s">
        <v>43</v>
      </c>
      <c r="D367" t="s">
        <v>39</v>
      </c>
      <c r="E367" s="15">
        <v>44501</v>
      </c>
      <c r="F367" s="15">
        <v>44592</v>
      </c>
      <c r="G367" s="15">
        <v>0</v>
      </c>
      <c r="H367" s="15">
        <v>0</v>
      </c>
      <c r="I367" t="s">
        <v>458</v>
      </c>
      <c r="J367">
        <v>0</v>
      </c>
      <c r="K367" t="s">
        <v>445</v>
      </c>
      <c r="L367">
        <v>0</v>
      </c>
      <c r="M367">
        <v>0</v>
      </c>
      <c r="N367">
        <v>0</v>
      </c>
      <c r="O367">
        <v>0</v>
      </c>
      <c r="P367">
        <v>0</v>
      </c>
      <c r="Q367">
        <v>0</v>
      </c>
      <c r="R367">
        <v>0</v>
      </c>
      <c r="S367">
        <v>0</v>
      </c>
      <c r="T367">
        <v>0</v>
      </c>
      <c r="U367">
        <v>0</v>
      </c>
      <c r="V367">
        <v>0</v>
      </c>
      <c r="W367">
        <v>0</v>
      </c>
      <c r="X367" t="s">
        <v>78</v>
      </c>
      <c r="Y367" s="16">
        <v>44385.34680324074</v>
      </c>
      <c r="Z367" s="17" t="str">
        <f>_xlfn.XLOOKUP(Table1[[#This Row],[Phase]],'Lookup tables'!$Y$27:$Y$60,'Lookup tables'!$Z$27:$Z$60,"Not Updated")</f>
        <v>Exploratory</v>
      </c>
      <c r="AA367" s="17"/>
      <c r="AB367">
        <v>0</v>
      </c>
      <c r="AC367">
        <v>0</v>
      </c>
      <c r="AD367">
        <v>0</v>
      </c>
      <c r="AE367">
        <v>0</v>
      </c>
      <c r="AF367">
        <v>0</v>
      </c>
      <c r="AG367">
        <v>0</v>
      </c>
      <c r="AH367">
        <v>0</v>
      </c>
      <c r="AI367">
        <v>0</v>
      </c>
      <c r="AJ367">
        <v>0</v>
      </c>
      <c r="AK367">
        <v>0</v>
      </c>
      <c r="AL367">
        <v>0</v>
      </c>
      <c r="AM367">
        <v>0</v>
      </c>
      <c r="AN367">
        <v>0</v>
      </c>
      <c r="AO367">
        <v>0</v>
      </c>
      <c r="AP367">
        <v>0</v>
      </c>
      <c r="AQ367">
        <v>0</v>
      </c>
      <c r="AR367">
        <v>0</v>
      </c>
      <c r="AS367">
        <v>0</v>
      </c>
      <c r="AT367">
        <v>0</v>
      </c>
      <c r="AU367">
        <v>0</v>
      </c>
      <c r="AV367">
        <v>0</v>
      </c>
      <c r="AW367">
        <v>0</v>
      </c>
      <c r="BG367" s="185"/>
      <c r="BH367" s="185"/>
      <c r="BI367" s="185"/>
      <c r="BJ367" s="185"/>
      <c r="BK367" s="185"/>
      <c r="BL367" s="185"/>
      <c r="BM367" s="185"/>
      <c r="BN367" s="185"/>
      <c r="BO367" s="185"/>
      <c r="BP367" s="185"/>
      <c r="BQ367" s="185"/>
      <c r="BR367" s="185"/>
      <c r="BS367" s="185"/>
      <c r="BT367" s="185"/>
      <c r="BU367" t="b">
        <f>IF(_xlfn.MAXIFS(Table1[Sl No],Table1[Category],Table1[[#This Row],[Category]],Table1[Execution Year],Table1[[#This Row],[Execution Year]])=Table1[[#This Row],[Sl No]],TRUE,FALSE)</f>
        <v>0</v>
      </c>
      <c r="BV367" s="201">
        <f>SUM(Table1[[#This Row],[Spend - CAN]:[Spend - Sams]])+SUM(Table1[[#This Row],[Spend - Sams Mexico]:[Spend - Sams China]])+Table1[[#This Row],[Spend - IND]]</f>
        <v>0</v>
      </c>
      <c r="BW367">
        <f>SUM(Table1[[#This Row],[Savings - CAN]:[Savings - Sams]])+SUM(Table1[[#This Row],[Savings - Sams Mexico]:[Savings - Sams China]])+Table1[[#This Row],[Savings - IND]]</f>
        <v>0</v>
      </c>
      <c r="BX367">
        <f>SUM(Table1[[#This Row],[Spend - CAN]:[Spend - SAF]])+SUM(Table1[[#This Row],[Spend - Sams Mexico]:[Spend - Sams China]])+Table1[[#This Row],[Spend - IND]]</f>
        <v>0</v>
      </c>
      <c r="BY367">
        <f>SUM(Table1[[#This Row],[Savings - CAN]:[Savings - SAF]])+SUM(Table1[[#This Row],[Savings - Sams Mexico]:[Savings - Sams China]])+Table1[[#This Row],[Savings - IND]]</f>
        <v>0</v>
      </c>
      <c r="BZ367">
        <f>SUM(Table1[[#This Row],[Spend - US]:[Spend - Sams]])</f>
        <v>0</v>
      </c>
      <c r="CA367">
        <f>SUM(Table1[[#This Row],[Savings - US]:[Savings - Sams]])</f>
        <v>0</v>
      </c>
      <c r="CB367">
        <f>SUM(Table1[[#This Row],[Cost Avoidance - CAN2]:[Cost Avoidance - SAF10]])+SUM(Table1[[#This Row],[Cost Avoidance - Sams Mexico]:[Cost Avoidance - Sams China]])+Table1[[#This Row],[Cost Avoidance - IND]]</f>
        <v>0</v>
      </c>
      <c r="CC367">
        <f>SUM(Table1[[#This Row],[Cost Avoidance - US11]:[Cost Avoidance - Sams12]])</f>
        <v>0</v>
      </c>
      <c r="CD367" t="str">
        <f>_xlfn.XLOOKUP(Table1[[#This Row],[Status]],Status_Lookups[Status],Status_Lookups[Value],"")</f>
        <v/>
      </c>
    </row>
    <row r="368" spans="1:82">
      <c r="A368">
        <v>3</v>
      </c>
      <c r="B368" t="s">
        <v>456</v>
      </c>
      <c r="C368" t="s">
        <v>43</v>
      </c>
      <c r="D368" t="s">
        <v>39</v>
      </c>
      <c r="E368" s="15">
        <v>44531</v>
      </c>
      <c r="F368" s="15">
        <v>44681</v>
      </c>
      <c r="G368" s="15">
        <v>0</v>
      </c>
      <c r="H368" s="15">
        <v>0</v>
      </c>
      <c r="I368" t="s">
        <v>458</v>
      </c>
      <c r="J368">
        <v>0</v>
      </c>
      <c r="K368" t="s">
        <v>445</v>
      </c>
      <c r="L368">
        <v>0</v>
      </c>
      <c r="M368">
        <v>0</v>
      </c>
      <c r="N368">
        <v>0</v>
      </c>
      <c r="O368">
        <v>0</v>
      </c>
      <c r="P368">
        <v>0</v>
      </c>
      <c r="Q368">
        <v>0</v>
      </c>
      <c r="R368">
        <v>0</v>
      </c>
      <c r="S368">
        <v>0</v>
      </c>
      <c r="T368">
        <v>0</v>
      </c>
      <c r="U368">
        <v>0</v>
      </c>
      <c r="V368">
        <v>0</v>
      </c>
      <c r="W368">
        <v>0</v>
      </c>
      <c r="X368" t="s">
        <v>78</v>
      </c>
      <c r="Y368" s="16">
        <v>44502.437572222225</v>
      </c>
      <c r="Z368" s="17" t="str">
        <f>_xlfn.XLOOKUP(Table1[[#This Row],[Phase]],'Lookup tables'!$Y$27:$Y$60,'Lookup tables'!$Z$27:$Z$60,"Not Updated")</f>
        <v>Exploratory</v>
      </c>
      <c r="AA368" s="17">
        <v>0</v>
      </c>
      <c r="AB368">
        <v>0</v>
      </c>
      <c r="AC368">
        <v>0</v>
      </c>
      <c r="AD368">
        <v>0</v>
      </c>
      <c r="AE368">
        <v>0</v>
      </c>
      <c r="AF368">
        <v>0</v>
      </c>
      <c r="AG368">
        <v>0</v>
      </c>
      <c r="AH368">
        <v>0</v>
      </c>
      <c r="AI368">
        <v>0</v>
      </c>
      <c r="AJ368">
        <v>0</v>
      </c>
      <c r="AK368">
        <v>0</v>
      </c>
      <c r="AL368">
        <v>0</v>
      </c>
      <c r="AM368">
        <v>0</v>
      </c>
      <c r="AN368">
        <v>0</v>
      </c>
      <c r="AO368">
        <v>0</v>
      </c>
      <c r="AP368">
        <v>0</v>
      </c>
      <c r="AQ368">
        <v>0</v>
      </c>
      <c r="AR368">
        <v>0</v>
      </c>
      <c r="AS368">
        <v>0</v>
      </c>
      <c r="AT368">
        <v>0</v>
      </c>
      <c r="AU368">
        <v>0</v>
      </c>
      <c r="AV368">
        <v>0</v>
      </c>
      <c r="AW368">
        <v>0</v>
      </c>
      <c r="BG368" s="185"/>
      <c r="BH368" s="185"/>
      <c r="BI368" s="185"/>
      <c r="BJ368" s="185"/>
      <c r="BK368" s="185"/>
      <c r="BL368" s="185"/>
      <c r="BM368" s="185"/>
      <c r="BN368" s="185"/>
      <c r="BO368" s="185"/>
      <c r="BP368" s="185"/>
      <c r="BQ368" s="185"/>
      <c r="BR368" s="185"/>
      <c r="BS368" s="185"/>
      <c r="BT368" s="185"/>
      <c r="BU368" t="b">
        <f>IF(_xlfn.MAXIFS(Table1[Sl No],Table1[Category],Table1[[#This Row],[Category]],Table1[Execution Year],Table1[[#This Row],[Execution Year]])=Table1[[#This Row],[Sl No]],TRUE,FALSE)</f>
        <v>0</v>
      </c>
      <c r="BV368" s="201">
        <f>SUM(Table1[[#This Row],[Spend - CAN]:[Spend - Sams]])+SUM(Table1[[#This Row],[Spend - Sams Mexico]:[Spend - Sams China]])+Table1[[#This Row],[Spend - IND]]</f>
        <v>0</v>
      </c>
      <c r="BW368">
        <f>SUM(Table1[[#This Row],[Savings - CAN]:[Savings - Sams]])+SUM(Table1[[#This Row],[Savings - Sams Mexico]:[Savings - Sams China]])+Table1[[#This Row],[Savings - IND]]</f>
        <v>0</v>
      </c>
      <c r="BX368">
        <f>SUM(Table1[[#This Row],[Spend - CAN]:[Spend - SAF]])+SUM(Table1[[#This Row],[Spend - Sams Mexico]:[Spend - Sams China]])+Table1[[#This Row],[Spend - IND]]</f>
        <v>0</v>
      </c>
      <c r="BY368">
        <f>SUM(Table1[[#This Row],[Savings - CAN]:[Savings - SAF]])+SUM(Table1[[#This Row],[Savings - Sams Mexico]:[Savings - Sams China]])+Table1[[#This Row],[Savings - IND]]</f>
        <v>0</v>
      </c>
      <c r="BZ368">
        <f>SUM(Table1[[#This Row],[Spend - US]:[Spend - Sams]])</f>
        <v>0</v>
      </c>
      <c r="CA368">
        <f>SUM(Table1[[#This Row],[Savings - US]:[Savings - Sams]])</f>
        <v>0</v>
      </c>
      <c r="CB368">
        <f>SUM(Table1[[#This Row],[Cost Avoidance - CAN2]:[Cost Avoidance - SAF10]])+SUM(Table1[[#This Row],[Cost Avoidance - Sams Mexico]:[Cost Avoidance - Sams China]])+Table1[[#This Row],[Cost Avoidance - IND]]</f>
        <v>0</v>
      </c>
      <c r="CC368">
        <f>SUM(Table1[[#This Row],[Cost Avoidance - US11]:[Cost Avoidance - Sams12]])</f>
        <v>0</v>
      </c>
      <c r="CD368" t="str">
        <f>_xlfn.XLOOKUP(Table1[[#This Row],[Status]],Status_Lookups[Status],Status_Lookups[Value],"")</f>
        <v/>
      </c>
    </row>
    <row r="369" spans="1:82">
      <c r="A369">
        <v>1</v>
      </c>
      <c r="B369" t="s">
        <v>456</v>
      </c>
      <c r="C369" t="s">
        <v>43</v>
      </c>
      <c r="D369" t="s">
        <v>322</v>
      </c>
      <c r="E369" s="15"/>
      <c r="F369" s="15"/>
      <c r="G369" s="15"/>
      <c r="H369" s="15"/>
      <c r="X369" t="s">
        <v>78</v>
      </c>
      <c r="Y369" s="16">
        <v>44594.713738425926</v>
      </c>
      <c r="Z369" s="17" t="str">
        <f>_xlfn.XLOOKUP(Table1[[#This Row],[Phase]],'Lookup tables'!$Y$27:$Y$60,'Lookup tables'!$Z$27:$Z$60,"Not Updated")</f>
        <v>Not Updated</v>
      </c>
      <c r="AA369" s="17"/>
      <c r="BG369" s="185"/>
      <c r="BH369" s="185"/>
      <c r="BI369" s="185"/>
      <c r="BJ369" s="185"/>
      <c r="BK369" s="185"/>
      <c r="BL369" s="185"/>
      <c r="BM369" s="185"/>
      <c r="BN369" s="185"/>
      <c r="BO369" s="185"/>
      <c r="BP369" s="185"/>
      <c r="BQ369" s="185"/>
      <c r="BR369" s="185"/>
      <c r="BS369" s="185"/>
      <c r="BT369" s="185"/>
      <c r="BU369" t="b">
        <f>IF(_xlfn.MAXIFS(Table1[Sl No],Table1[Category],Table1[[#This Row],[Category]],Table1[Execution Year],Table1[[#This Row],[Execution Year]])=Table1[[#This Row],[Sl No]],TRUE,FALSE)</f>
        <v>0</v>
      </c>
      <c r="BV369" s="201">
        <f>SUM(Table1[[#This Row],[Spend - CAN]:[Spend - Sams]])+SUM(Table1[[#This Row],[Spend - Sams Mexico]:[Spend - Sams China]])+Table1[[#This Row],[Spend - IND]]</f>
        <v>0</v>
      </c>
      <c r="BW369">
        <f>SUM(Table1[[#This Row],[Savings - CAN]:[Savings - Sams]])+SUM(Table1[[#This Row],[Savings - Sams Mexico]:[Savings - Sams China]])+Table1[[#This Row],[Savings - IND]]</f>
        <v>0</v>
      </c>
      <c r="BX369">
        <f>SUM(Table1[[#This Row],[Spend - CAN]:[Spend - SAF]])+SUM(Table1[[#This Row],[Spend - Sams Mexico]:[Spend - Sams China]])+Table1[[#This Row],[Spend - IND]]</f>
        <v>0</v>
      </c>
      <c r="BY369">
        <f>SUM(Table1[[#This Row],[Savings - CAN]:[Savings - SAF]])+SUM(Table1[[#This Row],[Savings - Sams Mexico]:[Savings - Sams China]])+Table1[[#This Row],[Savings - IND]]</f>
        <v>0</v>
      </c>
      <c r="BZ369">
        <f>SUM(Table1[[#This Row],[Spend - US]:[Spend - Sams]])</f>
        <v>0</v>
      </c>
      <c r="CA369">
        <f>SUM(Table1[[#This Row],[Savings - US]:[Savings - Sams]])</f>
        <v>0</v>
      </c>
      <c r="CB369">
        <f>SUM(Table1[[#This Row],[Cost Avoidance - CAN2]:[Cost Avoidance - SAF10]])+SUM(Table1[[#This Row],[Cost Avoidance - Sams Mexico]:[Cost Avoidance - Sams China]])+Table1[[#This Row],[Cost Avoidance - IND]]</f>
        <v>0</v>
      </c>
      <c r="CC369">
        <f>SUM(Table1[[#This Row],[Cost Avoidance - US11]:[Cost Avoidance - Sams12]])</f>
        <v>0</v>
      </c>
      <c r="CD369" t="str">
        <f>_xlfn.XLOOKUP(Table1[[#This Row],[Status]],Status_Lookups[Status],Status_Lookups[Value],"")</f>
        <v/>
      </c>
    </row>
    <row r="370" spans="1:82">
      <c r="A370">
        <v>2</v>
      </c>
      <c r="B370" t="s">
        <v>456</v>
      </c>
      <c r="C370" t="s">
        <v>43</v>
      </c>
      <c r="D370" t="s">
        <v>322</v>
      </c>
      <c r="E370" s="15">
        <v>44621</v>
      </c>
      <c r="F370" s="15">
        <v>0</v>
      </c>
      <c r="G370" s="15">
        <v>0</v>
      </c>
      <c r="H370" s="15">
        <v>0</v>
      </c>
      <c r="I370" t="s">
        <v>458</v>
      </c>
      <c r="J370">
        <v>0</v>
      </c>
      <c r="K370" t="s">
        <v>454</v>
      </c>
      <c r="L370">
        <v>0</v>
      </c>
      <c r="M370">
        <v>0</v>
      </c>
      <c r="N370">
        <v>0</v>
      </c>
      <c r="O370">
        <v>0</v>
      </c>
      <c r="P370">
        <v>0</v>
      </c>
      <c r="Q370">
        <v>0</v>
      </c>
      <c r="R370">
        <v>0</v>
      </c>
      <c r="S370">
        <v>0</v>
      </c>
      <c r="T370">
        <v>0</v>
      </c>
      <c r="U370">
        <v>0</v>
      </c>
      <c r="V370">
        <v>0</v>
      </c>
      <c r="W370">
        <v>0</v>
      </c>
      <c r="X370" t="s">
        <v>78</v>
      </c>
      <c r="Y370" s="16">
        <v>44594.718122916667</v>
      </c>
      <c r="Z370" s="17" t="str">
        <f>_xlfn.XLOOKUP(Table1[[#This Row],[Phase]],'Lookup tables'!$Y$27:$Y$60,'Lookup tables'!$Z$27:$Z$60,"Not Updated")</f>
        <v>Exploratory</v>
      </c>
      <c r="AA370" s="17">
        <v>0</v>
      </c>
      <c r="AB370">
        <v>0</v>
      </c>
      <c r="AC370">
        <v>0</v>
      </c>
      <c r="AD370">
        <v>0</v>
      </c>
      <c r="AE370">
        <v>0</v>
      </c>
      <c r="AF370">
        <v>0</v>
      </c>
      <c r="AG370">
        <v>0</v>
      </c>
      <c r="AH370">
        <v>0</v>
      </c>
      <c r="AI370">
        <v>0</v>
      </c>
      <c r="AJ370">
        <v>0</v>
      </c>
      <c r="AK370">
        <v>0</v>
      </c>
      <c r="AL370">
        <v>0</v>
      </c>
      <c r="AM370">
        <v>0</v>
      </c>
      <c r="AN370">
        <v>0</v>
      </c>
      <c r="AO370">
        <v>0</v>
      </c>
      <c r="AP370">
        <v>0</v>
      </c>
      <c r="AQ370">
        <v>0</v>
      </c>
      <c r="AR370">
        <v>0</v>
      </c>
      <c r="AS370">
        <v>0</v>
      </c>
      <c r="AT370">
        <v>0</v>
      </c>
      <c r="AU370">
        <v>0</v>
      </c>
      <c r="AV370">
        <v>0</v>
      </c>
      <c r="AW370">
        <v>0</v>
      </c>
      <c r="AX370">
        <v>0</v>
      </c>
      <c r="AY370">
        <v>0</v>
      </c>
      <c r="AZ370">
        <v>0</v>
      </c>
      <c r="BA370">
        <v>0</v>
      </c>
      <c r="BB370">
        <v>0</v>
      </c>
      <c r="BC370">
        <v>0</v>
      </c>
      <c r="BD370">
        <v>0</v>
      </c>
      <c r="BE370">
        <v>0</v>
      </c>
      <c r="BF370">
        <v>0</v>
      </c>
      <c r="BG370" s="185">
        <v>0</v>
      </c>
      <c r="BH370" s="185">
        <v>0</v>
      </c>
      <c r="BI370" s="185">
        <v>0</v>
      </c>
      <c r="BJ370" s="185">
        <v>0</v>
      </c>
      <c r="BK370" s="185">
        <v>0</v>
      </c>
      <c r="BL370" s="185">
        <v>0</v>
      </c>
      <c r="BM370" s="185">
        <v>0</v>
      </c>
      <c r="BN370" s="185">
        <v>0</v>
      </c>
      <c r="BO370" s="185">
        <v>0</v>
      </c>
      <c r="BP370" s="185">
        <v>0</v>
      </c>
      <c r="BQ370" s="185">
        <v>0</v>
      </c>
      <c r="BR370" s="185">
        <v>0</v>
      </c>
      <c r="BS370" s="185">
        <v>0</v>
      </c>
      <c r="BT370" s="185">
        <v>0</v>
      </c>
      <c r="BU370" t="b">
        <f>IF(_xlfn.MAXIFS(Table1[Sl No],Table1[Category],Table1[[#This Row],[Category]],Table1[Execution Year],Table1[[#This Row],[Execution Year]])=Table1[[#This Row],[Sl No]],TRUE,FALSE)</f>
        <v>0</v>
      </c>
      <c r="BV370" s="201">
        <f>SUM(Table1[[#This Row],[Spend - CAN]:[Spend - Sams]])+SUM(Table1[[#This Row],[Spend - Sams Mexico]:[Spend - Sams China]])+Table1[[#This Row],[Spend - IND]]</f>
        <v>0</v>
      </c>
      <c r="BW370">
        <f>SUM(Table1[[#This Row],[Savings - CAN]:[Savings - Sams]])+SUM(Table1[[#This Row],[Savings - Sams Mexico]:[Savings - Sams China]])+Table1[[#This Row],[Savings - IND]]</f>
        <v>0</v>
      </c>
      <c r="BX370">
        <f>SUM(Table1[[#This Row],[Spend - CAN]:[Spend - SAF]])+SUM(Table1[[#This Row],[Spend - Sams Mexico]:[Spend - Sams China]])+Table1[[#This Row],[Spend - IND]]</f>
        <v>0</v>
      </c>
      <c r="BY370">
        <f>SUM(Table1[[#This Row],[Savings - CAN]:[Savings - SAF]])+SUM(Table1[[#This Row],[Savings - Sams Mexico]:[Savings - Sams China]])+Table1[[#This Row],[Savings - IND]]</f>
        <v>0</v>
      </c>
      <c r="BZ370">
        <f>SUM(Table1[[#This Row],[Spend - US]:[Spend - Sams]])</f>
        <v>0</v>
      </c>
      <c r="CA370">
        <f>SUM(Table1[[#This Row],[Savings - US]:[Savings - Sams]])</f>
        <v>0</v>
      </c>
      <c r="CB370">
        <f>SUM(Table1[[#This Row],[Cost Avoidance - CAN2]:[Cost Avoidance - SAF10]])+SUM(Table1[[#This Row],[Cost Avoidance - Sams Mexico]:[Cost Avoidance - Sams China]])+Table1[[#This Row],[Cost Avoidance - IND]]</f>
        <v>0</v>
      </c>
      <c r="CC370">
        <f>SUM(Table1[[#This Row],[Cost Avoidance - US11]:[Cost Avoidance - Sams12]])</f>
        <v>0</v>
      </c>
      <c r="CD370" t="str">
        <f>_xlfn.XLOOKUP(Table1[[#This Row],[Status]],Status_Lookups[Status],Status_Lookups[Value],"")</f>
        <v/>
      </c>
    </row>
    <row r="371" spans="1:82">
      <c r="A371">
        <v>3</v>
      </c>
      <c r="B371" t="s">
        <v>456</v>
      </c>
      <c r="C371" t="s">
        <v>43</v>
      </c>
      <c r="D371" t="s">
        <v>322</v>
      </c>
      <c r="E371" s="15">
        <v>44621</v>
      </c>
      <c r="F371" s="15">
        <v>0</v>
      </c>
      <c r="G371" s="15">
        <v>0</v>
      </c>
      <c r="H371" s="15">
        <v>0</v>
      </c>
      <c r="I371" t="s">
        <v>458</v>
      </c>
      <c r="J371">
        <v>0</v>
      </c>
      <c r="K371" t="s">
        <v>454</v>
      </c>
      <c r="L371">
        <v>0</v>
      </c>
      <c r="M371">
        <v>0</v>
      </c>
      <c r="N371">
        <v>0</v>
      </c>
      <c r="O371">
        <v>0</v>
      </c>
      <c r="P371">
        <v>0</v>
      </c>
      <c r="Q371">
        <v>0</v>
      </c>
      <c r="R371">
        <v>0</v>
      </c>
      <c r="S371">
        <v>0</v>
      </c>
      <c r="T371">
        <v>0</v>
      </c>
      <c r="U371">
        <v>0</v>
      </c>
      <c r="V371">
        <v>0</v>
      </c>
      <c r="W371">
        <v>0</v>
      </c>
      <c r="X371" t="s">
        <v>34</v>
      </c>
      <c r="Y371" s="16">
        <v>44594.733938657409</v>
      </c>
      <c r="Z371" s="17" t="str">
        <f>_xlfn.XLOOKUP(Table1[[#This Row],[Phase]],'Lookup tables'!$Y$27:$Y$60,'Lookup tables'!$Z$27:$Z$60,"Not Updated")</f>
        <v>Exploratory</v>
      </c>
      <c r="AA371" s="17" t="s">
        <v>689</v>
      </c>
      <c r="AB371">
        <v>0</v>
      </c>
      <c r="AC371">
        <v>0</v>
      </c>
      <c r="AD371">
        <v>0</v>
      </c>
      <c r="AE371">
        <v>0</v>
      </c>
      <c r="AF371">
        <v>0</v>
      </c>
      <c r="AG371">
        <v>0</v>
      </c>
      <c r="AH371">
        <v>0</v>
      </c>
      <c r="AI371">
        <v>0</v>
      </c>
      <c r="AJ371">
        <v>0</v>
      </c>
      <c r="AK371">
        <v>0</v>
      </c>
      <c r="AL371">
        <v>0</v>
      </c>
      <c r="AM371">
        <v>0</v>
      </c>
      <c r="AN371">
        <v>0</v>
      </c>
      <c r="AO371">
        <v>0</v>
      </c>
      <c r="AP371">
        <v>0</v>
      </c>
      <c r="AQ371">
        <v>0</v>
      </c>
      <c r="AR371">
        <v>0</v>
      </c>
      <c r="AS371">
        <v>0</v>
      </c>
      <c r="AT371">
        <v>0</v>
      </c>
      <c r="AU371">
        <v>0</v>
      </c>
      <c r="AV371">
        <v>0</v>
      </c>
      <c r="AW371">
        <v>0</v>
      </c>
      <c r="AX371">
        <v>0</v>
      </c>
      <c r="AY371">
        <v>0</v>
      </c>
      <c r="AZ371">
        <v>0</v>
      </c>
      <c r="BA371">
        <v>0</v>
      </c>
      <c r="BB371">
        <v>0</v>
      </c>
      <c r="BC371">
        <v>0</v>
      </c>
      <c r="BD371">
        <v>0</v>
      </c>
      <c r="BE371">
        <v>0</v>
      </c>
      <c r="BF371">
        <v>0</v>
      </c>
      <c r="BG371" s="185">
        <v>0</v>
      </c>
      <c r="BH371" s="185">
        <v>0</v>
      </c>
      <c r="BI371" s="185">
        <v>0</v>
      </c>
      <c r="BJ371" s="185">
        <v>0</v>
      </c>
      <c r="BK371" s="185">
        <v>0</v>
      </c>
      <c r="BL371" s="185">
        <v>0</v>
      </c>
      <c r="BM371" s="185">
        <v>0</v>
      </c>
      <c r="BN371" s="185">
        <v>0</v>
      </c>
      <c r="BO371" s="185">
        <v>0</v>
      </c>
      <c r="BP371" s="185">
        <v>0</v>
      </c>
      <c r="BQ371" s="185">
        <v>0</v>
      </c>
      <c r="BR371" s="185">
        <v>0</v>
      </c>
      <c r="BS371" s="185">
        <v>0</v>
      </c>
      <c r="BT371" s="185">
        <v>0</v>
      </c>
      <c r="BU371" t="b">
        <f>IF(_xlfn.MAXIFS(Table1[Sl No],Table1[Category],Table1[[#This Row],[Category]],Table1[Execution Year],Table1[[#This Row],[Execution Year]])=Table1[[#This Row],[Sl No]],TRUE,FALSE)</f>
        <v>0</v>
      </c>
      <c r="BV371" s="201">
        <f>SUM(Table1[[#This Row],[Spend - CAN]:[Spend - Sams]])+SUM(Table1[[#This Row],[Spend - Sams Mexico]:[Spend - Sams China]])+Table1[[#This Row],[Spend - IND]]</f>
        <v>0</v>
      </c>
      <c r="BW371">
        <f>SUM(Table1[[#This Row],[Savings - CAN]:[Savings - Sams]])+SUM(Table1[[#This Row],[Savings - Sams Mexico]:[Savings - Sams China]])+Table1[[#This Row],[Savings - IND]]</f>
        <v>0</v>
      </c>
      <c r="BX371">
        <f>SUM(Table1[[#This Row],[Spend - CAN]:[Spend - SAF]])+SUM(Table1[[#This Row],[Spend - Sams Mexico]:[Spend - Sams China]])+Table1[[#This Row],[Spend - IND]]</f>
        <v>0</v>
      </c>
      <c r="BY371">
        <f>SUM(Table1[[#This Row],[Savings - CAN]:[Savings - SAF]])+SUM(Table1[[#This Row],[Savings - Sams Mexico]:[Savings - Sams China]])+Table1[[#This Row],[Savings - IND]]</f>
        <v>0</v>
      </c>
      <c r="BZ371">
        <f>SUM(Table1[[#This Row],[Spend - US]:[Spend - Sams]])</f>
        <v>0</v>
      </c>
      <c r="CA371">
        <f>SUM(Table1[[#This Row],[Savings - US]:[Savings - Sams]])</f>
        <v>0</v>
      </c>
      <c r="CB371">
        <f>SUM(Table1[[#This Row],[Cost Avoidance - CAN2]:[Cost Avoidance - SAF10]])+SUM(Table1[[#This Row],[Cost Avoidance - Sams Mexico]:[Cost Avoidance - Sams China]])+Table1[[#This Row],[Cost Avoidance - IND]]</f>
        <v>0</v>
      </c>
      <c r="CC371">
        <f>SUM(Table1[[#This Row],[Cost Avoidance - US11]:[Cost Avoidance - Sams12]])</f>
        <v>0</v>
      </c>
      <c r="CD371" t="str">
        <f>_xlfn.XLOOKUP(Table1[[#This Row],[Status]],Status_Lookups[Status],Status_Lookups[Value],"")</f>
        <v/>
      </c>
    </row>
    <row r="372" spans="1:82">
      <c r="A372">
        <v>4</v>
      </c>
      <c r="B372" t="s">
        <v>456</v>
      </c>
      <c r="C372" t="s">
        <v>43</v>
      </c>
      <c r="D372" t="s">
        <v>322</v>
      </c>
      <c r="E372" s="15">
        <v>44593</v>
      </c>
      <c r="F372" s="15">
        <v>0</v>
      </c>
      <c r="G372" s="15">
        <v>0</v>
      </c>
      <c r="H372" s="15">
        <v>0</v>
      </c>
      <c r="I372" t="s">
        <v>484</v>
      </c>
      <c r="J372">
        <v>0</v>
      </c>
      <c r="K372" t="s">
        <v>454</v>
      </c>
      <c r="L372">
        <v>0</v>
      </c>
      <c r="W372">
        <v>863000000</v>
      </c>
      <c r="X372" t="s">
        <v>78</v>
      </c>
      <c r="Y372" s="16">
        <v>44600.453163310187</v>
      </c>
      <c r="Z372" s="17" t="str">
        <f>_xlfn.XLOOKUP(Table1[[#This Row],[Phase]],'Lookup tables'!$Y$27:$Y$60,'Lookup tables'!$Z$27:$Z$60,"Not Updated")</f>
        <v>Bid Prep</v>
      </c>
      <c r="AA372" s="17" t="s">
        <v>689</v>
      </c>
      <c r="AB372">
        <v>0</v>
      </c>
      <c r="AC372">
        <v>0</v>
      </c>
      <c r="AD372">
        <v>0</v>
      </c>
      <c r="AE372">
        <v>0</v>
      </c>
      <c r="AF372">
        <v>0</v>
      </c>
      <c r="AG372">
        <v>0</v>
      </c>
      <c r="AH372">
        <v>0</v>
      </c>
      <c r="AI372">
        <v>0</v>
      </c>
      <c r="AJ372">
        <v>0</v>
      </c>
      <c r="AK372">
        <v>0</v>
      </c>
      <c r="AL372">
        <v>0</v>
      </c>
      <c r="AM372">
        <v>0</v>
      </c>
      <c r="AN372">
        <v>0</v>
      </c>
      <c r="AO372">
        <v>0</v>
      </c>
      <c r="AP372">
        <v>0</v>
      </c>
      <c r="AQ372">
        <v>0</v>
      </c>
      <c r="AR372">
        <v>0</v>
      </c>
      <c r="AS372">
        <v>0</v>
      </c>
      <c r="AT372">
        <v>0</v>
      </c>
      <c r="AU372">
        <v>0</v>
      </c>
      <c r="AV372">
        <v>0</v>
      </c>
      <c r="AW372">
        <v>0</v>
      </c>
      <c r="AX372">
        <v>0</v>
      </c>
      <c r="AY372">
        <v>0</v>
      </c>
      <c r="AZ372">
        <v>0</v>
      </c>
      <c r="BA372">
        <v>0</v>
      </c>
      <c r="BB372">
        <v>0</v>
      </c>
      <c r="BC372">
        <v>0</v>
      </c>
      <c r="BD372">
        <v>0</v>
      </c>
      <c r="BE372">
        <v>0</v>
      </c>
      <c r="BF372">
        <v>0</v>
      </c>
      <c r="BG372" s="185">
        <v>0</v>
      </c>
      <c r="BH372" s="185">
        <v>0</v>
      </c>
      <c r="BI372" s="185">
        <v>0</v>
      </c>
      <c r="BJ372" s="185">
        <v>0</v>
      </c>
      <c r="BK372" s="185">
        <v>0</v>
      </c>
      <c r="BL372" s="185">
        <v>0</v>
      </c>
      <c r="BM372" s="185">
        <v>0</v>
      </c>
      <c r="BN372" s="185">
        <v>0</v>
      </c>
      <c r="BO372" s="185">
        <v>0</v>
      </c>
      <c r="BP372" s="185">
        <v>0</v>
      </c>
      <c r="BQ372" s="185">
        <v>0</v>
      </c>
      <c r="BR372" s="185">
        <v>0</v>
      </c>
      <c r="BS372" s="185">
        <v>0</v>
      </c>
      <c r="BT372" s="185">
        <v>0</v>
      </c>
      <c r="BU372" t="b">
        <f>IF(_xlfn.MAXIFS(Table1[Sl No],Table1[Category],Table1[[#This Row],[Category]],Table1[Execution Year],Table1[[#This Row],[Execution Year]])=Table1[[#This Row],[Sl No]],TRUE,FALSE)</f>
        <v>0</v>
      </c>
      <c r="BV372" s="201">
        <f>SUM(Table1[[#This Row],[Spend - CAN]:[Spend - Sams]])+SUM(Table1[[#This Row],[Spend - Sams Mexico]:[Spend - Sams China]])+Table1[[#This Row],[Spend - IND]]</f>
        <v>863000000</v>
      </c>
      <c r="BW372">
        <f>SUM(Table1[[#This Row],[Savings - CAN]:[Savings - Sams]])+SUM(Table1[[#This Row],[Savings - Sams Mexico]:[Savings - Sams China]])+Table1[[#This Row],[Savings - IND]]</f>
        <v>0</v>
      </c>
      <c r="BX372">
        <f>SUM(Table1[[#This Row],[Spend - CAN]:[Spend - SAF]])+SUM(Table1[[#This Row],[Spend - Sams Mexico]:[Spend - Sams China]])+Table1[[#This Row],[Spend - IND]]</f>
        <v>0</v>
      </c>
      <c r="BY372">
        <f>SUM(Table1[[#This Row],[Savings - CAN]:[Savings - SAF]])+SUM(Table1[[#This Row],[Savings - Sams Mexico]:[Savings - Sams China]])+Table1[[#This Row],[Savings - IND]]</f>
        <v>0</v>
      </c>
      <c r="BZ372">
        <f>SUM(Table1[[#This Row],[Spend - US]:[Spend - Sams]])</f>
        <v>863000000</v>
      </c>
      <c r="CA372">
        <f>SUM(Table1[[#This Row],[Savings - US]:[Savings - Sams]])</f>
        <v>0</v>
      </c>
      <c r="CB372">
        <f>SUM(Table1[[#This Row],[Cost Avoidance - CAN2]:[Cost Avoidance - SAF10]])+SUM(Table1[[#This Row],[Cost Avoidance - Sams Mexico]:[Cost Avoidance - Sams China]])+Table1[[#This Row],[Cost Avoidance - IND]]</f>
        <v>0</v>
      </c>
      <c r="CC372">
        <f>SUM(Table1[[#This Row],[Cost Avoidance - US11]:[Cost Avoidance - Sams12]])</f>
        <v>0</v>
      </c>
      <c r="CD372" t="str">
        <f>_xlfn.XLOOKUP(Table1[[#This Row],[Status]],Status_Lookups[Status],Status_Lookups[Value],"")</f>
        <v/>
      </c>
    </row>
    <row r="373" spans="1:82">
      <c r="A373">
        <v>5</v>
      </c>
      <c r="B373" t="s">
        <v>456</v>
      </c>
      <c r="C373" t="s">
        <v>43</v>
      </c>
      <c r="D373" t="s">
        <v>322</v>
      </c>
      <c r="E373" s="15">
        <v>44593</v>
      </c>
      <c r="F373" s="15">
        <v>44713</v>
      </c>
      <c r="G373" s="15">
        <v>0</v>
      </c>
      <c r="H373" s="15">
        <v>0</v>
      </c>
      <c r="I373" t="s">
        <v>484</v>
      </c>
      <c r="J373">
        <v>0</v>
      </c>
      <c r="K373" t="s">
        <v>454</v>
      </c>
      <c r="L373">
        <v>0</v>
      </c>
      <c r="W373">
        <v>863000000</v>
      </c>
      <c r="X373" t="s">
        <v>78</v>
      </c>
      <c r="Y373" s="16">
        <v>44600.455629745367</v>
      </c>
      <c r="Z373" s="17" t="str">
        <f>_xlfn.XLOOKUP(Table1[[#This Row],[Phase]],'Lookup tables'!$Y$27:$Y$60,'Lookup tables'!$Z$27:$Z$60,"Not Updated")</f>
        <v>Bid Prep</v>
      </c>
      <c r="AA373" s="17" t="s">
        <v>689</v>
      </c>
      <c r="AB373">
        <v>0</v>
      </c>
      <c r="AC373">
        <v>0</v>
      </c>
      <c r="AD373">
        <v>0</v>
      </c>
      <c r="AE373">
        <v>0</v>
      </c>
      <c r="AF373">
        <v>0</v>
      </c>
      <c r="AG373">
        <v>0</v>
      </c>
      <c r="AH373">
        <v>0</v>
      </c>
      <c r="AI373">
        <v>0</v>
      </c>
      <c r="AJ373">
        <v>0</v>
      </c>
      <c r="AK373">
        <v>0</v>
      </c>
      <c r="AL373">
        <v>0</v>
      </c>
      <c r="AM373">
        <v>0</v>
      </c>
      <c r="AN373">
        <v>0</v>
      </c>
      <c r="AO373">
        <v>0</v>
      </c>
      <c r="AP373">
        <v>0</v>
      </c>
      <c r="AQ373">
        <v>0</v>
      </c>
      <c r="AR373">
        <v>0</v>
      </c>
      <c r="AS373">
        <v>0</v>
      </c>
      <c r="AT373">
        <v>0</v>
      </c>
      <c r="AU373">
        <v>0</v>
      </c>
      <c r="AV373">
        <v>0</v>
      </c>
      <c r="AW373">
        <v>0</v>
      </c>
      <c r="AX373">
        <v>0</v>
      </c>
      <c r="AY373">
        <v>0</v>
      </c>
      <c r="AZ373">
        <v>0</v>
      </c>
      <c r="BA373">
        <v>0</v>
      </c>
      <c r="BB373">
        <v>0</v>
      </c>
      <c r="BC373">
        <v>0</v>
      </c>
      <c r="BD373">
        <v>0</v>
      </c>
      <c r="BE373">
        <v>0</v>
      </c>
      <c r="BF373">
        <v>0</v>
      </c>
      <c r="BG373" s="185">
        <v>0</v>
      </c>
      <c r="BH373" s="185">
        <v>0</v>
      </c>
      <c r="BI373" s="185">
        <v>0</v>
      </c>
      <c r="BJ373" s="185">
        <v>0</v>
      </c>
      <c r="BK373" s="185">
        <v>0</v>
      </c>
      <c r="BL373" s="185">
        <v>0</v>
      </c>
      <c r="BM373" s="185">
        <v>0</v>
      </c>
      <c r="BN373" s="185">
        <v>0</v>
      </c>
      <c r="BO373" s="185">
        <v>0</v>
      </c>
      <c r="BP373" s="185">
        <v>0</v>
      </c>
      <c r="BQ373" s="185">
        <v>0</v>
      </c>
      <c r="BR373" s="185">
        <v>0</v>
      </c>
      <c r="BS373" s="185">
        <v>0</v>
      </c>
      <c r="BT373" s="185">
        <v>0</v>
      </c>
      <c r="BU373" t="b">
        <f>IF(_xlfn.MAXIFS(Table1[Sl No],Table1[Category],Table1[[#This Row],[Category]],Table1[Execution Year],Table1[[#This Row],[Execution Year]])=Table1[[#This Row],[Sl No]],TRUE,FALSE)</f>
        <v>0</v>
      </c>
      <c r="BV373" s="201">
        <f>SUM(Table1[[#This Row],[Spend - CAN]:[Spend - Sams]])+SUM(Table1[[#This Row],[Spend - Sams Mexico]:[Spend - Sams China]])+Table1[[#This Row],[Spend - IND]]</f>
        <v>863000000</v>
      </c>
      <c r="BW373">
        <f>SUM(Table1[[#This Row],[Savings - CAN]:[Savings - Sams]])+SUM(Table1[[#This Row],[Savings - Sams Mexico]:[Savings - Sams China]])+Table1[[#This Row],[Savings - IND]]</f>
        <v>0</v>
      </c>
      <c r="BX373">
        <f>SUM(Table1[[#This Row],[Spend - CAN]:[Spend - SAF]])+SUM(Table1[[#This Row],[Spend - Sams Mexico]:[Spend - Sams China]])+Table1[[#This Row],[Spend - IND]]</f>
        <v>0</v>
      </c>
      <c r="BY373">
        <f>SUM(Table1[[#This Row],[Savings - CAN]:[Savings - SAF]])+SUM(Table1[[#This Row],[Savings - Sams Mexico]:[Savings - Sams China]])+Table1[[#This Row],[Savings - IND]]</f>
        <v>0</v>
      </c>
      <c r="BZ373">
        <f>SUM(Table1[[#This Row],[Spend - US]:[Spend - Sams]])</f>
        <v>863000000</v>
      </c>
      <c r="CA373">
        <f>SUM(Table1[[#This Row],[Savings - US]:[Savings - Sams]])</f>
        <v>0</v>
      </c>
      <c r="CB373">
        <f>SUM(Table1[[#This Row],[Cost Avoidance - CAN2]:[Cost Avoidance - SAF10]])+SUM(Table1[[#This Row],[Cost Avoidance - Sams Mexico]:[Cost Avoidance - Sams China]])+Table1[[#This Row],[Cost Avoidance - IND]]</f>
        <v>0</v>
      </c>
      <c r="CC373">
        <f>SUM(Table1[[#This Row],[Cost Avoidance - US11]:[Cost Avoidance - Sams12]])</f>
        <v>0</v>
      </c>
      <c r="CD373" t="str">
        <f>_xlfn.XLOOKUP(Table1[[#This Row],[Status]],Status_Lookups[Status],Status_Lookups[Value],"")</f>
        <v/>
      </c>
    </row>
    <row r="374" spans="1:82">
      <c r="A374">
        <v>6</v>
      </c>
      <c r="B374" t="s">
        <v>456</v>
      </c>
      <c r="C374" t="s">
        <v>43</v>
      </c>
      <c r="D374" t="s">
        <v>322</v>
      </c>
      <c r="E374" s="15">
        <v>44652</v>
      </c>
      <c r="F374" s="15">
        <v>44713</v>
      </c>
      <c r="G374" s="15">
        <v>0</v>
      </c>
      <c r="H374" s="15">
        <v>0</v>
      </c>
      <c r="I374" t="s">
        <v>484</v>
      </c>
      <c r="J374">
        <v>0</v>
      </c>
      <c r="K374" t="s">
        <v>454</v>
      </c>
      <c r="L374">
        <v>0</v>
      </c>
      <c r="W374">
        <v>863000000</v>
      </c>
      <c r="X374" t="s">
        <v>78</v>
      </c>
      <c r="Y374" s="16">
        <v>44600.456078124997</v>
      </c>
      <c r="Z374" s="17" t="str">
        <f>_xlfn.XLOOKUP(Table1[[#This Row],[Phase]],'Lookup tables'!$Y$27:$Y$60,'Lookup tables'!$Z$27:$Z$60,"Not Updated")</f>
        <v>Bid Prep</v>
      </c>
      <c r="AA374" s="17" t="s">
        <v>689</v>
      </c>
      <c r="AB374">
        <v>0</v>
      </c>
      <c r="AC374">
        <v>0</v>
      </c>
      <c r="AD374">
        <v>0</v>
      </c>
      <c r="AE374">
        <v>0</v>
      </c>
      <c r="AF374">
        <v>0</v>
      </c>
      <c r="AG374">
        <v>0</v>
      </c>
      <c r="AH374">
        <v>0</v>
      </c>
      <c r="AI374">
        <v>0</v>
      </c>
      <c r="AJ374">
        <v>0</v>
      </c>
      <c r="AK374">
        <v>0</v>
      </c>
      <c r="AL374">
        <v>0</v>
      </c>
      <c r="AM374">
        <v>0</v>
      </c>
      <c r="AN374">
        <v>0</v>
      </c>
      <c r="AO374">
        <v>0</v>
      </c>
      <c r="AP374">
        <v>0</v>
      </c>
      <c r="AQ374">
        <v>0</v>
      </c>
      <c r="AR374">
        <v>0</v>
      </c>
      <c r="AS374">
        <v>0</v>
      </c>
      <c r="AT374">
        <v>0</v>
      </c>
      <c r="AU374">
        <v>0</v>
      </c>
      <c r="AV374">
        <v>0</v>
      </c>
      <c r="AW374">
        <v>0</v>
      </c>
      <c r="AX374">
        <v>0</v>
      </c>
      <c r="AY374">
        <v>0</v>
      </c>
      <c r="AZ374">
        <v>0</v>
      </c>
      <c r="BA374">
        <v>0</v>
      </c>
      <c r="BB374">
        <v>0</v>
      </c>
      <c r="BC374">
        <v>0</v>
      </c>
      <c r="BD374">
        <v>0</v>
      </c>
      <c r="BE374">
        <v>0</v>
      </c>
      <c r="BF374">
        <v>0</v>
      </c>
      <c r="BG374" s="185">
        <v>0</v>
      </c>
      <c r="BH374" s="185">
        <v>0</v>
      </c>
      <c r="BI374" s="185">
        <v>0</v>
      </c>
      <c r="BJ374" s="185">
        <v>0</v>
      </c>
      <c r="BK374" s="185">
        <v>0</v>
      </c>
      <c r="BL374" s="185">
        <v>0</v>
      </c>
      <c r="BM374" s="185">
        <v>0</v>
      </c>
      <c r="BN374" s="185">
        <v>0</v>
      </c>
      <c r="BO374" s="185">
        <v>0</v>
      </c>
      <c r="BP374" s="185">
        <v>0</v>
      </c>
      <c r="BQ374" s="185">
        <v>0</v>
      </c>
      <c r="BR374" s="185">
        <v>0</v>
      </c>
      <c r="BS374" s="185">
        <v>0</v>
      </c>
      <c r="BT374" s="185">
        <v>0</v>
      </c>
      <c r="BU374" t="b">
        <f>IF(_xlfn.MAXIFS(Table1[Sl No],Table1[Category],Table1[[#This Row],[Category]],Table1[Execution Year],Table1[[#This Row],[Execution Year]])=Table1[[#This Row],[Sl No]],TRUE,FALSE)</f>
        <v>0</v>
      </c>
      <c r="BV374" s="201">
        <f>SUM(Table1[[#This Row],[Spend - CAN]:[Spend - Sams]])+SUM(Table1[[#This Row],[Spend - Sams Mexico]:[Spend - Sams China]])+Table1[[#This Row],[Spend - IND]]</f>
        <v>863000000</v>
      </c>
      <c r="BW374">
        <f>SUM(Table1[[#This Row],[Savings - CAN]:[Savings - Sams]])+SUM(Table1[[#This Row],[Savings - Sams Mexico]:[Savings - Sams China]])+Table1[[#This Row],[Savings - IND]]</f>
        <v>0</v>
      </c>
      <c r="BX374">
        <f>SUM(Table1[[#This Row],[Spend - CAN]:[Spend - SAF]])+SUM(Table1[[#This Row],[Spend - Sams Mexico]:[Spend - Sams China]])+Table1[[#This Row],[Spend - IND]]</f>
        <v>0</v>
      </c>
      <c r="BY374">
        <f>SUM(Table1[[#This Row],[Savings - CAN]:[Savings - SAF]])+SUM(Table1[[#This Row],[Savings - Sams Mexico]:[Savings - Sams China]])+Table1[[#This Row],[Savings - IND]]</f>
        <v>0</v>
      </c>
      <c r="BZ374">
        <f>SUM(Table1[[#This Row],[Spend - US]:[Spend - Sams]])</f>
        <v>863000000</v>
      </c>
      <c r="CA374">
        <f>SUM(Table1[[#This Row],[Savings - US]:[Savings - Sams]])</f>
        <v>0</v>
      </c>
      <c r="CB374">
        <f>SUM(Table1[[#This Row],[Cost Avoidance - CAN2]:[Cost Avoidance - SAF10]])+SUM(Table1[[#This Row],[Cost Avoidance - Sams Mexico]:[Cost Avoidance - Sams China]])+Table1[[#This Row],[Cost Avoidance - IND]]</f>
        <v>0</v>
      </c>
      <c r="CC374">
        <f>SUM(Table1[[#This Row],[Cost Avoidance - US11]:[Cost Avoidance - Sams12]])</f>
        <v>0</v>
      </c>
      <c r="CD374" t="str">
        <f>_xlfn.XLOOKUP(Table1[[#This Row],[Status]],Status_Lookups[Status],Status_Lookups[Value],"")</f>
        <v/>
      </c>
    </row>
    <row r="375" spans="1:82">
      <c r="A375">
        <v>7</v>
      </c>
      <c r="B375" t="s">
        <v>456</v>
      </c>
      <c r="C375" t="s">
        <v>43</v>
      </c>
      <c r="D375" t="s">
        <v>322</v>
      </c>
      <c r="E375" s="15">
        <v>44652</v>
      </c>
      <c r="F375" s="15">
        <v>44743</v>
      </c>
      <c r="G375" s="15">
        <v>0</v>
      </c>
      <c r="H375" s="15">
        <v>0</v>
      </c>
      <c r="I375" t="s">
        <v>484</v>
      </c>
      <c r="J375">
        <v>0</v>
      </c>
      <c r="K375" t="s">
        <v>454</v>
      </c>
      <c r="L375">
        <v>0</v>
      </c>
      <c r="W375">
        <v>863000000</v>
      </c>
      <c r="X375" t="s">
        <v>78</v>
      </c>
      <c r="Y375" s="16">
        <v>44600.461350115744</v>
      </c>
      <c r="Z375" s="17" t="str">
        <f>_xlfn.XLOOKUP(Table1[[#This Row],[Phase]],'Lookup tables'!$Y$27:$Y$60,'Lookup tables'!$Z$27:$Z$60,"Not Updated")</f>
        <v>Bid Prep</v>
      </c>
      <c r="AA375" s="17" t="s">
        <v>689</v>
      </c>
      <c r="AB375">
        <v>0</v>
      </c>
      <c r="AC375">
        <v>0</v>
      </c>
      <c r="AD375">
        <v>0</v>
      </c>
      <c r="AE375">
        <v>0</v>
      </c>
      <c r="AF375">
        <v>0</v>
      </c>
      <c r="AG375">
        <v>0</v>
      </c>
      <c r="AH375">
        <v>0</v>
      </c>
      <c r="AI375">
        <v>0</v>
      </c>
      <c r="AJ375">
        <v>0</v>
      </c>
      <c r="AK375">
        <v>0</v>
      </c>
      <c r="AL375">
        <v>0</v>
      </c>
      <c r="AM375">
        <v>0</v>
      </c>
      <c r="AN375">
        <v>0</v>
      </c>
      <c r="AO375">
        <v>0</v>
      </c>
      <c r="AP375">
        <v>0</v>
      </c>
      <c r="AQ375">
        <v>0</v>
      </c>
      <c r="AR375">
        <v>0</v>
      </c>
      <c r="AS375">
        <v>0</v>
      </c>
      <c r="AT375">
        <v>0</v>
      </c>
      <c r="AU375">
        <v>0</v>
      </c>
      <c r="AV375">
        <v>0</v>
      </c>
      <c r="AW375">
        <v>0</v>
      </c>
      <c r="AX375">
        <v>0</v>
      </c>
      <c r="AY375">
        <v>0</v>
      </c>
      <c r="AZ375">
        <v>0</v>
      </c>
      <c r="BA375">
        <v>0</v>
      </c>
      <c r="BB375">
        <v>0</v>
      </c>
      <c r="BC375">
        <v>0</v>
      </c>
      <c r="BD375">
        <v>0</v>
      </c>
      <c r="BE375">
        <v>0</v>
      </c>
      <c r="BF375">
        <v>0</v>
      </c>
      <c r="BG375" s="185">
        <v>0</v>
      </c>
      <c r="BH375" s="185">
        <v>0</v>
      </c>
      <c r="BI375" s="185">
        <v>0</v>
      </c>
      <c r="BJ375" s="185">
        <v>0</v>
      </c>
      <c r="BK375" s="185">
        <v>0</v>
      </c>
      <c r="BL375" s="185">
        <v>0</v>
      </c>
      <c r="BM375" s="185">
        <v>0</v>
      </c>
      <c r="BN375" s="185">
        <v>0</v>
      </c>
      <c r="BO375" s="185">
        <v>0</v>
      </c>
      <c r="BP375" s="185">
        <v>0</v>
      </c>
      <c r="BQ375" s="185">
        <v>0</v>
      </c>
      <c r="BR375" s="185">
        <v>0</v>
      </c>
      <c r="BS375" s="185">
        <v>0</v>
      </c>
      <c r="BT375" s="185">
        <v>0</v>
      </c>
      <c r="BU375" t="b">
        <f>IF(_xlfn.MAXIFS(Table1[Sl No],Table1[Category],Table1[[#This Row],[Category]],Table1[Execution Year],Table1[[#This Row],[Execution Year]])=Table1[[#This Row],[Sl No]],TRUE,FALSE)</f>
        <v>0</v>
      </c>
      <c r="BV375" s="201">
        <f>SUM(Table1[[#This Row],[Spend - CAN]:[Spend - Sams]])+SUM(Table1[[#This Row],[Spend - Sams Mexico]:[Spend - Sams China]])+Table1[[#This Row],[Spend - IND]]</f>
        <v>863000000</v>
      </c>
      <c r="BW375">
        <f>SUM(Table1[[#This Row],[Savings - CAN]:[Savings - Sams]])+SUM(Table1[[#This Row],[Savings - Sams Mexico]:[Savings - Sams China]])+Table1[[#This Row],[Savings - IND]]</f>
        <v>0</v>
      </c>
      <c r="BX375">
        <f>SUM(Table1[[#This Row],[Spend - CAN]:[Spend - SAF]])+SUM(Table1[[#This Row],[Spend - Sams Mexico]:[Spend - Sams China]])+Table1[[#This Row],[Spend - IND]]</f>
        <v>0</v>
      </c>
      <c r="BY375">
        <f>SUM(Table1[[#This Row],[Savings - CAN]:[Savings - SAF]])+SUM(Table1[[#This Row],[Savings - Sams Mexico]:[Savings - Sams China]])+Table1[[#This Row],[Savings - IND]]</f>
        <v>0</v>
      </c>
      <c r="BZ375">
        <f>SUM(Table1[[#This Row],[Spend - US]:[Spend - Sams]])</f>
        <v>863000000</v>
      </c>
      <c r="CA375">
        <f>SUM(Table1[[#This Row],[Savings - US]:[Savings - Sams]])</f>
        <v>0</v>
      </c>
      <c r="CB375">
        <f>SUM(Table1[[#This Row],[Cost Avoidance - CAN2]:[Cost Avoidance - SAF10]])+SUM(Table1[[#This Row],[Cost Avoidance - Sams Mexico]:[Cost Avoidance - Sams China]])+Table1[[#This Row],[Cost Avoidance - IND]]</f>
        <v>0</v>
      </c>
      <c r="CC375">
        <f>SUM(Table1[[#This Row],[Cost Avoidance - US11]:[Cost Avoidance - Sams12]])</f>
        <v>0</v>
      </c>
      <c r="CD375" t="str">
        <f>_xlfn.XLOOKUP(Table1[[#This Row],[Status]],Status_Lookups[Status],Status_Lookups[Value],"")</f>
        <v/>
      </c>
    </row>
    <row r="376" spans="1:82">
      <c r="A376">
        <v>8</v>
      </c>
      <c r="B376" t="s">
        <v>456</v>
      </c>
      <c r="C376" t="s">
        <v>43</v>
      </c>
      <c r="D376" t="s">
        <v>322</v>
      </c>
      <c r="E376" s="15">
        <v>44713</v>
      </c>
      <c r="F376" s="15">
        <v>44865</v>
      </c>
      <c r="G376" s="15">
        <v>0</v>
      </c>
      <c r="H376" s="15">
        <v>0</v>
      </c>
      <c r="I376" t="s">
        <v>484</v>
      </c>
      <c r="J376">
        <v>0</v>
      </c>
      <c r="K376" t="s">
        <v>454</v>
      </c>
      <c r="L376">
        <v>0</v>
      </c>
      <c r="M376">
        <v>0</v>
      </c>
      <c r="N376">
        <v>0</v>
      </c>
      <c r="O376">
        <v>0</v>
      </c>
      <c r="P376">
        <v>0</v>
      </c>
      <c r="Q376">
        <v>0</v>
      </c>
      <c r="R376">
        <v>0</v>
      </c>
      <c r="S376">
        <v>0</v>
      </c>
      <c r="T376">
        <v>0</v>
      </c>
      <c r="U376">
        <v>0</v>
      </c>
      <c r="V376">
        <v>0</v>
      </c>
      <c r="W376">
        <v>863000000</v>
      </c>
      <c r="X376" t="s">
        <v>78</v>
      </c>
      <c r="Y376" s="16">
        <v>44622.337382754631</v>
      </c>
      <c r="Z376" s="17" t="str">
        <f>_xlfn.XLOOKUP(Table1[[#This Row],[Phase]],'Lookup tables'!$Y$27:$Y$60,'Lookup tables'!$Z$27:$Z$60,"Not Updated")</f>
        <v>Bid Prep</v>
      </c>
      <c r="AA376" s="17" t="s">
        <v>689</v>
      </c>
      <c r="AB376">
        <v>0</v>
      </c>
      <c r="AC376">
        <v>0</v>
      </c>
      <c r="AD376">
        <v>0</v>
      </c>
      <c r="AE376">
        <v>0</v>
      </c>
      <c r="AF376">
        <v>0</v>
      </c>
      <c r="AG376">
        <v>0</v>
      </c>
      <c r="AH376">
        <v>0</v>
      </c>
      <c r="AI376">
        <v>0</v>
      </c>
      <c r="AJ376">
        <v>0</v>
      </c>
      <c r="AK376">
        <v>0</v>
      </c>
      <c r="AL376">
        <v>0</v>
      </c>
      <c r="AM376">
        <v>0</v>
      </c>
      <c r="AN376">
        <v>0</v>
      </c>
      <c r="AO376">
        <v>0</v>
      </c>
      <c r="AP376">
        <v>0</v>
      </c>
      <c r="AQ376">
        <v>0</v>
      </c>
      <c r="AR376">
        <v>0</v>
      </c>
      <c r="AS376">
        <v>0</v>
      </c>
      <c r="AT376">
        <v>0</v>
      </c>
      <c r="AU376">
        <v>0</v>
      </c>
      <c r="AV376">
        <v>0</v>
      </c>
      <c r="AW376">
        <v>0</v>
      </c>
      <c r="AX376">
        <v>0</v>
      </c>
      <c r="AY376">
        <v>0</v>
      </c>
      <c r="AZ376">
        <v>0</v>
      </c>
      <c r="BA376">
        <v>0</v>
      </c>
      <c r="BB376">
        <v>0</v>
      </c>
      <c r="BC376">
        <v>0</v>
      </c>
      <c r="BD376">
        <v>0</v>
      </c>
      <c r="BE376">
        <v>0</v>
      </c>
      <c r="BF376">
        <v>0</v>
      </c>
      <c r="BG376" s="185">
        <v>0</v>
      </c>
      <c r="BH376" s="185">
        <v>0</v>
      </c>
      <c r="BI376" s="185">
        <v>0</v>
      </c>
      <c r="BJ376" s="185">
        <v>0</v>
      </c>
      <c r="BK376" s="185">
        <v>0</v>
      </c>
      <c r="BL376" s="185">
        <v>0</v>
      </c>
      <c r="BM376" s="185">
        <v>0</v>
      </c>
      <c r="BN376" s="185">
        <v>0</v>
      </c>
      <c r="BO376" s="185">
        <v>0</v>
      </c>
      <c r="BP376" s="185">
        <v>0</v>
      </c>
      <c r="BQ376" s="185">
        <v>0</v>
      </c>
      <c r="BR376" s="185">
        <v>0</v>
      </c>
      <c r="BS376" s="185">
        <v>0</v>
      </c>
      <c r="BT376" s="185">
        <v>0</v>
      </c>
      <c r="BU376" t="b">
        <f>IF(_xlfn.MAXIFS(Table1[Sl No],Table1[Category],Table1[[#This Row],[Category]],Table1[Execution Year],Table1[[#This Row],[Execution Year]])=Table1[[#This Row],[Sl No]],TRUE,FALSE)</f>
        <v>0</v>
      </c>
      <c r="BV376" s="201">
        <f>SUM(Table1[[#This Row],[Spend - CAN]:[Spend - Sams]])+SUM(Table1[[#This Row],[Spend - Sams Mexico]:[Spend - Sams China]])+Table1[[#This Row],[Spend - IND]]</f>
        <v>863000000</v>
      </c>
      <c r="BW376">
        <f>SUM(Table1[[#This Row],[Savings - CAN]:[Savings - Sams]])+SUM(Table1[[#This Row],[Savings - Sams Mexico]:[Savings - Sams China]])+Table1[[#This Row],[Savings - IND]]</f>
        <v>0</v>
      </c>
      <c r="BX376">
        <f>SUM(Table1[[#This Row],[Spend - CAN]:[Spend - SAF]])+SUM(Table1[[#This Row],[Spend - Sams Mexico]:[Spend - Sams China]])+Table1[[#This Row],[Spend - IND]]</f>
        <v>0</v>
      </c>
      <c r="BY376">
        <f>SUM(Table1[[#This Row],[Savings - CAN]:[Savings - SAF]])+SUM(Table1[[#This Row],[Savings - Sams Mexico]:[Savings - Sams China]])+Table1[[#This Row],[Savings - IND]]</f>
        <v>0</v>
      </c>
      <c r="BZ376">
        <f>SUM(Table1[[#This Row],[Spend - US]:[Spend - Sams]])</f>
        <v>863000000</v>
      </c>
      <c r="CA376">
        <f>SUM(Table1[[#This Row],[Savings - US]:[Savings - Sams]])</f>
        <v>0</v>
      </c>
      <c r="CB376">
        <f>SUM(Table1[[#This Row],[Cost Avoidance - CAN2]:[Cost Avoidance - SAF10]])+SUM(Table1[[#This Row],[Cost Avoidance - Sams Mexico]:[Cost Avoidance - Sams China]])+Table1[[#This Row],[Cost Avoidance - IND]]</f>
        <v>0</v>
      </c>
      <c r="CC376">
        <f>SUM(Table1[[#This Row],[Cost Avoidance - US11]:[Cost Avoidance - Sams12]])</f>
        <v>0</v>
      </c>
      <c r="CD376" t="str">
        <f>_xlfn.XLOOKUP(Table1[[#This Row],[Status]],Status_Lookups[Status],Status_Lookups[Value],"")</f>
        <v/>
      </c>
    </row>
    <row r="377" spans="1:82">
      <c r="A377">
        <v>9</v>
      </c>
      <c r="B377" t="s">
        <v>456</v>
      </c>
      <c r="C377" t="s">
        <v>43</v>
      </c>
      <c r="D377" t="s">
        <v>322</v>
      </c>
      <c r="E377" s="15">
        <v>44713</v>
      </c>
      <c r="F377" s="15">
        <v>44834</v>
      </c>
      <c r="G377" s="15">
        <v>0</v>
      </c>
      <c r="H377" s="15">
        <v>0</v>
      </c>
      <c r="I377" t="s">
        <v>484</v>
      </c>
      <c r="J377">
        <v>0</v>
      </c>
      <c r="K377" t="s">
        <v>454</v>
      </c>
      <c r="L377">
        <v>0</v>
      </c>
      <c r="M377">
        <v>0</v>
      </c>
      <c r="N377">
        <v>0</v>
      </c>
      <c r="O377">
        <v>0</v>
      </c>
      <c r="P377">
        <v>0</v>
      </c>
      <c r="Q377">
        <v>0</v>
      </c>
      <c r="R377">
        <v>0</v>
      </c>
      <c r="S377">
        <v>0</v>
      </c>
      <c r="T377">
        <v>0</v>
      </c>
      <c r="U377">
        <v>0</v>
      </c>
      <c r="V377">
        <v>0</v>
      </c>
      <c r="W377">
        <v>863000000</v>
      </c>
      <c r="X377" t="s">
        <v>78</v>
      </c>
      <c r="Y377" s="16">
        <v>44622.337748611113</v>
      </c>
      <c r="Z377" s="17" t="str">
        <f>_xlfn.XLOOKUP(Table1[[#This Row],[Phase]],'Lookup tables'!$Y$27:$Y$60,'Lookup tables'!$Z$27:$Z$60,"Not Updated")</f>
        <v>Bid Prep</v>
      </c>
      <c r="AA377" s="17" t="s">
        <v>689</v>
      </c>
      <c r="AB377">
        <v>0</v>
      </c>
      <c r="AC377">
        <v>0</v>
      </c>
      <c r="AD377">
        <v>0</v>
      </c>
      <c r="AE377">
        <v>0</v>
      </c>
      <c r="AF377">
        <v>0</v>
      </c>
      <c r="AG377">
        <v>0</v>
      </c>
      <c r="AH377">
        <v>0</v>
      </c>
      <c r="AI377">
        <v>0</v>
      </c>
      <c r="AJ377">
        <v>0</v>
      </c>
      <c r="AK377">
        <v>0</v>
      </c>
      <c r="AL377">
        <v>0</v>
      </c>
      <c r="AM377">
        <v>0</v>
      </c>
      <c r="AN377">
        <v>0</v>
      </c>
      <c r="AO377">
        <v>0</v>
      </c>
      <c r="AP377">
        <v>0</v>
      </c>
      <c r="AQ377">
        <v>0</v>
      </c>
      <c r="AR377">
        <v>0</v>
      </c>
      <c r="AS377">
        <v>0</v>
      </c>
      <c r="AT377">
        <v>0</v>
      </c>
      <c r="AU377">
        <v>0</v>
      </c>
      <c r="AV377">
        <v>0</v>
      </c>
      <c r="AW377">
        <v>0</v>
      </c>
      <c r="AX377">
        <v>0</v>
      </c>
      <c r="AY377">
        <v>0</v>
      </c>
      <c r="AZ377">
        <v>0</v>
      </c>
      <c r="BA377">
        <v>0</v>
      </c>
      <c r="BB377">
        <v>0</v>
      </c>
      <c r="BC377">
        <v>0</v>
      </c>
      <c r="BD377">
        <v>0</v>
      </c>
      <c r="BE377">
        <v>0</v>
      </c>
      <c r="BF377">
        <v>0</v>
      </c>
      <c r="BG377" s="185">
        <v>0</v>
      </c>
      <c r="BH377" s="185">
        <v>0</v>
      </c>
      <c r="BI377" s="185">
        <v>0</v>
      </c>
      <c r="BJ377" s="185">
        <v>0</v>
      </c>
      <c r="BK377" s="185">
        <v>0</v>
      </c>
      <c r="BL377" s="185">
        <v>0</v>
      </c>
      <c r="BM377" s="185">
        <v>0</v>
      </c>
      <c r="BN377" s="185">
        <v>0</v>
      </c>
      <c r="BO377" s="185">
        <v>0</v>
      </c>
      <c r="BP377" s="185">
        <v>0</v>
      </c>
      <c r="BQ377" s="185">
        <v>0</v>
      </c>
      <c r="BR377" s="185">
        <v>0</v>
      </c>
      <c r="BS377" s="185">
        <v>0</v>
      </c>
      <c r="BT377" s="185">
        <v>0</v>
      </c>
      <c r="BU377" t="b">
        <f>IF(_xlfn.MAXIFS(Table1[Sl No],Table1[Category],Table1[[#This Row],[Category]],Table1[Execution Year],Table1[[#This Row],[Execution Year]])=Table1[[#This Row],[Sl No]],TRUE,FALSE)</f>
        <v>0</v>
      </c>
      <c r="BV377" s="201">
        <f>SUM(Table1[[#This Row],[Spend - CAN]:[Spend - Sams]])+SUM(Table1[[#This Row],[Spend - Sams Mexico]:[Spend - Sams China]])+Table1[[#This Row],[Spend - IND]]</f>
        <v>863000000</v>
      </c>
      <c r="BW377">
        <f>SUM(Table1[[#This Row],[Savings - CAN]:[Savings - Sams]])+SUM(Table1[[#This Row],[Savings - Sams Mexico]:[Savings - Sams China]])+Table1[[#This Row],[Savings - IND]]</f>
        <v>0</v>
      </c>
      <c r="BX377">
        <f>SUM(Table1[[#This Row],[Spend - CAN]:[Spend - SAF]])+SUM(Table1[[#This Row],[Spend - Sams Mexico]:[Spend - Sams China]])+Table1[[#This Row],[Spend - IND]]</f>
        <v>0</v>
      </c>
      <c r="BY377">
        <f>SUM(Table1[[#This Row],[Savings - CAN]:[Savings - SAF]])+SUM(Table1[[#This Row],[Savings - Sams Mexico]:[Savings - Sams China]])+Table1[[#This Row],[Savings - IND]]</f>
        <v>0</v>
      </c>
      <c r="BZ377">
        <f>SUM(Table1[[#This Row],[Spend - US]:[Spend - Sams]])</f>
        <v>863000000</v>
      </c>
      <c r="CA377">
        <f>SUM(Table1[[#This Row],[Savings - US]:[Savings - Sams]])</f>
        <v>0</v>
      </c>
      <c r="CB377">
        <f>SUM(Table1[[#This Row],[Cost Avoidance - CAN2]:[Cost Avoidance - SAF10]])+SUM(Table1[[#This Row],[Cost Avoidance - Sams Mexico]:[Cost Avoidance - Sams China]])+Table1[[#This Row],[Cost Avoidance - IND]]</f>
        <v>0</v>
      </c>
      <c r="CC377">
        <f>SUM(Table1[[#This Row],[Cost Avoidance - US11]:[Cost Avoidance - Sams12]])</f>
        <v>0</v>
      </c>
      <c r="CD377" t="str">
        <f>_xlfn.XLOOKUP(Table1[[#This Row],[Status]],Status_Lookups[Status],Status_Lookups[Value],"")</f>
        <v/>
      </c>
    </row>
    <row r="378" spans="1:82">
      <c r="A378">
        <v>4</v>
      </c>
      <c r="B378" t="s">
        <v>456</v>
      </c>
      <c r="C378" t="s">
        <v>43</v>
      </c>
      <c r="D378" t="s">
        <v>39</v>
      </c>
      <c r="E378" s="15">
        <v>44531</v>
      </c>
      <c r="F378" s="15">
        <v>44681</v>
      </c>
      <c r="G378" s="15">
        <v>0</v>
      </c>
      <c r="H378" s="15">
        <v>0</v>
      </c>
      <c r="I378" t="s">
        <v>449</v>
      </c>
      <c r="J378">
        <v>0</v>
      </c>
      <c r="K378" t="s">
        <v>445</v>
      </c>
      <c r="L378">
        <v>0</v>
      </c>
      <c r="M378">
        <v>0</v>
      </c>
      <c r="N378">
        <v>0</v>
      </c>
      <c r="O378">
        <v>0</v>
      </c>
      <c r="P378">
        <v>0</v>
      </c>
      <c r="Q378">
        <v>0</v>
      </c>
      <c r="R378">
        <v>0</v>
      </c>
      <c r="S378">
        <v>0</v>
      </c>
      <c r="T378">
        <v>0</v>
      </c>
      <c r="U378">
        <v>0</v>
      </c>
      <c r="V378">
        <v>0</v>
      </c>
      <c r="W378">
        <v>0</v>
      </c>
      <c r="X378" t="s">
        <v>78</v>
      </c>
      <c r="Y378" s="16">
        <v>44630.37287013889</v>
      </c>
      <c r="Z378" s="17" t="str">
        <f>_xlfn.XLOOKUP(Table1[[#This Row],[Phase]],'Lookup tables'!$Y$27:$Y$60,'Lookup tables'!$Z$27:$Z$60,"Not Updated")</f>
        <v>Cancelled</v>
      </c>
      <c r="AA378" s="17">
        <v>0</v>
      </c>
      <c r="AB378">
        <v>0</v>
      </c>
      <c r="AC378">
        <v>0</v>
      </c>
      <c r="AD378">
        <v>0</v>
      </c>
      <c r="AE378">
        <v>0</v>
      </c>
      <c r="AF378">
        <v>0</v>
      </c>
      <c r="AG378">
        <v>0</v>
      </c>
      <c r="AH378">
        <v>0</v>
      </c>
      <c r="AI378">
        <v>0</v>
      </c>
      <c r="AJ378">
        <v>0</v>
      </c>
      <c r="AK378">
        <v>0</v>
      </c>
      <c r="AL378">
        <v>0</v>
      </c>
      <c r="AM378">
        <v>0</v>
      </c>
      <c r="AN378">
        <v>0</v>
      </c>
      <c r="AO378">
        <v>0</v>
      </c>
      <c r="AP378">
        <v>0</v>
      </c>
      <c r="AQ378">
        <v>0</v>
      </c>
      <c r="AR378">
        <v>0</v>
      </c>
      <c r="AS378">
        <v>0</v>
      </c>
      <c r="AT378">
        <v>0</v>
      </c>
      <c r="AU378">
        <v>0</v>
      </c>
      <c r="AV378">
        <v>0</v>
      </c>
      <c r="AW378">
        <v>0</v>
      </c>
      <c r="AX378">
        <v>0</v>
      </c>
      <c r="AY378">
        <v>0</v>
      </c>
      <c r="AZ378">
        <v>0</v>
      </c>
      <c r="BA378">
        <v>0</v>
      </c>
      <c r="BB378">
        <v>0</v>
      </c>
      <c r="BC378">
        <v>0</v>
      </c>
      <c r="BD378">
        <v>0</v>
      </c>
      <c r="BE378">
        <v>0</v>
      </c>
      <c r="BF378">
        <v>0</v>
      </c>
      <c r="BG378" s="185">
        <v>0</v>
      </c>
      <c r="BH378" s="185">
        <v>0</v>
      </c>
      <c r="BI378" s="185">
        <v>0</v>
      </c>
      <c r="BJ378" s="185">
        <v>0</v>
      </c>
      <c r="BK378" s="185">
        <v>0</v>
      </c>
      <c r="BL378" s="185">
        <v>0</v>
      </c>
      <c r="BM378" s="185">
        <v>0</v>
      </c>
      <c r="BN378" s="185">
        <v>0</v>
      </c>
      <c r="BO378" s="185">
        <v>0</v>
      </c>
      <c r="BP378" s="185">
        <v>0</v>
      </c>
      <c r="BQ378" s="185">
        <v>0</v>
      </c>
      <c r="BR378" s="185">
        <v>0</v>
      </c>
      <c r="BS378" s="185">
        <v>0</v>
      </c>
      <c r="BT378" s="185">
        <v>0</v>
      </c>
      <c r="BU378" t="b">
        <f>IF(_xlfn.MAXIFS(Table1[Sl No],Table1[Category],Table1[[#This Row],[Category]],Table1[Execution Year],Table1[[#This Row],[Execution Year]])=Table1[[#This Row],[Sl No]],TRUE,FALSE)</f>
        <v>1</v>
      </c>
      <c r="BV378" s="201">
        <f>SUM(Table1[[#This Row],[Spend - CAN]:[Spend - Sams]])+SUM(Table1[[#This Row],[Spend - Sams Mexico]:[Spend - Sams China]])+Table1[[#This Row],[Spend - IND]]</f>
        <v>0</v>
      </c>
      <c r="BW378">
        <f>SUM(Table1[[#This Row],[Savings - CAN]:[Savings - Sams]])+SUM(Table1[[#This Row],[Savings - Sams Mexico]:[Savings - Sams China]])+Table1[[#This Row],[Savings - IND]]</f>
        <v>0</v>
      </c>
      <c r="BX378">
        <f>SUM(Table1[[#This Row],[Spend - CAN]:[Spend - SAF]])+SUM(Table1[[#This Row],[Spend - Sams Mexico]:[Spend - Sams China]])+Table1[[#This Row],[Spend - IND]]</f>
        <v>0</v>
      </c>
      <c r="BY378">
        <f>SUM(Table1[[#This Row],[Savings - CAN]:[Savings - SAF]])+SUM(Table1[[#This Row],[Savings - Sams Mexico]:[Savings - Sams China]])+Table1[[#This Row],[Savings - IND]]</f>
        <v>0</v>
      </c>
      <c r="BZ378">
        <f>SUM(Table1[[#This Row],[Spend - US]:[Spend - Sams]])</f>
        <v>0</v>
      </c>
      <c r="CA378">
        <f>SUM(Table1[[#This Row],[Savings - US]:[Savings - Sams]])</f>
        <v>0</v>
      </c>
      <c r="CB378">
        <f>SUM(Table1[[#This Row],[Cost Avoidance - CAN2]:[Cost Avoidance - SAF10]])+SUM(Table1[[#This Row],[Cost Avoidance - Sams Mexico]:[Cost Avoidance - Sams China]])+Table1[[#This Row],[Cost Avoidance - IND]]</f>
        <v>0</v>
      </c>
      <c r="CC378">
        <f>SUM(Table1[[#This Row],[Cost Avoidance - US11]:[Cost Avoidance - Sams12]])</f>
        <v>0</v>
      </c>
      <c r="CD378" t="str">
        <f>_xlfn.XLOOKUP(Table1[[#This Row],[Status]],Status_Lookups[Status],Status_Lookups[Value],"")</f>
        <v/>
      </c>
    </row>
    <row r="379" spans="1:82">
      <c r="A379">
        <v>10</v>
      </c>
      <c r="B379" t="s">
        <v>456</v>
      </c>
      <c r="C379" t="s">
        <v>43</v>
      </c>
      <c r="D379" t="s">
        <v>322</v>
      </c>
      <c r="E379" s="15">
        <v>44713</v>
      </c>
      <c r="F379" s="15">
        <v>44834</v>
      </c>
      <c r="G379" s="15">
        <v>0</v>
      </c>
      <c r="H379" s="15">
        <v>0</v>
      </c>
      <c r="I379" t="s">
        <v>458</v>
      </c>
      <c r="J379">
        <v>0</v>
      </c>
      <c r="K379" t="s">
        <v>454</v>
      </c>
      <c r="L379">
        <v>0</v>
      </c>
      <c r="M379">
        <v>0</v>
      </c>
      <c r="N379">
        <v>0</v>
      </c>
      <c r="O379">
        <v>0</v>
      </c>
      <c r="P379">
        <v>0</v>
      </c>
      <c r="Q379">
        <v>0</v>
      </c>
      <c r="R379">
        <v>0</v>
      </c>
      <c r="S379">
        <v>0</v>
      </c>
      <c r="T379">
        <v>0</v>
      </c>
      <c r="U379">
        <v>0</v>
      </c>
      <c r="V379">
        <v>0</v>
      </c>
      <c r="W379">
        <v>863000000</v>
      </c>
      <c r="X379" t="s">
        <v>78</v>
      </c>
      <c r="Y379" s="16">
        <v>44630.373294097219</v>
      </c>
      <c r="Z379" s="17" t="str">
        <f>_xlfn.XLOOKUP(Table1[[#This Row],[Phase]],'Lookup tables'!$Y$27:$Y$60,'Lookup tables'!$Z$27:$Z$60,"Not Updated")</f>
        <v>Exploratory</v>
      </c>
      <c r="AA379" s="17" t="s">
        <v>689</v>
      </c>
      <c r="AB379">
        <v>0</v>
      </c>
      <c r="AC379">
        <v>0</v>
      </c>
      <c r="AD379">
        <v>0</v>
      </c>
      <c r="AE379">
        <v>0</v>
      </c>
      <c r="AF379">
        <v>0</v>
      </c>
      <c r="AG379">
        <v>0</v>
      </c>
      <c r="AH379">
        <v>0</v>
      </c>
      <c r="AI379">
        <v>0</v>
      </c>
      <c r="AJ379">
        <v>0</v>
      </c>
      <c r="AK379">
        <v>0</v>
      </c>
      <c r="AL379">
        <v>0</v>
      </c>
      <c r="AM379">
        <v>0</v>
      </c>
      <c r="AN379">
        <v>0</v>
      </c>
      <c r="AO379">
        <v>0</v>
      </c>
      <c r="AP379">
        <v>0</v>
      </c>
      <c r="AQ379">
        <v>0</v>
      </c>
      <c r="AR379">
        <v>0</v>
      </c>
      <c r="AS379">
        <v>0</v>
      </c>
      <c r="AT379">
        <v>0</v>
      </c>
      <c r="AU379">
        <v>0</v>
      </c>
      <c r="AV379">
        <v>0</v>
      </c>
      <c r="AW379">
        <v>0</v>
      </c>
      <c r="AX379">
        <v>0</v>
      </c>
      <c r="AY379">
        <v>0</v>
      </c>
      <c r="AZ379">
        <v>0</v>
      </c>
      <c r="BA379">
        <v>0</v>
      </c>
      <c r="BB379">
        <v>0</v>
      </c>
      <c r="BC379">
        <v>0</v>
      </c>
      <c r="BD379">
        <v>0</v>
      </c>
      <c r="BE379">
        <v>0</v>
      </c>
      <c r="BF379">
        <v>0</v>
      </c>
      <c r="BG379" s="185">
        <v>0</v>
      </c>
      <c r="BH379" s="185">
        <v>0</v>
      </c>
      <c r="BI379" s="185">
        <v>0</v>
      </c>
      <c r="BJ379" s="185">
        <v>0</v>
      </c>
      <c r="BK379" s="185">
        <v>0</v>
      </c>
      <c r="BL379" s="185">
        <v>0</v>
      </c>
      <c r="BM379" s="185">
        <v>0</v>
      </c>
      <c r="BN379" s="185">
        <v>0</v>
      </c>
      <c r="BO379" s="185">
        <v>0</v>
      </c>
      <c r="BP379" s="185">
        <v>0</v>
      </c>
      <c r="BQ379" s="185">
        <v>0</v>
      </c>
      <c r="BR379" s="185">
        <v>0</v>
      </c>
      <c r="BS379" s="185">
        <v>0</v>
      </c>
      <c r="BT379" s="185">
        <v>0</v>
      </c>
      <c r="BU379" t="b">
        <f>IF(_xlfn.MAXIFS(Table1[Sl No],Table1[Category],Table1[[#This Row],[Category]],Table1[Execution Year],Table1[[#This Row],[Execution Year]])=Table1[[#This Row],[Sl No]],TRUE,FALSE)</f>
        <v>0</v>
      </c>
      <c r="BV379" s="201">
        <f>SUM(Table1[[#This Row],[Spend - CAN]:[Spend - Sams]])+SUM(Table1[[#This Row],[Spend - Sams Mexico]:[Spend - Sams China]])+Table1[[#This Row],[Spend - IND]]</f>
        <v>863000000</v>
      </c>
      <c r="BW379">
        <f>SUM(Table1[[#This Row],[Savings - CAN]:[Savings - Sams]])+SUM(Table1[[#This Row],[Savings - Sams Mexico]:[Savings - Sams China]])+Table1[[#This Row],[Savings - IND]]</f>
        <v>0</v>
      </c>
      <c r="BX379">
        <f>SUM(Table1[[#This Row],[Spend - CAN]:[Spend - SAF]])+SUM(Table1[[#This Row],[Spend - Sams Mexico]:[Spend - Sams China]])+Table1[[#This Row],[Spend - IND]]</f>
        <v>0</v>
      </c>
      <c r="BY379">
        <f>SUM(Table1[[#This Row],[Savings - CAN]:[Savings - SAF]])+SUM(Table1[[#This Row],[Savings - Sams Mexico]:[Savings - Sams China]])+Table1[[#This Row],[Savings - IND]]</f>
        <v>0</v>
      </c>
      <c r="BZ379">
        <f>SUM(Table1[[#This Row],[Spend - US]:[Spend - Sams]])</f>
        <v>863000000</v>
      </c>
      <c r="CA379">
        <f>SUM(Table1[[#This Row],[Savings - US]:[Savings - Sams]])</f>
        <v>0</v>
      </c>
      <c r="CB379">
        <f>SUM(Table1[[#This Row],[Cost Avoidance - CAN2]:[Cost Avoidance - SAF10]])+SUM(Table1[[#This Row],[Cost Avoidance - Sams Mexico]:[Cost Avoidance - Sams China]])+Table1[[#This Row],[Cost Avoidance - IND]]</f>
        <v>0</v>
      </c>
      <c r="CC379">
        <f>SUM(Table1[[#This Row],[Cost Avoidance - US11]:[Cost Avoidance - Sams12]])</f>
        <v>0</v>
      </c>
      <c r="CD379" t="str">
        <f>_xlfn.XLOOKUP(Table1[[#This Row],[Status]],Status_Lookups[Status],Status_Lookups[Value],"")</f>
        <v/>
      </c>
    </row>
    <row r="380" spans="1:82">
      <c r="A380">
        <v>11</v>
      </c>
      <c r="B380" t="s">
        <v>456</v>
      </c>
      <c r="C380" t="s">
        <v>43</v>
      </c>
      <c r="D380" t="s">
        <v>322</v>
      </c>
      <c r="E380" s="15">
        <v>44743</v>
      </c>
      <c r="F380" s="15">
        <v>44865</v>
      </c>
      <c r="G380" s="15">
        <v>0</v>
      </c>
      <c r="H380" s="15">
        <v>0</v>
      </c>
      <c r="I380" t="s">
        <v>458</v>
      </c>
      <c r="J380">
        <v>0</v>
      </c>
      <c r="K380" t="s">
        <v>454</v>
      </c>
      <c r="L380">
        <v>0</v>
      </c>
      <c r="M380">
        <v>0</v>
      </c>
      <c r="N380">
        <v>0</v>
      </c>
      <c r="O380">
        <v>0</v>
      </c>
      <c r="P380">
        <v>0</v>
      </c>
      <c r="Q380">
        <v>0</v>
      </c>
      <c r="R380">
        <v>0</v>
      </c>
      <c r="S380">
        <v>0</v>
      </c>
      <c r="T380">
        <v>0</v>
      </c>
      <c r="U380">
        <v>0</v>
      </c>
      <c r="V380">
        <v>0</v>
      </c>
      <c r="W380">
        <v>863000000</v>
      </c>
      <c r="X380" t="s">
        <v>78</v>
      </c>
      <c r="Y380" s="16">
        <v>44630.38357928241</v>
      </c>
      <c r="Z380" s="17" t="str">
        <f>_xlfn.XLOOKUP(Table1[[#This Row],[Phase]],'Lookup tables'!$Y$27:$Y$60,'Lookup tables'!$Z$27:$Z$60,"Not Updated")</f>
        <v>Exploratory</v>
      </c>
      <c r="AA380" s="17" t="s">
        <v>689</v>
      </c>
      <c r="AB380">
        <v>0</v>
      </c>
      <c r="AC380">
        <v>0</v>
      </c>
      <c r="AD380">
        <v>0</v>
      </c>
      <c r="AE380">
        <v>0</v>
      </c>
      <c r="AF380">
        <v>0</v>
      </c>
      <c r="AG380">
        <v>0</v>
      </c>
      <c r="AH380">
        <v>0</v>
      </c>
      <c r="AI380">
        <v>0</v>
      </c>
      <c r="AJ380">
        <v>0</v>
      </c>
      <c r="AK380">
        <v>0</v>
      </c>
      <c r="AL380">
        <v>0</v>
      </c>
      <c r="AM380">
        <v>0</v>
      </c>
      <c r="AN380">
        <v>0</v>
      </c>
      <c r="AO380">
        <v>0</v>
      </c>
      <c r="AP380">
        <v>0</v>
      </c>
      <c r="AQ380">
        <v>0</v>
      </c>
      <c r="AR380">
        <v>0</v>
      </c>
      <c r="AS380">
        <v>0</v>
      </c>
      <c r="AT380">
        <v>0</v>
      </c>
      <c r="AU380">
        <v>0</v>
      </c>
      <c r="AV380">
        <v>0</v>
      </c>
      <c r="AW380">
        <v>0</v>
      </c>
      <c r="AX380">
        <v>0</v>
      </c>
      <c r="AY380">
        <v>0</v>
      </c>
      <c r="AZ380">
        <v>0</v>
      </c>
      <c r="BA380">
        <v>0</v>
      </c>
      <c r="BB380">
        <v>0</v>
      </c>
      <c r="BC380">
        <v>0</v>
      </c>
      <c r="BD380">
        <v>0</v>
      </c>
      <c r="BE380">
        <v>0</v>
      </c>
      <c r="BF380">
        <v>0</v>
      </c>
      <c r="BG380" s="185">
        <v>0</v>
      </c>
      <c r="BH380" s="185">
        <v>0</v>
      </c>
      <c r="BI380" s="185">
        <v>0</v>
      </c>
      <c r="BJ380" s="185">
        <v>0</v>
      </c>
      <c r="BK380" s="185">
        <v>0</v>
      </c>
      <c r="BL380" s="185">
        <v>0</v>
      </c>
      <c r="BM380" s="185">
        <v>0</v>
      </c>
      <c r="BN380" s="185">
        <v>0</v>
      </c>
      <c r="BO380" s="185">
        <v>0</v>
      </c>
      <c r="BP380" s="185">
        <v>0</v>
      </c>
      <c r="BQ380" s="185">
        <v>0</v>
      </c>
      <c r="BR380" s="185">
        <v>0</v>
      </c>
      <c r="BS380" s="185">
        <v>0</v>
      </c>
      <c r="BT380" s="185">
        <v>0</v>
      </c>
      <c r="BU380" t="b">
        <f>IF(_xlfn.MAXIFS(Table1[Sl No],Table1[Category],Table1[[#This Row],[Category]],Table1[Execution Year],Table1[[#This Row],[Execution Year]])=Table1[[#This Row],[Sl No]],TRUE,FALSE)</f>
        <v>0</v>
      </c>
      <c r="BV380" s="201">
        <f>SUM(Table1[[#This Row],[Spend - CAN]:[Spend - Sams]])+SUM(Table1[[#This Row],[Spend - Sams Mexico]:[Spend - Sams China]])+Table1[[#This Row],[Spend - IND]]</f>
        <v>863000000</v>
      </c>
      <c r="BW380">
        <f>SUM(Table1[[#This Row],[Savings - CAN]:[Savings - Sams]])+SUM(Table1[[#This Row],[Savings - Sams Mexico]:[Savings - Sams China]])+Table1[[#This Row],[Savings - IND]]</f>
        <v>0</v>
      </c>
      <c r="BX380">
        <f>SUM(Table1[[#This Row],[Spend - CAN]:[Spend - SAF]])+SUM(Table1[[#This Row],[Spend - Sams Mexico]:[Spend - Sams China]])+Table1[[#This Row],[Spend - IND]]</f>
        <v>0</v>
      </c>
      <c r="BY380">
        <f>SUM(Table1[[#This Row],[Savings - CAN]:[Savings - SAF]])+SUM(Table1[[#This Row],[Savings - Sams Mexico]:[Savings - Sams China]])+Table1[[#This Row],[Savings - IND]]</f>
        <v>0</v>
      </c>
      <c r="BZ380">
        <f>SUM(Table1[[#This Row],[Spend - US]:[Spend - Sams]])</f>
        <v>863000000</v>
      </c>
      <c r="CA380">
        <f>SUM(Table1[[#This Row],[Savings - US]:[Savings - Sams]])</f>
        <v>0</v>
      </c>
      <c r="CB380">
        <f>SUM(Table1[[#This Row],[Cost Avoidance - CAN2]:[Cost Avoidance - SAF10]])+SUM(Table1[[#This Row],[Cost Avoidance - Sams Mexico]:[Cost Avoidance - Sams China]])+Table1[[#This Row],[Cost Avoidance - IND]]</f>
        <v>0</v>
      </c>
      <c r="CC380">
        <f>SUM(Table1[[#This Row],[Cost Avoidance - US11]:[Cost Avoidance - Sams12]])</f>
        <v>0</v>
      </c>
      <c r="CD380" t="str">
        <f>_xlfn.XLOOKUP(Table1[[#This Row],[Status]],Status_Lookups[Status],Status_Lookups[Value],"")</f>
        <v/>
      </c>
    </row>
    <row r="381" spans="1:82">
      <c r="A381">
        <v>12</v>
      </c>
      <c r="B381" t="s">
        <v>456</v>
      </c>
      <c r="C381" t="s">
        <v>43</v>
      </c>
      <c r="D381" t="s">
        <v>322</v>
      </c>
      <c r="E381" s="15">
        <v>44805</v>
      </c>
      <c r="F381" s="15">
        <v>44926</v>
      </c>
      <c r="G381" s="15">
        <v>0</v>
      </c>
      <c r="H381" s="15">
        <v>0</v>
      </c>
      <c r="I381" t="s">
        <v>458</v>
      </c>
      <c r="J381">
        <v>0</v>
      </c>
      <c r="K381" t="s">
        <v>454</v>
      </c>
      <c r="L381">
        <v>0</v>
      </c>
      <c r="M381">
        <v>0</v>
      </c>
      <c r="N381">
        <v>0</v>
      </c>
      <c r="O381">
        <v>0</v>
      </c>
      <c r="P381">
        <v>0</v>
      </c>
      <c r="Q381">
        <v>0</v>
      </c>
      <c r="R381">
        <v>0</v>
      </c>
      <c r="S381">
        <v>0</v>
      </c>
      <c r="T381">
        <v>0</v>
      </c>
      <c r="U381">
        <v>0</v>
      </c>
      <c r="V381">
        <v>0</v>
      </c>
      <c r="W381">
        <v>863000000</v>
      </c>
      <c r="X381" t="s">
        <v>78</v>
      </c>
      <c r="Y381" s="16">
        <v>44714.39699872685</v>
      </c>
      <c r="Z381" s="17" t="str">
        <f>_xlfn.XLOOKUP(Table1[[#This Row],[Phase]],'Lookup tables'!$Y$27:$Y$60,'Lookup tables'!$Z$27:$Z$60,"Not Updated")</f>
        <v>Exploratory</v>
      </c>
      <c r="AA381" s="17" t="s">
        <v>689</v>
      </c>
      <c r="AB381">
        <v>0</v>
      </c>
      <c r="AC381">
        <v>0</v>
      </c>
      <c r="AD381">
        <v>0</v>
      </c>
      <c r="AE381">
        <v>0</v>
      </c>
      <c r="AF381">
        <v>0</v>
      </c>
      <c r="AG381">
        <v>0</v>
      </c>
      <c r="AH381">
        <v>0</v>
      </c>
      <c r="AI381">
        <v>0</v>
      </c>
      <c r="AJ381">
        <v>0</v>
      </c>
      <c r="AK381">
        <v>0</v>
      </c>
      <c r="AL381">
        <v>0</v>
      </c>
      <c r="AM381">
        <v>0</v>
      </c>
      <c r="AN381">
        <v>0</v>
      </c>
      <c r="AO381">
        <v>0</v>
      </c>
      <c r="AP381">
        <v>0</v>
      </c>
      <c r="AQ381">
        <v>0</v>
      </c>
      <c r="AR381">
        <v>0</v>
      </c>
      <c r="AS381">
        <v>0</v>
      </c>
      <c r="AT381">
        <v>0</v>
      </c>
      <c r="AU381">
        <v>0</v>
      </c>
      <c r="AV381">
        <v>0</v>
      </c>
      <c r="AW381">
        <v>0</v>
      </c>
      <c r="AX381">
        <v>0</v>
      </c>
      <c r="AY381">
        <v>0</v>
      </c>
      <c r="AZ381">
        <v>0</v>
      </c>
      <c r="BA381">
        <v>0</v>
      </c>
      <c r="BB381">
        <v>0</v>
      </c>
      <c r="BC381">
        <v>0</v>
      </c>
      <c r="BD381">
        <v>0</v>
      </c>
      <c r="BE381">
        <v>0</v>
      </c>
      <c r="BF381">
        <v>0</v>
      </c>
      <c r="BG381" s="185">
        <v>0</v>
      </c>
      <c r="BH381" s="185">
        <v>0</v>
      </c>
      <c r="BI381" s="185">
        <v>0</v>
      </c>
      <c r="BJ381" s="185">
        <v>0</v>
      </c>
      <c r="BK381" s="185">
        <v>0</v>
      </c>
      <c r="BL381" s="185">
        <v>0</v>
      </c>
      <c r="BM381" s="185">
        <v>0</v>
      </c>
      <c r="BN381" s="185">
        <v>0</v>
      </c>
      <c r="BO381" s="185">
        <v>0</v>
      </c>
      <c r="BP381" s="185">
        <v>0</v>
      </c>
      <c r="BQ381" s="185">
        <v>0</v>
      </c>
      <c r="BR381" s="185">
        <v>0</v>
      </c>
      <c r="BS381" s="185">
        <v>0</v>
      </c>
      <c r="BT381" s="185">
        <v>0</v>
      </c>
      <c r="BU381" t="b">
        <f>IF(_xlfn.MAXIFS(Table1[Sl No],Table1[Category],Table1[[#This Row],[Category]],Table1[Execution Year],Table1[[#This Row],[Execution Year]])=Table1[[#This Row],[Sl No]],TRUE,FALSE)</f>
        <v>1</v>
      </c>
      <c r="BV381" s="201">
        <f>SUM(Table1[[#This Row],[Spend - CAN]:[Spend - Sams]])+SUM(Table1[[#This Row],[Spend - Sams Mexico]:[Spend - Sams China]])+Table1[[#This Row],[Spend - IND]]</f>
        <v>863000000</v>
      </c>
      <c r="BW381">
        <f>SUM(Table1[[#This Row],[Savings - CAN]:[Savings - Sams]])+SUM(Table1[[#This Row],[Savings - Sams Mexico]:[Savings - Sams China]])+Table1[[#This Row],[Savings - IND]]</f>
        <v>0</v>
      </c>
      <c r="BX381">
        <f>SUM(Table1[[#This Row],[Spend - CAN]:[Spend - SAF]])+SUM(Table1[[#This Row],[Spend - Sams Mexico]:[Spend - Sams China]])+Table1[[#This Row],[Spend - IND]]</f>
        <v>0</v>
      </c>
      <c r="BY381">
        <f>SUM(Table1[[#This Row],[Savings - CAN]:[Savings - SAF]])+SUM(Table1[[#This Row],[Savings - Sams Mexico]:[Savings - Sams China]])+Table1[[#This Row],[Savings - IND]]</f>
        <v>0</v>
      </c>
      <c r="BZ381">
        <f>SUM(Table1[[#This Row],[Spend - US]:[Spend - Sams]])</f>
        <v>863000000</v>
      </c>
      <c r="CA381">
        <f>SUM(Table1[[#This Row],[Savings - US]:[Savings - Sams]])</f>
        <v>0</v>
      </c>
      <c r="CB381">
        <f>SUM(Table1[[#This Row],[Cost Avoidance - CAN2]:[Cost Avoidance - SAF10]])+SUM(Table1[[#This Row],[Cost Avoidance - Sams Mexico]:[Cost Avoidance - Sams China]])+Table1[[#This Row],[Cost Avoidance - IND]]</f>
        <v>0</v>
      </c>
      <c r="CC381">
        <f>SUM(Table1[[#This Row],[Cost Avoidance - US11]:[Cost Avoidance - Sams12]])</f>
        <v>0</v>
      </c>
      <c r="CD381" t="str">
        <f>_xlfn.XLOOKUP(Table1[[#This Row],[Status]],Status_Lookups[Status],Status_Lookups[Value],"")</f>
        <v/>
      </c>
    </row>
    <row r="382" spans="1:82">
      <c r="A382">
        <v>1</v>
      </c>
      <c r="B382" t="s">
        <v>67</v>
      </c>
      <c r="C382" t="s">
        <v>33</v>
      </c>
      <c r="D382" t="s">
        <v>322</v>
      </c>
      <c r="E382" s="15"/>
      <c r="F382" s="15"/>
      <c r="G382" s="15"/>
      <c r="H382" s="15"/>
      <c r="I382" t="s">
        <v>415</v>
      </c>
      <c r="J382" t="s">
        <v>459</v>
      </c>
      <c r="K382" t="s">
        <v>567</v>
      </c>
      <c r="X382" t="s">
        <v>47</v>
      </c>
      <c r="Y382" s="16">
        <v>44701.387036342596</v>
      </c>
      <c r="Z382" s="17" t="str">
        <f>_xlfn.XLOOKUP(Table1[[#This Row],[Phase]],'Lookup tables'!$Y$27:$Y$60,'Lookup tables'!$Z$27:$Z$60,"Not Updated")</f>
        <v>Award</v>
      </c>
      <c r="AA382" s="17"/>
      <c r="BG382" s="185"/>
      <c r="BH382" s="185"/>
      <c r="BI382" s="185"/>
      <c r="BJ382" s="185"/>
      <c r="BK382" s="185"/>
      <c r="BL382" s="185"/>
      <c r="BM382" s="185"/>
      <c r="BN382" s="185"/>
      <c r="BO382" s="185"/>
      <c r="BP382" s="185"/>
      <c r="BQ382" s="185"/>
      <c r="BR382" s="185"/>
      <c r="BS382" s="185"/>
      <c r="BT382" s="185"/>
      <c r="BU382" t="b">
        <f>IF(_xlfn.MAXIFS(Table1[Sl No],Table1[Category],Table1[[#This Row],[Category]],Table1[Execution Year],Table1[[#This Row],[Execution Year]])=Table1[[#This Row],[Sl No]],TRUE,FALSE)</f>
        <v>0</v>
      </c>
      <c r="BV382" s="201">
        <f>SUM(Table1[[#This Row],[Spend - CAN]:[Spend - Sams]])+SUM(Table1[[#This Row],[Spend - Sams Mexico]:[Spend - Sams China]])+Table1[[#This Row],[Spend - IND]]</f>
        <v>0</v>
      </c>
      <c r="BW382">
        <f>SUM(Table1[[#This Row],[Savings - CAN]:[Savings - Sams]])+SUM(Table1[[#This Row],[Savings - Sams Mexico]:[Savings - Sams China]])+Table1[[#This Row],[Savings - IND]]</f>
        <v>0</v>
      </c>
      <c r="BX382">
        <f>SUM(Table1[[#This Row],[Spend - CAN]:[Spend - SAF]])+SUM(Table1[[#This Row],[Spend - Sams Mexico]:[Spend - Sams China]])+Table1[[#This Row],[Spend - IND]]</f>
        <v>0</v>
      </c>
      <c r="BY382">
        <f>SUM(Table1[[#This Row],[Savings - CAN]:[Savings - SAF]])+SUM(Table1[[#This Row],[Savings - Sams Mexico]:[Savings - Sams China]])+Table1[[#This Row],[Savings - IND]]</f>
        <v>0</v>
      </c>
      <c r="BZ382">
        <f>SUM(Table1[[#This Row],[Spend - US]:[Spend - Sams]])</f>
        <v>0</v>
      </c>
      <c r="CA382">
        <f>SUM(Table1[[#This Row],[Savings - US]:[Savings - Sams]])</f>
        <v>0</v>
      </c>
      <c r="CB382">
        <f>SUM(Table1[[#This Row],[Cost Avoidance - CAN2]:[Cost Avoidance - SAF10]])+SUM(Table1[[#This Row],[Cost Avoidance - Sams Mexico]:[Cost Avoidance - Sams China]])+Table1[[#This Row],[Cost Avoidance - IND]]</f>
        <v>0</v>
      </c>
      <c r="CC382">
        <f>SUM(Table1[[#This Row],[Cost Avoidance - US11]:[Cost Avoidance - Sams12]])</f>
        <v>0</v>
      </c>
      <c r="CD382">
        <f>_xlfn.XLOOKUP(Table1[[#This Row],[Status]],Status_Lookups[Status],Status_Lookups[Value],"")</f>
        <v>0.3</v>
      </c>
    </row>
    <row r="383" spans="1:82">
      <c r="A383">
        <v>2</v>
      </c>
      <c r="B383" t="s">
        <v>67</v>
      </c>
      <c r="C383" t="s">
        <v>33</v>
      </c>
      <c r="D383" t="s">
        <v>322</v>
      </c>
      <c r="E383" s="15">
        <v>0</v>
      </c>
      <c r="F383" s="15">
        <v>0</v>
      </c>
      <c r="G383" s="15">
        <v>0</v>
      </c>
      <c r="H383" s="15">
        <v>0</v>
      </c>
      <c r="I383" t="s">
        <v>470</v>
      </c>
      <c r="J383" t="s">
        <v>459</v>
      </c>
      <c r="K383" t="s">
        <v>567</v>
      </c>
      <c r="L383" t="s">
        <v>583</v>
      </c>
      <c r="M383">
        <v>0</v>
      </c>
      <c r="N383">
        <v>0</v>
      </c>
      <c r="O383">
        <v>0</v>
      </c>
      <c r="P383">
        <v>0</v>
      </c>
      <c r="Q383">
        <v>0</v>
      </c>
      <c r="R383">
        <v>0</v>
      </c>
      <c r="S383">
        <v>0</v>
      </c>
      <c r="T383">
        <v>0</v>
      </c>
      <c r="U383">
        <v>0</v>
      </c>
      <c r="V383">
        <v>13000000</v>
      </c>
      <c r="W383">
        <v>3000000</v>
      </c>
      <c r="X383" t="s">
        <v>567</v>
      </c>
      <c r="Y383" s="16">
        <v>44729.574052430558</v>
      </c>
      <c r="Z383" s="17" t="str">
        <f>_xlfn.XLOOKUP(Table1[[#This Row],[Phase]],'Lookup tables'!$Y$27:$Y$60,'Lookup tables'!$Z$27:$Z$60,"Not Updated")</f>
        <v>Complete</v>
      </c>
      <c r="AA383" s="17" t="s">
        <v>690</v>
      </c>
      <c r="AB383">
        <v>0</v>
      </c>
      <c r="AC383">
        <v>0</v>
      </c>
      <c r="AD383">
        <v>0</v>
      </c>
      <c r="AE383">
        <v>0</v>
      </c>
      <c r="AF383">
        <v>0</v>
      </c>
      <c r="AG383">
        <v>0</v>
      </c>
      <c r="AH383">
        <v>0</v>
      </c>
      <c r="AI383">
        <v>0</v>
      </c>
      <c r="AJ383">
        <v>0</v>
      </c>
      <c r="AK383">
        <v>0</v>
      </c>
      <c r="AL383">
        <v>0</v>
      </c>
      <c r="AM383">
        <v>0</v>
      </c>
      <c r="AN383">
        <v>0</v>
      </c>
      <c r="AO383">
        <v>0</v>
      </c>
      <c r="AP383">
        <v>0</v>
      </c>
      <c r="AQ383">
        <v>0</v>
      </c>
      <c r="AR383">
        <v>0</v>
      </c>
      <c r="AS383">
        <v>0</v>
      </c>
      <c r="AT383">
        <v>0</v>
      </c>
      <c r="AU383">
        <v>0</v>
      </c>
      <c r="AV383">
        <v>0</v>
      </c>
      <c r="AW383">
        <v>0</v>
      </c>
      <c r="AX383">
        <v>0</v>
      </c>
      <c r="AY383">
        <v>0</v>
      </c>
      <c r="AZ383">
        <v>0</v>
      </c>
      <c r="BA383">
        <v>0</v>
      </c>
      <c r="BB383">
        <v>0</v>
      </c>
      <c r="BC383">
        <v>0</v>
      </c>
      <c r="BD383">
        <v>0</v>
      </c>
      <c r="BE383">
        <v>0</v>
      </c>
      <c r="BF383">
        <v>0</v>
      </c>
      <c r="BG383" s="185">
        <v>0</v>
      </c>
      <c r="BH383" s="185">
        <v>0</v>
      </c>
      <c r="BI383" s="185">
        <v>0</v>
      </c>
      <c r="BJ383" s="185">
        <v>0</v>
      </c>
      <c r="BK383" s="185">
        <v>0</v>
      </c>
      <c r="BL383" s="185">
        <v>0</v>
      </c>
      <c r="BM383" s="185">
        <v>0</v>
      </c>
      <c r="BN383" s="185">
        <v>0</v>
      </c>
      <c r="BO383" s="185">
        <v>0</v>
      </c>
      <c r="BP383" s="185">
        <v>0</v>
      </c>
      <c r="BQ383" s="185">
        <v>0</v>
      </c>
      <c r="BR383" s="185">
        <v>0</v>
      </c>
      <c r="BS383" s="185">
        <v>0</v>
      </c>
      <c r="BT383" s="185">
        <v>0</v>
      </c>
      <c r="BU383" t="b">
        <f>IF(_xlfn.MAXIFS(Table1[Sl No],Table1[Category],Table1[[#This Row],[Category]],Table1[Execution Year],Table1[[#This Row],[Execution Year]])=Table1[[#This Row],[Sl No]],TRUE,FALSE)</f>
        <v>1</v>
      </c>
      <c r="BV383" s="201">
        <f>SUM(Table1[[#This Row],[Spend - CAN]:[Spend - Sams]])+SUM(Table1[[#This Row],[Spend - Sams Mexico]:[Spend - Sams China]])+Table1[[#This Row],[Spend - IND]]</f>
        <v>16000000</v>
      </c>
      <c r="BW383">
        <f>SUM(Table1[[#This Row],[Savings - CAN]:[Savings - Sams]])+SUM(Table1[[#This Row],[Savings - Sams Mexico]:[Savings - Sams China]])+Table1[[#This Row],[Savings - IND]]</f>
        <v>0</v>
      </c>
      <c r="BX383">
        <f>SUM(Table1[[#This Row],[Spend - CAN]:[Spend - SAF]])+SUM(Table1[[#This Row],[Spend - Sams Mexico]:[Spend - Sams China]])+Table1[[#This Row],[Spend - IND]]</f>
        <v>0</v>
      </c>
      <c r="BY383">
        <f>SUM(Table1[[#This Row],[Savings - CAN]:[Savings - SAF]])+SUM(Table1[[#This Row],[Savings - Sams Mexico]:[Savings - Sams China]])+Table1[[#This Row],[Savings - IND]]</f>
        <v>0</v>
      </c>
      <c r="BZ383">
        <f>SUM(Table1[[#This Row],[Spend - US]:[Spend - Sams]])</f>
        <v>16000000</v>
      </c>
      <c r="CA383">
        <f>SUM(Table1[[#This Row],[Savings - US]:[Savings - Sams]])</f>
        <v>0</v>
      </c>
      <c r="CB383">
        <f>SUM(Table1[[#This Row],[Cost Avoidance - CAN2]:[Cost Avoidance - SAF10]])+SUM(Table1[[#This Row],[Cost Avoidance - Sams Mexico]:[Cost Avoidance - Sams China]])+Table1[[#This Row],[Cost Avoidance - IND]]</f>
        <v>0</v>
      </c>
      <c r="CC383">
        <f>SUM(Table1[[#This Row],[Cost Avoidance - US11]:[Cost Avoidance - Sams12]])</f>
        <v>0</v>
      </c>
      <c r="CD383">
        <f>_xlfn.XLOOKUP(Table1[[#This Row],[Status]],Status_Lookups[Status],Status_Lookups[Value],"")</f>
        <v>0.3</v>
      </c>
    </row>
    <row r="384" spans="1:82">
      <c r="A384">
        <v>1</v>
      </c>
      <c r="B384" t="s">
        <v>540</v>
      </c>
      <c r="C384" t="s">
        <v>33</v>
      </c>
      <c r="D384" t="s">
        <v>322</v>
      </c>
      <c r="E384" s="15"/>
      <c r="F384" s="15"/>
      <c r="G384" s="15"/>
      <c r="H384" s="15"/>
      <c r="I384" t="s">
        <v>135</v>
      </c>
      <c r="J384" t="s">
        <v>459</v>
      </c>
      <c r="K384" t="s">
        <v>514</v>
      </c>
      <c r="X384" t="s">
        <v>47</v>
      </c>
      <c r="Y384" s="16">
        <v>44701.387036342596</v>
      </c>
      <c r="Z384" s="17" t="str">
        <f>_xlfn.XLOOKUP(Table1[[#This Row],[Phase]],'Lookup tables'!$Y$27:$Y$60,'Lookup tables'!$Z$27:$Z$60,"Not Updated")</f>
        <v>Pipeline</v>
      </c>
      <c r="AA384" s="17"/>
      <c r="BG384" s="185"/>
      <c r="BH384" s="185"/>
      <c r="BI384" s="185"/>
      <c r="BJ384" s="185"/>
      <c r="BK384" s="185"/>
      <c r="BL384" s="185"/>
      <c r="BM384" s="185"/>
      <c r="BN384" s="185"/>
      <c r="BO384" s="185"/>
      <c r="BP384" s="185"/>
      <c r="BQ384" s="185"/>
      <c r="BR384" s="185"/>
      <c r="BS384" s="185"/>
      <c r="BT384" s="185"/>
      <c r="BU384" t="b">
        <f>IF(_xlfn.MAXIFS(Table1[Sl No],Table1[Category],Table1[[#This Row],[Category]],Table1[Execution Year],Table1[[#This Row],[Execution Year]])=Table1[[#This Row],[Sl No]],TRUE,FALSE)</f>
        <v>1</v>
      </c>
      <c r="BV384" s="201">
        <f>SUM(Table1[[#This Row],[Spend - CAN]:[Spend - Sams]])+SUM(Table1[[#This Row],[Spend - Sams Mexico]:[Spend - Sams China]])+Table1[[#This Row],[Spend - IND]]</f>
        <v>0</v>
      </c>
      <c r="BW384">
        <f>SUM(Table1[[#This Row],[Savings - CAN]:[Savings - Sams]])+SUM(Table1[[#This Row],[Savings - Sams Mexico]:[Savings - Sams China]])+Table1[[#This Row],[Savings - IND]]</f>
        <v>0</v>
      </c>
      <c r="BX384">
        <f>SUM(Table1[[#This Row],[Spend - CAN]:[Spend - SAF]])+SUM(Table1[[#This Row],[Spend - Sams Mexico]:[Spend - Sams China]])+Table1[[#This Row],[Spend - IND]]</f>
        <v>0</v>
      </c>
      <c r="BY384">
        <f>SUM(Table1[[#This Row],[Savings - CAN]:[Savings - SAF]])+SUM(Table1[[#This Row],[Savings - Sams Mexico]:[Savings - Sams China]])+Table1[[#This Row],[Savings - IND]]</f>
        <v>0</v>
      </c>
      <c r="BZ384">
        <f>SUM(Table1[[#This Row],[Spend - US]:[Spend - Sams]])</f>
        <v>0</v>
      </c>
      <c r="CA384">
        <f>SUM(Table1[[#This Row],[Savings - US]:[Savings - Sams]])</f>
        <v>0</v>
      </c>
      <c r="CB384">
        <f>SUM(Table1[[#This Row],[Cost Avoidance - CAN2]:[Cost Avoidance - SAF10]])+SUM(Table1[[#This Row],[Cost Avoidance - Sams Mexico]:[Cost Avoidance - Sams China]])+Table1[[#This Row],[Cost Avoidance - IND]]</f>
        <v>0</v>
      </c>
      <c r="CC384">
        <f>SUM(Table1[[#This Row],[Cost Avoidance - US11]:[Cost Avoidance - Sams12]])</f>
        <v>0</v>
      </c>
      <c r="CD384">
        <f>_xlfn.XLOOKUP(Table1[[#This Row],[Status]],Status_Lookups[Status],Status_Lookups[Value],"")</f>
        <v>0.3</v>
      </c>
    </row>
    <row r="385" spans="1:82">
      <c r="A385">
        <v>1</v>
      </c>
      <c r="B385" t="s">
        <v>541</v>
      </c>
      <c r="C385" t="s">
        <v>33</v>
      </c>
      <c r="D385" t="s">
        <v>322</v>
      </c>
      <c r="E385" s="15"/>
      <c r="F385" s="15"/>
      <c r="G385" s="15"/>
      <c r="H385" s="15"/>
      <c r="I385" t="s">
        <v>135</v>
      </c>
      <c r="J385" t="s">
        <v>459</v>
      </c>
      <c r="K385" t="s">
        <v>514</v>
      </c>
      <c r="X385" t="s">
        <v>47</v>
      </c>
      <c r="Y385" s="16">
        <v>44701.387036342596</v>
      </c>
      <c r="Z385" s="17" t="str">
        <f>_xlfn.XLOOKUP(Table1[[#This Row],[Phase]],'Lookup tables'!$Y$27:$Y$60,'Lookup tables'!$Z$27:$Z$60,"Not Updated")</f>
        <v>Pipeline</v>
      </c>
      <c r="AA385" s="17"/>
      <c r="BG385" s="185"/>
      <c r="BH385" s="185"/>
      <c r="BI385" s="185"/>
      <c r="BJ385" s="185"/>
      <c r="BK385" s="185"/>
      <c r="BL385" s="185"/>
      <c r="BM385" s="185"/>
      <c r="BN385" s="185"/>
      <c r="BO385" s="185"/>
      <c r="BP385" s="185"/>
      <c r="BQ385" s="185"/>
      <c r="BR385" s="185"/>
      <c r="BS385" s="185"/>
      <c r="BT385" s="185"/>
      <c r="BU385" t="b">
        <f>IF(_xlfn.MAXIFS(Table1[Sl No],Table1[Category],Table1[[#This Row],[Category]],Table1[Execution Year],Table1[[#This Row],[Execution Year]])=Table1[[#This Row],[Sl No]],TRUE,FALSE)</f>
        <v>1</v>
      </c>
      <c r="BV385" s="201">
        <f>SUM(Table1[[#This Row],[Spend - CAN]:[Spend - Sams]])+SUM(Table1[[#This Row],[Spend - Sams Mexico]:[Spend - Sams China]])+Table1[[#This Row],[Spend - IND]]</f>
        <v>0</v>
      </c>
      <c r="BW385">
        <f>SUM(Table1[[#This Row],[Savings - CAN]:[Savings - Sams]])+SUM(Table1[[#This Row],[Savings - Sams Mexico]:[Savings - Sams China]])+Table1[[#This Row],[Savings - IND]]</f>
        <v>0</v>
      </c>
      <c r="BX385">
        <f>SUM(Table1[[#This Row],[Spend - CAN]:[Spend - SAF]])+SUM(Table1[[#This Row],[Spend - Sams Mexico]:[Spend - Sams China]])+Table1[[#This Row],[Spend - IND]]</f>
        <v>0</v>
      </c>
      <c r="BY385">
        <f>SUM(Table1[[#This Row],[Savings - CAN]:[Savings - SAF]])+SUM(Table1[[#This Row],[Savings - Sams Mexico]:[Savings - Sams China]])+Table1[[#This Row],[Savings - IND]]</f>
        <v>0</v>
      </c>
      <c r="BZ385">
        <f>SUM(Table1[[#This Row],[Spend - US]:[Spend - Sams]])</f>
        <v>0</v>
      </c>
      <c r="CA385">
        <f>SUM(Table1[[#This Row],[Savings - US]:[Savings - Sams]])</f>
        <v>0</v>
      </c>
      <c r="CB385">
        <f>SUM(Table1[[#This Row],[Cost Avoidance - CAN2]:[Cost Avoidance - SAF10]])+SUM(Table1[[#This Row],[Cost Avoidance - Sams Mexico]:[Cost Avoidance - Sams China]])+Table1[[#This Row],[Cost Avoidance - IND]]</f>
        <v>0</v>
      </c>
      <c r="CC385">
        <f>SUM(Table1[[#This Row],[Cost Avoidance - US11]:[Cost Avoidance - Sams12]])</f>
        <v>0</v>
      </c>
      <c r="CD385">
        <f>_xlfn.XLOOKUP(Table1[[#This Row],[Status]],Status_Lookups[Status],Status_Lookups[Value],"")</f>
        <v>0.3</v>
      </c>
    </row>
    <row r="386" spans="1:82">
      <c r="A386">
        <v>1</v>
      </c>
      <c r="B386" t="s">
        <v>110</v>
      </c>
      <c r="C386" t="s">
        <v>43</v>
      </c>
      <c r="D386" t="s">
        <v>39</v>
      </c>
      <c r="E386" s="15"/>
      <c r="F386" s="15"/>
      <c r="G386" s="15"/>
      <c r="H386" s="15"/>
      <c r="X386" t="s">
        <v>78</v>
      </c>
      <c r="Y386" s="16">
        <v>44295.368159722224</v>
      </c>
      <c r="Z386" s="17" t="str">
        <f>_xlfn.XLOOKUP(Table1[[#This Row],[Phase]],'Lookup tables'!$Y$27:$Y$60,'Lookup tables'!$Z$27:$Z$60,"Not Updated")</f>
        <v>Not Updated</v>
      </c>
      <c r="AA386" s="17"/>
      <c r="BG386" s="185"/>
      <c r="BH386" s="185"/>
      <c r="BI386" s="185"/>
      <c r="BJ386" s="185"/>
      <c r="BK386" s="185"/>
      <c r="BL386" s="185"/>
      <c r="BM386" s="185"/>
      <c r="BN386" s="185"/>
      <c r="BO386" s="185"/>
      <c r="BP386" s="185"/>
      <c r="BQ386" s="185"/>
      <c r="BR386" s="185"/>
      <c r="BS386" s="185"/>
      <c r="BT386" s="185"/>
      <c r="BU386" t="b">
        <f>IF(_xlfn.MAXIFS(Table1[Sl No],Table1[Category],Table1[[#This Row],[Category]],Table1[Execution Year],Table1[[#This Row],[Execution Year]])=Table1[[#This Row],[Sl No]],TRUE,FALSE)</f>
        <v>0</v>
      </c>
      <c r="BV386" s="201">
        <f>SUM(Table1[[#This Row],[Spend - CAN]:[Spend - Sams]])+SUM(Table1[[#This Row],[Spend - Sams Mexico]:[Spend - Sams China]])+Table1[[#This Row],[Spend - IND]]</f>
        <v>0</v>
      </c>
      <c r="BW386">
        <f>SUM(Table1[[#This Row],[Savings - CAN]:[Savings - Sams]])+SUM(Table1[[#This Row],[Savings - Sams Mexico]:[Savings - Sams China]])+Table1[[#This Row],[Savings - IND]]</f>
        <v>0</v>
      </c>
      <c r="BX386">
        <f>SUM(Table1[[#This Row],[Spend - CAN]:[Spend - SAF]])+SUM(Table1[[#This Row],[Spend - Sams Mexico]:[Spend - Sams China]])+Table1[[#This Row],[Spend - IND]]</f>
        <v>0</v>
      </c>
      <c r="BY386">
        <f>SUM(Table1[[#This Row],[Savings - CAN]:[Savings - SAF]])+SUM(Table1[[#This Row],[Savings - Sams Mexico]:[Savings - Sams China]])+Table1[[#This Row],[Savings - IND]]</f>
        <v>0</v>
      </c>
      <c r="BZ386">
        <f>SUM(Table1[[#This Row],[Spend - US]:[Spend - Sams]])</f>
        <v>0</v>
      </c>
      <c r="CA386">
        <f>SUM(Table1[[#This Row],[Savings - US]:[Savings - Sams]])</f>
        <v>0</v>
      </c>
      <c r="CB386">
        <f>SUM(Table1[[#This Row],[Cost Avoidance - CAN2]:[Cost Avoidance - SAF10]])+SUM(Table1[[#This Row],[Cost Avoidance - Sams Mexico]:[Cost Avoidance - Sams China]])+Table1[[#This Row],[Cost Avoidance - IND]]</f>
        <v>0</v>
      </c>
      <c r="CC386">
        <f>SUM(Table1[[#This Row],[Cost Avoidance - US11]:[Cost Avoidance - Sams12]])</f>
        <v>0</v>
      </c>
      <c r="CD386" t="str">
        <f>_xlfn.XLOOKUP(Table1[[#This Row],[Status]],Status_Lookups[Status],Status_Lookups[Value],"")</f>
        <v/>
      </c>
    </row>
    <row r="387" spans="1:82">
      <c r="A387">
        <v>2</v>
      </c>
      <c r="B387" t="s">
        <v>110</v>
      </c>
      <c r="C387" t="s">
        <v>43</v>
      </c>
      <c r="D387" t="s">
        <v>39</v>
      </c>
      <c r="E387" s="15">
        <v>44301</v>
      </c>
      <c r="F387" s="15">
        <v>44347</v>
      </c>
      <c r="G387" s="15"/>
      <c r="H387" s="15"/>
      <c r="I387" t="s">
        <v>484</v>
      </c>
      <c r="J387" t="s">
        <v>459</v>
      </c>
      <c r="K387" t="s">
        <v>445</v>
      </c>
      <c r="L387">
        <v>0</v>
      </c>
      <c r="M387">
        <v>0</v>
      </c>
      <c r="N387">
        <v>0</v>
      </c>
      <c r="O387">
        <v>0</v>
      </c>
      <c r="P387">
        <v>0</v>
      </c>
      <c r="Q387">
        <v>0</v>
      </c>
      <c r="R387">
        <v>0</v>
      </c>
      <c r="S387">
        <v>0</v>
      </c>
      <c r="T387">
        <v>0</v>
      </c>
      <c r="U387">
        <v>0</v>
      </c>
      <c r="V387">
        <v>0</v>
      </c>
      <c r="W387">
        <v>0</v>
      </c>
      <c r="X387" t="s">
        <v>78</v>
      </c>
      <c r="Y387" s="16">
        <v>44295.369429050923</v>
      </c>
      <c r="Z387" s="17" t="str">
        <f>_xlfn.XLOOKUP(Table1[[#This Row],[Phase]],'Lookup tables'!$Y$27:$Y$60,'Lookup tables'!$Z$27:$Z$60,"Not Updated")</f>
        <v>Bid Prep</v>
      </c>
      <c r="AA387" s="17">
        <v>0</v>
      </c>
      <c r="AB387">
        <v>0</v>
      </c>
      <c r="AC387">
        <v>0</v>
      </c>
      <c r="AD387">
        <v>0</v>
      </c>
      <c r="AE387">
        <v>0</v>
      </c>
      <c r="AF387">
        <v>0</v>
      </c>
      <c r="AG387">
        <v>0</v>
      </c>
      <c r="AH387">
        <v>0</v>
      </c>
      <c r="AI387">
        <v>0</v>
      </c>
      <c r="AJ387">
        <v>0</v>
      </c>
      <c r="AK387">
        <v>0</v>
      </c>
      <c r="AL387">
        <v>0</v>
      </c>
      <c r="AM387">
        <v>0</v>
      </c>
      <c r="AN387">
        <v>0</v>
      </c>
      <c r="AO387">
        <v>0</v>
      </c>
      <c r="AP387">
        <v>0</v>
      </c>
      <c r="AQ387">
        <v>0</v>
      </c>
      <c r="AR387">
        <v>0</v>
      </c>
      <c r="AS387">
        <v>0</v>
      </c>
      <c r="AT387">
        <v>0</v>
      </c>
      <c r="AU387">
        <v>0</v>
      </c>
      <c r="AV387">
        <v>0</v>
      </c>
      <c r="AW387">
        <v>0</v>
      </c>
      <c r="BG387" s="185"/>
      <c r="BH387" s="185"/>
      <c r="BI387" s="185"/>
      <c r="BJ387" s="185"/>
      <c r="BK387" s="185"/>
      <c r="BL387" s="185"/>
      <c r="BM387" s="185"/>
      <c r="BN387" s="185"/>
      <c r="BO387" s="185"/>
      <c r="BP387" s="185"/>
      <c r="BQ387" s="185"/>
      <c r="BR387" s="185"/>
      <c r="BS387" s="185"/>
      <c r="BT387" s="185"/>
      <c r="BU387" t="b">
        <f>IF(_xlfn.MAXIFS(Table1[Sl No],Table1[Category],Table1[[#This Row],[Category]],Table1[Execution Year],Table1[[#This Row],[Execution Year]])=Table1[[#This Row],[Sl No]],TRUE,FALSE)</f>
        <v>0</v>
      </c>
      <c r="BV387" s="201">
        <f>SUM(Table1[[#This Row],[Spend - CAN]:[Spend - Sams]])+SUM(Table1[[#This Row],[Spend - Sams Mexico]:[Spend - Sams China]])+Table1[[#This Row],[Spend - IND]]</f>
        <v>0</v>
      </c>
      <c r="BW387">
        <f>SUM(Table1[[#This Row],[Savings - CAN]:[Savings - Sams]])+SUM(Table1[[#This Row],[Savings - Sams Mexico]:[Savings - Sams China]])+Table1[[#This Row],[Savings - IND]]</f>
        <v>0</v>
      </c>
      <c r="BX387">
        <f>SUM(Table1[[#This Row],[Spend - CAN]:[Spend - SAF]])+SUM(Table1[[#This Row],[Spend - Sams Mexico]:[Spend - Sams China]])+Table1[[#This Row],[Spend - IND]]</f>
        <v>0</v>
      </c>
      <c r="BY387">
        <f>SUM(Table1[[#This Row],[Savings - CAN]:[Savings - SAF]])+SUM(Table1[[#This Row],[Savings - Sams Mexico]:[Savings - Sams China]])+Table1[[#This Row],[Savings - IND]]</f>
        <v>0</v>
      </c>
      <c r="BZ387">
        <f>SUM(Table1[[#This Row],[Spend - US]:[Spend - Sams]])</f>
        <v>0</v>
      </c>
      <c r="CA387">
        <f>SUM(Table1[[#This Row],[Savings - US]:[Savings - Sams]])</f>
        <v>0</v>
      </c>
      <c r="CB387">
        <f>SUM(Table1[[#This Row],[Cost Avoidance - CAN2]:[Cost Avoidance - SAF10]])+SUM(Table1[[#This Row],[Cost Avoidance - Sams Mexico]:[Cost Avoidance - Sams China]])+Table1[[#This Row],[Cost Avoidance - IND]]</f>
        <v>0</v>
      </c>
      <c r="CC387">
        <f>SUM(Table1[[#This Row],[Cost Avoidance - US11]:[Cost Avoidance - Sams12]])</f>
        <v>0</v>
      </c>
      <c r="CD387">
        <f>_xlfn.XLOOKUP(Table1[[#This Row],[Status]],Status_Lookups[Status],Status_Lookups[Value],"")</f>
        <v>0.3</v>
      </c>
    </row>
    <row r="388" spans="1:82">
      <c r="A388">
        <v>3</v>
      </c>
      <c r="B388" t="s">
        <v>110</v>
      </c>
      <c r="C388" t="s">
        <v>43</v>
      </c>
      <c r="D388" t="s">
        <v>39</v>
      </c>
      <c r="E388" s="15">
        <v>44301</v>
      </c>
      <c r="F388" s="15">
        <v>44347</v>
      </c>
      <c r="G388" s="15"/>
      <c r="H388" s="15"/>
      <c r="I388" t="s">
        <v>484</v>
      </c>
      <c r="J388" t="s">
        <v>459</v>
      </c>
      <c r="K388" t="s">
        <v>445</v>
      </c>
      <c r="L388">
        <v>0</v>
      </c>
      <c r="M388">
        <v>2700000</v>
      </c>
      <c r="N388">
        <v>250000</v>
      </c>
      <c r="O388">
        <v>0</v>
      </c>
      <c r="P388">
        <v>0</v>
      </c>
      <c r="Q388">
        <v>0</v>
      </c>
      <c r="R388">
        <v>0</v>
      </c>
      <c r="S388">
        <v>0</v>
      </c>
      <c r="T388">
        <v>0</v>
      </c>
      <c r="U388">
        <v>0</v>
      </c>
      <c r="V388">
        <v>25300000</v>
      </c>
      <c r="W388">
        <v>0</v>
      </c>
      <c r="X388" t="s">
        <v>78</v>
      </c>
      <c r="Y388" s="16">
        <v>44298.389203356484</v>
      </c>
      <c r="Z388" s="17" t="str">
        <f>_xlfn.XLOOKUP(Table1[[#This Row],[Phase]],'Lookup tables'!$Y$27:$Y$60,'Lookup tables'!$Z$27:$Z$60,"Not Updated")</f>
        <v>Bid Prep</v>
      </c>
      <c r="AA388" s="17">
        <v>0</v>
      </c>
      <c r="AB388">
        <v>0</v>
      </c>
      <c r="AC388">
        <v>0</v>
      </c>
      <c r="AD388">
        <v>0</v>
      </c>
      <c r="AE388">
        <v>0</v>
      </c>
      <c r="AF388">
        <v>0</v>
      </c>
      <c r="AG388">
        <v>0</v>
      </c>
      <c r="AH388">
        <v>0</v>
      </c>
      <c r="AI388">
        <v>0</v>
      </c>
      <c r="AJ388">
        <v>0</v>
      </c>
      <c r="AK388">
        <v>0</v>
      </c>
      <c r="AL388">
        <v>0</v>
      </c>
      <c r="AM388">
        <v>0</v>
      </c>
      <c r="AN388">
        <v>0</v>
      </c>
      <c r="AO388">
        <v>0</v>
      </c>
      <c r="AP388">
        <v>0</v>
      </c>
      <c r="AQ388">
        <v>0</v>
      </c>
      <c r="AR388">
        <v>0</v>
      </c>
      <c r="AS388">
        <v>0</v>
      </c>
      <c r="AT388">
        <v>0</v>
      </c>
      <c r="AU388">
        <v>0</v>
      </c>
      <c r="AV388">
        <v>0</v>
      </c>
      <c r="AW388">
        <v>0</v>
      </c>
      <c r="BG388" s="185"/>
      <c r="BH388" s="185"/>
      <c r="BI388" s="185"/>
      <c r="BJ388" s="185"/>
      <c r="BK388" s="185"/>
      <c r="BL388" s="185"/>
      <c r="BM388" s="185"/>
      <c r="BN388" s="185"/>
      <c r="BO388" s="185"/>
      <c r="BP388" s="185"/>
      <c r="BQ388" s="185"/>
      <c r="BR388" s="185"/>
      <c r="BS388" s="185"/>
      <c r="BT388" s="185"/>
      <c r="BU388" t="b">
        <f>IF(_xlfn.MAXIFS(Table1[Sl No],Table1[Category],Table1[[#This Row],[Category]],Table1[Execution Year],Table1[[#This Row],[Execution Year]])=Table1[[#This Row],[Sl No]],TRUE,FALSE)</f>
        <v>0</v>
      </c>
      <c r="BV388" s="201">
        <f>SUM(Table1[[#This Row],[Spend - CAN]:[Spend - Sams]])+SUM(Table1[[#This Row],[Spend - Sams Mexico]:[Spend - Sams China]])+Table1[[#This Row],[Spend - IND]]</f>
        <v>28250000</v>
      </c>
      <c r="BW388">
        <f>SUM(Table1[[#This Row],[Savings - CAN]:[Savings - Sams]])+SUM(Table1[[#This Row],[Savings - Sams Mexico]:[Savings - Sams China]])+Table1[[#This Row],[Savings - IND]]</f>
        <v>0</v>
      </c>
      <c r="BX388">
        <f>SUM(Table1[[#This Row],[Spend - CAN]:[Spend - SAF]])+SUM(Table1[[#This Row],[Spend - Sams Mexico]:[Spend - Sams China]])+Table1[[#This Row],[Spend - IND]]</f>
        <v>2950000</v>
      </c>
      <c r="BY388">
        <f>SUM(Table1[[#This Row],[Savings - CAN]:[Savings - SAF]])+SUM(Table1[[#This Row],[Savings - Sams Mexico]:[Savings - Sams China]])+Table1[[#This Row],[Savings - IND]]</f>
        <v>0</v>
      </c>
      <c r="BZ388">
        <f>SUM(Table1[[#This Row],[Spend - US]:[Spend - Sams]])</f>
        <v>25300000</v>
      </c>
      <c r="CA388">
        <f>SUM(Table1[[#This Row],[Savings - US]:[Savings - Sams]])</f>
        <v>0</v>
      </c>
      <c r="CB388">
        <f>SUM(Table1[[#This Row],[Cost Avoidance - CAN2]:[Cost Avoidance - SAF10]])+SUM(Table1[[#This Row],[Cost Avoidance - Sams Mexico]:[Cost Avoidance - Sams China]])+Table1[[#This Row],[Cost Avoidance - IND]]</f>
        <v>0</v>
      </c>
      <c r="CC388">
        <f>SUM(Table1[[#This Row],[Cost Avoidance - US11]:[Cost Avoidance - Sams12]])</f>
        <v>0</v>
      </c>
      <c r="CD388">
        <f>_xlfn.XLOOKUP(Table1[[#This Row],[Status]],Status_Lookups[Status],Status_Lookups[Value],"")</f>
        <v>0.3</v>
      </c>
    </row>
    <row r="389" spans="1:82">
      <c r="A389">
        <v>4</v>
      </c>
      <c r="B389" t="s">
        <v>110</v>
      </c>
      <c r="C389" t="s">
        <v>43</v>
      </c>
      <c r="D389" t="s">
        <v>39</v>
      </c>
      <c r="E389" s="15">
        <v>44301</v>
      </c>
      <c r="F389" s="15">
        <v>44347</v>
      </c>
      <c r="G389" s="15"/>
      <c r="H389" s="15"/>
      <c r="I389" t="s">
        <v>635</v>
      </c>
      <c r="J389" t="s">
        <v>459</v>
      </c>
      <c r="K389" t="s">
        <v>445</v>
      </c>
      <c r="L389">
        <v>0</v>
      </c>
      <c r="M389">
        <v>2700000</v>
      </c>
      <c r="N389">
        <v>250000</v>
      </c>
      <c r="O389">
        <v>0</v>
      </c>
      <c r="P389">
        <v>0</v>
      </c>
      <c r="Q389">
        <v>0</v>
      </c>
      <c r="R389">
        <v>0</v>
      </c>
      <c r="S389">
        <v>0</v>
      </c>
      <c r="T389">
        <v>0</v>
      </c>
      <c r="U389">
        <v>0</v>
      </c>
      <c r="V389">
        <v>25300000</v>
      </c>
      <c r="W389">
        <v>0</v>
      </c>
      <c r="X389" t="s">
        <v>78</v>
      </c>
      <c r="Y389" s="16">
        <v>44301.590236689815</v>
      </c>
      <c r="Z389" s="17" t="str">
        <f>_xlfn.XLOOKUP(Table1[[#This Row],[Phase]],'Lookup tables'!$Y$27:$Y$60,'Lookup tables'!$Z$27:$Z$60,"Not Updated")</f>
        <v>RFPX underway</v>
      </c>
      <c r="AA389" s="17">
        <v>0</v>
      </c>
      <c r="AB389">
        <v>0</v>
      </c>
      <c r="AC389">
        <v>0</v>
      </c>
      <c r="AD389">
        <v>0</v>
      </c>
      <c r="AE389">
        <v>0</v>
      </c>
      <c r="AF389">
        <v>0</v>
      </c>
      <c r="AG389">
        <v>0</v>
      </c>
      <c r="AH389">
        <v>0</v>
      </c>
      <c r="AI389">
        <v>0</v>
      </c>
      <c r="AJ389">
        <v>0</v>
      </c>
      <c r="AK389">
        <v>0</v>
      </c>
      <c r="AL389">
        <v>0</v>
      </c>
      <c r="AM389">
        <v>0</v>
      </c>
      <c r="AN389">
        <v>0</v>
      </c>
      <c r="AO389">
        <v>0</v>
      </c>
      <c r="AP389">
        <v>0</v>
      </c>
      <c r="AQ389">
        <v>0</v>
      </c>
      <c r="AR389">
        <v>0</v>
      </c>
      <c r="AS389">
        <v>0</v>
      </c>
      <c r="AT389">
        <v>0</v>
      </c>
      <c r="AU389">
        <v>0</v>
      </c>
      <c r="AV389">
        <v>0</v>
      </c>
      <c r="AW389">
        <v>0</v>
      </c>
      <c r="BG389" s="185"/>
      <c r="BH389" s="185"/>
      <c r="BI389" s="185"/>
      <c r="BJ389" s="185"/>
      <c r="BK389" s="185"/>
      <c r="BL389" s="185"/>
      <c r="BM389" s="185"/>
      <c r="BN389" s="185"/>
      <c r="BO389" s="185"/>
      <c r="BP389" s="185"/>
      <c r="BQ389" s="185"/>
      <c r="BR389" s="185"/>
      <c r="BS389" s="185"/>
      <c r="BT389" s="185"/>
      <c r="BU389" t="b">
        <f>IF(_xlfn.MAXIFS(Table1[Sl No],Table1[Category],Table1[[#This Row],[Category]],Table1[Execution Year],Table1[[#This Row],[Execution Year]])=Table1[[#This Row],[Sl No]],TRUE,FALSE)</f>
        <v>0</v>
      </c>
      <c r="BV389" s="201">
        <f>SUM(Table1[[#This Row],[Spend - CAN]:[Spend - Sams]])+SUM(Table1[[#This Row],[Spend - Sams Mexico]:[Spend - Sams China]])+Table1[[#This Row],[Spend - IND]]</f>
        <v>28250000</v>
      </c>
      <c r="BW389">
        <f>SUM(Table1[[#This Row],[Savings - CAN]:[Savings - Sams]])+SUM(Table1[[#This Row],[Savings - Sams Mexico]:[Savings - Sams China]])+Table1[[#This Row],[Savings - IND]]</f>
        <v>0</v>
      </c>
      <c r="BX389">
        <f>SUM(Table1[[#This Row],[Spend - CAN]:[Spend - SAF]])+SUM(Table1[[#This Row],[Spend - Sams Mexico]:[Spend - Sams China]])+Table1[[#This Row],[Spend - IND]]</f>
        <v>2950000</v>
      </c>
      <c r="BY389">
        <f>SUM(Table1[[#This Row],[Savings - CAN]:[Savings - SAF]])+SUM(Table1[[#This Row],[Savings - Sams Mexico]:[Savings - Sams China]])+Table1[[#This Row],[Savings - IND]]</f>
        <v>0</v>
      </c>
      <c r="BZ389">
        <f>SUM(Table1[[#This Row],[Spend - US]:[Spend - Sams]])</f>
        <v>25300000</v>
      </c>
      <c r="CA389">
        <f>SUM(Table1[[#This Row],[Savings - US]:[Savings - Sams]])</f>
        <v>0</v>
      </c>
      <c r="CB389">
        <f>SUM(Table1[[#This Row],[Cost Avoidance - CAN2]:[Cost Avoidance - SAF10]])+SUM(Table1[[#This Row],[Cost Avoidance - Sams Mexico]:[Cost Avoidance - Sams China]])+Table1[[#This Row],[Cost Avoidance - IND]]</f>
        <v>0</v>
      </c>
      <c r="CC389">
        <f>SUM(Table1[[#This Row],[Cost Avoidance - US11]:[Cost Avoidance - Sams12]])</f>
        <v>0</v>
      </c>
      <c r="CD389">
        <f>_xlfn.XLOOKUP(Table1[[#This Row],[Status]],Status_Lookups[Status],Status_Lookups[Value],"")</f>
        <v>0.3</v>
      </c>
    </row>
    <row r="390" spans="1:82">
      <c r="A390">
        <v>5</v>
      </c>
      <c r="B390" t="s">
        <v>110</v>
      </c>
      <c r="C390" t="s">
        <v>43</v>
      </c>
      <c r="D390" t="s">
        <v>39</v>
      </c>
      <c r="E390" s="15">
        <v>44301</v>
      </c>
      <c r="F390" s="15">
        <v>44347</v>
      </c>
      <c r="G390" s="15">
        <v>0</v>
      </c>
      <c r="H390" s="15">
        <v>0</v>
      </c>
      <c r="I390" t="s">
        <v>635</v>
      </c>
      <c r="J390" t="s">
        <v>459</v>
      </c>
      <c r="K390" t="s">
        <v>445</v>
      </c>
      <c r="L390">
        <v>0</v>
      </c>
      <c r="M390">
        <v>2700000</v>
      </c>
      <c r="N390">
        <v>250000</v>
      </c>
      <c r="O390">
        <v>0</v>
      </c>
      <c r="P390">
        <v>0</v>
      </c>
      <c r="Q390">
        <v>0</v>
      </c>
      <c r="R390">
        <v>0</v>
      </c>
      <c r="S390">
        <v>0</v>
      </c>
      <c r="T390">
        <v>0</v>
      </c>
      <c r="U390">
        <v>0</v>
      </c>
      <c r="V390">
        <v>37576511.380000003</v>
      </c>
      <c r="W390">
        <v>0</v>
      </c>
      <c r="X390" t="s">
        <v>445</v>
      </c>
      <c r="Y390" s="16">
        <v>44307.362840740738</v>
      </c>
      <c r="Z390" s="17" t="str">
        <f>_xlfn.XLOOKUP(Table1[[#This Row],[Phase]],'Lookup tables'!$Y$27:$Y$60,'Lookup tables'!$Z$27:$Z$60,"Not Updated")</f>
        <v>RFPX underway</v>
      </c>
      <c r="AA390" s="17" t="s">
        <v>691</v>
      </c>
      <c r="AB390">
        <v>0</v>
      </c>
      <c r="AC390">
        <v>0</v>
      </c>
      <c r="AD390">
        <v>0</v>
      </c>
      <c r="AE390">
        <v>0</v>
      </c>
      <c r="AF390">
        <v>0</v>
      </c>
      <c r="AG390">
        <v>0</v>
      </c>
      <c r="AH390">
        <v>0</v>
      </c>
      <c r="AI390">
        <v>0</v>
      </c>
      <c r="AJ390">
        <v>0</v>
      </c>
      <c r="AK390">
        <v>0</v>
      </c>
      <c r="AL390">
        <v>0</v>
      </c>
      <c r="AM390">
        <v>0</v>
      </c>
      <c r="AN390">
        <v>0</v>
      </c>
      <c r="AO390">
        <v>0</v>
      </c>
      <c r="AP390">
        <v>0</v>
      </c>
      <c r="AQ390">
        <v>0</v>
      </c>
      <c r="AR390">
        <v>0</v>
      </c>
      <c r="AS390">
        <v>0</v>
      </c>
      <c r="AT390">
        <v>0</v>
      </c>
      <c r="AU390">
        <v>0</v>
      </c>
      <c r="AV390">
        <v>0</v>
      </c>
      <c r="AW390">
        <v>0</v>
      </c>
      <c r="BG390" s="185"/>
      <c r="BH390" s="185"/>
      <c r="BI390" s="185"/>
      <c r="BJ390" s="185"/>
      <c r="BK390" s="185"/>
      <c r="BL390" s="185"/>
      <c r="BM390" s="185"/>
      <c r="BN390" s="185"/>
      <c r="BO390" s="185"/>
      <c r="BP390" s="185"/>
      <c r="BQ390" s="185"/>
      <c r="BR390" s="185"/>
      <c r="BS390" s="185"/>
      <c r="BT390" s="185"/>
      <c r="BU390" t="b">
        <f>IF(_xlfn.MAXIFS(Table1[Sl No],Table1[Category],Table1[[#This Row],[Category]],Table1[Execution Year],Table1[[#This Row],[Execution Year]])=Table1[[#This Row],[Sl No]],TRUE,FALSE)</f>
        <v>0</v>
      </c>
      <c r="BV390" s="201">
        <f>SUM(Table1[[#This Row],[Spend - CAN]:[Spend - Sams]])+SUM(Table1[[#This Row],[Spend - Sams Mexico]:[Spend - Sams China]])+Table1[[#This Row],[Spend - IND]]</f>
        <v>40526511.380000003</v>
      </c>
      <c r="BW390">
        <f>SUM(Table1[[#This Row],[Savings - CAN]:[Savings - Sams]])+SUM(Table1[[#This Row],[Savings - Sams Mexico]:[Savings - Sams China]])+Table1[[#This Row],[Savings - IND]]</f>
        <v>0</v>
      </c>
      <c r="BX390">
        <f>SUM(Table1[[#This Row],[Spend - CAN]:[Spend - SAF]])+SUM(Table1[[#This Row],[Spend - Sams Mexico]:[Spend - Sams China]])+Table1[[#This Row],[Spend - IND]]</f>
        <v>2950000</v>
      </c>
      <c r="BY390">
        <f>SUM(Table1[[#This Row],[Savings - CAN]:[Savings - SAF]])+SUM(Table1[[#This Row],[Savings - Sams Mexico]:[Savings - Sams China]])+Table1[[#This Row],[Savings - IND]]</f>
        <v>0</v>
      </c>
      <c r="BZ390">
        <f>SUM(Table1[[#This Row],[Spend - US]:[Spend - Sams]])</f>
        <v>37576511.380000003</v>
      </c>
      <c r="CA390">
        <f>SUM(Table1[[#This Row],[Savings - US]:[Savings - Sams]])</f>
        <v>0</v>
      </c>
      <c r="CB390">
        <f>SUM(Table1[[#This Row],[Cost Avoidance - CAN2]:[Cost Avoidance - SAF10]])+SUM(Table1[[#This Row],[Cost Avoidance - Sams Mexico]:[Cost Avoidance - Sams China]])+Table1[[#This Row],[Cost Avoidance - IND]]</f>
        <v>0</v>
      </c>
      <c r="CC390">
        <f>SUM(Table1[[#This Row],[Cost Avoidance - US11]:[Cost Avoidance - Sams12]])</f>
        <v>0</v>
      </c>
      <c r="CD390">
        <f>_xlfn.XLOOKUP(Table1[[#This Row],[Status]],Status_Lookups[Status],Status_Lookups[Value],"")</f>
        <v>0.3</v>
      </c>
    </row>
    <row r="391" spans="1:82">
      <c r="A391">
        <v>6</v>
      </c>
      <c r="B391" t="s">
        <v>110</v>
      </c>
      <c r="C391" t="s">
        <v>43</v>
      </c>
      <c r="D391" t="s">
        <v>39</v>
      </c>
      <c r="E391" s="15">
        <v>44301</v>
      </c>
      <c r="F391" s="15">
        <v>44347</v>
      </c>
      <c r="G391" s="15">
        <v>0</v>
      </c>
      <c r="H391" s="15">
        <v>0</v>
      </c>
      <c r="I391" t="s">
        <v>642</v>
      </c>
      <c r="J391" t="s">
        <v>459</v>
      </c>
      <c r="K391" t="s">
        <v>445</v>
      </c>
      <c r="L391">
        <v>0</v>
      </c>
      <c r="M391">
        <v>3545000</v>
      </c>
      <c r="N391">
        <v>231784</v>
      </c>
      <c r="O391">
        <v>0</v>
      </c>
      <c r="P391">
        <v>0</v>
      </c>
      <c r="Q391">
        <v>0</v>
      </c>
      <c r="R391">
        <v>0</v>
      </c>
      <c r="S391">
        <v>0</v>
      </c>
      <c r="T391">
        <v>0</v>
      </c>
      <c r="U391">
        <v>0</v>
      </c>
      <c r="V391">
        <v>36402908</v>
      </c>
      <c r="W391">
        <v>0</v>
      </c>
      <c r="X391" t="s">
        <v>445</v>
      </c>
      <c r="Y391" s="16">
        <v>44323.34550289352</v>
      </c>
      <c r="Z391" s="17" t="str">
        <f>_xlfn.XLOOKUP(Table1[[#This Row],[Phase]],'Lookup tables'!$Y$27:$Y$60,'Lookup tables'!$Z$27:$Z$60,"Not Updated")</f>
        <v>Post Bid</v>
      </c>
      <c r="AA391" s="17" t="s">
        <v>691</v>
      </c>
      <c r="AB391">
        <v>0</v>
      </c>
      <c r="AC391">
        <v>0</v>
      </c>
      <c r="AD391">
        <v>0</v>
      </c>
      <c r="AE391">
        <v>0</v>
      </c>
      <c r="AF391">
        <v>0</v>
      </c>
      <c r="AG391">
        <v>0</v>
      </c>
      <c r="AH391">
        <v>0</v>
      </c>
      <c r="AI391">
        <v>0</v>
      </c>
      <c r="AJ391">
        <v>0</v>
      </c>
      <c r="AK391">
        <v>0</v>
      </c>
      <c r="AL391">
        <v>0</v>
      </c>
      <c r="AM391">
        <v>0</v>
      </c>
      <c r="AN391">
        <v>0</v>
      </c>
      <c r="AO391">
        <v>0</v>
      </c>
      <c r="AP391">
        <v>0</v>
      </c>
      <c r="AQ391">
        <v>0</v>
      </c>
      <c r="AR391">
        <v>0</v>
      </c>
      <c r="AS391">
        <v>0</v>
      </c>
      <c r="AT391">
        <v>0</v>
      </c>
      <c r="AU391">
        <v>0</v>
      </c>
      <c r="AV391">
        <v>0</v>
      </c>
      <c r="AW391">
        <v>0</v>
      </c>
      <c r="BG391" s="185"/>
      <c r="BH391" s="185"/>
      <c r="BI391" s="185"/>
      <c r="BJ391" s="185"/>
      <c r="BK391" s="185"/>
      <c r="BL391" s="185"/>
      <c r="BM391" s="185"/>
      <c r="BN391" s="185"/>
      <c r="BO391" s="185"/>
      <c r="BP391" s="185"/>
      <c r="BQ391" s="185"/>
      <c r="BR391" s="185"/>
      <c r="BS391" s="185"/>
      <c r="BT391" s="185"/>
      <c r="BU391" t="b">
        <f>IF(_xlfn.MAXIFS(Table1[Sl No],Table1[Category],Table1[[#This Row],[Category]],Table1[Execution Year],Table1[[#This Row],[Execution Year]])=Table1[[#This Row],[Sl No]],TRUE,FALSE)</f>
        <v>0</v>
      </c>
      <c r="BV391" s="201">
        <f>SUM(Table1[[#This Row],[Spend - CAN]:[Spend - Sams]])+SUM(Table1[[#This Row],[Spend - Sams Mexico]:[Spend - Sams China]])+Table1[[#This Row],[Spend - IND]]</f>
        <v>40179692</v>
      </c>
      <c r="BW391">
        <f>SUM(Table1[[#This Row],[Savings - CAN]:[Savings - Sams]])+SUM(Table1[[#This Row],[Savings - Sams Mexico]:[Savings - Sams China]])+Table1[[#This Row],[Savings - IND]]</f>
        <v>0</v>
      </c>
      <c r="BX391">
        <f>SUM(Table1[[#This Row],[Spend - CAN]:[Spend - SAF]])+SUM(Table1[[#This Row],[Spend - Sams Mexico]:[Spend - Sams China]])+Table1[[#This Row],[Spend - IND]]</f>
        <v>3776784</v>
      </c>
      <c r="BY391">
        <f>SUM(Table1[[#This Row],[Savings - CAN]:[Savings - SAF]])+SUM(Table1[[#This Row],[Savings - Sams Mexico]:[Savings - Sams China]])+Table1[[#This Row],[Savings - IND]]</f>
        <v>0</v>
      </c>
      <c r="BZ391">
        <f>SUM(Table1[[#This Row],[Spend - US]:[Spend - Sams]])</f>
        <v>36402908</v>
      </c>
      <c r="CA391">
        <f>SUM(Table1[[#This Row],[Savings - US]:[Savings - Sams]])</f>
        <v>0</v>
      </c>
      <c r="CB391">
        <f>SUM(Table1[[#This Row],[Cost Avoidance - CAN2]:[Cost Avoidance - SAF10]])+SUM(Table1[[#This Row],[Cost Avoidance - Sams Mexico]:[Cost Avoidance - Sams China]])+Table1[[#This Row],[Cost Avoidance - IND]]</f>
        <v>0</v>
      </c>
      <c r="CC391">
        <f>SUM(Table1[[#This Row],[Cost Avoidance - US11]:[Cost Avoidance - Sams12]])</f>
        <v>0</v>
      </c>
      <c r="CD391">
        <f>_xlfn.XLOOKUP(Table1[[#This Row],[Status]],Status_Lookups[Status],Status_Lookups[Value],"")</f>
        <v>0.3</v>
      </c>
    </row>
    <row r="392" spans="1:82">
      <c r="A392">
        <v>7</v>
      </c>
      <c r="B392" t="s">
        <v>110</v>
      </c>
      <c r="C392" t="s">
        <v>43</v>
      </c>
      <c r="D392" t="s">
        <v>39</v>
      </c>
      <c r="E392" s="15">
        <v>44301</v>
      </c>
      <c r="F392" s="15">
        <v>44347</v>
      </c>
      <c r="G392" s="15">
        <v>0</v>
      </c>
      <c r="H392" s="15">
        <v>0</v>
      </c>
      <c r="I392" t="s">
        <v>443</v>
      </c>
      <c r="J392" t="s">
        <v>444</v>
      </c>
      <c r="K392" t="s">
        <v>445</v>
      </c>
      <c r="L392">
        <v>0</v>
      </c>
      <c r="M392">
        <v>3469912</v>
      </c>
      <c r="N392">
        <v>245117</v>
      </c>
      <c r="O392">
        <v>0</v>
      </c>
      <c r="P392">
        <v>0</v>
      </c>
      <c r="Q392">
        <v>0</v>
      </c>
      <c r="R392">
        <v>0</v>
      </c>
      <c r="S392">
        <v>0</v>
      </c>
      <c r="T392">
        <v>0</v>
      </c>
      <c r="U392">
        <v>0</v>
      </c>
      <c r="V392">
        <v>40958361</v>
      </c>
      <c r="W392">
        <v>0</v>
      </c>
      <c r="X392" t="s">
        <v>78</v>
      </c>
      <c r="Y392" s="16">
        <v>44341.646787731479</v>
      </c>
      <c r="Z392" s="17" t="str">
        <f>_xlfn.XLOOKUP(Table1[[#This Row],[Phase]],'Lookup tables'!$Y$27:$Y$60,'Lookup tables'!$Z$27:$Z$60,"Not Updated")</f>
        <v>Completed</v>
      </c>
      <c r="AA392" s="17" t="s">
        <v>691</v>
      </c>
      <c r="AB392">
        <v>287788</v>
      </c>
      <c r="AC392">
        <v>17859</v>
      </c>
      <c r="AD392">
        <v>0</v>
      </c>
      <c r="AE392">
        <v>0</v>
      </c>
      <c r="AF392">
        <v>0</v>
      </c>
      <c r="AG392">
        <v>0</v>
      </c>
      <c r="AH392">
        <v>0</v>
      </c>
      <c r="AI392">
        <v>0</v>
      </c>
      <c r="AJ392">
        <v>0</v>
      </c>
      <c r="AK392">
        <v>1443404</v>
      </c>
      <c r="AL392">
        <v>0</v>
      </c>
      <c r="AM392">
        <v>0</v>
      </c>
      <c r="AN392">
        <v>0</v>
      </c>
      <c r="AO392">
        <v>0</v>
      </c>
      <c r="AP392">
        <v>0</v>
      </c>
      <c r="AQ392">
        <v>0</v>
      </c>
      <c r="AR392">
        <v>0</v>
      </c>
      <c r="AS392">
        <v>0</v>
      </c>
      <c r="AT392">
        <v>0</v>
      </c>
      <c r="AU392">
        <v>0</v>
      </c>
      <c r="AV392">
        <v>0</v>
      </c>
      <c r="AW392">
        <v>0</v>
      </c>
      <c r="BG392" s="185"/>
      <c r="BH392" s="185"/>
      <c r="BI392" s="185"/>
      <c r="BJ392" s="185"/>
      <c r="BK392" s="185"/>
      <c r="BL392" s="185"/>
      <c r="BM392" s="185"/>
      <c r="BN392" s="185"/>
      <c r="BO392" s="185"/>
      <c r="BP392" s="185"/>
      <c r="BQ392" s="185"/>
      <c r="BR392" s="185"/>
      <c r="BS392" s="185"/>
      <c r="BT392" s="185"/>
      <c r="BU392" t="b">
        <f>IF(_xlfn.MAXIFS(Table1[Sl No],Table1[Category],Table1[[#This Row],[Category]],Table1[Execution Year],Table1[[#This Row],[Execution Year]])=Table1[[#This Row],[Sl No]],TRUE,FALSE)</f>
        <v>0</v>
      </c>
      <c r="BV392" s="201">
        <f>SUM(Table1[[#This Row],[Spend - CAN]:[Spend - Sams]])+SUM(Table1[[#This Row],[Spend - Sams Mexico]:[Spend - Sams China]])+Table1[[#This Row],[Spend - IND]]</f>
        <v>44673390</v>
      </c>
      <c r="BW392">
        <f>SUM(Table1[[#This Row],[Savings - CAN]:[Savings - Sams]])+SUM(Table1[[#This Row],[Savings - Sams Mexico]:[Savings - Sams China]])+Table1[[#This Row],[Savings - IND]]</f>
        <v>1749051</v>
      </c>
      <c r="BX392">
        <f>SUM(Table1[[#This Row],[Spend - CAN]:[Spend - SAF]])+SUM(Table1[[#This Row],[Spend - Sams Mexico]:[Spend - Sams China]])+Table1[[#This Row],[Spend - IND]]</f>
        <v>3715029</v>
      </c>
      <c r="BY392">
        <f>SUM(Table1[[#This Row],[Savings - CAN]:[Savings - SAF]])+SUM(Table1[[#This Row],[Savings - Sams Mexico]:[Savings - Sams China]])+Table1[[#This Row],[Savings - IND]]</f>
        <v>305647</v>
      </c>
      <c r="BZ392">
        <f>SUM(Table1[[#This Row],[Spend - US]:[Spend - Sams]])</f>
        <v>40958361</v>
      </c>
      <c r="CA392">
        <f>SUM(Table1[[#This Row],[Savings - US]:[Savings - Sams]])</f>
        <v>1443404</v>
      </c>
      <c r="CB392">
        <f>SUM(Table1[[#This Row],[Cost Avoidance - CAN2]:[Cost Avoidance - SAF10]])+SUM(Table1[[#This Row],[Cost Avoidance - Sams Mexico]:[Cost Avoidance - Sams China]])+Table1[[#This Row],[Cost Avoidance - IND]]</f>
        <v>0</v>
      </c>
      <c r="CC392">
        <f>SUM(Table1[[#This Row],[Cost Avoidance - US11]:[Cost Avoidance - Sams12]])</f>
        <v>0</v>
      </c>
      <c r="CD392">
        <f>_xlfn.XLOOKUP(Table1[[#This Row],[Status]],Status_Lookups[Status],Status_Lookups[Value],"")</f>
        <v>0.2</v>
      </c>
    </row>
    <row r="393" spans="1:82">
      <c r="A393">
        <v>8</v>
      </c>
      <c r="B393" t="s">
        <v>110</v>
      </c>
      <c r="C393" t="s">
        <v>43</v>
      </c>
      <c r="D393" t="s">
        <v>39</v>
      </c>
      <c r="E393" s="15">
        <v>44301</v>
      </c>
      <c r="F393" s="15">
        <v>44347</v>
      </c>
      <c r="G393" s="15">
        <v>0</v>
      </c>
      <c r="H393" s="15">
        <v>0</v>
      </c>
      <c r="I393" t="s">
        <v>443</v>
      </c>
      <c r="J393" t="s">
        <v>444</v>
      </c>
      <c r="K393" t="s">
        <v>445</v>
      </c>
      <c r="L393">
        <v>0</v>
      </c>
      <c r="M393">
        <v>3469912</v>
      </c>
      <c r="N393">
        <v>245117</v>
      </c>
      <c r="O393">
        <v>0</v>
      </c>
      <c r="P393">
        <v>0</v>
      </c>
      <c r="Q393">
        <v>0</v>
      </c>
      <c r="R393">
        <v>0</v>
      </c>
      <c r="S393">
        <v>0</v>
      </c>
      <c r="T393">
        <v>0</v>
      </c>
      <c r="U393">
        <v>0</v>
      </c>
      <c r="V393">
        <v>40958361</v>
      </c>
      <c r="W393">
        <v>0</v>
      </c>
      <c r="X393" t="s">
        <v>78</v>
      </c>
      <c r="Y393" s="16">
        <v>44342.367006250002</v>
      </c>
      <c r="Z393" s="17" t="str">
        <f>_xlfn.XLOOKUP(Table1[[#This Row],[Phase]],'Lookup tables'!$Y$27:$Y$60,'Lookup tables'!$Z$27:$Z$60,"Not Updated")</f>
        <v>Completed</v>
      </c>
      <c r="AA393" s="17" t="s">
        <v>691</v>
      </c>
      <c r="AB393">
        <v>75088</v>
      </c>
      <c r="AC393">
        <v>0</v>
      </c>
      <c r="AD393">
        <v>0</v>
      </c>
      <c r="AE393">
        <v>0</v>
      </c>
      <c r="AF393">
        <v>0</v>
      </c>
      <c r="AG393">
        <v>0</v>
      </c>
      <c r="AH393">
        <v>0</v>
      </c>
      <c r="AI393">
        <v>0</v>
      </c>
      <c r="AJ393">
        <v>0</v>
      </c>
      <c r="AK393">
        <v>0</v>
      </c>
      <c r="AL393">
        <v>0</v>
      </c>
      <c r="AM393">
        <v>212700</v>
      </c>
      <c r="AN393">
        <v>17859</v>
      </c>
      <c r="AO393">
        <v>0</v>
      </c>
      <c r="AP393">
        <v>0</v>
      </c>
      <c r="AQ393">
        <v>0</v>
      </c>
      <c r="AR393">
        <v>0</v>
      </c>
      <c r="AS393">
        <v>0</v>
      </c>
      <c r="AT393">
        <v>0</v>
      </c>
      <c r="AU393">
        <v>0</v>
      </c>
      <c r="AV393">
        <v>1443404</v>
      </c>
      <c r="AW393">
        <v>0</v>
      </c>
      <c r="BG393" s="185"/>
      <c r="BH393" s="185"/>
      <c r="BI393" s="185"/>
      <c r="BJ393" s="185"/>
      <c r="BK393" s="185"/>
      <c r="BL393" s="185"/>
      <c r="BM393" s="185"/>
      <c r="BN393" s="185"/>
      <c r="BO393" s="185"/>
      <c r="BP393" s="185"/>
      <c r="BQ393" s="185"/>
      <c r="BR393" s="185"/>
      <c r="BS393" s="185"/>
      <c r="BT393" s="185"/>
      <c r="BU393" t="b">
        <f>IF(_xlfn.MAXIFS(Table1[Sl No],Table1[Category],Table1[[#This Row],[Category]],Table1[Execution Year],Table1[[#This Row],[Execution Year]])=Table1[[#This Row],[Sl No]],TRUE,FALSE)</f>
        <v>1</v>
      </c>
      <c r="BV393" s="201">
        <f>SUM(Table1[[#This Row],[Spend - CAN]:[Spend - Sams]])+SUM(Table1[[#This Row],[Spend - Sams Mexico]:[Spend - Sams China]])+Table1[[#This Row],[Spend - IND]]</f>
        <v>44673390</v>
      </c>
      <c r="BW393">
        <f>SUM(Table1[[#This Row],[Savings - CAN]:[Savings - Sams]])+SUM(Table1[[#This Row],[Savings - Sams Mexico]:[Savings - Sams China]])+Table1[[#This Row],[Savings - IND]]</f>
        <v>75088</v>
      </c>
      <c r="BX393">
        <f>SUM(Table1[[#This Row],[Spend - CAN]:[Spend - SAF]])+SUM(Table1[[#This Row],[Spend - Sams Mexico]:[Spend - Sams China]])+Table1[[#This Row],[Spend - IND]]</f>
        <v>3715029</v>
      </c>
      <c r="BY393">
        <f>SUM(Table1[[#This Row],[Savings - CAN]:[Savings - SAF]])+SUM(Table1[[#This Row],[Savings - Sams Mexico]:[Savings - Sams China]])+Table1[[#This Row],[Savings - IND]]</f>
        <v>75088</v>
      </c>
      <c r="BZ393">
        <f>SUM(Table1[[#This Row],[Spend - US]:[Spend - Sams]])</f>
        <v>40958361</v>
      </c>
      <c r="CA393">
        <f>SUM(Table1[[#This Row],[Savings - US]:[Savings - Sams]])</f>
        <v>0</v>
      </c>
      <c r="CB393">
        <f>SUM(Table1[[#This Row],[Cost Avoidance - CAN2]:[Cost Avoidance - SAF10]])+SUM(Table1[[#This Row],[Cost Avoidance - Sams Mexico]:[Cost Avoidance - Sams China]])+Table1[[#This Row],[Cost Avoidance - IND]]</f>
        <v>230559</v>
      </c>
      <c r="CC393">
        <f>SUM(Table1[[#This Row],[Cost Avoidance - US11]:[Cost Avoidance - Sams12]])</f>
        <v>1443404</v>
      </c>
      <c r="CD393">
        <f>_xlfn.XLOOKUP(Table1[[#This Row],[Status]],Status_Lookups[Status],Status_Lookups[Value],"")</f>
        <v>0.2</v>
      </c>
    </row>
    <row r="394" spans="1:82">
      <c r="A394">
        <v>1</v>
      </c>
      <c r="B394" t="s">
        <v>590</v>
      </c>
      <c r="C394" t="s">
        <v>33</v>
      </c>
      <c r="D394" t="s">
        <v>322</v>
      </c>
      <c r="E394" s="15"/>
      <c r="F394" s="15"/>
      <c r="G394" s="15"/>
      <c r="H394" s="15"/>
      <c r="K394" t="s">
        <v>396</v>
      </c>
      <c r="V394">
        <v>1E-4</v>
      </c>
      <c r="X394" t="s">
        <v>47</v>
      </c>
      <c r="Y394" s="16">
        <v>44722.573738425926</v>
      </c>
      <c r="Z394" s="17" t="str">
        <f>_xlfn.XLOOKUP(Table1[[#This Row],[Phase]],'Lookup tables'!$Y$27:$Y$60,'Lookup tables'!$Z$27:$Z$60,"Not Updated")</f>
        <v>Not Updated</v>
      </c>
      <c r="AA394" s="17"/>
      <c r="BG394" s="185"/>
      <c r="BH394" s="185"/>
      <c r="BI394" s="185"/>
      <c r="BJ394" s="185"/>
      <c r="BK394" s="185"/>
      <c r="BL394" s="185"/>
      <c r="BM394" s="185"/>
      <c r="BN394" s="185"/>
      <c r="BO394" s="185"/>
      <c r="BP394" s="185"/>
      <c r="BQ394" s="185"/>
      <c r="BR394" s="185"/>
      <c r="BS394" s="185"/>
      <c r="BT394" s="185"/>
      <c r="BU394" t="b">
        <f>IF(_xlfn.MAXIFS(Table1[Sl No],Table1[Category],Table1[[#This Row],[Category]],Table1[Execution Year],Table1[[#This Row],[Execution Year]])=Table1[[#This Row],[Sl No]],TRUE,FALSE)</f>
        <v>0</v>
      </c>
      <c r="BV394" s="201">
        <f>SUM(Table1[[#This Row],[Spend - CAN]:[Spend - Sams]])+SUM(Table1[[#This Row],[Spend - Sams Mexico]:[Spend - Sams China]])+Table1[[#This Row],[Spend - IND]]</f>
        <v>1E-4</v>
      </c>
      <c r="BW394">
        <f>SUM(Table1[[#This Row],[Savings - CAN]:[Savings - Sams]])+SUM(Table1[[#This Row],[Savings - Sams Mexico]:[Savings - Sams China]])+Table1[[#This Row],[Savings - IND]]</f>
        <v>0</v>
      </c>
      <c r="BX394">
        <f>SUM(Table1[[#This Row],[Spend - CAN]:[Spend - SAF]])+SUM(Table1[[#This Row],[Spend - Sams Mexico]:[Spend - Sams China]])+Table1[[#This Row],[Spend - IND]]</f>
        <v>0</v>
      </c>
      <c r="BY394">
        <f>SUM(Table1[[#This Row],[Savings - CAN]:[Savings - SAF]])+SUM(Table1[[#This Row],[Savings - Sams Mexico]:[Savings - Sams China]])+Table1[[#This Row],[Savings - IND]]</f>
        <v>0</v>
      </c>
      <c r="BZ394">
        <f>SUM(Table1[[#This Row],[Spend - US]:[Spend - Sams]])</f>
        <v>1E-4</v>
      </c>
      <c r="CA394">
        <f>SUM(Table1[[#This Row],[Savings - US]:[Savings - Sams]])</f>
        <v>0</v>
      </c>
      <c r="CB394">
        <f>SUM(Table1[[#This Row],[Cost Avoidance - CAN2]:[Cost Avoidance - SAF10]])+SUM(Table1[[#This Row],[Cost Avoidance - Sams Mexico]:[Cost Avoidance - Sams China]])+Table1[[#This Row],[Cost Avoidance - IND]]</f>
        <v>0</v>
      </c>
      <c r="CC394">
        <f>SUM(Table1[[#This Row],[Cost Avoidance - US11]:[Cost Avoidance - Sams12]])</f>
        <v>0</v>
      </c>
      <c r="CD394" t="str">
        <f>_xlfn.XLOOKUP(Table1[[#This Row],[Status]],Status_Lookups[Status],Status_Lookups[Value],"")</f>
        <v/>
      </c>
    </row>
    <row r="395" spans="1:82">
      <c r="A395">
        <v>2</v>
      </c>
      <c r="B395" t="s">
        <v>590</v>
      </c>
      <c r="C395" t="s">
        <v>33</v>
      </c>
      <c r="D395" t="s">
        <v>322</v>
      </c>
      <c r="E395" s="15"/>
      <c r="F395" s="15"/>
      <c r="G395" s="15"/>
      <c r="H395" s="15">
        <v>0</v>
      </c>
      <c r="I395" t="s">
        <v>412</v>
      </c>
      <c r="J395" t="s">
        <v>459</v>
      </c>
      <c r="K395" t="s">
        <v>396</v>
      </c>
      <c r="L395">
        <v>0</v>
      </c>
      <c r="M395">
        <v>0</v>
      </c>
      <c r="N395">
        <v>0</v>
      </c>
      <c r="O395">
        <v>0</v>
      </c>
      <c r="P395">
        <v>0</v>
      </c>
      <c r="Q395">
        <v>0</v>
      </c>
      <c r="R395">
        <v>0</v>
      </c>
      <c r="S395">
        <v>0</v>
      </c>
      <c r="T395">
        <v>0</v>
      </c>
      <c r="U395">
        <v>0</v>
      </c>
      <c r="V395">
        <v>1E-4</v>
      </c>
      <c r="W395">
        <v>0</v>
      </c>
      <c r="X395" t="s">
        <v>396</v>
      </c>
      <c r="Y395" s="16">
        <v>44722.587733217595</v>
      </c>
      <c r="Z395" s="17" t="str">
        <f>_xlfn.XLOOKUP(Table1[[#This Row],[Phase]],'Lookup tables'!$Y$27:$Y$60,'Lookup tables'!$Z$27:$Z$60,"Not Updated")</f>
        <v>Exploratory</v>
      </c>
      <c r="AA395" s="17" t="s">
        <v>692</v>
      </c>
      <c r="AB395">
        <v>0</v>
      </c>
      <c r="AC395">
        <v>0</v>
      </c>
      <c r="AD395">
        <v>0</v>
      </c>
      <c r="AE395">
        <v>0</v>
      </c>
      <c r="AF395">
        <v>0</v>
      </c>
      <c r="AG395">
        <v>0</v>
      </c>
      <c r="AH395">
        <v>0</v>
      </c>
      <c r="AI395">
        <v>0</v>
      </c>
      <c r="AJ395">
        <v>0</v>
      </c>
      <c r="AK395">
        <v>0</v>
      </c>
      <c r="AL395">
        <v>0</v>
      </c>
      <c r="AM395">
        <v>0</v>
      </c>
      <c r="AN395">
        <v>0</v>
      </c>
      <c r="AO395">
        <v>0</v>
      </c>
      <c r="AP395">
        <v>0</v>
      </c>
      <c r="AQ395">
        <v>0</v>
      </c>
      <c r="AR395">
        <v>0</v>
      </c>
      <c r="AS395">
        <v>0</v>
      </c>
      <c r="AT395">
        <v>0</v>
      </c>
      <c r="AU395">
        <v>0</v>
      </c>
      <c r="AV395">
        <v>0</v>
      </c>
      <c r="AW395">
        <v>0</v>
      </c>
      <c r="AX395">
        <v>0</v>
      </c>
      <c r="AY395">
        <v>0</v>
      </c>
      <c r="AZ395">
        <v>0</v>
      </c>
      <c r="BA395">
        <v>0</v>
      </c>
      <c r="BB395">
        <v>0</v>
      </c>
      <c r="BC395">
        <v>0</v>
      </c>
      <c r="BD395">
        <v>0</v>
      </c>
      <c r="BE395">
        <v>0</v>
      </c>
      <c r="BF395">
        <v>0</v>
      </c>
      <c r="BG395" s="185">
        <v>0</v>
      </c>
      <c r="BH395" s="185">
        <v>0</v>
      </c>
      <c r="BI395" s="185">
        <v>0</v>
      </c>
      <c r="BJ395" s="185">
        <v>0</v>
      </c>
      <c r="BK395" s="185">
        <v>0</v>
      </c>
      <c r="BL395" s="185">
        <v>0</v>
      </c>
      <c r="BM395" s="185">
        <v>0</v>
      </c>
      <c r="BN395" s="185">
        <v>0</v>
      </c>
      <c r="BO395" s="185">
        <v>0</v>
      </c>
      <c r="BP395" s="185">
        <v>0</v>
      </c>
      <c r="BQ395" s="185">
        <v>0</v>
      </c>
      <c r="BR395" s="185">
        <v>0</v>
      </c>
      <c r="BS395" s="185">
        <v>0</v>
      </c>
      <c r="BT395" s="185">
        <v>0</v>
      </c>
      <c r="BU395" t="b">
        <f>IF(_xlfn.MAXIFS(Table1[Sl No],Table1[Category],Table1[[#This Row],[Category]],Table1[Execution Year],Table1[[#This Row],[Execution Year]])=Table1[[#This Row],[Sl No]],TRUE,FALSE)</f>
        <v>1</v>
      </c>
      <c r="BV395" s="201">
        <f>SUM(Table1[[#This Row],[Spend - CAN]:[Spend - Sams]])+SUM(Table1[[#This Row],[Spend - Sams Mexico]:[Spend - Sams China]])+Table1[[#This Row],[Spend - IND]]</f>
        <v>1E-4</v>
      </c>
      <c r="BW395">
        <f>SUM(Table1[[#This Row],[Savings - CAN]:[Savings - Sams]])+SUM(Table1[[#This Row],[Savings - Sams Mexico]:[Savings - Sams China]])+Table1[[#This Row],[Savings - IND]]</f>
        <v>0</v>
      </c>
      <c r="BX395">
        <f>SUM(Table1[[#This Row],[Spend - CAN]:[Spend - SAF]])+SUM(Table1[[#This Row],[Spend - Sams Mexico]:[Spend - Sams China]])+Table1[[#This Row],[Spend - IND]]</f>
        <v>0</v>
      </c>
      <c r="BY395">
        <f>SUM(Table1[[#This Row],[Savings - CAN]:[Savings - SAF]])+SUM(Table1[[#This Row],[Savings - Sams Mexico]:[Savings - Sams China]])+Table1[[#This Row],[Savings - IND]]</f>
        <v>0</v>
      </c>
      <c r="BZ395">
        <f>SUM(Table1[[#This Row],[Spend - US]:[Spend - Sams]])</f>
        <v>1E-4</v>
      </c>
      <c r="CA395">
        <f>SUM(Table1[[#This Row],[Savings - US]:[Savings - Sams]])</f>
        <v>0</v>
      </c>
      <c r="CB395">
        <f>SUM(Table1[[#This Row],[Cost Avoidance - CAN2]:[Cost Avoidance - SAF10]])+SUM(Table1[[#This Row],[Cost Avoidance - Sams Mexico]:[Cost Avoidance - Sams China]])+Table1[[#This Row],[Cost Avoidance - IND]]</f>
        <v>0</v>
      </c>
      <c r="CC395">
        <f>SUM(Table1[[#This Row],[Cost Avoidance - US11]:[Cost Avoidance - Sams12]])</f>
        <v>0</v>
      </c>
      <c r="CD395">
        <f>_xlfn.XLOOKUP(Table1[[#This Row],[Status]],Status_Lookups[Status],Status_Lookups[Value],"")</f>
        <v>0.3</v>
      </c>
    </row>
    <row r="396" spans="1:82">
      <c r="A396">
        <v>1</v>
      </c>
      <c r="B396" t="s">
        <v>595</v>
      </c>
      <c r="C396" t="s">
        <v>33</v>
      </c>
      <c r="D396" t="s">
        <v>322</v>
      </c>
      <c r="E396" s="15"/>
      <c r="F396" s="15"/>
      <c r="G396" s="15"/>
      <c r="H396" s="15"/>
      <c r="K396" t="s">
        <v>396</v>
      </c>
      <c r="V396">
        <v>1E-4</v>
      </c>
      <c r="X396" t="s">
        <v>47</v>
      </c>
      <c r="Y396" s="16">
        <v>44722.574849537035</v>
      </c>
      <c r="Z396" s="17" t="str">
        <f>_xlfn.XLOOKUP(Table1[[#This Row],[Phase]],'Lookup tables'!$Y$27:$Y$60,'Lookup tables'!$Z$27:$Z$60,"Not Updated")</f>
        <v>Not Updated</v>
      </c>
      <c r="AA396" s="17"/>
      <c r="BG396" s="185"/>
      <c r="BH396" s="185"/>
      <c r="BI396" s="185"/>
      <c r="BJ396" s="185"/>
      <c r="BK396" s="185"/>
      <c r="BL396" s="185"/>
      <c r="BM396" s="185"/>
      <c r="BN396" s="185"/>
      <c r="BO396" s="185"/>
      <c r="BP396" s="185"/>
      <c r="BQ396" s="185"/>
      <c r="BR396" s="185"/>
      <c r="BS396" s="185"/>
      <c r="BT396" s="185"/>
      <c r="BU396" t="b">
        <f>IF(_xlfn.MAXIFS(Table1[Sl No],Table1[Category],Table1[[#This Row],[Category]],Table1[Execution Year],Table1[[#This Row],[Execution Year]])=Table1[[#This Row],[Sl No]],TRUE,FALSE)</f>
        <v>0</v>
      </c>
      <c r="BV396" s="201">
        <f>SUM(Table1[[#This Row],[Spend - CAN]:[Spend - Sams]])+SUM(Table1[[#This Row],[Spend - Sams Mexico]:[Spend - Sams China]])+Table1[[#This Row],[Spend - IND]]</f>
        <v>1E-4</v>
      </c>
      <c r="BW396">
        <f>SUM(Table1[[#This Row],[Savings - CAN]:[Savings - Sams]])+SUM(Table1[[#This Row],[Savings - Sams Mexico]:[Savings - Sams China]])+Table1[[#This Row],[Savings - IND]]</f>
        <v>0</v>
      </c>
      <c r="BX396">
        <f>SUM(Table1[[#This Row],[Spend - CAN]:[Spend - SAF]])+SUM(Table1[[#This Row],[Spend - Sams Mexico]:[Spend - Sams China]])+Table1[[#This Row],[Spend - IND]]</f>
        <v>0</v>
      </c>
      <c r="BY396">
        <f>SUM(Table1[[#This Row],[Savings - CAN]:[Savings - SAF]])+SUM(Table1[[#This Row],[Savings - Sams Mexico]:[Savings - Sams China]])+Table1[[#This Row],[Savings - IND]]</f>
        <v>0</v>
      </c>
      <c r="BZ396">
        <f>SUM(Table1[[#This Row],[Spend - US]:[Spend - Sams]])</f>
        <v>1E-4</v>
      </c>
      <c r="CA396">
        <f>SUM(Table1[[#This Row],[Savings - US]:[Savings - Sams]])</f>
        <v>0</v>
      </c>
      <c r="CB396">
        <f>SUM(Table1[[#This Row],[Cost Avoidance - CAN2]:[Cost Avoidance - SAF10]])+SUM(Table1[[#This Row],[Cost Avoidance - Sams Mexico]:[Cost Avoidance - Sams China]])+Table1[[#This Row],[Cost Avoidance - IND]]</f>
        <v>0</v>
      </c>
      <c r="CC396">
        <f>SUM(Table1[[#This Row],[Cost Avoidance - US11]:[Cost Avoidance - Sams12]])</f>
        <v>0</v>
      </c>
      <c r="CD396" t="str">
        <f>_xlfn.XLOOKUP(Table1[[#This Row],[Status]],Status_Lookups[Status],Status_Lookups[Value],"")</f>
        <v/>
      </c>
    </row>
    <row r="397" spans="1:82">
      <c r="A397">
        <v>2</v>
      </c>
      <c r="B397" t="s">
        <v>595</v>
      </c>
      <c r="C397" t="s">
        <v>33</v>
      </c>
      <c r="D397" t="s">
        <v>322</v>
      </c>
      <c r="E397" s="15"/>
      <c r="F397" s="15"/>
      <c r="G397" s="15"/>
      <c r="H397" s="15">
        <v>0</v>
      </c>
      <c r="I397" t="s">
        <v>412</v>
      </c>
      <c r="J397" t="s">
        <v>459</v>
      </c>
      <c r="K397" t="s">
        <v>396</v>
      </c>
      <c r="L397">
        <v>0</v>
      </c>
      <c r="M397">
        <v>0</v>
      </c>
      <c r="N397">
        <v>0</v>
      </c>
      <c r="O397">
        <v>0</v>
      </c>
      <c r="P397">
        <v>0</v>
      </c>
      <c r="Q397">
        <v>0</v>
      </c>
      <c r="R397">
        <v>0</v>
      </c>
      <c r="S397">
        <v>0</v>
      </c>
      <c r="T397">
        <v>0</v>
      </c>
      <c r="U397">
        <v>0</v>
      </c>
      <c r="V397">
        <v>1E-4</v>
      </c>
      <c r="W397">
        <v>0</v>
      </c>
      <c r="X397" t="s">
        <v>396</v>
      </c>
      <c r="Y397" s="16">
        <v>44722.594154745369</v>
      </c>
      <c r="Z397" s="17" t="str">
        <f>_xlfn.XLOOKUP(Table1[[#This Row],[Phase]],'Lookup tables'!$Y$27:$Y$60,'Lookup tables'!$Z$27:$Z$60,"Not Updated")</f>
        <v>Exploratory</v>
      </c>
      <c r="AA397" s="17" t="s">
        <v>693</v>
      </c>
      <c r="AB397">
        <v>0</v>
      </c>
      <c r="AC397">
        <v>0</v>
      </c>
      <c r="AD397">
        <v>0</v>
      </c>
      <c r="AE397">
        <v>0</v>
      </c>
      <c r="AF397">
        <v>0</v>
      </c>
      <c r="AG397">
        <v>0</v>
      </c>
      <c r="AH397">
        <v>0</v>
      </c>
      <c r="AI397">
        <v>0</v>
      </c>
      <c r="AJ397">
        <v>0</v>
      </c>
      <c r="AK397">
        <v>0</v>
      </c>
      <c r="AL397">
        <v>0</v>
      </c>
      <c r="AM397">
        <v>0</v>
      </c>
      <c r="AN397">
        <v>0</v>
      </c>
      <c r="AO397">
        <v>0</v>
      </c>
      <c r="AP397">
        <v>0</v>
      </c>
      <c r="AQ397">
        <v>0</v>
      </c>
      <c r="AR397">
        <v>0</v>
      </c>
      <c r="AS397">
        <v>0</v>
      </c>
      <c r="AT397">
        <v>0</v>
      </c>
      <c r="AU397">
        <v>0</v>
      </c>
      <c r="AV397">
        <v>0</v>
      </c>
      <c r="AW397">
        <v>0</v>
      </c>
      <c r="AX397">
        <v>0</v>
      </c>
      <c r="AY397">
        <v>0</v>
      </c>
      <c r="AZ397">
        <v>0</v>
      </c>
      <c r="BA397">
        <v>0</v>
      </c>
      <c r="BB397">
        <v>0</v>
      </c>
      <c r="BC397">
        <v>0</v>
      </c>
      <c r="BD397">
        <v>0</v>
      </c>
      <c r="BE397">
        <v>0</v>
      </c>
      <c r="BF397">
        <v>0</v>
      </c>
      <c r="BG397" s="185">
        <v>0</v>
      </c>
      <c r="BH397" s="185">
        <v>0</v>
      </c>
      <c r="BI397" s="185">
        <v>0</v>
      </c>
      <c r="BJ397" s="185">
        <v>0</v>
      </c>
      <c r="BK397" s="185">
        <v>0</v>
      </c>
      <c r="BL397" s="185">
        <v>0</v>
      </c>
      <c r="BM397" s="185">
        <v>0</v>
      </c>
      <c r="BN397" s="185">
        <v>0</v>
      </c>
      <c r="BO397" s="185">
        <v>0</v>
      </c>
      <c r="BP397" s="185">
        <v>0</v>
      </c>
      <c r="BQ397" s="185">
        <v>0</v>
      </c>
      <c r="BR397" s="185">
        <v>0</v>
      </c>
      <c r="BS397" s="185">
        <v>0</v>
      </c>
      <c r="BT397" s="185">
        <v>0</v>
      </c>
      <c r="BU397" t="b">
        <f>IF(_xlfn.MAXIFS(Table1[Sl No],Table1[Category],Table1[[#This Row],[Category]],Table1[Execution Year],Table1[[#This Row],[Execution Year]])=Table1[[#This Row],[Sl No]],TRUE,FALSE)</f>
        <v>1</v>
      </c>
      <c r="BV397" s="201">
        <f>SUM(Table1[[#This Row],[Spend - CAN]:[Spend - Sams]])+SUM(Table1[[#This Row],[Spend - Sams Mexico]:[Spend - Sams China]])+Table1[[#This Row],[Spend - IND]]</f>
        <v>1E-4</v>
      </c>
      <c r="BW397">
        <f>SUM(Table1[[#This Row],[Savings - CAN]:[Savings - Sams]])+SUM(Table1[[#This Row],[Savings - Sams Mexico]:[Savings - Sams China]])+Table1[[#This Row],[Savings - IND]]</f>
        <v>0</v>
      </c>
      <c r="BX397">
        <f>SUM(Table1[[#This Row],[Spend - CAN]:[Spend - SAF]])+SUM(Table1[[#This Row],[Spend - Sams Mexico]:[Spend - Sams China]])+Table1[[#This Row],[Spend - IND]]</f>
        <v>0</v>
      </c>
      <c r="BY397">
        <f>SUM(Table1[[#This Row],[Savings - CAN]:[Savings - SAF]])+SUM(Table1[[#This Row],[Savings - Sams Mexico]:[Savings - Sams China]])+Table1[[#This Row],[Savings - IND]]</f>
        <v>0</v>
      </c>
      <c r="BZ397">
        <f>SUM(Table1[[#This Row],[Spend - US]:[Spend - Sams]])</f>
        <v>1E-4</v>
      </c>
      <c r="CA397">
        <f>SUM(Table1[[#This Row],[Savings - US]:[Savings - Sams]])</f>
        <v>0</v>
      </c>
      <c r="CB397">
        <f>SUM(Table1[[#This Row],[Cost Avoidance - CAN2]:[Cost Avoidance - SAF10]])+SUM(Table1[[#This Row],[Cost Avoidance - Sams Mexico]:[Cost Avoidance - Sams China]])+Table1[[#This Row],[Cost Avoidance - IND]]</f>
        <v>0</v>
      </c>
      <c r="CC397">
        <f>SUM(Table1[[#This Row],[Cost Avoidance - US11]:[Cost Avoidance - Sams12]])</f>
        <v>0</v>
      </c>
      <c r="CD397">
        <f>_xlfn.XLOOKUP(Table1[[#This Row],[Status]],Status_Lookups[Status],Status_Lookups[Value],"")</f>
        <v>0.3</v>
      </c>
    </row>
    <row r="398" spans="1:82">
      <c r="A398">
        <v>1</v>
      </c>
      <c r="B398" t="s">
        <v>584</v>
      </c>
      <c r="C398" t="s">
        <v>33</v>
      </c>
      <c r="D398" t="s">
        <v>322</v>
      </c>
      <c r="E398" s="15"/>
      <c r="F398" s="15"/>
      <c r="G398" s="15"/>
      <c r="H398" s="15"/>
      <c r="K398" t="s">
        <v>396</v>
      </c>
      <c r="X398" t="s">
        <v>47</v>
      </c>
      <c r="Y398" s="16">
        <v>44722.567800925928</v>
      </c>
      <c r="Z398" s="17" t="str">
        <f>_xlfn.XLOOKUP(Table1[[#This Row],[Phase]],'Lookup tables'!$Y$27:$Y$60,'Lookup tables'!$Z$27:$Z$60,"Not Updated")</f>
        <v>Not Updated</v>
      </c>
      <c r="AA398" s="17"/>
      <c r="BG398" s="185"/>
      <c r="BH398" s="185"/>
      <c r="BI398" s="185"/>
      <c r="BJ398" s="185"/>
      <c r="BK398" s="185"/>
      <c r="BL398" s="185"/>
      <c r="BM398" s="185"/>
      <c r="BN398" s="185"/>
      <c r="BO398" s="185"/>
      <c r="BP398" s="185"/>
      <c r="BQ398" s="185"/>
      <c r="BR398" s="185"/>
      <c r="BS398" s="185"/>
      <c r="BT398" s="185"/>
      <c r="BU398" t="b">
        <f>IF(_xlfn.MAXIFS(Table1[Sl No],Table1[Category],Table1[[#This Row],[Category]],Table1[Execution Year],Table1[[#This Row],[Execution Year]])=Table1[[#This Row],[Sl No]],TRUE,FALSE)</f>
        <v>0</v>
      </c>
      <c r="BV398" s="201">
        <f>SUM(Table1[[#This Row],[Spend - CAN]:[Spend - Sams]])+SUM(Table1[[#This Row],[Spend - Sams Mexico]:[Spend - Sams China]])+Table1[[#This Row],[Spend - IND]]</f>
        <v>0</v>
      </c>
      <c r="BW398">
        <f>SUM(Table1[[#This Row],[Savings - CAN]:[Savings - Sams]])+SUM(Table1[[#This Row],[Savings - Sams Mexico]:[Savings - Sams China]])+Table1[[#This Row],[Savings - IND]]</f>
        <v>0</v>
      </c>
      <c r="BX398">
        <f>SUM(Table1[[#This Row],[Spend - CAN]:[Spend - SAF]])+SUM(Table1[[#This Row],[Spend - Sams Mexico]:[Spend - Sams China]])+Table1[[#This Row],[Spend - IND]]</f>
        <v>0</v>
      </c>
      <c r="BY398">
        <f>SUM(Table1[[#This Row],[Savings - CAN]:[Savings - SAF]])+SUM(Table1[[#This Row],[Savings - Sams Mexico]:[Savings - Sams China]])+Table1[[#This Row],[Savings - IND]]</f>
        <v>0</v>
      </c>
      <c r="BZ398">
        <f>SUM(Table1[[#This Row],[Spend - US]:[Spend - Sams]])</f>
        <v>0</v>
      </c>
      <c r="CA398">
        <f>SUM(Table1[[#This Row],[Savings - US]:[Savings - Sams]])</f>
        <v>0</v>
      </c>
      <c r="CB398">
        <f>SUM(Table1[[#This Row],[Cost Avoidance - CAN2]:[Cost Avoidance - SAF10]])+SUM(Table1[[#This Row],[Cost Avoidance - Sams Mexico]:[Cost Avoidance - Sams China]])+Table1[[#This Row],[Cost Avoidance - IND]]</f>
        <v>0</v>
      </c>
      <c r="CC398">
        <f>SUM(Table1[[#This Row],[Cost Avoidance - US11]:[Cost Avoidance - Sams12]])</f>
        <v>0</v>
      </c>
      <c r="CD398" t="str">
        <f>_xlfn.XLOOKUP(Table1[[#This Row],[Status]],Status_Lookups[Status],Status_Lookups[Value],"")</f>
        <v/>
      </c>
    </row>
    <row r="399" spans="1:82">
      <c r="A399">
        <v>2</v>
      </c>
      <c r="B399" t="s">
        <v>584</v>
      </c>
      <c r="C399" t="s">
        <v>33</v>
      </c>
      <c r="D399" t="s">
        <v>322</v>
      </c>
      <c r="E399" s="15"/>
      <c r="F399" s="15"/>
      <c r="G399" s="15"/>
      <c r="H399" s="15">
        <v>0</v>
      </c>
      <c r="I399" t="s">
        <v>463</v>
      </c>
      <c r="J399" t="s">
        <v>459</v>
      </c>
      <c r="K399" t="s">
        <v>396</v>
      </c>
      <c r="L399">
        <v>0</v>
      </c>
      <c r="M399">
        <v>0</v>
      </c>
      <c r="N399">
        <v>0</v>
      </c>
      <c r="O399">
        <v>0</v>
      </c>
      <c r="P399">
        <v>0</v>
      </c>
      <c r="Q399">
        <v>0</v>
      </c>
      <c r="R399">
        <v>0</v>
      </c>
      <c r="S399">
        <v>0</v>
      </c>
      <c r="T399">
        <v>0</v>
      </c>
      <c r="U399">
        <v>0</v>
      </c>
      <c r="V399">
        <v>0</v>
      </c>
      <c r="W399">
        <v>0</v>
      </c>
      <c r="X399" t="s">
        <v>396</v>
      </c>
      <c r="Y399" s="16">
        <v>44722.571188773145</v>
      </c>
      <c r="Z399" s="17" t="str">
        <f>_xlfn.XLOOKUP(Table1[[#This Row],[Phase]],'Lookup tables'!$Y$27:$Y$60,'Lookup tables'!$Z$27:$Z$60,"Not Updated")</f>
        <v>Pending PB/Merch Approval</v>
      </c>
      <c r="AA399" s="17" t="s">
        <v>694</v>
      </c>
      <c r="AB399">
        <v>0</v>
      </c>
      <c r="AC399">
        <v>0</v>
      </c>
      <c r="AD399">
        <v>0</v>
      </c>
      <c r="AE399">
        <v>0</v>
      </c>
      <c r="AF399">
        <v>0</v>
      </c>
      <c r="AG399">
        <v>0</v>
      </c>
      <c r="AH399">
        <v>0</v>
      </c>
      <c r="AI399">
        <v>0</v>
      </c>
      <c r="AJ399">
        <v>0</v>
      </c>
      <c r="AK399">
        <v>0</v>
      </c>
      <c r="AL399">
        <v>0</v>
      </c>
      <c r="AM399">
        <v>0</v>
      </c>
      <c r="AN399">
        <v>0</v>
      </c>
      <c r="AO399">
        <v>0</v>
      </c>
      <c r="AP399">
        <v>0</v>
      </c>
      <c r="AQ399">
        <v>0</v>
      </c>
      <c r="AR399">
        <v>0</v>
      </c>
      <c r="AS399">
        <v>0</v>
      </c>
      <c r="AT399">
        <v>0</v>
      </c>
      <c r="AU399">
        <v>0</v>
      </c>
      <c r="AV399">
        <v>0</v>
      </c>
      <c r="AW399">
        <v>0</v>
      </c>
      <c r="AX399">
        <v>0</v>
      </c>
      <c r="AY399">
        <v>0</v>
      </c>
      <c r="AZ399">
        <v>0</v>
      </c>
      <c r="BA399">
        <v>0</v>
      </c>
      <c r="BB399">
        <v>0</v>
      </c>
      <c r="BC399">
        <v>0</v>
      </c>
      <c r="BD399">
        <v>0</v>
      </c>
      <c r="BE399">
        <v>0</v>
      </c>
      <c r="BF399">
        <v>0</v>
      </c>
      <c r="BG399" s="185">
        <v>0</v>
      </c>
      <c r="BH399" s="185">
        <v>0</v>
      </c>
      <c r="BI399" s="185">
        <v>0</v>
      </c>
      <c r="BJ399" s="185">
        <v>0</v>
      </c>
      <c r="BK399" s="185">
        <v>0</v>
      </c>
      <c r="BL399" s="185">
        <v>0</v>
      </c>
      <c r="BM399" s="185">
        <v>0</v>
      </c>
      <c r="BN399" s="185">
        <v>0</v>
      </c>
      <c r="BO399" s="185">
        <v>0</v>
      </c>
      <c r="BP399" s="185">
        <v>44774</v>
      </c>
      <c r="BQ399" s="185">
        <v>0</v>
      </c>
      <c r="BR399" s="185">
        <v>0</v>
      </c>
      <c r="BS399" s="185">
        <v>0</v>
      </c>
      <c r="BT399" s="185">
        <v>0</v>
      </c>
      <c r="BU399" t="b">
        <f>IF(_xlfn.MAXIFS(Table1[Sl No],Table1[Category],Table1[[#This Row],[Category]],Table1[Execution Year],Table1[[#This Row],[Execution Year]])=Table1[[#This Row],[Sl No]],TRUE,FALSE)</f>
        <v>1</v>
      </c>
      <c r="BV399" s="201">
        <f>SUM(Table1[[#This Row],[Spend - CAN]:[Spend - Sams]])+SUM(Table1[[#This Row],[Spend - Sams Mexico]:[Spend - Sams China]])+Table1[[#This Row],[Spend - IND]]</f>
        <v>0</v>
      </c>
      <c r="BW399">
        <f>SUM(Table1[[#This Row],[Savings - CAN]:[Savings - Sams]])+SUM(Table1[[#This Row],[Savings - Sams Mexico]:[Savings - Sams China]])+Table1[[#This Row],[Savings - IND]]</f>
        <v>0</v>
      </c>
      <c r="BX399">
        <f>SUM(Table1[[#This Row],[Spend - CAN]:[Spend - SAF]])+SUM(Table1[[#This Row],[Spend - Sams Mexico]:[Spend - Sams China]])+Table1[[#This Row],[Spend - IND]]</f>
        <v>0</v>
      </c>
      <c r="BY399">
        <f>SUM(Table1[[#This Row],[Savings - CAN]:[Savings - SAF]])+SUM(Table1[[#This Row],[Savings - Sams Mexico]:[Savings - Sams China]])+Table1[[#This Row],[Savings - IND]]</f>
        <v>0</v>
      </c>
      <c r="BZ399">
        <f>SUM(Table1[[#This Row],[Spend - US]:[Spend - Sams]])</f>
        <v>0</v>
      </c>
      <c r="CA399">
        <f>SUM(Table1[[#This Row],[Savings - US]:[Savings - Sams]])</f>
        <v>0</v>
      </c>
      <c r="CB399">
        <f>SUM(Table1[[#This Row],[Cost Avoidance - CAN2]:[Cost Avoidance - SAF10]])+SUM(Table1[[#This Row],[Cost Avoidance - Sams Mexico]:[Cost Avoidance - Sams China]])+Table1[[#This Row],[Cost Avoidance - IND]]</f>
        <v>0</v>
      </c>
      <c r="CC399">
        <f>SUM(Table1[[#This Row],[Cost Avoidance - US11]:[Cost Avoidance - Sams12]])</f>
        <v>0</v>
      </c>
      <c r="CD399">
        <f>_xlfn.XLOOKUP(Table1[[#This Row],[Status]],Status_Lookups[Status],Status_Lookups[Value],"")</f>
        <v>0.3</v>
      </c>
    </row>
    <row r="400" spans="1:82">
      <c r="A400">
        <v>1</v>
      </c>
      <c r="B400" t="s">
        <v>586</v>
      </c>
      <c r="C400" t="s">
        <v>33</v>
      </c>
      <c r="D400" t="s">
        <v>322</v>
      </c>
      <c r="E400" s="15"/>
      <c r="F400" s="15"/>
      <c r="G400" s="15"/>
      <c r="H400" s="15"/>
      <c r="K400" t="s">
        <v>396</v>
      </c>
      <c r="V400">
        <v>1E-4</v>
      </c>
      <c r="X400" t="s">
        <v>47</v>
      </c>
      <c r="Y400" s="16">
        <v>44722.571840277778</v>
      </c>
      <c r="Z400" s="17" t="str">
        <f>_xlfn.XLOOKUP(Table1[[#This Row],[Phase]],'Lookup tables'!$Y$27:$Y$60,'Lookup tables'!$Z$27:$Z$60,"Not Updated")</f>
        <v>Not Updated</v>
      </c>
      <c r="AA400" s="17"/>
      <c r="BG400" s="185"/>
      <c r="BH400" s="185"/>
      <c r="BI400" s="185"/>
      <c r="BJ400" s="185"/>
      <c r="BK400" s="185"/>
      <c r="BL400" s="185"/>
      <c r="BM400" s="185"/>
      <c r="BN400" s="185"/>
      <c r="BO400" s="185"/>
      <c r="BP400" s="185"/>
      <c r="BQ400" s="185"/>
      <c r="BR400" s="185"/>
      <c r="BS400" s="185"/>
      <c r="BT400" s="185"/>
      <c r="BU400" t="b">
        <f>IF(_xlfn.MAXIFS(Table1[Sl No],Table1[Category],Table1[[#This Row],[Category]],Table1[Execution Year],Table1[[#This Row],[Execution Year]])=Table1[[#This Row],[Sl No]],TRUE,FALSE)</f>
        <v>0</v>
      </c>
      <c r="BV400" s="201">
        <f>SUM(Table1[[#This Row],[Spend - CAN]:[Spend - Sams]])+SUM(Table1[[#This Row],[Spend - Sams Mexico]:[Spend - Sams China]])+Table1[[#This Row],[Spend - IND]]</f>
        <v>1E-4</v>
      </c>
      <c r="BW400">
        <f>SUM(Table1[[#This Row],[Savings - CAN]:[Savings - Sams]])+SUM(Table1[[#This Row],[Savings - Sams Mexico]:[Savings - Sams China]])+Table1[[#This Row],[Savings - IND]]</f>
        <v>0</v>
      </c>
      <c r="BX400">
        <f>SUM(Table1[[#This Row],[Spend - CAN]:[Spend - SAF]])+SUM(Table1[[#This Row],[Spend - Sams Mexico]:[Spend - Sams China]])+Table1[[#This Row],[Spend - IND]]</f>
        <v>0</v>
      </c>
      <c r="BY400">
        <f>SUM(Table1[[#This Row],[Savings - CAN]:[Savings - SAF]])+SUM(Table1[[#This Row],[Savings - Sams Mexico]:[Savings - Sams China]])+Table1[[#This Row],[Savings - IND]]</f>
        <v>0</v>
      </c>
      <c r="BZ400">
        <f>SUM(Table1[[#This Row],[Spend - US]:[Spend - Sams]])</f>
        <v>1E-4</v>
      </c>
      <c r="CA400">
        <f>SUM(Table1[[#This Row],[Savings - US]:[Savings - Sams]])</f>
        <v>0</v>
      </c>
      <c r="CB400">
        <f>SUM(Table1[[#This Row],[Cost Avoidance - CAN2]:[Cost Avoidance - SAF10]])+SUM(Table1[[#This Row],[Cost Avoidance - Sams Mexico]:[Cost Avoidance - Sams China]])+Table1[[#This Row],[Cost Avoidance - IND]]</f>
        <v>0</v>
      </c>
      <c r="CC400">
        <f>SUM(Table1[[#This Row],[Cost Avoidance - US11]:[Cost Avoidance - Sams12]])</f>
        <v>0</v>
      </c>
      <c r="CD400" t="str">
        <f>_xlfn.XLOOKUP(Table1[[#This Row],[Status]],Status_Lookups[Status],Status_Lookups[Value],"")</f>
        <v/>
      </c>
    </row>
    <row r="401" spans="1:82">
      <c r="A401">
        <v>2</v>
      </c>
      <c r="B401" t="s">
        <v>586</v>
      </c>
      <c r="C401" t="s">
        <v>33</v>
      </c>
      <c r="D401" t="s">
        <v>322</v>
      </c>
      <c r="E401" s="15"/>
      <c r="F401" s="15"/>
      <c r="G401" s="15"/>
      <c r="H401" s="15">
        <v>0</v>
      </c>
      <c r="I401" t="s">
        <v>413</v>
      </c>
      <c r="J401" t="s">
        <v>459</v>
      </c>
      <c r="K401" t="s">
        <v>396</v>
      </c>
      <c r="L401">
        <v>0</v>
      </c>
      <c r="M401">
        <v>0</v>
      </c>
      <c r="N401">
        <v>0</v>
      </c>
      <c r="O401">
        <v>0</v>
      </c>
      <c r="P401">
        <v>0</v>
      </c>
      <c r="Q401">
        <v>0</v>
      </c>
      <c r="R401">
        <v>0</v>
      </c>
      <c r="S401">
        <v>0</v>
      </c>
      <c r="T401">
        <v>0</v>
      </c>
      <c r="U401">
        <v>0</v>
      </c>
      <c r="V401">
        <v>1E-4</v>
      </c>
      <c r="W401">
        <v>0</v>
      </c>
      <c r="X401" t="s">
        <v>396</v>
      </c>
      <c r="Y401" s="16">
        <v>44722.577412268518</v>
      </c>
      <c r="Z401" s="17" t="str">
        <f>_xlfn.XLOOKUP(Table1[[#This Row],[Phase]],'Lookup tables'!$Y$27:$Y$60,'Lookup tables'!$Z$27:$Z$60,"Not Updated")</f>
        <v>Bid Prep</v>
      </c>
      <c r="AA401" s="17" t="s">
        <v>695</v>
      </c>
      <c r="AB401">
        <v>0</v>
      </c>
      <c r="AC401">
        <v>0</v>
      </c>
      <c r="AD401">
        <v>0</v>
      </c>
      <c r="AE401">
        <v>0</v>
      </c>
      <c r="AF401">
        <v>0</v>
      </c>
      <c r="AG401">
        <v>0</v>
      </c>
      <c r="AH401">
        <v>0</v>
      </c>
      <c r="AI401">
        <v>0</v>
      </c>
      <c r="AJ401">
        <v>0</v>
      </c>
      <c r="AK401">
        <v>0</v>
      </c>
      <c r="AL401">
        <v>0</v>
      </c>
      <c r="AM401">
        <v>0</v>
      </c>
      <c r="AN401">
        <v>0</v>
      </c>
      <c r="AO401">
        <v>0</v>
      </c>
      <c r="AP401">
        <v>0</v>
      </c>
      <c r="AQ401">
        <v>0</v>
      </c>
      <c r="AR401">
        <v>0</v>
      </c>
      <c r="AS401">
        <v>0</v>
      </c>
      <c r="AT401">
        <v>0</v>
      </c>
      <c r="AU401">
        <v>0</v>
      </c>
      <c r="AV401">
        <v>0</v>
      </c>
      <c r="AW401">
        <v>0</v>
      </c>
      <c r="AX401">
        <v>0</v>
      </c>
      <c r="AY401">
        <v>0</v>
      </c>
      <c r="AZ401">
        <v>0</v>
      </c>
      <c r="BA401">
        <v>0</v>
      </c>
      <c r="BB401">
        <v>0</v>
      </c>
      <c r="BC401">
        <v>0</v>
      </c>
      <c r="BD401">
        <v>0</v>
      </c>
      <c r="BE401">
        <v>0</v>
      </c>
      <c r="BF401">
        <v>0</v>
      </c>
      <c r="BG401" s="185">
        <v>0</v>
      </c>
      <c r="BH401" s="185">
        <v>0</v>
      </c>
      <c r="BI401" s="185">
        <v>0</v>
      </c>
      <c r="BJ401" s="185">
        <v>0</v>
      </c>
      <c r="BK401" s="185">
        <v>0</v>
      </c>
      <c r="BL401" s="185">
        <v>0</v>
      </c>
      <c r="BM401" s="185">
        <v>0</v>
      </c>
      <c r="BN401" s="185">
        <v>0</v>
      </c>
      <c r="BO401" s="185">
        <v>0</v>
      </c>
      <c r="BP401" s="185">
        <v>44927</v>
      </c>
      <c r="BQ401" s="185">
        <v>0</v>
      </c>
      <c r="BR401" s="185">
        <v>0</v>
      </c>
      <c r="BS401" s="185">
        <v>0</v>
      </c>
      <c r="BT401" s="185">
        <v>0</v>
      </c>
      <c r="BU401" t="b">
        <f>IF(_xlfn.MAXIFS(Table1[Sl No],Table1[Category],Table1[[#This Row],[Category]],Table1[Execution Year],Table1[[#This Row],[Execution Year]])=Table1[[#This Row],[Sl No]],TRUE,FALSE)</f>
        <v>1</v>
      </c>
      <c r="BV401" s="201">
        <f>SUM(Table1[[#This Row],[Spend - CAN]:[Spend - Sams]])+SUM(Table1[[#This Row],[Spend - Sams Mexico]:[Spend - Sams China]])+Table1[[#This Row],[Spend - IND]]</f>
        <v>1E-4</v>
      </c>
      <c r="BW401">
        <f>SUM(Table1[[#This Row],[Savings - CAN]:[Savings - Sams]])+SUM(Table1[[#This Row],[Savings - Sams Mexico]:[Savings - Sams China]])+Table1[[#This Row],[Savings - IND]]</f>
        <v>0</v>
      </c>
      <c r="BX401">
        <f>SUM(Table1[[#This Row],[Spend - CAN]:[Spend - SAF]])+SUM(Table1[[#This Row],[Spend - Sams Mexico]:[Spend - Sams China]])+Table1[[#This Row],[Spend - IND]]</f>
        <v>0</v>
      </c>
      <c r="BY401">
        <f>SUM(Table1[[#This Row],[Savings - CAN]:[Savings - SAF]])+SUM(Table1[[#This Row],[Savings - Sams Mexico]:[Savings - Sams China]])+Table1[[#This Row],[Savings - IND]]</f>
        <v>0</v>
      </c>
      <c r="BZ401">
        <f>SUM(Table1[[#This Row],[Spend - US]:[Spend - Sams]])</f>
        <v>1E-4</v>
      </c>
      <c r="CA401">
        <f>SUM(Table1[[#This Row],[Savings - US]:[Savings - Sams]])</f>
        <v>0</v>
      </c>
      <c r="CB401">
        <f>SUM(Table1[[#This Row],[Cost Avoidance - CAN2]:[Cost Avoidance - SAF10]])+SUM(Table1[[#This Row],[Cost Avoidance - Sams Mexico]:[Cost Avoidance - Sams China]])+Table1[[#This Row],[Cost Avoidance - IND]]</f>
        <v>0</v>
      </c>
      <c r="CC401">
        <f>SUM(Table1[[#This Row],[Cost Avoidance - US11]:[Cost Avoidance - Sams12]])</f>
        <v>0</v>
      </c>
      <c r="CD401">
        <f>_xlfn.XLOOKUP(Table1[[#This Row],[Status]],Status_Lookups[Status],Status_Lookups[Value],"")</f>
        <v>0.3</v>
      </c>
    </row>
    <row r="402" spans="1:82">
      <c r="A402">
        <v>1</v>
      </c>
      <c r="B402" t="s">
        <v>587</v>
      </c>
      <c r="C402" t="s">
        <v>33</v>
      </c>
      <c r="D402" t="s">
        <v>322</v>
      </c>
      <c r="E402" s="15"/>
      <c r="F402" s="15"/>
      <c r="G402" s="15"/>
      <c r="H402" s="15"/>
      <c r="K402" t="s">
        <v>396</v>
      </c>
      <c r="V402">
        <v>1E-4</v>
      </c>
      <c r="X402" t="s">
        <v>47</v>
      </c>
      <c r="Y402" s="16">
        <v>44722.572372685187</v>
      </c>
      <c r="Z402" s="17" t="str">
        <f>_xlfn.XLOOKUP(Table1[[#This Row],[Phase]],'Lookup tables'!$Y$27:$Y$60,'Lookup tables'!$Z$27:$Z$60,"Not Updated")</f>
        <v>Not Updated</v>
      </c>
      <c r="AA402" s="17"/>
      <c r="BG402" s="185"/>
      <c r="BH402" s="185"/>
      <c r="BI402" s="185"/>
      <c r="BJ402" s="185"/>
      <c r="BK402" s="185"/>
      <c r="BL402" s="185"/>
      <c r="BM402" s="185"/>
      <c r="BN402" s="185"/>
      <c r="BO402" s="185"/>
      <c r="BP402" s="185"/>
      <c r="BQ402" s="185"/>
      <c r="BR402" s="185"/>
      <c r="BS402" s="185"/>
      <c r="BT402" s="185"/>
      <c r="BU402" t="b">
        <f>IF(_xlfn.MAXIFS(Table1[Sl No],Table1[Category],Table1[[#This Row],[Category]],Table1[Execution Year],Table1[[#This Row],[Execution Year]])=Table1[[#This Row],[Sl No]],TRUE,FALSE)</f>
        <v>0</v>
      </c>
      <c r="BV402" s="201">
        <f>SUM(Table1[[#This Row],[Spend - CAN]:[Spend - Sams]])+SUM(Table1[[#This Row],[Spend - Sams Mexico]:[Spend - Sams China]])+Table1[[#This Row],[Spend - IND]]</f>
        <v>1E-4</v>
      </c>
      <c r="BW402">
        <f>SUM(Table1[[#This Row],[Savings - CAN]:[Savings - Sams]])+SUM(Table1[[#This Row],[Savings - Sams Mexico]:[Savings - Sams China]])+Table1[[#This Row],[Savings - IND]]</f>
        <v>0</v>
      </c>
      <c r="BX402">
        <f>SUM(Table1[[#This Row],[Spend - CAN]:[Spend - SAF]])+SUM(Table1[[#This Row],[Spend - Sams Mexico]:[Spend - Sams China]])+Table1[[#This Row],[Spend - IND]]</f>
        <v>0</v>
      </c>
      <c r="BY402">
        <f>SUM(Table1[[#This Row],[Savings - CAN]:[Savings - SAF]])+SUM(Table1[[#This Row],[Savings - Sams Mexico]:[Savings - Sams China]])+Table1[[#This Row],[Savings - IND]]</f>
        <v>0</v>
      </c>
      <c r="BZ402">
        <f>SUM(Table1[[#This Row],[Spend - US]:[Spend - Sams]])</f>
        <v>1E-4</v>
      </c>
      <c r="CA402">
        <f>SUM(Table1[[#This Row],[Savings - US]:[Savings - Sams]])</f>
        <v>0</v>
      </c>
      <c r="CB402">
        <f>SUM(Table1[[#This Row],[Cost Avoidance - CAN2]:[Cost Avoidance - SAF10]])+SUM(Table1[[#This Row],[Cost Avoidance - Sams Mexico]:[Cost Avoidance - Sams China]])+Table1[[#This Row],[Cost Avoidance - IND]]</f>
        <v>0</v>
      </c>
      <c r="CC402">
        <f>SUM(Table1[[#This Row],[Cost Avoidance - US11]:[Cost Avoidance - Sams12]])</f>
        <v>0</v>
      </c>
      <c r="CD402" t="str">
        <f>_xlfn.XLOOKUP(Table1[[#This Row],[Status]],Status_Lookups[Status],Status_Lookups[Value],"")</f>
        <v/>
      </c>
    </row>
    <row r="403" spans="1:82">
      <c r="A403">
        <v>2</v>
      </c>
      <c r="B403" t="s">
        <v>587</v>
      </c>
      <c r="C403" t="s">
        <v>33</v>
      </c>
      <c r="D403" t="s">
        <v>322</v>
      </c>
      <c r="E403" s="15"/>
      <c r="F403" s="15"/>
      <c r="G403" s="15"/>
      <c r="H403" s="15">
        <v>0</v>
      </c>
      <c r="I403" t="s">
        <v>412</v>
      </c>
      <c r="J403" t="s">
        <v>459</v>
      </c>
      <c r="K403" t="s">
        <v>396</v>
      </c>
      <c r="L403">
        <v>0</v>
      </c>
      <c r="M403">
        <v>0</v>
      </c>
      <c r="N403">
        <v>0</v>
      </c>
      <c r="O403">
        <v>0</v>
      </c>
      <c r="P403">
        <v>0</v>
      </c>
      <c r="Q403">
        <v>0</v>
      </c>
      <c r="R403">
        <v>0</v>
      </c>
      <c r="S403">
        <v>0</v>
      </c>
      <c r="T403">
        <v>0</v>
      </c>
      <c r="U403">
        <v>0</v>
      </c>
      <c r="V403">
        <v>1E-4</v>
      </c>
      <c r="W403">
        <v>0</v>
      </c>
      <c r="X403" t="s">
        <v>396</v>
      </c>
      <c r="Y403" s="16">
        <v>44722.58312314815</v>
      </c>
      <c r="Z403" s="17" t="str">
        <f>_xlfn.XLOOKUP(Table1[[#This Row],[Phase]],'Lookup tables'!$Y$27:$Y$60,'Lookup tables'!$Z$27:$Z$60,"Not Updated")</f>
        <v>Exploratory</v>
      </c>
      <c r="AA403" s="17" t="s">
        <v>696</v>
      </c>
      <c r="AB403">
        <v>0</v>
      </c>
      <c r="AC403">
        <v>0</v>
      </c>
      <c r="AD403">
        <v>0</v>
      </c>
      <c r="AE403">
        <v>0</v>
      </c>
      <c r="AF403">
        <v>0</v>
      </c>
      <c r="AG403">
        <v>0</v>
      </c>
      <c r="AH403">
        <v>0</v>
      </c>
      <c r="AI403">
        <v>0</v>
      </c>
      <c r="AJ403">
        <v>0</v>
      </c>
      <c r="AK403">
        <v>0</v>
      </c>
      <c r="AL403">
        <v>0</v>
      </c>
      <c r="AM403">
        <v>0</v>
      </c>
      <c r="AN403">
        <v>0</v>
      </c>
      <c r="AO403">
        <v>0</v>
      </c>
      <c r="AP403">
        <v>0</v>
      </c>
      <c r="AQ403">
        <v>0</v>
      </c>
      <c r="AR403">
        <v>0</v>
      </c>
      <c r="AS403">
        <v>0</v>
      </c>
      <c r="AT403">
        <v>0</v>
      </c>
      <c r="AU403">
        <v>0</v>
      </c>
      <c r="AV403">
        <v>0</v>
      </c>
      <c r="AW403">
        <v>0</v>
      </c>
      <c r="AX403">
        <v>0</v>
      </c>
      <c r="AY403">
        <v>0</v>
      </c>
      <c r="AZ403">
        <v>0</v>
      </c>
      <c r="BA403">
        <v>0</v>
      </c>
      <c r="BB403">
        <v>0</v>
      </c>
      <c r="BC403">
        <v>0</v>
      </c>
      <c r="BD403">
        <v>0</v>
      </c>
      <c r="BE403">
        <v>0</v>
      </c>
      <c r="BF403">
        <v>0</v>
      </c>
      <c r="BG403" s="185">
        <v>0</v>
      </c>
      <c r="BH403" s="185">
        <v>0</v>
      </c>
      <c r="BI403" s="185">
        <v>0</v>
      </c>
      <c r="BJ403" s="185">
        <v>0</v>
      </c>
      <c r="BK403" s="185">
        <v>0</v>
      </c>
      <c r="BL403" s="185">
        <v>0</v>
      </c>
      <c r="BM403" s="185">
        <v>0</v>
      </c>
      <c r="BN403" s="185">
        <v>0</v>
      </c>
      <c r="BO403" s="185">
        <v>0</v>
      </c>
      <c r="BP403" s="185">
        <v>0</v>
      </c>
      <c r="BQ403" s="185">
        <v>0</v>
      </c>
      <c r="BR403" s="185">
        <v>0</v>
      </c>
      <c r="BS403" s="185">
        <v>0</v>
      </c>
      <c r="BT403" s="185">
        <v>0</v>
      </c>
      <c r="BU403" t="b">
        <f>IF(_xlfn.MAXIFS(Table1[Sl No],Table1[Category],Table1[[#This Row],[Category]],Table1[Execution Year],Table1[[#This Row],[Execution Year]])=Table1[[#This Row],[Sl No]],TRUE,FALSE)</f>
        <v>1</v>
      </c>
      <c r="BV403" s="201">
        <f>SUM(Table1[[#This Row],[Spend - CAN]:[Spend - Sams]])+SUM(Table1[[#This Row],[Spend - Sams Mexico]:[Spend - Sams China]])+Table1[[#This Row],[Spend - IND]]</f>
        <v>1E-4</v>
      </c>
      <c r="BW403">
        <f>SUM(Table1[[#This Row],[Savings - CAN]:[Savings - Sams]])+SUM(Table1[[#This Row],[Savings - Sams Mexico]:[Savings - Sams China]])+Table1[[#This Row],[Savings - IND]]</f>
        <v>0</v>
      </c>
      <c r="BX403">
        <f>SUM(Table1[[#This Row],[Spend - CAN]:[Spend - SAF]])+SUM(Table1[[#This Row],[Spend - Sams Mexico]:[Spend - Sams China]])+Table1[[#This Row],[Spend - IND]]</f>
        <v>0</v>
      </c>
      <c r="BY403">
        <f>SUM(Table1[[#This Row],[Savings - CAN]:[Savings - SAF]])+SUM(Table1[[#This Row],[Savings - Sams Mexico]:[Savings - Sams China]])+Table1[[#This Row],[Savings - IND]]</f>
        <v>0</v>
      </c>
      <c r="BZ403">
        <f>SUM(Table1[[#This Row],[Spend - US]:[Spend - Sams]])</f>
        <v>1E-4</v>
      </c>
      <c r="CA403">
        <f>SUM(Table1[[#This Row],[Savings - US]:[Savings - Sams]])</f>
        <v>0</v>
      </c>
      <c r="CB403">
        <f>SUM(Table1[[#This Row],[Cost Avoidance - CAN2]:[Cost Avoidance - SAF10]])+SUM(Table1[[#This Row],[Cost Avoidance - Sams Mexico]:[Cost Avoidance - Sams China]])+Table1[[#This Row],[Cost Avoidance - IND]]</f>
        <v>0</v>
      </c>
      <c r="CC403">
        <f>SUM(Table1[[#This Row],[Cost Avoidance - US11]:[Cost Avoidance - Sams12]])</f>
        <v>0</v>
      </c>
      <c r="CD403">
        <f>_xlfn.XLOOKUP(Table1[[#This Row],[Status]],Status_Lookups[Status],Status_Lookups[Value],"")</f>
        <v>0.3</v>
      </c>
    </row>
    <row r="404" spans="1:82">
      <c r="A404">
        <v>1</v>
      </c>
      <c r="B404" t="s">
        <v>588</v>
      </c>
      <c r="C404" t="s">
        <v>33</v>
      </c>
      <c r="D404" t="s">
        <v>322</v>
      </c>
      <c r="E404" s="15"/>
      <c r="F404" s="15"/>
      <c r="G404" s="15"/>
      <c r="H404" s="15"/>
      <c r="K404" t="s">
        <v>396</v>
      </c>
      <c r="V404">
        <v>1E-4</v>
      </c>
      <c r="X404" t="s">
        <v>47</v>
      </c>
      <c r="Y404" s="16">
        <v>44722.572881944441</v>
      </c>
      <c r="Z404" s="17" t="str">
        <f>_xlfn.XLOOKUP(Table1[[#This Row],[Phase]],'Lookup tables'!$Y$27:$Y$60,'Lookup tables'!$Z$27:$Z$60,"Not Updated")</f>
        <v>Not Updated</v>
      </c>
      <c r="AA404" s="17"/>
      <c r="BG404" s="185"/>
      <c r="BH404" s="185"/>
      <c r="BI404" s="185"/>
      <c r="BJ404" s="185"/>
      <c r="BK404" s="185"/>
      <c r="BL404" s="185"/>
      <c r="BM404" s="185"/>
      <c r="BN404" s="185"/>
      <c r="BO404" s="185"/>
      <c r="BP404" s="185"/>
      <c r="BQ404" s="185"/>
      <c r="BR404" s="185"/>
      <c r="BS404" s="185"/>
      <c r="BT404" s="185"/>
      <c r="BU404" t="b">
        <f>IF(_xlfn.MAXIFS(Table1[Sl No],Table1[Category],Table1[[#This Row],[Category]],Table1[Execution Year],Table1[[#This Row],[Execution Year]])=Table1[[#This Row],[Sl No]],TRUE,FALSE)</f>
        <v>0</v>
      </c>
      <c r="BV404" s="201">
        <f>SUM(Table1[[#This Row],[Spend - CAN]:[Spend - Sams]])+SUM(Table1[[#This Row],[Spend - Sams Mexico]:[Spend - Sams China]])+Table1[[#This Row],[Spend - IND]]</f>
        <v>1E-4</v>
      </c>
      <c r="BW404">
        <f>SUM(Table1[[#This Row],[Savings - CAN]:[Savings - Sams]])+SUM(Table1[[#This Row],[Savings - Sams Mexico]:[Savings - Sams China]])+Table1[[#This Row],[Savings - IND]]</f>
        <v>0</v>
      </c>
      <c r="BX404">
        <f>SUM(Table1[[#This Row],[Spend - CAN]:[Spend - SAF]])+SUM(Table1[[#This Row],[Spend - Sams Mexico]:[Spend - Sams China]])+Table1[[#This Row],[Spend - IND]]</f>
        <v>0</v>
      </c>
      <c r="BY404">
        <f>SUM(Table1[[#This Row],[Savings - CAN]:[Savings - SAF]])+SUM(Table1[[#This Row],[Savings - Sams Mexico]:[Savings - Sams China]])+Table1[[#This Row],[Savings - IND]]</f>
        <v>0</v>
      </c>
      <c r="BZ404">
        <f>SUM(Table1[[#This Row],[Spend - US]:[Spend - Sams]])</f>
        <v>1E-4</v>
      </c>
      <c r="CA404">
        <f>SUM(Table1[[#This Row],[Savings - US]:[Savings - Sams]])</f>
        <v>0</v>
      </c>
      <c r="CB404">
        <f>SUM(Table1[[#This Row],[Cost Avoidance - CAN2]:[Cost Avoidance - SAF10]])+SUM(Table1[[#This Row],[Cost Avoidance - Sams Mexico]:[Cost Avoidance - Sams China]])+Table1[[#This Row],[Cost Avoidance - IND]]</f>
        <v>0</v>
      </c>
      <c r="CC404">
        <f>SUM(Table1[[#This Row],[Cost Avoidance - US11]:[Cost Avoidance - Sams12]])</f>
        <v>0</v>
      </c>
      <c r="CD404" t="str">
        <f>_xlfn.XLOOKUP(Table1[[#This Row],[Status]],Status_Lookups[Status],Status_Lookups[Value],"")</f>
        <v/>
      </c>
    </row>
    <row r="405" spans="1:82">
      <c r="A405">
        <v>2</v>
      </c>
      <c r="B405" t="s">
        <v>588</v>
      </c>
      <c r="C405" t="s">
        <v>33</v>
      </c>
      <c r="D405" t="s">
        <v>322</v>
      </c>
      <c r="E405" s="15"/>
      <c r="F405" s="15"/>
      <c r="G405" s="15"/>
      <c r="H405" s="15">
        <v>0</v>
      </c>
      <c r="I405" t="s">
        <v>412</v>
      </c>
      <c r="J405" t="s">
        <v>459</v>
      </c>
      <c r="K405" t="s">
        <v>396</v>
      </c>
      <c r="L405">
        <v>0</v>
      </c>
      <c r="M405">
        <v>0</v>
      </c>
      <c r="N405">
        <v>0</v>
      </c>
      <c r="O405">
        <v>0</v>
      </c>
      <c r="P405">
        <v>0</v>
      </c>
      <c r="Q405">
        <v>0</v>
      </c>
      <c r="R405">
        <v>0</v>
      </c>
      <c r="S405">
        <v>0</v>
      </c>
      <c r="T405">
        <v>0</v>
      </c>
      <c r="U405">
        <v>0</v>
      </c>
      <c r="V405">
        <v>1E-4</v>
      </c>
      <c r="W405">
        <v>0</v>
      </c>
      <c r="X405" t="s">
        <v>396</v>
      </c>
      <c r="Y405" s="16">
        <v>44722.581080208336</v>
      </c>
      <c r="Z405" s="17" t="str">
        <f>_xlfn.XLOOKUP(Table1[[#This Row],[Phase]],'Lookup tables'!$Y$27:$Y$60,'Lookup tables'!$Z$27:$Z$60,"Not Updated")</f>
        <v>Exploratory</v>
      </c>
      <c r="AA405" s="17" t="s">
        <v>696</v>
      </c>
      <c r="AB405">
        <v>0</v>
      </c>
      <c r="AC405">
        <v>0</v>
      </c>
      <c r="AD405">
        <v>0</v>
      </c>
      <c r="AE405">
        <v>0</v>
      </c>
      <c r="AF405">
        <v>0</v>
      </c>
      <c r="AG405">
        <v>0</v>
      </c>
      <c r="AH405">
        <v>0</v>
      </c>
      <c r="AI405">
        <v>0</v>
      </c>
      <c r="AJ405">
        <v>0</v>
      </c>
      <c r="AK405">
        <v>0</v>
      </c>
      <c r="AL405">
        <v>0</v>
      </c>
      <c r="AM405">
        <v>0</v>
      </c>
      <c r="AN405">
        <v>0</v>
      </c>
      <c r="AO405">
        <v>0</v>
      </c>
      <c r="AP405">
        <v>0</v>
      </c>
      <c r="AQ405">
        <v>0</v>
      </c>
      <c r="AR405">
        <v>0</v>
      </c>
      <c r="AS405">
        <v>0</v>
      </c>
      <c r="AT405">
        <v>0</v>
      </c>
      <c r="AU405">
        <v>0</v>
      </c>
      <c r="AV405">
        <v>0</v>
      </c>
      <c r="AW405">
        <v>0</v>
      </c>
      <c r="AX405">
        <v>0</v>
      </c>
      <c r="AY405">
        <v>0</v>
      </c>
      <c r="AZ405">
        <v>0</v>
      </c>
      <c r="BA405">
        <v>0</v>
      </c>
      <c r="BB405">
        <v>0</v>
      </c>
      <c r="BC405">
        <v>0</v>
      </c>
      <c r="BD405">
        <v>0</v>
      </c>
      <c r="BE405">
        <v>0</v>
      </c>
      <c r="BF405">
        <v>0</v>
      </c>
      <c r="BG405" s="185">
        <v>0</v>
      </c>
      <c r="BH405" s="185">
        <v>0</v>
      </c>
      <c r="BI405" s="185">
        <v>0</v>
      </c>
      <c r="BJ405" s="185">
        <v>0</v>
      </c>
      <c r="BK405" s="185">
        <v>0</v>
      </c>
      <c r="BL405" s="185">
        <v>0</v>
      </c>
      <c r="BM405" s="185">
        <v>0</v>
      </c>
      <c r="BN405" s="185">
        <v>0</v>
      </c>
      <c r="BO405" s="185">
        <v>0</v>
      </c>
      <c r="BP405" s="185">
        <v>0</v>
      </c>
      <c r="BQ405" s="185">
        <v>0</v>
      </c>
      <c r="BR405" s="185">
        <v>0</v>
      </c>
      <c r="BS405" s="185">
        <v>0</v>
      </c>
      <c r="BT405" s="185">
        <v>0</v>
      </c>
      <c r="BU405" t="b">
        <f>IF(_xlfn.MAXIFS(Table1[Sl No],Table1[Category],Table1[[#This Row],[Category]],Table1[Execution Year],Table1[[#This Row],[Execution Year]])=Table1[[#This Row],[Sl No]],TRUE,FALSE)</f>
        <v>0</v>
      </c>
      <c r="BV405" s="201">
        <f>SUM(Table1[[#This Row],[Spend - CAN]:[Spend - Sams]])+SUM(Table1[[#This Row],[Spend - Sams Mexico]:[Spend - Sams China]])+Table1[[#This Row],[Spend - IND]]</f>
        <v>1E-4</v>
      </c>
      <c r="BW405">
        <f>SUM(Table1[[#This Row],[Savings - CAN]:[Savings - Sams]])+SUM(Table1[[#This Row],[Savings - Sams Mexico]:[Savings - Sams China]])+Table1[[#This Row],[Savings - IND]]</f>
        <v>0</v>
      </c>
      <c r="BX405">
        <f>SUM(Table1[[#This Row],[Spend - CAN]:[Spend - SAF]])+SUM(Table1[[#This Row],[Spend - Sams Mexico]:[Spend - Sams China]])+Table1[[#This Row],[Spend - IND]]</f>
        <v>0</v>
      </c>
      <c r="BY405">
        <f>SUM(Table1[[#This Row],[Savings - CAN]:[Savings - SAF]])+SUM(Table1[[#This Row],[Savings - Sams Mexico]:[Savings - Sams China]])+Table1[[#This Row],[Savings - IND]]</f>
        <v>0</v>
      </c>
      <c r="BZ405">
        <f>SUM(Table1[[#This Row],[Spend - US]:[Spend - Sams]])</f>
        <v>1E-4</v>
      </c>
      <c r="CA405">
        <f>SUM(Table1[[#This Row],[Savings - US]:[Savings - Sams]])</f>
        <v>0</v>
      </c>
      <c r="CB405">
        <f>SUM(Table1[[#This Row],[Cost Avoidance - CAN2]:[Cost Avoidance - SAF10]])+SUM(Table1[[#This Row],[Cost Avoidance - Sams Mexico]:[Cost Avoidance - Sams China]])+Table1[[#This Row],[Cost Avoidance - IND]]</f>
        <v>0</v>
      </c>
      <c r="CC405">
        <f>SUM(Table1[[#This Row],[Cost Avoidance - US11]:[Cost Avoidance - Sams12]])</f>
        <v>0</v>
      </c>
      <c r="CD405">
        <f>_xlfn.XLOOKUP(Table1[[#This Row],[Status]],Status_Lookups[Status],Status_Lookups[Value],"")</f>
        <v>0.3</v>
      </c>
    </row>
    <row r="406" spans="1:82">
      <c r="A406">
        <v>3</v>
      </c>
      <c r="B406" t="s">
        <v>588</v>
      </c>
      <c r="C406" t="s">
        <v>33</v>
      </c>
      <c r="D406" t="s">
        <v>322</v>
      </c>
      <c r="E406" s="15"/>
      <c r="F406" s="15"/>
      <c r="G406" s="15"/>
      <c r="H406" s="15">
        <v>0</v>
      </c>
      <c r="I406" t="s">
        <v>412</v>
      </c>
      <c r="J406" t="s">
        <v>459</v>
      </c>
      <c r="K406" t="s">
        <v>396</v>
      </c>
      <c r="L406">
        <v>0</v>
      </c>
      <c r="M406">
        <v>0</v>
      </c>
      <c r="N406">
        <v>0</v>
      </c>
      <c r="O406">
        <v>0</v>
      </c>
      <c r="P406">
        <v>0</v>
      </c>
      <c r="Q406">
        <v>0</v>
      </c>
      <c r="R406">
        <v>0</v>
      </c>
      <c r="S406">
        <v>0</v>
      </c>
      <c r="T406">
        <v>0</v>
      </c>
      <c r="U406">
        <v>0</v>
      </c>
      <c r="V406">
        <v>1E-4</v>
      </c>
      <c r="W406">
        <v>0</v>
      </c>
      <c r="X406" t="s">
        <v>396</v>
      </c>
      <c r="Y406" s="16">
        <v>44722.583869675924</v>
      </c>
      <c r="Z406" s="17" t="str">
        <f>_xlfn.XLOOKUP(Table1[[#This Row],[Phase]],'Lookup tables'!$Y$27:$Y$60,'Lookup tables'!$Z$27:$Z$60,"Not Updated")</f>
        <v>Exploratory</v>
      </c>
      <c r="AA406" s="17" t="s">
        <v>697</v>
      </c>
      <c r="AB406">
        <v>0</v>
      </c>
      <c r="AC406">
        <v>0</v>
      </c>
      <c r="AD406">
        <v>0</v>
      </c>
      <c r="AE406">
        <v>0</v>
      </c>
      <c r="AF406">
        <v>0</v>
      </c>
      <c r="AG406">
        <v>0</v>
      </c>
      <c r="AH406">
        <v>0</v>
      </c>
      <c r="AI406">
        <v>0</v>
      </c>
      <c r="AJ406">
        <v>0</v>
      </c>
      <c r="AK406">
        <v>0</v>
      </c>
      <c r="AL406">
        <v>0</v>
      </c>
      <c r="AM406">
        <v>0</v>
      </c>
      <c r="AN406">
        <v>0</v>
      </c>
      <c r="AO406">
        <v>0</v>
      </c>
      <c r="AP406">
        <v>0</v>
      </c>
      <c r="AQ406">
        <v>0</v>
      </c>
      <c r="AR406">
        <v>0</v>
      </c>
      <c r="AS406">
        <v>0</v>
      </c>
      <c r="AT406">
        <v>0</v>
      </c>
      <c r="AU406">
        <v>0</v>
      </c>
      <c r="AV406">
        <v>0</v>
      </c>
      <c r="AW406">
        <v>0</v>
      </c>
      <c r="AX406">
        <v>0</v>
      </c>
      <c r="AY406">
        <v>0</v>
      </c>
      <c r="AZ406">
        <v>0</v>
      </c>
      <c r="BA406">
        <v>0</v>
      </c>
      <c r="BB406">
        <v>0</v>
      </c>
      <c r="BC406">
        <v>0</v>
      </c>
      <c r="BD406">
        <v>0</v>
      </c>
      <c r="BE406">
        <v>0</v>
      </c>
      <c r="BF406">
        <v>0</v>
      </c>
      <c r="BG406" s="185">
        <v>0</v>
      </c>
      <c r="BH406" s="185">
        <v>0</v>
      </c>
      <c r="BI406" s="185">
        <v>0</v>
      </c>
      <c r="BJ406" s="185">
        <v>0</v>
      </c>
      <c r="BK406" s="185">
        <v>0</v>
      </c>
      <c r="BL406" s="185">
        <v>0</v>
      </c>
      <c r="BM406" s="185">
        <v>0</v>
      </c>
      <c r="BN406" s="185">
        <v>0</v>
      </c>
      <c r="BO406" s="185">
        <v>0</v>
      </c>
      <c r="BP406" s="185">
        <v>0</v>
      </c>
      <c r="BQ406" s="185">
        <v>0</v>
      </c>
      <c r="BR406" s="185">
        <v>0</v>
      </c>
      <c r="BS406" s="185">
        <v>0</v>
      </c>
      <c r="BT406" s="185">
        <v>0</v>
      </c>
      <c r="BU406" t="b">
        <f>IF(_xlfn.MAXIFS(Table1[Sl No],Table1[Category],Table1[[#This Row],[Category]],Table1[Execution Year],Table1[[#This Row],[Execution Year]])=Table1[[#This Row],[Sl No]],TRUE,FALSE)</f>
        <v>1</v>
      </c>
      <c r="BV406" s="201">
        <f>SUM(Table1[[#This Row],[Spend - CAN]:[Spend - Sams]])+SUM(Table1[[#This Row],[Spend - Sams Mexico]:[Spend - Sams China]])+Table1[[#This Row],[Spend - IND]]</f>
        <v>1E-4</v>
      </c>
      <c r="BW406">
        <f>SUM(Table1[[#This Row],[Savings - CAN]:[Savings - Sams]])+SUM(Table1[[#This Row],[Savings - Sams Mexico]:[Savings - Sams China]])+Table1[[#This Row],[Savings - IND]]</f>
        <v>0</v>
      </c>
      <c r="BX406">
        <f>SUM(Table1[[#This Row],[Spend - CAN]:[Spend - SAF]])+SUM(Table1[[#This Row],[Spend - Sams Mexico]:[Spend - Sams China]])+Table1[[#This Row],[Spend - IND]]</f>
        <v>0</v>
      </c>
      <c r="BY406">
        <f>SUM(Table1[[#This Row],[Savings - CAN]:[Savings - SAF]])+SUM(Table1[[#This Row],[Savings - Sams Mexico]:[Savings - Sams China]])+Table1[[#This Row],[Savings - IND]]</f>
        <v>0</v>
      </c>
      <c r="BZ406">
        <f>SUM(Table1[[#This Row],[Spend - US]:[Spend - Sams]])</f>
        <v>1E-4</v>
      </c>
      <c r="CA406">
        <f>SUM(Table1[[#This Row],[Savings - US]:[Savings - Sams]])</f>
        <v>0</v>
      </c>
      <c r="CB406">
        <f>SUM(Table1[[#This Row],[Cost Avoidance - CAN2]:[Cost Avoidance - SAF10]])+SUM(Table1[[#This Row],[Cost Avoidance - Sams Mexico]:[Cost Avoidance - Sams China]])+Table1[[#This Row],[Cost Avoidance - IND]]</f>
        <v>0</v>
      </c>
      <c r="CC406">
        <f>SUM(Table1[[#This Row],[Cost Avoidance - US11]:[Cost Avoidance - Sams12]])</f>
        <v>0</v>
      </c>
      <c r="CD406">
        <f>_xlfn.XLOOKUP(Table1[[#This Row],[Status]],Status_Lookups[Status],Status_Lookups[Value],"")</f>
        <v>0.3</v>
      </c>
    </row>
    <row r="407" spans="1:82">
      <c r="A407">
        <v>1</v>
      </c>
      <c r="B407" t="s">
        <v>592</v>
      </c>
      <c r="C407" t="s">
        <v>33</v>
      </c>
      <c r="D407" t="s">
        <v>322</v>
      </c>
      <c r="E407" s="15"/>
      <c r="F407" s="15"/>
      <c r="G407" s="15"/>
      <c r="H407" s="15"/>
      <c r="K407" t="s">
        <v>396</v>
      </c>
      <c r="V407">
        <v>1E-4</v>
      </c>
      <c r="X407" t="s">
        <v>47</v>
      </c>
      <c r="Y407" s="16">
        <v>44722.574201388888</v>
      </c>
      <c r="Z407" s="17" t="str">
        <f>_xlfn.XLOOKUP(Table1[[#This Row],[Phase]],'Lookup tables'!$Y$27:$Y$60,'Lookup tables'!$Z$27:$Z$60,"Not Updated")</f>
        <v>Not Updated</v>
      </c>
      <c r="AA407" s="17"/>
      <c r="BG407" s="185"/>
      <c r="BH407" s="185"/>
      <c r="BI407" s="185"/>
      <c r="BJ407" s="185"/>
      <c r="BK407" s="185"/>
      <c r="BL407" s="185"/>
      <c r="BM407" s="185"/>
      <c r="BN407" s="185"/>
      <c r="BO407" s="185"/>
      <c r="BP407" s="185"/>
      <c r="BQ407" s="185"/>
      <c r="BR407" s="185"/>
      <c r="BS407" s="185"/>
      <c r="BT407" s="185"/>
      <c r="BU407" t="b">
        <f>IF(_xlfn.MAXIFS(Table1[Sl No],Table1[Category],Table1[[#This Row],[Category]],Table1[Execution Year],Table1[[#This Row],[Execution Year]])=Table1[[#This Row],[Sl No]],TRUE,FALSE)</f>
        <v>0</v>
      </c>
      <c r="BV407" s="201">
        <f>SUM(Table1[[#This Row],[Spend - CAN]:[Spend - Sams]])+SUM(Table1[[#This Row],[Spend - Sams Mexico]:[Spend - Sams China]])+Table1[[#This Row],[Spend - IND]]</f>
        <v>1E-4</v>
      </c>
      <c r="BW407">
        <f>SUM(Table1[[#This Row],[Savings - CAN]:[Savings - Sams]])+SUM(Table1[[#This Row],[Savings - Sams Mexico]:[Savings - Sams China]])+Table1[[#This Row],[Savings - IND]]</f>
        <v>0</v>
      </c>
      <c r="BX407">
        <f>SUM(Table1[[#This Row],[Spend - CAN]:[Spend - SAF]])+SUM(Table1[[#This Row],[Spend - Sams Mexico]:[Spend - Sams China]])+Table1[[#This Row],[Spend - IND]]</f>
        <v>0</v>
      </c>
      <c r="BY407">
        <f>SUM(Table1[[#This Row],[Savings - CAN]:[Savings - SAF]])+SUM(Table1[[#This Row],[Savings - Sams Mexico]:[Savings - Sams China]])+Table1[[#This Row],[Savings - IND]]</f>
        <v>0</v>
      </c>
      <c r="BZ407">
        <f>SUM(Table1[[#This Row],[Spend - US]:[Spend - Sams]])</f>
        <v>1E-4</v>
      </c>
      <c r="CA407">
        <f>SUM(Table1[[#This Row],[Savings - US]:[Savings - Sams]])</f>
        <v>0</v>
      </c>
      <c r="CB407">
        <f>SUM(Table1[[#This Row],[Cost Avoidance - CAN2]:[Cost Avoidance - SAF10]])+SUM(Table1[[#This Row],[Cost Avoidance - Sams Mexico]:[Cost Avoidance - Sams China]])+Table1[[#This Row],[Cost Avoidance - IND]]</f>
        <v>0</v>
      </c>
      <c r="CC407">
        <f>SUM(Table1[[#This Row],[Cost Avoidance - US11]:[Cost Avoidance - Sams12]])</f>
        <v>0</v>
      </c>
      <c r="CD407" t="str">
        <f>_xlfn.XLOOKUP(Table1[[#This Row],[Status]],Status_Lookups[Status],Status_Lookups[Value],"")</f>
        <v/>
      </c>
    </row>
    <row r="408" spans="1:82">
      <c r="A408">
        <v>2</v>
      </c>
      <c r="B408" t="s">
        <v>592</v>
      </c>
      <c r="C408" t="s">
        <v>33</v>
      </c>
      <c r="D408" t="s">
        <v>322</v>
      </c>
      <c r="E408" s="15"/>
      <c r="F408" s="15"/>
      <c r="G408" s="15"/>
      <c r="H408" s="15">
        <v>0</v>
      </c>
      <c r="I408" t="s">
        <v>412</v>
      </c>
      <c r="J408" t="s">
        <v>459</v>
      </c>
      <c r="K408" t="s">
        <v>396</v>
      </c>
      <c r="L408">
        <v>0</v>
      </c>
      <c r="M408">
        <v>0</v>
      </c>
      <c r="N408">
        <v>0</v>
      </c>
      <c r="O408">
        <v>0</v>
      </c>
      <c r="P408">
        <v>0</v>
      </c>
      <c r="Q408">
        <v>0</v>
      </c>
      <c r="R408">
        <v>0</v>
      </c>
      <c r="S408">
        <v>0</v>
      </c>
      <c r="T408">
        <v>0</v>
      </c>
      <c r="U408">
        <v>0</v>
      </c>
      <c r="V408">
        <v>1E-4</v>
      </c>
      <c r="W408">
        <v>0</v>
      </c>
      <c r="X408" t="s">
        <v>396</v>
      </c>
      <c r="Y408" s="16">
        <v>44722.588725578702</v>
      </c>
      <c r="Z408" s="17" t="str">
        <f>_xlfn.XLOOKUP(Table1[[#This Row],[Phase]],'Lookup tables'!$Y$27:$Y$60,'Lookup tables'!$Z$27:$Z$60,"Not Updated")</f>
        <v>Exploratory</v>
      </c>
      <c r="AA408" s="17" t="s">
        <v>698</v>
      </c>
      <c r="AB408">
        <v>0</v>
      </c>
      <c r="AC408">
        <v>0</v>
      </c>
      <c r="AD408">
        <v>0</v>
      </c>
      <c r="AE408">
        <v>0</v>
      </c>
      <c r="AF408">
        <v>0</v>
      </c>
      <c r="AG408">
        <v>0</v>
      </c>
      <c r="AH408">
        <v>0</v>
      </c>
      <c r="AI408">
        <v>0</v>
      </c>
      <c r="AJ408">
        <v>0</v>
      </c>
      <c r="AK408">
        <v>0</v>
      </c>
      <c r="AL408">
        <v>0</v>
      </c>
      <c r="AM408">
        <v>0</v>
      </c>
      <c r="AN408">
        <v>0</v>
      </c>
      <c r="AO408">
        <v>0</v>
      </c>
      <c r="AP408">
        <v>0</v>
      </c>
      <c r="AQ408">
        <v>0</v>
      </c>
      <c r="AR408">
        <v>0</v>
      </c>
      <c r="AS408">
        <v>0</v>
      </c>
      <c r="AT408">
        <v>0</v>
      </c>
      <c r="AU408">
        <v>0</v>
      </c>
      <c r="AV408">
        <v>0</v>
      </c>
      <c r="AW408">
        <v>0</v>
      </c>
      <c r="AX408">
        <v>0</v>
      </c>
      <c r="AY408">
        <v>0</v>
      </c>
      <c r="AZ408">
        <v>0</v>
      </c>
      <c r="BA408">
        <v>0</v>
      </c>
      <c r="BB408">
        <v>0</v>
      </c>
      <c r="BC408">
        <v>0</v>
      </c>
      <c r="BD408">
        <v>0</v>
      </c>
      <c r="BE408">
        <v>0</v>
      </c>
      <c r="BF408">
        <v>0</v>
      </c>
      <c r="BG408" s="185">
        <v>0</v>
      </c>
      <c r="BH408" s="185">
        <v>0</v>
      </c>
      <c r="BI408" s="185">
        <v>0</v>
      </c>
      <c r="BJ408" s="185">
        <v>0</v>
      </c>
      <c r="BK408" s="185">
        <v>0</v>
      </c>
      <c r="BL408" s="185">
        <v>0</v>
      </c>
      <c r="BM408" s="185">
        <v>0</v>
      </c>
      <c r="BN408" s="185">
        <v>0</v>
      </c>
      <c r="BO408" s="185">
        <v>0</v>
      </c>
      <c r="BP408" s="185">
        <v>0</v>
      </c>
      <c r="BQ408" s="185">
        <v>0</v>
      </c>
      <c r="BR408" s="185">
        <v>0</v>
      </c>
      <c r="BS408" s="185">
        <v>0</v>
      </c>
      <c r="BT408" s="185">
        <v>0</v>
      </c>
      <c r="BU408" t="b">
        <f>IF(_xlfn.MAXIFS(Table1[Sl No],Table1[Category],Table1[[#This Row],[Category]],Table1[Execution Year],Table1[[#This Row],[Execution Year]])=Table1[[#This Row],[Sl No]],TRUE,FALSE)</f>
        <v>1</v>
      </c>
      <c r="BV408" s="201">
        <f>SUM(Table1[[#This Row],[Spend - CAN]:[Spend - Sams]])+SUM(Table1[[#This Row],[Spend - Sams Mexico]:[Spend - Sams China]])+Table1[[#This Row],[Spend - IND]]</f>
        <v>1E-4</v>
      </c>
      <c r="BW408">
        <f>SUM(Table1[[#This Row],[Savings - CAN]:[Savings - Sams]])+SUM(Table1[[#This Row],[Savings - Sams Mexico]:[Savings - Sams China]])+Table1[[#This Row],[Savings - IND]]</f>
        <v>0</v>
      </c>
      <c r="BX408">
        <f>SUM(Table1[[#This Row],[Spend - CAN]:[Spend - SAF]])+SUM(Table1[[#This Row],[Spend - Sams Mexico]:[Spend - Sams China]])+Table1[[#This Row],[Spend - IND]]</f>
        <v>0</v>
      </c>
      <c r="BY408">
        <f>SUM(Table1[[#This Row],[Savings - CAN]:[Savings - SAF]])+SUM(Table1[[#This Row],[Savings - Sams Mexico]:[Savings - Sams China]])+Table1[[#This Row],[Savings - IND]]</f>
        <v>0</v>
      </c>
      <c r="BZ408">
        <f>SUM(Table1[[#This Row],[Spend - US]:[Spend - Sams]])</f>
        <v>1E-4</v>
      </c>
      <c r="CA408">
        <f>SUM(Table1[[#This Row],[Savings - US]:[Savings - Sams]])</f>
        <v>0</v>
      </c>
      <c r="CB408">
        <f>SUM(Table1[[#This Row],[Cost Avoidance - CAN2]:[Cost Avoidance - SAF10]])+SUM(Table1[[#This Row],[Cost Avoidance - Sams Mexico]:[Cost Avoidance - Sams China]])+Table1[[#This Row],[Cost Avoidance - IND]]</f>
        <v>0</v>
      </c>
      <c r="CC408">
        <f>SUM(Table1[[#This Row],[Cost Avoidance - US11]:[Cost Avoidance - Sams12]])</f>
        <v>0</v>
      </c>
      <c r="CD408">
        <f>_xlfn.XLOOKUP(Table1[[#This Row],[Status]],Status_Lookups[Status],Status_Lookups[Value],"")</f>
        <v>0.3</v>
      </c>
    </row>
    <row r="409" spans="1:82">
      <c r="A409">
        <v>1</v>
      </c>
      <c r="B409" t="s">
        <v>594</v>
      </c>
      <c r="C409" t="s">
        <v>33</v>
      </c>
      <c r="D409" t="s">
        <v>322</v>
      </c>
      <c r="E409" s="15"/>
      <c r="F409" s="15"/>
      <c r="G409" s="15"/>
      <c r="H409" s="15"/>
      <c r="K409" t="s">
        <v>396</v>
      </c>
      <c r="V409">
        <v>1E-4</v>
      </c>
      <c r="X409" t="s">
        <v>47</v>
      </c>
      <c r="Y409" s="16">
        <v>44722.574456018519</v>
      </c>
      <c r="Z409" s="17" t="str">
        <f>_xlfn.XLOOKUP(Table1[[#This Row],[Phase]],'Lookup tables'!$Y$27:$Y$60,'Lookup tables'!$Z$27:$Z$60,"Not Updated")</f>
        <v>Not Updated</v>
      </c>
      <c r="AA409" s="17"/>
      <c r="BG409" s="185"/>
      <c r="BH409" s="185"/>
      <c r="BI409" s="185"/>
      <c r="BJ409" s="185"/>
      <c r="BK409" s="185"/>
      <c r="BL409" s="185"/>
      <c r="BM409" s="185"/>
      <c r="BN409" s="185"/>
      <c r="BO409" s="185"/>
      <c r="BP409" s="185"/>
      <c r="BQ409" s="185"/>
      <c r="BR409" s="185"/>
      <c r="BS409" s="185"/>
      <c r="BT409" s="185"/>
      <c r="BU409" t="b">
        <f>IF(_xlfn.MAXIFS(Table1[Sl No],Table1[Category],Table1[[#This Row],[Category]],Table1[Execution Year],Table1[[#This Row],[Execution Year]])=Table1[[#This Row],[Sl No]],TRUE,FALSE)</f>
        <v>0</v>
      </c>
      <c r="BV409" s="201">
        <f>SUM(Table1[[#This Row],[Spend - CAN]:[Spend - Sams]])+SUM(Table1[[#This Row],[Spend - Sams Mexico]:[Spend - Sams China]])+Table1[[#This Row],[Spend - IND]]</f>
        <v>1E-4</v>
      </c>
      <c r="BW409">
        <f>SUM(Table1[[#This Row],[Savings - CAN]:[Savings - Sams]])+SUM(Table1[[#This Row],[Savings - Sams Mexico]:[Savings - Sams China]])+Table1[[#This Row],[Savings - IND]]</f>
        <v>0</v>
      </c>
      <c r="BX409">
        <f>SUM(Table1[[#This Row],[Spend - CAN]:[Spend - SAF]])+SUM(Table1[[#This Row],[Spend - Sams Mexico]:[Spend - Sams China]])+Table1[[#This Row],[Spend - IND]]</f>
        <v>0</v>
      </c>
      <c r="BY409">
        <f>SUM(Table1[[#This Row],[Savings - CAN]:[Savings - SAF]])+SUM(Table1[[#This Row],[Savings - Sams Mexico]:[Savings - Sams China]])+Table1[[#This Row],[Savings - IND]]</f>
        <v>0</v>
      </c>
      <c r="BZ409">
        <f>SUM(Table1[[#This Row],[Spend - US]:[Spend - Sams]])</f>
        <v>1E-4</v>
      </c>
      <c r="CA409">
        <f>SUM(Table1[[#This Row],[Savings - US]:[Savings - Sams]])</f>
        <v>0</v>
      </c>
      <c r="CB409">
        <f>SUM(Table1[[#This Row],[Cost Avoidance - CAN2]:[Cost Avoidance - SAF10]])+SUM(Table1[[#This Row],[Cost Avoidance - Sams Mexico]:[Cost Avoidance - Sams China]])+Table1[[#This Row],[Cost Avoidance - IND]]</f>
        <v>0</v>
      </c>
      <c r="CC409">
        <f>SUM(Table1[[#This Row],[Cost Avoidance - US11]:[Cost Avoidance - Sams12]])</f>
        <v>0</v>
      </c>
      <c r="CD409" t="str">
        <f>_xlfn.XLOOKUP(Table1[[#This Row],[Status]],Status_Lookups[Status],Status_Lookups[Value],"")</f>
        <v/>
      </c>
    </row>
    <row r="410" spans="1:82">
      <c r="A410">
        <v>2</v>
      </c>
      <c r="B410" t="s">
        <v>594</v>
      </c>
      <c r="C410" t="s">
        <v>33</v>
      </c>
      <c r="D410" t="s">
        <v>322</v>
      </c>
      <c r="E410" s="15"/>
      <c r="F410" s="15"/>
      <c r="G410" s="15"/>
      <c r="H410" s="15">
        <v>0</v>
      </c>
      <c r="I410" t="s">
        <v>412</v>
      </c>
      <c r="J410" t="s">
        <v>459</v>
      </c>
      <c r="K410" t="s">
        <v>396</v>
      </c>
      <c r="L410">
        <v>0</v>
      </c>
      <c r="M410">
        <v>0</v>
      </c>
      <c r="N410">
        <v>0</v>
      </c>
      <c r="O410">
        <v>0</v>
      </c>
      <c r="P410">
        <v>0</v>
      </c>
      <c r="Q410">
        <v>0</v>
      </c>
      <c r="R410">
        <v>0</v>
      </c>
      <c r="S410">
        <v>0</v>
      </c>
      <c r="T410">
        <v>0</v>
      </c>
      <c r="U410">
        <v>0</v>
      </c>
      <c r="V410">
        <v>1E-4</v>
      </c>
      <c r="W410">
        <v>0</v>
      </c>
      <c r="X410" t="s">
        <v>396</v>
      </c>
      <c r="Y410" s="16">
        <v>44722.593345254631</v>
      </c>
      <c r="Z410" s="17" t="str">
        <f>_xlfn.XLOOKUP(Table1[[#This Row],[Phase]],'Lookup tables'!$Y$27:$Y$60,'Lookup tables'!$Z$27:$Z$60,"Not Updated")</f>
        <v>Exploratory</v>
      </c>
      <c r="AA410" s="17" t="s">
        <v>699</v>
      </c>
      <c r="AB410">
        <v>0</v>
      </c>
      <c r="AC410">
        <v>0</v>
      </c>
      <c r="AD410">
        <v>0</v>
      </c>
      <c r="AE410">
        <v>0</v>
      </c>
      <c r="AF410">
        <v>0</v>
      </c>
      <c r="AG410">
        <v>0</v>
      </c>
      <c r="AH410">
        <v>0</v>
      </c>
      <c r="AI410">
        <v>0</v>
      </c>
      <c r="AJ410">
        <v>0</v>
      </c>
      <c r="AK410">
        <v>0</v>
      </c>
      <c r="AL410">
        <v>0</v>
      </c>
      <c r="AM410">
        <v>0</v>
      </c>
      <c r="AN410">
        <v>0</v>
      </c>
      <c r="AO410">
        <v>0</v>
      </c>
      <c r="AP410">
        <v>0</v>
      </c>
      <c r="AQ410">
        <v>0</v>
      </c>
      <c r="AR410">
        <v>0</v>
      </c>
      <c r="AS410">
        <v>0</v>
      </c>
      <c r="AT410">
        <v>0</v>
      </c>
      <c r="AU410">
        <v>0</v>
      </c>
      <c r="AV410">
        <v>0</v>
      </c>
      <c r="AW410">
        <v>0</v>
      </c>
      <c r="AX410">
        <v>0</v>
      </c>
      <c r="AY410">
        <v>0</v>
      </c>
      <c r="AZ410">
        <v>0</v>
      </c>
      <c r="BA410">
        <v>0</v>
      </c>
      <c r="BB410">
        <v>0</v>
      </c>
      <c r="BC410">
        <v>0</v>
      </c>
      <c r="BD410">
        <v>0</v>
      </c>
      <c r="BE410">
        <v>0</v>
      </c>
      <c r="BF410">
        <v>0</v>
      </c>
      <c r="BG410" s="185">
        <v>0</v>
      </c>
      <c r="BH410" s="185">
        <v>0</v>
      </c>
      <c r="BI410" s="185">
        <v>0</v>
      </c>
      <c r="BJ410" s="185">
        <v>0</v>
      </c>
      <c r="BK410" s="185">
        <v>0</v>
      </c>
      <c r="BL410" s="185">
        <v>0</v>
      </c>
      <c r="BM410" s="185">
        <v>0</v>
      </c>
      <c r="BN410" s="185">
        <v>0</v>
      </c>
      <c r="BO410" s="185">
        <v>0</v>
      </c>
      <c r="BP410" s="185">
        <v>0</v>
      </c>
      <c r="BQ410" s="185">
        <v>0</v>
      </c>
      <c r="BR410" s="185">
        <v>0</v>
      </c>
      <c r="BS410" s="185">
        <v>0</v>
      </c>
      <c r="BT410" s="185">
        <v>0</v>
      </c>
      <c r="BU410" t="b">
        <f>IF(_xlfn.MAXIFS(Table1[Sl No],Table1[Category],Table1[[#This Row],[Category]],Table1[Execution Year],Table1[[#This Row],[Execution Year]])=Table1[[#This Row],[Sl No]],TRUE,FALSE)</f>
        <v>1</v>
      </c>
      <c r="BV410" s="201">
        <f>SUM(Table1[[#This Row],[Spend - CAN]:[Spend - Sams]])+SUM(Table1[[#This Row],[Spend - Sams Mexico]:[Spend - Sams China]])+Table1[[#This Row],[Spend - IND]]</f>
        <v>1E-4</v>
      </c>
      <c r="BW410">
        <f>SUM(Table1[[#This Row],[Savings - CAN]:[Savings - Sams]])+SUM(Table1[[#This Row],[Savings - Sams Mexico]:[Savings - Sams China]])+Table1[[#This Row],[Savings - IND]]</f>
        <v>0</v>
      </c>
      <c r="BX410">
        <f>SUM(Table1[[#This Row],[Spend - CAN]:[Spend - SAF]])+SUM(Table1[[#This Row],[Spend - Sams Mexico]:[Spend - Sams China]])+Table1[[#This Row],[Spend - IND]]</f>
        <v>0</v>
      </c>
      <c r="BY410">
        <f>SUM(Table1[[#This Row],[Savings - CAN]:[Savings - SAF]])+SUM(Table1[[#This Row],[Savings - Sams Mexico]:[Savings - Sams China]])+Table1[[#This Row],[Savings - IND]]</f>
        <v>0</v>
      </c>
      <c r="BZ410">
        <f>SUM(Table1[[#This Row],[Spend - US]:[Spend - Sams]])</f>
        <v>1E-4</v>
      </c>
      <c r="CA410">
        <f>SUM(Table1[[#This Row],[Savings - US]:[Savings - Sams]])</f>
        <v>0</v>
      </c>
      <c r="CB410">
        <f>SUM(Table1[[#This Row],[Cost Avoidance - CAN2]:[Cost Avoidance - SAF10]])+SUM(Table1[[#This Row],[Cost Avoidance - Sams Mexico]:[Cost Avoidance - Sams China]])+Table1[[#This Row],[Cost Avoidance - IND]]</f>
        <v>0</v>
      </c>
      <c r="CC410">
        <f>SUM(Table1[[#This Row],[Cost Avoidance - US11]:[Cost Avoidance - Sams12]])</f>
        <v>0</v>
      </c>
      <c r="CD410">
        <f>_xlfn.XLOOKUP(Table1[[#This Row],[Status]],Status_Lookups[Status],Status_Lookups[Value],"")</f>
        <v>0.3</v>
      </c>
    </row>
    <row r="411" spans="1:82">
      <c r="A411">
        <v>1</v>
      </c>
      <c r="B411" t="s">
        <v>589</v>
      </c>
      <c r="C411" t="s">
        <v>33</v>
      </c>
      <c r="D411" t="s">
        <v>322</v>
      </c>
      <c r="E411" s="15"/>
      <c r="F411" s="15"/>
      <c r="G411" s="15"/>
      <c r="H411" s="15"/>
      <c r="K411" t="s">
        <v>396</v>
      </c>
      <c r="V411">
        <v>1E-4</v>
      </c>
      <c r="X411" t="s">
        <v>47</v>
      </c>
      <c r="Y411" s="16">
        <v>44722.573159722226</v>
      </c>
      <c r="Z411" s="17" t="str">
        <f>_xlfn.XLOOKUP(Table1[[#This Row],[Phase]],'Lookup tables'!$Y$27:$Y$60,'Lookup tables'!$Z$27:$Z$60,"Not Updated")</f>
        <v>Not Updated</v>
      </c>
      <c r="AA411" s="17"/>
      <c r="BG411" s="185"/>
      <c r="BH411" s="185"/>
      <c r="BI411" s="185"/>
      <c r="BJ411" s="185"/>
      <c r="BK411" s="185"/>
      <c r="BL411" s="185"/>
      <c r="BM411" s="185"/>
      <c r="BN411" s="185"/>
      <c r="BO411" s="185"/>
      <c r="BP411" s="185"/>
      <c r="BQ411" s="185"/>
      <c r="BR411" s="185"/>
      <c r="BS411" s="185"/>
      <c r="BT411" s="185"/>
      <c r="BU411" t="b">
        <f>IF(_xlfn.MAXIFS(Table1[Sl No],Table1[Category],Table1[[#This Row],[Category]],Table1[Execution Year],Table1[[#This Row],[Execution Year]])=Table1[[#This Row],[Sl No]],TRUE,FALSE)</f>
        <v>0</v>
      </c>
      <c r="BV411" s="201">
        <f>SUM(Table1[[#This Row],[Spend - CAN]:[Spend - Sams]])+SUM(Table1[[#This Row],[Spend - Sams Mexico]:[Spend - Sams China]])+Table1[[#This Row],[Spend - IND]]</f>
        <v>1E-4</v>
      </c>
      <c r="BW411">
        <f>SUM(Table1[[#This Row],[Savings - CAN]:[Savings - Sams]])+SUM(Table1[[#This Row],[Savings - Sams Mexico]:[Savings - Sams China]])+Table1[[#This Row],[Savings - IND]]</f>
        <v>0</v>
      </c>
      <c r="BX411">
        <f>SUM(Table1[[#This Row],[Spend - CAN]:[Spend - SAF]])+SUM(Table1[[#This Row],[Spend - Sams Mexico]:[Spend - Sams China]])+Table1[[#This Row],[Spend - IND]]</f>
        <v>0</v>
      </c>
      <c r="BY411">
        <f>SUM(Table1[[#This Row],[Savings - CAN]:[Savings - SAF]])+SUM(Table1[[#This Row],[Savings - Sams Mexico]:[Savings - Sams China]])+Table1[[#This Row],[Savings - IND]]</f>
        <v>0</v>
      </c>
      <c r="BZ411">
        <f>SUM(Table1[[#This Row],[Spend - US]:[Spend - Sams]])</f>
        <v>1E-4</v>
      </c>
      <c r="CA411">
        <f>SUM(Table1[[#This Row],[Savings - US]:[Savings - Sams]])</f>
        <v>0</v>
      </c>
      <c r="CB411">
        <f>SUM(Table1[[#This Row],[Cost Avoidance - CAN2]:[Cost Avoidance - SAF10]])+SUM(Table1[[#This Row],[Cost Avoidance - Sams Mexico]:[Cost Avoidance - Sams China]])+Table1[[#This Row],[Cost Avoidance - IND]]</f>
        <v>0</v>
      </c>
      <c r="CC411">
        <f>SUM(Table1[[#This Row],[Cost Avoidance - US11]:[Cost Avoidance - Sams12]])</f>
        <v>0</v>
      </c>
      <c r="CD411" t="str">
        <f>_xlfn.XLOOKUP(Table1[[#This Row],[Status]],Status_Lookups[Status],Status_Lookups[Value],"")</f>
        <v/>
      </c>
    </row>
    <row r="412" spans="1:82">
      <c r="A412">
        <v>2</v>
      </c>
      <c r="B412" t="s">
        <v>589</v>
      </c>
      <c r="C412" t="s">
        <v>33</v>
      </c>
      <c r="D412" t="s">
        <v>322</v>
      </c>
      <c r="E412" s="15"/>
      <c r="F412" s="15"/>
      <c r="G412" s="15"/>
      <c r="H412" s="15">
        <v>0</v>
      </c>
      <c r="I412" t="s">
        <v>463</v>
      </c>
      <c r="J412" t="s">
        <v>459</v>
      </c>
      <c r="K412" t="s">
        <v>396</v>
      </c>
      <c r="L412">
        <v>0</v>
      </c>
      <c r="M412">
        <v>0</v>
      </c>
      <c r="N412">
        <v>0</v>
      </c>
      <c r="O412">
        <v>0</v>
      </c>
      <c r="P412">
        <v>0</v>
      </c>
      <c r="Q412">
        <v>0</v>
      </c>
      <c r="R412">
        <v>0</v>
      </c>
      <c r="S412">
        <v>0</v>
      </c>
      <c r="T412">
        <v>0</v>
      </c>
      <c r="U412">
        <v>0</v>
      </c>
      <c r="V412">
        <v>1E-4</v>
      </c>
      <c r="W412">
        <v>0</v>
      </c>
      <c r="X412" t="s">
        <v>396</v>
      </c>
      <c r="Y412" s="16">
        <v>44722.585751851853</v>
      </c>
      <c r="Z412" s="17" t="str">
        <f>_xlfn.XLOOKUP(Table1[[#This Row],[Phase]],'Lookup tables'!$Y$27:$Y$60,'Lookup tables'!$Z$27:$Z$60,"Not Updated")</f>
        <v>Pending PB/Merch Approval</v>
      </c>
      <c r="AA412" s="17" t="s">
        <v>700</v>
      </c>
      <c r="AB412">
        <v>0</v>
      </c>
      <c r="AC412">
        <v>0</v>
      </c>
      <c r="AD412">
        <v>0</v>
      </c>
      <c r="AE412">
        <v>0</v>
      </c>
      <c r="AF412">
        <v>0</v>
      </c>
      <c r="AG412">
        <v>0</v>
      </c>
      <c r="AH412">
        <v>0</v>
      </c>
      <c r="AI412">
        <v>0</v>
      </c>
      <c r="AJ412">
        <v>0</v>
      </c>
      <c r="AK412">
        <v>0</v>
      </c>
      <c r="AL412">
        <v>0</v>
      </c>
      <c r="AM412">
        <v>0</v>
      </c>
      <c r="AN412">
        <v>0</v>
      </c>
      <c r="AO412">
        <v>0</v>
      </c>
      <c r="AP412">
        <v>0</v>
      </c>
      <c r="AQ412">
        <v>0</v>
      </c>
      <c r="AR412">
        <v>0</v>
      </c>
      <c r="AS412">
        <v>0</v>
      </c>
      <c r="AT412">
        <v>0</v>
      </c>
      <c r="AU412">
        <v>0</v>
      </c>
      <c r="AV412">
        <v>0</v>
      </c>
      <c r="AW412">
        <v>0</v>
      </c>
      <c r="AX412">
        <v>0</v>
      </c>
      <c r="AY412">
        <v>0</v>
      </c>
      <c r="AZ412">
        <v>0</v>
      </c>
      <c r="BA412">
        <v>0</v>
      </c>
      <c r="BB412">
        <v>0</v>
      </c>
      <c r="BC412">
        <v>0</v>
      </c>
      <c r="BD412">
        <v>0</v>
      </c>
      <c r="BE412">
        <v>0</v>
      </c>
      <c r="BF412">
        <v>0</v>
      </c>
      <c r="BG412" s="185">
        <v>0</v>
      </c>
      <c r="BH412" s="185">
        <v>0</v>
      </c>
      <c r="BI412" s="185">
        <v>0</v>
      </c>
      <c r="BJ412" s="185">
        <v>0</v>
      </c>
      <c r="BK412" s="185">
        <v>0</v>
      </c>
      <c r="BL412" s="185">
        <v>0</v>
      </c>
      <c r="BM412" s="185">
        <v>0</v>
      </c>
      <c r="BN412" s="185">
        <v>0</v>
      </c>
      <c r="BO412" s="185">
        <v>0</v>
      </c>
      <c r="BP412" s="185">
        <v>44774</v>
      </c>
      <c r="BQ412" s="185">
        <v>0</v>
      </c>
      <c r="BR412" s="185">
        <v>0</v>
      </c>
      <c r="BS412" s="185">
        <v>0</v>
      </c>
      <c r="BT412" s="185">
        <v>0</v>
      </c>
      <c r="BU412" t="b">
        <f>IF(_xlfn.MAXIFS(Table1[Sl No],Table1[Category],Table1[[#This Row],[Category]],Table1[Execution Year],Table1[[#This Row],[Execution Year]])=Table1[[#This Row],[Sl No]],TRUE,FALSE)</f>
        <v>1</v>
      </c>
      <c r="BV412" s="201">
        <f>SUM(Table1[[#This Row],[Spend - CAN]:[Spend - Sams]])+SUM(Table1[[#This Row],[Spend - Sams Mexico]:[Spend - Sams China]])+Table1[[#This Row],[Spend - IND]]</f>
        <v>1E-4</v>
      </c>
      <c r="BW412">
        <f>SUM(Table1[[#This Row],[Savings - CAN]:[Savings - Sams]])+SUM(Table1[[#This Row],[Savings - Sams Mexico]:[Savings - Sams China]])+Table1[[#This Row],[Savings - IND]]</f>
        <v>0</v>
      </c>
      <c r="BX412">
        <f>SUM(Table1[[#This Row],[Spend - CAN]:[Spend - SAF]])+SUM(Table1[[#This Row],[Spend - Sams Mexico]:[Spend - Sams China]])+Table1[[#This Row],[Spend - IND]]</f>
        <v>0</v>
      </c>
      <c r="BY412">
        <f>SUM(Table1[[#This Row],[Savings - CAN]:[Savings - SAF]])+SUM(Table1[[#This Row],[Savings - Sams Mexico]:[Savings - Sams China]])+Table1[[#This Row],[Savings - IND]]</f>
        <v>0</v>
      </c>
      <c r="BZ412">
        <f>SUM(Table1[[#This Row],[Spend - US]:[Spend - Sams]])</f>
        <v>1E-4</v>
      </c>
      <c r="CA412">
        <f>SUM(Table1[[#This Row],[Savings - US]:[Savings - Sams]])</f>
        <v>0</v>
      </c>
      <c r="CB412">
        <f>SUM(Table1[[#This Row],[Cost Avoidance - CAN2]:[Cost Avoidance - SAF10]])+SUM(Table1[[#This Row],[Cost Avoidance - Sams Mexico]:[Cost Avoidance - Sams China]])+Table1[[#This Row],[Cost Avoidance - IND]]</f>
        <v>0</v>
      </c>
      <c r="CC412">
        <f>SUM(Table1[[#This Row],[Cost Avoidance - US11]:[Cost Avoidance - Sams12]])</f>
        <v>0</v>
      </c>
      <c r="CD412">
        <f>_xlfn.XLOOKUP(Table1[[#This Row],[Status]],Status_Lookups[Status],Status_Lookups[Value],"")</f>
        <v>0.3</v>
      </c>
    </row>
    <row r="413" spans="1:82">
      <c r="A413">
        <v>1</v>
      </c>
      <c r="B413" t="s">
        <v>542</v>
      </c>
      <c r="C413" t="s">
        <v>543</v>
      </c>
      <c r="D413" t="s">
        <v>322</v>
      </c>
      <c r="E413" s="15"/>
      <c r="F413" s="15"/>
      <c r="G413" s="15"/>
      <c r="H413" s="15"/>
      <c r="I413" t="s">
        <v>135</v>
      </c>
      <c r="J413" t="s">
        <v>459</v>
      </c>
      <c r="K413" t="s">
        <v>533</v>
      </c>
      <c r="X413" t="s">
        <v>47</v>
      </c>
      <c r="Y413" s="16">
        <v>44701.387036342596</v>
      </c>
      <c r="Z413" s="17" t="str">
        <f>_xlfn.XLOOKUP(Table1[[#This Row],[Phase]],'Lookup tables'!$Y$27:$Y$60,'Lookup tables'!$Z$27:$Z$60,"Not Updated")</f>
        <v>Pipeline</v>
      </c>
      <c r="AA413" s="17"/>
      <c r="BG413" s="185"/>
      <c r="BH413" s="185"/>
      <c r="BI413" s="185"/>
      <c r="BJ413" s="185"/>
      <c r="BK413" s="185"/>
      <c r="BL413" s="185"/>
      <c r="BM413" s="185"/>
      <c r="BN413" s="185"/>
      <c r="BO413" s="185"/>
      <c r="BP413" s="185"/>
      <c r="BQ413" s="185"/>
      <c r="BR413" s="185"/>
      <c r="BS413" s="185"/>
      <c r="BT413" s="185"/>
      <c r="BU413" t="b">
        <f>IF(_xlfn.MAXIFS(Table1[Sl No],Table1[Category],Table1[[#This Row],[Category]],Table1[Execution Year],Table1[[#This Row],[Execution Year]])=Table1[[#This Row],[Sl No]],TRUE,FALSE)</f>
        <v>1</v>
      </c>
      <c r="BV413" s="201">
        <f>SUM(Table1[[#This Row],[Spend - CAN]:[Spend - Sams]])+SUM(Table1[[#This Row],[Spend - Sams Mexico]:[Spend - Sams China]])+Table1[[#This Row],[Spend - IND]]</f>
        <v>0</v>
      </c>
      <c r="BW413">
        <f>SUM(Table1[[#This Row],[Savings - CAN]:[Savings - Sams]])+SUM(Table1[[#This Row],[Savings - Sams Mexico]:[Savings - Sams China]])+Table1[[#This Row],[Savings - IND]]</f>
        <v>0</v>
      </c>
      <c r="BX413">
        <f>SUM(Table1[[#This Row],[Spend - CAN]:[Spend - SAF]])+SUM(Table1[[#This Row],[Spend - Sams Mexico]:[Spend - Sams China]])+Table1[[#This Row],[Spend - IND]]</f>
        <v>0</v>
      </c>
      <c r="BY413">
        <f>SUM(Table1[[#This Row],[Savings - CAN]:[Savings - SAF]])+SUM(Table1[[#This Row],[Savings - Sams Mexico]:[Savings - Sams China]])+Table1[[#This Row],[Savings - IND]]</f>
        <v>0</v>
      </c>
      <c r="BZ413">
        <f>SUM(Table1[[#This Row],[Spend - US]:[Spend - Sams]])</f>
        <v>0</v>
      </c>
      <c r="CA413">
        <f>SUM(Table1[[#This Row],[Savings - US]:[Savings - Sams]])</f>
        <v>0</v>
      </c>
      <c r="CB413">
        <f>SUM(Table1[[#This Row],[Cost Avoidance - CAN2]:[Cost Avoidance - SAF10]])+SUM(Table1[[#This Row],[Cost Avoidance - Sams Mexico]:[Cost Avoidance - Sams China]])+Table1[[#This Row],[Cost Avoidance - IND]]</f>
        <v>0</v>
      </c>
      <c r="CC413">
        <f>SUM(Table1[[#This Row],[Cost Avoidance - US11]:[Cost Avoidance - Sams12]])</f>
        <v>0</v>
      </c>
      <c r="CD413">
        <f>_xlfn.XLOOKUP(Table1[[#This Row],[Status]],Status_Lookups[Status],Status_Lookups[Value],"")</f>
        <v>0.3</v>
      </c>
    </row>
    <row r="414" spans="1:82">
      <c r="A414">
        <v>1</v>
      </c>
      <c r="B414" t="s">
        <v>518</v>
      </c>
      <c r="C414" t="s">
        <v>33</v>
      </c>
      <c r="D414" t="s">
        <v>322</v>
      </c>
      <c r="E414" s="15">
        <v>44743</v>
      </c>
      <c r="F414" s="15">
        <v>44834</v>
      </c>
      <c r="G414" s="15"/>
      <c r="H414" s="15"/>
      <c r="I414" t="s">
        <v>135</v>
      </c>
      <c r="J414" t="s">
        <v>459</v>
      </c>
      <c r="K414" t="s">
        <v>516</v>
      </c>
      <c r="X414" t="s">
        <v>47</v>
      </c>
      <c r="Y414" s="16">
        <v>44701.387036342596</v>
      </c>
      <c r="Z414" s="17" t="str">
        <f>_xlfn.XLOOKUP(Table1[[#This Row],[Phase]],'Lookup tables'!$Y$27:$Y$60,'Lookup tables'!$Z$27:$Z$60,"Not Updated")</f>
        <v>Pipeline</v>
      </c>
      <c r="AA414" s="17"/>
      <c r="BG414" s="185"/>
      <c r="BH414" s="185"/>
      <c r="BI414" s="185"/>
      <c r="BJ414" s="185"/>
      <c r="BK414" s="185"/>
      <c r="BL414" s="185"/>
      <c r="BM414" s="185"/>
      <c r="BN414" s="185"/>
      <c r="BO414" s="185"/>
      <c r="BP414" s="185"/>
      <c r="BQ414" s="185"/>
      <c r="BR414" s="185"/>
      <c r="BS414" s="185"/>
      <c r="BT414" s="185"/>
      <c r="BU414" t="b">
        <f>IF(_xlfn.MAXIFS(Table1[Sl No],Table1[Category],Table1[[#This Row],[Category]],Table1[Execution Year],Table1[[#This Row],[Execution Year]])=Table1[[#This Row],[Sl No]],TRUE,FALSE)</f>
        <v>1</v>
      </c>
      <c r="BV414" s="201">
        <f>SUM(Table1[[#This Row],[Spend - CAN]:[Spend - Sams]])+SUM(Table1[[#This Row],[Spend - Sams Mexico]:[Spend - Sams China]])+Table1[[#This Row],[Spend - IND]]</f>
        <v>0</v>
      </c>
      <c r="BW414">
        <f>SUM(Table1[[#This Row],[Savings - CAN]:[Savings - Sams]])+SUM(Table1[[#This Row],[Savings - Sams Mexico]:[Savings - Sams China]])+Table1[[#This Row],[Savings - IND]]</f>
        <v>0</v>
      </c>
      <c r="BX414">
        <f>SUM(Table1[[#This Row],[Spend - CAN]:[Spend - SAF]])+SUM(Table1[[#This Row],[Spend - Sams Mexico]:[Spend - Sams China]])+Table1[[#This Row],[Spend - IND]]</f>
        <v>0</v>
      </c>
      <c r="BY414">
        <f>SUM(Table1[[#This Row],[Savings - CAN]:[Savings - SAF]])+SUM(Table1[[#This Row],[Savings - Sams Mexico]:[Savings - Sams China]])+Table1[[#This Row],[Savings - IND]]</f>
        <v>0</v>
      </c>
      <c r="BZ414">
        <f>SUM(Table1[[#This Row],[Spend - US]:[Spend - Sams]])</f>
        <v>0</v>
      </c>
      <c r="CA414">
        <f>SUM(Table1[[#This Row],[Savings - US]:[Savings - Sams]])</f>
        <v>0</v>
      </c>
      <c r="CB414">
        <f>SUM(Table1[[#This Row],[Cost Avoidance - CAN2]:[Cost Avoidance - SAF10]])+SUM(Table1[[#This Row],[Cost Avoidance - Sams Mexico]:[Cost Avoidance - Sams China]])+Table1[[#This Row],[Cost Avoidance - IND]]</f>
        <v>0</v>
      </c>
      <c r="CC414">
        <f>SUM(Table1[[#This Row],[Cost Avoidance - US11]:[Cost Avoidance - Sams12]])</f>
        <v>0</v>
      </c>
      <c r="CD414">
        <f>_xlfn.XLOOKUP(Table1[[#This Row],[Status]],Status_Lookups[Status],Status_Lookups[Value],"")</f>
        <v>0.3</v>
      </c>
    </row>
    <row r="415" spans="1:82">
      <c r="A415">
        <v>1</v>
      </c>
      <c r="B415" t="s">
        <v>472</v>
      </c>
      <c r="C415" t="s">
        <v>43</v>
      </c>
      <c r="D415" t="s">
        <v>322</v>
      </c>
      <c r="E415" s="15"/>
      <c r="F415" s="15"/>
      <c r="G415" s="15"/>
      <c r="H415" s="15"/>
      <c r="X415" t="s">
        <v>78</v>
      </c>
      <c r="Y415" s="16">
        <v>44594.714965277781</v>
      </c>
      <c r="Z415" s="17" t="str">
        <f>_xlfn.XLOOKUP(Table1[[#This Row],[Phase]],'Lookup tables'!$Y$27:$Y$60,'Lookup tables'!$Z$27:$Z$60,"Not Updated")</f>
        <v>Not Updated</v>
      </c>
      <c r="AA415" s="17"/>
      <c r="BG415" s="185"/>
      <c r="BH415" s="185"/>
      <c r="BI415" s="185"/>
      <c r="BJ415" s="185"/>
      <c r="BK415" s="185"/>
      <c r="BL415" s="185"/>
      <c r="BM415" s="185"/>
      <c r="BN415" s="185"/>
      <c r="BO415" s="185"/>
      <c r="BP415" s="185"/>
      <c r="BQ415" s="185"/>
      <c r="BR415" s="185"/>
      <c r="BS415" s="185"/>
      <c r="BT415" s="185"/>
      <c r="BU415" t="b">
        <f>IF(_xlfn.MAXIFS(Table1[Sl No],Table1[Category],Table1[[#This Row],[Category]],Table1[Execution Year],Table1[[#This Row],[Execution Year]])=Table1[[#This Row],[Sl No]],TRUE,FALSE)</f>
        <v>0</v>
      </c>
      <c r="BV415" s="201">
        <f>SUM(Table1[[#This Row],[Spend - CAN]:[Spend - Sams]])+SUM(Table1[[#This Row],[Spend - Sams Mexico]:[Spend - Sams China]])+Table1[[#This Row],[Spend - IND]]</f>
        <v>0</v>
      </c>
      <c r="BW415">
        <f>SUM(Table1[[#This Row],[Savings - CAN]:[Savings - Sams]])+SUM(Table1[[#This Row],[Savings - Sams Mexico]:[Savings - Sams China]])+Table1[[#This Row],[Savings - IND]]</f>
        <v>0</v>
      </c>
      <c r="BX415">
        <f>SUM(Table1[[#This Row],[Spend - CAN]:[Spend - SAF]])+SUM(Table1[[#This Row],[Spend - Sams Mexico]:[Spend - Sams China]])+Table1[[#This Row],[Spend - IND]]</f>
        <v>0</v>
      </c>
      <c r="BY415">
        <f>SUM(Table1[[#This Row],[Savings - CAN]:[Savings - SAF]])+SUM(Table1[[#This Row],[Savings - Sams Mexico]:[Savings - Sams China]])+Table1[[#This Row],[Savings - IND]]</f>
        <v>0</v>
      </c>
      <c r="BZ415">
        <f>SUM(Table1[[#This Row],[Spend - US]:[Spend - Sams]])</f>
        <v>0</v>
      </c>
      <c r="CA415">
        <f>SUM(Table1[[#This Row],[Savings - US]:[Savings - Sams]])</f>
        <v>0</v>
      </c>
      <c r="CB415">
        <f>SUM(Table1[[#This Row],[Cost Avoidance - CAN2]:[Cost Avoidance - SAF10]])+SUM(Table1[[#This Row],[Cost Avoidance - Sams Mexico]:[Cost Avoidance - Sams China]])+Table1[[#This Row],[Cost Avoidance - IND]]</f>
        <v>0</v>
      </c>
      <c r="CC415">
        <f>SUM(Table1[[#This Row],[Cost Avoidance - US11]:[Cost Avoidance - Sams12]])</f>
        <v>0</v>
      </c>
      <c r="CD415" t="str">
        <f>_xlfn.XLOOKUP(Table1[[#This Row],[Status]],Status_Lookups[Status],Status_Lookups[Value],"")</f>
        <v/>
      </c>
    </row>
    <row r="416" spans="1:82">
      <c r="A416">
        <v>2</v>
      </c>
      <c r="B416" t="s">
        <v>472</v>
      </c>
      <c r="C416" t="s">
        <v>43</v>
      </c>
      <c r="D416" t="s">
        <v>322</v>
      </c>
      <c r="E416" s="15">
        <v>0</v>
      </c>
      <c r="F416" s="15">
        <v>0</v>
      </c>
      <c r="G416" s="15">
        <v>0</v>
      </c>
      <c r="H416" s="15">
        <v>0</v>
      </c>
      <c r="I416" t="s">
        <v>458</v>
      </c>
      <c r="J416">
        <v>0</v>
      </c>
      <c r="K416">
        <v>0</v>
      </c>
      <c r="L416">
        <v>0</v>
      </c>
      <c r="W416">
        <v>14000000</v>
      </c>
      <c r="X416" t="s">
        <v>78</v>
      </c>
      <c r="Y416" s="16">
        <v>44600.469215740741</v>
      </c>
      <c r="Z416" s="17" t="str">
        <f>_xlfn.XLOOKUP(Table1[[#This Row],[Phase]],'Lookup tables'!$Y$27:$Y$60,'Lookup tables'!$Z$27:$Z$60,"Not Updated")</f>
        <v>Exploratory</v>
      </c>
      <c r="AA416" s="17">
        <v>0</v>
      </c>
      <c r="AB416">
        <v>0</v>
      </c>
      <c r="AC416">
        <v>0</v>
      </c>
      <c r="AD416">
        <v>0</v>
      </c>
      <c r="AE416">
        <v>0</v>
      </c>
      <c r="AF416">
        <v>0</v>
      </c>
      <c r="AG416">
        <v>0</v>
      </c>
      <c r="AH416">
        <v>0</v>
      </c>
      <c r="AI416">
        <v>0</v>
      </c>
      <c r="AJ416">
        <v>0</v>
      </c>
      <c r="AK416">
        <v>0</v>
      </c>
      <c r="AL416">
        <v>0</v>
      </c>
      <c r="AM416">
        <v>0</v>
      </c>
      <c r="AN416">
        <v>0</v>
      </c>
      <c r="AO416">
        <v>0</v>
      </c>
      <c r="AP416">
        <v>0</v>
      </c>
      <c r="AQ416">
        <v>0</v>
      </c>
      <c r="AR416">
        <v>0</v>
      </c>
      <c r="AS416">
        <v>0</v>
      </c>
      <c r="AT416">
        <v>0</v>
      </c>
      <c r="AU416">
        <v>0</v>
      </c>
      <c r="AV416">
        <v>0</v>
      </c>
      <c r="AW416">
        <v>0</v>
      </c>
      <c r="AX416">
        <v>0</v>
      </c>
      <c r="AY416">
        <v>0</v>
      </c>
      <c r="AZ416">
        <v>0</v>
      </c>
      <c r="BA416">
        <v>0</v>
      </c>
      <c r="BB416">
        <v>0</v>
      </c>
      <c r="BC416">
        <v>0</v>
      </c>
      <c r="BD416">
        <v>0</v>
      </c>
      <c r="BE416">
        <v>0</v>
      </c>
      <c r="BF416">
        <v>0</v>
      </c>
      <c r="BG416" s="185">
        <v>0</v>
      </c>
      <c r="BH416" s="185">
        <v>0</v>
      </c>
      <c r="BI416" s="185">
        <v>0</v>
      </c>
      <c r="BJ416" s="185">
        <v>0</v>
      </c>
      <c r="BK416" s="185">
        <v>0</v>
      </c>
      <c r="BL416" s="185">
        <v>0</v>
      </c>
      <c r="BM416" s="185">
        <v>0</v>
      </c>
      <c r="BN416" s="185">
        <v>0</v>
      </c>
      <c r="BO416" s="185">
        <v>0</v>
      </c>
      <c r="BP416" s="185">
        <v>0</v>
      </c>
      <c r="BQ416" s="185">
        <v>0</v>
      </c>
      <c r="BR416" s="185">
        <v>0</v>
      </c>
      <c r="BS416" s="185">
        <v>0</v>
      </c>
      <c r="BT416" s="185">
        <v>0</v>
      </c>
      <c r="BU416" t="b">
        <f>IF(_xlfn.MAXIFS(Table1[Sl No],Table1[Category],Table1[[#This Row],[Category]],Table1[Execution Year],Table1[[#This Row],[Execution Year]])=Table1[[#This Row],[Sl No]],TRUE,FALSE)</f>
        <v>0</v>
      </c>
      <c r="BV416" s="201">
        <f>SUM(Table1[[#This Row],[Spend - CAN]:[Spend - Sams]])+SUM(Table1[[#This Row],[Spend - Sams Mexico]:[Spend - Sams China]])+Table1[[#This Row],[Spend - IND]]</f>
        <v>14000000</v>
      </c>
      <c r="BW416">
        <f>SUM(Table1[[#This Row],[Savings - CAN]:[Savings - Sams]])+SUM(Table1[[#This Row],[Savings - Sams Mexico]:[Savings - Sams China]])+Table1[[#This Row],[Savings - IND]]</f>
        <v>0</v>
      </c>
      <c r="BX416">
        <f>SUM(Table1[[#This Row],[Spend - CAN]:[Spend - SAF]])+SUM(Table1[[#This Row],[Spend - Sams Mexico]:[Spend - Sams China]])+Table1[[#This Row],[Spend - IND]]</f>
        <v>0</v>
      </c>
      <c r="BY416">
        <f>SUM(Table1[[#This Row],[Savings - CAN]:[Savings - SAF]])+SUM(Table1[[#This Row],[Savings - Sams Mexico]:[Savings - Sams China]])+Table1[[#This Row],[Savings - IND]]</f>
        <v>0</v>
      </c>
      <c r="BZ416">
        <f>SUM(Table1[[#This Row],[Spend - US]:[Spend - Sams]])</f>
        <v>14000000</v>
      </c>
      <c r="CA416">
        <f>SUM(Table1[[#This Row],[Savings - US]:[Savings - Sams]])</f>
        <v>0</v>
      </c>
      <c r="CB416">
        <f>SUM(Table1[[#This Row],[Cost Avoidance - CAN2]:[Cost Avoidance - SAF10]])+SUM(Table1[[#This Row],[Cost Avoidance - Sams Mexico]:[Cost Avoidance - Sams China]])+Table1[[#This Row],[Cost Avoidance - IND]]</f>
        <v>0</v>
      </c>
      <c r="CC416">
        <f>SUM(Table1[[#This Row],[Cost Avoidance - US11]:[Cost Avoidance - Sams12]])</f>
        <v>0</v>
      </c>
      <c r="CD416" t="str">
        <f>_xlfn.XLOOKUP(Table1[[#This Row],[Status]],Status_Lookups[Status],Status_Lookups[Value],"")</f>
        <v/>
      </c>
    </row>
    <row r="417" spans="1:82">
      <c r="A417">
        <v>3</v>
      </c>
      <c r="B417" t="s">
        <v>472</v>
      </c>
      <c r="C417" t="s">
        <v>43</v>
      </c>
      <c r="D417" t="s">
        <v>322</v>
      </c>
      <c r="E417" s="15">
        <v>44682</v>
      </c>
      <c r="F417" s="15">
        <v>44743</v>
      </c>
      <c r="G417" s="15">
        <v>0</v>
      </c>
      <c r="H417" s="15">
        <v>0</v>
      </c>
      <c r="I417" t="s">
        <v>473</v>
      </c>
      <c r="J417" t="s">
        <v>459</v>
      </c>
      <c r="K417" t="s">
        <v>474</v>
      </c>
      <c r="L417">
        <v>0</v>
      </c>
      <c r="M417">
        <v>0</v>
      </c>
      <c r="N417">
        <v>0</v>
      </c>
      <c r="O417">
        <v>0</v>
      </c>
      <c r="P417">
        <v>0</v>
      </c>
      <c r="Q417">
        <v>0</v>
      </c>
      <c r="R417">
        <v>0</v>
      </c>
      <c r="S417">
        <v>0</v>
      </c>
      <c r="T417">
        <v>0</v>
      </c>
      <c r="U417">
        <v>0</v>
      </c>
      <c r="V417">
        <v>0</v>
      </c>
      <c r="W417">
        <v>14000000</v>
      </c>
      <c r="X417" t="s">
        <v>78</v>
      </c>
      <c r="Y417" s="16">
        <v>44714.424123958335</v>
      </c>
      <c r="Z417" s="17" t="str">
        <f>_xlfn.XLOOKUP(Table1[[#This Row],[Phase]],'Lookup tables'!$Y$27:$Y$60,'Lookup tables'!$Z$27:$Z$60,"Not Updated")</f>
        <v>SCO Analysis</v>
      </c>
      <c r="AA417" s="17">
        <v>0</v>
      </c>
      <c r="AB417">
        <v>0</v>
      </c>
      <c r="AC417">
        <v>0</v>
      </c>
      <c r="AD417">
        <v>0</v>
      </c>
      <c r="AE417">
        <v>0</v>
      </c>
      <c r="AF417">
        <v>0</v>
      </c>
      <c r="AG417">
        <v>0</v>
      </c>
      <c r="AH417">
        <v>0</v>
      </c>
      <c r="AI417">
        <v>0</v>
      </c>
      <c r="AJ417">
        <v>0</v>
      </c>
      <c r="AK417">
        <v>0</v>
      </c>
      <c r="AL417">
        <v>0</v>
      </c>
      <c r="AM417">
        <v>0</v>
      </c>
      <c r="AN417">
        <v>0</v>
      </c>
      <c r="AO417">
        <v>0</v>
      </c>
      <c r="AP417">
        <v>0</v>
      </c>
      <c r="AQ417">
        <v>0</v>
      </c>
      <c r="AR417">
        <v>0</v>
      </c>
      <c r="AS417">
        <v>0</v>
      </c>
      <c r="AT417">
        <v>0</v>
      </c>
      <c r="AU417">
        <v>0</v>
      </c>
      <c r="AV417">
        <v>0</v>
      </c>
      <c r="AW417">
        <v>0</v>
      </c>
      <c r="AX417">
        <v>0</v>
      </c>
      <c r="AY417">
        <v>0</v>
      </c>
      <c r="AZ417">
        <v>0</v>
      </c>
      <c r="BA417">
        <v>0</v>
      </c>
      <c r="BB417">
        <v>0</v>
      </c>
      <c r="BC417">
        <v>0</v>
      </c>
      <c r="BD417">
        <v>0</v>
      </c>
      <c r="BE417">
        <v>0</v>
      </c>
      <c r="BF417">
        <v>0</v>
      </c>
      <c r="BG417" s="185">
        <v>0</v>
      </c>
      <c r="BH417" s="185">
        <v>0</v>
      </c>
      <c r="BI417" s="185">
        <v>0</v>
      </c>
      <c r="BJ417" s="185">
        <v>0</v>
      </c>
      <c r="BK417" s="185">
        <v>0</v>
      </c>
      <c r="BL417" s="185">
        <v>0</v>
      </c>
      <c r="BM417" s="185">
        <v>0</v>
      </c>
      <c r="BN417" s="185">
        <v>0</v>
      </c>
      <c r="BO417" s="185">
        <v>0</v>
      </c>
      <c r="BP417" s="185">
        <v>0</v>
      </c>
      <c r="BQ417" s="185">
        <v>0</v>
      </c>
      <c r="BR417" s="185">
        <v>0</v>
      </c>
      <c r="BS417" s="185">
        <v>0</v>
      </c>
      <c r="BT417" s="185">
        <v>0</v>
      </c>
      <c r="BU417" t="b">
        <f>IF(_xlfn.MAXIFS(Table1[Sl No],Table1[Category],Table1[[#This Row],[Category]],Table1[Execution Year],Table1[[#This Row],[Execution Year]])=Table1[[#This Row],[Sl No]],TRUE,FALSE)</f>
        <v>1</v>
      </c>
      <c r="BV417" s="201">
        <f>SUM(Table1[[#This Row],[Spend - CAN]:[Spend - Sams]])+SUM(Table1[[#This Row],[Spend - Sams Mexico]:[Spend - Sams China]])+Table1[[#This Row],[Spend - IND]]</f>
        <v>14000000</v>
      </c>
      <c r="BW417">
        <f>SUM(Table1[[#This Row],[Savings - CAN]:[Savings - Sams]])+SUM(Table1[[#This Row],[Savings - Sams Mexico]:[Savings - Sams China]])+Table1[[#This Row],[Savings - IND]]</f>
        <v>0</v>
      </c>
      <c r="BX417">
        <f>SUM(Table1[[#This Row],[Spend - CAN]:[Spend - SAF]])+SUM(Table1[[#This Row],[Spend - Sams Mexico]:[Spend - Sams China]])+Table1[[#This Row],[Spend - IND]]</f>
        <v>0</v>
      </c>
      <c r="BY417">
        <f>SUM(Table1[[#This Row],[Savings - CAN]:[Savings - SAF]])+SUM(Table1[[#This Row],[Savings - Sams Mexico]:[Savings - Sams China]])+Table1[[#This Row],[Savings - IND]]</f>
        <v>0</v>
      </c>
      <c r="BZ417">
        <f>SUM(Table1[[#This Row],[Spend - US]:[Spend - Sams]])</f>
        <v>14000000</v>
      </c>
      <c r="CA417">
        <f>SUM(Table1[[#This Row],[Savings - US]:[Savings - Sams]])</f>
        <v>0</v>
      </c>
      <c r="CB417">
        <f>SUM(Table1[[#This Row],[Cost Avoidance - CAN2]:[Cost Avoidance - SAF10]])+SUM(Table1[[#This Row],[Cost Avoidance - Sams Mexico]:[Cost Avoidance - Sams China]])+Table1[[#This Row],[Cost Avoidance - IND]]</f>
        <v>0</v>
      </c>
      <c r="CC417">
        <f>SUM(Table1[[#This Row],[Cost Avoidance - US11]:[Cost Avoidance - Sams12]])</f>
        <v>0</v>
      </c>
      <c r="CD417">
        <f>_xlfn.XLOOKUP(Table1[[#This Row],[Status]],Status_Lookups[Status],Status_Lookups[Value],"")</f>
        <v>0.3</v>
      </c>
    </row>
    <row r="418" spans="1:82">
      <c r="A418">
        <v>1</v>
      </c>
      <c r="B418" t="s">
        <v>544</v>
      </c>
      <c r="C418" t="s">
        <v>543</v>
      </c>
      <c r="D418" t="s">
        <v>322</v>
      </c>
      <c r="E418" s="15"/>
      <c r="F418" s="15"/>
      <c r="G418" s="15"/>
      <c r="H418" s="15"/>
      <c r="I418" t="s">
        <v>135</v>
      </c>
      <c r="J418" t="s">
        <v>459</v>
      </c>
      <c r="K418" t="s">
        <v>533</v>
      </c>
      <c r="X418" t="s">
        <v>47</v>
      </c>
      <c r="Y418" s="16">
        <v>44701.387036342596</v>
      </c>
      <c r="Z418" s="17" t="str">
        <f>_xlfn.XLOOKUP(Table1[[#This Row],[Phase]],'Lookup tables'!$Y$27:$Y$60,'Lookup tables'!$Z$27:$Z$60,"Not Updated")</f>
        <v>Pipeline</v>
      </c>
      <c r="AA418" s="17"/>
      <c r="BG418" s="185"/>
      <c r="BH418" s="185"/>
      <c r="BI418" s="185"/>
      <c r="BJ418" s="185"/>
      <c r="BK418" s="185"/>
      <c r="BL418" s="185"/>
      <c r="BM418" s="185"/>
      <c r="BN418" s="185"/>
      <c r="BO418" s="185"/>
      <c r="BP418" s="185"/>
      <c r="BQ418" s="185"/>
      <c r="BR418" s="185"/>
      <c r="BS418" s="185"/>
      <c r="BT418" s="185"/>
      <c r="BU418" t="b">
        <f>IF(_xlfn.MAXIFS(Table1[Sl No],Table1[Category],Table1[[#This Row],[Category]],Table1[Execution Year],Table1[[#This Row],[Execution Year]])=Table1[[#This Row],[Sl No]],TRUE,FALSE)</f>
        <v>1</v>
      </c>
      <c r="BV418" s="201">
        <f>SUM(Table1[[#This Row],[Spend - CAN]:[Spend - Sams]])+SUM(Table1[[#This Row],[Spend - Sams Mexico]:[Spend - Sams China]])+Table1[[#This Row],[Spend - IND]]</f>
        <v>0</v>
      </c>
      <c r="BW418">
        <f>SUM(Table1[[#This Row],[Savings - CAN]:[Savings - Sams]])+SUM(Table1[[#This Row],[Savings - Sams Mexico]:[Savings - Sams China]])+Table1[[#This Row],[Savings - IND]]</f>
        <v>0</v>
      </c>
      <c r="BX418">
        <f>SUM(Table1[[#This Row],[Spend - CAN]:[Spend - SAF]])+SUM(Table1[[#This Row],[Spend - Sams Mexico]:[Spend - Sams China]])+Table1[[#This Row],[Spend - IND]]</f>
        <v>0</v>
      </c>
      <c r="BY418">
        <f>SUM(Table1[[#This Row],[Savings - CAN]:[Savings - SAF]])+SUM(Table1[[#This Row],[Savings - Sams Mexico]:[Savings - Sams China]])+Table1[[#This Row],[Savings - IND]]</f>
        <v>0</v>
      </c>
      <c r="BZ418">
        <f>SUM(Table1[[#This Row],[Spend - US]:[Spend - Sams]])</f>
        <v>0</v>
      </c>
      <c r="CA418">
        <f>SUM(Table1[[#This Row],[Savings - US]:[Savings - Sams]])</f>
        <v>0</v>
      </c>
      <c r="CB418">
        <f>SUM(Table1[[#This Row],[Cost Avoidance - CAN2]:[Cost Avoidance - SAF10]])+SUM(Table1[[#This Row],[Cost Avoidance - Sams Mexico]:[Cost Avoidance - Sams China]])+Table1[[#This Row],[Cost Avoidance - IND]]</f>
        <v>0</v>
      </c>
      <c r="CC418">
        <f>SUM(Table1[[#This Row],[Cost Avoidance - US11]:[Cost Avoidance - Sams12]])</f>
        <v>0</v>
      </c>
      <c r="CD418">
        <f>_xlfn.XLOOKUP(Table1[[#This Row],[Status]],Status_Lookups[Status],Status_Lookups[Value],"")</f>
        <v>0.3</v>
      </c>
    </row>
    <row r="419" spans="1:82">
      <c r="A419">
        <v>1</v>
      </c>
      <c r="B419" t="s">
        <v>561</v>
      </c>
      <c r="C419" t="s">
        <v>33</v>
      </c>
      <c r="D419" t="s">
        <v>322</v>
      </c>
      <c r="E419" s="15"/>
      <c r="F419" s="15"/>
      <c r="G419" s="15"/>
      <c r="H419" s="15"/>
      <c r="I419" t="s">
        <v>412</v>
      </c>
      <c r="J419" t="s">
        <v>459</v>
      </c>
      <c r="K419" t="s">
        <v>562</v>
      </c>
      <c r="X419" t="s">
        <v>47</v>
      </c>
      <c r="Y419" s="16">
        <v>44701.387036342596</v>
      </c>
      <c r="Z419" s="17" t="str">
        <f>_xlfn.XLOOKUP(Table1[[#This Row],[Phase]],'Lookup tables'!$Y$27:$Y$60,'Lookup tables'!$Z$27:$Z$60,"Not Updated")</f>
        <v>Exploratory</v>
      </c>
      <c r="AA419" s="17"/>
      <c r="BG419" s="185"/>
      <c r="BH419" s="185"/>
      <c r="BI419" s="185"/>
      <c r="BJ419" s="185"/>
      <c r="BK419" s="185"/>
      <c r="BL419" s="185"/>
      <c r="BM419" s="185"/>
      <c r="BN419" s="185"/>
      <c r="BO419" s="185"/>
      <c r="BP419" s="185"/>
      <c r="BQ419" s="185"/>
      <c r="BR419" s="185"/>
      <c r="BS419" s="185"/>
      <c r="BT419" s="185"/>
      <c r="BU419" t="b">
        <f>IF(_xlfn.MAXIFS(Table1[Sl No],Table1[Category],Table1[[#This Row],[Category]],Table1[Execution Year],Table1[[#This Row],[Execution Year]])=Table1[[#This Row],[Sl No]],TRUE,FALSE)</f>
        <v>1</v>
      </c>
      <c r="BV419" s="201">
        <f>SUM(Table1[[#This Row],[Spend - CAN]:[Spend - Sams]])+SUM(Table1[[#This Row],[Spend - Sams Mexico]:[Spend - Sams China]])+Table1[[#This Row],[Spend - IND]]</f>
        <v>0</v>
      </c>
      <c r="BW419">
        <f>SUM(Table1[[#This Row],[Savings - CAN]:[Savings - Sams]])+SUM(Table1[[#This Row],[Savings - Sams Mexico]:[Savings - Sams China]])+Table1[[#This Row],[Savings - IND]]</f>
        <v>0</v>
      </c>
      <c r="BX419">
        <f>SUM(Table1[[#This Row],[Spend - CAN]:[Spend - SAF]])+SUM(Table1[[#This Row],[Spend - Sams Mexico]:[Spend - Sams China]])+Table1[[#This Row],[Spend - IND]]</f>
        <v>0</v>
      </c>
      <c r="BY419">
        <f>SUM(Table1[[#This Row],[Savings - CAN]:[Savings - SAF]])+SUM(Table1[[#This Row],[Savings - Sams Mexico]:[Savings - Sams China]])+Table1[[#This Row],[Savings - IND]]</f>
        <v>0</v>
      </c>
      <c r="BZ419">
        <f>SUM(Table1[[#This Row],[Spend - US]:[Spend - Sams]])</f>
        <v>0</v>
      </c>
      <c r="CA419">
        <f>SUM(Table1[[#This Row],[Savings - US]:[Savings - Sams]])</f>
        <v>0</v>
      </c>
      <c r="CB419">
        <f>SUM(Table1[[#This Row],[Cost Avoidance - CAN2]:[Cost Avoidance - SAF10]])+SUM(Table1[[#This Row],[Cost Avoidance - Sams Mexico]:[Cost Avoidance - Sams China]])+Table1[[#This Row],[Cost Avoidance - IND]]</f>
        <v>0</v>
      </c>
      <c r="CC419">
        <f>SUM(Table1[[#This Row],[Cost Avoidance - US11]:[Cost Avoidance - Sams12]])</f>
        <v>0</v>
      </c>
      <c r="CD419">
        <f>_xlfn.XLOOKUP(Table1[[#This Row],[Status]],Status_Lookups[Status],Status_Lookups[Value],"")</f>
        <v>0.3</v>
      </c>
    </row>
    <row r="420" spans="1:82">
      <c r="A420">
        <v>1</v>
      </c>
      <c r="B420" t="s">
        <v>86</v>
      </c>
      <c r="C420" t="s">
        <v>43</v>
      </c>
      <c r="D420" t="s">
        <v>39</v>
      </c>
      <c r="E420" s="15"/>
      <c r="F420" s="15"/>
      <c r="G420" s="15"/>
      <c r="H420" s="15"/>
      <c r="I420" t="s">
        <v>625</v>
      </c>
      <c r="J420" t="s">
        <v>626</v>
      </c>
      <c r="X420" t="s">
        <v>78</v>
      </c>
      <c r="Y420" s="16">
        <v>44242.436157407406</v>
      </c>
      <c r="Z420" s="17" t="str">
        <f>_xlfn.XLOOKUP(Table1[[#This Row],[Phase]],'Lookup tables'!$Y$27:$Y$60,'Lookup tables'!$Z$27:$Z$60,"Not Updated")</f>
        <v>Proposed</v>
      </c>
      <c r="AA420" s="17"/>
      <c r="BG420" s="185"/>
      <c r="BH420" s="185"/>
      <c r="BI420" s="185"/>
      <c r="BJ420" s="185"/>
      <c r="BK420" s="185"/>
      <c r="BL420" s="185"/>
      <c r="BM420" s="185"/>
      <c r="BN420" s="185"/>
      <c r="BO420" s="185"/>
      <c r="BP420" s="185"/>
      <c r="BQ420" s="185"/>
      <c r="BR420" s="185"/>
      <c r="BS420" s="185"/>
      <c r="BT420" s="185"/>
      <c r="BU420" t="b">
        <f>IF(_xlfn.MAXIFS(Table1[Sl No],Table1[Category],Table1[[#This Row],[Category]],Table1[Execution Year],Table1[[#This Row],[Execution Year]])=Table1[[#This Row],[Sl No]],TRUE,FALSE)</f>
        <v>0</v>
      </c>
      <c r="BV420" s="201">
        <f>SUM(Table1[[#This Row],[Spend - CAN]:[Spend - Sams]])+SUM(Table1[[#This Row],[Spend - Sams Mexico]:[Spend - Sams China]])+Table1[[#This Row],[Spend - IND]]</f>
        <v>0</v>
      </c>
      <c r="BW420">
        <f>SUM(Table1[[#This Row],[Savings - CAN]:[Savings - Sams]])+SUM(Table1[[#This Row],[Savings - Sams Mexico]:[Savings - Sams China]])+Table1[[#This Row],[Savings - IND]]</f>
        <v>0</v>
      </c>
      <c r="BX420">
        <f>SUM(Table1[[#This Row],[Spend - CAN]:[Spend - SAF]])+SUM(Table1[[#This Row],[Spend - Sams Mexico]:[Spend - Sams China]])+Table1[[#This Row],[Spend - IND]]</f>
        <v>0</v>
      </c>
      <c r="BY420">
        <f>SUM(Table1[[#This Row],[Savings - CAN]:[Savings - SAF]])+SUM(Table1[[#This Row],[Savings - Sams Mexico]:[Savings - Sams China]])+Table1[[#This Row],[Savings - IND]]</f>
        <v>0</v>
      </c>
      <c r="BZ420">
        <f>SUM(Table1[[#This Row],[Spend - US]:[Spend - Sams]])</f>
        <v>0</v>
      </c>
      <c r="CA420">
        <f>SUM(Table1[[#This Row],[Savings - US]:[Savings - Sams]])</f>
        <v>0</v>
      </c>
      <c r="CB420">
        <f>SUM(Table1[[#This Row],[Cost Avoidance - CAN2]:[Cost Avoidance - SAF10]])+SUM(Table1[[#This Row],[Cost Avoidance - Sams Mexico]:[Cost Avoidance - Sams China]])+Table1[[#This Row],[Cost Avoidance - IND]]</f>
        <v>0</v>
      </c>
      <c r="CC420">
        <f>SUM(Table1[[#This Row],[Cost Avoidance - US11]:[Cost Avoidance - Sams12]])</f>
        <v>0</v>
      </c>
      <c r="CD420" t="str">
        <f>_xlfn.XLOOKUP(Table1[[#This Row],[Status]],Status_Lookups[Status],Status_Lookups[Value],"")</f>
        <v/>
      </c>
    </row>
    <row r="421" spans="1:82">
      <c r="A421">
        <v>2</v>
      </c>
      <c r="B421" t="s">
        <v>86</v>
      </c>
      <c r="C421" t="s">
        <v>43</v>
      </c>
      <c r="D421" t="s">
        <v>39</v>
      </c>
      <c r="E421" s="15">
        <v>0</v>
      </c>
      <c r="F421" s="15">
        <v>0</v>
      </c>
      <c r="G421" s="15"/>
      <c r="H421" s="15"/>
      <c r="I421" t="s">
        <v>458</v>
      </c>
      <c r="J421">
        <v>0</v>
      </c>
      <c r="K421">
        <v>0</v>
      </c>
      <c r="L421">
        <v>0</v>
      </c>
      <c r="M421">
        <v>0</v>
      </c>
      <c r="N421">
        <v>0</v>
      </c>
      <c r="O421">
        <v>0</v>
      </c>
      <c r="P421">
        <v>0</v>
      </c>
      <c r="Q421">
        <v>0</v>
      </c>
      <c r="R421">
        <v>0</v>
      </c>
      <c r="S421">
        <v>0</v>
      </c>
      <c r="T421">
        <v>0</v>
      </c>
      <c r="U421">
        <v>0</v>
      </c>
      <c r="V421">
        <v>0</v>
      </c>
      <c r="W421">
        <v>0</v>
      </c>
      <c r="X421" t="s">
        <v>78</v>
      </c>
      <c r="Y421" s="16">
        <v>44243.324459722222</v>
      </c>
      <c r="Z421" s="17" t="str">
        <f>_xlfn.XLOOKUP(Table1[[#This Row],[Phase]],'Lookup tables'!$Y$27:$Y$60,'Lookup tables'!$Z$27:$Z$60,"Not Updated")</f>
        <v>Exploratory</v>
      </c>
      <c r="AA421" s="17" t="s">
        <v>701</v>
      </c>
      <c r="AB421">
        <v>0</v>
      </c>
      <c r="AC421">
        <v>0</v>
      </c>
      <c r="AD421">
        <v>0</v>
      </c>
      <c r="AE421">
        <v>0</v>
      </c>
      <c r="AF421">
        <v>0</v>
      </c>
      <c r="AG421">
        <v>0</v>
      </c>
      <c r="AH421">
        <v>0</v>
      </c>
      <c r="AI421">
        <v>0</v>
      </c>
      <c r="AJ421">
        <v>0</v>
      </c>
      <c r="AK421">
        <v>0</v>
      </c>
      <c r="AL421">
        <v>0</v>
      </c>
      <c r="BG421" s="185"/>
      <c r="BH421" s="185"/>
      <c r="BI421" s="185"/>
      <c r="BJ421" s="185"/>
      <c r="BK421" s="185"/>
      <c r="BL421" s="185"/>
      <c r="BM421" s="185"/>
      <c r="BN421" s="185"/>
      <c r="BO421" s="185"/>
      <c r="BP421" s="185"/>
      <c r="BQ421" s="185"/>
      <c r="BR421" s="185"/>
      <c r="BS421" s="185"/>
      <c r="BT421" s="185"/>
      <c r="BU421" t="b">
        <f>IF(_xlfn.MAXIFS(Table1[Sl No],Table1[Category],Table1[[#This Row],[Category]],Table1[Execution Year],Table1[[#This Row],[Execution Year]])=Table1[[#This Row],[Sl No]],TRUE,FALSE)</f>
        <v>0</v>
      </c>
      <c r="BV421" s="201">
        <f>SUM(Table1[[#This Row],[Spend - CAN]:[Spend - Sams]])+SUM(Table1[[#This Row],[Spend - Sams Mexico]:[Spend - Sams China]])+Table1[[#This Row],[Spend - IND]]</f>
        <v>0</v>
      </c>
      <c r="BW421">
        <f>SUM(Table1[[#This Row],[Savings - CAN]:[Savings - Sams]])+SUM(Table1[[#This Row],[Savings - Sams Mexico]:[Savings - Sams China]])+Table1[[#This Row],[Savings - IND]]</f>
        <v>0</v>
      </c>
      <c r="BX421">
        <f>SUM(Table1[[#This Row],[Spend - CAN]:[Spend - SAF]])+SUM(Table1[[#This Row],[Spend - Sams Mexico]:[Spend - Sams China]])+Table1[[#This Row],[Spend - IND]]</f>
        <v>0</v>
      </c>
      <c r="BY421">
        <f>SUM(Table1[[#This Row],[Savings - CAN]:[Savings - SAF]])+SUM(Table1[[#This Row],[Savings - Sams Mexico]:[Savings - Sams China]])+Table1[[#This Row],[Savings - IND]]</f>
        <v>0</v>
      </c>
      <c r="BZ421">
        <f>SUM(Table1[[#This Row],[Spend - US]:[Spend - Sams]])</f>
        <v>0</v>
      </c>
      <c r="CA421">
        <f>SUM(Table1[[#This Row],[Savings - US]:[Savings - Sams]])</f>
        <v>0</v>
      </c>
      <c r="CB421">
        <f>SUM(Table1[[#This Row],[Cost Avoidance - CAN2]:[Cost Avoidance - SAF10]])+SUM(Table1[[#This Row],[Cost Avoidance - Sams Mexico]:[Cost Avoidance - Sams China]])+Table1[[#This Row],[Cost Avoidance - IND]]</f>
        <v>0</v>
      </c>
      <c r="CC421">
        <f>SUM(Table1[[#This Row],[Cost Avoidance - US11]:[Cost Avoidance - Sams12]])</f>
        <v>0</v>
      </c>
      <c r="CD421" t="str">
        <f>_xlfn.XLOOKUP(Table1[[#This Row],[Status]],Status_Lookups[Status],Status_Lookups[Value],"")</f>
        <v/>
      </c>
    </row>
    <row r="422" spans="1:82">
      <c r="A422">
        <v>3</v>
      </c>
      <c r="B422" t="s">
        <v>86</v>
      </c>
      <c r="C422" t="s">
        <v>43</v>
      </c>
      <c r="D422" t="s">
        <v>39</v>
      </c>
      <c r="E422" s="15">
        <v>44409</v>
      </c>
      <c r="F422" s="15">
        <v>44500</v>
      </c>
      <c r="G422" s="15"/>
      <c r="H422" s="15"/>
      <c r="I422" t="s">
        <v>458</v>
      </c>
      <c r="J422">
        <v>0</v>
      </c>
      <c r="K422">
        <v>0</v>
      </c>
      <c r="L422">
        <v>0</v>
      </c>
      <c r="M422">
        <v>0</v>
      </c>
      <c r="N422">
        <v>0</v>
      </c>
      <c r="O422">
        <v>0</v>
      </c>
      <c r="P422">
        <v>0</v>
      </c>
      <c r="Q422">
        <v>0</v>
      </c>
      <c r="R422">
        <v>0</v>
      </c>
      <c r="S422">
        <v>0</v>
      </c>
      <c r="T422">
        <v>0</v>
      </c>
      <c r="U422">
        <v>0</v>
      </c>
      <c r="V422">
        <v>0</v>
      </c>
      <c r="W422">
        <v>0</v>
      </c>
      <c r="X422" t="s">
        <v>78</v>
      </c>
      <c r="Y422" s="16">
        <v>44245.676385763887</v>
      </c>
      <c r="Z422" s="17" t="str">
        <f>_xlfn.XLOOKUP(Table1[[#This Row],[Phase]],'Lookup tables'!$Y$27:$Y$60,'Lookup tables'!$Z$27:$Z$60,"Not Updated")</f>
        <v>Exploratory</v>
      </c>
      <c r="AA422" s="17" t="s">
        <v>701</v>
      </c>
      <c r="AB422">
        <v>0</v>
      </c>
      <c r="AC422">
        <v>0</v>
      </c>
      <c r="AD422">
        <v>0</v>
      </c>
      <c r="AE422">
        <v>0</v>
      </c>
      <c r="AF422">
        <v>0</v>
      </c>
      <c r="AG422">
        <v>0</v>
      </c>
      <c r="AH422">
        <v>0</v>
      </c>
      <c r="AI422">
        <v>0</v>
      </c>
      <c r="AJ422">
        <v>0</v>
      </c>
      <c r="AK422">
        <v>0</v>
      </c>
      <c r="AL422">
        <v>0</v>
      </c>
      <c r="BG422" s="185"/>
      <c r="BH422" s="185"/>
      <c r="BI422" s="185"/>
      <c r="BJ422" s="185"/>
      <c r="BK422" s="185"/>
      <c r="BL422" s="185"/>
      <c r="BM422" s="185"/>
      <c r="BN422" s="185"/>
      <c r="BO422" s="185"/>
      <c r="BP422" s="185"/>
      <c r="BQ422" s="185"/>
      <c r="BR422" s="185"/>
      <c r="BS422" s="185"/>
      <c r="BT422" s="185"/>
      <c r="BU422" t="b">
        <f>IF(_xlfn.MAXIFS(Table1[Sl No],Table1[Category],Table1[[#This Row],[Category]],Table1[Execution Year],Table1[[#This Row],[Execution Year]])=Table1[[#This Row],[Sl No]],TRUE,FALSE)</f>
        <v>0</v>
      </c>
      <c r="BV422" s="201">
        <f>SUM(Table1[[#This Row],[Spend - CAN]:[Spend - Sams]])+SUM(Table1[[#This Row],[Spend - Sams Mexico]:[Spend - Sams China]])+Table1[[#This Row],[Spend - IND]]</f>
        <v>0</v>
      </c>
      <c r="BW422">
        <f>SUM(Table1[[#This Row],[Savings - CAN]:[Savings - Sams]])+SUM(Table1[[#This Row],[Savings - Sams Mexico]:[Savings - Sams China]])+Table1[[#This Row],[Savings - IND]]</f>
        <v>0</v>
      </c>
      <c r="BX422">
        <f>SUM(Table1[[#This Row],[Spend - CAN]:[Spend - SAF]])+SUM(Table1[[#This Row],[Spend - Sams Mexico]:[Spend - Sams China]])+Table1[[#This Row],[Spend - IND]]</f>
        <v>0</v>
      </c>
      <c r="BY422">
        <f>SUM(Table1[[#This Row],[Savings - CAN]:[Savings - SAF]])+SUM(Table1[[#This Row],[Savings - Sams Mexico]:[Savings - Sams China]])+Table1[[#This Row],[Savings - IND]]</f>
        <v>0</v>
      </c>
      <c r="BZ422">
        <f>SUM(Table1[[#This Row],[Spend - US]:[Spend - Sams]])</f>
        <v>0</v>
      </c>
      <c r="CA422">
        <f>SUM(Table1[[#This Row],[Savings - US]:[Savings - Sams]])</f>
        <v>0</v>
      </c>
      <c r="CB422">
        <f>SUM(Table1[[#This Row],[Cost Avoidance - CAN2]:[Cost Avoidance - SAF10]])+SUM(Table1[[#This Row],[Cost Avoidance - Sams Mexico]:[Cost Avoidance - Sams China]])+Table1[[#This Row],[Cost Avoidance - IND]]</f>
        <v>0</v>
      </c>
      <c r="CC422">
        <f>SUM(Table1[[#This Row],[Cost Avoidance - US11]:[Cost Avoidance - Sams12]])</f>
        <v>0</v>
      </c>
      <c r="CD422" t="str">
        <f>_xlfn.XLOOKUP(Table1[[#This Row],[Status]],Status_Lookups[Status],Status_Lookups[Value],"")</f>
        <v/>
      </c>
    </row>
    <row r="423" spans="1:82">
      <c r="A423">
        <v>4</v>
      </c>
      <c r="B423" t="s">
        <v>86</v>
      </c>
      <c r="C423" t="s">
        <v>43</v>
      </c>
      <c r="D423" t="s">
        <v>39</v>
      </c>
      <c r="E423" s="15">
        <v>44409</v>
      </c>
      <c r="F423" s="15">
        <v>44500</v>
      </c>
      <c r="G423" s="15"/>
      <c r="H423" s="15"/>
      <c r="I423" t="s">
        <v>458</v>
      </c>
      <c r="J423">
        <v>0</v>
      </c>
      <c r="K423">
        <v>0</v>
      </c>
      <c r="L423">
        <v>0</v>
      </c>
      <c r="M423">
        <v>3800000</v>
      </c>
      <c r="N423">
        <v>13800000</v>
      </c>
      <c r="O423">
        <v>7000000</v>
      </c>
      <c r="P423">
        <v>14900000</v>
      </c>
      <c r="Q423">
        <v>0</v>
      </c>
      <c r="R423">
        <v>1600000</v>
      </c>
      <c r="S423">
        <v>0</v>
      </c>
      <c r="T423">
        <v>2000000</v>
      </c>
      <c r="U423">
        <v>0</v>
      </c>
      <c r="V423">
        <v>0</v>
      </c>
      <c r="W423">
        <v>0</v>
      </c>
      <c r="X423" t="s">
        <v>78</v>
      </c>
      <c r="Y423" s="16">
        <v>44245.681507870373</v>
      </c>
      <c r="Z423" s="17" t="str">
        <f>_xlfn.XLOOKUP(Table1[[#This Row],[Phase]],'Lookup tables'!$Y$27:$Y$60,'Lookup tables'!$Z$27:$Z$60,"Not Updated")</f>
        <v>Exploratory</v>
      </c>
      <c r="AA423" s="17" t="s">
        <v>701</v>
      </c>
      <c r="AB423">
        <v>0</v>
      </c>
      <c r="AC423">
        <v>0</v>
      </c>
      <c r="AD423">
        <v>0</v>
      </c>
      <c r="AE423">
        <v>0</v>
      </c>
      <c r="AF423">
        <v>0</v>
      </c>
      <c r="AG423">
        <v>0</v>
      </c>
      <c r="AH423">
        <v>0</v>
      </c>
      <c r="AI423">
        <v>0</v>
      </c>
      <c r="AJ423">
        <v>0</v>
      </c>
      <c r="AK423">
        <v>0</v>
      </c>
      <c r="AL423">
        <v>0</v>
      </c>
      <c r="BG423" s="185"/>
      <c r="BH423" s="185"/>
      <c r="BI423" s="185"/>
      <c r="BJ423" s="185"/>
      <c r="BK423" s="185"/>
      <c r="BL423" s="185"/>
      <c r="BM423" s="185"/>
      <c r="BN423" s="185"/>
      <c r="BO423" s="185"/>
      <c r="BP423" s="185"/>
      <c r="BQ423" s="185"/>
      <c r="BR423" s="185"/>
      <c r="BS423" s="185"/>
      <c r="BT423" s="185"/>
      <c r="BU423" t="b">
        <f>IF(_xlfn.MAXIFS(Table1[Sl No],Table1[Category],Table1[[#This Row],[Category]],Table1[Execution Year],Table1[[#This Row],[Execution Year]])=Table1[[#This Row],[Sl No]],TRUE,FALSE)</f>
        <v>0</v>
      </c>
      <c r="BV423" s="201">
        <f>SUM(Table1[[#This Row],[Spend - CAN]:[Spend - Sams]])+SUM(Table1[[#This Row],[Spend - Sams Mexico]:[Spend - Sams China]])+Table1[[#This Row],[Spend - IND]]</f>
        <v>43100000</v>
      </c>
      <c r="BW423">
        <f>SUM(Table1[[#This Row],[Savings - CAN]:[Savings - Sams]])+SUM(Table1[[#This Row],[Savings - Sams Mexico]:[Savings - Sams China]])+Table1[[#This Row],[Savings - IND]]</f>
        <v>0</v>
      </c>
      <c r="BX423">
        <f>SUM(Table1[[#This Row],[Spend - CAN]:[Spend - SAF]])+SUM(Table1[[#This Row],[Spend - Sams Mexico]:[Spend - Sams China]])+Table1[[#This Row],[Spend - IND]]</f>
        <v>43100000</v>
      </c>
      <c r="BY423">
        <f>SUM(Table1[[#This Row],[Savings - CAN]:[Savings - SAF]])+SUM(Table1[[#This Row],[Savings - Sams Mexico]:[Savings - Sams China]])+Table1[[#This Row],[Savings - IND]]</f>
        <v>0</v>
      </c>
      <c r="BZ423">
        <f>SUM(Table1[[#This Row],[Spend - US]:[Spend - Sams]])</f>
        <v>0</v>
      </c>
      <c r="CA423">
        <f>SUM(Table1[[#This Row],[Savings - US]:[Savings - Sams]])</f>
        <v>0</v>
      </c>
      <c r="CB423">
        <f>SUM(Table1[[#This Row],[Cost Avoidance - CAN2]:[Cost Avoidance - SAF10]])+SUM(Table1[[#This Row],[Cost Avoidance - Sams Mexico]:[Cost Avoidance - Sams China]])+Table1[[#This Row],[Cost Avoidance - IND]]</f>
        <v>0</v>
      </c>
      <c r="CC423">
        <f>SUM(Table1[[#This Row],[Cost Avoidance - US11]:[Cost Avoidance - Sams12]])</f>
        <v>0</v>
      </c>
      <c r="CD423" t="str">
        <f>_xlfn.XLOOKUP(Table1[[#This Row],[Status]],Status_Lookups[Status],Status_Lookups[Value],"")</f>
        <v/>
      </c>
    </row>
    <row r="424" spans="1:82">
      <c r="A424">
        <v>5</v>
      </c>
      <c r="B424" t="s">
        <v>86</v>
      </c>
      <c r="C424" t="s">
        <v>43</v>
      </c>
      <c r="D424" t="s">
        <v>39</v>
      </c>
      <c r="E424" s="15">
        <v>44348</v>
      </c>
      <c r="F424" s="15">
        <v>44439</v>
      </c>
      <c r="G424" s="15"/>
      <c r="H424" s="15"/>
      <c r="I424" t="s">
        <v>458</v>
      </c>
      <c r="J424">
        <v>0</v>
      </c>
      <c r="K424" t="s">
        <v>454</v>
      </c>
      <c r="L424">
        <v>0</v>
      </c>
      <c r="M424">
        <v>679835.71</v>
      </c>
      <c r="N424">
        <v>4274104.0000000009</v>
      </c>
      <c r="O424">
        <v>1329528.2099999997</v>
      </c>
      <c r="P424">
        <v>3318737.56</v>
      </c>
      <c r="Q424">
        <v>363925.72000000003</v>
      </c>
      <c r="R424">
        <v>89787.09</v>
      </c>
      <c r="S424">
        <v>3753.93</v>
      </c>
      <c r="T424">
        <v>1558145.8499999999</v>
      </c>
      <c r="U424">
        <v>0</v>
      </c>
      <c r="V424">
        <v>0</v>
      </c>
      <c r="W424">
        <v>0</v>
      </c>
      <c r="X424" t="s">
        <v>78</v>
      </c>
      <c r="Y424" s="16">
        <v>44291.622620486109</v>
      </c>
      <c r="Z424" s="17" t="str">
        <f>_xlfn.XLOOKUP(Table1[[#This Row],[Phase]],'Lookup tables'!$Y$27:$Y$60,'Lookup tables'!$Z$27:$Z$60,"Not Updated")</f>
        <v>Exploratory</v>
      </c>
      <c r="AA424" s="17" t="s">
        <v>701</v>
      </c>
      <c r="AB424">
        <v>0</v>
      </c>
      <c r="AC424">
        <v>0</v>
      </c>
      <c r="AD424">
        <v>0</v>
      </c>
      <c r="AE424">
        <v>0</v>
      </c>
      <c r="AF424">
        <v>0</v>
      </c>
      <c r="AG424">
        <v>0</v>
      </c>
      <c r="AH424">
        <v>0</v>
      </c>
      <c r="AI424">
        <v>0</v>
      </c>
      <c r="AJ424">
        <v>0</v>
      </c>
      <c r="AK424">
        <v>0</v>
      </c>
      <c r="AL424">
        <v>0</v>
      </c>
      <c r="AM424">
        <v>0</v>
      </c>
      <c r="AN424">
        <v>0</v>
      </c>
      <c r="AO424">
        <v>0</v>
      </c>
      <c r="AP424">
        <v>0</v>
      </c>
      <c r="AQ424">
        <v>0</v>
      </c>
      <c r="AR424">
        <v>0</v>
      </c>
      <c r="AS424">
        <v>0</v>
      </c>
      <c r="AT424">
        <v>0</v>
      </c>
      <c r="AU424">
        <v>0</v>
      </c>
      <c r="AV424">
        <v>0</v>
      </c>
      <c r="AW424">
        <v>0</v>
      </c>
      <c r="BG424" s="185"/>
      <c r="BH424" s="185"/>
      <c r="BI424" s="185"/>
      <c r="BJ424" s="185"/>
      <c r="BK424" s="185"/>
      <c r="BL424" s="185"/>
      <c r="BM424" s="185"/>
      <c r="BN424" s="185"/>
      <c r="BO424" s="185"/>
      <c r="BP424" s="185"/>
      <c r="BQ424" s="185"/>
      <c r="BR424" s="185"/>
      <c r="BS424" s="185"/>
      <c r="BT424" s="185"/>
      <c r="BU424" t="b">
        <f>IF(_xlfn.MAXIFS(Table1[Sl No],Table1[Category],Table1[[#This Row],[Category]],Table1[Execution Year],Table1[[#This Row],[Execution Year]])=Table1[[#This Row],[Sl No]],TRUE,FALSE)</f>
        <v>0</v>
      </c>
      <c r="BV424" s="201">
        <f>SUM(Table1[[#This Row],[Spend - CAN]:[Spend - Sams]])+SUM(Table1[[#This Row],[Spend - Sams Mexico]:[Spend - Sams China]])+Table1[[#This Row],[Spend - IND]]</f>
        <v>11617818.07</v>
      </c>
      <c r="BW424">
        <f>SUM(Table1[[#This Row],[Savings - CAN]:[Savings - Sams]])+SUM(Table1[[#This Row],[Savings - Sams Mexico]:[Savings - Sams China]])+Table1[[#This Row],[Savings - IND]]</f>
        <v>0</v>
      </c>
      <c r="BX424">
        <f>SUM(Table1[[#This Row],[Spend - CAN]:[Spend - SAF]])+SUM(Table1[[#This Row],[Spend - Sams Mexico]:[Spend - Sams China]])+Table1[[#This Row],[Spend - IND]]</f>
        <v>11617818.07</v>
      </c>
      <c r="BY424">
        <f>SUM(Table1[[#This Row],[Savings - CAN]:[Savings - SAF]])+SUM(Table1[[#This Row],[Savings - Sams Mexico]:[Savings - Sams China]])+Table1[[#This Row],[Savings - IND]]</f>
        <v>0</v>
      </c>
      <c r="BZ424">
        <f>SUM(Table1[[#This Row],[Spend - US]:[Spend - Sams]])</f>
        <v>0</v>
      </c>
      <c r="CA424">
        <f>SUM(Table1[[#This Row],[Savings - US]:[Savings - Sams]])</f>
        <v>0</v>
      </c>
      <c r="CB424">
        <f>SUM(Table1[[#This Row],[Cost Avoidance - CAN2]:[Cost Avoidance - SAF10]])+SUM(Table1[[#This Row],[Cost Avoidance - Sams Mexico]:[Cost Avoidance - Sams China]])+Table1[[#This Row],[Cost Avoidance - IND]]</f>
        <v>0</v>
      </c>
      <c r="CC424">
        <f>SUM(Table1[[#This Row],[Cost Avoidance - US11]:[Cost Avoidance - Sams12]])</f>
        <v>0</v>
      </c>
      <c r="CD424" t="str">
        <f>_xlfn.XLOOKUP(Table1[[#This Row],[Status]],Status_Lookups[Status],Status_Lookups[Value],"")</f>
        <v/>
      </c>
    </row>
    <row r="425" spans="1:82">
      <c r="A425">
        <v>6</v>
      </c>
      <c r="B425" t="s">
        <v>86</v>
      </c>
      <c r="C425" t="s">
        <v>43</v>
      </c>
      <c r="D425" t="s">
        <v>39</v>
      </c>
      <c r="E425" s="15">
        <v>44348</v>
      </c>
      <c r="F425" s="15">
        <v>44439</v>
      </c>
      <c r="G425" s="15"/>
      <c r="H425" s="15"/>
      <c r="I425" t="s">
        <v>484</v>
      </c>
      <c r="J425">
        <v>0</v>
      </c>
      <c r="K425" t="s">
        <v>454</v>
      </c>
      <c r="L425">
        <v>0</v>
      </c>
      <c r="M425">
        <v>679835.71</v>
      </c>
      <c r="N425">
        <v>4274104.0000000009</v>
      </c>
      <c r="O425">
        <v>1329528.2099999997</v>
      </c>
      <c r="P425">
        <v>3318737.56</v>
      </c>
      <c r="Q425">
        <v>363925.72000000003</v>
      </c>
      <c r="R425">
        <v>89787.09</v>
      </c>
      <c r="S425">
        <v>3753.93</v>
      </c>
      <c r="T425">
        <v>1558145.8499999999</v>
      </c>
      <c r="U425">
        <v>0</v>
      </c>
      <c r="V425">
        <v>0</v>
      </c>
      <c r="W425">
        <v>0</v>
      </c>
      <c r="X425" t="s">
        <v>445</v>
      </c>
      <c r="Y425" s="16">
        <v>44302.642700810182</v>
      </c>
      <c r="Z425" s="17" t="str">
        <f>_xlfn.XLOOKUP(Table1[[#This Row],[Phase]],'Lookup tables'!$Y$27:$Y$60,'Lookup tables'!$Z$27:$Z$60,"Not Updated")</f>
        <v>Bid Prep</v>
      </c>
      <c r="AA425" s="17" t="s">
        <v>701</v>
      </c>
      <c r="AB425">
        <v>0</v>
      </c>
      <c r="AC425">
        <v>0</v>
      </c>
      <c r="AD425">
        <v>0</v>
      </c>
      <c r="AE425">
        <v>0</v>
      </c>
      <c r="AF425">
        <v>0</v>
      </c>
      <c r="AG425">
        <v>0</v>
      </c>
      <c r="AH425">
        <v>0</v>
      </c>
      <c r="AI425">
        <v>0</v>
      </c>
      <c r="AJ425">
        <v>0</v>
      </c>
      <c r="AK425">
        <v>0</v>
      </c>
      <c r="AL425">
        <v>0</v>
      </c>
      <c r="AM425">
        <v>0</v>
      </c>
      <c r="AN425">
        <v>0</v>
      </c>
      <c r="AO425">
        <v>0</v>
      </c>
      <c r="AP425">
        <v>0</v>
      </c>
      <c r="AQ425">
        <v>0</v>
      </c>
      <c r="AR425">
        <v>0</v>
      </c>
      <c r="AS425">
        <v>0</v>
      </c>
      <c r="AT425">
        <v>0</v>
      </c>
      <c r="AU425">
        <v>0</v>
      </c>
      <c r="AV425">
        <v>0</v>
      </c>
      <c r="AW425">
        <v>0</v>
      </c>
      <c r="BG425" s="185"/>
      <c r="BH425" s="185"/>
      <c r="BI425" s="185"/>
      <c r="BJ425" s="185"/>
      <c r="BK425" s="185"/>
      <c r="BL425" s="185"/>
      <c r="BM425" s="185"/>
      <c r="BN425" s="185"/>
      <c r="BO425" s="185"/>
      <c r="BP425" s="185"/>
      <c r="BQ425" s="185"/>
      <c r="BR425" s="185"/>
      <c r="BS425" s="185"/>
      <c r="BT425" s="185"/>
      <c r="BU425" t="b">
        <f>IF(_xlfn.MAXIFS(Table1[Sl No],Table1[Category],Table1[[#This Row],[Category]],Table1[Execution Year],Table1[[#This Row],[Execution Year]])=Table1[[#This Row],[Sl No]],TRUE,FALSE)</f>
        <v>0</v>
      </c>
      <c r="BV425" s="201">
        <f>SUM(Table1[[#This Row],[Spend - CAN]:[Spend - Sams]])+SUM(Table1[[#This Row],[Spend - Sams Mexico]:[Spend - Sams China]])+Table1[[#This Row],[Spend - IND]]</f>
        <v>11617818.07</v>
      </c>
      <c r="BW425">
        <f>SUM(Table1[[#This Row],[Savings - CAN]:[Savings - Sams]])+SUM(Table1[[#This Row],[Savings - Sams Mexico]:[Savings - Sams China]])+Table1[[#This Row],[Savings - IND]]</f>
        <v>0</v>
      </c>
      <c r="BX425">
        <f>SUM(Table1[[#This Row],[Spend - CAN]:[Spend - SAF]])+SUM(Table1[[#This Row],[Spend - Sams Mexico]:[Spend - Sams China]])+Table1[[#This Row],[Spend - IND]]</f>
        <v>11617818.07</v>
      </c>
      <c r="BY425">
        <f>SUM(Table1[[#This Row],[Savings - CAN]:[Savings - SAF]])+SUM(Table1[[#This Row],[Savings - Sams Mexico]:[Savings - Sams China]])+Table1[[#This Row],[Savings - IND]]</f>
        <v>0</v>
      </c>
      <c r="BZ425">
        <f>SUM(Table1[[#This Row],[Spend - US]:[Spend - Sams]])</f>
        <v>0</v>
      </c>
      <c r="CA425">
        <f>SUM(Table1[[#This Row],[Savings - US]:[Savings - Sams]])</f>
        <v>0</v>
      </c>
      <c r="CB425">
        <f>SUM(Table1[[#This Row],[Cost Avoidance - CAN2]:[Cost Avoidance - SAF10]])+SUM(Table1[[#This Row],[Cost Avoidance - Sams Mexico]:[Cost Avoidance - Sams China]])+Table1[[#This Row],[Cost Avoidance - IND]]</f>
        <v>0</v>
      </c>
      <c r="CC425">
        <f>SUM(Table1[[#This Row],[Cost Avoidance - US11]:[Cost Avoidance - Sams12]])</f>
        <v>0</v>
      </c>
      <c r="CD425" t="str">
        <f>_xlfn.XLOOKUP(Table1[[#This Row],[Status]],Status_Lookups[Status],Status_Lookups[Value],"")</f>
        <v/>
      </c>
    </row>
    <row r="426" spans="1:82">
      <c r="A426">
        <v>7</v>
      </c>
      <c r="B426" t="s">
        <v>86</v>
      </c>
      <c r="C426" t="s">
        <v>43</v>
      </c>
      <c r="D426" t="s">
        <v>39</v>
      </c>
      <c r="E426" s="15">
        <v>44317</v>
      </c>
      <c r="F426" s="15">
        <v>44408</v>
      </c>
      <c r="G426" s="15">
        <v>0</v>
      </c>
      <c r="H426" s="15">
        <v>0</v>
      </c>
      <c r="I426" t="s">
        <v>484</v>
      </c>
      <c r="J426">
        <v>0</v>
      </c>
      <c r="K426" t="s">
        <v>454</v>
      </c>
      <c r="L426">
        <v>0</v>
      </c>
      <c r="M426">
        <v>679835.71</v>
      </c>
      <c r="N426">
        <v>4274104.0000000009</v>
      </c>
      <c r="O426">
        <v>1329528.2099999997</v>
      </c>
      <c r="P426">
        <v>3318737.56</v>
      </c>
      <c r="Q426">
        <v>363925.72000000003</v>
      </c>
      <c r="R426">
        <v>89787.09</v>
      </c>
      <c r="S426">
        <v>3753.93</v>
      </c>
      <c r="T426">
        <v>1558145.8499999999</v>
      </c>
      <c r="U426">
        <v>0</v>
      </c>
      <c r="V426">
        <v>39000000</v>
      </c>
      <c r="W426">
        <v>0</v>
      </c>
      <c r="X426" t="s">
        <v>78</v>
      </c>
      <c r="Y426" s="16">
        <v>44306.329510995369</v>
      </c>
      <c r="Z426" s="17" t="str">
        <f>_xlfn.XLOOKUP(Table1[[#This Row],[Phase]],'Lookup tables'!$Y$27:$Y$60,'Lookup tables'!$Z$27:$Z$60,"Not Updated")</f>
        <v>Bid Prep</v>
      </c>
      <c r="AA426" s="17" t="s">
        <v>701</v>
      </c>
      <c r="AB426">
        <v>0</v>
      </c>
      <c r="AC426">
        <v>0</v>
      </c>
      <c r="AD426">
        <v>0</v>
      </c>
      <c r="AE426">
        <v>0</v>
      </c>
      <c r="AF426">
        <v>0</v>
      </c>
      <c r="AG426">
        <v>0</v>
      </c>
      <c r="AH426">
        <v>0</v>
      </c>
      <c r="AI426">
        <v>0</v>
      </c>
      <c r="AJ426">
        <v>0</v>
      </c>
      <c r="AK426">
        <v>0</v>
      </c>
      <c r="AL426">
        <v>0</v>
      </c>
      <c r="AM426">
        <v>0</v>
      </c>
      <c r="AN426">
        <v>0</v>
      </c>
      <c r="AO426">
        <v>0</v>
      </c>
      <c r="AP426">
        <v>0</v>
      </c>
      <c r="AQ426">
        <v>0</v>
      </c>
      <c r="AR426">
        <v>0</v>
      </c>
      <c r="AS426">
        <v>0</v>
      </c>
      <c r="AT426">
        <v>0</v>
      </c>
      <c r="AU426">
        <v>0</v>
      </c>
      <c r="AV426">
        <v>0</v>
      </c>
      <c r="AW426">
        <v>0</v>
      </c>
      <c r="BG426" s="185"/>
      <c r="BH426" s="185"/>
      <c r="BI426" s="185"/>
      <c r="BJ426" s="185"/>
      <c r="BK426" s="185"/>
      <c r="BL426" s="185"/>
      <c r="BM426" s="185"/>
      <c r="BN426" s="185"/>
      <c r="BO426" s="185"/>
      <c r="BP426" s="185"/>
      <c r="BQ426" s="185"/>
      <c r="BR426" s="185"/>
      <c r="BS426" s="185"/>
      <c r="BT426" s="185"/>
      <c r="BU426" t="b">
        <f>IF(_xlfn.MAXIFS(Table1[Sl No],Table1[Category],Table1[[#This Row],[Category]],Table1[Execution Year],Table1[[#This Row],[Execution Year]])=Table1[[#This Row],[Sl No]],TRUE,FALSE)</f>
        <v>0</v>
      </c>
      <c r="BV426" s="201">
        <f>SUM(Table1[[#This Row],[Spend - CAN]:[Spend - Sams]])+SUM(Table1[[#This Row],[Spend - Sams Mexico]:[Spend - Sams China]])+Table1[[#This Row],[Spend - IND]]</f>
        <v>50617818.07</v>
      </c>
      <c r="BW426">
        <f>SUM(Table1[[#This Row],[Savings - CAN]:[Savings - Sams]])+SUM(Table1[[#This Row],[Savings - Sams Mexico]:[Savings - Sams China]])+Table1[[#This Row],[Savings - IND]]</f>
        <v>0</v>
      </c>
      <c r="BX426">
        <f>SUM(Table1[[#This Row],[Spend - CAN]:[Spend - SAF]])+SUM(Table1[[#This Row],[Spend - Sams Mexico]:[Spend - Sams China]])+Table1[[#This Row],[Spend - IND]]</f>
        <v>11617818.07</v>
      </c>
      <c r="BY426">
        <f>SUM(Table1[[#This Row],[Savings - CAN]:[Savings - SAF]])+SUM(Table1[[#This Row],[Savings - Sams Mexico]:[Savings - Sams China]])+Table1[[#This Row],[Savings - IND]]</f>
        <v>0</v>
      </c>
      <c r="BZ426">
        <f>SUM(Table1[[#This Row],[Spend - US]:[Spend - Sams]])</f>
        <v>39000000</v>
      </c>
      <c r="CA426">
        <f>SUM(Table1[[#This Row],[Savings - US]:[Savings - Sams]])</f>
        <v>0</v>
      </c>
      <c r="CB426">
        <f>SUM(Table1[[#This Row],[Cost Avoidance - CAN2]:[Cost Avoidance - SAF10]])+SUM(Table1[[#This Row],[Cost Avoidance - Sams Mexico]:[Cost Avoidance - Sams China]])+Table1[[#This Row],[Cost Avoidance - IND]]</f>
        <v>0</v>
      </c>
      <c r="CC426">
        <f>SUM(Table1[[#This Row],[Cost Avoidance - US11]:[Cost Avoidance - Sams12]])</f>
        <v>0</v>
      </c>
      <c r="CD426" t="str">
        <f>_xlfn.XLOOKUP(Table1[[#This Row],[Status]],Status_Lookups[Status],Status_Lookups[Value],"")</f>
        <v/>
      </c>
    </row>
    <row r="427" spans="1:82">
      <c r="A427">
        <v>8</v>
      </c>
      <c r="B427" t="s">
        <v>86</v>
      </c>
      <c r="C427" t="s">
        <v>43</v>
      </c>
      <c r="D427" t="s">
        <v>39</v>
      </c>
      <c r="E427" s="15">
        <v>44326</v>
      </c>
      <c r="F427" s="15">
        <v>44481</v>
      </c>
      <c r="G427" s="15">
        <v>0</v>
      </c>
      <c r="H427" s="15">
        <v>0</v>
      </c>
      <c r="I427" t="s">
        <v>484</v>
      </c>
      <c r="J427">
        <v>0</v>
      </c>
      <c r="K427" t="s">
        <v>454</v>
      </c>
      <c r="L427">
        <v>0</v>
      </c>
      <c r="M427">
        <v>0</v>
      </c>
      <c r="N427">
        <v>0</v>
      </c>
      <c r="O427">
        <v>0</v>
      </c>
      <c r="P427">
        <v>0</v>
      </c>
      <c r="Q427">
        <v>0</v>
      </c>
      <c r="R427">
        <v>89787.09</v>
      </c>
      <c r="S427">
        <v>3753.93</v>
      </c>
      <c r="T427">
        <v>0</v>
      </c>
      <c r="U427">
        <v>0</v>
      </c>
      <c r="V427">
        <v>38000000</v>
      </c>
      <c r="W427">
        <v>0</v>
      </c>
      <c r="X427" t="s">
        <v>78</v>
      </c>
      <c r="Y427" s="16">
        <v>44308.429706481482</v>
      </c>
      <c r="Z427" s="17" t="str">
        <f>_xlfn.XLOOKUP(Table1[[#This Row],[Phase]],'Lookup tables'!$Y$27:$Y$60,'Lookup tables'!$Z$27:$Z$60,"Not Updated")</f>
        <v>Bid Prep</v>
      </c>
      <c r="AA427" s="17" t="s">
        <v>701</v>
      </c>
      <c r="AB427">
        <v>0</v>
      </c>
      <c r="AC427">
        <v>0</v>
      </c>
      <c r="AD427">
        <v>0</v>
      </c>
      <c r="AE427">
        <v>0</v>
      </c>
      <c r="AF427">
        <v>0</v>
      </c>
      <c r="AG427">
        <v>0</v>
      </c>
      <c r="AH427">
        <v>0</v>
      </c>
      <c r="AI427">
        <v>0</v>
      </c>
      <c r="AJ427">
        <v>0</v>
      </c>
      <c r="AK427">
        <v>0</v>
      </c>
      <c r="AL427">
        <v>0</v>
      </c>
      <c r="AM427">
        <v>0</v>
      </c>
      <c r="AN427">
        <v>0</v>
      </c>
      <c r="AO427">
        <v>0</v>
      </c>
      <c r="AP427">
        <v>0</v>
      </c>
      <c r="AQ427">
        <v>0</v>
      </c>
      <c r="AR427">
        <v>0</v>
      </c>
      <c r="AS427">
        <v>0</v>
      </c>
      <c r="AT427">
        <v>0</v>
      </c>
      <c r="AU427">
        <v>0</v>
      </c>
      <c r="AV427">
        <v>0</v>
      </c>
      <c r="AW427">
        <v>0</v>
      </c>
      <c r="BG427" s="185"/>
      <c r="BH427" s="185"/>
      <c r="BI427" s="185"/>
      <c r="BJ427" s="185"/>
      <c r="BK427" s="185"/>
      <c r="BL427" s="185"/>
      <c r="BM427" s="185"/>
      <c r="BN427" s="185"/>
      <c r="BO427" s="185"/>
      <c r="BP427" s="185"/>
      <c r="BQ427" s="185"/>
      <c r="BR427" s="185"/>
      <c r="BS427" s="185"/>
      <c r="BT427" s="185"/>
      <c r="BU427" t="b">
        <f>IF(_xlfn.MAXIFS(Table1[Sl No],Table1[Category],Table1[[#This Row],[Category]],Table1[Execution Year],Table1[[#This Row],[Execution Year]])=Table1[[#This Row],[Sl No]],TRUE,FALSE)</f>
        <v>0</v>
      </c>
      <c r="BV427" s="201">
        <f>SUM(Table1[[#This Row],[Spend - CAN]:[Spend - Sams]])+SUM(Table1[[#This Row],[Spend - Sams Mexico]:[Spend - Sams China]])+Table1[[#This Row],[Spend - IND]]</f>
        <v>38093541.020000003</v>
      </c>
      <c r="BW427">
        <f>SUM(Table1[[#This Row],[Savings - CAN]:[Savings - Sams]])+SUM(Table1[[#This Row],[Savings - Sams Mexico]:[Savings - Sams China]])+Table1[[#This Row],[Savings - IND]]</f>
        <v>0</v>
      </c>
      <c r="BX427">
        <f>SUM(Table1[[#This Row],[Spend - CAN]:[Spend - SAF]])+SUM(Table1[[#This Row],[Spend - Sams Mexico]:[Spend - Sams China]])+Table1[[#This Row],[Spend - IND]]</f>
        <v>93541.01999999999</v>
      </c>
      <c r="BY427">
        <f>SUM(Table1[[#This Row],[Savings - CAN]:[Savings - SAF]])+SUM(Table1[[#This Row],[Savings - Sams Mexico]:[Savings - Sams China]])+Table1[[#This Row],[Savings - IND]]</f>
        <v>0</v>
      </c>
      <c r="BZ427">
        <f>SUM(Table1[[#This Row],[Spend - US]:[Spend - Sams]])</f>
        <v>38000000</v>
      </c>
      <c r="CA427">
        <f>SUM(Table1[[#This Row],[Savings - US]:[Savings - Sams]])</f>
        <v>0</v>
      </c>
      <c r="CB427">
        <f>SUM(Table1[[#This Row],[Cost Avoidance - CAN2]:[Cost Avoidance - SAF10]])+SUM(Table1[[#This Row],[Cost Avoidance - Sams Mexico]:[Cost Avoidance - Sams China]])+Table1[[#This Row],[Cost Avoidance - IND]]</f>
        <v>0</v>
      </c>
      <c r="CC427">
        <f>SUM(Table1[[#This Row],[Cost Avoidance - US11]:[Cost Avoidance - Sams12]])</f>
        <v>0</v>
      </c>
      <c r="CD427" t="str">
        <f>_xlfn.XLOOKUP(Table1[[#This Row],[Status]],Status_Lookups[Status],Status_Lookups[Value],"")</f>
        <v/>
      </c>
    </row>
    <row r="428" spans="1:82">
      <c r="A428">
        <v>9</v>
      </c>
      <c r="B428" t="s">
        <v>86</v>
      </c>
      <c r="C428" t="s">
        <v>43</v>
      </c>
      <c r="D428" t="s">
        <v>39</v>
      </c>
      <c r="E428" s="15">
        <v>44326</v>
      </c>
      <c r="F428" s="15">
        <v>44481</v>
      </c>
      <c r="G428" s="15">
        <v>0</v>
      </c>
      <c r="H428" s="15">
        <v>0</v>
      </c>
      <c r="I428" t="s">
        <v>484</v>
      </c>
      <c r="J428" t="s">
        <v>459</v>
      </c>
      <c r="K428" t="s">
        <v>454</v>
      </c>
      <c r="L428">
        <v>0</v>
      </c>
      <c r="M428">
        <v>0</v>
      </c>
      <c r="N428">
        <v>0</v>
      </c>
      <c r="O428">
        <v>0</v>
      </c>
      <c r="P428">
        <v>0</v>
      </c>
      <c r="Q428">
        <v>0</v>
      </c>
      <c r="R428">
        <v>89787.09</v>
      </c>
      <c r="S428">
        <v>3753.93</v>
      </c>
      <c r="T428">
        <v>0</v>
      </c>
      <c r="U428">
        <v>0</v>
      </c>
      <c r="V428">
        <v>38000000</v>
      </c>
      <c r="W428">
        <v>0</v>
      </c>
      <c r="X428" t="s">
        <v>78</v>
      </c>
      <c r="Y428" s="16">
        <v>44309.436092245371</v>
      </c>
      <c r="Z428" s="17" t="str">
        <f>_xlfn.XLOOKUP(Table1[[#This Row],[Phase]],'Lookup tables'!$Y$27:$Y$60,'Lookup tables'!$Z$27:$Z$60,"Not Updated")</f>
        <v>Bid Prep</v>
      </c>
      <c r="AA428" s="17" t="s">
        <v>701</v>
      </c>
      <c r="AB428">
        <v>0</v>
      </c>
      <c r="AC428">
        <v>0</v>
      </c>
      <c r="AD428">
        <v>0</v>
      </c>
      <c r="AE428">
        <v>0</v>
      </c>
      <c r="AF428">
        <v>0</v>
      </c>
      <c r="AG428">
        <v>0</v>
      </c>
      <c r="AH428">
        <v>0</v>
      </c>
      <c r="AI428">
        <v>0</v>
      </c>
      <c r="AJ428">
        <v>0</v>
      </c>
      <c r="AK428">
        <v>0</v>
      </c>
      <c r="AL428">
        <v>0</v>
      </c>
      <c r="AM428">
        <v>0</v>
      </c>
      <c r="AN428">
        <v>0</v>
      </c>
      <c r="AO428">
        <v>0</v>
      </c>
      <c r="AP428">
        <v>0</v>
      </c>
      <c r="AQ428">
        <v>0</v>
      </c>
      <c r="AR428">
        <v>0</v>
      </c>
      <c r="AS428">
        <v>0</v>
      </c>
      <c r="AT428">
        <v>0</v>
      </c>
      <c r="AU428">
        <v>0</v>
      </c>
      <c r="AV428">
        <v>0</v>
      </c>
      <c r="AW428">
        <v>0</v>
      </c>
      <c r="BG428" s="185"/>
      <c r="BH428" s="185"/>
      <c r="BI428" s="185"/>
      <c r="BJ428" s="185"/>
      <c r="BK428" s="185"/>
      <c r="BL428" s="185"/>
      <c r="BM428" s="185"/>
      <c r="BN428" s="185"/>
      <c r="BO428" s="185"/>
      <c r="BP428" s="185"/>
      <c r="BQ428" s="185"/>
      <c r="BR428" s="185"/>
      <c r="BS428" s="185"/>
      <c r="BT428" s="185"/>
      <c r="BU428" t="b">
        <f>IF(_xlfn.MAXIFS(Table1[Sl No],Table1[Category],Table1[[#This Row],[Category]],Table1[Execution Year],Table1[[#This Row],[Execution Year]])=Table1[[#This Row],[Sl No]],TRUE,FALSE)</f>
        <v>0</v>
      </c>
      <c r="BV428" s="201">
        <f>SUM(Table1[[#This Row],[Spend - CAN]:[Spend - Sams]])+SUM(Table1[[#This Row],[Spend - Sams Mexico]:[Spend - Sams China]])+Table1[[#This Row],[Spend - IND]]</f>
        <v>38093541.020000003</v>
      </c>
      <c r="BW428">
        <f>SUM(Table1[[#This Row],[Savings - CAN]:[Savings - Sams]])+SUM(Table1[[#This Row],[Savings - Sams Mexico]:[Savings - Sams China]])+Table1[[#This Row],[Savings - IND]]</f>
        <v>0</v>
      </c>
      <c r="BX428">
        <f>SUM(Table1[[#This Row],[Spend - CAN]:[Spend - SAF]])+SUM(Table1[[#This Row],[Spend - Sams Mexico]:[Spend - Sams China]])+Table1[[#This Row],[Spend - IND]]</f>
        <v>93541.01999999999</v>
      </c>
      <c r="BY428">
        <f>SUM(Table1[[#This Row],[Savings - CAN]:[Savings - SAF]])+SUM(Table1[[#This Row],[Savings - Sams Mexico]:[Savings - Sams China]])+Table1[[#This Row],[Savings - IND]]</f>
        <v>0</v>
      </c>
      <c r="BZ428">
        <f>SUM(Table1[[#This Row],[Spend - US]:[Spend - Sams]])</f>
        <v>38000000</v>
      </c>
      <c r="CA428">
        <f>SUM(Table1[[#This Row],[Savings - US]:[Savings - Sams]])</f>
        <v>0</v>
      </c>
      <c r="CB428">
        <f>SUM(Table1[[#This Row],[Cost Avoidance - CAN2]:[Cost Avoidance - SAF10]])+SUM(Table1[[#This Row],[Cost Avoidance - Sams Mexico]:[Cost Avoidance - Sams China]])+Table1[[#This Row],[Cost Avoidance - IND]]</f>
        <v>0</v>
      </c>
      <c r="CC428">
        <f>SUM(Table1[[#This Row],[Cost Avoidance - US11]:[Cost Avoidance - Sams12]])</f>
        <v>0</v>
      </c>
      <c r="CD428">
        <f>_xlfn.XLOOKUP(Table1[[#This Row],[Status]],Status_Lookups[Status],Status_Lookups[Value],"")</f>
        <v>0.3</v>
      </c>
    </row>
    <row r="429" spans="1:82">
      <c r="A429">
        <v>10</v>
      </c>
      <c r="B429" t="s">
        <v>86</v>
      </c>
      <c r="C429" t="s">
        <v>43</v>
      </c>
      <c r="D429" t="s">
        <v>39</v>
      </c>
      <c r="E429" s="15">
        <v>44392</v>
      </c>
      <c r="F429" s="15">
        <v>44542</v>
      </c>
      <c r="G429" s="15">
        <v>0</v>
      </c>
      <c r="H429" s="15">
        <v>0</v>
      </c>
      <c r="I429" t="s">
        <v>458</v>
      </c>
      <c r="J429" t="s">
        <v>459</v>
      </c>
      <c r="K429" t="s">
        <v>454</v>
      </c>
      <c r="L429">
        <v>0</v>
      </c>
      <c r="M429">
        <v>0</v>
      </c>
      <c r="N429">
        <v>0</v>
      </c>
      <c r="O429">
        <v>0</v>
      </c>
      <c r="P429">
        <v>0</v>
      </c>
      <c r="Q429">
        <v>0</v>
      </c>
      <c r="R429">
        <v>89787.09</v>
      </c>
      <c r="S429">
        <v>3753.93</v>
      </c>
      <c r="T429">
        <v>0</v>
      </c>
      <c r="U429">
        <v>0</v>
      </c>
      <c r="V429">
        <v>38000000</v>
      </c>
      <c r="W429">
        <v>0</v>
      </c>
      <c r="X429" t="s">
        <v>78</v>
      </c>
      <c r="Y429" s="16">
        <v>44312.434829513892</v>
      </c>
      <c r="Z429" s="17" t="str">
        <f>_xlfn.XLOOKUP(Table1[[#This Row],[Phase]],'Lookup tables'!$Y$27:$Y$60,'Lookup tables'!$Z$27:$Z$60,"Not Updated")</f>
        <v>Exploratory</v>
      </c>
      <c r="AA429" s="17" t="s">
        <v>701</v>
      </c>
      <c r="AB429">
        <v>0</v>
      </c>
      <c r="AC429">
        <v>0</v>
      </c>
      <c r="AD429">
        <v>0</v>
      </c>
      <c r="AE429">
        <v>0</v>
      </c>
      <c r="AF429">
        <v>0</v>
      </c>
      <c r="AG429">
        <v>0</v>
      </c>
      <c r="AH429">
        <v>0</v>
      </c>
      <c r="AI429">
        <v>0</v>
      </c>
      <c r="AJ429">
        <v>0</v>
      </c>
      <c r="AK429">
        <v>0</v>
      </c>
      <c r="AL429">
        <v>0</v>
      </c>
      <c r="AM429">
        <v>0</v>
      </c>
      <c r="AN429">
        <v>0</v>
      </c>
      <c r="AO429">
        <v>0</v>
      </c>
      <c r="AP429">
        <v>0</v>
      </c>
      <c r="AQ429">
        <v>0</v>
      </c>
      <c r="AR429">
        <v>0</v>
      </c>
      <c r="AS429">
        <v>0</v>
      </c>
      <c r="AT429">
        <v>0</v>
      </c>
      <c r="AU429">
        <v>0</v>
      </c>
      <c r="AV429">
        <v>0</v>
      </c>
      <c r="AW429">
        <v>0</v>
      </c>
      <c r="BG429" s="185"/>
      <c r="BH429" s="185"/>
      <c r="BI429" s="185"/>
      <c r="BJ429" s="185"/>
      <c r="BK429" s="185"/>
      <c r="BL429" s="185"/>
      <c r="BM429" s="185"/>
      <c r="BN429" s="185"/>
      <c r="BO429" s="185"/>
      <c r="BP429" s="185"/>
      <c r="BQ429" s="185"/>
      <c r="BR429" s="185"/>
      <c r="BS429" s="185"/>
      <c r="BT429" s="185"/>
      <c r="BU429" t="b">
        <f>IF(_xlfn.MAXIFS(Table1[Sl No],Table1[Category],Table1[[#This Row],[Category]],Table1[Execution Year],Table1[[#This Row],[Execution Year]])=Table1[[#This Row],[Sl No]],TRUE,FALSE)</f>
        <v>0</v>
      </c>
      <c r="BV429" s="201">
        <f>SUM(Table1[[#This Row],[Spend - CAN]:[Spend - Sams]])+SUM(Table1[[#This Row],[Spend - Sams Mexico]:[Spend - Sams China]])+Table1[[#This Row],[Spend - IND]]</f>
        <v>38093541.020000003</v>
      </c>
      <c r="BW429">
        <f>SUM(Table1[[#This Row],[Savings - CAN]:[Savings - Sams]])+SUM(Table1[[#This Row],[Savings - Sams Mexico]:[Savings - Sams China]])+Table1[[#This Row],[Savings - IND]]</f>
        <v>0</v>
      </c>
      <c r="BX429">
        <f>SUM(Table1[[#This Row],[Spend - CAN]:[Spend - SAF]])+SUM(Table1[[#This Row],[Spend - Sams Mexico]:[Spend - Sams China]])+Table1[[#This Row],[Spend - IND]]</f>
        <v>93541.01999999999</v>
      </c>
      <c r="BY429">
        <f>SUM(Table1[[#This Row],[Savings - CAN]:[Savings - SAF]])+SUM(Table1[[#This Row],[Savings - Sams Mexico]:[Savings - Sams China]])+Table1[[#This Row],[Savings - IND]]</f>
        <v>0</v>
      </c>
      <c r="BZ429">
        <f>SUM(Table1[[#This Row],[Spend - US]:[Spend - Sams]])</f>
        <v>38000000</v>
      </c>
      <c r="CA429">
        <f>SUM(Table1[[#This Row],[Savings - US]:[Savings - Sams]])</f>
        <v>0</v>
      </c>
      <c r="CB429">
        <f>SUM(Table1[[#This Row],[Cost Avoidance - CAN2]:[Cost Avoidance - SAF10]])+SUM(Table1[[#This Row],[Cost Avoidance - Sams Mexico]:[Cost Avoidance - Sams China]])+Table1[[#This Row],[Cost Avoidance - IND]]</f>
        <v>0</v>
      </c>
      <c r="CC429">
        <f>SUM(Table1[[#This Row],[Cost Avoidance - US11]:[Cost Avoidance - Sams12]])</f>
        <v>0</v>
      </c>
      <c r="CD429">
        <f>_xlfn.XLOOKUP(Table1[[#This Row],[Status]],Status_Lookups[Status],Status_Lookups[Value],"")</f>
        <v>0.3</v>
      </c>
    </row>
    <row r="430" spans="1:82">
      <c r="A430">
        <v>11</v>
      </c>
      <c r="B430" t="s">
        <v>86</v>
      </c>
      <c r="C430" t="s">
        <v>43</v>
      </c>
      <c r="D430" t="s">
        <v>39</v>
      </c>
      <c r="E430" s="15">
        <v>44392</v>
      </c>
      <c r="F430" s="15">
        <v>44481</v>
      </c>
      <c r="G430" s="15">
        <v>0</v>
      </c>
      <c r="H430" s="15">
        <v>0</v>
      </c>
      <c r="I430" t="s">
        <v>458</v>
      </c>
      <c r="J430" t="s">
        <v>459</v>
      </c>
      <c r="K430" t="s">
        <v>454</v>
      </c>
      <c r="L430">
        <v>0</v>
      </c>
      <c r="M430">
        <v>0</v>
      </c>
      <c r="N430">
        <v>0</v>
      </c>
      <c r="O430">
        <v>0</v>
      </c>
      <c r="P430">
        <v>0</v>
      </c>
      <c r="Q430">
        <v>0</v>
      </c>
      <c r="R430">
        <v>89787.09</v>
      </c>
      <c r="S430">
        <v>3753.93</v>
      </c>
      <c r="T430">
        <v>0</v>
      </c>
      <c r="U430">
        <v>0</v>
      </c>
      <c r="V430">
        <v>38000000</v>
      </c>
      <c r="W430">
        <v>0</v>
      </c>
      <c r="X430" t="s">
        <v>78</v>
      </c>
      <c r="Y430" s="16">
        <v>44312.4361943287</v>
      </c>
      <c r="Z430" s="17" t="str">
        <f>_xlfn.XLOOKUP(Table1[[#This Row],[Phase]],'Lookup tables'!$Y$27:$Y$60,'Lookup tables'!$Z$27:$Z$60,"Not Updated")</f>
        <v>Exploratory</v>
      </c>
      <c r="AA430" s="17" t="s">
        <v>701</v>
      </c>
      <c r="AB430">
        <v>0</v>
      </c>
      <c r="AC430">
        <v>0</v>
      </c>
      <c r="AD430">
        <v>0</v>
      </c>
      <c r="AE430">
        <v>0</v>
      </c>
      <c r="AF430">
        <v>0</v>
      </c>
      <c r="AG430">
        <v>0</v>
      </c>
      <c r="AH430">
        <v>0</v>
      </c>
      <c r="AI430">
        <v>0</v>
      </c>
      <c r="AJ430">
        <v>0</v>
      </c>
      <c r="AK430">
        <v>0</v>
      </c>
      <c r="AL430">
        <v>0</v>
      </c>
      <c r="AM430">
        <v>0</v>
      </c>
      <c r="AN430">
        <v>0</v>
      </c>
      <c r="AO430">
        <v>0</v>
      </c>
      <c r="AP430">
        <v>0</v>
      </c>
      <c r="AQ430">
        <v>0</v>
      </c>
      <c r="AR430">
        <v>0</v>
      </c>
      <c r="AS430">
        <v>0</v>
      </c>
      <c r="AT430">
        <v>0</v>
      </c>
      <c r="AU430">
        <v>0</v>
      </c>
      <c r="AV430">
        <v>0</v>
      </c>
      <c r="AW430">
        <v>0</v>
      </c>
      <c r="BG430" s="185"/>
      <c r="BH430" s="185"/>
      <c r="BI430" s="185"/>
      <c r="BJ430" s="185"/>
      <c r="BK430" s="185"/>
      <c r="BL430" s="185"/>
      <c r="BM430" s="185"/>
      <c r="BN430" s="185"/>
      <c r="BO430" s="185"/>
      <c r="BP430" s="185"/>
      <c r="BQ430" s="185"/>
      <c r="BR430" s="185"/>
      <c r="BS430" s="185"/>
      <c r="BT430" s="185"/>
      <c r="BU430" t="b">
        <f>IF(_xlfn.MAXIFS(Table1[Sl No],Table1[Category],Table1[[#This Row],[Category]],Table1[Execution Year],Table1[[#This Row],[Execution Year]])=Table1[[#This Row],[Sl No]],TRUE,FALSE)</f>
        <v>0</v>
      </c>
      <c r="BV430" s="201">
        <f>SUM(Table1[[#This Row],[Spend - CAN]:[Spend - Sams]])+SUM(Table1[[#This Row],[Spend - Sams Mexico]:[Spend - Sams China]])+Table1[[#This Row],[Spend - IND]]</f>
        <v>38093541.020000003</v>
      </c>
      <c r="BW430">
        <f>SUM(Table1[[#This Row],[Savings - CAN]:[Savings - Sams]])+SUM(Table1[[#This Row],[Savings - Sams Mexico]:[Savings - Sams China]])+Table1[[#This Row],[Savings - IND]]</f>
        <v>0</v>
      </c>
      <c r="BX430">
        <f>SUM(Table1[[#This Row],[Spend - CAN]:[Spend - SAF]])+SUM(Table1[[#This Row],[Spend - Sams Mexico]:[Spend - Sams China]])+Table1[[#This Row],[Spend - IND]]</f>
        <v>93541.01999999999</v>
      </c>
      <c r="BY430">
        <f>SUM(Table1[[#This Row],[Savings - CAN]:[Savings - SAF]])+SUM(Table1[[#This Row],[Savings - Sams Mexico]:[Savings - Sams China]])+Table1[[#This Row],[Savings - IND]]</f>
        <v>0</v>
      </c>
      <c r="BZ430">
        <f>SUM(Table1[[#This Row],[Spend - US]:[Spend - Sams]])</f>
        <v>38000000</v>
      </c>
      <c r="CA430">
        <f>SUM(Table1[[#This Row],[Savings - US]:[Savings - Sams]])</f>
        <v>0</v>
      </c>
      <c r="CB430">
        <f>SUM(Table1[[#This Row],[Cost Avoidance - CAN2]:[Cost Avoidance - SAF10]])+SUM(Table1[[#This Row],[Cost Avoidance - Sams Mexico]:[Cost Avoidance - Sams China]])+Table1[[#This Row],[Cost Avoidance - IND]]</f>
        <v>0</v>
      </c>
      <c r="CC430">
        <f>SUM(Table1[[#This Row],[Cost Avoidance - US11]:[Cost Avoidance - Sams12]])</f>
        <v>0</v>
      </c>
      <c r="CD430">
        <f>_xlfn.XLOOKUP(Table1[[#This Row],[Status]],Status_Lookups[Status],Status_Lookups[Value],"")</f>
        <v>0.3</v>
      </c>
    </row>
    <row r="431" spans="1:82">
      <c r="A431">
        <v>12</v>
      </c>
      <c r="B431" t="s">
        <v>86</v>
      </c>
      <c r="C431" t="s">
        <v>43</v>
      </c>
      <c r="D431" t="s">
        <v>39</v>
      </c>
      <c r="E431" s="15">
        <v>44392</v>
      </c>
      <c r="F431" s="15">
        <v>44481</v>
      </c>
      <c r="G431" s="15">
        <v>0</v>
      </c>
      <c r="H431" s="15">
        <v>0</v>
      </c>
      <c r="I431" t="s">
        <v>449</v>
      </c>
      <c r="J431" t="s">
        <v>417</v>
      </c>
      <c r="K431" t="s">
        <v>454</v>
      </c>
      <c r="L431">
        <v>0</v>
      </c>
      <c r="M431">
        <v>0</v>
      </c>
      <c r="N431">
        <v>0</v>
      </c>
      <c r="O431">
        <v>0</v>
      </c>
      <c r="P431">
        <v>0</v>
      </c>
      <c r="Q431">
        <v>0</v>
      </c>
      <c r="R431">
        <v>89787.09</v>
      </c>
      <c r="S431">
        <v>3753.93</v>
      </c>
      <c r="T431">
        <v>0</v>
      </c>
      <c r="U431">
        <v>0</v>
      </c>
      <c r="V431">
        <v>38000000</v>
      </c>
      <c r="W431">
        <v>0</v>
      </c>
      <c r="X431" t="s">
        <v>78</v>
      </c>
      <c r="Y431" s="16">
        <v>44340.40917997685</v>
      </c>
      <c r="Z431" s="17" t="str">
        <f>_xlfn.XLOOKUP(Table1[[#This Row],[Phase]],'Lookup tables'!$Y$27:$Y$60,'Lookup tables'!$Z$27:$Z$60,"Not Updated")</f>
        <v>Cancelled</v>
      </c>
      <c r="AA431" s="17" t="s">
        <v>701</v>
      </c>
      <c r="AB431">
        <v>0</v>
      </c>
      <c r="AC431">
        <v>0</v>
      </c>
      <c r="AD431">
        <v>0</v>
      </c>
      <c r="AE431">
        <v>0</v>
      </c>
      <c r="AF431">
        <v>0</v>
      </c>
      <c r="AG431">
        <v>0</v>
      </c>
      <c r="AH431">
        <v>0</v>
      </c>
      <c r="AI431">
        <v>0</v>
      </c>
      <c r="AJ431">
        <v>0</v>
      </c>
      <c r="AK431">
        <v>0</v>
      </c>
      <c r="AL431">
        <v>0</v>
      </c>
      <c r="AM431">
        <v>0</v>
      </c>
      <c r="AN431">
        <v>0</v>
      </c>
      <c r="AO431">
        <v>0</v>
      </c>
      <c r="AP431">
        <v>0</v>
      </c>
      <c r="AQ431">
        <v>0</v>
      </c>
      <c r="AR431">
        <v>0</v>
      </c>
      <c r="AS431">
        <v>0</v>
      </c>
      <c r="AT431">
        <v>0</v>
      </c>
      <c r="AU431">
        <v>0</v>
      </c>
      <c r="AV431">
        <v>0</v>
      </c>
      <c r="AW431">
        <v>0</v>
      </c>
      <c r="BG431" s="185"/>
      <c r="BH431" s="185"/>
      <c r="BI431" s="185"/>
      <c r="BJ431" s="185"/>
      <c r="BK431" s="185"/>
      <c r="BL431" s="185"/>
      <c r="BM431" s="185"/>
      <c r="BN431" s="185"/>
      <c r="BO431" s="185"/>
      <c r="BP431" s="185"/>
      <c r="BQ431" s="185"/>
      <c r="BR431" s="185"/>
      <c r="BS431" s="185"/>
      <c r="BT431" s="185"/>
      <c r="BU431" t="b">
        <f>IF(_xlfn.MAXIFS(Table1[Sl No],Table1[Category],Table1[[#This Row],[Category]],Table1[Execution Year],Table1[[#This Row],[Execution Year]])=Table1[[#This Row],[Sl No]],TRUE,FALSE)</f>
        <v>1</v>
      </c>
      <c r="BV431" s="201">
        <f>SUM(Table1[[#This Row],[Spend - CAN]:[Spend - Sams]])+SUM(Table1[[#This Row],[Spend - Sams Mexico]:[Spend - Sams China]])+Table1[[#This Row],[Spend - IND]]</f>
        <v>38093541.020000003</v>
      </c>
      <c r="BW431">
        <f>SUM(Table1[[#This Row],[Savings - CAN]:[Savings - Sams]])+SUM(Table1[[#This Row],[Savings - Sams Mexico]:[Savings - Sams China]])+Table1[[#This Row],[Savings - IND]]</f>
        <v>0</v>
      </c>
      <c r="BX431">
        <f>SUM(Table1[[#This Row],[Spend - CAN]:[Spend - SAF]])+SUM(Table1[[#This Row],[Spend - Sams Mexico]:[Spend - Sams China]])+Table1[[#This Row],[Spend - IND]]</f>
        <v>93541.01999999999</v>
      </c>
      <c r="BY431">
        <f>SUM(Table1[[#This Row],[Savings - CAN]:[Savings - SAF]])+SUM(Table1[[#This Row],[Savings - Sams Mexico]:[Savings - Sams China]])+Table1[[#This Row],[Savings - IND]]</f>
        <v>0</v>
      </c>
      <c r="BZ431">
        <f>SUM(Table1[[#This Row],[Spend - US]:[Spend - Sams]])</f>
        <v>38000000</v>
      </c>
      <c r="CA431">
        <f>SUM(Table1[[#This Row],[Savings - US]:[Savings - Sams]])</f>
        <v>0</v>
      </c>
      <c r="CB431">
        <f>SUM(Table1[[#This Row],[Cost Avoidance - CAN2]:[Cost Avoidance - SAF10]])+SUM(Table1[[#This Row],[Cost Avoidance - Sams Mexico]:[Cost Avoidance - Sams China]])+Table1[[#This Row],[Cost Avoidance - IND]]</f>
        <v>0</v>
      </c>
      <c r="CC431">
        <f>SUM(Table1[[#This Row],[Cost Avoidance - US11]:[Cost Avoidance - Sams12]])</f>
        <v>0</v>
      </c>
      <c r="CD431">
        <f>_xlfn.XLOOKUP(Table1[[#This Row],[Status]],Status_Lookups[Status],Status_Lookups[Value],"")</f>
        <v>0.2</v>
      </c>
    </row>
    <row r="432" spans="1:82">
      <c r="A432">
        <v>1</v>
      </c>
      <c r="B432" t="s">
        <v>519</v>
      </c>
      <c r="C432" t="s">
        <v>33</v>
      </c>
      <c r="D432" t="s">
        <v>322</v>
      </c>
      <c r="E432" s="15">
        <v>44743</v>
      </c>
      <c r="F432" s="15">
        <v>44834</v>
      </c>
      <c r="G432" s="15"/>
      <c r="H432" s="15"/>
      <c r="I432" t="s">
        <v>135</v>
      </c>
      <c r="J432" t="s">
        <v>459</v>
      </c>
      <c r="K432" t="s">
        <v>490</v>
      </c>
      <c r="X432" t="s">
        <v>47</v>
      </c>
      <c r="Y432" s="16">
        <v>44701.387036342596</v>
      </c>
      <c r="Z432" s="17" t="str">
        <f>_xlfn.XLOOKUP(Table1[[#This Row],[Phase]],'Lookup tables'!$Y$27:$Y$60,'Lookup tables'!$Z$27:$Z$60,"Not Updated")</f>
        <v>Pipeline</v>
      </c>
      <c r="AA432" s="17"/>
      <c r="BG432" s="185"/>
      <c r="BH432" s="185"/>
      <c r="BI432" s="185"/>
      <c r="BJ432" s="185"/>
      <c r="BK432" s="185"/>
      <c r="BL432" s="185"/>
      <c r="BM432" s="185"/>
      <c r="BN432" s="185"/>
      <c r="BO432" s="185"/>
      <c r="BP432" s="185"/>
      <c r="BQ432" s="185"/>
      <c r="BR432" s="185"/>
      <c r="BS432" s="185"/>
      <c r="BT432" s="185"/>
      <c r="BU432" t="b">
        <f>IF(_xlfn.MAXIFS(Table1[Sl No],Table1[Category],Table1[[#This Row],[Category]],Table1[Execution Year],Table1[[#This Row],[Execution Year]])=Table1[[#This Row],[Sl No]],TRUE,FALSE)</f>
        <v>1</v>
      </c>
      <c r="BV432" s="201">
        <f>SUM(Table1[[#This Row],[Spend - CAN]:[Spend - Sams]])+SUM(Table1[[#This Row],[Spend - Sams Mexico]:[Spend - Sams China]])+Table1[[#This Row],[Spend - IND]]</f>
        <v>0</v>
      </c>
      <c r="BW432">
        <f>SUM(Table1[[#This Row],[Savings - CAN]:[Savings - Sams]])+SUM(Table1[[#This Row],[Savings - Sams Mexico]:[Savings - Sams China]])+Table1[[#This Row],[Savings - IND]]</f>
        <v>0</v>
      </c>
      <c r="BX432">
        <f>SUM(Table1[[#This Row],[Spend - CAN]:[Spend - SAF]])+SUM(Table1[[#This Row],[Spend - Sams Mexico]:[Spend - Sams China]])+Table1[[#This Row],[Spend - IND]]</f>
        <v>0</v>
      </c>
      <c r="BY432">
        <f>SUM(Table1[[#This Row],[Savings - CAN]:[Savings - SAF]])+SUM(Table1[[#This Row],[Savings - Sams Mexico]:[Savings - Sams China]])+Table1[[#This Row],[Savings - IND]]</f>
        <v>0</v>
      </c>
      <c r="BZ432">
        <f>SUM(Table1[[#This Row],[Spend - US]:[Spend - Sams]])</f>
        <v>0</v>
      </c>
      <c r="CA432">
        <f>SUM(Table1[[#This Row],[Savings - US]:[Savings - Sams]])</f>
        <v>0</v>
      </c>
      <c r="CB432">
        <f>SUM(Table1[[#This Row],[Cost Avoidance - CAN2]:[Cost Avoidance - SAF10]])+SUM(Table1[[#This Row],[Cost Avoidance - Sams Mexico]:[Cost Avoidance - Sams China]])+Table1[[#This Row],[Cost Avoidance - IND]]</f>
        <v>0</v>
      </c>
      <c r="CC432">
        <f>SUM(Table1[[#This Row],[Cost Avoidance - US11]:[Cost Avoidance - Sams12]])</f>
        <v>0</v>
      </c>
      <c r="CD432">
        <f>_xlfn.XLOOKUP(Table1[[#This Row],[Status]],Status_Lookups[Status],Status_Lookups[Value],"")</f>
        <v>0.3</v>
      </c>
    </row>
    <row r="433" spans="1:82">
      <c r="A433">
        <v>1</v>
      </c>
      <c r="B433" t="s">
        <v>545</v>
      </c>
      <c r="C433" t="s">
        <v>543</v>
      </c>
      <c r="D433" t="s">
        <v>322</v>
      </c>
      <c r="E433" s="15"/>
      <c r="F433" s="15"/>
      <c r="G433" s="15"/>
      <c r="H433" s="15"/>
      <c r="I433" t="s">
        <v>135</v>
      </c>
      <c r="J433" t="s">
        <v>459</v>
      </c>
      <c r="K433" t="s">
        <v>533</v>
      </c>
      <c r="X433" t="s">
        <v>47</v>
      </c>
      <c r="Y433" s="16">
        <v>44701.387036342596</v>
      </c>
      <c r="Z433" s="17" t="str">
        <f>_xlfn.XLOOKUP(Table1[[#This Row],[Phase]],'Lookup tables'!$Y$27:$Y$60,'Lookup tables'!$Z$27:$Z$60,"Not Updated")</f>
        <v>Pipeline</v>
      </c>
      <c r="AA433" s="17"/>
      <c r="BG433" s="185"/>
      <c r="BH433" s="185"/>
      <c r="BI433" s="185"/>
      <c r="BJ433" s="185"/>
      <c r="BK433" s="185"/>
      <c r="BL433" s="185"/>
      <c r="BM433" s="185"/>
      <c r="BN433" s="185"/>
      <c r="BO433" s="185"/>
      <c r="BP433" s="185"/>
      <c r="BQ433" s="185"/>
      <c r="BR433" s="185"/>
      <c r="BS433" s="185"/>
      <c r="BT433" s="185"/>
      <c r="BU433" t="b">
        <f>IF(_xlfn.MAXIFS(Table1[Sl No],Table1[Category],Table1[[#This Row],[Category]],Table1[Execution Year],Table1[[#This Row],[Execution Year]])=Table1[[#This Row],[Sl No]],TRUE,FALSE)</f>
        <v>1</v>
      </c>
      <c r="BV433" s="201">
        <f>SUM(Table1[[#This Row],[Spend - CAN]:[Spend - Sams]])+SUM(Table1[[#This Row],[Spend - Sams Mexico]:[Spend - Sams China]])+Table1[[#This Row],[Spend - IND]]</f>
        <v>0</v>
      </c>
      <c r="BW433">
        <f>SUM(Table1[[#This Row],[Savings - CAN]:[Savings - Sams]])+SUM(Table1[[#This Row],[Savings - Sams Mexico]:[Savings - Sams China]])+Table1[[#This Row],[Savings - IND]]</f>
        <v>0</v>
      </c>
      <c r="BX433">
        <f>SUM(Table1[[#This Row],[Spend - CAN]:[Spend - SAF]])+SUM(Table1[[#This Row],[Spend - Sams Mexico]:[Spend - Sams China]])+Table1[[#This Row],[Spend - IND]]</f>
        <v>0</v>
      </c>
      <c r="BY433">
        <f>SUM(Table1[[#This Row],[Savings - CAN]:[Savings - SAF]])+SUM(Table1[[#This Row],[Savings - Sams Mexico]:[Savings - Sams China]])+Table1[[#This Row],[Savings - IND]]</f>
        <v>0</v>
      </c>
      <c r="BZ433">
        <f>SUM(Table1[[#This Row],[Spend - US]:[Spend - Sams]])</f>
        <v>0</v>
      </c>
      <c r="CA433">
        <f>SUM(Table1[[#This Row],[Savings - US]:[Savings - Sams]])</f>
        <v>0</v>
      </c>
      <c r="CB433">
        <f>SUM(Table1[[#This Row],[Cost Avoidance - CAN2]:[Cost Avoidance - SAF10]])+SUM(Table1[[#This Row],[Cost Avoidance - Sams Mexico]:[Cost Avoidance - Sams China]])+Table1[[#This Row],[Cost Avoidance - IND]]</f>
        <v>0</v>
      </c>
      <c r="CC433">
        <f>SUM(Table1[[#This Row],[Cost Avoidance - US11]:[Cost Avoidance - Sams12]])</f>
        <v>0</v>
      </c>
      <c r="CD433">
        <f>_xlfn.XLOOKUP(Table1[[#This Row],[Status]],Status_Lookups[Status],Status_Lookups[Value],"")</f>
        <v>0.3</v>
      </c>
    </row>
    <row r="434" spans="1:82">
      <c r="A434">
        <v>1</v>
      </c>
      <c r="B434" t="s">
        <v>80</v>
      </c>
      <c r="C434" t="s">
        <v>43</v>
      </c>
      <c r="D434" t="s">
        <v>39</v>
      </c>
      <c r="E434" s="15"/>
      <c r="F434" s="15"/>
      <c r="G434" s="15"/>
      <c r="H434" s="15"/>
      <c r="X434" t="s">
        <v>78</v>
      </c>
      <c r="Y434" s="16">
        <v>44218.489212962966</v>
      </c>
      <c r="Z434" s="17" t="str">
        <f>_xlfn.XLOOKUP(Table1[[#This Row],[Phase]],'Lookup tables'!$Y$27:$Y$60,'Lookup tables'!$Z$27:$Z$60,"Not Updated")</f>
        <v>Not Updated</v>
      </c>
      <c r="AA434" s="17"/>
      <c r="BG434" s="185"/>
      <c r="BH434" s="185"/>
      <c r="BI434" s="185"/>
      <c r="BJ434" s="185"/>
      <c r="BK434" s="185"/>
      <c r="BL434" s="185"/>
      <c r="BM434" s="185"/>
      <c r="BN434" s="185"/>
      <c r="BO434" s="185"/>
      <c r="BP434" s="185"/>
      <c r="BQ434" s="185"/>
      <c r="BR434" s="185"/>
      <c r="BS434" s="185"/>
      <c r="BT434" s="185"/>
      <c r="BU434" t="b">
        <f>IF(_xlfn.MAXIFS(Table1[Sl No],Table1[Category],Table1[[#This Row],[Category]],Table1[Execution Year],Table1[[#This Row],[Execution Year]])=Table1[[#This Row],[Sl No]],TRUE,FALSE)</f>
        <v>0</v>
      </c>
      <c r="BV434" s="201">
        <f>SUM(Table1[[#This Row],[Spend - CAN]:[Spend - Sams]])+SUM(Table1[[#This Row],[Spend - Sams Mexico]:[Spend - Sams China]])+Table1[[#This Row],[Spend - IND]]</f>
        <v>0</v>
      </c>
      <c r="BW434">
        <f>SUM(Table1[[#This Row],[Savings - CAN]:[Savings - Sams]])+SUM(Table1[[#This Row],[Savings - Sams Mexico]:[Savings - Sams China]])+Table1[[#This Row],[Savings - IND]]</f>
        <v>0</v>
      </c>
      <c r="BX434">
        <f>SUM(Table1[[#This Row],[Spend - CAN]:[Spend - SAF]])+SUM(Table1[[#This Row],[Spend - Sams Mexico]:[Spend - Sams China]])+Table1[[#This Row],[Spend - IND]]</f>
        <v>0</v>
      </c>
      <c r="BY434">
        <f>SUM(Table1[[#This Row],[Savings - CAN]:[Savings - SAF]])+SUM(Table1[[#This Row],[Savings - Sams Mexico]:[Savings - Sams China]])+Table1[[#This Row],[Savings - IND]]</f>
        <v>0</v>
      </c>
      <c r="BZ434">
        <f>SUM(Table1[[#This Row],[Spend - US]:[Spend - Sams]])</f>
        <v>0</v>
      </c>
      <c r="CA434">
        <f>SUM(Table1[[#This Row],[Savings - US]:[Savings - Sams]])</f>
        <v>0</v>
      </c>
      <c r="CB434">
        <f>SUM(Table1[[#This Row],[Cost Avoidance - CAN2]:[Cost Avoidance - SAF10]])+SUM(Table1[[#This Row],[Cost Avoidance - Sams Mexico]:[Cost Avoidance - Sams China]])+Table1[[#This Row],[Cost Avoidance - IND]]</f>
        <v>0</v>
      </c>
      <c r="CC434">
        <f>SUM(Table1[[#This Row],[Cost Avoidance - US11]:[Cost Avoidance - Sams12]])</f>
        <v>0</v>
      </c>
      <c r="CD434" t="str">
        <f>_xlfn.XLOOKUP(Table1[[#This Row],[Status]],Status_Lookups[Status],Status_Lookups[Value],"")</f>
        <v/>
      </c>
    </row>
    <row r="435" spans="1:82">
      <c r="A435">
        <v>2</v>
      </c>
      <c r="B435" t="s">
        <v>80</v>
      </c>
      <c r="C435" t="s">
        <v>43</v>
      </c>
      <c r="D435" t="s">
        <v>39</v>
      </c>
      <c r="E435" s="15">
        <v>44256</v>
      </c>
      <c r="F435" s="15">
        <v>44347</v>
      </c>
      <c r="G435" s="15"/>
      <c r="H435" s="15"/>
      <c r="I435" t="s">
        <v>625</v>
      </c>
      <c r="J435" t="s">
        <v>626</v>
      </c>
      <c r="K435" t="s">
        <v>445</v>
      </c>
      <c r="L435">
        <v>0</v>
      </c>
      <c r="M435">
        <v>8899700.3300000001</v>
      </c>
      <c r="N435">
        <v>0</v>
      </c>
      <c r="O435">
        <v>22197.649999999994</v>
      </c>
      <c r="P435">
        <v>0</v>
      </c>
      <c r="Q435">
        <v>991796.6100000001</v>
      </c>
      <c r="R435">
        <v>22841.64</v>
      </c>
      <c r="S435">
        <v>6940.130000000001</v>
      </c>
      <c r="T435">
        <v>39889423.049999997</v>
      </c>
      <c r="U435">
        <v>0</v>
      </c>
      <c r="V435">
        <v>0</v>
      </c>
      <c r="W435">
        <v>0</v>
      </c>
      <c r="X435" t="s">
        <v>78</v>
      </c>
      <c r="Y435" s="16">
        <v>44218.491162500002</v>
      </c>
      <c r="Z435" s="17" t="str">
        <f>_xlfn.XLOOKUP(Table1[[#This Row],[Phase]],'Lookup tables'!$Y$27:$Y$60,'Lookup tables'!$Z$27:$Z$60,"Not Updated")</f>
        <v>Proposed</v>
      </c>
      <c r="AA435" s="17" t="s">
        <v>702</v>
      </c>
      <c r="AB435">
        <v>0</v>
      </c>
      <c r="AC435">
        <v>0</v>
      </c>
      <c r="AD435">
        <v>0</v>
      </c>
      <c r="AE435">
        <v>0</v>
      </c>
      <c r="AF435">
        <v>0</v>
      </c>
      <c r="AG435">
        <v>0</v>
      </c>
      <c r="AH435">
        <v>0</v>
      </c>
      <c r="AI435">
        <v>0</v>
      </c>
      <c r="AJ435">
        <v>0</v>
      </c>
      <c r="AK435">
        <v>0</v>
      </c>
      <c r="AL435">
        <v>0</v>
      </c>
      <c r="BG435" s="185"/>
      <c r="BH435" s="185"/>
      <c r="BI435" s="185"/>
      <c r="BJ435" s="185"/>
      <c r="BK435" s="185"/>
      <c r="BL435" s="185"/>
      <c r="BM435" s="185"/>
      <c r="BN435" s="185"/>
      <c r="BO435" s="185"/>
      <c r="BP435" s="185"/>
      <c r="BQ435" s="185"/>
      <c r="BR435" s="185"/>
      <c r="BS435" s="185"/>
      <c r="BT435" s="185"/>
      <c r="BU435" t="b">
        <f>IF(_xlfn.MAXIFS(Table1[Sl No],Table1[Category],Table1[[#This Row],[Category]],Table1[Execution Year],Table1[[#This Row],[Execution Year]])=Table1[[#This Row],[Sl No]],TRUE,FALSE)</f>
        <v>0</v>
      </c>
      <c r="BV435" s="201">
        <f>SUM(Table1[[#This Row],[Spend - CAN]:[Spend - Sams]])+SUM(Table1[[#This Row],[Spend - Sams Mexico]:[Spend - Sams China]])+Table1[[#This Row],[Spend - IND]]</f>
        <v>49832899.409999996</v>
      </c>
      <c r="BW435">
        <f>SUM(Table1[[#This Row],[Savings - CAN]:[Savings - Sams]])+SUM(Table1[[#This Row],[Savings - Sams Mexico]:[Savings - Sams China]])+Table1[[#This Row],[Savings - IND]]</f>
        <v>0</v>
      </c>
      <c r="BX435">
        <f>SUM(Table1[[#This Row],[Spend - CAN]:[Spend - SAF]])+SUM(Table1[[#This Row],[Spend - Sams Mexico]:[Spend - Sams China]])+Table1[[#This Row],[Spend - IND]]</f>
        <v>49832899.409999996</v>
      </c>
      <c r="BY435">
        <f>SUM(Table1[[#This Row],[Savings - CAN]:[Savings - SAF]])+SUM(Table1[[#This Row],[Savings - Sams Mexico]:[Savings - Sams China]])+Table1[[#This Row],[Savings - IND]]</f>
        <v>0</v>
      </c>
      <c r="BZ435">
        <f>SUM(Table1[[#This Row],[Spend - US]:[Spend - Sams]])</f>
        <v>0</v>
      </c>
      <c r="CA435">
        <f>SUM(Table1[[#This Row],[Savings - US]:[Savings - Sams]])</f>
        <v>0</v>
      </c>
      <c r="CB435">
        <f>SUM(Table1[[#This Row],[Cost Avoidance - CAN2]:[Cost Avoidance - SAF10]])+SUM(Table1[[#This Row],[Cost Avoidance - Sams Mexico]:[Cost Avoidance - Sams China]])+Table1[[#This Row],[Cost Avoidance - IND]]</f>
        <v>0</v>
      </c>
      <c r="CC435">
        <f>SUM(Table1[[#This Row],[Cost Avoidance - US11]:[Cost Avoidance - Sams12]])</f>
        <v>0</v>
      </c>
      <c r="CD435" t="str">
        <f>_xlfn.XLOOKUP(Table1[[#This Row],[Status]],Status_Lookups[Status],Status_Lookups[Value],"")</f>
        <v/>
      </c>
    </row>
    <row r="436" spans="1:82">
      <c r="A436">
        <v>3</v>
      </c>
      <c r="B436" t="s">
        <v>80</v>
      </c>
      <c r="C436" t="s">
        <v>43</v>
      </c>
      <c r="D436" t="s">
        <v>39</v>
      </c>
      <c r="E436" s="15">
        <v>44256</v>
      </c>
      <c r="F436" s="15">
        <v>44347</v>
      </c>
      <c r="G436" s="15"/>
      <c r="H436" s="15"/>
      <c r="I436" t="s">
        <v>625</v>
      </c>
      <c r="J436" t="s">
        <v>626</v>
      </c>
      <c r="K436" t="s">
        <v>445</v>
      </c>
      <c r="L436">
        <v>0</v>
      </c>
      <c r="M436">
        <v>8899700.3300000001</v>
      </c>
      <c r="N436">
        <v>0</v>
      </c>
      <c r="O436">
        <v>22197.649999999994</v>
      </c>
      <c r="P436">
        <v>0</v>
      </c>
      <c r="Q436">
        <v>991796.6100000001</v>
      </c>
      <c r="R436">
        <v>22841.64</v>
      </c>
      <c r="S436">
        <v>6940.130000000001</v>
      </c>
      <c r="T436">
        <v>39889423.049999997</v>
      </c>
      <c r="U436">
        <v>0</v>
      </c>
      <c r="V436">
        <v>136000000</v>
      </c>
      <c r="W436">
        <v>0</v>
      </c>
      <c r="X436" t="s">
        <v>78</v>
      </c>
      <c r="Y436" s="16">
        <v>44221.612116898148</v>
      </c>
      <c r="Z436" s="17" t="str">
        <f>_xlfn.XLOOKUP(Table1[[#This Row],[Phase]],'Lookup tables'!$Y$27:$Y$60,'Lookup tables'!$Z$27:$Z$60,"Not Updated")</f>
        <v>Proposed</v>
      </c>
      <c r="AA436" s="17" t="s">
        <v>702</v>
      </c>
      <c r="AB436">
        <v>0</v>
      </c>
      <c r="AC436">
        <v>0</v>
      </c>
      <c r="AD436">
        <v>0</v>
      </c>
      <c r="AE436">
        <v>0</v>
      </c>
      <c r="AF436">
        <v>0</v>
      </c>
      <c r="AG436">
        <v>0</v>
      </c>
      <c r="AH436">
        <v>0</v>
      </c>
      <c r="AI436">
        <v>0</v>
      </c>
      <c r="AJ436">
        <v>0</v>
      </c>
      <c r="AK436">
        <v>0</v>
      </c>
      <c r="AL436">
        <v>0</v>
      </c>
      <c r="BG436" s="185"/>
      <c r="BH436" s="185"/>
      <c r="BI436" s="185"/>
      <c r="BJ436" s="185"/>
      <c r="BK436" s="185"/>
      <c r="BL436" s="185"/>
      <c r="BM436" s="185"/>
      <c r="BN436" s="185"/>
      <c r="BO436" s="185"/>
      <c r="BP436" s="185"/>
      <c r="BQ436" s="185"/>
      <c r="BR436" s="185"/>
      <c r="BS436" s="185"/>
      <c r="BT436" s="185"/>
      <c r="BU436" t="b">
        <f>IF(_xlfn.MAXIFS(Table1[Sl No],Table1[Category],Table1[[#This Row],[Category]],Table1[Execution Year],Table1[[#This Row],[Execution Year]])=Table1[[#This Row],[Sl No]],TRUE,FALSE)</f>
        <v>0</v>
      </c>
      <c r="BV436" s="201">
        <f>SUM(Table1[[#This Row],[Spend - CAN]:[Spend - Sams]])+SUM(Table1[[#This Row],[Spend - Sams Mexico]:[Spend - Sams China]])+Table1[[#This Row],[Spend - IND]]</f>
        <v>185832899.41</v>
      </c>
      <c r="BW436">
        <f>SUM(Table1[[#This Row],[Savings - CAN]:[Savings - Sams]])+SUM(Table1[[#This Row],[Savings - Sams Mexico]:[Savings - Sams China]])+Table1[[#This Row],[Savings - IND]]</f>
        <v>0</v>
      </c>
      <c r="BX436">
        <f>SUM(Table1[[#This Row],[Spend - CAN]:[Spend - SAF]])+SUM(Table1[[#This Row],[Spend - Sams Mexico]:[Spend - Sams China]])+Table1[[#This Row],[Spend - IND]]</f>
        <v>49832899.409999996</v>
      </c>
      <c r="BY436">
        <f>SUM(Table1[[#This Row],[Savings - CAN]:[Savings - SAF]])+SUM(Table1[[#This Row],[Savings - Sams Mexico]:[Savings - Sams China]])+Table1[[#This Row],[Savings - IND]]</f>
        <v>0</v>
      </c>
      <c r="BZ436">
        <f>SUM(Table1[[#This Row],[Spend - US]:[Spend - Sams]])</f>
        <v>136000000</v>
      </c>
      <c r="CA436">
        <f>SUM(Table1[[#This Row],[Savings - US]:[Savings - Sams]])</f>
        <v>0</v>
      </c>
      <c r="CB436">
        <f>SUM(Table1[[#This Row],[Cost Avoidance - CAN2]:[Cost Avoidance - SAF10]])+SUM(Table1[[#This Row],[Cost Avoidance - Sams Mexico]:[Cost Avoidance - Sams China]])+Table1[[#This Row],[Cost Avoidance - IND]]</f>
        <v>0</v>
      </c>
      <c r="CC436">
        <f>SUM(Table1[[#This Row],[Cost Avoidance - US11]:[Cost Avoidance - Sams12]])</f>
        <v>0</v>
      </c>
      <c r="CD436" t="str">
        <f>_xlfn.XLOOKUP(Table1[[#This Row],[Status]],Status_Lookups[Status],Status_Lookups[Value],"")</f>
        <v/>
      </c>
    </row>
    <row r="437" spans="1:82">
      <c r="A437">
        <v>4</v>
      </c>
      <c r="B437" t="s">
        <v>80</v>
      </c>
      <c r="C437" t="s">
        <v>43</v>
      </c>
      <c r="D437" t="s">
        <v>39</v>
      </c>
      <c r="E437" s="15">
        <v>44317</v>
      </c>
      <c r="F437" s="15">
        <v>44408</v>
      </c>
      <c r="G437" s="15"/>
      <c r="H437" s="15"/>
      <c r="I437" t="s">
        <v>625</v>
      </c>
      <c r="J437" t="s">
        <v>626</v>
      </c>
      <c r="K437" t="s">
        <v>445</v>
      </c>
      <c r="L437">
        <v>0</v>
      </c>
      <c r="M437">
        <v>84225955.339999974</v>
      </c>
      <c r="N437">
        <v>57984833.409999996</v>
      </c>
      <c r="O437">
        <v>7279244.290000001</v>
      </c>
      <c r="P437">
        <v>16721142.559999999</v>
      </c>
      <c r="Q437">
        <v>5436428.0299999993</v>
      </c>
      <c r="R437">
        <v>641520.58000000007</v>
      </c>
      <c r="S437">
        <v>191721.52000000002</v>
      </c>
      <c r="T437">
        <v>158087119.16</v>
      </c>
      <c r="U437">
        <v>0</v>
      </c>
      <c r="V437">
        <v>136000000</v>
      </c>
      <c r="W437">
        <v>0</v>
      </c>
      <c r="X437" t="s">
        <v>78</v>
      </c>
      <c r="Y437" s="16">
        <v>44291.626163194444</v>
      </c>
      <c r="Z437" s="17" t="str">
        <f>_xlfn.XLOOKUP(Table1[[#This Row],[Phase]],'Lookup tables'!$Y$27:$Y$60,'Lookup tables'!$Z$27:$Z$60,"Not Updated")</f>
        <v>Proposed</v>
      </c>
      <c r="AA437" s="17" t="s">
        <v>702</v>
      </c>
      <c r="AB437">
        <v>0</v>
      </c>
      <c r="AC437">
        <v>0</v>
      </c>
      <c r="AD437">
        <v>0</v>
      </c>
      <c r="AE437">
        <v>0</v>
      </c>
      <c r="AF437">
        <v>0</v>
      </c>
      <c r="AG437">
        <v>0</v>
      </c>
      <c r="AH437">
        <v>0</v>
      </c>
      <c r="AI437">
        <v>0</v>
      </c>
      <c r="AJ437">
        <v>0</v>
      </c>
      <c r="AK437">
        <v>0</v>
      </c>
      <c r="AL437">
        <v>0</v>
      </c>
      <c r="AM437">
        <v>0</v>
      </c>
      <c r="AN437">
        <v>0</v>
      </c>
      <c r="AO437">
        <v>0</v>
      </c>
      <c r="AP437">
        <v>0</v>
      </c>
      <c r="AQ437">
        <v>0</v>
      </c>
      <c r="AR437">
        <v>0</v>
      </c>
      <c r="AS437">
        <v>0</v>
      </c>
      <c r="AT437">
        <v>0</v>
      </c>
      <c r="AU437">
        <v>0</v>
      </c>
      <c r="AV437">
        <v>0</v>
      </c>
      <c r="AW437">
        <v>0</v>
      </c>
      <c r="BG437" s="185"/>
      <c r="BH437" s="185"/>
      <c r="BI437" s="185"/>
      <c r="BJ437" s="185"/>
      <c r="BK437" s="185"/>
      <c r="BL437" s="185"/>
      <c r="BM437" s="185"/>
      <c r="BN437" s="185"/>
      <c r="BO437" s="185"/>
      <c r="BP437" s="185"/>
      <c r="BQ437" s="185"/>
      <c r="BR437" s="185"/>
      <c r="BS437" s="185"/>
      <c r="BT437" s="185"/>
      <c r="BU437" t="b">
        <f>IF(_xlfn.MAXIFS(Table1[Sl No],Table1[Category],Table1[[#This Row],[Category]],Table1[Execution Year],Table1[[#This Row],[Execution Year]])=Table1[[#This Row],[Sl No]],TRUE,FALSE)</f>
        <v>0</v>
      </c>
      <c r="BV437" s="201">
        <f>SUM(Table1[[#This Row],[Spend - CAN]:[Spend - Sams]])+SUM(Table1[[#This Row],[Spend - Sams Mexico]:[Spend - Sams China]])+Table1[[#This Row],[Spend - IND]]</f>
        <v>466567964.88999999</v>
      </c>
      <c r="BW437">
        <f>SUM(Table1[[#This Row],[Savings - CAN]:[Savings - Sams]])+SUM(Table1[[#This Row],[Savings - Sams Mexico]:[Savings - Sams China]])+Table1[[#This Row],[Savings - IND]]</f>
        <v>0</v>
      </c>
      <c r="BX437">
        <f>SUM(Table1[[#This Row],[Spend - CAN]:[Spend - SAF]])+SUM(Table1[[#This Row],[Spend - Sams Mexico]:[Spend - Sams China]])+Table1[[#This Row],[Spend - IND]]</f>
        <v>330567964.88999999</v>
      </c>
      <c r="BY437">
        <f>SUM(Table1[[#This Row],[Savings - CAN]:[Savings - SAF]])+SUM(Table1[[#This Row],[Savings - Sams Mexico]:[Savings - Sams China]])+Table1[[#This Row],[Savings - IND]]</f>
        <v>0</v>
      </c>
      <c r="BZ437">
        <f>SUM(Table1[[#This Row],[Spend - US]:[Spend - Sams]])</f>
        <v>136000000</v>
      </c>
      <c r="CA437">
        <f>SUM(Table1[[#This Row],[Savings - US]:[Savings - Sams]])</f>
        <v>0</v>
      </c>
      <c r="CB437">
        <f>SUM(Table1[[#This Row],[Cost Avoidance - CAN2]:[Cost Avoidance - SAF10]])+SUM(Table1[[#This Row],[Cost Avoidance - Sams Mexico]:[Cost Avoidance - Sams China]])+Table1[[#This Row],[Cost Avoidance - IND]]</f>
        <v>0</v>
      </c>
      <c r="CC437">
        <f>SUM(Table1[[#This Row],[Cost Avoidance - US11]:[Cost Avoidance - Sams12]])</f>
        <v>0</v>
      </c>
      <c r="CD437" t="str">
        <f>_xlfn.XLOOKUP(Table1[[#This Row],[Status]],Status_Lookups[Status],Status_Lookups[Value],"")</f>
        <v/>
      </c>
    </row>
    <row r="438" spans="1:82">
      <c r="A438">
        <v>5</v>
      </c>
      <c r="B438" t="s">
        <v>80</v>
      </c>
      <c r="C438" t="s">
        <v>43</v>
      </c>
      <c r="D438" t="s">
        <v>39</v>
      </c>
      <c r="E438" s="15">
        <v>44317</v>
      </c>
      <c r="F438" s="15">
        <v>44408</v>
      </c>
      <c r="G438" s="15"/>
      <c r="H438" s="15"/>
      <c r="I438" t="s">
        <v>484</v>
      </c>
      <c r="J438" t="s">
        <v>459</v>
      </c>
      <c r="K438" t="s">
        <v>445</v>
      </c>
      <c r="L438">
        <v>0</v>
      </c>
      <c r="M438">
        <v>84225955.339999974</v>
      </c>
      <c r="N438">
        <v>57984833.409999996</v>
      </c>
      <c r="O438">
        <v>7279244.290000001</v>
      </c>
      <c r="P438">
        <v>16721142.559999999</v>
      </c>
      <c r="Q438">
        <v>5436428.0299999993</v>
      </c>
      <c r="R438">
        <v>641520.58000000007</v>
      </c>
      <c r="S438">
        <v>191721.52000000002</v>
      </c>
      <c r="T438">
        <v>158087119.16</v>
      </c>
      <c r="U438">
        <v>0</v>
      </c>
      <c r="V438">
        <v>136000000</v>
      </c>
      <c r="W438">
        <v>0</v>
      </c>
      <c r="X438" t="s">
        <v>78</v>
      </c>
      <c r="Y438" s="16">
        <v>44301.59257847222</v>
      </c>
      <c r="Z438" s="17" t="str">
        <f>_xlfn.XLOOKUP(Table1[[#This Row],[Phase]],'Lookup tables'!$Y$27:$Y$60,'Lookup tables'!$Z$27:$Z$60,"Not Updated")</f>
        <v>Bid Prep</v>
      </c>
      <c r="AA438" s="17" t="s">
        <v>702</v>
      </c>
      <c r="AB438">
        <v>0</v>
      </c>
      <c r="AC438">
        <v>0</v>
      </c>
      <c r="AD438">
        <v>0</v>
      </c>
      <c r="AE438">
        <v>0</v>
      </c>
      <c r="AF438">
        <v>0</v>
      </c>
      <c r="AG438">
        <v>0</v>
      </c>
      <c r="AH438">
        <v>0</v>
      </c>
      <c r="AI438">
        <v>0</v>
      </c>
      <c r="AJ438">
        <v>0</v>
      </c>
      <c r="AK438">
        <v>0</v>
      </c>
      <c r="AL438">
        <v>0</v>
      </c>
      <c r="AM438">
        <v>0</v>
      </c>
      <c r="AN438">
        <v>0</v>
      </c>
      <c r="AO438">
        <v>0</v>
      </c>
      <c r="AP438">
        <v>0</v>
      </c>
      <c r="AQ438">
        <v>0</v>
      </c>
      <c r="AR438">
        <v>0</v>
      </c>
      <c r="AS438">
        <v>0</v>
      </c>
      <c r="AT438">
        <v>0</v>
      </c>
      <c r="AU438">
        <v>0</v>
      </c>
      <c r="AV438">
        <v>0</v>
      </c>
      <c r="AW438">
        <v>0</v>
      </c>
      <c r="BG438" s="185"/>
      <c r="BH438" s="185"/>
      <c r="BI438" s="185"/>
      <c r="BJ438" s="185"/>
      <c r="BK438" s="185"/>
      <c r="BL438" s="185"/>
      <c r="BM438" s="185"/>
      <c r="BN438" s="185"/>
      <c r="BO438" s="185"/>
      <c r="BP438" s="185"/>
      <c r="BQ438" s="185"/>
      <c r="BR438" s="185"/>
      <c r="BS438" s="185"/>
      <c r="BT438" s="185"/>
      <c r="BU438" t="b">
        <f>IF(_xlfn.MAXIFS(Table1[Sl No],Table1[Category],Table1[[#This Row],[Category]],Table1[Execution Year],Table1[[#This Row],[Execution Year]])=Table1[[#This Row],[Sl No]],TRUE,FALSE)</f>
        <v>0</v>
      </c>
      <c r="BV438" s="201">
        <f>SUM(Table1[[#This Row],[Spend - CAN]:[Spend - Sams]])+SUM(Table1[[#This Row],[Spend - Sams Mexico]:[Spend - Sams China]])+Table1[[#This Row],[Spend - IND]]</f>
        <v>466567964.88999999</v>
      </c>
      <c r="BW438">
        <f>SUM(Table1[[#This Row],[Savings - CAN]:[Savings - Sams]])+SUM(Table1[[#This Row],[Savings - Sams Mexico]:[Savings - Sams China]])+Table1[[#This Row],[Savings - IND]]</f>
        <v>0</v>
      </c>
      <c r="BX438">
        <f>SUM(Table1[[#This Row],[Spend - CAN]:[Spend - SAF]])+SUM(Table1[[#This Row],[Spend - Sams Mexico]:[Spend - Sams China]])+Table1[[#This Row],[Spend - IND]]</f>
        <v>330567964.88999999</v>
      </c>
      <c r="BY438">
        <f>SUM(Table1[[#This Row],[Savings - CAN]:[Savings - SAF]])+SUM(Table1[[#This Row],[Savings - Sams Mexico]:[Savings - Sams China]])+Table1[[#This Row],[Savings - IND]]</f>
        <v>0</v>
      </c>
      <c r="BZ438">
        <f>SUM(Table1[[#This Row],[Spend - US]:[Spend - Sams]])</f>
        <v>136000000</v>
      </c>
      <c r="CA438">
        <f>SUM(Table1[[#This Row],[Savings - US]:[Savings - Sams]])</f>
        <v>0</v>
      </c>
      <c r="CB438">
        <f>SUM(Table1[[#This Row],[Cost Avoidance - CAN2]:[Cost Avoidance - SAF10]])+SUM(Table1[[#This Row],[Cost Avoidance - Sams Mexico]:[Cost Avoidance - Sams China]])+Table1[[#This Row],[Cost Avoidance - IND]]</f>
        <v>0</v>
      </c>
      <c r="CC438">
        <f>SUM(Table1[[#This Row],[Cost Avoidance - US11]:[Cost Avoidance - Sams12]])</f>
        <v>0</v>
      </c>
      <c r="CD438">
        <f>_xlfn.XLOOKUP(Table1[[#This Row],[Status]],Status_Lookups[Status],Status_Lookups[Value],"")</f>
        <v>0.3</v>
      </c>
    </row>
    <row r="439" spans="1:82">
      <c r="A439">
        <v>6</v>
      </c>
      <c r="B439" t="s">
        <v>80</v>
      </c>
      <c r="C439" t="s">
        <v>43</v>
      </c>
      <c r="D439" t="s">
        <v>39</v>
      </c>
      <c r="E439" s="15">
        <v>44317</v>
      </c>
      <c r="F439" s="15">
        <v>44408</v>
      </c>
      <c r="G439" s="15">
        <v>0</v>
      </c>
      <c r="H439" s="15">
        <v>0</v>
      </c>
      <c r="I439" t="s">
        <v>484</v>
      </c>
      <c r="J439" t="s">
        <v>459</v>
      </c>
      <c r="K439" t="s">
        <v>445</v>
      </c>
      <c r="L439">
        <v>0</v>
      </c>
      <c r="M439">
        <v>6000000</v>
      </c>
      <c r="N439">
        <v>0</v>
      </c>
      <c r="O439">
        <v>0</v>
      </c>
      <c r="P439">
        <v>0</v>
      </c>
      <c r="Q439">
        <v>0</v>
      </c>
      <c r="R439">
        <v>0</v>
      </c>
      <c r="S439">
        <v>0</v>
      </c>
      <c r="T439">
        <v>0</v>
      </c>
      <c r="U439">
        <v>0</v>
      </c>
      <c r="V439">
        <v>140200000</v>
      </c>
      <c r="W439">
        <v>0</v>
      </c>
      <c r="X439" t="s">
        <v>78</v>
      </c>
      <c r="Y439" s="16">
        <v>44342.483258101849</v>
      </c>
      <c r="Z439" s="17" t="str">
        <f>_xlfn.XLOOKUP(Table1[[#This Row],[Phase]],'Lookup tables'!$Y$27:$Y$60,'Lookup tables'!$Z$27:$Z$60,"Not Updated")</f>
        <v>Bid Prep</v>
      </c>
      <c r="AA439" s="17" t="s">
        <v>703</v>
      </c>
      <c r="AB439">
        <v>0</v>
      </c>
      <c r="AC439">
        <v>0</v>
      </c>
      <c r="AD439">
        <v>0</v>
      </c>
      <c r="AE439">
        <v>0</v>
      </c>
      <c r="AF439">
        <v>0</v>
      </c>
      <c r="AG439">
        <v>0</v>
      </c>
      <c r="AH439">
        <v>0</v>
      </c>
      <c r="AI439">
        <v>0</v>
      </c>
      <c r="AJ439">
        <v>0</v>
      </c>
      <c r="AK439">
        <v>0</v>
      </c>
      <c r="AL439">
        <v>0</v>
      </c>
      <c r="AM439">
        <v>0</v>
      </c>
      <c r="AN439">
        <v>0</v>
      </c>
      <c r="AO439">
        <v>0</v>
      </c>
      <c r="AP439">
        <v>0</v>
      </c>
      <c r="AQ439">
        <v>0</v>
      </c>
      <c r="AR439">
        <v>0</v>
      </c>
      <c r="AS439">
        <v>0</v>
      </c>
      <c r="AT439">
        <v>0</v>
      </c>
      <c r="AU439">
        <v>0</v>
      </c>
      <c r="AV439">
        <v>0</v>
      </c>
      <c r="AW439">
        <v>0</v>
      </c>
      <c r="BG439" s="185"/>
      <c r="BH439" s="185"/>
      <c r="BI439" s="185"/>
      <c r="BJ439" s="185"/>
      <c r="BK439" s="185"/>
      <c r="BL439" s="185"/>
      <c r="BM439" s="185"/>
      <c r="BN439" s="185"/>
      <c r="BO439" s="185"/>
      <c r="BP439" s="185"/>
      <c r="BQ439" s="185"/>
      <c r="BR439" s="185"/>
      <c r="BS439" s="185"/>
      <c r="BT439" s="185"/>
      <c r="BU439" t="b">
        <f>IF(_xlfn.MAXIFS(Table1[Sl No],Table1[Category],Table1[[#This Row],[Category]],Table1[Execution Year],Table1[[#This Row],[Execution Year]])=Table1[[#This Row],[Sl No]],TRUE,FALSE)</f>
        <v>0</v>
      </c>
      <c r="BV439" s="201">
        <f>SUM(Table1[[#This Row],[Spend - CAN]:[Spend - Sams]])+SUM(Table1[[#This Row],[Spend - Sams Mexico]:[Spend - Sams China]])+Table1[[#This Row],[Spend - IND]]</f>
        <v>146200000</v>
      </c>
      <c r="BW439">
        <f>SUM(Table1[[#This Row],[Savings - CAN]:[Savings - Sams]])+SUM(Table1[[#This Row],[Savings - Sams Mexico]:[Savings - Sams China]])+Table1[[#This Row],[Savings - IND]]</f>
        <v>0</v>
      </c>
      <c r="BX439">
        <f>SUM(Table1[[#This Row],[Spend - CAN]:[Spend - SAF]])+SUM(Table1[[#This Row],[Spend - Sams Mexico]:[Spend - Sams China]])+Table1[[#This Row],[Spend - IND]]</f>
        <v>6000000</v>
      </c>
      <c r="BY439">
        <f>SUM(Table1[[#This Row],[Savings - CAN]:[Savings - SAF]])+SUM(Table1[[#This Row],[Savings - Sams Mexico]:[Savings - Sams China]])+Table1[[#This Row],[Savings - IND]]</f>
        <v>0</v>
      </c>
      <c r="BZ439">
        <f>SUM(Table1[[#This Row],[Spend - US]:[Spend - Sams]])</f>
        <v>140200000</v>
      </c>
      <c r="CA439">
        <f>SUM(Table1[[#This Row],[Savings - US]:[Savings - Sams]])</f>
        <v>0</v>
      </c>
      <c r="CB439">
        <f>SUM(Table1[[#This Row],[Cost Avoidance - CAN2]:[Cost Avoidance - SAF10]])+SUM(Table1[[#This Row],[Cost Avoidance - Sams Mexico]:[Cost Avoidance - Sams China]])+Table1[[#This Row],[Cost Avoidance - IND]]</f>
        <v>0</v>
      </c>
      <c r="CC439">
        <f>SUM(Table1[[#This Row],[Cost Avoidance - US11]:[Cost Avoidance - Sams12]])</f>
        <v>0</v>
      </c>
      <c r="CD439">
        <f>_xlfn.XLOOKUP(Table1[[#This Row],[Status]],Status_Lookups[Status],Status_Lookups[Value],"")</f>
        <v>0.3</v>
      </c>
    </row>
    <row r="440" spans="1:82">
      <c r="A440">
        <v>7</v>
      </c>
      <c r="B440" t="s">
        <v>80</v>
      </c>
      <c r="C440" t="s">
        <v>43</v>
      </c>
      <c r="D440" t="s">
        <v>39</v>
      </c>
      <c r="E440" s="15">
        <v>44348</v>
      </c>
      <c r="F440" s="15">
        <v>44470</v>
      </c>
      <c r="G440" s="15">
        <v>0</v>
      </c>
      <c r="H440" s="15">
        <v>0</v>
      </c>
      <c r="I440" t="s">
        <v>484</v>
      </c>
      <c r="J440" t="s">
        <v>459</v>
      </c>
      <c r="K440" t="s">
        <v>445</v>
      </c>
      <c r="L440">
        <v>0</v>
      </c>
      <c r="M440">
        <v>6000000</v>
      </c>
      <c r="N440">
        <v>0</v>
      </c>
      <c r="O440">
        <v>0</v>
      </c>
      <c r="P440">
        <v>0</v>
      </c>
      <c r="Q440">
        <v>0</v>
      </c>
      <c r="R440">
        <v>0</v>
      </c>
      <c r="S440">
        <v>0</v>
      </c>
      <c r="T440">
        <v>0</v>
      </c>
      <c r="U440">
        <v>0</v>
      </c>
      <c r="V440">
        <v>140200000</v>
      </c>
      <c r="W440">
        <v>0</v>
      </c>
      <c r="X440" t="s">
        <v>78</v>
      </c>
      <c r="Y440" s="16">
        <v>44384.691827314811</v>
      </c>
      <c r="Z440" s="17" t="str">
        <f>_xlfn.XLOOKUP(Table1[[#This Row],[Phase]],'Lookup tables'!$Y$27:$Y$60,'Lookup tables'!$Z$27:$Z$60,"Not Updated")</f>
        <v>Bid Prep</v>
      </c>
      <c r="AA440" s="17" t="s">
        <v>703</v>
      </c>
      <c r="AB440">
        <v>0</v>
      </c>
      <c r="AC440">
        <v>0</v>
      </c>
      <c r="AD440">
        <v>0</v>
      </c>
      <c r="AE440">
        <v>0</v>
      </c>
      <c r="AF440">
        <v>0</v>
      </c>
      <c r="AG440">
        <v>0</v>
      </c>
      <c r="AH440">
        <v>0</v>
      </c>
      <c r="AI440">
        <v>0</v>
      </c>
      <c r="AJ440">
        <v>0</v>
      </c>
      <c r="AK440">
        <v>0</v>
      </c>
      <c r="AL440">
        <v>0</v>
      </c>
      <c r="AM440">
        <v>0</v>
      </c>
      <c r="AN440">
        <v>0</v>
      </c>
      <c r="AO440">
        <v>0</v>
      </c>
      <c r="AP440">
        <v>0</v>
      </c>
      <c r="AQ440">
        <v>0</v>
      </c>
      <c r="AR440">
        <v>0</v>
      </c>
      <c r="AS440">
        <v>0</v>
      </c>
      <c r="AT440">
        <v>0</v>
      </c>
      <c r="AU440">
        <v>0</v>
      </c>
      <c r="AV440">
        <v>0</v>
      </c>
      <c r="AW440">
        <v>0</v>
      </c>
      <c r="BG440" s="185"/>
      <c r="BH440" s="185"/>
      <c r="BI440" s="185"/>
      <c r="BJ440" s="185"/>
      <c r="BK440" s="185"/>
      <c r="BL440" s="185"/>
      <c r="BM440" s="185"/>
      <c r="BN440" s="185"/>
      <c r="BO440" s="185"/>
      <c r="BP440" s="185"/>
      <c r="BQ440" s="185"/>
      <c r="BR440" s="185"/>
      <c r="BS440" s="185"/>
      <c r="BT440" s="185"/>
      <c r="BU440" t="b">
        <f>IF(_xlfn.MAXIFS(Table1[Sl No],Table1[Category],Table1[[#This Row],[Category]],Table1[Execution Year],Table1[[#This Row],[Execution Year]])=Table1[[#This Row],[Sl No]],TRUE,FALSE)</f>
        <v>0</v>
      </c>
      <c r="BV440" s="201">
        <f>SUM(Table1[[#This Row],[Spend - CAN]:[Spend - Sams]])+SUM(Table1[[#This Row],[Spend - Sams Mexico]:[Spend - Sams China]])+Table1[[#This Row],[Spend - IND]]</f>
        <v>146200000</v>
      </c>
      <c r="BW440">
        <f>SUM(Table1[[#This Row],[Savings - CAN]:[Savings - Sams]])+SUM(Table1[[#This Row],[Savings - Sams Mexico]:[Savings - Sams China]])+Table1[[#This Row],[Savings - IND]]</f>
        <v>0</v>
      </c>
      <c r="BX440">
        <f>SUM(Table1[[#This Row],[Spend - CAN]:[Spend - SAF]])+SUM(Table1[[#This Row],[Spend - Sams Mexico]:[Spend - Sams China]])+Table1[[#This Row],[Spend - IND]]</f>
        <v>6000000</v>
      </c>
      <c r="BY440">
        <f>SUM(Table1[[#This Row],[Savings - CAN]:[Savings - SAF]])+SUM(Table1[[#This Row],[Savings - Sams Mexico]:[Savings - Sams China]])+Table1[[#This Row],[Savings - IND]]</f>
        <v>0</v>
      </c>
      <c r="BZ440">
        <f>SUM(Table1[[#This Row],[Spend - US]:[Spend - Sams]])</f>
        <v>140200000</v>
      </c>
      <c r="CA440">
        <f>SUM(Table1[[#This Row],[Savings - US]:[Savings - Sams]])</f>
        <v>0</v>
      </c>
      <c r="CB440">
        <f>SUM(Table1[[#This Row],[Cost Avoidance - CAN2]:[Cost Avoidance - SAF10]])+SUM(Table1[[#This Row],[Cost Avoidance - Sams Mexico]:[Cost Avoidance - Sams China]])+Table1[[#This Row],[Cost Avoidance - IND]]</f>
        <v>0</v>
      </c>
      <c r="CC440">
        <f>SUM(Table1[[#This Row],[Cost Avoidance - US11]:[Cost Avoidance - Sams12]])</f>
        <v>0</v>
      </c>
      <c r="CD440">
        <f>_xlfn.XLOOKUP(Table1[[#This Row],[Status]],Status_Lookups[Status],Status_Lookups[Value],"")</f>
        <v>0.3</v>
      </c>
    </row>
    <row r="441" spans="1:82">
      <c r="A441">
        <v>8</v>
      </c>
      <c r="B441" t="s">
        <v>80</v>
      </c>
      <c r="C441" t="s">
        <v>43</v>
      </c>
      <c r="D441" t="s">
        <v>39</v>
      </c>
      <c r="E441" s="15">
        <v>44378</v>
      </c>
      <c r="F441" s="15">
        <v>44470</v>
      </c>
      <c r="G441" s="15">
        <v>0</v>
      </c>
      <c r="H441" s="15">
        <v>0</v>
      </c>
      <c r="I441" t="s">
        <v>484</v>
      </c>
      <c r="J441" t="s">
        <v>459</v>
      </c>
      <c r="K441" t="s">
        <v>445</v>
      </c>
      <c r="L441">
        <v>0</v>
      </c>
      <c r="M441">
        <v>6000000</v>
      </c>
      <c r="N441">
        <v>0</v>
      </c>
      <c r="O441">
        <v>0</v>
      </c>
      <c r="P441">
        <v>0</v>
      </c>
      <c r="Q441">
        <v>0</v>
      </c>
      <c r="R441">
        <v>0</v>
      </c>
      <c r="S441">
        <v>0</v>
      </c>
      <c r="T441">
        <v>0</v>
      </c>
      <c r="U441">
        <v>0</v>
      </c>
      <c r="V441">
        <v>140200000</v>
      </c>
      <c r="W441">
        <v>0</v>
      </c>
      <c r="X441" t="s">
        <v>78</v>
      </c>
      <c r="Y441" s="16">
        <v>44384.693773379629</v>
      </c>
      <c r="Z441" s="17" t="str">
        <f>_xlfn.XLOOKUP(Table1[[#This Row],[Phase]],'Lookup tables'!$Y$27:$Y$60,'Lookup tables'!$Z$27:$Z$60,"Not Updated")</f>
        <v>Bid Prep</v>
      </c>
      <c r="AA441" s="17" t="s">
        <v>703</v>
      </c>
      <c r="AB441">
        <v>0</v>
      </c>
      <c r="AC441">
        <v>0</v>
      </c>
      <c r="AD441">
        <v>0</v>
      </c>
      <c r="AE441">
        <v>0</v>
      </c>
      <c r="AF441">
        <v>0</v>
      </c>
      <c r="AG441">
        <v>0</v>
      </c>
      <c r="AH441">
        <v>0</v>
      </c>
      <c r="AI441">
        <v>0</v>
      </c>
      <c r="AJ441">
        <v>0</v>
      </c>
      <c r="AK441">
        <v>0</v>
      </c>
      <c r="AL441">
        <v>0</v>
      </c>
      <c r="AM441">
        <v>0</v>
      </c>
      <c r="AN441">
        <v>0</v>
      </c>
      <c r="AO441">
        <v>0</v>
      </c>
      <c r="AP441">
        <v>0</v>
      </c>
      <c r="AQ441">
        <v>0</v>
      </c>
      <c r="AR441">
        <v>0</v>
      </c>
      <c r="AS441">
        <v>0</v>
      </c>
      <c r="AT441">
        <v>0</v>
      </c>
      <c r="AU441">
        <v>0</v>
      </c>
      <c r="AV441">
        <v>0</v>
      </c>
      <c r="AW441">
        <v>0</v>
      </c>
      <c r="BG441" s="185"/>
      <c r="BH441" s="185"/>
      <c r="BI441" s="185"/>
      <c r="BJ441" s="185"/>
      <c r="BK441" s="185"/>
      <c r="BL441" s="185"/>
      <c r="BM441" s="185"/>
      <c r="BN441" s="185"/>
      <c r="BO441" s="185"/>
      <c r="BP441" s="185"/>
      <c r="BQ441" s="185"/>
      <c r="BR441" s="185"/>
      <c r="BS441" s="185"/>
      <c r="BT441" s="185"/>
      <c r="BU441" t="b">
        <f>IF(_xlfn.MAXIFS(Table1[Sl No],Table1[Category],Table1[[#This Row],[Category]],Table1[Execution Year],Table1[[#This Row],[Execution Year]])=Table1[[#This Row],[Sl No]],TRUE,FALSE)</f>
        <v>0</v>
      </c>
      <c r="BV441" s="201">
        <f>SUM(Table1[[#This Row],[Spend - CAN]:[Spend - Sams]])+SUM(Table1[[#This Row],[Spend - Sams Mexico]:[Spend - Sams China]])+Table1[[#This Row],[Spend - IND]]</f>
        <v>146200000</v>
      </c>
      <c r="BW441">
        <f>SUM(Table1[[#This Row],[Savings - CAN]:[Savings - Sams]])+SUM(Table1[[#This Row],[Savings - Sams Mexico]:[Savings - Sams China]])+Table1[[#This Row],[Savings - IND]]</f>
        <v>0</v>
      </c>
      <c r="BX441">
        <f>SUM(Table1[[#This Row],[Spend - CAN]:[Spend - SAF]])+SUM(Table1[[#This Row],[Spend - Sams Mexico]:[Spend - Sams China]])+Table1[[#This Row],[Spend - IND]]</f>
        <v>6000000</v>
      </c>
      <c r="BY441">
        <f>SUM(Table1[[#This Row],[Savings - CAN]:[Savings - SAF]])+SUM(Table1[[#This Row],[Savings - Sams Mexico]:[Savings - Sams China]])+Table1[[#This Row],[Savings - IND]]</f>
        <v>0</v>
      </c>
      <c r="BZ441">
        <f>SUM(Table1[[#This Row],[Spend - US]:[Spend - Sams]])</f>
        <v>140200000</v>
      </c>
      <c r="CA441">
        <f>SUM(Table1[[#This Row],[Savings - US]:[Savings - Sams]])</f>
        <v>0</v>
      </c>
      <c r="CB441">
        <f>SUM(Table1[[#This Row],[Cost Avoidance - CAN2]:[Cost Avoidance - SAF10]])+SUM(Table1[[#This Row],[Cost Avoidance - Sams Mexico]:[Cost Avoidance - Sams China]])+Table1[[#This Row],[Cost Avoidance - IND]]</f>
        <v>0</v>
      </c>
      <c r="CC441">
        <f>SUM(Table1[[#This Row],[Cost Avoidance - US11]:[Cost Avoidance - Sams12]])</f>
        <v>0</v>
      </c>
      <c r="CD441">
        <f>_xlfn.XLOOKUP(Table1[[#This Row],[Status]],Status_Lookups[Status],Status_Lookups[Value],"")</f>
        <v>0.3</v>
      </c>
    </row>
    <row r="442" spans="1:82">
      <c r="A442">
        <v>9</v>
      </c>
      <c r="B442" t="s">
        <v>80</v>
      </c>
      <c r="C442" t="s">
        <v>43</v>
      </c>
      <c r="D442" t="s">
        <v>39</v>
      </c>
      <c r="E442" s="15">
        <v>44348</v>
      </c>
      <c r="F442" s="15">
        <v>44530</v>
      </c>
      <c r="G442" s="15">
        <v>0</v>
      </c>
      <c r="H442" s="15">
        <v>0</v>
      </c>
      <c r="I442" t="s">
        <v>484</v>
      </c>
      <c r="J442" t="s">
        <v>459</v>
      </c>
      <c r="K442" t="s">
        <v>445</v>
      </c>
      <c r="L442">
        <v>0</v>
      </c>
      <c r="M442">
        <v>6000000</v>
      </c>
      <c r="N442">
        <v>0</v>
      </c>
      <c r="O442">
        <v>0</v>
      </c>
      <c r="P442">
        <v>0</v>
      </c>
      <c r="Q442">
        <v>0</v>
      </c>
      <c r="R442">
        <v>0</v>
      </c>
      <c r="S442">
        <v>0</v>
      </c>
      <c r="T442">
        <v>0</v>
      </c>
      <c r="U442">
        <v>0</v>
      </c>
      <c r="V442">
        <v>140200000</v>
      </c>
      <c r="W442">
        <v>0</v>
      </c>
      <c r="X442" t="s">
        <v>78</v>
      </c>
      <c r="Y442" s="16">
        <v>44502.436783912039</v>
      </c>
      <c r="Z442" s="17" t="str">
        <f>_xlfn.XLOOKUP(Table1[[#This Row],[Phase]],'Lookup tables'!$Y$27:$Y$60,'Lookup tables'!$Z$27:$Z$60,"Not Updated")</f>
        <v>Bid Prep</v>
      </c>
      <c r="AA442" s="17" t="s">
        <v>703</v>
      </c>
      <c r="AB442">
        <v>0</v>
      </c>
      <c r="AC442">
        <v>0</v>
      </c>
      <c r="AD442">
        <v>0</v>
      </c>
      <c r="AE442">
        <v>0</v>
      </c>
      <c r="AF442">
        <v>0</v>
      </c>
      <c r="AG442">
        <v>0</v>
      </c>
      <c r="AH442">
        <v>0</v>
      </c>
      <c r="AI442">
        <v>0</v>
      </c>
      <c r="AJ442">
        <v>0</v>
      </c>
      <c r="AK442">
        <v>0</v>
      </c>
      <c r="AL442">
        <v>0</v>
      </c>
      <c r="AM442">
        <v>0</v>
      </c>
      <c r="AN442">
        <v>0</v>
      </c>
      <c r="AO442">
        <v>0</v>
      </c>
      <c r="AP442">
        <v>0</v>
      </c>
      <c r="AQ442">
        <v>0</v>
      </c>
      <c r="AR442">
        <v>0</v>
      </c>
      <c r="AS442">
        <v>0</v>
      </c>
      <c r="AT442">
        <v>0</v>
      </c>
      <c r="AU442">
        <v>0</v>
      </c>
      <c r="AV442">
        <v>0</v>
      </c>
      <c r="AW442">
        <v>0</v>
      </c>
      <c r="BG442" s="185"/>
      <c r="BH442" s="185"/>
      <c r="BI442" s="185"/>
      <c r="BJ442" s="185"/>
      <c r="BK442" s="185"/>
      <c r="BL442" s="185"/>
      <c r="BM442" s="185"/>
      <c r="BN442" s="185"/>
      <c r="BO442" s="185"/>
      <c r="BP442" s="185"/>
      <c r="BQ442" s="185"/>
      <c r="BR442" s="185"/>
      <c r="BS442" s="185"/>
      <c r="BT442" s="185"/>
      <c r="BU442" t="b">
        <f>IF(_xlfn.MAXIFS(Table1[Sl No],Table1[Category],Table1[[#This Row],[Category]],Table1[Execution Year],Table1[[#This Row],[Execution Year]])=Table1[[#This Row],[Sl No]],TRUE,FALSE)</f>
        <v>0</v>
      </c>
      <c r="BV442" s="201">
        <f>SUM(Table1[[#This Row],[Spend - CAN]:[Spend - Sams]])+SUM(Table1[[#This Row],[Spend - Sams Mexico]:[Spend - Sams China]])+Table1[[#This Row],[Spend - IND]]</f>
        <v>146200000</v>
      </c>
      <c r="BW442">
        <f>SUM(Table1[[#This Row],[Savings - CAN]:[Savings - Sams]])+SUM(Table1[[#This Row],[Savings - Sams Mexico]:[Savings - Sams China]])+Table1[[#This Row],[Savings - IND]]</f>
        <v>0</v>
      </c>
      <c r="BX442">
        <f>SUM(Table1[[#This Row],[Spend - CAN]:[Spend - SAF]])+SUM(Table1[[#This Row],[Spend - Sams Mexico]:[Spend - Sams China]])+Table1[[#This Row],[Spend - IND]]</f>
        <v>6000000</v>
      </c>
      <c r="BY442">
        <f>SUM(Table1[[#This Row],[Savings - CAN]:[Savings - SAF]])+SUM(Table1[[#This Row],[Savings - Sams Mexico]:[Savings - Sams China]])+Table1[[#This Row],[Savings - IND]]</f>
        <v>0</v>
      </c>
      <c r="BZ442">
        <f>SUM(Table1[[#This Row],[Spend - US]:[Spend - Sams]])</f>
        <v>140200000</v>
      </c>
      <c r="CA442">
        <f>SUM(Table1[[#This Row],[Savings - US]:[Savings - Sams]])</f>
        <v>0</v>
      </c>
      <c r="CB442">
        <f>SUM(Table1[[#This Row],[Cost Avoidance - CAN2]:[Cost Avoidance - SAF10]])+SUM(Table1[[#This Row],[Cost Avoidance - Sams Mexico]:[Cost Avoidance - Sams China]])+Table1[[#This Row],[Cost Avoidance - IND]]</f>
        <v>0</v>
      </c>
      <c r="CC442">
        <f>SUM(Table1[[#This Row],[Cost Avoidance - US11]:[Cost Avoidance - Sams12]])</f>
        <v>0</v>
      </c>
      <c r="CD442">
        <f>_xlfn.XLOOKUP(Table1[[#This Row],[Status]],Status_Lookups[Status],Status_Lookups[Value],"")</f>
        <v>0.3</v>
      </c>
    </row>
    <row r="443" spans="1:82">
      <c r="A443">
        <v>10</v>
      </c>
      <c r="B443" t="s">
        <v>80</v>
      </c>
      <c r="C443" t="s">
        <v>43</v>
      </c>
      <c r="D443" t="s">
        <v>39</v>
      </c>
      <c r="E443" s="15">
        <v>44348</v>
      </c>
      <c r="F443" s="15">
        <v>44530</v>
      </c>
      <c r="G443" s="15">
        <v>0</v>
      </c>
      <c r="H443" s="15">
        <v>0</v>
      </c>
      <c r="I443" t="s">
        <v>449</v>
      </c>
      <c r="J443" t="s">
        <v>444</v>
      </c>
      <c r="K443" t="s">
        <v>445</v>
      </c>
      <c r="L443">
        <v>0</v>
      </c>
      <c r="M443">
        <v>6000000</v>
      </c>
      <c r="N443">
        <v>0</v>
      </c>
      <c r="O443">
        <v>0</v>
      </c>
      <c r="P443">
        <v>0</v>
      </c>
      <c r="Q443">
        <v>0</v>
      </c>
      <c r="R443">
        <v>0</v>
      </c>
      <c r="S443">
        <v>0</v>
      </c>
      <c r="T443">
        <v>0</v>
      </c>
      <c r="U443">
        <v>0</v>
      </c>
      <c r="V443">
        <v>140200000</v>
      </c>
      <c r="W443">
        <v>0</v>
      </c>
      <c r="X443" t="s">
        <v>78</v>
      </c>
      <c r="Y443" s="16">
        <v>44622.343582175927</v>
      </c>
      <c r="Z443" s="17" t="str">
        <f>_xlfn.XLOOKUP(Table1[[#This Row],[Phase]],'Lookup tables'!$Y$27:$Y$60,'Lookup tables'!$Z$27:$Z$60,"Not Updated")</f>
        <v>Cancelled</v>
      </c>
      <c r="AA443" s="17" t="s">
        <v>703</v>
      </c>
      <c r="AB443">
        <v>0</v>
      </c>
      <c r="AC443">
        <v>0</v>
      </c>
      <c r="AD443">
        <v>0</v>
      </c>
      <c r="AE443">
        <v>0</v>
      </c>
      <c r="AF443">
        <v>0</v>
      </c>
      <c r="AG443">
        <v>0</v>
      </c>
      <c r="AH443">
        <v>0</v>
      </c>
      <c r="AI443">
        <v>0</v>
      </c>
      <c r="AJ443">
        <v>0</v>
      </c>
      <c r="AK443">
        <v>0</v>
      </c>
      <c r="AL443">
        <v>0</v>
      </c>
      <c r="AM443">
        <v>0</v>
      </c>
      <c r="AN443">
        <v>0</v>
      </c>
      <c r="AO443">
        <v>0</v>
      </c>
      <c r="AP443">
        <v>0</v>
      </c>
      <c r="AQ443">
        <v>0</v>
      </c>
      <c r="AR443">
        <v>0</v>
      </c>
      <c r="AS443">
        <v>0</v>
      </c>
      <c r="AT443">
        <v>0</v>
      </c>
      <c r="AU443">
        <v>0</v>
      </c>
      <c r="AV443">
        <v>0</v>
      </c>
      <c r="AW443">
        <v>0</v>
      </c>
      <c r="AX443">
        <v>0</v>
      </c>
      <c r="AY443">
        <v>0</v>
      </c>
      <c r="AZ443">
        <v>0</v>
      </c>
      <c r="BA443">
        <v>0</v>
      </c>
      <c r="BB443">
        <v>0</v>
      </c>
      <c r="BC443">
        <v>0</v>
      </c>
      <c r="BD443">
        <v>0</v>
      </c>
      <c r="BE443">
        <v>0</v>
      </c>
      <c r="BF443">
        <v>0</v>
      </c>
      <c r="BG443" s="185">
        <v>0</v>
      </c>
      <c r="BH443" s="185">
        <v>0</v>
      </c>
      <c r="BI443" s="185">
        <v>0</v>
      </c>
      <c r="BJ443" s="185">
        <v>0</v>
      </c>
      <c r="BK443" s="185">
        <v>0</v>
      </c>
      <c r="BL443" s="185">
        <v>0</v>
      </c>
      <c r="BM443" s="185">
        <v>0</v>
      </c>
      <c r="BN443" s="185">
        <v>0</v>
      </c>
      <c r="BO443" s="185">
        <v>0</v>
      </c>
      <c r="BP443" s="185">
        <v>0</v>
      </c>
      <c r="BQ443" s="185">
        <v>0</v>
      </c>
      <c r="BR443" s="185">
        <v>0</v>
      </c>
      <c r="BS443" s="185">
        <v>0</v>
      </c>
      <c r="BT443" s="185">
        <v>0</v>
      </c>
      <c r="BU443" t="b">
        <f>IF(_xlfn.MAXIFS(Table1[Sl No],Table1[Category],Table1[[#This Row],[Category]],Table1[Execution Year],Table1[[#This Row],[Execution Year]])=Table1[[#This Row],[Sl No]],TRUE,FALSE)</f>
        <v>1</v>
      </c>
      <c r="BV443" s="201">
        <f>SUM(Table1[[#This Row],[Spend - CAN]:[Spend - Sams]])+SUM(Table1[[#This Row],[Spend - Sams Mexico]:[Spend - Sams China]])+Table1[[#This Row],[Spend - IND]]</f>
        <v>146200000</v>
      </c>
      <c r="BW443">
        <f>SUM(Table1[[#This Row],[Savings - CAN]:[Savings - Sams]])+SUM(Table1[[#This Row],[Savings - Sams Mexico]:[Savings - Sams China]])+Table1[[#This Row],[Savings - IND]]</f>
        <v>0</v>
      </c>
      <c r="BX443">
        <f>SUM(Table1[[#This Row],[Spend - CAN]:[Spend - SAF]])+SUM(Table1[[#This Row],[Spend - Sams Mexico]:[Spend - Sams China]])+Table1[[#This Row],[Spend - IND]]</f>
        <v>6000000</v>
      </c>
      <c r="BY443">
        <f>SUM(Table1[[#This Row],[Savings - CAN]:[Savings - SAF]])+SUM(Table1[[#This Row],[Savings - Sams Mexico]:[Savings - Sams China]])+Table1[[#This Row],[Savings - IND]]</f>
        <v>0</v>
      </c>
      <c r="BZ443">
        <f>SUM(Table1[[#This Row],[Spend - US]:[Spend - Sams]])</f>
        <v>140200000</v>
      </c>
      <c r="CA443">
        <f>SUM(Table1[[#This Row],[Savings - US]:[Savings - Sams]])</f>
        <v>0</v>
      </c>
      <c r="CB443">
        <f>SUM(Table1[[#This Row],[Cost Avoidance - CAN2]:[Cost Avoidance - SAF10]])+SUM(Table1[[#This Row],[Cost Avoidance - Sams Mexico]:[Cost Avoidance - Sams China]])+Table1[[#This Row],[Cost Avoidance - IND]]</f>
        <v>0</v>
      </c>
      <c r="CC443">
        <f>SUM(Table1[[#This Row],[Cost Avoidance - US11]:[Cost Avoidance - Sams12]])</f>
        <v>0</v>
      </c>
      <c r="CD443">
        <f>_xlfn.XLOOKUP(Table1[[#This Row],[Status]],Status_Lookups[Status],Status_Lookups[Value],"")</f>
        <v>0.2</v>
      </c>
    </row>
    <row r="444" spans="1:82">
      <c r="A444">
        <v>1</v>
      </c>
      <c r="B444" t="s">
        <v>80</v>
      </c>
      <c r="C444" t="s">
        <v>43</v>
      </c>
      <c r="D444" t="s">
        <v>322</v>
      </c>
      <c r="E444" s="15"/>
      <c r="F444" s="15"/>
      <c r="G444" s="15"/>
      <c r="H444" s="15"/>
      <c r="X444" t="s">
        <v>78</v>
      </c>
      <c r="Y444" s="16">
        <v>44622.343854166669</v>
      </c>
      <c r="Z444" s="17" t="str">
        <f>_xlfn.XLOOKUP(Table1[[#This Row],[Phase]],'Lookup tables'!$Y$27:$Y$60,'Lookup tables'!$Z$27:$Z$60,"Not Updated")</f>
        <v>Not Updated</v>
      </c>
      <c r="AA444" s="17"/>
      <c r="BG444" s="185"/>
      <c r="BH444" s="185"/>
      <c r="BI444" s="185"/>
      <c r="BJ444" s="185"/>
      <c r="BK444" s="185"/>
      <c r="BL444" s="185"/>
      <c r="BM444" s="185"/>
      <c r="BN444" s="185"/>
      <c r="BO444" s="185"/>
      <c r="BP444" s="185"/>
      <c r="BQ444" s="185"/>
      <c r="BR444" s="185"/>
      <c r="BS444" s="185"/>
      <c r="BT444" s="185"/>
      <c r="BU444" t="b">
        <f>IF(_xlfn.MAXIFS(Table1[Sl No],Table1[Category],Table1[[#This Row],[Category]],Table1[Execution Year],Table1[[#This Row],[Execution Year]])=Table1[[#This Row],[Sl No]],TRUE,FALSE)</f>
        <v>0</v>
      </c>
      <c r="BV444" s="201">
        <f>SUM(Table1[[#This Row],[Spend - CAN]:[Spend - Sams]])+SUM(Table1[[#This Row],[Spend - Sams Mexico]:[Spend - Sams China]])+Table1[[#This Row],[Spend - IND]]</f>
        <v>0</v>
      </c>
      <c r="BW444">
        <f>SUM(Table1[[#This Row],[Savings - CAN]:[Savings - Sams]])+SUM(Table1[[#This Row],[Savings - Sams Mexico]:[Savings - Sams China]])+Table1[[#This Row],[Savings - IND]]</f>
        <v>0</v>
      </c>
      <c r="BX444">
        <f>SUM(Table1[[#This Row],[Spend - CAN]:[Spend - SAF]])+SUM(Table1[[#This Row],[Spend - Sams Mexico]:[Spend - Sams China]])+Table1[[#This Row],[Spend - IND]]</f>
        <v>0</v>
      </c>
      <c r="BY444">
        <f>SUM(Table1[[#This Row],[Savings - CAN]:[Savings - SAF]])+SUM(Table1[[#This Row],[Savings - Sams Mexico]:[Savings - Sams China]])+Table1[[#This Row],[Savings - IND]]</f>
        <v>0</v>
      </c>
      <c r="BZ444">
        <f>SUM(Table1[[#This Row],[Spend - US]:[Spend - Sams]])</f>
        <v>0</v>
      </c>
      <c r="CA444">
        <f>SUM(Table1[[#This Row],[Savings - US]:[Savings - Sams]])</f>
        <v>0</v>
      </c>
      <c r="CB444">
        <f>SUM(Table1[[#This Row],[Cost Avoidance - CAN2]:[Cost Avoidance - SAF10]])+SUM(Table1[[#This Row],[Cost Avoidance - Sams Mexico]:[Cost Avoidance - Sams China]])+Table1[[#This Row],[Cost Avoidance - IND]]</f>
        <v>0</v>
      </c>
      <c r="CC444">
        <f>SUM(Table1[[#This Row],[Cost Avoidance - US11]:[Cost Avoidance - Sams12]])</f>
        <v>0</v>
      </c>
      <c r="CD444" t="str">
        <f>_xlfn.XLOOKUP(Table1[[#This Row],[Status]],Status_Lookups[Status],Status_Lookups[Value],"")</f>
        <v/>
      </c>
    </row>
    <row r="445" spans="1:82">
      <c r="A445">
        <v>2</v>
      </c>
      <c r="B445" t="s">
        <v>80</v>
      </c>
      <c r="C445" t="s">
        <v>43</v>
      </c>
      <c r="D445" t="s">
        <v>322</v>
      </c>
      <c r="E445" s="15">
        <v>0</v>
      </c>
      <c r="F445" s="15">
        <v>0</v>
      </c>
      <c r="G445" s="15">
        <v>0</v>
      </c>
      <c r="H445" s="15">
        <v>0</v>
      </c>
      <c r="I445" t="s">
        <v>484</v>
      </c>
      <c r="J445">
        <v>0</v>
      </c>
      <c r="K445" t="s">
        <v>445</v>
      </c>
      <c r="L445">
        <v>0</v>
      </c>
      <c r="M445">
        <v>6000000</v>
      </c>
      <c r="N445">
        <v>0</v>
      </c>
      <c r="O445">
        <v>0</v>
      </c>
      <c r="P445">
        <v>0</v>
      </c>
      <c r="Q445">
        <v>0</v>
      </c>
      <c r="R445">
        <v>0</v>
      </c>
      <c r="S445">
        <v>0</v>
      </c>
      <c r="T445">
        <v>0</v>
      </c>
      <c r="U445">
        <v>0</v>
      </c>
      <c r="V445">
        <v>140200000</v>
      </c>
      <c r="W445">
        <v>0</v>
      </c>
      <c r="X445" t="s">
        <v>78</v>
      </c>
      <c r="Y445" s="16">
        <v>44622.344831249997</v>
      </c>
      <c r="Z445" s="17" t="str">
        <f>_xlfn.XLOOKUP(Table1[[#This Row],[Phase]],'Lookup tables'!$Y$27:$Y$60,'Lookup tables'!$Z$27:$Z$60,"Not Updated")</f>
        <v>Bid Prep</v>
      </c>
      <c r="AA445" s="17">
        <v>0</v>
      </c>
      <c r="AB445">
        <v>0</v>
      </c>
      <c r="AC445">
        <v>0</v>
      </c>
      <c r="AD445">
        <v>0</v>
      </c>
      <c r="AE445">
        <v>0</v>
      </c>
      <c r="AF445">
        <v>0</v>
      </c>
      <c r="AG445">
        <v>0</v>
      </c>
      <c r="AH445">
        <v>0</v>
      </c>
      <c r="AI445">
        <v>0</v>
      </c>
      <c r="AJ445">
        <v>0</v>
      </c>
      <c r="AK445">
        <v>0</v>
      </c>
      <c r="AL445">
        <v>0</v>
      </c>
      <c r="AM445">
        <v>0</v>
      </c>
      <c r="AN445">
        <v>0</v>
      </c>
      <c r="AO445">
        <v>0</v>
      </c>
      <c r="AP445">
        <v>0</v>
      </c>
      <c r="AQ445">
        <v>0</v>
      </c>
      <c r="AR445">
        <v>0</v>
      </c>
      <c r="AS445">
        <v>0</v>
      </c>
      <c r="AT445">
        <v>0</v>
      </c>
      <c r="AU445">
        <v>0</v>
      </c>
      <c r="AV445">
        <v>0</v>
      </c>
      <c r="AW445">
        <v>0</v>
      </c>
      <c r="AX445">
        <v>0</v>
      </c>
      <c r="AY445">
        <v>0</v>
      </c>
      <c r="AZ445">
        <v>0</v>
      </c>
      <c r="BA445">
        <v>0</v>
      </c>
      <c r="BB445">
        <v>0</v>
      </c>
      <c r="BC445">
        <v>0</v>
      </c>
      <c r="BD445">
        <v>0</v>
      </c>
      <c r="BE445">
        <v>0</v>
      </c>
      <c r="BF445">
        <v>0</v>
      </c>
      <c r="BG445" s="185">
        <v>0</v>
      </c>
      <c r="BH445" s="185">
        <v>0</v>
      </c>
      <c r="BI445" s="185">
        <v>0</v>
      </c>
      <c r="BJ445" s="185">
        <v>0</v>
      </c>
      <c r="BK445" s="185">
        <v>0</v>
      </c>
      <c r="BL445" s="185">
        <v>0</v>
      </c>
      <c r="BM445" s="185">
        <v>0</v>
      </c>
      <c r="BN445" s="185">
        <v>0</v>
      </c>
      <c r="BO445" s="185">
        <v>0</v>
      </c>
      <c r="BP445" s="185">
        <v>0</v>
      </c>
      <c r="BQ445" s="185">
        <v>0</v>
      </c>
      <c r="BR445" s="185">
        <v>0</v>
      </c>
      <c r="BS445" s="185">
        <v>0</v>
      </c>
      <c r="BT445" s="185">
        <v>0</v>
      </c>
      <c r="BU445" t="b">
        <f>IF(_xlfn.MAXIFS(Table1[Sl No],Table1[Category],Table1[[#This Row],[Category]],Table1[Execution Year],Table1[[#This Row],[Execution Year]])=Table1[[#This Row],[Sl No]],TRUE,FALSE)</f>
        <v>0</v>
      </c>
      <c r="BV445" s="201">
        <f>SUM(Table1[[#This Row],[Spend - CAN]:[Spend - Sams]])+SUM(Table1[[#This Row],[Spend - Sams Mexico]:[Spend - Sams China]])+Table1[[#This Row],[Spend - IND]]</f>
        <v>146200000</v>
      </c>
      <c r="BW445">
        <f>SUM(Table1[[#This Row],[Savings - CAN]:[Savings - Sams]])+SUM(Table1[[#This Row],[Savings - Sams Mexico]:[Savings - Sams China]])+Table1[[#This Row],[Savings - IND]]</f>
        <v>0</v>
      </c>
      <c r="BX445">
        <f>SUM(Table1[[#This Row],[Spend - CAN]:[Spend - SAF]])+SUM(Table1[[#This Row],[Spend - Sams Mexico]:[Spend - Sams China]])+Table1[[#This Row],[Spend - IND]]</f>
        <v>6000000</v>
      </c>
      <c r="BY445">
        <f>SUM(Table1[[#This Row],[Savings - CAN]:[Savings - SAF]])+SUM(Table1[[#This Row],[Savings - Sams Mexico]:[Savings - Sams China]])+Table1[[#This Row],[Savings - IND]]</f>
        <v>0</v>
      </c>
      <c r="BZ445">
        <f>SUM(Table1[[#This Row],[Spend - US]:[Spend - Sams]])</f>
        <v>140200000</v>
      </c>
      <c r="CA445">
        <f>SUM(Table1[[#This Row],[Savings - US]:[Savings - Sams]])</f>
        <v>0</v>
      </c>
      <c r="CB445">
        <f>SUM(Table1[[#This Row],[Cost Avoidance - CAN2]:[Cost Avoidance - SAF10]])+SUM(Table1[[#This Row],[Cost Avoidance - Sams Mexico]:[Cost Avoidance - Sams China]])+Table1[[#This Row],[Cost Avoidance - IND]]</f>
        <v>0</v>
      </c>
      <c r="CC445">
        <f>SUM(Table1[[#This Row],[Cost Avoidance - US11]:[Cost Avoidance - Sams12]])</f>
        <v>0</v>
      </c>
      <c r="CD445" t="str">
        <f>_xlfn.XLOOKUP(Table1[[#This Row],[Status]],Status_Lookups[Status],Status_Lookups[Value],"")</f>
        <v/>
      </c>
    </row>
    <row r="446" spans="1:82">
      <c r="A446">
        <v>3</v>
      </c>
      <c r="B446" t="s">
        <v>80</v>
      </c>
      <c r="C446" t="s">
        <v>43</v>
      </c>
      <c r="D446" t="s">
        <v>322</v>
      </c>
      <c r="E446" s="15">
        <v>0</v>
      </c>
      <c r="F446" s="15">
        <v>0</v>
      </c>
      <c r="G446" s="15">
        <v>0</v>
      </c>
      <c r="H446" s="15">
        <v>0</v>
      </c>
      <c r="I446" t="s">
        <v>458</v>
      </c>
      <c r="J446">
        <v>0</v>
      </c>
      <c r="K446" t="s">
        <v>445</v>
      </c>
      <c r="L446">
        <v>0</v>
      </c>
      <c r="M446">
        <v>6000000</v>
      </c>
      <c r="N446">
        <v>0</v>
      </c>
      <c r="O446">
        <v>0</v>
      </c>
      <c r="P446">
        <v>0</v>
      </c>
      <c r="Q446">
        <v>0</v>
      </c>
      <c r="R446">
        <v>0</v>
      </c>
      <c r="S446">
        <v>0</v>
      </c>
      <c r="T446">
        <v>0</v>
      </c>
      <c r="U446">
        <v>0</v>
      </c>
      <c r="V446">
        <v>140200000</v>
      </c>
      <c r="W446">
        <v>0</v>
      </c>
      <c r="X446" t="s">
        <v>78</v>
      </c>
      <c r="Y446" s="16">
        <v>44630.374125347225</v>
      </c>
      <c r="Z446" s="17" t="str">
        <f>_xlfn.XLOOKUP(Table1[[#This Row],[Phase]],'Lookup tables'!$Y$27:$Y$60,'Lookup tables'!$Z$27:$Z$60,"Not Updated")</f>
        <v>Exploratory</v>
      </c>
      <c r="AA446" s="17">
        <v>0</v>
      </c>
      <c r="AB446">
        <v>0</v>
      </c>
      <c r="AC446">
        <v>0</v>
      </c>
      <c r="AD446">
        <v>0</v>
      </c>
      <c r="AE446">
        <v>0</v>
      </c>
      <c r="AF446">
        <v>0</v>
      </c>
      <c r="AG446">
        <v>0</v>
      </c>
      <c r="AH446">
        <v>0</v>
      </c>
      <c r="AI446">
        <v>0</v>
      </c>
      <c r="AJ446">
        <v>0</v>
      </c>
      <c r="AK446">
        <v>0</v>
      </c>
      <c r="AL446">
        <v>0</v>
      </c>
      <c r="AM446">
        <v>0</v>
      </c>
      <c r="AN446">
        <v>0</v>
      </c>
      <c r="AO446">
        <v>0</v>
      </c>
      <c r="AP446">
        <v>0</v>
      </c>
      <c r="AQ446">
        <v>0</v>
      </c>
      <c r="AR446">
        <v>0</v>
      </c>
      <c r="AS446">
        <v>0</v>
      </c>
      <c r="AT446">
        <v>0</v>
      </c>
      <c r="AU446">
        <v>0</v>
      </c>
      <c r="AV446">
        <v>0</v>
      </c>
      <c r="AW446">
        <v>0</v>
      </c>
      <c r="AX446">
        <v>0</v>
      </c>
      <c r="AY446">
        <v>0</v>
      </c>
      <c r="AZ446">
        <v>0</v>
      </c>
      <c r="BA446">
        <v>0</v>
      </c>
      <c r="BB446">
        <v>0</v>
      </c>
      <c r="BC446">
        <v>0</v>
      </c>
      <c r="BD446">
        <v>0</v>
      </c>
      <c r="BE446">
        <v>0</v>
      </c>
      <c r="BF446">
        <v>0</v>
      </c>
      <c r="BG446" s="185">
        <v>0</v>
      </c>
      <c r="BH446" s="185">
        <v>0</v>
      </c>
      <c r="BI446" s="185">
        <v>0</v>
      </c>
      <c r="BJ446" s="185">
        <v>0</v>
      </c>
      <c r="BK446" s="185">
        <v>0</v>
      </c>
      <c r="BL446" s="185">
        <v>0</v>
      </c>
      <c r="BM446" s="185">
        <v>0</v>
      </c>
      <c r="BN446" s="185">
        <v>0</v>
      </c>
      <c r="BO446" s="185">
        <v>0</v>
      </c>
      <c r="BP446" s="185">
        <v>0</v>
      </c>
      <c r="BQ446" s="185">
        <v>0</v>
      </c>
      <c r="BR446" s="185">
        <v>0</v>
      </c>
      <c r="BS446" s="185">
        <v>0</v>
      </c>
      <c r="BT446" s="185">
        <v>0</v>
      </c>
      <c r="BU446" t="b">
        <f>IF(_xlfn.MAXIFS(Table1[Sl No],Table1[Category],Table1[[#This Row],[Category]],Table1[Execution Year],Table1[[#This Row],[Execution Year]])=Table1[[#This Row],[Sl No]],TRUE,FALSE)</f>
        <v>0</v>
      </c>
      <c r="BV446" s="201">
        <f>SUM(Table1[[#This Row],[Spend - CAN]:[Spend - Sams]])+SUM(Table1[[#This Row],[Spend - Sams Mexico]:[Spend - Sams China]])+Table1[[#This Row],[Spend - IND]]</f>
        <v>146200000</v>
      </c>
      <c r="BW446">
        <f>SUM(Table1[[#This Row],[Savings - CAN]:[Savings - Sams]])+SUM(Table1[[#This Row],[Savings - Sams Mexico]:[Savings - Sams China]])+Table1[[#This Row],[Savings - IND]]</f>
        <v>0</v>
      </c>
      <c r="BX446">
        <f>SUM(Table1[[#This Row],[Spend - CAN]:[Spend - SAF]])+SUM(Table1[[#This Row],[Spend - Sams Mexico]:[Spend - Sams China]])+Table1[[#This Row],[Spend - IND]]</f>
        <v>6000000</v>
      </c>
      <c r="BY446">
        <f>SUM(Table1[[#This Row],[Savings - CAN]:[Savings - SAF]])+SUM(Table1[[#This Row],[Savings - Sams Mexico]:[Savings - Sams China]])+Table1[[#This Row],[Savings - IND]]</f>
        <v>0</v>
      </c>
      <c r="BZ446">
        <f>SUM(Table1[[#This Row],[Spend - US]:[Spend - Sams]])</f>
        <v>140200000</v>
      </c>
      <c r="CA446">
        <f>SUM(Table1[[#This Row],[Savings - US]:[Savings - Sams]])</f>
        <v>0</v>
      </c>
      <c r="CB446">
        <f>SUM(Table1[[#This Row],[Cost Avoidance - CAN2]:[Cost Avoidance - SAF10]])+SUM(Table1[[#This Row],[Cost Avoidance - Sams Mexico]:[Cost Avoidance - Sams China]])+Table1[[#This Row],[Cost Avoidance - IND]]</f>
        <v>0</v>
      </c>
      <c r="CC446">
        <f>SUM(Table1[[#This Row],[Cost Avoidance - US11]:[Cost Avoidance - Sams12]])</f>
        <v>0</v>
      </c>
      <c r="CD446" t="str">
        <f>_xlfn.XLOOKUP(Table1[[#This Row],[Status]],Status_Lookups[Status],Status_Lookups[Value],"")</f>
        <v/>
      </c>
    </row>
    <row r="447" spans="1:82">
      <c r="A447">
        <v>4</v>
      </c>
      <c r="B447" t="s">
        <v>80</v>
      </c>
      <c r="C447" t="s">
        <v>43</v>
      </c>
      <c r="D447" t="s">
        <v>322</v>
      </c>
      <c r="E447" s="15">
        <v>44655</v>
      </c>
      <c r="F447" s="15">
        <v>44694</v>
      </c>
      <c r="G447" s="15">
        <v>0</v>
      </c>
      <c r="H447" s="15">
        <v>0</v>
      </c>
      <c r="I447" t="s">
        <v>484</v>
      </c>
      <c r="J447" t="s">
        <v>459</v>
      </c>
      <c r="K447" t="s">
        <v>445</v>
      </c>
      <c r="L447">
        <v>0</v>
      </c>
      <c r="M447">
        <v>0</v>
      </c>
      <c r="N447">
        <v>0</v>
      </c>
      <c r="O447">
        <v>0</v>
      </c>
      <c r="P447">
        <v>0</v>
      </c>
      <c r="Q447">
        <v>0</v>
      </c>
      <c r="R447">
        <v>0</v>
      </c>
      <c r="S447">
        <v>0</v>
      </c>
      <c r="T447">
        <v>0</v>
      </c>
      <c r="U447">
        <v>0</v>
      </c>
      <c r="V447">
        <v>140200000</v>
      </c>
      <c r="W447">
        <v>0</v>
      </c>
      <c r="X447" t="s">
        <v>78</v>
      </c>
      <c r="Y447" s="16">
        <v>44648.599031597223</v>
      </c>
      <c r="Z447" s="17" t="str">
        <f>_xlfn.XLOOKUP(Table1[[#This Row],[Phase]],'Lookup tables'!$Y$27:$Y$60,'Lookup tables'!$Z$27:$Z$60,"Not Updated")</f>
        <v>Bid Prep</v>
      </c>
      <c r="AA447" s="17">
        <v>0</v>
      </c>
      <c r="AB447">
        <v>0</v>
      </c>
      <c r="AC447">
        <v>0</v>
      </c>
      <c r="AD447">
        <v>0</v>
      </c>
      <c r="AE447">
        <v>0</v>
      </c>
      <c r="AF447">
        <v>0</v>
      </c>
      <c r="AG447">
        <v>0</v>
      </c>
      <c r="AH447">
        <v>0</v>
      </c>
      <c r="AI447">
        <v>0</v>
      </c>
      <c r="AJ447">
        <v>0</v>
      </c>
      <c r="AK447">
        <v>0</v>
      </c>
      <c r="AL447">
        <v>0</v>
      </c>
      <c r="AM447">
        <v>0</v>
      </c>
      <c r="AN447">
        <v>0</v>
      </c>
      <c r="AO447">
        <v>0</v>
      </c>
      <c r="AP447">
        <v>0</v>
      </c>
      <c r="AQ447">
        <v>0</v>
      </c>
      <c r="AR447">
        <v>0</v>
      </c>
      <c r="AS447">
        <v>0</v>
      </c>
      <c r="AT447">
        <v>0</v>
      </c>
      <c r="AU447">
        <v>0</v>
      </c>
      <c r="AV447">
        <v>0</v>
      </c>
      <c r="AW447">
        <v>0</v>
      </c>
      <c r="AX447">
        <v>0</v>
      </c>
      <c r="AY447">
        <v>0</v>
      </c>
      <c r="AZ447">
        <v>0</v>
      </c>
      <c r="BA447">
        <v>0</v>
      </c>
      <c r="BB447">
        <v>0</v>
      </c>
      <c r="BC447">
        <v>0</v>
      </c>
      <c r="BD447">
        <v>0</v>
      </c>
      <c r="BE447">
        <v>0</v>
      </c>
      <c r="BF447">
        <v>0</v>
      </c>
      <c r="BG447" s="185">
        <v>0</v>
      </c>
      <c r="BH447" s="185">
        <v>0</v>
      </c>
      <c r="BI447" s="185">
        <v>0</v>
      </c>
      <c r="BJ447" s="185">
        <v>0</v>
      </c>
      <c r="BK447" s="185">
        <v>0</v>
      </c>
      <c r="BL447" s="185">
        <v>0</v>
      </c>
      <c r="BM447" s="185">
        <v>0</v>
      </c>
      <c r="BN447" s="185">
        <v>0</v>
      </c>
      <c r="BO447" s="185">
        <v>0</v>
      </c>
      <c r="BP447" s="185">
        <v>0</v>
      </c>
      <c r="BQ447" s="185">
        <v>0</v>
      </c>
      <c r="BR447" s="185">
        <v>0</v>
      </c>
      <c r="BS447" s="185">
        <v>0</v>
      </c>
      <c r="BT447" s="185">
        <v>0</v>
      </c>
      <c r="BU447" t="b">
        <f>IF(_xlfn.MAXIFS(Table1[Sl No],Table1[Category],Table1[[#This Row],[Category]],Table1[Execution Year],Table1[[#This Row],[Execution Year]])=Table1[[#This Row],[Sl No]],TRUE,FALSE)</f>
        <v>0</v>
      </c>
      <c r="BV447" s="201">
        <f>SUM(Table1[[#This Row],[Spend - CAN]:[Spend - Sams]])+SUM(Table1[[#This Row],[Spend - Sams Mexico]:[Spend - Sams China]])+Table1[[#This Row],[Spend - IND]]</f>
        <v>140200000</v>
      </c>
      <c r="BW447">
        <f>SUM(Table1[[#This Row],[Savings - CAN]:[Savings - Sams]])+SUM(Table1[[#This Row],[Savings - Sams Mexico]:[Savings - Sams China]])+Table1[[#This Row],[Savings - IND]]</f>
        <v>0</v>
      </c>
      <c r="BX447">
        <f>SUM(Table1[[#This Row],[Spend - CAN]:[Spend - SAF]])+SUM(Table1[[#This Row],[Spend - Sams Mexico]:[Spend - Sams China]])+Table1[[#This Row],[Spend - IND]]</f>
        <v>0</v>
      </c>
      <c r="BY447">
        <f>SUM(Table1[[#This Row],[Savings - CAN]:[Savings - SAF]])+SUM(Table1[[#This Row],[Savings - Sams Mexico]:[Savings - Sams China]])+Table1[[#This Row],[Savings - IND]]</f>
        <v>0</v>
      </c>
      <c r="BZ447">
        <f>SUM(Table1[[#This Row],[Spend - US]:[Spend - Sams]])</f>
        <v>140200000</v>
      </c>
      <c r="CA447">
        <f>SUM(Table1[[#This Row],[Savings - US]:[Savings - Sams]])</f>
        <v>0</v>
      </c>
      <c r="CB447">
        <f>SUM(Table1[[#This Row],[Cost Avoidance - CAN2]:[Cost Avoidance - SAF10]])+SUM(Table1[[#This Row],[Cost Avoidance - Sams Mexico]:[Cost Avoidance - Sams China]])+Table1[[#This Row],[Cost Avoidance - IND]]</f>
        <v>0</v>
      </c>
      <c r="CC447">
        <f>SUM(Table1[[#This Row],[Cost Avoidance - US11]:[Cost Avoidance - Sams12]])</f>
        <v>0</v>
      </c>
      <c r="CD447">
        <f>_xlfn.XLOOKUP(Table1[[#This Row],[Status]],Status_Lookups[Status],Status_Lookups[Value],"")</f>
        <v>0.3</v>
      </c>
    </row>
    <row r="448" spans="1:82">
      <c r="A448">
        <v>5</v>
      </c>
      <c r="B448" t="s">
        <v>80</v>
      </c>
      <c r="C448" t="s">
        <v>43</v>
      </c>
      <c r="D448" t="s">
        <v>322</v>
      </c>
      <c r="E448" s="15">
        <v>44655</v>
      </c>
      <c r="F448" s="15">
        <v>44694</v>
      </c>
      <c r="G448" s="15">
        <v>0</v>
      </c>
      <c r="H448" s="15">
        <v>0</v>
      </c>
      <c r="I448" t="s">
        <v>463</v>
      </c>
      <c r="J448" t="s">
        <v>459</v>
      </c>
      <c r="K448" t="s">
        <v>445</v>
      </c>
      <c r="L448">
        <v>0</v>
      </c>
      <c r="M448">
        <v>0</v>
      </c>
      <c r="N448">
        <v>0</v>
      </c>
      <c r="O448">
        <v>0</v>
      </c>
      <c r="P448">
        <v>0</v>
      </c>
      <c r="Q448">
        <v>0</v>
      </c>
      <c r="R448">
        <v>0</v>
      </c>
      <c r="S448">
        <v>0</v>
      </c>
      <c r="T448">
        <v>0</v>
      </c>
      <c r="U448">
        <v>0</v>
      </c>
      <c r="V448">
        <v>223761573.75999999</v>
      </c>
      <c r="W448">
        <v>0</v>
      </c>
      <c r="X448" t="s">
        <v>445</v>
      </c>
      <c r="Y448" s="16">
        <v>44701.566533101854</v>
      </c>
      <c r="Z448" s="17" t="str">
        <f>_xlfn.XLOOKUP(Table1[[#This Row],[Phase]],'Lookup tables'!$Y$27:$Y$60,'Lookup tables'!$Z$27:$Z$60,"Not Updated")</f>
        <v>Pending PB/Merch Approval</v>
      </c>
      <c r="AA448" s="17">
        <v>0</v>
      </c>
      <c r="AB448">
        <v>0</v>
      </c>
      <c r="AC448">
        <v>0</v>
      </c>
      <c r="AD448">
        <v>0</v>
      </c>
      <c r="AE448">
        <v>0</v>
      </c>
      <c r="AF448">
        <v>0</v>
      </c>
      <c r="AG448">
        <v>0</v>
      </c>
      <c r="AH448">
        <v>0</v>
      </c>
      <c r="AI448">
        <v>0</v>
      </c>
      <c r="AJ448">
        <v>0</v>
      </c>
      <c r="AK448">
        <v>0</v>
      </c>
      <c r="AL448">
        <v>0</v>
      </c>
      <c r="AM448">
        <v>0</v>
      </c>
      <c r="AN448">
        <v>0</v>
      </c>
      <c r="AO448">
        <v>0</v>
      </c>
      <c r="AP448">
        <v>0</v>
      </c>
      <c r="AQ448">
        <v>0</v>
      </c>
      <c r="AR448">
        <v>0</v>
      </c>
      <c r="AS448">
        <v>0</v>
      </c>
      <c r="AT448">
        <v>0</v>
      </c>
      <c r="AU448">
        <v>0</v>
      </c>
      <c r="AV448">
        <v>0</v>
      </c>
      <c r="AW448">
        <v>0</v>
      </c>
      <c r="AX448">
        <v>0</v>
      </c>
      <c r="AY448">
        <v>0</v>
      </c>
      <c r="AZ448">
        <v>0</v>
      </c>
      <c r="BA448">
        <v>0</v>
      </c>
      <c r="BB448">
        <v>0</v>
      </c>
      <c r="BC448">
        <v>0</v>
      </c>
      <c r="BD448">
        <v>0</v>
      </c>
      <c r="BE448">
        <v>0</v>
      </c>
      <c r="BF448">
        <v>0</v>
      </c>
      <c r="BG448" s="185">
        <v>0</v>
      </c>
      <c r="BH448" s="185">
        <v>0</v>
      </c>
      <c r="BI448" s="185">
        <v>0</v>
      </c>
      <c r="BJ448" s="185">
        <v>0</v>
      </c>
      <c r="BK448" s="185">
        <v>0</v>
      </c>
      <c r="BL448" s="185">
        <v>0</v>
      </c>
      <c r="BM448" s="185">
        <v>0</v>
      </c>
      <c r="BN448" s="185">
        <v>0</v>
      </c>
      <c r="BO448" s="185">
        <v>0</v>
      </c>
      <c r="BP448" s="185">
        <v>0</v>
      </c>
      <c r="BQ448" s="185">
        <v>0</v>
      </c>
      <c r="BR448" s="185">
        <v>0</v>
      </c>
      <c r="BS448" s="185">
        <v>0</v>
      </c>
      <c r="BT448" s="185">
        <v>0</v>
      </c>
      <c r="BU448" t="b">
        <f>IF(_xlfn.MAXIFS(Table1[Sl No],Table1[Category],Table1[[#This Row],[Category]],Table1[Execution Year],Table1[[#This Row],[Execution Year]])=Table1[[#This Row],[Sl No]],TRUE,FALSE)</f>
        <v>0</v>
      </c>
      <c r="BV448" s="201">
        <f>SUM(Table1[[#This Row],[Spend - CAN]:[Spend - Sams]])+SUM(Table1[[#This Row],[Spend - Sams Mexico]:[Spend - Sams China]])+Table1[[#This Row],[Spend - IND]]</f>
        <v>223761573.75999999</v>
      </c>
      <c r="BW448">
        <f>SUM(Table1[[#This Row],[Savings - CAN]:[Savings - Sams]])+SUM(Table1[[#This Row],[Savings - Sams Mexico]:[Savings - Sams China]])+Table1[[#This Row],[Savings - IND]]</f>
        <v>0</v>
      </c>
      <c r="BX448">
        <f>SUM(Table1[[#This Row],[Spend - CAN]:[Spend - SAF]])+SUM(Table1[[#This Row],[Spend - Sams Mexico]:[Spend - Sams China]])+Table1[[#This Row],[Spend - IND]]</f>
        <v>0</v>
      </c>
      <c r="BY448">
        <f>SUM(Table1[[#This Row],[Savings - CAN]:[Savings - SAF]])+SUM(Table1[[#This Row],[Savings - Sams Mexico]:[Savings - Sams China]])+Table1[[#This Row],[Savings - IND]]</f>
        <v>0</v>
      </c>
      <c r="BZ448">
        <f>SUM(Table1[[#This Row],[Spend - US]:[Spend - Sams]])</f>
        <v>223761573.75999999</v>
      </c>
      <c r="CA448">
        <f>SUM(Table1[[#This Row],[Savings - US]:[Savings - Sams]])</f>
        <v>0</v>
      </c>
      <c r="CB448">
        <f>SUM(Table1[[#This Row],[Cost Avoidance - CAN2]:[Cost Avoidance - SAF10]])+SUM(Table1[[#This Row],[Cost Avoidance - Sams Mexico]:[Cost Avoidance - Sams China]])+Table1[[#This Row],[Cost Avoidance - IND]]</f>
        <v>0</v>
      </c>
      <c r="CC448">
        <f>SUM(Table1[[#This Row],[Cost Avoidance - US11]:[Cost Avoidance - Sams12]])</f>
        <v>0</v>
      </c>
      <c r="CD448">
        <f>_xlfn.XLOOKUP(Table1[[#This Row],[Status]],Status_Lookups[Status],Status_Lookups[Value],"")</f>
        <v>0.3</v>
      </c>
    </row>
    <row r="449" spans="1:82">
      <c r="A449">
        <v>1</v>
      </c>
      <c r="B449" t="s">
        <v>90</v>
      </c>
      <c r="C449" t="s">
        <v>43</v>
      </c>
      <c r="D449" t="s">
        <v>39</v>
      </c>
      <c r="E449" s="15"/>
      <c r="F449" s="15"/>
      <c r="G449" s="15"/>
      <c r="H449" s="15"/>
      <c r="I449" t="s">
        <v>625</v>
      </c>
      <c r="J449" t="s">
        <v>626</v>
      </c>
      <c r="X449" t="s">
        <v>78</v>
      </c>
      <c r="Y449" s="16">
        <v>44242.437175925923</v>
      </c>
      <c r="Z449" s="17" t="str">
        <f>_xlfn.XLOOKUP(Table1[[#This Row],[Phase]],'Lookup tables'!$Y$27:$Y$60,'Lookup tables'!$Z$27:$Z$60,"Not Updated")</f>
        <v>Proposed</v>
      </c>
      <c r="AA449" s="17"/>
      <c r="BG449" s="185"/>
      <c r="BH449" s="185"/>
      <c r="BI449" s="185"/>
      <c r="BJ449" s="185"/>
      <c r="BK449" s="185"/>
      <c r="BL449" s="185"/>
      <c r="BM449" s="185"/>
      <c r="BN449" s="185"/>
      <c r="BO449" s="185"/>
      <c r="BP449" s="185"/>
      <c r="BQ449" s="185"/>
      <c r="BR449" s="185"/>
      <c r="BS449" s="185"/>
      <c r="BT449" s="185"/>
      <c r="BU449" t="b">
        <f>IF(_xlfn.MAXIFS(Table1[Sl No],Table1[Category],Table1[[#This Row],[Category]],Table1[Execution Year],Table1[[#This Row],[Execution Year]])=Table1[[#This Row],[Sl No]],TRUE,FALSE)</f>
        <v>0</v>
      </c>
      <c r="BV449" s="201">
        <f>SUM(Table1[[#This Row],[Spend - CAN]:[Spend - Sams]])+SUM(Table1[[#This Row],[Spend - Sams Mexico]:[Spend - Sams China]])+Table1[[#This Row],[Spend - IND]]</f>
        <v>0</v>
      </c>
      <c r="BW449">
        <f>SUM(Table1[[#This Row],[Savings - CAN]:[Savings - Sams]])+SUM(Table1[[#This Row],[Savings - Sams Mexico]:[Savings - Sams China]])+Table1[[#This Row],[Savings - IND]]</f>
        <v>0</v>
      </c>
      <c r="BX449">
        <f>SUM(Table1[[#This Row],[Spend - CAN]:[Spend - SAF]])+SUM(Table1[[#This Row],[Spend - Sams Mexico]:[Spend - Sams China]])+Table1[[#This Row],[Spend - IND]]</f>
        <v>0</v>
      </c>
      <c r="BY449">
        <f>SUM(Table1[[#This Row],[Savings - CAN]:[Savings - SAF]])+SUM(Table1[[#This Row],[Savings - Sams Mexico]:[Savings - Sams China]])+Table1[[#This Row],[Savings - IND]]</f>
        <v>0</v>
      </c>
      <c r="BZ449">
        <f>SUM(Table1[[#This Row],[Spend - US]:[Spend - Sams]])</f>
        <v>0</v>
      </c>
      <c r="CA449">
        <f>SUM(Table1[[#This Row],[Savings - US]:[Savings - Sams]])</f>
        <v>0</v>
      </c>
      <c r="CB449">
        <f>SUM(Table1[[#This Row],[Cost Avoidance - CAN2]:[Cost Avoidance - SAF10]])+SUM(Table1[[#This Row],[Cost Avoidance - Sams Mexico]:[Cost Avoidance - Sams China]])+Table1[[#This Row],[Cost Avoidance - IND]]</f>
        <v>0</v>
      </c>
      <c r="CC449">
        <f>SUM(Table1[[#This Row],[Cost Avoidance - US11]:[Cost Avoidance - Sams12]])</f>
        <v>0</v>
      </c>
      <c r="CD449" t="str">
        <f>_xlfn.XLOOKUP(Table1[[#This Row],[Status]],Status_Lookups[Status],Status_Lookups[Value],"")</f>
        <v/>
      </c>
    </row>
    <row r="450" spans="1:82">
      <c r="A450">
        <v>2</v>
      </c>
      <c r="B450" t="s">
        <v>90</v>
      </c>
      <c r="C450" t="s">
        <v>43</v>
      </c>
      <c r="D450" t="s">
        <v>39</v>
      </c>
      <c r="E450" s="15">
        <v>0</v>
      </c>
      <c r="F450" s="15">
        <v>44285</v>
      </c>
      <c r="G450" s="15">
        <v>44054</v>
      </c>
      <c r="H450" s="15">
        <v>0</v>
      </c>
      <c r="I450" t="s">
        <v>704</v>
      </c>
      <c r="J450" t="s">
        <v>633</v>
      </c>
      <c r="K450">
        <v>0</v>
      </c>
      <c r="L450" t="s">
        <v>469</v>
      </c>
      <c r="M450">
        <v>0</v>
      </c>
      <c r="N450">
        <v>0</v>
      </c>
      <c r="O450">
        <v>0</v>
      </c>
      <c r="P450">
        <v>0</v>
      </c>
      <c r="Q450">
        <v>0</v>
      </c>
      <c r="R450">
        <v>0</v>
      </c>
      <c r="S450">
        <v>0</v>
      </c>
      <c r="T450">
        <v>0</v>
      </c>
      <c r="U450">
        <v>0</v>
      </c>
      <c r="V450">
        <v>0</v>
      </c>
      <c r="W450">
        <v>0</v>
      </c>
      <c r="X450" t="s">
        <v>78</v>
      </c>
      <c r="Y450" s="16">
        <v>44242.45381284722</v>
      </c>
      <c r="Z450" s="17" t="str">
        <f>_xlfn.XLOOKUP(Table1[[#This Row],[Phase]],'Lookup tables'!$Y$27:$Y$60,'Lookup tables'!$Z$27:$Z$60,"Not Updated")</f>
        <v>Analysis complete</v>
      </c>
      <c r="AA450" s="17">
        <v>0</v>
      </c>
      <c r="AB450">
        <v>0</v>
      </c>
      <c r="AC450">
        <v>0</v>
      </c>
      <c r="AD450">
        <v>0</v>
      </c>
      <c r="AE450">
        <v>0</v>
      </c>
      <c r="AF450">
        <v>0</v>
      </c>
      <c r="AG450">
        <v>0</v>
      </c>
      <c r="AH450">
        <v>0</v>
      </c>
      <c r="AI450">
        <v>0</v>
      </c>
      <c r="AJ450">
        <v>0</v>
      </c>
      <c r="AK450">
        <v>0</v>
      </c>
      <c r="AL450">
        <v>0</v>
      </c>
      <c r="BG450" s="185"/>
      <c r="BH450" s="185"/>
      <c r="BI450" s="185"/>
      <c r="BJ450" s="185"/>
      <c r="BK450" s="185"/>
      <c r="BL450" s="185"/>
      <c r="BM450" s="185"/>
      <c r="BN450" s="185"/>
      <c r="BO450" s="185"/>
      <c r="BP450" s="185"/>
      <c r="BQ450" s="185"/>
      <c r="BR450" s="185"/>
      <c r="BS450" s="185"/>
      <c r="BT450" s="185"/>
      <c r="BU450" t="b">
        <f>IF(_xlfn.MAXIFS(Table1[Sl No],Table1[Category],Table1[[#This Row],[Category]],Table1[Execution Year],Table1[[#This Row],[Execution Year]])=Table1[[#This Row],[Sl No]],TRUE,FALSE)</f>
        <v>0</v>
      </c>
      <c r="BV450" s="201">
        <f>SUM(Table1[[#This Row],[Spend - CAN]:[Spend - Sams]])+SUM(Table1[[#This Row],[Spend - Sams Mexico]:[Spend - Sams China]])+Table1[[#This Row],[Spend - IND]]</f>
        <v>0</v>
      </c>
      <c r="BW450">
        <f>SUM(Table1[[#This Row],[Savings - CAN]:[Savings - Sams]])+SUM(Table1[[#This Row],[Savings - Sams Mexico]:[Savings - Sams China]])+Table1[[#This Row],[Savings - IND]]</f>
        <v>0</v>
      </c>
      <c r="BX450">
        <f>SUM(Table1[[#This Row],[Spend - CAN]:[Spend - SAF]])+SUM(Table1[[#This Row],[Spend - Sams Mexico]:[Spend - Sams China]])+Table1[[#This Row],[Spend - IND]]</f>
        <v>0</v>
      </c>
      <c r="BY450">
        <f>SUM(Table1[[#This Row],[Savings - CAN]:[Savings - SAF]])+SUM(Table1[[#This Row],[Savings - Sams Mexico]:[Savings - Sams China]])+Table1[[#This Row],[Savings - IND]]</f>
        <v>0</v>
      </c>
      <c r="BZ450">
        <f>SUM(Table1[[#This Row],[Spend - US]:[Spend - Sams]])</f>
        <v>0</v>
      </c>
      <c r="CA450">
        <f>SUM(Table1[[#This Row],[Savings - US]:[Savings - Sams]])</f>
        <v>0</v>
      </c>
      <c r="CB450">
        <f>SUM(Table1[[#This Row],[Cost Avoidance - CAN2]:[Cost Avoidance - SAF10]])+SUM(Table1[[#This Row],[Cost Avoidance - Sams Mexico]:[Cost Avoidance - Sams China]])+Table1[[#This Row],[Cost Avoidance - IND]]</f>
        <v>0</v>
      </c>
      <c r="CC450">
        <f>SUM(Table1[[#This Row],[Cost Avoidance - US11]:[Cost Avoidance - Sams12]])</f>
        <v>0</v>
      </c>
      <c r="CD450" t="str">
        <f>_xlfn.XLOOKUP(Table1[[#This Row],[Status]],Status_Lookups[Status],Status_Lookups[Value],"")</f>
        <v/>
      </c>
    </row>
    <row r="451" spans="1:82">
      <c r="A451">
        <v>3</v>
      </c>
      <c r="B451" t="s">
        <v>90</v>
      </c>
      <c r="C451" t="s">
        <v>43</v>
      </c>
      <c r="D451" t="s">
        <v>39</v>
      </c>
      <c r="E451" s="15">
        <v>43952</v>
      </c>
      <c r="F451" s="15">
        <v>44285</v>
      </c>
      <c r="G451" s="15">
        <v>44054</v>
      </c>
      <c r="H451" s="15">
        <v>0</v>
      </c>
      <c r="I451" t="s">
        <v>704</v>
      </c>
      <c r="J451" t="s">
        <v>705</v>
      </c>
      <c r="K451">
        <v>0</v>
      </c>
      <c r="L451" t="s">
        <v>469</v>
      </c>
      <c r="M451">
        <v>0</v>
      </c>
      <c r="N451">
        <v>0</v>
      </c>
      <c r="O451">
        <v>0</v>
      </c>
      <c r="P451">
        <v>0</v>
      </c>
      <c r="Q451">
        <v>0</v>
      </c>
      <c r="R451">
        <v>0</v>
      </c>
      <c r="S451">
        <v>0</v>
      </c>
      <c r="T451">
        <v>0</v>
      </c>
      <c r="U451">
        <v>0</v>
      </c>
      <c r="V451">
        <v>0</v>
      </c>
      <c r="W451">
        <v>0</v>
      </c>
      <c r="X451" t="s">
        <v>34</v>
      </c>
      <c r="Y451" s="16">
        <v>44243.435458564818</v>
      </c>
      <c r="Z451" s="17" t="str">
        <f>_xlfn.XLOOKUP(Table1[[#This Row],[Phase]],'Lookup tables'!$Y$27:$Y$60,'Lookup tables'!$Z$27:$Z$60,"Not Updated")</f>
        <v>Analysis complete</v>
      </c>
      <c r="AA451" s="17" t="s">
        <v>706</v>
      </c>
      <c r="AB451">
        <v>0</v>
      </c>
      <c r="AC451">
        <v>0</v>
      </c>
      <c r="AD451">
        <v>90000</v>
      </c>
      <c r="AE451">
        <v>0</v>
      </c>
      <c r="AF451">
        <v>0</v>
      </c>
      <c r="AG451">
        <v>0</v>
      </c>
      <c r="AH451">
        <v>310000</v>
      </c>
      <c r="AI451">
        <v>0</v>
      </c>
      <c r="AJ451">
        <v>0</v>
      </c>
      <c r="AK451">
        <v>0</v>
      </c>
      <c r="AL451">
        <v>0</v>
      </c>
      <c r="BG451" s="185"/>
      <c r="BH451" s="185"/>
      <c r="BI451" s="185"/>
      <c r="BJ451" s="185"/>
      <c r="BK451" s="185"/>
      <c r="BL451" s="185"/>
      <c r="BM451" s="185"/>
      <c r="BN451" s="185"/>
      <c r="BO451" s="185"/>
      <c r="BP451" s="185"/>
      <c r="BQ451" s="185"/>
      <c r="BR451" s="185"/>
      <c r="BS451" s="185"/>
      <c r="BT451" s="185"/>
      <c r="BU451" t="b">
        <f>IF(_xlfn.MAXIFS(Table1[Sl No],Table1[Category],Table1[[#This Row],[Category]],Table1[Execution Year],Table1[[#This Row],[Execution Year]])=Table1[[#This Row],[Sl No]],TRUE,FALSE)</f>
        <v>0</v>
      </c>
      <c r="BV451" s="201">
        <f>SUM(Table1[[#This Row],[Spend - CAN]:[Spend - Sams]])+SUM(Table1[[#This Row],[Spend - Sams Mexico]:[Spend - Sams China]])+Table1[[#This Row],[Spend - IND]]</f>
        <v>0</v>
      </c>
      <c r="BW451">
        <f>SUM(Table1[[#This Row],[Savings - CAN]:[Savings - Sams]])+SUM(Table1[[#This Row],[Savings - Sams Mexico]:[Savings - Sams China]])+Table1[[#This Row],[Savings - IND]]</f>
        <v>400000</v>
      </c>
      <c r="BX451">
        <f>SUM(Table1[[#This Row],[Spend - CAN]:[Spend - SAF]])+SUM(Table1[[#This Row],[Spend - Sams Mexico]:[Spend - Sams China]])+Table1[[#This Row],[Spend - IND]]</f>
        <v>0</v>
      </c>
      <c r="BY451">
        <f>SUM(Table1[[#This Row],[Savings - CAN]:[Savings - SAF]])+SUM(Table1[[#This Row],[Savings - Sams Mexico]:[Savings - Sams China]])+Table1[[#This Row],[Savings - IND]]</f>
        <v>400000</v>
      </c>
      <c r="BZ451">
        <f>SUM(Table1[[#This Row],[Spend - US]:[Spend - Sams]])</f>
        <v>0</v>
      </c>
      <c r="CA451">
        <f>SUM(Table1[[#This Row],[Savings - US]:[Savings - Sams]])</f>
        <v>0</v>
      </c>
      <c r="CB451">
        <f>SUM(Table1[[#This Row],[Cost Avoidance - CAN2]:[Cost Avoidance - SAF10]])+SUM(Table1[[#This Row],[Cost Avoidance - Sams Mexico]:[Cost Avoidance - Sams China]])+Table1[[#This Row],[Cost Avoidance - IND]]</f>
        <v>0</v>
      </c>
      <c r="CC451">
        <f>SUM(Table1[[#This Row],[Cost Avoidance - US11]:[Cost Avoidance - Sams12]])</f>
        <v>0</v>
      </c>
      <c r="CD451">
        <f>_xlfn.XLOOKUP(Table1[[#This Row],[Status]],Status_Lookups[Status],Status_Lookups[Value],"")</f>
        <v>0.8</v>
      </c>
    </row>
    <row r="452" spans="1:82">
      <c r="A452">
        <v>4</v>
      </c>
      <c r="B452" t="s">
        <v>90</v>
      </c>
      <c r="C452" t="s">
        <v>43</v>
      </c>
      <c r="D452" t="s">
        <v>39</v>
      </c>
      <c r="E452" s="15">
        <v>43952</v>
      </c>
      <c r="F452" s="15">
        <v>44285</v>
      </c>
      <c r="G452" s="15">
        <v>44054</v>
      </c>
      <c r="H452" s="15">
        <v>0</v>
      </c>
      <c r="I452" t="s">
        <v>704</v>
      </c>
      <c r="J452" t="s">
        <v>705</v>
      </c>
      <c r="K452">
        <v>0</v>
      </c>
      <c r="L452" t="s">
        <v>469</v>
      </c>
      <c r="M452">
        <v>0</v>
      </c>
      <c r="N452">
        <v>0</v>
      </c>
      <c r="O452">
        <v>0</v>
      </c>
      <c r="P452">
        <v>0</v>
      </c>
      <c r="Q452">
        <v>0</v>
      </c>
      <c r="R452">
        <v>0</v>
      </c>
      <c r="S452">
        <v>0</v>
      </c>
      <c r="T452">
        <v>0</v>
      </c>
      <c r="U452">
        <v>0</v>
      </c>
      <c r="V452">
        <v>0</v>
      </c>
      <c r="W452">
        <v>0</v>
      </c>
      <c r="X452" t="s">
        <v>78</v>
      </c>
      <c r="Y452" s="16">
        <v>44243.574044560184</v>
      </c>
      <c r="Z452" s="17" t="str">
        <f>_xlfn.XLOOKUP(Table1[[#This Row],[Phase]],'Lookup tables'!$Y$27:$Y$60,'Lookup tables'!$Z$27:$Z$60,"Not Updated")</f>
        <v>Analysis complete</v>
      </c>
      <c r="AA452" s="17" t="s">
        <v>706</v>
      </c>
      <c r="AB452">
        <v>0</v>
      </c>
      <c r="AC452">
        <v>0</v>
      </c>
      <c r="AD452">
        <v>0</v>
      </c>
      <c r="AE452">
        <v>0</v>
      </c>
      <c r="AF452">
        <v>0</v>
      </c>
      <c r="AG452">
        <v>0</v>
      </c>
      <c r="AH452">
        <v>0</v>
      </c>
      <c r="AI452">
        <v>0</v>
      </c>
      <c r="AJ452">
        <v>0</v>
      </c>
      <c r="AK452">
        <v>0</v>
      </c>
      <c r="AL452">
        <v>0</v>
      </c>
      <c r="BG452" s="185"/>
      <c r="BH452" s="185"/>
      <c r="BI452" s="185"/>
      <c r="BJ452" s="185"/>
      <c r="BK452" s="185"/>
      <c r="BL452" s="185"/>
      <c r="BM452" s="185"/>
      <c r="BN452" s="185"/>
      <c r="BO452" s="185"/>
      <c r="BP452" s="185"/>
      <c r="BQ452" s="185"/>
      <c r="BR452" s="185"/>
      <c r="BS452" s="185"/>
      <c r="BT452" s="185"/>
      <c r="BU452" t="b">
        <f>IF(_xlfn.MAXIFS(Table1[Sl No],Table1[Category],Table1[[#This Row],[Category]],Table1[Execution Year],Table1[[#This Row],[Execution Year]])=Table1[[#This Row],[Sl No]],TRUE,FALSE)</f>
        <v>0</v>
      </c>
      <c r="BV452" s="201">
        <f>SUM(Table1[[#This Row],[Spend - CAN]:[Spend - Sams]])+SUM(Table1[[#This Row],[Spend - Sams Mexico]:[Spend - Sams China]])+Table1[[#This Row],[Spend - IND]]</f>
        <v>0</v>
      </c>
      <c r="BW452">
        <f>SUM(Table1[[#This Row],[Savings - CAN]:[Savings - Sams]])+SUM(Table1[[#This Row],[Savings - Sams Mexico]:[Savings - Sams China]])+Table1[[#This Row],[Savings - IND]]</f>
        <v>0</v>
      </c>
      <c r="BX452">
        <f>SUM(Table1[[#This Row],[Spend - CAN]:[Spend - SAF]])+SUM(Table1[[#This Row],[Spend - Sams Mexico]:[Spend - Sams China]])+Table1[[#This Row],[Spend - IND]]</f>
        <v>0</v>
      </c>
      <c r="BY452">
        <f>SUM(Table1[[#This Row],[Savings - CAN]:[Savings - SAF]])+SUM(Table1[[#This Row],[Savings - Sams Mexico]:[Savings - Sams China]])+Table1[[#This Row],[Savings - IND]]</f>
        <v>0</v>
      </c>
      <c r="BZ452">
        <f>SUM(Table1[[#This Row],[Spend - US]:[Spend - Sams]])</f>
        <v>0</v>
      </c>
      <c r="CA452">
        <f>SUM(Table1[[#This Row],[Savings - US]:[Savings - Sams]])</f>
        <v>0</v>
      </c>
      <c r="CB452">
        <f>SUM(Table1[[#This Row],[Cost Avoidance - CAN2]:[Cost Avoidance - SAF10]])+SUM(Table1[[#This Row],[Cost Avoidance - Sams Mexico]:[Cost Avoidance - Sams China]])+Table1[[#This Row],[Cost Avoidance - IND]]</f>
        <v>0</v>
      </c>
      <c r="CC452">
        <f>SUM(Table1[[#This Row],[Cost Avoidance - US11]:[Cost Avoidance - Sams12]])</f>
        <v>0</v>
      </c>
      <c r="CD452">
        <f>_xlfn.XLOOKUP(Table1[[#This Row],[Status]],Status_Lookups[Status],Status_Lookups[Value],"")</f>
        <v>0.8</v>
      </c>
    </row>
    <row r="453" spans="1:82">
      <c r="A453">
        <v>5</v>
      </c>
      <c r="B453" t="s">
        <v>90</v>
      </c>
      <c r="C453" t="s">
        <v>43</v>
      </c>
      <c r="D453" t="s">
        <v>39</v>
      </c>
      <c r="E453" s="15">
        <v>43952</v>
      </c>
      <c r="F453" s="15">
        <v>44285</v>
      </c>
      <c r="G453" s="15">
        <v>44054</v>
      </c>
      <c r="H453" s="15"/>
      <c r="I453" s="18" t="s">
        <v>642</v>
      </c>
      <c r="J453" t="s">
        <v>705</v>
      </c>
      <c r="K453">
        <v>0</v>
      </c>
      <c r="L453" t="s">
        <v>469</v>
      </c>
      <c r="M453">
        <v>0</v>
      </c>
      <c r="N453">
        <v>0</v>
      </c>
      <c r="O453">
        <v>0</v>
      </c>
      <c r="P453">
        <v>0</v>
      </c>
      <c r="Q453">
        <v>0</v>
      </c>
      <c r="R453">
        <v>0</v>
      </c>
      <c r="S453">
        <v>0</v>
      </c>
      <c r="T453">
        <v>0</v>
      </c>
      <c r="U453">
        <v>0</v>
      </c>
      <c r="V453">
        <v>0</v>
      </c>
      <c r="W453">
        <v>0</v>
      </c>
      <c r="X453" t="s">
        <v>97</v>
      </c>
      <c r="Y453" s="16">
        <v>44250.362835648149</v>
      </c>
      <c r="Z453" s="17" t="str">
        <f>_xlfn.XLOOKUP(Table1[[#This Row],[Phase]],'Lookup tables'!$Y$27:$Y$60,'Lookup tables'!$Z$27:$Z$60,"Not Updated")</f>
        <v>Post Bid</v>
      </c>
      <c r="AA453" s="17" t="s">
        <v>707</v>
      </c>
      <c r="AB453">
        <v>0</v>
      </c>
      <c r="AC453">
        <v>0</v>
      </c>
      <c r="AD453">
        <v>0</v>
      </c>
      <c r="AE453">
        <v>0</v>
      </c>
      <c r="AF453">
        <v>0</v>
      </c>
      <c r="AG453">
        <v>0</v>
      </c>
      <c r="AH453">
        <v>0</v>
      </c>
      <c r="AI453">
        <v>0</v>
      </c>
      <c r="AJ453">
        <v>0</v>
      </c>
      <c r="AK453">
        <v>0</v>
      </c>
      <c r="AL453">
        <v>0</v>
      </c>
      <c r="AM453">
        <v>0</v>
      </c>
      <c r="AN453">
        <v>0</v>
      </c>
      <c r="AO453">
        <v>0</v>
      </c>
      <c r="AP453">
        <v>0</v>
      </c>
      <c r="AQ453">
        <v>0</v>
      </c>
      <c r="AR453">
        <v>0</v>
      </c>
      <c r="AS453">
        <v>0</v>
      </c>
      <c r="AT453">
        <v>0</v>
      </c>
      <c r="AU453">
        <v>0</v>
      </c>
      <c r="AV453">
        <v>0</v>
      </c>
      <c r="AW453">
        <v>0</v>
      </c>
      <c r="BG453" s="185"/>
      <c r="BH453" s="185"/>
      <c r="BI453" s="185"/>
      <c r="BJ453" s="185"/>
      <c r="BK453" s="185"/>
      <c r="BL453" s="185"/>
      <c r="BM453" s="185"/>
      <c r="BN453" s="185"/>
      <c r="BO453" s="185"/>
      <c r="BP453" s="185"/>
      <c r="BQ453" s="185"/>
      <c r="BR453" s="185"/>
      <c r="BS453" s="185"/>
      <c r="BT453" s="185"/>
      <c r="BU453" t="b">
        <f>IF(_xlfn.MAXIFS(Table1[Sl No],Table1[Category],Table1[[#This Row],[Category]],Table1[Execution Year],Table1[[#This Row],[Execution Year]])=Table1[[#This Row],[Sl No]],TRUE,FALSE)</f>
        <v>0</v>
      </c>
      <c r="BV453" s="201">
        <f>SUM(Table1[[#This Row],[Spend - CAN]:[Spend - Sams]])+SUM(Table1[[#This Row],[Spend - Sams Mexico]:[Spend - Sams China]])+Table1[[#This Row],[Spend - IND]]</f>
        <v>0</v>
      </c>
      <c r="BW453">
        <f>SUM(Table1[[#This Row],[Savings - CAN]:[Savings - Sams]])+SUM(Table1[[#This Row],[Savings - Sams Mexico]:[Savings - Sams China]])+Table1[[#This Row],[Savings - IND]]</f>
        <v>0</v>
      </c>
      <c r="BX453">
        <f>SUM(Table1[[#This Row],[Spend - CAN]:[Spend - SAF]])+SUM(Table1[[#This Row],[Spend - Sams Mexico]:[Spend - Sams China]])+Table1[[#This Row],[Spend - IND]]</f>
        <v>0</v>
      </c>
      <c r="BY453">
        <f>SUM(Table1[[#This Row],[Savings - CAN]:[Savings - SAF]])+SUM(Table1[[#This Row],[Savings - Sams Mexico]:[Savings - Sams China]])+Table1[[#This Row],[Savings - IND]]</f>
        <v>0</v>
      </c>
      <c r="BZ453">
        <f>SUM(Table1[[#This Row],[Spend - US]:[Spend - Sams]])</f>
        <v>0</v>
      </c>
      <c r="CA453">
        <f>SUM(Table1[[#This Row],[Savings - US]:[Savings - Sams]])</f>
        <v>0</v>
      </c>
      <c r="CB453">
        <f>SUM(Table1[[#This Row],[Cost Avoidance - CAN2]:[Cost Avoidance - SAF10]])+SUM(Table1[[#This Row],[Cost Avoidance - Sams Mexico]:[Cost Avoidance - Sams China]])+Table1[[#This Row],[Cost Avoidance - IND]]</f>
        <v>0</v>
      </c>
      <c r="CC453">
        <f>SUM(Table1[[#This Row],[Cost Avoidance - US11]:[Cost Avoidance - Sams12]])</f>
        <v>0</v>
      </c>
      <c r="CD453">
        <f>_xlfn.XLOOKUP(Table1[[#This Row],[Status]],Status_Lookups[Status],Status_Lookups[Value],"")</f>
        <v>0.8</v>
      </c>
    </row>
    <row r="454" spans="1:82">
      <c r="A454">
        <v>6</v>
      </c>
      <c r="B454" t="s">
        <v>90</v>
      </c>
      <c r="C454" t="s">
        <v>43</v>
      </c>
      <c r="D454" t="s">
        <v>39</v>
      </c>
      <c r="E454" s="15">
        <v>43952</v>
      </c>
      <c r="F454" s="15">
        <v>44285</v>
      </c>
      <c r="G454" s="15">
        <v>44054</v>
      </c>
      <c r="H454" s="15"/>
      <c r="I454" s="18" t="s">
        <v>642</v>
      </c>
      <c r="J454" t="s">
        <v>705</v>
      </c>
      <c r="K454">
        <v>0</v>
      </c>
      <c r="L454" t="s">
        <v>469</v>
      </c>
      <c r="M454">
        <v>11048758</v>
      </c>
      <c r="N454">
        <v>7394775</v>
      </c>
      <c r="O454">
        <v>3090208</v>
      </c>
      <c r="P454">
        <v>4906041</v>
      </c>
      <c r="Q454">
        <v>662589</v>
      </c>
      <c r="R454">
        <v>24046480</v>
      </c>
      <c r="S454">
        <v>1928851</v>
      </c>
      <c r="T454">
        <v>0</v>
      </c>
      <c r="U454">
        <v>0</v>
      </c>
      <c r="V454">
        <v>0</v>
      </c>
      <c r="W454">
        <v>0</v>
      </c>
      <c r="X454" t="s">
        <v>97</v>
      </c>
      <c r="Y454" s="16">
        <v>44257.359297337964</v>
      </c>
      <c r="Z454" s="17" t="str">
        <f>_xlfn.XLOOKUP(Table1[[#This Row],[Phase]],'Lookup tables'!$Y$27:$Y$60,'Lookup tables'!$Z$27:$Z$60,"Not Updated")</f>
        <v>Post Bid</v>
      </c>
      <c r="AA454" s="17" t="s">
        <v>708</v>
      </c>
      <c r="AB454">
        <v>0</v>
      </c>
      <c r="AC454">
        <v>814321</v>
      </c>
      <c r="AD454">
        <v>1471991</v>
      </c>
      <c r="AE454">
        <v>645591</v>
      </c>
      <c r="AF454">
        <v>0</v>
      </c>
      <c r="AG454">
        <v>0</v>
      </c>
      <c r="AH454">
        <v>191615</v>
      </c>
      <c r="AI454">
        <v>0</v>
      </c>
      <c r="AJ454">
        <v>0</v>
      </c>
      <c r="AK454">
        <v>0</v>
      </c>
      <c r="AL454">
        <v>0</v>
      </c>
      <c r="AM454">
        <v>0</v>
      </c>
      <c r="AN454">
        <v>0</v>
      </c>
      <c r="AO454">
        <v>0</v>
      </c>
      <c r="AP454">
        <v>0</v>
      </c>
      <c r="AQ454">
        <v>0</v>
      </c>
      <c r="AR454">
        <v>0</v>
      </c>
      <c r="AS454">
        <v>0</v>
      </c>
      <c r="AT454">
        <v>0</v>
      </c>
      <c r="AU454">
        <v>0</v>
      </c>
      <c r="AV454">
        <v>0</v>
      </c>
      <c r="AW454">
        <v>0</v>
      </c>
      <c r="BG454" s="185"/>
      <c r="BH454" s="185"/>
      <c r="BI454" s="185"/>
      <c r="BJ454" s="185"/>
      <c r="BK454" s="185"/>
      <c r="BL454" s="185"/>
      <c r="BM454" s="185"/>
      <c r="BN454" s="185"/>
      <c r="BO454" s="185"/>
      <c r="BP454" s="185"/>
      <c r="BQ454" s="185"/>
      <c r="BR454" s="185"/>
      <c r="BS454" s="185"/>
      <c r="BT454" s="185"/>
      <c r="BU454" t="b">
        <f>IF(_xlfn.MAXIFS(Table1[Sl No],Table1[Category],Table1[[#This Row],[Category]],Table1[Execution Year],Table1[[#This Row],[Execution Year]])=Table1[[#This Row],[Sl No]],TRUE,FALSE)</f>
        <v>0</v>
      </c>
      <c r="BV454" s="201">
        <f>SUM(Table1[[#This Row],[Spend - CAN]:[Spend - Sams]])+SUM(Table1[[#This Row],[Spend - Sams Mexico]:[Spend - Sams China]])+Table1[[#This Row],[Spend - IND]]</f>
        <v>53077702</v>
      </c>
      <c r="BW454">
        <f>SUM(Table1[[#This Row],[Savings - CAN]:[Savings - Sams]])+SUM(Table1[[#This Row],[Savings - Sams Mexico]:[Savings - Sams China]])+Table1[[#This Row],[Savings - IND]]</f>
        <v>3123518</v>
      </c>
      <c r="BX454">
        <f>SUM(Table1[[#This Row],[Spend - CAN]:[Spend - SAF]])+SUM(Table1[[#This Row],[Spend - Sams Mexico]:[Spend - Sams China]])+Table1[[#This Row],[Spend - IND]]</f>
        <v>53077702</v>
      </c>
      <c r="BY454">
        <f>SUM(Table1[[#This Row],[Savings - CAN]:[Savings - SAF]])+SUM(Table1[[#This Row],[Savings - Sams Mexico]:[Savings - Sams China]])+Table1[[#This Row],[Savings - IND]]</f>
        <v>3123518</v>
      </c>
      <c r="BZ454">
        <f>SUM(Table1[[#This Row],[Spend - US]:[Spend - Sams]])</f>
        <v>0</v>
      </c>
      <c r="CA454">
        <f>SUM(Table1[[#This Row],[Savings - US]:[Savings - Sams]])</f>
        <v>0</v>
      </c>
      <c r="CB454">
        <f>SUM(Table1[[#This Row],[Cost Avoidance - CAN2]:[Cost Avoidance - SAF10]])+SUM(Table1[[#This Row],[Cost Avoidance - Sams Mexico]:[Cost Avoidance - Sams China]])+Table1[[#This Row],[Cost Avoidance - IND]]</f>
        <v>0</v>
      </c>
      <c r="CC454">
        <f>SUM(Table1[[#This Row],[Cost Avoidance - US11]:[Cost Avoidance - Sams12]])</f>
        <v>0</v>
      </c>
      <c r="CD454">
        <f>_xlfn.XLOOKUP(Table1[[#This Row],[Status]],Status_Lookups[Status],Status_Lookups[Value],"")</f>
        <v>0.8</v>
      </c>
    </row>
    <row r="455" spans="1:82">
      <c r="A455">
        <v>7</v>
      </c>
      <c r="B455" t="s">
        <v>90</v>
      </c>
      <c r="C455" t="s">
        <v>43</v>
      </c>
      <c r="D455" t="s">
        <v>39</v>
      </c>
      <c r="E455" s="15">
        <v>43952</v>
      </c>
      <c r="F455" s="15">
        <v>44285</v>
      </c>
      <c r="G455" s="15">
        <v>44054</v>
      </c>
      <c r="H455" s="15">
        <v>44301</v>
      </c>
      <c r="I455" s="18" t="s">
        <v>642</v>
      </c>
      <c r="J455" t="s">
        <v>705</v>
      </c>
      <c r="K455">
        <v>0</v>
      </c>
      <c r="L455" t="s">
        <v>469</v>
      </c>
      <c r="M455">
        <v>11048758</v>
      </c>
      <c r="N455">
        <v>7394775</v>
      </c>
      <c r="O455">
        <v>3090208</v>
      </c>
      <c r="P455">
        <v>4906041</v>
      </c>
      <c r="Q455">
        <v>662589</v>
      </c>
      <c r="R455">
        <v>24046480</v>
      </c>
      <c r="S455">
        <v>1928851</v>
      </c>
      <c r="T455">
        <v>0</v>
      </c>
      <c r="U455">
        <v>0</v>
      </c>
      <c r="V455">
        <v>0</v>
      </c>
      <c r="W455">
        <v>0</v>
      </c>
      <c r="X455" t="s">
        <v>97</v>
      </c>
      <c r="Y455" s="16">
        <v>44264.362983333333</v>
      </c>
      <c r="Z455" s="17" t="str">
        <f>_xlfn.XLOOKUP(Table1[[#This Row],[Phase]],'Lookup tables'!$Y$27:$Y$60,'Lookup tables'!$Z$27:$Z$60,"Not Updated")</f>
        <v>Post Bid</v>
      </c>
      <c r="AA455" s="17" t="s">
        <v>709</v>
      </c>
      <c r="AB455">
        <v>0</v>
      </c>
      <c r="AC455">
        <v>814321</v>
      </c>
      <c r="AD455">
        <v>1471991</v>
      </c>
      <c r="AE455">
        <v>645591</v>
      </c>
      <c r="AF455">
        <v>0</v>
      </c>
      <c r="AG455">
        <v>0</v>
      </c>
      <c r="AH455">
        <v>191615</v>
      </c>
      <c r="AI455">
        <v>0</v>
      </c>
      <c r="AJ455">
        <v>0</v>
      </c>
      <c r="AK455">
        <v>0</v>
      </c>
      <c r="AL455">
        <v>0</v>
      </c>
      <c r="AM455">
        <v>0</v>
      </c>
      <c r="AN455">
        <v>0</v>
      </c>
      <c r="AO455">
        <v>0</v>
      </c>
      <c r="AP455">
        <v>0</v>
      </c>
      <c r="AQ455">
        <v>0</v>
      </c>
      <c r="AR455">
        <v>0</v>
      </c>
      <c r="AS455">
        <v>0</v>
      </c>
      <c r="AT455">
        <v>0</v>
      </c>
      <c r="AU455">
        <v>0</v>
      </c>
      <c r="AV455">
        <v>0</v>
      </c>
      <c r="AW455">
        <v>0</v>
      </c>
      <c r="BG455" s="185"/>
      <c r="BH455" s="185"/>
      <c r="BI455" s="185"/>
      <c r="BJ455" s="185"/>
      <c r="BK455" s="185"/>
      <c r="BL455" s="185"/>
      <c r="BM455" s="185"/>
      <c r="BN455" s="185"/>
      <c r="BO455" s="185"/>
      <c r="BP455" s="185"/>
      <c r="BQ455" s="185"/>
      <c r="BR455" s="185"/>
      <c r="BS455" s="185"/>
      <c r="BT455" s="185"/>
      <c r="BU455" t="b">
        <f>IF(_xlfn.MAXIFS(Table1[Sl No],Table1[Category],Table1[[#This Row],[Category]],Table1[Execution Year],Table1[[#This Row],[Execution Year]])=Table1[[#This Row],[Sl No]],TRUE,FALSE)</f>
        <v>0</v>
      </c>
      <c r="BV455" s="201">
        <f>SUM(Table1[[#This Row],[Spend - CAN]:[Spend - Sams]])+SUM(Table1[[#This Row],[Spend - Sams Mexico]:[Spend - Sams China]])+Table1[[#This Row],[Spend - IND]]</f>
        <v>53077702</v>
      </c>
      <c r="BW455">
        <f>SUM(Table1[[#This Row],[Savings - CAN]:[Savings - Sams]])+SUM(Table1[[#This Row],[Savings - Sams Mexico]:[Savings - Sams China]])+Table1[[#This Row],[Savings - IND]]</f>
        <v>3123518</v>
      </c>
      <c r="BX455">
        <f>SUM(Table1[[#This Row],[Spend - CAN]:[Spend - SAF]])+SUM(Table1[[#This Row],[Spend - Sams Mexico]:[Spend - Sams China]])+Table1[[#This Row],[Spend - IND]]</f>
        <v>53077702</v>
      </c>
      <c r="BY455">
        <f>SUM(Table1[[#This Row],[Savings - CAN]:[Savings - SAF]])+SUM(Table1[[#This Row],[Savings - Sams Mexico]:[Savings - Sams China]])+Table1[[#This Row],[Savings - IND]]</f>
        <v>3123518</v>
      </c>
      <c r="BZ455">
        <f>SUM(Table1[[#This Row],[Spend - US]:[Spend - Sams]])</f>
        <v>0</v>
      </c>
      <c r="CA455">
        <f>SUM(Table1[[#This Row],[Savings - US]:[Savings - Sams]])</f>
        <v>0</v>
      </c>
      <c r="CB455">
        <f>SUM(Table1[[#This Row],[Cost Avoidance - CAN2]:[Cost Avoidance - SAF10]])+SUM(Table1[[#This Row],[Cost Avoidance - Sams Mexico]:[Cost Avoidance - Sams China]])+Table1[[#This Row],[Cost Avoidance - IND]]</f>
        <v>0</v>
      </c>
      <c r="CC455">
        <f>SUM(Table1[[#This Row],[Cost Avoidance - US11]:[Cost Avoidance - Sams12]])</f>
        <v>0</v>
      </c>
      <c r="CD455">
        <f>_xlfn.XLOOKUP(Table1[[#This Row],[Status]],Status_Lookups[Status],Status_Lookups[Value],"")</f>
        <v>0.8</v>
      </c>
    </row>
    <row r="456" spans="1:82">
      <c r="A456">
        <v>8</v>
      </c>
      <c r="B456" t="s">
        <v>90</v>
      </c>
      <c r="C456" t="s">
        <v>43</v>
      </c>
      <c r="D456" t="s">
        <v>39</v>
      </c>
      <c r="E456" s="15">
        <v>43952</v>
      </c>
      <c r="F456" s="15">
        <v>44285</v>
      </c>
      <c r="G456" s="15">
        <v>44054</v>
      </c>
      <c r="H456" s="15">
        <v>44301</v>
      </c>
      <c r="I456" t="s">
        <v>642</v>
      </c>
      <c r="J456" t="s">
        <v>705</v>
      </c>
      <c r="K456" t="s">
        <v>469</v>
      </c>
      <c r="L456" t="s">
        <v>469</v>
      </c>
      <c r="M456">
        <v>11048758</v>
      </c>
      <c r="N456">
        <v>7394775</v>
      </c>
      <c r="O456">
        <v>3090208</v>
      </c>
      <c r="P456">
        <v>4906041</v>
      </c>
      <c r="Q456">
        <v>662589</v>
      </c>
      <c r="R456">
        <v>24046480</v>
      </c>
      <c r="S456">
        <v>1928851</v>
      </c>
      <c r="T456">
        <v>0</v>
      </c>
      <c r="U456">
        <v>0</v>
      </c>
      <c r="V456">
        <v>0</v>
      </c>
      <c r="W456">
        <v>0</v>
      </c>
      <c r="X456" t="s">
        <v>97</v>
      </c>
      <c r="Y456" s="16">
        <v>44285.36760208333</v>
      </c>
      <c r="Z456" s="17" t="str">
        <f>_xlfn.XLOOKUP(Table1[[#This Row],[Phase]],'Lookup tables'!$Y$27:$Y$60,'Lookup tables'!$Z$27:$Z$60,"Not Updated")</f>
        <v>Post Bid</v>
      </c>
      <c r="AA456" s="17" t="s">
        <v>709</v>
      </c>
      <c r="AB456">
        <v>0</v>
      </c>
      <c r="AC456">
        <v>814321</v>
      </c>
      <c r="AD456">
        <v>1471991</v>
      </c>
      <c r="AE456">
        <v>645591</v>
      </c>
      <c r="AF456">
        <v>0</v>
      </c>
      <c r="AG456">
        <v>0</v>
      </c>
      <c r="AH456">
        <v>191615</v>
      </c>
      <c r="AI456">
        <v>0</v>
      </c>
      <c r="AJ456">
        <v>0</v>
      </c>
      <c r="AK456">
        <v>0</v>
      </c>
      <c r="AL456">
        <v>0</v>
      </c>
      <c r="AM456">
        <v>0</v>
      </c>
      <c r="AN456">
        <v>0</v>
      </c>
      <c r="AO456">
        <v>0</v>
      </c>
      <c r="AP456">
        <v>0</v>
      </c>
      <c r="AQ456">
        <v>0</v>
      </c>
      <c r="AR456">
        <v>0</v>
      </c>
      <c r="AS456">
        <v>0</v>
      </c>
      <c r="AT456">
        <v>0</v>
      </c>
      <c r="AU456">
        <v>0</v>
      </c>
      <c r="AV456">
        <v>0</v>
      </c>
      <c r="AW456">
        <v>0</v>
      </c>
      <c r="BG456" s="185"/>
      <c r="BH456" s="185"/>
      <c r="BI456" s="185"/>
      <c r="BJ456" s="185"/>
      <c r="BK456" s="185"/>
      <c r="BL456" s="185"/>
      <c r="BM456" s="185"/>
      <c r="BN456" s="185"/>
      <c r="BO456" s="185"/>
      <c r="BP456" s="185"/>
      <c r="BQ456" s="185"/>
      <c r="BR456" s="185"/>
      <c r="BS456" s="185"/>
      <c r="BT456" s="185"/>
      <c r="BU456" t="b">
        <f>IF(_xlfn.MAXIFS(Table1[Sl No],Table1[Category],Table1[[#This Row],[Category]],Table1[Execution Year],Table1[[#This Row],[Execution Year]])=Table1[[#This Row],[Sl No]],TRUE,FALSE)</f>
        <v>0</v>
      </c>
      <c r="BV456" s="201">
        <f>SUM(Table1[[#This Row],[Spend - CAN]:[Spend - Sams]])+SUM(Table1[[#This Row],[Spend - Sams Mexico]:[Spend - Sams China]])+Table1[[#This Row],[Spend - IND]]</f>
        <v>53077702</v>
      </c>
      <c r="BW456">
        <f>SUM(Table1[[#This Row],[Savings - CAN]:[Savings - Sams]])+SUM(Table1[[#This Row],[Savings - Sams Mexico]:[Savings - Sams China]])+Table1[[#This Row],[Savings - IND]]</f>
        <v>3123518</v>
      </c>
      <c r="BX456">
        <f>SUM(Table1[[#This Row],[Spend - CAN]:[Spend - SAF]])+SUM(Table1[[#This Row],[Spend - Sams Mexico]:[Spend - Sams China]])+Table1[[#This Row],[Spend - IND]]</f>
        <v>53077702</v>
      </c>
      <c r="BY456">
        <f>SUM(Table1[[#This Row],[Savings - CAN]:[Savings - SAF]])+SUM(Table1[[#This Row],[Savings - Sams Mexico]:[Savings - Sams China]])+Table1[[#This Row],[Savings - IND]]</f>
        <v>3123518</v>
      </c>
      <c r="BZ456">
        <f>SUM(Table1[[#This Row],[Spend - US]:[Spend - Sams]])</f>
        <v>0</v>
      </c>
      <c r="CA456">
        <f>SUM(Table1[[#This Row],[Savings - US]:[Savings - Sams]])</f>
        <v>0</v>
      </c>
      <c r="CB456">
        <f>SUM(Table1[[#This Row],[Cost Avoidance - CAN2]:[Cost Avoidance - SAF10]])+SUM(Table1[[#This Row],[Cost Avoidance - Sams Mexico]:[Cost Avoidance - Sams China]])+Table1[[#This Row],[Cost Avoidance - IND]]</f>
        <v>0</v>
      </c>
      <c r="CC456">
        <f>SUM(Table1[[#This Row],[Cost Avoidance - US11]:[Cost Avoidance - Sams12]])</f>
        <v>0</v>
      </c>
      <c r="CD456">
        <f>_xlfn.XLOOKUP(Table1[[#This Row],[Status]],Status_Lookups[Status],Status_Lookups[Value],"")</f>
        <v>0.8</v>
      </c>
    </row>
    <row r="457" spans="1:82">
      <c r="A457">
        <v>9</v>
      </c>
      <c r="B457" t="s">
        <v>90</v>
      </c>
      <c r="C457" t="s">
        <v>43</v>
      </c>
      <c r="D457" t="s">
        <v>39</v>
      </c>
      <c r="E457" s="15">
        <v>43952</v>
      </c>
      <c r="F457" s="15">
        <v>44285</v>
      </c>
      <c r="G457" s="15">
        <v>44054</v>
      </c>
      <c r="H457" s="15">
        <v>44301</v>
      </c>
      <c r="I457" t="s">
        <v>642</v>
      </c>
      <c r="J457" t="s">
        <v>705</v>
      </c>
      <c r="K457" t="s">
        <v>469</v>
      </c>
      <c r="L457" t="s">
        <v>469</v>
      </c>
      <c r="M457">
        <v>11048758</v>
      </c>
      <c r="N457">
        <v>7394775</v>
      </c>
      <c r="O457">
        <v>3090208</v>
      </c>
      <c r="P457">
        <v>4906041</v>
      </c>
      <c r="Q457">
        <v>662589</v>
      </c>
      <c r="R457">
        <v>24046480</v>
      </c>
      <c r="S457">
        <v>1928851</v>
      </c>
      <c r="T457">
        <v>0</v>
      </c>
      <c r="U457">
        <v>0</v>
      </c>
      <c r="V457">
        <v>0</v>
      </c>
      <c r="W457">
        <v>0</v>
      </c>
      <c r="X457" t="s">
        <v>445</v>
      </c>
      <c r="Y457" s="16">
        <v>44302.633931249999</v>
      </c>
      <c r="Z457" s="17" t="str">
        <f>_xlfn.XLOOKUP(Table1[[#This Row],[Phase]],'Lookup tables'!$Y$27:$Y$60,'Lookup tables'!$Z$27:$Z$60,"Not Updated")</f>
        <v>Post Bid</v>
      </c>
      <c r="AA457" s="17" t="s">
        <v>709</v>
      </c>
      <c r="AB457">
        <v>0</v>
      </c>
      <c r="AC457">
        <v>814321</v>
      </c>
      <c r="AD457">
        <v>1471991</v>
      </c>
      <c r="AE457">
        <v>645591</v>
      </c>
      <c r="AF457">
        <v>0</v>
      </c>
      <c r="AG457">
        <v>0</v>
      </c>
      <c r="AH457">
        <v>191615</v>
      </c>
      <c r="AI457">
        <v>0</v>
      </c>
      <c r="AJ457">
        <v>0</v>
      </c>
      <c r="AK457">
        <v>0</v>
      </c>
      <c r="AL457">
        <v>0</v>
      </c>
      <c r="AM457">
        <v>0</v>
      </c>
      <c r="AN457">
        <v>0</v>
      </c>
      <c r="AO457">
        <v>0</v>
      </c>
      <c r="AP457">
        <v>0</v>
      </c>
      <c r="AQ457">
        <v>0</v>
      </c>
      <c r="AR457">
        <v>0</v>
      </c>
      <c r="AS457">
        <v>0</v>
      </c>
      <c r="AT457">
        <v>0</v>
      </c>
      <c r="AU457">
        <v>0</v>
      </c>
      <c r="AV457">
        <v>0</v>
      </c>
      <c r="AW457">
        <v>0</v>
      </c>
      <c r="BG457" s="185"/>
      <c r="BH457" s="185"/>
      <c r="BI457" s="185"/>
      <c r="BJ457" s="185"/>
      <c r="BK457" s="185"/>
      <c r="BL457" s="185"/>
      <c r="BM457" s="185"/>
      <c r="BN457" s="185"/>
      <c r="BO457" s="185"/>
      <c r="BP457" s="185"/>
      <c r="BQ457" s="185"/>
      <c r="BR457" s="185"/>
      <c r="BS457" s="185"/>
      <c r="BT457" s="185"/>
      <c r="BU457" t="b">
        <f>IF(_xlfn.MAXIFS(Table1[Sl No],Table1[Category],Table1[[#This Row],[Category]],Table1[Execution Year],Table1[[#This Row],[Execution Year]])=Table1[[#This Row],[Sl No]],TRUE,FALSE)</f>
        <v>0</v>
      </c>
      <c r="BV457" s="201">
        <f>SUM(Table1[[#This Row],[Spend - CAN]:[Spend - Sams]])+SUM(Table1[[#This Row],[Spend - Sams Mexico]:[Spend - Sams China]])+Table1[[#This Row],[Spend - IND]]</f>
        <v>53077702</v>
      </c>
      <c r="BW457">
        <f>SUM(Table1[[#This Row],[Savings - CAN]:[Savings - Sams]])+SUM(Table1[[#This Row],[Savings - Sams Mexico]:[Savings - Sams China]])+Table1[[#This Row],[Savings - IND]]</f>
        <v>3123518</v>
      </c>
      <c r="BX457">
        <f>SUM(Table1[[#This Row],[Spend - CAN]:[Spend - SAF]])+SUM(Table1[[#This Row],[Spend - Sams Mexico]:[Spend - Sams China]])+Table1[[#This Row],[Spend - IND]]</f>
        <v>53077702</v>
      </c>
      <c r="BY457">
        <f>SUM(Table1[[#This Row],[Savings - CAN]:[Savings - SAF]])+SUM(Table1[[#This Row],[Savings - Sams Mexico]:[Savings - Sams China]])+Table1[[#This Row],[Savings - IND]]</f>
        <v>3123518</v>
      </c>
      <c r="BZ457">
        <f>SUM(Table1[[#This Row],[Spend - US]:[Spend - Sams]])</f>
        <v>0</v>
      </c>
      <c r="CA457">
        <f>SUM(Table1[[#This Row],[Savings - US]:[Savings - Sams]])</f>
        <v>0</v>
      </c>
      <c r="CB457">
        <f>SUM(Table1[[#This Row],[Cost Avoidance - CAN2]:[Cost Avoidance - SAF10]])+SUM(Table1[[#This Row],[Cost Avoidance - Sams Mexico]:[Cost Avoidance - Sams China]])+Table1[[#This Row],[Cost Avoidance - IND]]</f>
        <v>0</v>
      </c>
      <c r="CC457">
        <f>SUM(Table1[[#This Row],[Cost Avoidance - US11]:[Cost Avoidance - Sams12]])</f>
        <v>0</v>
      </c>
      <c r="CD457">
        <f>_xlfn.XLOOKUP(Table1[[#This Row],[Status]],Status_Lookups[Status],Status_Lookups[Value],"")</f>
        <v>0.8</v>
      </c>
    </row>
    <row r="458" spans="1:82">
      <c r="A458">
        <v>10</v>
      </c>
      <c r="B458" t="s">
        <v>90</v>
      </c>
      <c r="C458" t="s">
        <v>43</v>
      </c>
      <c r="D458" t="s">
        <v>39</v>
      </c>
      <c r="E458" s="15">
        <v>43952</v>
      </c>
      <c r="F458" s="15">
        <v>44285</v>
      </c>
      <c r="G458" s="15">
        <v>44054</v>
      </c>
      <c r="H458" s="15">
        <v>44316</v>
      </c>
      <c r="I458" t="s">
        <v>642</v>
      </c>
      <c r="J458" t="s">
        <v>705</v>
      </c>
      <c r="K458" t="s">
        <v>469</v>
      </c>
      <c r="L458" t="s">
        <v>469</v>
      </c>
      <c r="M458">
        <v>11048758</v>
      </c>
      <c r="N458">
        <v>7394775</v>
      </c>
      <c r="O458">
        <v>3090208</v>
      </c>
      <c r="P458">
        <v>4906041</v>
      </c>
      <c r="Q458">
        <v>662589</v>
      </c>
      <c r="R458">
        <v>24046480</v>
      </c>
      <c r="S458">
        <v>1928851</v>
      </c>
      <c r="T458">
        <v>0</v>
      </c>
      <c r="U458">
        <v>0</v>
      </c>
      <c r="V458">
        <v>0</v>
      </c>
      <c r="W458">
        <v>0</v>
      </c>
      <c r="X458" t="s">
        <v>34</v>
      </c>
      <c r="Y458" s="16">
        <v>44305.504222222226</v>
      </c>
      <c r="Z458" s="17" t="str">
        <f>_xlfn.XLOOKUP(Table1[[#This Row],[Phase]],'Lookup tables'!$Y$27:$Y$60,'Lookup tables'!$Z$27:$Z$60,"Not Updated")</f>
        <v>Post Bid</v>
      </c>
      <c r="AA458" s="17" t="s">
        <v>709</v>
      </c>
      <c r="AB458">
        <v>0</v>
      </c>
      <c r="AC458">
        <v>814321</v>
      </c>
      <c r="AD458">
        <v>1471991</v>
      </c>
      <c r="AE458">
        <v>645591</v>
      </c>
      <c r="AF458">
        <v>0</v>
      </c>
      <c r="AG458">
        <v>0</v>
      </c>
      <c r="AH458">
        <v>191615</v>
      </c>
      <c r="AI458">
        <v>0</v>
      </c>
      <c r="AJ458">
        <v>0</v>
      </c>
      <c r="AK458">
        <v>0</v>
      </c>
      <c r="AL458">
        <v>0</v>
      </c>
      <c r="AM458">
        <v>0</v>
      </c>
      <c r="AN458">
        <v>0</v>
      </c>
      <c r="AO458">
        <v>0</v>
      </c>
      <c r="AP458">
        <v>0</v>
      </c>
      <c r="AQ458">
        <v>0</v>
      </c>
      <c r="AR458">
        <v>0</v>
      </c>
      <c r="AS458">
        <v>0</v>
      </c>
      <c r="AT458">
        <v>0</v>
      </c>
      <c r="AU458">
        <v>0</v>
      </c>
      <c r="AV458">
        <v>0</v>
      </c>
      <c r="AW458">
        <v>0</v>
      </c>
      <c r="BG458" s="185"/>
      <c r="BH458" s="185"/>
      <c r="BI458" s="185"/>
      <c r="BJ458" s="185"/>
      <c r="BK458" s="185"/>
      <c r="BL458" s="185"/>
      <c r="BM458" s="185"/>
      <c r="BN458" s="185"/>
      <c r="BO458" s="185"/>
      <c r="BP458" s="185"/>
      <c r="BQ458" s="185"/>
      <c r="BR458" s="185"/>
      <c r="BS458" s="185"/>
      <c r="BT458" s="185"/>
      <c r="BU458" t="b">
        <f>IF(_xlfn.MAXIFS(Table1[Sl No],Table1[Category],Table1[[#This Row],[Category]],Table1[Execution Year],Table1[[#This Row],[Execution Year]])=Table1[[#This Row],[Sl No]],TRUE,FALSE)</f>
        <v>0</v>
      </c>
      <c r="BV458" s="201">
        <f>SUM(Table1[[#This Row],[Spend - CAN]:[Spend - Sams]])+SUM(Table1[[#This Row],[Spend - Sams Mexico]:[Spend - Sams China]])+Table1[[#This Row],[Spend - IND]]</f>
        <v>53077702</v>
      </c>
      <c r="BW458">
        <f>SUM(Table1[[#This Row],[Savings - CAN]:[Savings - Sams]])+SUM(Table1[[#This Row],[Savings - Sams Mexico]:[Savings - Sams China]])+Table1[[#This Row],[Savings - IND]]</f>
        <v>3123518</v>
      </c>
      <c r="BX458">
        <f>SUM(Table1[[#This Row],[Spend - CAN]:[Spend - SAF]])+SUM(Table1[[#This Row],[Spend - Sams Mexico]:[Spend - Sams China]])+Table1[[#This Row],[Spend - IND]]</f>
        <v>53077702</v>
      </c>
      <c r="BY458">
        <f>SUM(Table1[[#This Row],[Savings - CAN]:[Savings - SAF]])+SUM(Table1[[#This Row],[Savings - Sams Mexico]:[Savings - Sams China]])+Table1[[#This Row],[Savings - IND]]</f>
        <v>3123518</v>
      </c>
      <c r="BZ458">
        <f>SUM(Table1[[#This Row],[Spend - US]:[Spend - Sams]])</f>
        <v>0</v>
      </c>
      <c r="CA458">
        <f>SUM(Table1[[#This Row],[Savings - US]:[Savings - Sams]])</f>
        <v>0</v>
      </c>
      <c r="CB458">
        <f>SUM(Table1[[#This Row],[Cost Avoidance - CAN2]:[Cost Avoidance - SAF10]])+SUM(Table1[[#This Row],[Cost Avoidance - Sams Mexico]:[Cost Avoidance - Sams China]])+Table1[[#This Row],[Cost Avoidance - IND]]</f>
        <v>0</v>
      </c>
      <c r="CC458">
        <f>SUM(Table1[[#This Row],[Cost Avoidance - US11]:[Cost Avoidance - Sams12]])</f>
        <v>0</v>
      </c>
      <c r="CD458">
        <f>_xlfn.XLOOKUP(Table1[[#This Row],[Status]],Status_Lookups[Status],Status_Lookups[Value],"")</f>
        <v>0.8</v>
      </c>
    </row>
    <row r="459" spans="1:82">
      <c r="A459">
        <v>11</v>
      </c>
      <c r="B459" t="s">
        <v>90</v>
      </c>
      <c r="C459" t="s">
        <v>43</v>
      </c>
      <c r="D459" t="s">
        <v>39</v>
      </c>
      <c r="E459" s="15">
        <v>43952</v>
      </c>
      <c r="F459" s="15">
        <v>44285</v>
      </c>
      <c r="G459" s="15">
        <v>44054</v>
      </c>
      <c r="H459" s="15">
        <v>44344</v>
      </c>
      <c r="I459" t="s">
        <v>636</v>
      </c>
      <c r="J459" t="s">
        <v>705</v>
      </c>
      <c r="K459" t="s">
        <v>469</v>
      </c>
      <c r="L459" t="s">
        <v>469</v>
      </c>
      <c r="M459">
        <v>11048758</v>
      </c>
      <c r="N459">
        <v>7394775</v>
      </c>
      <c r="O459">
        <v>3090208</v>
      </c>
      <c r="P459">
        <v>4906041</v>
      </c>
      <c r="Q459">
        <v>662589</v>
      </c>
      <c r="R459">
        <v>24046480</v>
      </c>
      <c r="S459">
        <v>1928851</v>
      </c>
      <c r="T459">
        <v>0</v>
      </c>
      <c r="U459">
        <v>0</v>
      </c>
      <c r="V459">
        <v>0</v>
      </c>
      <c r="W459">
        <v>0</v>
      </c>
      <c r="X459" t="s">
        <v>34</v>
      </c>
      <c r="Y459" s="16">
        <v>44343.350832523145</v>
      </c>
      <c r="Z459" s="17" t="str">
        <f>_xlfn.XLOOKUP(Table1[[#This Row],[Phase]],'Lookup tables'!$Y$27:$Y$60,'Lookup tables'!$Z$27:$Z$60,"Not Updated")</f>
        <v>Award</v>
      </c>
      <c r="AA459" s="17" t="s">
        <v>710</v>
      </c>
      <c r="AB459">
        <v>0</v>
      </c>
      <c r="AC459">
        <v>814321</v>
      </c>
      <c r="AD459">
        <v>1471991</v>
      </c>
      <c r="AE459">
        <v>645591</v>
      </c>
      <c r="AF459">
        <v>0</v>
      </c>
      <c r="AG459">
        <v>0</v>
      </c>
      <c r="AH459">
        <v>191615</v>
      </c>
      <c r="AI459">
        <v>0</v>
      </c>
      <c r="AJ459">
        <v>0</v>
      </c>
      <c r="AK459">
        <v>0</v>
      </c>
      <c r="AL459">
        <v>0</v>
      </c>
      <c r="AM459">
        <v>0</v>
      </c>
      <c r="AN459">
        <v>0</v>
      </c>
      <c r="AO459">
        <v>0</v>
      </c>
      <c r="AP459">
        <v>0</v>
      </c>
      <c r="AQ459">
        <v>0</v>
      </c>
      <c r="AR459">
        <v>0</v>
      </c>
      <c r="AS459">
        <v>0</v>
      </c>
      <c r="AT459">
        <v>0</v>
      </c>
      <c r="AU459">
        <v>0</v>
      </c>
      <c r="AV459">
        <v>0</v>
      </c>
      <c r="AW459">
        <v>0</v>
      </c>
      <c r="BG459" s="185"/>
      <c r="BH459" s="185"/>
      <c r="BI459" s="185"/>
      <c r="BJ459" s="185"/>
      <c r="BK459" s="185"/>
      <c r="BL459" s="185"/>
      <c r="BM459" s="185"/>
      <c r="BN459" s="185"/>
      <c r="BO459" s="185"/>
      <c r="BP459" s="185"/>
      <c r="BQ459" s="185"/>
      <c r="BR459" s="185"/>
      <c r="BS459" s="185"/>
      <c r="BT459" s="185"/>
      <c r="BU459" t="b">
        <f>IF(_xlfn.MAXIFS(Table1[Sl No],Table1[Category],Table1[[#This Row],[Category]],Table1[Execution Year],Table1[[#This Row],[Execution Year]])=Table1[[#This Row],[Sl No]],TRUE,FALSE)</f>
        <v>0</v>
      </c>
      <c r="BV459" s="201">
        <f>SUM(Table1[[#This Row],[Spend - CAN]:[Spend - Sams]])+SUM(Table1[[#This Row],[Spend - Sams Mexico]:[Spend - Sams China]])+Table1[[#This Row],[Spend - IND]]</f>
        <v>53077702</v>
      </c>
      <c r="BW459">
        <f>SUM(Table1[[#This Row],[Savings - CAN]:[Savings - Sams]])+SUM(Table1[[#This Row],[Savings - Sams Mexico]:[Savings - Sams China]])+Table1[[#This Row],[Savings - IND]]</f>
        <v>3123518</v>
      </c>
      <c r="BX459">
        <f>SUM(Table1[[#This Row],[Spend - CAN]:[Spend - SAF]])+SUM(Table1[[#This Row],[Spend - Sams Mexico]:[Spend - Sams China]])+Table1[[#This Row],[Spend - IND]]</f>
        <v>53077702</v>
      </c>
      <c r="BY459">
        <f>SUM(Table1[[#This Row],[Savings - CAN]:[Savings - SAF]])+SUM(Table1[[#This Row],[Savings - Sams Mexico]:[Savings - Sams China]])+Table1[[#This Row],[Savings - IND]]</f>
        <v>3123518</v>
      </c>
      <c r="BZ459">
        <f>SUM(Table1[[#This Row],[Spend - US]:[Spend - Sams]])</f>
        <v>0</v>
      </c>
      <c r="CA459">
        <f>SUM(Table1[[#This Row],[Savings - US]:[Savings - Sams]])</f>
        <v>0</v>
      </c>
      <c r="CB459">
        <f>SUM(Table1[[#This Row],[Cost Avoidance - CAN2]:[Cost Avoidance - SAF10]])+SUM(Table1[[#This Row],[Cost Avoidance - Sams Mexico]:[Cost Avoidance - Sams China]])+Table1[[#This Row],[Cost Avoidance - IND]]</f>
        <v>0</v>
      </c>
      <c r="CC459">
        <f>SUM(Table1[[#This Row],[Cost Avoidance - US11]:[Cost Avoidance - Sams12]])</f>
        <v>0</v>
      </c>
      <c r="CD459">
        <f>_xlfn.XLOOKUP(Table1[[#This Row],[Status]],Status_Lookups[Status],Status_Lookups[Value],"")</f>
        <v>0.8</v>
      </c>
    </row>
    <row r="460" spans="1:82">
      <c r="A460">
        <v>12</v>
      </c>
      <c r="B460" t="s">
        <v>90</v>
      </c>
      <c r="C460" t="s">
        <v>43</v>
      </c>
      <c r="D460" t="s">
        <v>39</v>
      </c>
      <c r="E460" s="15">
        <v>43952</v>
      </c>
      <c r="F460" s="15">
        <v>44285</v>
      </c>
      <c r="G460" s="15">
        <v>44054</v>
      </c>
      <c r="H460" s="15">
        <v>44344</v>
      </c>
      <c r="I460" t="s">
        <v>443</v>
      </c>
      <c r="J460" t="s">
        <v>444</v>
      </c>
      <c r="K460" t="s">
        <v>469</v>
      </c>
      <c r="L460" t="s">
        <v>469</v>
      </c>
      <c r="M460">
        <v>11048758</v>
      </c>
      <c r="N460">
        <v>7394775</v>
      </c>
      <c r="O460">
        <v>3090208</v>
      </c>
      <c r="P460">
        <v>4906041</v>
      </c>
      <c r="Q460">
        <v>662589</v>
      </c>
      <c r="R460">
        <v>24046480</v>
      </c>
      <c r="S460">
        <v>1928851</v>
      </c>
      <c r="T460">
        <v>0</v>
      </c>
      <c r="U460">
        <v>0</v>
      </c>
      <c r="V460">
        <v>0</v>
      </c>
      <c r="W460">
        <v>0</v>
      </c>
      <c r="X460" t="s">
        <v>78</v>
      </c>
      <c r="Y460" s="16">
        <v>44566.395643402779</v>
      </c>
      <c r="Z460" s="17" t="str">
        <f>_xlfn.XLOOKUP(Table1[[#This Row],[Phase]],'Lookup tables'!$Y$27:$Y$60,'Lookup tables'!$Z$27:$Z$60,"Not Updated")</f>
        <v>Completed</v>
      </c>
      <c r="AA460" s="17" t="s">
        <v>710</v>
      </c>
      <c r="AB460">
        <v>0</v>
      </c>
      <c r="AC460">
        <v>814321</v>
      </c>
      <c r="AD460">
        <v>1471991</v>
      </c>
      <c r="AE460">
        <v>645591</v>
      </c>
      <c r="AF460">
        <v>0</v>
      </c>
      <c r="AG460">
        <v>0</v>
      </c>
      <c r="AH460">
        <v>191615</v>
      </c>
      <c r="AI460">
        <v>0</v>
      </c>
      <c r="AJ460">
        <v>0</v>
      </c>
      <c r="AK460">
        <v>0</v>
      </c>
      <c r="AL460">
        <v>0</v>
      </c>
      <c r="AM460">
        <v>0</v>
      </c>
      <c r="AN460">
        <v>0</v>
      </c>
      <c r="AO460">
        <v>0</v>
      </c>
      <c r="AP460">
        <v>0</v>
      </c>
      <c r="AQ460">
        <v>0</v>
      </c>
      <c r="AR460">
        <v>0</v>
      </c>
      <c r="AS460">
        <v>0</v>
      </c>
      <c r="AT460">
        <v>0</v>
      </c>
      <c r="AU460">
        <v>0</v>
      </c>
      <c r="AV460">
        <v>0</v>
      </c>
      <c r="AW460">
        <v>0</v>
      </c>
      <c r="BG460" s="185"/>
      <c r="BH460" s="185"/>
      <c r="BI460" s="185"/>
      <c r="BJ460" s="185"/>
      <c r="BK460" s="185"/>
      <c r="BL460" s="185"/>
      <c r="BM460" s="185"/>
      <c r="BN460" s="185"/>
      <c r="BO460" s="185"/>
      <c r="BP460" s="185"/>
      <c r="BQ460" s="185"/>
      <c r="BR460" s="185"/>
      <c r="BS460" s="185"/>
      <c r="BT460" s="185"/>
      <c r="BU460" t="b">
        <f>IF(_xlfn.MAXIFS(Table1[Sl No],Table1[Category],Table1[[#This Row],[Category]],Table1[Execution Year],Table1[[#This Row],[Execution Year]])=Table1[[#This Row],[Sl No]],TRUE,FALSE)</f>
        <v>1</v>
      </c>
      <c r="BV460" s="201">
        <f>SUM(Table1[[#This Row],[Spend - CAN]:[Spend - Sams]])+SUM(Table1[[#This Row],[Spend - Sams Mexico]:[Spend - Sams China]])+Table1[[#This Row],[Spend - IND]]</f>
        <v>53077702</v>
      </c>
      <c r="BW460">
        <f>SUM(Table1[[#This Row],[Savings - CAN]:[Savings - Sams]])+SUM(Table1[[#This Row],[Savings - Sams Mexico]:[Savings - Sams China]])+Table1[[#This Row],[Savings - IND]]</f>
        <v>3123518</v>
      </c>
      <c r="BX460">
        <f>SUM(Table1[[#This Row],[Spend - CAN]:[Spend - SAF]])+SUM(Table1[[#This Row],[Spend - Sams Mexico]:[Spend - Sams China]])+Table1[[#This Row],[Spend - IND]]</f>
        <v>53077702</v>
      </c>
      <c r="BY460">
        <f>SUM(Table1[[#This Row],[Savings - CAN]:[Savings - SAF]])+SUM(Table1[[#This Row],[Savings - Sams Mexico]:[Savings - Sams China]])+Table1[[#This Row],[Savings - IND]]</f>
        <v>3123518</v>
      </c>
      <c r="BZ460">
        <f>SUM(Table1[[#This Row],[Spend - US]:[Spend - Sams]])</f>
        <v>0</v>
      </c>
      <c r="CA460">
        <f>SUM(Table1[[#This Row],[Savings - US]:[Savings - Sams]])</f>
        <v>0</v>
      </c>
      <c r="CB460">
        <f>SUM(Table1[[#This Row],[Cost Avoidance - CAN2]:[Cost Avoidance - SAF10]])+SUM(Table1[[#This Row],[Cost Avoidance - Sams Mexico]:[Cost Avoidance - Sams China]])+Table1[[#This Row],[Cost Avoidance - IND]]</f>
        <v>0</v>
      </c>
      <c r="CC460">
        <f>SUM(Table1[[#This Row],[Cost Avoidance - US11]:[Cost Avoidance - Sams12]])</f>
        <v>0</v>
      </c>
      <c r="CD460">
        <f>_xlfn.XLOOKUP(Table1[[#This Row],[Status]],Status_Lookups[Status],Status_Lookups[Value],"")</f>
        <v>0.2</v>
      </c>
    </row>
    <row r="461" spans="1:82">
      <c r="A461">
        <v>3</v>
      </c>
      <c r="B461" t="s">
        <v>578</v>
      </c>
      <c r="C461" t="s">
        <v>33</v>
      </c>
      <c r="D461">
        <v>0</v>
      </c>
      <c r="E461" s="15">
        <v>0</v>
      </c>
      <c r="F461" s="15">
        <v>0</v>
      </c>
      <c r="G461" s="15">
        <v>0</v>
      </c>
      <c r="H461" s="15">
        <v>0</v>
      </c>
      <c r="I461" t="s">
        <v>417</v>
      </c>
      <c r="J461">
        <v>0</v>
      </c>
      <c r="K461" t="s">
        <v>570</v>
      </c>
      <c r="L461" t="s">
        <v>711</v>
      </c>
      <c r="M461">
        <v>0</v>
      </c>
      <c r="N461">
        <v>0</v>
      </c>
      <c r="O461">
        <v>0</v>
      </c>
      <c r="P461">
        <v>0</v>
      </c>
      <c r="Q461">
        <v>0</v>
      </c>
      <c r="R461">
        <v>0</v>
      </c>
      <c r="S461">
        <v>0</v>
      </c>
      <c r="T461">
        <v>0</v>
      </c>
      <c r="U461">
        <v>0</v>
      </c>
      <c r="V461">
        <v>1E-4</v>
      </c>
      <c r="W461">
        <v>0</v>
      </c>
      <c r="X461" t="s">
        <v>570</v>
      </c>
      <c r="Y461" s="16">
        <v>44730.788468171297</v>
      </c>
      <c r="Z461" s="17" t="str">
        <f>_xlfn.XLOOKUP(Table1[[#This Row],[Phase]],'Lookup tables'!$Y$27:$Y$60,'Lookup tables'!$Z$27:$Z$60,"Not Updated")</f>
        <v>Cancelled</v>
      </c>
      <c r="AA461" s="17" t="s">
        <v>712</v>
      </c>
      <c r="AB461">
        <v>0</v>
      </c>
      <c r="AC461">
        <v>0</v>
      </c>
      <c r="AD461">
        <v>0</v>
      </c>
      <c r="AE461">
        <v>0</v>
      </c>
      <c r="AF461">
        <v>0</v>
      </c>
      <c r="AG461">
        <v>0</v>
      </c>
      <c r="AH461">
        <v>0</v>
      </c>
      <c r="AI461">
        <v>0</v>
      </c>
      <c r="AJ461">
        <v>0</v>
      </c>
      <c r="AK461">
        <v>0</v>
      </c>
      <c r="AL461">
        <v>0</v>
      </c>
      <c r="AM461">
        <v>0</v>
      </c>
      <c r="AN461">
        <v>0</v>
      </c>
      <c r="AO461">
        <v>0</v>
      </c>
      <c r="AP461">
        <v>0</v>
      </c>
      <c r="AQ461">
        <v>0</v>
      </c>
      <c r="AR461">
        <v>0</v>
      </c>
      <c r="AS461">
        <v>0</v>
      </c>
      <c r="AT461">
        <v>0</v>
      </c>
      <c r="AU461">
        <v>0</v>
      </c>
      <c r="AV461">
        <v>0</v>
      </c>
      <c r="AW461">
        <v>0</v>
      </c>
      <c r="AX461">
        <v>0</v>
      </c>
      <c r="AY461">
        <v>0</v>
      </c>
      <c r="AZ461">
        <v>0</v>
      </c>
      <c r="BA461">
        <v>0</v>
      </c>
      <c r="BB461">
        <v>0</v>
      </c>
      <c r="BC461">
        <v>0</v>
      </c>
      <c r="BD461">
        <v>0</v>
      </c>
      <c r="BE461">
        <v>0</v>
      </c>
      <c r="BF461">
        <v>0</v>
      </c>
      <c r="BG461" s="185">
        <v>0</v>
      </c>
      <c r="BH461" s="185">
        <v>0</v>
      </c>
      <c r="BI461" s="185">
        <v>0</v>
      </c>
      <c r="BJ461" s="185">
        <v>0</v>
      </c>
      <c r="BK461" s="185">
        <v>0</v>
      </c>
      <c r="BL461" s="185">
        <v>0</v>
      </c>
      <c r="BM461" s="185">
        <v>0</v>
      </c>
      <c r="BN461" s="185">
        <v>0</v>
      </c>
      <c r="BO461" s="185">
        <v>0</v>
      </c>
      <c r="BP461" s="185">
        <v>0</v>
      </c>
      <c r="BQ461" s="185">
        <v>0</v>
      </c>
      <c r="BR461" s="185">
        <v>0</v>
      </c>
      <c r="BS461" s="185">
        <v>0</v>
      </c>
      <c r="BT461" s="185">
        <v>0</v>
      </c>
      <c r="BU461" t="b">
        <f>IF(_xlfn.MAXIFS(Table1[Sl No],Table1[Category],Table1[[#This Row],[Category]],Table1[Execution Year],Table1[[#This Row],[Execution Year]])=Table1[[#This Row],[Sl No]],TRUE,FALSE)</f>
        <v>1</v>
      </c>
      <c r="BV461" s="201">
        <f>SUM(Table1[[#This Row],[Spend - CAN]:[Spend - Sams]])+SUM(Table1[[#This Row],[Spend - Sams Mexico]:[Spend - Sams China]])+Table1[[#This Row],[Spend - IND]]</f>
        <v>1E-4</v>
      </c>
      <c r="BW461">
        <f>SUM(Table1[[#This Row],[Savings - CAN]:[Savings - Sams]])+SUM(Table1[[#This Row],[Savings - Sams Mexico]:[Savings - Sams China]])+Table1[[#This Row],[Savings - IND]]</f>
        <v>0</v>
      </c>
      <c r="BX461">
        <f>SUM(Table1[[#This Row],[Spend - CAN]:[Spend - SAF]])+SUM(Table1[[#This Row],[Spend - Sams Mexico]:[Spend - Sams China]])+Table1[[#This Row],[Spend - IND]]</f>
        <v>0</v>
      </c>
      <c r="BY461">
        <f>SUM(Table1[[#This Row],[Savings - CAN]:[Savings - SAF]])+SUM(Table1[[#This Row],[Savings - Sams Mexico]:[Savings - Sams China]])+Table1[[#This Row],[Savings - IND]]</f>
        <v>0</v>
      </c>
      <c r="BZ461">
        <f>SUM(Table1[[#This Row],[Spend - US]:[Spend - Sams]])</f>
        <v>1E-4</v>
      </c>
      <c r="CA461">
        <f>SUM(Table1[[#This Row],[Savings - US]:[Savings - Sams]])</f>
        <v>0</v>
      </c>
      <c r="CB461">
        <f>SUM(Table1[[#This Row],[Cost Avoidance - CAN2]:[Cost Avoidance - SAF10]])+SUM(Table1[[#This Row],[Cost Avoidance - Sams Mexico]:[Cost Avoidance - Sams China]])+Table1[[#This Row],[Cost Avoidance - IND]]</f>
        <v>0</v>
      </c>
      <c r="CC461">
        <f>SUM(Table1[[#This Row],[Cost Avoidance - US11]:[Cost Avoidance - Sams12]])</f>
        <v>0</v>
      </c>
      <c r="CD461" t="str">
        <f>_xlfn.XLOOKUP(Table1[[#This Row],[Status]],Status_Lookups[Status],Status_Lookups[Value],"")</f>
        <v/>
      </c>
    </row>
    <row r="462" spans="1:82">
      <c r="A462">
        <v>3</v>
      </c>
      <c r="B462" t="s">
        <v>578</v>
      </c>
      <c r="C462" t="s">
        <v>33</v>
      </c>
      <c r="D462" t="s">
        <v>322</v>
      </c>
      <c r="E462" s="15">
        <v>0</v>
      </c>
      <c r="F462" s="15">
        <v>0</v>
      </c>
      <c r="G462" s="15">
        <v>0</v>
      </c>
      <c r="H462" s="15">
        <v>0</v>
      </c>
      <c r="I462" t="s">
        <v>417</v>
      </c>
      <c r="J462">
        <v>0</v>
      </c>
      <c r="K462" t="s">
        <v>570</v>
      </c>
      <c r="L462">
        <v>0</v>
      </c>
      <c r="M462">
        <v>0</v>
      </c>
      <c r="N462">
        <v>0</v>
      </c>
      <c r="O462">
        <v>0</v>
      </c>
      <c r="P462">
        <v>0</v>
      </c>
      <c r="Q462">
        <v>0</v>
      </c>
      <c r="R462">
        <v>0</v>
      </c>
      <c r="S462">
        <v>0</v>
      </c>
      <c r="T462">
        <v>0</v>
      </c>
      <c r="U462">
        <v>0</v>
      </c>
      <c r="V462">
        <v>1E-4</v>
      </c>
      <c r="W462">
        <v>0</v>
      </c>
      <c r="X462" t="s">
        <v>570</v>
      </c>
      <c r="Y462" s="16">
        <v>44730.789044328703</v>
      </c>
      <c r="Z462" s="17" t="str">
        <f>_xlfn.XLOOKUP(Table1[[#This Row],[Phase]],'Lookup tables'!$Y$27:$Y$60,'Lookup tables'!$Z$27:$Z$60,"Not Updated")</f>
        <v>Cancelled</v>
      </c>
      <c r="AA462" s="17" t="s">
        <v>623</v>
      </c>
      <c r="AB462">
        <v>0</v>
      </c>
      <c r="AC462">
        <v>0</v>
      </c>
      <c r="AD462">
        <v>0</v>
      </c>
      <c r="AE462">
        <v>0</v>
      </c>
      <c r="AF462">
        <v>0</v>
      </c>
      <c r="AG462">
        <v>0</v>
      </c>
      <c r="AH462">
        <v>0</v>
      </c>
      <c r="AI462">
        <v>0</v>
      </c>
      <c r="AJ462">
        <v>0</v>
      </c>
      <c r="AK462">
        <v>0</v>
      </c>
      <c r="AL462">
        <v>0</v>
      </c>
      <c r="AM462">
        <v>0</v>
      </c>
      <c r="AN462">
        <v>0</v>
      </c>
      <c r="AO462">
        <v>0</v>
      </c>
      <c r="AP462">
        <v>0</v>
      </c>
      <c r="AQ462">
        <v>0</v>
      </c>
      <c r="AR462">
        <v>0</v>
      </c>
      <c r="AS462">
        <v>0</v>
      </c>
      <c r="AT462">
        <v>0</v>
      </c>
      <c r="AU462">
        <v>0</v>
      </c>
      <c r="AV462">
        <v>0</v>
      </c>
      <c r="AW462">
        <v>0</v>
      </c>
      <c r="AX462">
        <v>0</v>
      </c>
      <c r="AY462">
        <v>0</v>
      </c>
      <c r="AZ462">
        <v>0</v>
      </c>
      <c r="BA462">
        <v>0</v>
      </c>
      <c r="BB462">
        <v>0</v>
      </c>
      <c r="BC462">
        <v>0</v>
      </c>
      <c r="BD462">
        <v>0</v>
      </c>
      <c r="BE462">
        <v>0</v>
      </c>
      <c r="BF462">
        <v>0</v>
      </c>
      <c r="BG462" s="185">
        <v>0</v>
      </c>
      <c r="BH462" s="185">
        <v>0</v>
      </c>
      <c r="BI462" s="185">
        <v>0</v>
      </c>
      <c r="BJ462" s="185">
        <v>0</v>
      </c>
      <c r="BK462" s="185">
        <v>0</v>
      </c>
      <c r="BL462" s="185">
        <v>0</v>
      </c>
      <c r="BM462" s="185">
        <v>0</v>
      </c>
      <c r="BN462" s="185">
        <v>0</v>
      </c>
      <c r="BO462" s="185">
        <v>0</v>
      </c>
      <c r="BP462" s="185">
        <v>0</v>
      </c>
      <c r="BQ462" s="185">
        <v>0</v>
      </c>
      <c r="BR462" s="185">
        <v>0</v>
      </c>
      <c r="BS462" s="185">
        <v>0</v>
      </c>
      <c r="BT462" s="185">
        <v>0</v>
      </c>
      <c r="BU462" t="b">
        <f>IF(_xlfn.MAXIFS(Table1[Sl No],Table1[Category],Table1[[#This Row],[Category]],Table1[Execution Year],Table1[[#This Row],[Execution Year]])=Table1[[#This Row],[Sl No]],TRUE,FALSE)</f>
        <v>1</v>
      </c>
      <c r="BV462" s="201">
        <f>SUM(Table1[[#This Row],[Spend - CAN]:[Spend - Sams]])+SUM(Table1[[#This Row],[Spend - Sams Mexico]:[Spend - Sams China]])+Table1[[#This Row],[Spend - IND]]</f>
        <v>1E-4</v>
      </c>
      <c r="BW462">
        <f>SUM(Table1[[#This Row],[Savings - CAN]:[Savings - Sams]])+SUM(Table1[[#This Row],[Savings - Sams Mexico]:[Savings - Sams China]])+Table1[[#This Row],[Savings - IND]]</f>
        <v>0</v>
      </c>
      <c r="BX462">
        <f>SUM(Table1[[#This Row],[Spend - CAN]:[Spend - SAF]])+SUM(Table1[[#This Row],[Spend - Sams Mexico]:[Spend - Sams China]])+Table1[[#This Row],[Spend - IND]]</f>
        <v>0</v>
      </c>
      <c r="BY462">
        <f>SUM(Table1[[#This Row],[Savings - CAN]:[Savings - SAF]])+SUM(Table1[[#This Row],[Savings - Sams Mexico]:[Savings - Sams China]])+Table1[[#This Row],[Savings - IND]]</f>
        <v>0</v>
      </c>
      <c r="BZ462">
        <f>SUM(Table1[[#This Row],[Spend - US]:[Spend - Sams]])</f>
        <v>1E-4</v>
      </c>
      <c r="CA462">
        <f>SUM(Table1[[#This Row],[Savings - US]:[Savings - Sams]])</f>
        <v>0</v>
      </c>
      <c r="CB462">
        <f>SUM(Table1[[#This Row],[Cost Avoidance - CAN2]:[Cost Avoidance - SAF10]])+SUM(Table1[[#This Row],[Cost Avoidance - Sams Mexico]:[Cost Avoidance - Sams China]])+Table1[[#This Row],[Cost Avoidance - IND]]</f>
        <v>0</v>
      </c>
      <c r="CC462">
        <f>SUM(Table1[[#This Row],[Cost Avoidance - US11]:[Cost Avoidance - Sams12]])</f>
        <v>0</v>
      </c>
      <c r="CD462" t="str">
        <f>_xlfn.XLOOKUP(Table1[[#This Row],[Status]],Status_Lookups[Status],Status_Lookups[Value],"")</f>
        <v/>
      </c>
    </row>
    <row r="463" spans="1:82">
      <c r="A463">
        <v>2</v>
      </c>
      <c r="B463" t="s">
        <v>576</v>
      </c>
      <c r="C463" t="s">
        <v>33</v>
      </c>
      <c r="D463" t="s">
        <v>322</v>
      </c>
      <c r="E463" s="15">
        <v>44378</v>
      </c>
      <c r="F463" s="15">
        <v>0</v>
      </c>
      <c r="G463" s="15">
        <v>0</v>
      </c>
      <c r="H463" s="15">
        <v>0</v>
      </c>
      <c r="I463" t="s">
        <v>412</v>
      </c>
      <c r="J463" t="s">
        <v>459</v>
      </c>
      <c r="K463" t="s">
        <v>570</v>
      </c>
      <c r="L463" t="s">
        <v>577</v>
      </c>
      <c r="M463">
        <v>0</v>
      </c>
      <c r="N463">
        <v>0</v>
      </c>
      <c r="O463">
        <v>0</v>
      </c>
      <c r="P463">
        <v>0</v>
      </c>
      <c r="Q463">
        <v>0</v>
      </c>
      <c r="R463">
        <v>0</v>
      </c>
      <c r="S463">
        <v>0</v>
      </c>
      <c r="T463">
        <v>0</v>
      </c>
      <c r="U463">
        <v>0</v>
      </c>
      <c r="V463">
        <v>5000000</v>
      </c>
      <c r="W463">
        <v>0</v>
      </c>
      <c r="X463" t="s">
        <v>570</v>
      </c>
      <c r="Y463" s="16">
        <v>44730.803304629633</v>
      </c>
      <c r="Z463" s="17" t="str">
        <f>_xlfn.XLOOKUP(Table1[[#This Row],[Phase]],'Lookup tables'!$Y$27:$Y$60,'Lookup tables'!$Z$27:$Z$60,"Not Updated")</f>
        <v>Exploratory</v>
      </c>
      <c r="AA463" s="17" t="s">
        <v>713</v>
      </c>
      <c r="AB463">
        <v>0</v>
      </c>
      <c r="AC463">
        <v>0</v>
      </c>
      <c r="AD463">
        <v>0</v>
      </c>
      <c r="AE463">
        <v>0</v>
      </c>
      <c r="AF463">
        <v>0</v>
      </c>
      <c r="AG463">
        <v>0</v>
      </c>
      <c r="AH463">
        <v>0</v>
      </c>
      <c r="AI463">
        <v>0</v>
      </c>
      <c r="AJ463">
        <v>0</v>
      </c>
      <c r="AK463">
        <v>0</v>
      </c>
      <c r="AL463">
        <v>0</v>
      </c>
      <c r="AM463">
        <v>0</v>
      </c>
      <c r="AN463">
        <v>0</v>
      </c>
      <c r="AO463">
        <v>0</v>
      </c>
      <c r="AP463">
        <v>0</v>
      </c>
      <c r="AQ463">
        <v>0</v>
      </c>
      <c r="AR463">
        <v>0</v>
      </c>
      <c r="AS463">
        <v>0</v>
      </c>
      <c r="AT463">
        <v>0</v>
      </c>
      <c r="AU463">
        <v>0</v>
      </c>
      <c r="AV463">
        <v>0</v>
      </c>
      <c r="AW463">
        <v>0</v>
      </c>
      <c r="AX463">
        <v>0</v>
      </c>
      <c r="AY463">
        <v>0</v>
      </c>
      <c r="AZ463">
        <v>0</v>
      </c>
      <c r="BA463">
        <v>0</v>
      </c>
      <c r="BB463">
        <v>0</v>
      </c>
      <c r="BC463">
        <v>0</v>
      </c>
      <c r="BD463">
        <v>0</v>
      </c>
      <c r="BE463">
        <v>0</v>
      </c>
      <c r="BF463">
        <v>0</v>
      </c>
      <c r="BG463" s="185">
        <v>0</v>
      </c>
      <c r="BH463" s="185">
        <v>0</v>
      </c>
      <c r="BI463" s="185">
        <v>0</v>
      </c>
      <c r="BJ463" s="185">
        <v>0</v>
      </c>
      <c r="BK463" s="185">
        <v>0</v>
      </c>
      <c r="BL463" s="185">
        <v>0</v>
      </c>
      <c r="BM463" s="185">
        <v>0</v>
      </c>
      <c r="BN463" s="185">
        <v>0</v>
      </c>
      <c r="BO463" s="185">
        <v>0</v>
      </c>
      <c r="BP463" s="185">
        <v>0</v>
      </c>
      <c r="BQ463" s="185">
        <v>0</v>
      </c>
      <c r="BR463" s="185">
        <v>0</v>
      </c>
      <c r="BS463" s="185">
        <v>0</v>
      </c>
      <c r="BT463" s="185">
        <v>0</v>
      </c>
      <c r="BU463" t="b">
        <f>IF(_xlfn.MAXIFS(Table1[Sl No],Table1[Category],Table1[[#This Row],[Category]],Table1[Execution Year],Table1[[#This Row],[Execution Year]])=Table1[[#This Row],[Sl No]],TRUE,FALSE)</f>
        <v>1</v>
      </c>
      <c r="BV463" s="201">
        <f>SUM(Table1[[#This Row],[Spend - CAN]:[Spend - Sams]])+SUM(Table1[[#This Row],[Spend - Sams Mexico]:[Spend - Sams China]])+Table1[[#This Row],[Spend - IND]]</f>
        <v>5000000</v>
      </c>
      <c r="BW463">
        <f>SUM(Table1[[#This Row],[Savings - CAN]:[Savings - Sams]])+SUM(Table1[[#This Row],[Savings - Sams Mexico]:[Savings - Sams China]])+Table1[[#This Row],[Savings - IND]]</f>
        <v>0</v>
      </c>
      <c r="BX463">
        <f>SUM(Table1[[#This Row],[Spend - CAN]:[Spend - SAF]])+SUM(Table1[[#This Row],[Spend - Sams Mexico]:[Spend - Sams China]])+Table1[[#This Row],[Spend - IND]]</f>
        <v>0</v>
      </c>
      <c r="BY463">
        <f>SUM(Table1[[#This Row],[Savings - CAN]:[Savings - SAF]])+SUM(Table1[[#This Row],[Savings - Sams Mexico]:[Savings - Sams China]])+Table1[[#This Row],[Savings - IND]]</f>
        <v>0</v>
      </c>
      <c r="BZ463">
        <f>SUM(Table1[[#This Row],[Spend - US]:[Spend - Sams]])</f>
        <v>5000000</v>
      </c>
      <c r="CA463">
        <f>SUM(Table1[[#This Row],[Savings - US]:[Savings - Sams]])</f>
        <v>0</v>
      </c>
      <c r="CB463">
        <f>SUM(Table1[[#This Row],[Cost Avoidance - CAN2]:[Cost Avoidance - SAF10]])+SUM(Table1[[#This Row],[Cost Avoidance - Sams Mexico]:[Cost Avoidance - Sams China]])+Table1[[#This Row],[Cost Avoidance - IND]]</f>
        <v>0</v>
      </c>
      <c r="CC463">
        <f>SUM(Table1[[#This Row],[Cost Avoidance - US11]:[Cost Avoidance - Sams12]])</f>
        <v>0</v>
      </c>
      <c r="CD463">
        <f>_xlfn.XLOOKUP(Table1[[#This Row],[Status]],Status_Lookups[Status],Status_Lookups[Value],"")</f>
        <v>0.3</v>
      </c>
    </row>
    <row r="464" spans="1:82">
      <c r="A464">
        <v>2</v>
      </c>
      <c r="B464" t="s">
        <v>60</v>
      </c>
      <c r="C464" t="s">
        <v>33</v>
      </c>
      <c r="D464" t="s">
        <v>322</v>
      </c>
      <c r="E464" s="15">
        <v>0</v>
      </c>
      <c r="F464" s="15">
        <v>0</v>
      </c>
      <c r="G464" s="15">
        <v>0</v>
      </c>
      <c r="H464" s="15">
        <v>0</v>
      </c>
      <c r="I464" t="s">
        <v>135</v>
      </c>
      <c r="J464">
        <v>0</v>
      </c>
      <c r="K464" t="s">
        <v>570</v>
      </c>
      <c r="L464" t="s">
        <v>572</v>
      </c>
      <c r="M464">
        <v>0</v>
      </c>
      <c r="N464">
        <v>0</v>
      </c>
      <c r="O464">
        <v>0</v>
      </c>
      <c r="P464">
        <v>0</v>
      </c>
      <c r="Q464">
        <v>0</v>
      </c>
      <c r="R464">
        <v>0</v>
      </c>
      <c r="S464">
        <v>0</v>
      </c>
      <c r="T464">
        <v>0</v>
      </c>
      <c r="U464">
        <v>0</v>
      </c>
      <c r="V464">
        <v>0</v>
      </c>
      <c r="W464">
        <v>0</v>
      </c>
      <c r="X464" t="s">
        <v>570</v>
      </c>
      <c r="Y464" s="16">
        <v>44730.80955810185</v>
      </c>
      <c r="Z464" s="17" t="str">
        <f>_xlfn.XLOOKUP(Table1[[#This Row],[Phase]],'Lookup tables'!$Y$27:$Y$60,'Lookup tables'!$Z$27:$Z$60,"Not Updated")</f>
        <v>Pipeline</v>
      </c>
      <c r="AA464" s="17" t="s">
        <v>714</v>
      </c>
      <c r="AB464">
        <v>0</v>
      </c>
      <c r="AC464">
        <v>0</v>
      </c>
      <c r="AD464">
        <v>0</v>
      </c>
      <c r="AE464">
        <v>0</v>
      </c>
      <c r="AF464">
        <v>0</v>
      </c>
      <c r="AG464">
        <v>0</v>
      </c>
      <c r="AH464">
        <v>0</v>
      </c>
      <c r="AI464">
        <v>0</v>
      </c>
      <c r="AJ464">
        <v>0</v>
      </c>
      <c r="AK464">
        <v>0</v>
      </c>
      <c r="AL464">
        <v>0</v>
      </c>
      <c r="AM464">
        <v>0</v>
      </c>
      <c r="AN464">
        <v>0</v>
      </c>
      <c r="AO464">
        <v>0</v>
      </c>
      <c r="AP464">
        <v>0</v>
      </c>
      <c r="AQ464">
        <v>0</v>
      </c>
      <c r="AR464">
        <v>0</v>
      </c>
      <c r="AS464">
        <v>0</v>
      </c>
      <c r="AT464">
        <v>0</v>
      </c>
      <c r="AU464">
        <v>0</v>
      </c>
      <c r="AV464">
        <v>0</v>
      </c>
      <c r="AW464">
        <v>0</v>
      </c>
      <c r="AX464">
        <v>0</v>
      </c>
      <c r="AY464">
        <v>0</v>
      </c>
      <c r="AZ464">
        <v>0</v>
      </c>
      <c r="BA464">
        <v>0</v>
      </c>
      <c r="BB464">
        <v>0</v>
      </c>
      <c r="BC464">
        <v>0</v>
      </c>
      <c r="BD464">
        <v>0</v>
      </c>
      <c r="BE464">
        <v>0</v>
      </c>
      <c r="BF464">
        <v>0</v>
      </c>
      <c r="BG464" s="185">
        <v>0</v>
      </c>
      <c r="BH464" s="185">
        <v>0</v>
      </c>
      <c r="BI464" s="185">
        <v>0</v>
      </c>
      <c r="BJ464" s="185">
        <v>0</v>
      </c>
      <c r="BK464" s="185">
        <v>0</v>
      </c>
      <c r="BL464" s="185">
        <v>0</v>
      </c>
      <c r="BM464" s="185">
        <v>0</v>
      </c>
      <c r="BN464" s="185">
        <v>0</v>
      </c>
      <c r="BO464" s="185">
        <v>0</v>
      </c>
      <c r="BP464" s="185">
        <v>0</v>
      </c>
      <c r="BQ464" s="185">
        <v>0</v>
      </c>
      <c r="BR464" s="185">
        <v>0</v>
      </c>
      <c r="BS464" s="185">
        <v>0</v>
      </c>
      <c r="BT464" s="185">
        <v>0</v>
      </c>
      <c r="BU464" t="b">
        <f>IF(_xlfn.MAXIFS(Table1[Sl No],Table1[Category],Table1[[#This Row],[Category]],Table1[Execution Year],Table1[[#This Row],[Execution Year]])=Table1[[#This Row],[Sl No]],TRUE,FALSE)</f>
        <v>1</v>
      </c>
      <c r="BV464" s="201">
        <f>SUM(Table1[[#This Row],[Spend - CAN]:[Spend - Sams]])+SUM(Table1[[#This Row],[Spend - Sams Mexico]:[Spend - Sams China]])+Table1[[#This Row],[Spend - IND]]</f>
        <v>0</v>
      </c>
      <c r="BW464">
        <f>SUM(Table1[[#This Row],[Savings - CAN]:[Savings - Sams]])+SUM(Table1[[#This Row],[Savings - Sams Mexico]:[Savings - Sams China]])+Table1[[#This Row],[Savings - IND]]</f>
        <v>0</v>
      </c>
      <c r="BX464">
        <f>SUM(Table1[[#This Row],[Spend - CAN]:[Spend - SAF]])+SUM(Table1[[#This Row],[Spend - Sams Mexico]:[Spend - Sams China]])+Table1[[#This Row],[Spend - IND]]</f>
        <v>0</v>
      </c>
      <c r="BY464">
        <f>SUM(Table1[[#This Row],[Savings - CAN]:[Savings - SAF]])+SUM(Table1[[#This Row],[Savings - Sams Mexico]:[Savings - Sams China]])+Table1[[#This Row],[Savings - IND]]</f>
        <v>0</v>
      </c>
      <c r="BZ464">
        <f>SUM(Table1[[#This Row],[Spend - US]:[Spend - Sams]])</f>
        <v>0</v>
      </c>
      <c r="CA464">
        <f>SUM(Table1[[#This Row],[Savings - US]:[Savings - Sams]])</f>
        <v>0</v>
      </c>
      <c r="CB464">
        <f>SUM(Table1[[#This Row],[Cost Avoidance - CAN2]:[Cost Avoidance - SAF10]])+SUM(Table1[[#This Row],[Cost Avoidance - Sams Mexico]:[Cost Avoidance - Sams China]])+Table1[[#This Row],[Cost Avoidance - IND]]</f>
        <v>0</v>
      </c>
      <c r="CC464">
        <f>SUM(Table1[[#This Row],[Cost Avoidance - US11]:[Cost Avoidance - Sams12]])</f>
        <v>0</v>
      </c>
      <c r="CD464" t="str">
        <f>_xlfn.XLOOKUP(Table1[[#This Row],[Status]],Status_Lookups[Status],Status_Lookups[Value],"")</f>
        <v/>
      </c>
    </row>
    <row r="465" spans="1:82">
      <c r="A465">
        <v>2</v>
      </c>
      <c r="B465" t="s">
        <v>574</v>
      </c>
      <c r="C465" t="s">
        <v>33</v>
      </c>
      <c r="D465" t="s">
        <v>322</v>
      </c>
      <c r="E465" s="15">
        <v>44348</v>
      </c>
      <c r="F465" s="15">
        <v>0</v>
      </c>
      <c r="G465" s="15">
        <v>0</v>
      </c>
      <c r="H465" s="15">
        <v>0</v>
      </c>
      <c r="I465" t="s">
        <v>412</v>
      </c>
      <c r="J465" t="s">
        <v>459</v>
      </c>
      <c r="K465" t="s">
        <v>570</v>
      </c>
      <c r="L465" t="s">
        <v>575</v>
      </c>
      <c r="M465">
        <v>0</v>
      </c>
      <c r="N465">
        <v>0</v>
      </c>
      <c r="O465">
        <v>0</v>
      </c>
      <c r="P465">
        <v>0</v>
      </c>
      <c r="Q465">
        <v>0</v>
      </c>
      <c r="R465">
        <v>0</v>
      </c>
      <c r="S465">
        <v>0</v>
      </c>
      <c r="T465">
        <v>0</v>
      </c>
      <c r="U465">
        <v>0</v>
      </c>
      <c r="V465">
        <v>4100000</v>
      </c>
      <c r="W465">
        <v>0</v>
      </c>
      <c r="X465" t="s">
        <v>570</v>
      </c>
      <c r="Y465" s="16">
        <v>44730.816750115744</v>
      </c>
      <c r="Z465" s="17" t="str">
        <f>_xlfn.XLOOKUP(Table1[[#This Row],[Phase]],'Lookup tables'!$Y$27:$Y$60,'Lookup tables'!$Z$27:$Z$60,"Not Updated")</f>
        <v>Exploratory</v>
      </c>
      <c r="AA465" s="17" t="s">
        <v>715</v>
      </c>
      <c r="AB465">
        <v>0</v>
      </c>
      <c r="AC465">
        <v>0</v>
      </c>
      <c r="AD465">
        <v>0</v>
      </c>
      <c r="AE465">
        <v>0</v>
      </c>
      <c r="AF465">
        <v>0</v>
      </c>
      <c r="AG465">
        <v>0</v>
      </c>
      <c r="AH465">
        <v>0</v>
      </c>
      <c r="AI465">
        <v>0</v>
      </c>
      <c r="AJ465">
        <v>0</v>
      </c>
      <c r="AK465">
        <v>0</v>
      </c>
      <c r="AL465">
        <v>0</v>
      </c>
      <c r="AM465">
        <v>0</v>
      </c>
      <c r="AN465">
        <v>0</v>
      </c>
      <c r="AO465">
        <v>0</v>
      </c>
      <c r="AP465">
        <v>0</v>
      </c>
      <c r="AQ465">
        <v>0</v>
      </c>
      <c r="AR465">
        <v>0</v>
      </c>
      <c r="AS465">
        <v>0</v>
      </c>
      <c r="AT465">
        <v>0</v>
      </c>
      <c r="AU465">
        <v>0</v>
      </c>
      <c r="AV465">
        <v>0</v>
      </c>
      <c r="AW465">
        <v>0</v>
      </c>
      <c r="AX465">
        <v>0</v>
      </c>
      <c r="AY465">
        <v>0</v>
      </c>
      <c r="AZ465">
        <v>0</v>
      </c>
      <c r="BA465">
        <v>0</v>
      </c>
      <c r="BB465">
        <v>0</v>
      </c>
      <c r="BC465">
        <v>0</v>
      </c>
      <c r="BD465">
        <v>0</v>
      </c>
      <c r="BE465">
        <v>0</v>
      </c>
      <c r="BF465">
        <v>0</v>
      </c>
      <c r="BG465" s="185">
        <v>0</v>
      </c>
      <c r="BH465" s="185">
        <v>0</v>
      </c>
      <c r="BI465" s="185">
        <v>0</v>
      </c>
      <c r="BJ465" s="185">
        <v>0</v>
      </c>
      <c r="BK465" s="185">
        <v>0</v>
      </c>
      <c r="BL465" s="185">
        <v>0</v>
      </c>
      <c r="BM465" s="185">
        <v>0</v>
      </c>
      <c r="BN465" s="185">
        <v>0</v>
      </c>
      <c r="BO465" s="185">
        <v>0</v>
      </c>
      <c r="BP465" s="185">
        <v>0</v>
      </c>
      <c r="BQ465" s="185">
        <v>0</v>
      </c>
      <c r="BR465" s="185">
        <v>0</v>
      </c>
      <c r="BS465" s="185">
        <v>0</v>
      </c>
      <c r="BT465" s="185">
        <v>0</v>
      </c>
      <c r="BU465" t="b">
        <f>IF(_xlfn.MAXIFS(Table1[Sl No],Table1[Category],Table1[[#This Row],[Category]],Table1[Execution Year],Table1[[#This Row],[Execution Year]])=Table1[[#This Row],[Sl No]],TRUE,FALSE)</f>
        <v>1</v>
      </c>
      <c r="BV465" s="201">
        <f>SUM(Table1[[#This Row],[Spend - CAN]:[Spend - Sams]])+SUM(Table1[[#This Row],[Spend - Sams Mexico]:[Spend - Sams China]])+Table1[[#This Row],[Spend - IND]]</f>
        <v>4100000</v>
      </c>
      <c r="BW465">
        <f>SUM(Table1[[#This Row],[Savings - CAN]:[Savings - Sams]])+SUM(Table1[[#This Row],[Savings - Sams Mexico]:[Savings - Sams China]])+Table1[[#This Row],[Savings - IND]]</f>
        <v>0</v>
      </c>
      <c r="BX465">
        <f>SUM(Table1[[#This Row],[Spend - CAN]:[Spend - SAF]])+SUM(Table1[[#This Row],[Spend - Sams Mexico]:[Spend - Sams China]])+Table1[[#This Row],[Spend - IND]]</f>
        <v>0</v>
      </c>
      <c r="BY465">
        <f>SUM(Table1[[#This Row],[Savings - CAN]:[Savings - SAF]])+SUM(Table1[[#This Row],[Savings - Sams Mexico]:[Savings - Sams China]])+Table1[[#This Row],[Savings - IND]]</f>
        <v>0</v>
      </c>
      <c r="BZ465">
        <f>SUM(Table1[[#This Row],[Spend - US]:[Spend - Sams]])</f>
        <v>4100000</v>
      </c>
      <c r="CA465">
        <f>SUM(Table1[[#This Row],[Savings - US]:[Savings - Sams]])</f>
        <v>0</v>
      </c>
      <c r="CB465">
        <f>SUM(Table1[[#This Row],[Cost Avoidance - CAN2]:[Cost Avoidance - SAF10]])+SUM(Table1[[#This Row],[Cost Avoidance - Sams Mexico]:[Cost Avoidance - Sams China]])+Table1[[#This Row],[Cost Avoidance - IND]]</f>
        <v>0</v>
      </c>
      <c r="CC465">
        <f>SUM(Table1[[#This Row],[Cost Avoidance - US11]:[Cost Avoidance - Sams12]])</f>
        <v>0</v>
      </c>
      <c r="CD465">
        <f>_xlfn.XLOOKUP(Table1[[#This Row],[Status]],Status_Lookups[Status],Status_Lookups[Value],"")</f>
        <v>0.3</v>
      </c>
    </row>
    <row r="466" spans="1:82">
      <c r="A466">
        <v>2</v>
      </c>
      <c r="B466" t="s">
        <v>580</v>
      </c>
      <c r="C466" t="s">
        <v>33</v>
      </c>
      <c r="D466" t="s">
        <v>322</v>
      </c>
      <c r="E466" s="15">
        <v>44743</v>
      </c>
      <c r="F466" s="15">
        <v>0</v>
      </c>
      <c r="G466" s="15">
        <v>0</v>
      </c>
      <c r="H466" s="15">
        <v>0</v>
      </c>
      <c r="I466" t="s">
        <v>135</v>
      </c>
      <c r="J466">
        <v>0</v>
      </c>
      <c r="K466" t="s">
        <v>570</v>
      </c>
      <c r="L466" t="s">
        <v>581</v>
      </c>
      <c r="M466">
        <v>0</v>
      </c>
      <c r="N466">
        <v>0</v>
      </c>
      <c r="O466">
        <v>0</v>
      </c>
      <c r="P466">
        <v>0</v>
      </c>
      <c r="Q466">
        <v>0</v>
      </c>
      <c r="R466">
        <v>0</v>
      </c>
      <c r="S466">
        <v>0</v>
      </c>
      <c r="T466">
        <v>0</v>
      </c>
      <c r="U466">
        <v>0</v>
      </c>
      <c r="V466">
        <v>0</v>
      </c>
      <c r="W466">
        <v>0</v>
      </c>
      <c r="X466" t="s">
        <v>570</v>
      </c>
      <c r="Y466" s="16">
        <v>44730.819696643521</v>
      </c>
      <c r="Z466" s="17" t="str">
        <f>_xlfn.XLOOKUP(Table1[[#This Row],[Phase]],'Lookup tables'!$Y$27:$Y$60,'Lookup tables'!$Z$27:$Z$60,"Not Updated")</f>
        <v>Pipeline</v>
      </c>
      <c r="AA466" s="17" t="s">
        <v>716</v>
      </c>
      <c r="AB466">
        <v>0</v>
      </c>
      <c r="AC466">
        <v>0</v>
      </c>
      <c r="AD466">
        <v>0</v>
      </c>
      <c r="AE466">
        <v>0</v>
      </c>
      <c r="AF466">
        <v>0</v>
      </c>
      <c r="AG466">
        <v>0</v>
      </c>
      <c r="AH466">
        <v>0</v>
      </c>
      <c r="AI466">
        <v>0</v>
      </c>
      <c r="AJ466">
        <v>0</v>
      </c>
      <c r="AK466">
        <v>0</v>
      </c>
      <c r="AL466">
        <v>0</v>
      </c>
      <c r="AM466">
        <v>0</v>
      </c>
      <c r="AN466">
        <v>0</v>
      </c>
      <c r="AO466">
        <v>0</v>
      </c>
      <c r="AP466">
        <v>0</v>
      </c>
      <c r="AQ466">
        <v>0</v>
      </c>
      <c r="AR466">
        <v>0</v>
      </c>
      <c r="AS466">
        <v>0</v>
      </c>
      <c r="AT466">
        <v>0</v>
      </c>
      <c r="AU466">
        <v>0</v>
      </c>
      <c r="AV466">
        <v>0</v>
      </c>
      <c r="AW466">
        <v>0</v>
      </c>
      <c r="AX466">
        <v>0</v>
      </c>
      <c r="AY466">
        <v>0</v>
      </c>
      <c r="AZ466">
        <v>0</v>
      </c>
      <c r="BA466">
        <v>0</v>
      </c>
      <c r="BB466">
        <v>0</v>
      </c>
      <c r="BC466">
        <v>0</v>
      </c>
      <c r="BD466">
        <v>0</v>
      </c>
      <c r="BE466">
        <v>0</v>
      </c>
      <c r="BF466">
        <v>0</v>
      </c>
      <c r="BG466" s="185">
        <v>0</v>
      </c>
      <c r="BH466" s="185">
        <v>0</v>
      </c>
      <c r="BI466" s="185">
        <v>0</v>
      </c>
      <c r="BJ466" s="185">
        <v>0</v>
      </c>
      <c r="BK466" s="185">
        <v>0</v>
      </c>
      <c r="BL466" s="185">
        <v>0</v>
      </c>
      <c r="BM466" s="185">
        <v>0</v>
      </c>
      <c r="BN466" s="185">
        <v>0</v>
      </c>
      <c r="BO466" s="185">
        <v>0</v>
      </c>
      <c r="BP466" s="185">
        <v>0</v>
      </c>
      <c r="BQ466" s="185">
        <v>0</v>
      </c>
      <c r="BR466" s="185">
        <v>0</v>
      </c>
      <c r="BS466" s="185">
        <v>0</v>
      </c>
      <c r="BT466" s="185">
        <v>0</v>
      </c>
      <c r="BU466" t="b">
        <f>IF(_xlfn.MAXIFS(Table1[Sl No],Table1[Category],Table1[[#This Row],[Category]],Table1[Execution Year],Table1[[#This Row],[Execution Year]])=Table1[[#This Row],[Sl No]],TRUE,FALSE)</f>
        <v>1</v>
      </c>
      <c r="BV466" s="201">
        <f>SUM(Table1[[#This Row],[Spend - CAN]:[Spend - Sams]])+SUM(Table1[[#This Row],[Spend - Sams Mexico]:[Spend - Sams China]])+Table1[[#This Row],[Spend - IND]]</f>
        <v>0</v>
      </c>
      <c r="BW466">
        <f>SUM(Table1[[#This Row],[Savings - CAN]:[Savings - Sams]])+SUM(Table1[[#This Row],[Savings - Sams Mexico]:[Savings - Sams China]])+Table1[[#This Row],[Savings - IND]]</f>
        <v>0</v>
      </c>
      <c r="BX466">
        <f>SUM(Table1[[#This Row],[Spend - CAN]:[Spend - SAF]])+SUM(Table1[[#This Row],[Spend - Sams Mexico]:[Spend - Sams China]])+Table1[[#This Row],[Spend - IND]]</f>
        <v>0</v>
      </c>
      <c r="BY466">
        <f>SUM(Table1[[#This Row],[Savings - CAN]:[Savings - SAF]])+SUM(Table1[[#This Row],[Savings - Sams Mexico]:[Savings - Sams China]])+Table1[[#This Row],[Savings - IND]]</f>
        <v>0</v>
      </c>
      <c r="BZ466">
        <f>SUM(Table1[[#This Row],[Spend - US]:[Spend - Sams]])</f>
        <v>0</v>
      </c>
      <c r="CA466">
        <f>SUM(Table1[[#This Row],[Savings - US]:[Savings - Sams]])</f>
        <v>0</v>
      </c>
      <c r="CB466">
        <f>SUM(Table1[[#This Row],[Cost Avoidance - CAN2]:[Cost Avoidance - SAF10]])+SUM(Table1[[#This Row],[Cost Avoidance - Sams Mexico]:[Cost Avoidance - Sams China]])+Table1[[#This Row],[Cost Avoidance - IND]]</f>
        <v>0</v>
      </c>
      <c r="CC466">
        <f>SUM(Table1[[#This Row],[Cost Avoidance - US11]:[Cost Avoidance - Sams12]])</f>
        <v>0</v>
      </c>
      <c r="CD466" t="str">
        <f>_xlfn.XLOOKUP(Table1[[#This Row],[Status]],Status_Lookups[Status],Status_Lookups[Value],"")</f>
        <v/>
      </c>
    </row>
    <row r="467" spans="1:82">
      <c r="A467">
        <v>3</v>
      </c>
      <c r="B467" t="s">
        <v>507</v>
      </c>
      <c r="C467" t="s">
        <v>33</v>
      </c>
      <c r="D467" t="s">
        <v>322</v>
      </c>
      <c r="E467" s="15">
        <v>44752</v>
      </c>
      <c r="F467" s="15">
        <v>44834</v>
      </c>
      <c r="G467" s="15">
        <v>44752</v>
      </c>
      <c r="H467" s="15">
        <v>0</v>
      </c>
      <c r="I467" t="s">
        <v>135</v>
      </c>
      <c r="J467" t="s">
        <v>459</v>
      </c>
      <c r="K467" t="s">
        <v>508</v>
      </c>
      <c r="L467" t="s">
        <v>509</v>
      </c>
      <c r="M467">
        <v>0</v>
      </c>
      <c r="N467">
        <v>0</v>
      </c>
      <c r="O467">
        <v>0</v>
      </c>
      <c r="P467">
        <v>0</v>
      </c>
      <c r="Q467">
        <v>0</v>
      </c>
      <c r="R467">
        <v>0</v>
      </c>
      <c r="S467">
        <v>0</v>
      </c>
      <c r="T467">
        <v>0</v>
      </c>
      <c r="U467">
        <v>0</v>
      </c>
      <c r="V467">
        <v>500000000</v>
      </c>
      <c r="W467">
        <v>0</v>
      </c>
      <c r="X467" t="s">
        <v>508</v>
      </c>
      <c r="Y467" s="16">
        <v>44732.27293078704</v>
      </c>
      <c r="Z467" s="17" t="str">
        <f>_xlfn.XLOOKUP(Table1[[#This Row],[Phase]],'Lookup tables'!$Y$27:$Y$60,'Lookup tables'!$Z$27:$Z$60,"Not Updated")</f>
        <v>Pipeline</v>
      </c>
      <c r="AA467" s="17">
        <v>0</v>
      </c>
      <c r="AB467">
        <v>0</v>
      </c>
      <c r="AC467">
        <v>0</v>
      </c>
      <c r="AD467">
        <v>0</v>
      </c>
      <c r="AE467">
        <v>0</v>
      </c>
      <c r="AF467">
        <v>0</v>
      </c>
      <c r="AG467">
        <v>0</v>
      </c>
      <c r="AH467">
        <v>0</v>
      </c>
      <c r="AI467">
        <v>0</v>
      </c>
      <c r="AJ467">
        <v>0</v>
      </c>
      <c r="AK467">
        <v>0</v>
      </c>
      <c r="AL467">
        <v>0</v>
      </c>
      <c r="AM467">
        <v>0</v>
      </c>
      <c r="AN467">
        <v>0</v>
      </c>
      <c r="AO467">
        <v>0</v>
      </c>
      <c r="AP467">
        <v>0</v>
      </c>
      <c r="AQ467">
        <v>0</v>
      </c>
      <c r="AR467">
        <v>0</v>
      </c>
      <c r="AS467">
        <v>0</v>
      </c>
      <c r="AT467">
        <v>0</v>
      </c>
      <c r="AU467">
        <v>0</v>
      </c>
      <c r="AV467">
        <v>0</v>
      </c>
      <c r="AW467">
        <v>0</v>
      </c>
      <c r="AX467">
        <v>0</v>
      </c>
      <c r="AY467">
        <v>0</v>
      </c>
      <c r="AZ467">
        <v>0</v>
      </c>
      <c r="BA467">
        <v>0</v>
      </c>
      <c r="BB467">
        <v>0</v>
      </c>
      <c r="BC467">
        <v>0</v>
      </c>
      <c r="BD467">
        <v>0</v>
      </c>
      <c r="BE467">
        <v>0</v>
      </c>
      <c r="BF467">
        <v>0</v>
      </c>
      <c r="BG467" s="185">
        <v>0</v>
      </c>
      <c r="BH467" s="185">
        <v>0</v>
      </c>
      <c r="BI467" s="185">
        <v>0</v>
      </c>
      <c r="BJ467" s="185">
        <v>0</v>
      </c>
      <c r="BK467" s="185">
        <v>0</v>
      </c>
      <c r="BL467" s="185">
        <v>0</v>
      </c>
      <c r="BM467" s="185">
        <v>0</v>
      </c>
      <c r="BN467" s="185">
        <v>0</v>
      </c>
      <c r="BO467" s="185">
        <v>0</v>
      </c>
      <c r="BP467" s="185">
        <v>0</v>
      </c>
      <c r="BQ467" s="185">
        <v>0</v>
      </c>
      <c r="BR467" s="185">
        <v>0</v>
      </c>
      <c r="BS467" s="185">
        <v>0</v>
      </c>
      <c r="BT467" s="185">
        <v>0</v>
      </c>
      <c r="BU467" t="b">
        <f>IF(_xlfn.MAXIFS(Table1[Sl No],Table1[Category],Table1[[#This Row],[Category]],Table1[Execution Year],Table1[[#This Row],[Execution Year]])=Table1[[#This Row],[Sl No]],TRUE,FALSE)</f>
        <v>1</v>
      </c>
      <c r="BV467" s="201">
        <f>SUM(Table1[[#This Row],[Spend - CAN]:[Spend - Sams]])+SUM(Table1[[#This Row],[Spend - Sams Mexico]:[Spend - Sams China]])+Table1[[#This Row],[Spend - IND]]</f>
        <v>500000000</v>
      </c>
      <c r="BW467">
        <f>SUM(Table1[[#This Row],[Savings - CAN]:[Savings - Sams]])+SUM(Table1[[#This Row],[Savings - Sams Mexico]:[Savings - Sams China]])+Table1[[#This Row],[Savings - IND]]</f>
        <v>0</v>
      </c>
      <c r="BX467">
        <f>SUM(Table1[[#This Row],[Spend - CAN]:[Spend - SAF]])+SUM(Table1[[#This Row],[Spend - Sams Mexico]:[Spend - Sams China]])+Table1[[#This Row],[Spend - IND]]</f>
        <v>0</v>
      </c>
      <c r="BY467">
        <f>SUM(Table1[[#This Row],[Savings - CAN]:[Savings - SAF]])+SUM(Table1[[#This Row],[Savings - Sams Mexico]:[Savings - Sams China]])+Table1[[#This Row],[Savings - IND]]</f>
        <v>0</v>
      </c>
      <c r="BZ467">
        <f>SUM(Table1[[#This Row],[Spend - US]:[Spend - Sams]])</f>
        <v>500000000</v>
      </c>
      <c r="CA467">
        <f>SUM(Table1[[#This Row],[Savings - US]:[Savings - Sams]])</f>
        <v>0</v>
      </c>
      <c r="CB467">
        <f>SUM(Table1[[#This Row],[Cost Avoidance - CAN2]:[Cost Avoidance - SAF10]])+SUM(Table1[[#This Row],[Cost Avoidance - Sams Mexico]:[Cost Avoidance - Sams China]])+Table1[[#This Row],[Cost Avoidance - IND]]</f>
        <v>0</v>
      </c>
      <c r="CC467">
        <f>SUM(Table1[[#This Row],[Cost Avoidance - US11]:[Cost Avoidance - Sams12]])</f>
        <v>0</v>
      </c>
      <c r="CD467">
        <f>_xlfn.XLOOKUP(Table1[[#This Row],[Status]],Status_Lookups[Status],Status_Lookups[Value],"")</f>
        <v>0.3</v>
      </c>
    </row>
    <row r="468" spans="1:82">
      <c r="A468">
        <v>2</v>
      </c>
      <c r="B468" t="s">
        <v>530</v>
      </c>
      <c r="C468" t="s">
        <v>33</v>
      </c>
      <c r="D468" t="s">
        <v>322</v>
      </c>
      <c r="E468" s="15">
        <v>44896</v>
      </c>
      <c r="F468" s="15">
        <v>44956</v>
      </c>
      <c r="G468" s="15">
        <v>0</v>
      </c>
      <c r="H468" s="15">
        <v>0</v>
      </c>
      <c r="I468" t="s">
        <v>413</v>
      </c>
      <c r="J468" t="s">
        <v>459</v>
      </c>
      <c r="K468" t="s">
        <v>502</v>
      </c>
      <c r="L468">
        <v>0</v>
      </c>
      <c r="M468">
        <v>0</v>
      </c>
      <c r="N468">
        <v>0</v>
      </c>
      <c r="O468">
        <v>0</v>
      </c>
      <c r="P468">
        <v>0</v>
      </c>
      <c r="Q468">
        <v>0</v>
      </c>
      <c r="R468">
        <v>0</v>
      </c>
      <c r="S468">
        <v>0</v>
      </c>
      <c r="T468">
        <v>0</v>
      </c>
      <c r="U468">
        <v>0</v>
      </c>
      <c r="V468">
        <v>0</v>
      </c>
      <c r="W468">
        <v>0</v>
      </c>
      <c r="X468" t="s">
        <v>502</v>
      </c>
      <c r="Y468" s="16">
        <v>44732.319067939818</v>
      </c>
      <c r="Z468" s="17" t="str">
        <f>_xlfn.XLOOKUP(Table1[[#This Row],[Phase]],'Lookup tables'!$Y$27:$Y$60,'Lookup tables'!$Z$27:$Z$60,"Not Updated")</f>
        <v>Bid Prep</v>
      </c>
      <c r="AA468" s="17" t="s">
        <v>717</v>
      </c>
      <c r="AB468">
        <v>0</v>
      </c>
      <c r="AC468">
        <v>0</v>
      </c>
      <c r="AD468">
        <v>0</v>
      </c>
      <c r="AE468">
        <v>0</v>
      </c>
      <c r="AF468">
        <v>0</v>
      </c>
      <c r="AG468">
        <v>0</v>
      </c>
      <c r="AH468">
        <v>0</v>
      </c>
      <c r="AI468">
        <v>0</v>
      </c>
      <c r="AJ468">
        <v>0</v>
      </c>
      <c r="AK468">
        <v>0</v>
      </c>
      <c r="AL468">
        <v>0</v>
      </c>
      <c r="AM468">
        <v>0</v>
      </c>
      <c r="AN468">
        <v>0</v>
      </c>
      <c r="AO468">
        <v>0</v>
      </c>
      <c r="AP468">
        <v>0</v>
      </c>
      <c r="AQ468">
        <v>0</v>
      </c>
      <c r="AR468">
        <v>0</v>
      </c>
      <c r="AS468">
        <v>0</v>
      </c>
      <c r="AT468">
        <v>0</v>
      </c>
      <c r="AU468">
        <v>0</v>
      </c>
      <c r="AV468">
        <v>0</v>
      </c>
      <c r="AW468">
        <v>0</v>
      </c>
      <c r="AX468">
        <v>0</v>
      </c>
      <c r="AY468">
        <v>0</v>
      </c>
      <c r="AZ468">
        <v>0</v>
      </c>
      <c r="BA468">
        <v>0</v>
      </c>
      <c r="BB468">
        <v>0</v>
      </c>
      <c r="BC468">
        <v>0</v>
      </c>
      <c r="BD468">
        <v>0</v>
      </c>
      <c r="BE468">
        <v>0</v>
      </c>
      <c r="BF468">
        <v>0</v>
      </c>
      <c r="BG468" s="185">
        <v>0</v>
      </c>
      <c r="BH468" s="185">
        <v>0</v>
      </c>
      <c r="BI468" s="185">
        <v>0</v>
      </c>
      <c r="BJ468" s="185">
        <v>0</v>
      </c>
      <c r="BK468" s="185">
        <v>0</v>
      </c>
      <c r="BL468" s="185">
        <v>0</v>
      </c>
      <c r="BM468" s="185">
        <v>0</v>
      </c>
      <c r="BN468" s="185">
        <v>0</v>
      </c>
      <c r="BO468" s="185">
        <v>0</v>
      </c>
      <c r="BP468" s="185">
        <v>0</v>
      </c>
      <c r="BQ468" s="185">
        <v>0</v>
      </c>
      <c r="BR468" s="185">
        <v>0</v>
      </c>
      <c r="BS468" s="185">
        <v>0</v>
      </c>
      <c r="BT468" s="185">
        <v>0</v>
      </c>
      <c r="BU468" t="b">
        <f>IF(_xlfn.MAXIFS(Table1[Sl No],Table1[Category],Table1[[#This Row],[Category]],Table1[Execution Year],Table1[[#This Row],[Execution Year]])=Table1[[#This Row],[Sl No]],TRUE,FALSE)</f>
        <v>1</v>
      </c>
      <c r="BV468" s="201">
        <f>SUM(Table1[[#This Row],[Spend - CAN]:[Spend - Sams]])+SUM(Table1[[#This Row],[Spend - Sams Mexico]:[Spend - Sams China]])+Table1[[#This Row],[Spend - IND]]</f>
        <v>0</v>
      </c>
      <c r="BW468">
        <f>SUM(Table1[[#This Row],[Savings - CAN]:[Savings - Sams]])+SUM(Table1[[#This Row],[Savings - Sams Mexico]:[Savings - Sams China]])+Table1[[#This Row],[Savings - IND]]</f>
        <v>0</v>
      </c>
      <c r="BX468">
        <f>SUM(Table1[[#This Row],[Spend - CAN]:[Spend - SAF]])+SUM(Table1[[#This Row],[Spend - Sams Mexico]:[Spend - Sams China]])+Table1[[#This Row],[Spend - IND]]</f>
        <v>0</v>
      </c>
      <c r="BY468">
        <f>SUM(Table1[[#This Row],[Savings - CAN]:[Savings - SAF]])+SUM(Table1[[#This Row],[Savings - Sams Mexico]:[Savings - Sams China]])+Table1[[#This Row],[Savings - IND]]</f>
        <v>0</v>
      </c>
      <c r="BZ468">
        <f>SUM(Table1[[#This Row],[Spend - US]:[Spend - Sams]])</f>
        <v>0</v>
      </c>
      <c r="CA468">
        <f>SUM(Table1[[#This Row],[Savings - US]:[Savings - Sams]])</f>
        <v>0</v>
      </c>
      <c r="CB468">
        <f>SUM(Table1[[#This Row],[Cost Avoidance - CAN2]:[Cost Avoidance - SAF10]])+SUM(Table1[[#This Row],[Cost Avoidance - Sams Mexico]:[Cost Avoidance - Sams China]])+Table1[[#This Row],[Cost Avoidance - IND]]</f>
        <v>0</v>
      </c>
      <c r="CC468">
        <f>SUM(Table1[[#This Row],[Cost Avoidance - US11]:[Cost Avoidance - Sams12]])</f>
        <v>0</v>
      </c>
      <c r="CD468">
        <f>_xlfn.XLOOKUP(Table1[[#This Row],[Status]],Status_Lookups[Status],Status_Lookups[Value],"")</f>
        <v>0.3</v>
      </c>
    </row>
    <row r="469" spans="1:82">
      <c r="A469">
        <v>2</v>
      </c>
      <c r="B469" t="s">
        <v>546</v>
      </c>
      <c r="C469" t="s">
        <v>543</v>
      </c>
      <c r="D469" t="s">
        <v>322</v>
      </c>
      <c r="E469" s="15">
        <v>0</v>
      </c>
      <c r="F469" s="15">
        <v>0</v>
      </c>
      <c r="G469" s="15">
        <v>0</v>
      </c>
      <c r="H469" s="15">
        <v>0</v>
      </c>
      <c r="I469" t="s">
        <v>470</v>
      </c>
      <c r="J469" t="s">
        <v>470</v>
      </c>
      <c r="K469" t="s">
        <v>533</v>
      </c>
      <c r="L469">
        <v>0</v>
      </c>
      <c r="M469">
        <v>0</v>
      </c>
      <c r="N469">
        <v>0</v>
      </c>
      <c r="O469">
        <v>0</v>
      </c>
      <c r="P469">
        <v>0</v>
      </c>
      <c r="Q469">
        <v>0</v>
      </c>
      <c r="R469">
        <v>0</v>
      </c>
      <c r="S469">
        <v>0</v>
      </c>
      <c r="T469">
        <v>0</v>
      </c>
      <c r="U469">
        <v>0</v>
      </c>
      <c r="V469">
        <v>0</v>
      </c>
      <c r="W469">
        <v>0</v>
      </c>
      <c r="X469" t="s">
        <v>533</v>
      </c>
      <c r="Y469" s="16">
        <v>44732.333698148148</v>
      </c>
      <c r="Z469" s="17" t="str">
        <f>_xlfn.XLOOKUP(Table1[[#This Row],[Phase]],'Lookup tables'!$Y$27:$Y$60,'Lookup tables'!$Z$27:$Z$60,"Not Updated")</f>
        <v>Complete</v>
      </c>
      <c r="AA469" s="17" t="s">
        <v>718</v>
      </c>
      <c r="AB469">
        <v>0</v>
      </c>
      <c r="AC469">
        <v>0</v>
      </c>
      <c r="AD469">
        <v>0</v>
      </c>
      <c r="AE469">
        <v>0</v>
      </c>
      <c r="AF469">
        <v>0</v>
      </c>
      <c r="AG469">
        <v>0</v>
      </c>
      <c r="AH469">
        <v>0</v>
      </c>
      <c r="AI469">
        <v>0</v>
      </c>
      <c r="AJ469">
        <v>0</v>
      </c>
      <c r="AK469">
        <v>0</v>
      </c>
      <c r="AL469">
        <v>0</v>
      </c>
      <c r="AM469">
        <v>0</v>
      </c>
      <c r="AN469">
        <v>0</v>
      </c>
      <c r="AO469">
        <v>0</v>
      </c>
      <c r="AP469">
        <v>0</v>
      </c>
      <c r="AQ469">
        <v>0</v>
      </c>
      <c r="AR469">
        <v>0</v>
      </c>
      <c r="AS469">
        <v>0</v>
      </c>
      <c r="AT469">
        <v>0</v>
      </c>
      <c r="AU469">
        <v>0</v>
      </c>
      <c r="AV469">
        <v>0</v>
      </c>
      <c r="AW469">
        <v>0</v>
      </c>
      <c r="AX469">
        <v>0</v>
      </c>
      <c r="AY469">
        <v>0</v>
      </c>
      <c r="AZ469">
        <v>0</v>
      </c>
      <c r="BA469">
        <v>0</v>
      </c>
      <c r="BB469">
        <v>0</v>
      </c>
      <c r="BC469">
        <v>0</v>
      </c>
      <c r="BD469">
        <v>0</v>
      </c>
      <c r="BE469">
        <v>0</v>
      </c>
      <c r="BF469">
        <v>0</v>
      </c>
      <c r="BG469" s="185">
        <v>0</v>
      </c>
      <c r="BH469" s="185">
        <v>0</v>
      </c>
      <c r="BI469" s="185">
        <v>0</v>
      </c>
      <c r="BJ469" s="185">
        <v>0</v>
      </c>
      <c r="BK469" s="185">
        <v>0</v>
      </c>
      <c r="BL469" s="185">
        <v>0</v>
      </c>
      <c r="BM469" s="185">
        <v>0</v>
      </c>
      <c r="BN469" s="185">
        <v>0</v>
      </c>
      <c r="BO469" s="185">
        <v>0</v>
      </c>
      <c r="BP469" s="185">
        <v>44593</v>
      </c>
      <c r="BQ469" s="185">
        <v>0</v>
      </c>
      <c r="BR469" s="185">
        <v>0</v>
      </c>
      <c r="BS469" s="185">
        <v>0</v>
      </c>
      <c r="BT469" s="185">
        <v>0</v>
      </c>
      <c r="BU469" t="b">
        <f>IF(_xlfn.MAXIFS(Table1[Sl No],Table1[Category],Table1[[#This Row],[Category]],Table1[Execution Year],Table1[[#This Row],[Execution Year]])=Table1[[#This Row],[Sl No]],TRUE,FALSE)</f>
        <v>0</v>
      </c>
      <c r="BV469" s="201">
        <f>SUM(Table1[[#This Row],[Spend - CAN]:[Spend - Sams]])+SUM(Table1[[#This Row],[Spend - Sams Mexico]:[Spend - Sams China]])+Table1[[#This Row],[Spend - IND]]</f>
        <v>0</v>
      </c>
      <c r="BW469">
        <f>SUM(Table1[[#This Row],[Savings - CAN]:[Savings - Sams]])+SUM(Table1[[#This Row],[Savings - Sams Mexico]:[Savings - Sams China]])+Table1[[#This Row],[Savings - IND]]</f>
        <v>0</v>
      </c>
      <c r="BX469">
        <f>SUM(Table1[[#This Row],[Spend - CAN]:[Spend - SAF]])+SUM(Table1[[#This Row],[Spend - Sams Mexico]:[Spend - Sams China]])+Table1[[#This Row],[Spend - IND]]</f>
        <v>0</v>
      </c>
      <c r="BY469">
        <f>SUM(Table1[[#This Row],[Savings - CAN]:[Savings - SAF]])+SUM(Table1[[#This Row],[Savings - Sams Mexico]:[Savings - Sams China]])+Table1[[#This Row],[Savings - IND]]</f>
        <v>0</v>
      </c>
      <c r="BZ469">
        <f>SUM(Table1[[#This Row],[Spend - US]:[Spend - Sams]])</f>
        <v>0</v>
      </c>
      <c r="CA469">
        <f>SUM(Table1[[#This Row],[Savings - US]:[Savings - Sams]])</f>
        <v>0</v>
      </c>
      <c r="CB469">
        <f>SUM(Table1[[#This Row],[Cost Avoidance - CAN2]:[Cost Avoidance - SAF10]])+SUM(Table1[[#This Row],[Cost Avoidance - Sams Mexico]:[Cost Avoidance - Sams China]])+Table1[[#This Row],[Cost Avoidance - IND]]</f>
        <v>0</v>
      </c>
      <c r="CC469">
        <f>SUM(Table1[[#This Row],[Cost Avoidance - US11]:[Cost Avoidance - Sams12]])</f>
        <v>0</v>
      </c>
      <c r="CD469" t="str">
        <f>_xlfn.XLOOKUP(Table1[[#This Row],[Status]],Status_Lookups[Status],Status_Lookups[Value],"")</f>
        <v/>
      </c>
    </row>
    <row r="470" spans="1:82">
      <c r="A470">
        <v>3</v>
      </c>
      <c r="B470" t="s">
        <v>546</v>
      </c>
      <c r="C470" t="s">
        <v>543</v>
      </c>
      <c r="D470" t="s">
        <v>322</v>
      </c>
      <c r="E470" s="15">
        <v>0</v>
      </c>
      <c r="F470" s="15">
        <v>0</v>
      </c>
      <c r="G470" s="15">
        <v>0</v>
      </c>
      <c r="H470" s="15">
        <v>0</v>
      </c>
      <c r="I470" t="s">
        <v>470</v>
      </c>
      <c r="J470" t="s">
        <v>470</v>
      </c>
      <c r="K470" t="s">
        <v>533</v>
      </c>
      <c r="L470">
        <v>0</v>
      </c>
      <c r="M470">
        <v>0</v>
      </c>
      <c r="N470">
        <v>0</v>
      </c>
      <c r="O470">
        <v>0</v>
      </c>
      <c r="P470">
        <v>0</v>
      </c>
      <c r="Q470">
        <v>0</v>
      </c>
      <c r="R470">
        <v>0</v>
      </c>
      <c r="S470">
        <v>0</v>
      </c>
      <c r="T470">
        <v>0</v>
      </c>
      <c r="U470">
        <v>0</v>
      </c>
      <c r="V470">
        <v>1000000</v>
      </c>
      <c r="W470">
        <v>0</v>
      </c>
      <c r="X470" t="s">
        <v>533</v>
      </c>
      <c r="Y470" s="16">
        <v>44732.334037615743</v>
      </c>
      <c r="Z470" s="17" t="str">
        <f>_xlfn.XLOOKUP(Table1[[#This Row],[Phase]],'Lookup tables'!$Y$27:$Y$60,'Lookup tables'!$Z$27:$Z$60,"Not Updated")</f>
        <v>Complete</v>
      </c>
      <c r="AA470" s="17" t="s">
        <v>718</v>
      </c>
      <c r="AB470">
        <v>0</v>
      </c>
      <c r="AC470">
        <v>0</v>
      </c>
      <c r="AD470">
        <v>0</v>
      </c>
      <c r="AE470">
        <v>0</v>
      </c>
      <c r="AF470">
        <v>0</v>
      </c>
      <c r="AG470">
        <v>0</v>
      </c>
      <c r="AH470">
        <v>0</v>
      </c>
      <c r="AI470">
        <v>0</v>
      </c>
      <c r="AJ470">
        <v>0</v>
      </c>
      <c r="AK470">
        <v>0</v>
      </c>
      <c r="AL470">
        <v>0</v>
      </c>
      <c r="AM470">
        <v>0</v>
      </c>
      <c r="AN470">
        <v>0</v>
      </c>
      <c r="AO470">
        <v>0</v>
      </c>
      <c r="AP470">
        <v>0</v>
      </c>
      <c r="AQ470">
        <v>0</v>
      </c>
      <c r="AR470">
        <v>0</v>
      </c>
      <c r="AS470">
        <v>0</v>
      </c>
      <c r="AT470">
        <v>0</v>
      </c>
      <c r="AU470">
        <v>0</v>
      </c>
      <c r="AV470">
        <v>0</v>
      </c>
      <c r="AW470">
        <v>0</v>
      </c>
      <c r="AX470">
        <v>0</v>
      </c>
      <c r="AY470">
        <v>0</v>
      </c>
      <c r="AZ470">
        <v>0</v>
      </c>
      <c r="BA470">
        <v>0</v>
      </c>
      <c r="BB470">
        <v>0</v>
      </c>
      <c r="BC470">
        <v>0</v>
      </c>
      <c r="BD470">
        <v>0</v>
      </c>
      <c r="BE470">
        <v>0</v>
      </c>
      <c r="BF470">
        <v>0</v>
      </c>
      <c r="BG470" s="185">
        <v>0</v>
      </c>
      <c r="BH470" s="185">
        <v>0</v>
      </c>
      <c r="BI470" s="185">
        <v>0</v>
      </c>
      <c r="BJ470" s="185">
        <v>0</v>
      </c>
      <c r="BK470" s="185">
        <v>0</v>
      </c>
      <c r="BL470" s="185">
        <v>0</v>
      </c>
      <c r="BM470" s="185">
        <v>0</v>
      </c>
      <c r="BN470" s="185">
        <v>0</v>
      </c>
      <c r="BO470" s="185">
        <v>0</v>
      </c>
      <c r="BP470" s="185">
        <v>44593</v>
      </c>
      <c r="BQ470" s="185">
        <v>0</v>
      </c>
      <c r="BR470" s="185">
        <v>0</v>
      </c>
      <c r="BS470" s="185">
        <v>0</v>
      </c>
      <c r="BT470" s="185">
        <v>0</v>
      </c>
      <c r="BU470" t="b">
        <f>IF(_xlfn.MAXIFS(Table1[Sl No],Table1[Category],Table1[[#This Row],[Category]],Table1[Execution Year],Table1[[#This Row],[Execution Year]])=Table1[[#This Row],[Sl No]],TRUE,FALSE)</f>
        <v>1</v>
      </c>
      <c r="BV470" s="201">
        <f>SUM(Table1[[#This Row],[Spend - CAN]:[Spend - Sams]])+SUM(Table1[[#This Row],[Spend - Sams Mexico]:[Spend - Sams China]])+Table1[[#This Row],[Spend - IND]]</f>
        <v>1000000</v>
      </c>
      <c r="BW470">
        <f>SUM(Table1[[#This Row],[Savings - CAN]:[Savings - Sams]])+SUM(Table1[[#This Row],[Savings - Sams Mexico]:[Savings - Sams China]])+Table1[[#This Row],[Savings - IND]]</f>
        <v>0</v>
      </c>
      <c r="BX470">
        <f>SUM(Table1[[#This Row],[Spend - CAN]:[Spend - SAF]])+SUM(Table1[[#This Row],[Spend - Sams Mexico]:[Spend - Sams China]])+Table1[[#This Row],[Spend - IND]]</f>
        <v>0</v>
      </c>
      <c r="BY470">
        <f>SUM(Table1[[#This Row],[Savings - CAN]:[Savings - SAF]])+SUM(Table1[[#This Row],[Savings - Sams Mexico]:[Savings - Sams China]])+Table1[[#This Row],[Savings - IND]]</f>
        <v>0</v>
      </c>
      <c r="BZ470">
        <f>SUM(Table1[[#This Row],[Spend - US]:[Spend - Sams]])</f>
        <v>1000000</v>
      </c>
      <c r="CA470">
        <f>SUM(Table1[[#This Row],[Savings - US]:[Savings - Sams]])</f>
        <v>0</v>
      </c>
      <c r="CB470">
        <f>SUM(Table1[[#This Row],[Cost Avoidance - CAN2]:[Cost Avoidance - SAF10]])+SUM(Table1[[#This Row],[Cost Avoidance - Sams Mexico]:[Cost Avoidance - Sams China]])+Table1[[#This Row],[Cost Avoidance - IND]]</f>
        <v>0</v>
      </c>
      <c r="CC470">
        <f>SUM(Table1[[#This Row],[Cost Avoidance - US11]:[Cost Avoidance - Sams12]])</f>
        <v>0</v>
      </c>
      <c r="CD470" t="str">
        <f>_xlfn.XLOOKUP(Table1[[#This Row],[Status]],Status_Lookups[Status],Status_Lookups[Value],"")</f>
        <v/>
      </c>
    </row>
    <row r="471" spans="1:82">
      <c r="A471">
        <v>2</v>
      </c>
      <c r="B471" t="s">
        <v>549</v>
      </c>
      <c r="C471" t="s">
        <v>543</v>
      </c>
      <c r="D471" t="s">
        <v>322</v>
      </c>
      <c r="E471" s="15">
        <v>0</v>
      </c>
      <c r="F471" s="15">
        <v>0</v>
      </c>
      <c r="G471" s="15">
        <v>0</v>
      </c>
      <c r="H471" s="15">
        <v>0</v>
      </c>
      <c r="I471" t="s">
        <v>470</v>
      </c>
      <c r="J471" t="s">
        <v>470</v>
      </c>
      <c r="K471" t="s">
        <v>533</v>
      </c>
      <c r="L471">
        <v>0</v>
      </c>
      <c r="M471">
        <v>0</v>
      </c>
      <c r="N471">
        <v>0</v>
      </c>
      <c r="O471">
        <v>0</v>
      </c>
      <c r="P471">
        <v>0</v>
      </c>
      <c r="Q471">
        <v>0</v>
      </c>
      <c r="R471">
        <v>0</v>
      </c>
      <c r="S471">
        <v>0</v>
      </c>
      <c r="T471">
        <v>0</v>
      </c>
      <c r="U471">
        <v>0</v>
      </c>
      <c r="V471">
        <v>1000000</v>
      </c>
      <c r="W471">
        <v>0</v>
      </c>
      <c r="X471" t="s">
        <v>533</v>
      </c>
      <c r="Y471" s="16">
        <v>44732.335860300926</v>
      </c>
      <c r="Z471" s="17" t="str">
        <f>_xlfn.XLOOKUP(Table1[[#This Row],[Phase]],'Lookup tables'!$Y$27:$Y$60,'Lookup tables'!$Z$27:$Z$60,"Not Updated")</f>
        <v>Complete</v>
      </c>
      <c r="AA471" s="17" t="s">
        <v>719</v>
      </c>
      <c r="AB471">
        <v>0</v>
      </c>
      <c r="AC471">
        <v>0</v>
      </c>
      <c r="AD471">
        <v>0</v>
      </c>
      <c r="AE471">
        <v>0</v>
      </c>
      <c r="AF471">
        <v>0</v>
      </c>
      <c r="AG471">
        <v>0</v>
      </c>
      <c r="AH471">
        <v>0</v>
      </c>
      <c r="AI471">
        <v>0</v>
      </c>
      <c r="AJ471">
        <v>0</v>
      </c>
      <c r="AK471">
        <v>0</v>
      </c>
      <c r="AL471">
        <v>0</v>
      </c>
      <c r="AM471">
        <v>0</v>
      </c>
      <c r="AN471">
        <v>0</v>
      </c>
      <c r="AO471">
        <v>0</v>
      </c>
      <c r="AP471">
        <v>0</v>
      </c>
      <c r="AQ471">
        <v>0</v>
      </c>
      <c r="AR471">
        <v>0</v>
      </c>
      <c r="AS471">
        <v>0</v>
      </c>
      <c r="AT471">
        <v>0</v>
      </c>
      <c r="AU471">
        <v>0</v>
      </c>
      <c r="AV471">
        <v>0</v>
      </c>
      <c r="AW471">
        <v>0</v>
      </c>
      <c r="AX471">
        <v>0</v>
      </c>
      <c r="AY471">
        <v>0</v>
      </c>
      <c r="AZ471">
        <v>0</v>
      </c>
      <c r="BA471">
        <v>0</v>
      </c>
      <c r="BB471">
        <v>0</v>
      </c>
      <c r="BC471">
        <v>0</v>
      </c>
      <c r="BD471">
        <v>0</v>
      </c>
      <c r="BE471">
        <v>0</v>
      </c>
      <c r="BF471">
        <v>0</v>
      </c>
      <c r="BG471" s="185">
        <v>0</v>
      </c>
      <c r="BH471" s="185">
        <v>0</v>
      </c>
      <c r="BI471" s="185">
        <v>0</v>
      </c>
      <c r="BJ471" s="185">
        <v>0</v>
      </c>
      <c r="BK471" s="185">
        <v>0</v>
      </c>
      <c r="BL471" s="185">
        <v>0</v>
      </c>
      <c r="BM471" s="185">
        <v>0</v>
      </c>
      <c r="BN471" s="185">
        <v>0</v>
      </c>
      <c r="BO471" s="185">
        <v>0</v>
      </c>
      <c r="BP471" s="185">
        <v>44593</v>
      </c>
      <c r="BQ471" s="185">
        <v>0</v>
      </c>
      <c r="BR471" s="185">
        <v>0</v>
      </c>
      <c r="BS471" s="185">
        <v>0</v>
      </c>
      <c r="BT471" s="185">
        <v>0</v>
      </c>
      <c r="BU471" t="b">
        <f>IF(_xlfn.MAXIFS(Table1[Sl No],Table1[Category],Table1[[#This Row],[Category]],Table1[Execution Year],Table1[[#This Row],[Execution Year]])=Table1[[#This Row],[Sl No]],TRUE,FALSE)</f>
        <v>1</v>
      </c>
      <c r="BV471" s="201">
        <f>SUM(Table1[[#This Row],[Spend - CAN]:[Spend - Sams]])+SUM(Table1[[#This Row],[Spend - Sams Mexico]:[Spend - Sams China]])+Table1[[#This Row],[Spend - IND]]</f>
        <v>1000000</v>
      </c>
      <c r="BW471">
        <f>SUM(Table1[[#This Row],[Savings - CAN]:[Savings - Sams]])+SUM(Table1[[#This Row],[Savings - Sams Mexico]:[Savings - Sams China]])+Table1[[#This Row],[Savings - IND]]</f>
        <v>0</v>
      </c>
      <c r="BX471">
        <f>SUM(Table1[[#This Row],[Spend - CAN]:[Spend - SAF]])+SUM(Table1[[#This Row],[Spend - Sams Mexico]:[Spend - Sams China]])+Table1[[#This Row],[Spend - IND]]</f>
        <v>0</v>
      </c>
      <c r="BY471">
        <f>SUM(Table1[[#This Row],[Savings - CAN]:[Savings - SAF]])+SUM(Table1[[#This Row],[Savings - Sams Mexico]:[Savings - Sams China]])+Table1[[#This Row],[Savings - IND]]</f>
        <v>0</v>
      </c>
      <c r="BZ471">
        <f>SUM(Table1[[#This Row],[Spend - US]:[Spend - Sams]])</f>
        <v>1000000</v>
      </c>
      <c r="CA471">
        <f>SUM(Table1[[#This Row],[Savings - US]:[Savings - Sams]])</f>
        <v>0</v>
      </c>
      <c r="CB471">
        <f>SUM(Table1[[#This Row],[Cost Avoidance - CAN2]:[Cost Avoidance - SAF10]])+SUM(Table1[[#This Row],[Cost Avoidance - Sams Mexico]:[Cost Avoidance - Sams China]])+Table1[[#This Row],[Cost Avoidance - IND]]</f>
        <v>0</v>
      </c>
      <c r="CC471">
        <f>SUM(Table1[[#This Row],[Cost Avoidance - US11]:[Cost Avoidance - Sams12]])</f>
        <v>0</v>
      </c>
      <c r="CD471" t="str">
        <f>_xlfn.XLOOKUP(Table1[[#This Row],[Status]],Status_Lookups[Status],Status_Lookups[Value],"")</f>
        <v/>
      </c>
    </row>
    <row r="472" spans="1:82">
      <c r="A472">
        <v>7</v>
      </c>
      <c r="B472" t="s">
        <v>51</v>
      </c>
      <c r="C472" t="s">
        <v>33</v>
      </c>
      <c r="D472" t="s">
        <v>322</v>
      </c>
      <c r="E472" s="15">
        <v>44805</v>
      </c>
      <c r="F472" s="15">
        <v>44925</v>
      </c>
      <c r="G472" s="15">
        <v>44742</v>
      </c>
      <c r="H472" s="15">
        <v>44676</v>
      </c>
      <c r="I472" t="s">
        <v>415</v>
      </c>
      <c r="J472" t="s">
        <v>459</v>
      </c>
      <c r="K472" t="s">
        <v>508</v>
      </c>
      <c r="L472" t="s">
        <v>521</v>
      </c>
      <c r="M472">
        <v>6800000</v>
      </c>
      <c r="N472">
        <v>4800000</v>
      </c>
      <c r="O472">
        <v>2400000</v>
      </c>
      <c r="P472">
        <v>2400000</v>
      </c>
      <c r="Q472">
        <v>0</v>
      </c>
      <c r="R472">
        <v>0</v>
      </c>
      <c r="S472">
        <v>0</v>
      </c>
      <c r="T472">
        <v>12300000</v>
      </c>
      <c r="U472">
        <v>0</v>
      </c>
      <c r="V472">
        <v>276000000</v>
      </c>
      <c r="W472">
        <v>53300000</v>
      </c>
      <c r="X472" t="s">
        <v>47</v>
      </c>
      <c r="Y472" s="16">
        <v>44732.338824537037</v>
      </c>
      <c r="Z472" s="17" t="str">
        <f>_xlfn.XLOOKUP(Table1[[#This Row],[Phase]],'Lookup tables'!$Y$27:$Y$60,'Lookup tables'!$Z$27:$Z$60,"Not Updated")</f>
        <v>Award</v>
      </c>
      <c r="AA472" s="17" t="s">
        <v>632</v>
      </c>
      <c r="AB472">
        <v>0</v>
      </c>
      <c r="AC472">
        <v>0</v>
      </c>
      <c r="AD472">
        <v>0</v>
      </c>
      <c r="AE472">
        <v>0</v>
      </c>
      <c r="AF472">
        <v>0</v>
      </c>
      <c r="AG472">
        <v>0</v>
      </c>
      <c r="AH472">
        <v>0</v>
      </c>
      <c r="AI472">
        <v>0</v>
      </c>
      <c r="AJ472">
        <v>0</v>
      </c>
      <c r="AK472">
        <v>0</v>
      </c>
      <c r="AL472">
        <v>0</v>
      </c>
      <c r="AM472">
        <v>0</v>
      </c>
      <c r="AN472">
        <v>0</v>
      </c>
      <c r="AO472">
        <v>0</v>
      </c>
      <c r="AP472">
        <v>0</v>
      </c>
      <c r="AQ472">
        <v>0</v>
      </c>
      <c r="AR472">
        <v>0</v>
      </c>
      <c r="AS472">
        <v>0</v>
      </c>
      <c r="AT472">
        <v>0</v>
      </c>
      <c r="AU472">
        <v>0</v>
      </c>
      <c r="AV472">
        <v>0</v>
      </c>
      <c r="AW472">
        <v>0</v>
      </c>
      <c r="AX472">
        <v>0</v>
      </c>
      <c r="AY472">
        <v>0</v>
      </c>
      <c r="AZ472">
        <v>0</v>
      </c>
      <c r="BA472">
        <v>0</v>
      </c>
      <c r="BB472">
        <v>0</v>
      </c>
      <c r="BC472">
        <v>0</v>
      </c>
      <c r="BD472">
        <v>0</v>
      </c>
      <c r="BE472">
        <v>0</v>
      </c>
      <c r="BF472">
        <v>0</v>
      </c>
      <c r="BG472" s="185">
        <v>44835</v>
      </c>
      <c r="BH472" s="185">
        <v>44835</v>
      </c>
      <c r="BI472" s="185">
        <v>44835</v>
      </c>
      <c r="BJ472" s="185">
        <v>44835</v>
      </c>
      <c r="BK472" s="185">
        <v>0</v>
      </c>
      <c r="BL472" s="185">
        <v>0</v>
      </c>
      <c r="BM472" s="185">
        <v>0</v>
      </c>
      <c r="BN472" s="185">
        <v>44835</v>
      </c>
      <c r="BO472" s="185">
        <v>0</v>
      </c>
      <c r="BP472" s="185">
        <v>44835</v>
      </c>
      <c r="BQ472" s="185">
        <v>0</v>
      </c>
      <c r="BR472" s="185">
        <v>0</v>
      </c>
      <c r="BS472" s="185">
        <v>0</v>
      </c>
      <c r="BT472" s="185">
        <v>0</v>
      </c>
      <c r="BU472" t="b">
        <f>IF(_xlfn.MAXIFS(Table1[Sl No],Table1[Category],Table1[[#This Row],[Category]],Table1[Execution Year],Table1[[#This Row],[Execution Year]])=Table1[[#This Row],[Sl No]],TRUE,FALSE)</f>
        <v>1</v>
      </c>
      <c r="BV472" s="201">
        <f>SUM(Table1[[#This Row],[Spend - CAN]:[Spend - Sams]])+SUM(Table1[[#This Row],[Spend - Sams Mexico]:[Spend - Sams China]])+Table1[[#This Row],[Spend - IND]]</f>
        <v>358000000</v>
      </c>
      <c r="BW472">
        <f>SUM(Table1[[#This Row],[Savings - CAN]:[Savings - Sams]])+SUM(Table1[[#This Row],[Savings - Sams Mexico]:[Savings - Sams China]])+Table1[[#This Row],[Savings - IND]]</f>
        <v>0</v>
      </c>
      <c r="BX472">
        <f>SUM(Table1[[#This Row],[Spend - CAN]:[Spend - SAF]])+SUM(Table1[[#This Row],[Spend - Sams Mexico]:[Spend - Sams China]])+Table1[[#This Row],[Spend - IND]]</f>
        <v>28700000</v>
      </c>
      <c r="BY472">
        <f>SUM(Table1[[#This Row],[Savings - CAN]:[Savings - SAF]])+SUM(Table1[[#This Row],[Savings - Sams Mexico]:[Savings - Sams China]])+Table1[[#This Row],[Savings - IND]]</f>
        <v>0</v>
      </c>
      <c r="BZ472">
        <f>SUM(Table1[[#This Row],[Spend - US]:[Spend - Sams]])</f>
        <v>329300000</v>
      </c>
      <c r="CA472">
        <f>SUM(Table1[[#This Row],[Savings - US]:[Savings - Sams]])</f>
        <v>0</v>
      </c>
      <c r="CB472">
        <f>SUM(Table1[[#This Row],[Cost Avoidance - CAN2]:[Cost Avoidance - SAF10]])+SUM(Table1[[#This Row],[Cost Avoidance - Sams Mexico]:[Cost Avoidance - Sams China]])+Table1[[#This Row],[Cost Avoidance - IND]]</f>
        <v>0</v>
      </c>
      <c r="CC472">
        <f>SUM(Table1[[#This Row],[Cost Avoidance - US11]:[Cost Avoidance - Sams12]])</f>
        <v>0</v>
      </c>
      <c r="CD472">
        <f>_xlfn.XLOOKUP(Table1[[#This Row],[Status]],Status_Lookups[Status],Status_Lookups[Value],"")</f>
        <v>0.3</v>
      </c>
    </row>
    <row r="473" spans="1:82">
      <c r="A473">
        <v>2</v>
      </c>
      <c r="B473" t="s">
        <v>550</v>
      </c>
      <c r="C473" t="s">
        <v>543</v>
      </c>
      <c r="D473" t="s">
        <v>322</v>
      </c>
      <c r="E473" s="15">
        <v>0</v>
      </c>
      <c r="F473" s="15">
        <v>0</v>
      </c>
      <c r="G473" s="15">
        <v>0</v>
      </c>
      <c r="H473" s="15">
        <v>0</v>
      </c>
      <c r="I473" t="s">
        <v>470</v>
      </c>
      <c r="J473" t="s">
        <v>470</v>
      </c>
      <c r="K473" t="s">
        <v>533</v>
      </c>
      <c r="L473">
        <v>0</v>
      </c>
      <c r="M473">
        <v>0</v>
      </c>
      <c r="N473">
        <v>0</v>
      </c>
      <c r="O473">
        <v>0</v>
      </c>
      <c r="P473">
        <v>0</v>
      </c>
      <c r="Q473">
        <v>0</v>
      </c>
      <c r="R473">
        <v>0</v>
      </c>
      <c r="S473">
        <v>0</v>
      </c>
      <c r="T473">
        <v>0</v>
      </c>
      <c r="U473">
        <v>0</v>
      </c>
      <c r="V473">
        <v>1000000</v>
      </c>
      <c r="W473">
        <v>0</v>
      </c>
      <c r="X473" t="s">
        <v>533</v>
      </c>
      <c r="Y473" s="16">
        <v>44732.379972453702</v>
      </c>
      <c r="Z473" s="17" t="str">
        <f>_xlfn.XLOOKUP(Table1[[#This Row],[Phase]],'Lookup tables'!$Y$27:$Y$60,'Lookup tables'!$Z$27:$Z$60,"Not Updated")</f>
        <v>Complete</v>
      </c>
      <c r="AA473" s="17" t="s">
        <v>720</v>
      </c>
      <c r="AB473">
        <v>0</v>
      </c>
      <c r="AC473">
        <v>0</v>
      </c>
      <c r="AD473">
        <v>0</v>
      </c>
      <c r="AE473">
        <v>0</v>
      </c>
      <c r="AF473">
        <v>0</v>
      </c>
      <c r="AG473">
        <v>0</v>
      </c>
      <c r="AH473">
        <v>0</v>
      </c>
      <c r="AI473">
        <v>0</v>
      </c>
      <c r="AJ473">
        <v>0</v>
      </c>
      <c r="AK473">
        <v>0</v>
      </c>
      <c r="AL473">
        <v>0</v>
      </c>
      <c r="AM473">
        <v>0</v>
      </c>
      <c r="AN473">
        <v>0</v>
      </c>
      <c r="AO473">
        <v>0</v>
      </c>
      <c r="AP473">
        <v>0</v>
      </c>
      <c r="AQ473">
        <v>0</v>
      </c>
      <c r="AR473">
        <v>0</v>
      </c>
      <c r="AS473">
        <v>0</v>
      </c>
      <c r="AT473">
        <v>0</v>
      </c>
      <c r="AU473">
        <v>0</v>
      </c>
      <c r="AV473">
        <v>0</v>
      </c>
      <c r="AW473">
        <v>0</v>
      </c>
      <c r="AX473">
        <v>0</v>
      </c>
      <c r="AY473">
        <v>0</v>
      </c>
      <c r="AZ473">
        <v>0</v>
      </c>
      <c r="BA473">
        <v>0</v>
      </c>
      <c r="BB473">
        <v>0</v>
      </c>
      <c r="BC473">
        <v>0</v>
      </c>
      <c r="BD473">
        <v>0</v>
      </c>
      <c r="BE473">
        <v>0</v>
      </c>
      <c r="BF473">
        <v>0</v>
      </c>
      <c r="BG473" s="185">
        <v>0</v>
      </c>
      <c r="BH473" s="185">
        <v>0</v>
      </c>
      <c r="BI473" s="185">
        <v>0</v>
      </c>
      <c r="BJ473" s="185">
        <v>0</v>
      </c>
      <c r="BK473" s="185">
        <v>0</v>
      </c>
      <c r="BL473" s="185">
        <v>0</v>
      </c>
      <c r="BM473" s="185">
        <v>0</v>
      </c>
      <c r="BN473" s="185">
        <v>0</v>
      </c>
      <c r="BO473" s="185">
        <v>0</v>
      </c>
      <c r="BP473" s="185">
        <v>44593</v>
      </c>
      <c r="BQ473" s="185">
        <v>0</v>
      </c>
      <c r="BR473" s="185">
        <v>0</v>
      </c>
      <c r="BS473" s="185">
        <v>0</v>
      </c>
      <c r="BT473" s="185">
        <v>0</v>
      </c>
      <c r="BU473" t="b">
        <f>IF(_xlfn.MAXIFS(Table1[Sl No],Table1[Category],Table1[[#This Row],[Category]],Table1[Execution Year],Table1[[#This Row],[Execution Year]])=Table1[[#This Row],[Sl No]],TRUE,FALSE)</f>
        <v>1</v>
      </c>
      <c r="BV473" s="201">
        <f>SUM(Table1[[#This Row],[Spend - CAN]:[Spend - Sams]])+SUM(Table1[[#This Row],[Spend - Sams Mexico]:[Spend - Sams China]])+Table1[[#This Row],[Spend - IND]]</f>
        <v>1000000</v>
      </c>
      <c r="BW473">
        <f>SUM(Table1[[#This Row],[Savings - CAN]:[Savings - Sams]])+SUM(Table1[[#This Row],[Savings - Sams Mexico]:[Savings - Sams China]])+Table1[[#This Row],[Savings - IND]]</f>
        <v>0</v>
      </c>
      <c r="BX473">
        <f>SUM(Table1[[#This Row],[Spend - CAN]:[Spend - SAF]])+SUM(Table1[[#This Row],[Spend - Sams Mexico]:[Spend - Sams China]])+Table1[[#This Row],[Spend - IND]]</f>
        <v>0</v>
      </c>
      <c r="BY473">
        <f>SUM(Table1[[#This Row],[Savings - CAN]:[Savings - SAF]])+SUM(Table1[[#This Row],[Savings - Sams Mexico]:[Savings - Sams China]])+Table1[[#This Row],[Savings - IND]]</f>
        <v>0</v>
      </c>
      <c r="BZ473">
        <f>SUM(Table1[[#This Row],[Spend - US]:[Spend - Sams]])</f>
        <v>1000000</v>
      </c>
      <c r="CA473">
        <f>SUM(Table1[[#This Row],[Savings - US]:[Savings - Sams]])</f>
        <v>0</v>
      </c>
      <c r="CB473">
        <f>SUM(Table1[[#This Row],[Cost Avoidance - CAN2]:[Cost Avoidance - SAF10]])+SUM(Table1[[#This Row],[Cost Avoidance - Sams Mexico]:[Cost Avoidance - Sams China]])+Table1[[#This Row],[Cost Avoidance - IND]]</f>
        <v>0</v>
      </c>
      <c r="CC473">
        <f>SUM(Table1[[#This Row],[Cost Avoidance - US11]:[Cost Avoidance - Sams12]])</f>
        <v>0</v>
      </c>
      <c r="CD473" t="str">
        <f>_xlfn.XLOOKUP(Table1[[#This Row],[Status]],Status_Lookups[Status],Status_Lookups[Value],"")</f>
        <v/>
      </c>
    </row>
    <row r="474" spans="1:82">
      <c r="A474">
        <v>2</v>
      </c>
      <c r="B474" t="s">
        <v>551</v>
      </c>
      <c r="C474" t="s">
        <v>543</v>
      </c>
      <c r="D474" t="s">
        <v>322</v>
      </c>
      <c r="E474" s="15">
        <v>0</v>
      </c>
      <c r="F474" s="15">
        <v>0</v>
      </c>
      <c r="G474" s="15">
        <v>0</v>
      </c>
      <c r="H474" s="15">
        <v>0</v>
      </c>
      <c r="I474" t="s">
        <v>470</v>
      </c>
      <c r="J474" t="s">
        <v>470</v>
      </c>
      <c r="K474" t="s">
        <v>533</v>
      </c>
      <c r="L474">
        <v>0</v>
      </c>
      <c r="M474">
        <v>0</v>
      </c>
      <c r="N474">
        <v>0</v>
      </c>
      <c r="O474">
        <v>0</v>
      </c>
      <c r="P474">
        <v>0</v>
      </c>
      <c r="Q474">
        <v>0</v>
      </c>
      <c r="R474">
        <v>0</v>
      </c>
      <c r="S474">
        <v>0</v>
      </c>
      <c r="T474">
        <v>0</v>
      </c>
      <c r="U474">
        <v>0</v>
      </c>
      <c r="V474">
        <v>1000000</v>
      </c>
      <c r="W474">
        <v>0</v>
      </c>
      <c r="X474" t="s">
        <v>533</v>
      </c>
      <c r="Y474" s="16">
        <v>44732.380528703703</v>
      </c>
      <c r="Z474" s="17" t="str">
        <f>_xlfn.XLOOKUP(Table1[[#This Row],[Phase]],'Lookup tables'!$Y$27:$Y$60,'Lookup tables'!$Z$27:$Z$60,"Not Updated")</f>
        <v>Complete</v>
      </c>
      <c r="AA474" s="17" t="s">
        <v>721</v>
      </c>
      <c r="AB474">
        <v>0</v>
      </c>
      <c r="AC474">
        <v>0</v>
      </c>
      <c r="AD474">
        <v>0</v>
      </c>
      <c r="AE474">
        <v>0</v>
      </c>
      <c r="AF474">
        <v>0</v>
      </c>
      <c r="AG474">
        <v>0</v>
      </c>
      <c r="AH474">
        <v>0</v>
      </c>
      <c r="AI474">
        <v>0</v>
      </c>
      <c r="AJ474">
        <v>0</v>
      </c>
      <c r="AK474">
        <v>0</v>
      </c>
      <c r="AL474">
        <v>0</v>
      </c>
      <c r="AM474">
        <v>0</v>
      </c>
      <c r="AN474">
        <v>0</v>
      </c>
      <c r="AO474">
        <v>0</v>
      </c>
      <c r="AP474">
        <v>0</v>
      </c>
      <c r="AQ474">
        <v>0</v>
      </c>
      <c r="AR474">
        <v>0</v>
      </c>
      <c r="AS474">
        <v>0</v>
      </c>
      <c r="AT474">
        <v>0</v>
      </c>
      <c r="AU474">
        <v>0</v>
      </c>
      <c r="AV474">
        <v>0</v>
      </c>
      <c r="AW474">
        <v>0</v>
      </c>
      <c r="AX474">
        <v>0</v>
      </c>
      <c r="AY474">
        <v>0</v>
      </c>
      <c r="AZ474">
        <v>0</v>
      </c>
      <c r="BA474">
        <v>0</v>
      </c>
      <c r="BB474">
        <v>0</v>
      </c>
      <c r="BC474">
        <v>0</v>
      </c>
      <c r="BD474">
        <v>0</v>
      </c>
      <c r="BE474">
        <v>0</v>
      </c>
      <c r="BF474">
        <v>0</v>
      </c>
      <c r="BG474" s="185">
        <v>0</v>
      </c>
      <c r="BH474" s="185">
        <v>0</v>
      </c>
      <c r="BI474" s="185">
        <v>0</v>
      </c>
      <c r="BJ474" s="185">
        <v>0</v>
      </c>
      <c r="BK474" s="185">
        <v>0</v>
      </c>
      <c r="BL474" s="185">
        <v>0</v>
      </c>
      <c r="BM474" s="185">
        <v>0</v>
      </c>
      <c r="BN474" s="185">
        <v>0</v>
      </c>
      <c r="BO474" s="185">
        <v>0</v>
      </c>
      <c r="BP474" s="185">
        <v>44593</v>
      </c>
      <c r="BQ474" s="185">
        <v>0</v>
      </c>
      <c r="BR474" s="185">
        <v>0</v>
      </c>
      <c r="BS474" s="185">
        <v>0</v>
      </c>
      <c r="BT474" s="185">
        <v>0</v>
      </c>
      <c r="BU474" t="b">
        <f>IF(_xlfn.MAXIFS(Table1[Sl No],Table1[Category],Table1[[#This Row],[Category]],Table1[Execution Year],Table1[[#This Row],[Execution Year]])=Table1[[#This Row],[Sl No]],TRUE,FALSE)</f>
        <v>0</v>
      </c>
      <c r="BV474" s="201">
        <f>SUM(Table1[[#This Row],[Spend - CAN]:[Spend - Sams]])+SUM(Table1[[#This Row],[Spend - Sams Mexico]:[Spend - Sams China]])+Table1[[#This Row],[Spend - IND]]</f>
        <v>1000000</v>
      </c>
      <c r="BW474">
        <f>SUM(Table1[[#This Row],[Savings - CAN]:[Savings - Sams]])+SUM(Table1[[#This Row],[Savings - Sams Mexico]:[Savings - Sams China]])+Table1[[#This Row],[Savings - IND]]</f>
        <v>0</v>
      </c>
      <c r="BX474">
        <f>SUM(Table1[[#This Row],[Spend - CAN]:[Spend - SAF]])+SUM(Table1[[#This Row],[Spend - Sams Mexico]:[Spend - Sams China]])+Table1[[#This Row],[Spend - IND]]</f>
        <v>0</v>
      </c>
      <c r="BY474">
        <f>SUM(Table1[[#This Row],[Savings - CAN]:[Savings - SAF]])+SUM(Table1[[#This Row],[Savings - Sams Mexico]:[Savings - Sams China]])+Table1[[#This Row],[Savings - IND]]</f>
        <v>0</v>
      </c>
      <c r="BZ474">
        <f>SUM(Table1[[#This Row],[Spend - US]:[Spend - Sams]])</f>
        <v>1000000</v>
      </c>
      <c r="CA474">
        <f>SUM(Table1[[#This Row],[Savings - US]:[Savings - Sams]])</f>
        <v>0</v>
      </c>
      <c r="CB474">
        <f>SUM(Table1[[#This Row],[Cost Avoidance - CAN2]:[Cost Avoidance - SAF10]])+SUM(Table1[[#This Row],[Cost Avoidance - Sams Mexico]:[Cost Avoidance - Sams China]])+Table1[[#This Row],[Cost Avoidance - IND]]</f>
        <v>0</v>
      </c>
      <c r="CC474">
        <f>SUM(Table1[[#This Row],[Cost Avoidance - US11]:[Cost Avoidance - Sams12]])</f>
        <v>0</v>
      </c>
      <c r="CD474" t="str">
        <f>_xlfn.XLOOKUP(Table1[[#This Row],[Status]],Status_Lookups[Status],Status_Lookups[Value],"")</f>
        <v/>
      </c>
    </row>
    <row r="475" spans="1:82">
      <c r="A475">
        <v>2</v>
      </c>
      <c r="B475" t="s">
        <v>552</v>
      </c>
      <c r="C475" t="s">
        <v>543</v>
      </c>
      <c r="D475" t="s">
        <v>322</v>
      </c>
      <c r="E475" s="15">
        <v>0</v>
      </c>
      <c r="F475" s="15">
        <v>0</v>
      </c>
      <c r="G475" s="15">
        <v>0</v>
      </c>
      <c r="H475" s="15">
        <v>0</v>
      </c>
      <c r="I475" t="s">
        <v>470</v>
      </c>
      <c r="J475" t="s">
        <v>470</v>
      </c>
      <c r="K475" t="s">
        <v>533</v>
      </c>
      <c r="L475">
        <v>0</v>
      </c>
      <c r="M475">
        <v>0</v>
      </c>
      <c r="N475">
        <v>0</v>
      </c>
      <c r="O475">
        <v>0</v>
      </c>
      <c r="P475">
        <v>0</v>
      </c>
      <c r="Q475">
        <v>0</v>
      </c>
      <c r="R475">
        <v>0</v>
      </c>
      <c r="S475">
        <v>0</v>
      </c>
      <c r="T475">
        <v>0</v>
      </c>
      <c r="U475">
        <v>0</v>
      </c>
      <c r="V475">
        <v>1000000</v>
      </c>
      <c r="W475">
        <v>0</v>
      </c>
      <c r="X475" t="s">
        <v>533</v>
      </c>
      <c r="Y475" s="16">
        <v>44732.382566203705</v>
      </c>
      <c r="Z475" s="17" t="str">
        <f>_xlfn.XLOOKUP(Table1[[#This Row],[Phase]],'Lookup tables'!$Y$27:$Y$60,'Lookup tables'!$Z$27:$Z$60,"Not Updated")</f>
        <v>Complete</v>
      </c>
      <c r="AA475" s="17" t="s">
        <v>722</v>
      </c>
      <c r="AB475">
        <v>0</v>
      </c>
      <c r="AC475">
        <v>0</v>
      </c>
      <c r="AD475">
        <v>0</v>
      </c>
      <c r="AE475">
        <v>0</v>
      </c>
      <c r="AF475">
        <v>0</v>
      </c>
      <c r="AG475">
        <v>0</v>
      </c>
      <c r="AH475">
        <v>0</v>
      </c>
      <c r="AI475">
        <v>0</v>
      </c>
      <c r="AJ475">
        <v>0</v>
      </c>
      <c r="AK475">
        <v>0</v>
      </c>
      <c r="AL475">
        <v>0</v>
      </c>
      <c r="AM475">
        <v>0</v>
      </c>
      <c r="AN475">
        <v>0</v>
      </c>
      <c r="AO475">
        <v>0</v>
      </c>
      <c r="AP475">
        <v>0</v>
      </c>
      <c r="AQ475">
        <v>0</v>
      </c>
      <c r="AR475">
        <v>0</v>
      </c>
      <c r="AS475">
        <v>0</v>
      </c>
      <c r="AT475">
        <v>0</v>
      </c>
      <c r="AU475">
        <v>0</v>
      </c>
      <c r="AV475">
        <v>0</v>
      </c>
      <c r="AW475">
        <v>0</v>
      </c>
      <c r="AX475">
        <v>0</v>
      </c>
      <c r="AY475">
        <v>0</v>
      </c>
      <c r="AZ475">
        <v>0</v>
      </c>
      <c r="BA475">
        <v>0</v>
      </c>
      <c r="BB475">
        <v>0</v>
      </c>
      <c r="BC475">
        <v>0</v>
      </c>
      <c r="BD475">
        <v>0</v>
      </c>
      <c r="BE475">
        <v>0</v>
      </c>
      <c r="BF475">
        <v>0</v>
      </c>
      <c r="BG475" s="185">
        <v>0</v>
      </c>
      <c r="BH475" s="185">
        <v>0</v>
      </c>
      <c r="BI475" s="185">
        <v>0</v>
      </c>
      <c r="BJ475" s="185">
        <v>0</v>
      </c>
      <c r="BK475" s="185">
        <v>0</v>
      </c>
      <c r="BL475" s="185">
        <v>0</v>
      </c>
      <c r="BM475" s="185">
        <v>0</v>
      </c>
      <c r="BN475" s="185">
        <v>0</v>
      </c>
      <c r="BO475" s="185">
        <v>0</v>
      </c>
      <c r="BP475" s="185">
        <v>44676</v>
      </c>
      <c r="BQ475" s="185">
        <v>0</v>
      </c>
      <c r="BR475" s="185">
        <v>0</v>
      </c>
      <c r="BS475" s="185">
        <v>0</v>
      </c>
      <c r="BT475" s="185">
        <v>0</v>
      </c>
      <c r="BU475" t="b">
        <f>IF(_xlfn.MAXIFS(Table1[Sl No],Table1[Category],Table1[[#This Row],[Category]],Table1[Execution Year],Table1[[#This Row],[Execution Year]])=Table1[[#This Row],[Sl No]],TRUE,FALSE)</f>
        <v>1</v>
      </c>
      <c r="BV475" s="201">
        <f>SUM(Table1[[#This Row],[Spend - CAN]:[Spend - Sams]])+SUM(Table1[[#This Row],[Spend - Sams Mexico]:[Spend - Sams China]])+Table1[[#This Row],[Spend - IND]]</f>
        <v>1000000</v>
      </c>
      <c r="BW475">
        <f>SUM(Table1[[#This Row],[Savings - CAN]:[Savings - Sams]])+SUM(Table1[[#This Row],[Savings - Sams Mexico]:[Savings - Sams China]])+Table1[[#This Row],[Savings - IND]]</f>
        <v>0</v>
      </c>
      <c r="BX475">
        <f>SUM(Table1[[#This Row],[Spend - CAN]:[Spend - SAF]])+SUM(Table1[[#This Row],[Spend - Sams Mexico]:[Spend - Sams China]])+Table1[[#This Row],[Spend - IND]]</f>
        <v>0</v>
      </c>
      <c r="BY475">
        <f>SUM(Table1[[#This Row],[Savings - CAN]:[Savings - SAF]])+SUM(Table1[[#This Row],[Savings - Sams Mexico]:[Savings - Sams China]])+Table1[[#This Row],[Savings - IND]]</f>
        <v>0</v>
      </c>
      <c r="BZ475">
        <f>SUM(Table1[[#This Row],[Spend - US]:[Spend - Sams]])</f>
        <v>1000000</v>
      </c>
      <c r="CA475">
        <f>SUM(Table1[[#This Row],[Savings - US]:[Savings - Sams]])</f>
        <v>0</v>
      </c>
      <c r="CB475">
        <f>SUM(Table1[[#This Row],[Cost Avoidance - CAN2]:[Cost Avoidance - SAF10]])+SUM(Table1[[#This Row],[Cost Avoidance - Sams Mexico]:[Cost Avoidance - Sams China]])+Table1[[#This Row],[Cost Avoidance - IND]]</f>
        <v>0</v>
      </c>
      <c r="CC475">
        <f>SUM(Table1[[#This Row],[Cost Avoidance - US11]:[Cost Avoidance - Sams12]])</f>
        <v>0</v>
      </c>
      <c r="CD475" t="str">
        <f>_xlfn.XLOOKUP(Table1[[#This Row],[Status]],Status_Lookups[Status],Status_Lookups[Value],"")</f>
        <v/>
      </c>
    </row>
    <row r="476" spans="1:82">
      <c r="A476">
        <v>2</v>
      </c>
      <c r="B476" t="s">
        <v>553</v>
      </c>
      <c r="C476" t="s">
        <v>543</v>
      </c>
      <c r="D476" t="s">
        <v>322</v>
      </c>
      <c r="E476" s="15">
        <v>0</v>
      </c>
      <c r="F476" s="15">
        <v>0</v>
      </c>
      <c r="G476" s="15">
        <v>0</v>
      </c>
      <c r="H476" s="15">
        <v>0</v>
      </c>
      <c r="I476" t="s">
        <v>470</v>
      </c>
      <c r="J476" t="s">
        <v>470</v>
      </c>
      <c r="K476" t="s">
        <v>533</v>
      </c>
      <c r="L476">
        <v>0</v>
      </c>
      <c r="M476">
        <v>0</v>
      </c>
      <c r="N476">
        <v>0</v>
      </c>
      <c r="O476">
        <v>0</v>
      </c>
      <c r="P476">
        <v>0</v>
      </c>
      <c r="Q476">
        <v>0</v>
      </c>
      <c r="R476">
        <v>0</v>
      </c>
      <c r="S476">
        <v>0</v>
      </c>
      <c r="T476">
        <v>0</v>
      </c>
      <c r="U476">
        <v>0</v>
      </c>
      <c r="V476">
        <v>1000000</v>
      </c>
      <c r="W476">
        <v>0</v>
      </c>
      <c r="X476" t="s">
        <v>533</v>
      </c>
      <c r="Y476" s="16">
        <v>44732.38321226852</v>
      </c>
      <c r="Z476" s="17" t="str">
        <f>_xlfn.XLOOKUP(Table1[[#This Row],[Phase]],'Lookup tables'!$Y$27:$Y$60,'Lookup tables'!$Z$27:$Z$60,"Not Updated")</f>
        <v>Complete</v>
      </c>
      <c r="AA476" s="17" t="s">
        <v>723</v>
      </c>
      <c r="AB476">
        <v>0</v>
      </c>
      <c r="AC476">
        <v>0</v>
      </c>
      <c r="AD476">
        <v>0</v>
      </c>
      <c r="AE476">
        <v>0</v>
      </c>
      <c r="AF476">
        <v>0</v>
      </c>
      <c r="AG476">
        <v>0</v>
      </c>
      <c r="AH476">
        <v>0</v>
      </c>
      <c r="AI476">
        <v>0</v>
      </c>
      <c r="AJ476">
        <v>0</v>
      </c>
      <c r="AK476">
        <v>0</v>
      </c>
      <c r="AL476">
        <v>0</v>
      </c>
      <c r="AM476">
        <v>0</v>
      </c>
      <c r="AN476">
        <v>0</v>
      </c>
      <c r="AO476">
        <v>0</v>
      </c>
      <c r="AP476">
        <v>0</v>
      </c>
      <c r="AQ476">
        <v>0</v>
      </c>
      <c r="AR476">
        <v>0</v>
      </c>
      <c r="AS476">
        <v>0</v>
      </c>
      <c r="AT476">
        <v>0</v>
      </c>
      <c r="AU476">
        <v>0</v>
      </c>
      <c r="AV476">
        <v>0</v>
      </c>
      <c r="AW476">
        <v>0</v>
      </c>
      <c r="AX476">
        <v>0</v>
      </c>
      <c r="AY476">
        <v>0</v>
      </c>
      <c r="AZ476">
        <v>0</v>
      </c>
      <c r="BA476">
        <v>0</v>
      </c>
      <c r="BB476">
        <v>0</v>
      </c>
      <c r="BC476">
        <v>0</v>
      </c>
      <c r="BD476">
        <v>0</v>
      </c>
      <c r="BE476">
        <v>0</v>
      </c>
      <c r="BF476">
        <v>0</v>
      </c>
      <c r="BG476" s="185">
        <v>0</v>
      </c>
      <c r="BH476" s="185">
        <v>0</v>
      </c>
      <c r="BI476" s="185">
        <v>0</v>
      </c>
      <c r="BJ476" s="185">
        <v>0</v>
      </c>
      <c r="BK476" s="185">
        <v>0</v>
      </c>
      <c r="BL476" s="185">
        <v>0</v>
      </c>
      <c r="BM476" s="185">
        <v>0</v>
      </c>
      <c r="BN476" s="185">
        <v>0</v>
      </c>
      <c r="BO476" s="185">
        <v>0</v>
      </c>
      <c r="BP476" s="185">
        <v>44676</v>
      </c>
      <c r="BQ476" s="185">
        <v>0</v>
      </c>
      <c r="BR476" s="185">
        <v>0</v>
      </c>
      <c r="BS476" s="185">
        <v>0</v>
      </c>
      <c r="BT476" s="185">
        <v>0</v>
      </c>
      <c r="BU476" t="b">
        <f>IF(_xlfn.MAXIFS(Table1[Sl No],Table1[Category],Table1[[#This Row],[Category]],Table1[Execution Year],Table1[[#This Row],[Execution Year]])=Table1[[#This Row],[Sl No]],TRUE,FALSE)</f>
        <v>1</v>
      </c>
      <c r="BV476" s="201">
        <f>SUM(Table1[[#This Row],[Spend - CAN]:[Spend - Sams]])+SUM(Table1[[#This Row],[Spend - Sams Mexico]:[Spend - Sams China]])+Table1[[#This Row],[Spend - IND]]</f>
        <v>1000000</v>
      </c>
      <c r="BW476">
        <f>SUM(Table1[[#This Row],[Savings - CAN]:[Savings - Sams]])+SUM(Table1[[#This Row],[Savings - Sams Mexico]:[Savings - Sams China]])+Table1[[#This Row],[Savings - IND]]</f>
        <v>0</v>
      </c>
      <c r="BX476">
        <f>SUM(Table1[[#This Row],[Spend - CAN]:[Spend - SAF]])+SUM(Table1[[#This Row],[Spend - Sams Mexico]:[Spend - Sams China]])+Table1[[#This Row],[Spend - IND]]</f>
        <v>0</v>
      </c>
      <c r="BY476">
        <f>SUM(Table1[[#This Row],[Savings - CAN]:[Savings - SAF]])+SUM(Table1[[#This Row],[Savings - Sams Mexico]:[Savings - Sams China]])+Table1[[#This Row],[Savings - IND]]</f>
        <v>0</v>
      </c>
      <c r="BZ476">
        <f>SUM(Table1[[#This Row],[Spend - US]:[Spend - Sams]])</f>
        <v>1000000</v>
      </c>
      <c r="CA476">
        <f>SUM(Table1[[#This Row],[Savings - US]:[Savings - Sams]])</f>
        <v>0</v>
      </c>
      <c r="CB476">
        <f>SUM(Table1[[#This Row],[Cost Avoidance - CAN2]:[Cost Avoidance - SAF10]])+SUM(Table1[[#This Row],[Cost Avoidance - Sams Mexico]:[Cost Avoidance - Sams China]])+Table1[[#This Row],[Cost Avoidance - IND]]</f>
        <v>0</v>
      </c>
      <c r="CC476">
        <f>SUM(Table1[[#This Row],[Cost Avoidance - US11]:[Cost Avoidance - Sams12]])</f>
        <v>0</v>
      </c>
      <c r="CD476" t="str">
        <f>_xlfn.XLOOKUP(Table1[[#This Row],[Status]],Status_Lookups[Status],Status_Lookups[Value],"")</f>
        <v/>
      </c>
    </row>
    <row r="477" spans="1:82">
      <c r="A477">
        <v>2</v>
      </c>
      <c r="B477" t="s">
        <v>554</v>
      </c>
      <c r="C477" t="s">
        <v>543</v>
      </c>
      <c r="D477" t="s">
        <v>322</v>
      </c>
      <c r="E477" s="15">
        <v>0</v>
      </c>
      <c r="F477" s="15">
        <v>0</v>
      </c>
      <c r="G477" s="15">
        <v>0</v>
      </c>
      <c r="H477" s="15">
        <v>0</v>
      </c>
      <c r="I477" t="s">
        <v>470</v>
      </c>
      <c r="J477" t="s">
        <v>470</v>
      </c>
      <c r="K477" t="s">
        <v>533</v>
      </c>
      <c r="L477">
        <v>0</v>
      </c>
      <c r="M477">
        <v>0</v>
      </c>
      <c r="N477">
        <v>0</v>
      </c>
      <c r="O477">
        <v>0</v>
      </c>
      <c r="P477">
        <v>0</v>
      </c>
      <c r="Q477">
        <v>0</v>
      </c>
      <c r="R477">
        <v>0</v>
      </c>
      <c r="S477">
        <v>0</v>
      </c>
      <c r="T477">
        <v>0</v>
      </c>
      <c r="U477">
        <v>0</v>
      </c>
      <c r="V477">
        <v>1000000</v>
      </c>
      <c r="W477">
        <v>0</v>
      </c>
      <c r="X477" t="s">
        <v>533</v>
      </c>
      <c r="Y477" s="16">
        <v>44732.383923263886</v>
      </c>
      <c r="Z477" s="17" t="str">
        <f>_xlfn.XLOOKUP(Table1[[#This Row],[Phase]],'Lookup tables'!$Y$27:$Y$60,'Lookup tables'!$Z$27:$Z$60,"Not Updated")</f>
        <v>Complete</v>
      </c>
      <c r="AA477" s="17" t="s">
        <v>724</v>
      </c>
      <c r="AB477">
        <v>0</v>
      </c>
      <c r="AC477">
        <v>0</v>
      </c>
      <c r="AD477">
        <v>0</v>
      </c>
      <c r="AE477">
        <v>0</v>
      </c>
      <c r="AF477">
        <v>0</v>
      </c>
      <c r="AG477">
        <v>0</v>
      </c>
      <c r="AH477">
        <v>0</v>
      </c>
      <c r="AI477">
        <v>0</v>
      </c>
      <c r="AJ477">
        <v>0</v>
      </c>
      <c r="AK477">
        <v>0</v>
      </c>
      <c r="AL477">
        <v>0</v>
      </c>
      <c r="AM477">
        <v>0</v>
      </c>
      <c r="AN477">
        <v>0</v>
      </c>
      <c r="AO477">
        <v>0</v>
      </c>
      <c r="AP477">
        <v>0</v>
      </c>
      <c r="AQ477">
        <v>0</v>
      </c>
      <c r="AR477">
        <v>0</v>
      </c>
      <c r="AS477">
        <v>0</v>
      </c>
      <c r="AT477">
        <v>0</v>
      </c>
      <c r="AU477">
        <v>0</v>
      </c>
      <c r="AV477">
        <v>0</v>
      </c>
      <c r="AW477">
        <v>0</v>
      </c>
      <c r="AX477">
        <v>0</v>
      </c>
      <c r="AY477">
        <v>0</v>
      </c>
      <c r="AZ477">
        <v>0</v>
      </c>
      <c r="BA477">
        <v>0</v>
      </c>
      <c r="BB477">
        <v>0</v>
      </c>
      <c r="BC477">
        <v>0</v>
      </c>
      <c r="BD477">
        <v>0</v>
      </c>
      <c r="BE477">
        <v>0</v>
      </c>
      <c r="BF477">
        <v>0</v>
      </c>
      <c r="BG477" s="185">
        <v>0</v>
      </c>
      <c r="BH477" s="185">
        <v>0</v>
      </c>
      <c r="BI477" s="185">
        <v>0</v>
      </c>
      <c r="BJ477" s="185">
        <v>0</v>
      </c>
      <c r="BK477" s="185">
        <v>0</v>
      </c>
      <c r="BL477" s="185">
        <v>0</v>
      </c>
      <c r="BM477" s="185">
        <v>0</v>
      </c>
      <c r="BN477" s="185">
        <v>0</v>
      </c>
      <c r="BO477" s="185">
        <v>0</v>
      </c>
      <c r="BP477" s="185">
        <v>44683</v>
      </c>
      <c r="BQ477" s="185">
        <v>0</v>
      </c>
      <c r="BR477" s="185">
        <v>0</v>
      </c>
      <c r="BS477" s="185">
        <v>0</v>
      </c>
      <c r="BT477" s="185">
        <v>0</v>
      </c>
      <c r="BU477" t="b">
        <f>IF(_xlfn.MAXIFS(Table1[Sl No],Table1[Category],Table1[[#This Row],[Category]],Table1[Execution Year],Table1[[#This Row],[Execution Year]])=Table1[[#This Row],[Sl No]],TRUE,FALSE)</f>
        <v>1</v>
      </c>
      <c r="BV477" s="201">
        <f>SUM(Table1[[#This Row],[Spend - CAN]:[Spend - Sams]])+SUM(Table1[[#This Row],[Spend - Sams Mexico]:[Spend - Sams China]])+Table1[[#This Row],[Spend - IND]]</f>
        <v>1000000</v>
      </c>
      <c r="BW477">
        <f>SUM(Table1[[#This Row],[Savings - CAN]:[Savings - Sams]])+SUM(Table1[[#This Row],[Savings - Sams Mexico]:[Savings - Sams China]])+Table1[[#This Row],[Savings - IND]]</f>
        <v>0</v>
      </c>
      <c r="BX477">
        <f>SUM(Table1[[#This Row],[Spend - CAN]:[Spend - SAF]])+SUM(Table1[[#This Row],[Spend - Sams Mexico]:[Spend - Sams China]])+Table1[[#This Row],[Spend - IND]]</f>
        <v>0</v>
      </c>
      <c r="BY477">
        <f>SUM(Table1[[#This Row],[Savings - CAN]:[Savings - SAF]])+SUM(Table1[[#This Row],[Savings - Sams Mexico]:[Savings - Sams China]])+Table1[[#This Row],[Savings - IND]]</f>
        <v>0</v>
      </c>
      <c r="BZ477">
        <f>SUM(Table1[[#This Row],[Spend - US]:[Spend - Sams]])</f>
        <v>1000000</v>
      </c>
      <c r="CA477">
        <f>SUM(Table1[[#This Row],[Savings - US]:[Savings - Sams]])</f>
        <v>0</v>
      </c>
      <c r="CB477">
        <f>SUM(Table1[[#This Row],[Cost Avoidance - CAN2]:[Cost Avoidance - SAF10]])+SUM(Table1[[#This Row],[Cost Avoidance - Sams Mexico]:[Cost Avoidance - Sams China]])+Table1[[#This Row],[Cost Avoidance - IND]]</f>
        <v>0</v>
      </c>
      <c r="CC477">
        <f>SUM(Table1[[#This Row],[Cost Avoidance - US11]:[Cost Avoidance - Sams12]])</f>
        <v>0</v>
      </c>
      <c r="CD477" t="str">
        <f>_xlfn.XLOOKUP(Table1[[#This Row],[Status]],Status_Lookups[Status],Status_Lookups[Value],"")</f>
        <v/>
      </c>
    </row>
    <row r="478" spans="1:82">
      <c r="A478">
        <v>2</v>
      </c>
      <c r="B478" t="s">
        <v>555</v>
      </c>
      <c r="C478" t="s">
        <v>543</v>
      </c>
      <c r="D478" t="s">
        <v>322</v>
      </c>
      <c r="E478" s="15">
        <v>0</v>
      </c>
      <c r="F478" s="15">
        <v>0</v>
      </c>
      <c r="G478" s="15">
        <v>0</v>
      </c>
      <c r="H478" s="15">
        <v>0</v>
      </c>
      <c r="I478" t="s">
        <v>470</v>
      </c>
      <c r="J478" t="s">
        <v>470</v>
      </c>
      <c r="K478" t="s">
        <v>533</v>
      </c>
      <c r="L478">
        <v>0</v>
      </c>
      <c r="M478">
        <v>0</v>
      </c>
      <c r="N478">
        <v>0</v>
      </c>
      <c r="O478">
        <v>0</v>
      </c>
      <c r="P478">
        <v>0</v>
      </c>
      <c r="Q478">
        <v>0</v>
      </c>
      <c r="R478">
        <v>0</v>
      </c>
      <c r="S478">
        <v>0</v>
      </c>
      <c r="T478">
        <v>0</v>
      </c>
      <c r="U478">
        <v>0</v>
      </c>
      <c r="V478">
        <v>1000000</v>
      </c>
      <c r="W478">
        <v>0</v>
      </c>
      <c r="X478" t="s">
        <v>533</v>
      </c>
      <c r="Y478" s="16">
        <v>44732.384669212966</v>
      </c>
      <c r="Z478" s="17" t="str">
        <f>_xlfn.XLOOKUP(Table1[[#This Row],[Phase]],'Lookup tables'!$Y$27:$Y$60,'Lookup tables'!$Z$27:$Z$60,"Not Updated")</f>
        <v>Complete</v>
      </c>
      <c r="AA478" s="17" t="s">
        <v>725</v>
      </c>
      <c r="AB478">
        <v>0</v>
      </c>
      <c r="AC478">
        <v>0</v>
      </c>
      <c r="AD478">
        <v>0</v>
      </c>
      <c r="AE478">
        <v>0</v>
      </c>
      <c r="AF478">
        <v>0</v>
      </c>
      <c r="AG478">
        <v>0</v>
      </c>
      <c r="AH478">
        <v>0</v>
      </c>
      <c r="AI478">
        <v>0</v>
      </c>
      <c r="AJ478">
        <v>0</v>
      </c>
      <c r="AK478">
        <v>0</v>
      </c>
      <c r="AL478">
        <v>0</v>
      </c>
      <c r="AM478">
        <v>0</v>
      </c>
      <c r="AN478">
        <v>0</v>
      </c>
      <c r="AO478">
        <v>0</v>
      </c>
      <c r="AP478">
        <v>0</v>
      </c>
      <c r="AQ478">
        <v>0</v>
      </c>
      <c r="AR478">
        <v>0</v>
      </c>
      <c r="AS478">
        <v>0</v>
      </c>
      <c r="AT478">
        <v>0</v>
      </c>
      <c r="AU478">
        <v>0</v>
      </c>
      <c r="AV478">
        <v>0</v>
      </c>
      <c r="AW478">
        <v>0</v>
      </c>
      <c r="AX478">
        <v>0</v>
      </c>
      <c r="AY478">
        <v>0</v>
      </c>
      <c r="AZ478">
        <v>0</v>
      </c>
      <c r="BA478">
        <v>0</v>
      </c>
      <c r="BB478">
        <v>0</v>
      </c>
      <c r="BC478">
        <v>0</v>
      </c>
      <c r="BD478">
        <v>0</v>
      </c>
      <c r="BE478">
        <v>0</v>
      </c>
      <c r="BF478">
        <v>0</v>
      </c>
      <c r="BG478" s="185">
        <v>0</v>
      </c>
      <c r="BH478" s="185">
        <v>0</v>
      </c>
      <c r="BI478" s="185">
        <v>0</v>
      </c>
      <c r="BJ478" s="185">
        <v>0</v>
      </c>
      <c r="BK478" s="185">
        <v>0</v>
      </c>
      <c r="BL478" s="185">
        <v>0</v>
      </c>
      <c r="BM478" s="185">
        <v>0</v>
      </c>
      <c r="BN478" s="185">
        <v>0</v>
      </c>
      <c r="BO478" s="185">
        <v>0</v>
      </c>
      <c r="BP478" s="185">
        <v>44620</v>
      </c>
      <c r="BQ478" s="185">
        <v>0</v>
      </c>
      <c r="BR478" s="185">
        <v>0</v>
      </c>
      <c r="BS478" s="185">
        <v>0</v>
      </c>
      <c r="BT478" s="185">
        <v>0</v>
      </c>
      <c r="BU478" t="b">
        <f>IF(_xlfn.MAXIFS(Table1[Sl No],Table1[Category],Table1[[#This Row],[Category]],Table1[Execution Year],Table1[[#This Row],[Execution Year]])=Table1[[#This Row],[Sl No]],TRUE,FALSE)</f>
        <v>1</v>
      </c>
      <c r="BV478" s="201">
        <f>SUM(Table1[[#This Row],[Spend - CAN]:[Spend - Sams]])+SUM(Table1[[#This Row],[Spend - Sams Mexico]:[Spend - Sams China]])+Table1[[#This Row],[Spend - IND]]</f>
        <v>1000000</v>
      </c>
      <c r="BW478">
        <f>SUM(Table1[[#This Row],[Savings - CAN]:[Savings - Sams]])+SUM(Table1[[#This Row],[Savings - Sams Mexico]:[Savings - Sams China]])+Table1[[#This Row],[Savings - IND]]</f>
        <v>0</v>
      </c>
      <c r="BX478">
        <f>SUM(Table1[[#This Row],[Spend - CAN]:[Spend - SAF]])+SUM(Table1[[#This Row],[Spend - Sams Mexico]:[Spend - Sams China]])+Table1[[#This Row],[Spend - IND]]</f>
        <v>0</v>
      </c>
      <c r="BY478">
        <f>SUM(Table1[[#This Row],[Savings - CAN]:[Savings - SAF]])+SUM(Table1[[#This Row],[Savings - Sams Mexico]:[Savings - Sams China]])+Table1[[#This Row],[Savings - IND]]</f>
        <v>0</v>
      </c>
      <c r="BZ478">
        <f>SUM(Table1[[#This Row],[Spend - US]:[Spend - Sams]])</f>
        <v>1000000</v>
      </c>
      <c r="CA478">
        <f>SUM(Table1[[#This Row],[Savings - US]:[Savings - Sams]])</f>
        <v>0</v>
      </c>
      <c r="CB478">
        <f>SUM(Table1[[#This Row],[Cost Avoidance - CAN2]:[Cost Avoidance - SAF10]])+SUM(Table1[[#This Row],[Cost Avoidance - Sams Mexico]:[Cost Avoidance - Sams China]])+Table1[[#This Row],[Cost Avoidance - IND]]</f>
        <v>0</v>
      </c>
      <c r="CC478">
        <f>SUM(Table1[[#This Row],[Cost Avoidance - US11]:[Cost Avoidance - Sams12]])</f>
        <v>0</v>
      </c>
      <c r="CD478" t="str">
        <f>_xlfn.XLOOKUP(Table1[[#This Row],[Status]],Status_Lookups[Status],Status_Lookups[Value],"")</f>
        <v/>
      </c>
    </row>
    <row r="479" spans="1:82">
      <c r="A479">
        <v>43</v>
      </c>
      <c r="B479" t="s">
        <v>98</v>
      </c>
      <c r="C479" t="s">
        <v>43</v>
      </c>
      <c r="D479" t="s">
        <v>39</v>
      </c>
      <c r="E479" s="15">
        <v>44409</v>
      </c>
      <c r="F479" s="15">
        <v>44742</v>
      </c>
      <c r="G479" s="15">
        <v>0</v>
      </c>
      <c r="H479" s="15">
        <v>0</v>
      </c>
      <c r="I479" t="s">
        <v>463</v>
      </c>
      <c r="J479" t="s">
        <v>459</v>
      </c>
      <c r="K479" t="s">
        <v>78</v>
      </c>
      <c r="L479">
        <v>0</v>
      </c>
      <c r="M479">
        <v>21200000</v>
      </c>
      <c r="N479">
        <v>74700000</v>
      </c>
      <c r="O479">
        <v>3041987</v>
      </c>
      <c r="P479">
        <v>3100000</v>
      </c>
      <c r="Q479">
        <v>0</v>
      </c>
      <c r="R479">
        <v>0</v>
      </c>
      <c r="S479">
        <v>0</v>
      </c>
      <c r="T479">
        <v>0</v>
      </c>
      <c r="U479">
        <v>0</v>
      </c>
      <c r="V479">
        <v>342102713</v>
      </c>
      <c r="W479">
        <v>0</v>
      </c>
      <c r="X479" t="s">
        <v>78</v>
      </c>
      <c r="Y479" s="16">
        <v>44732.406256944443</v>
      </c>
      <c r="Z479" s="17" t="str">
        <f>_xlfn.XLOOKUP(Table1[[#This Row],[Phase]],'Lookup tables'!$Y$27:$Y$60,'Lookup tables'!$Z$27:$Z$60,"Not Updated")</f>
        <v>Pending PB/Merch Approval</v>
      </c>
      <c r="AA479" s="17" t="s">
        <v>654</v>
      </c>
      <c r="AB479">
        <v>0</v>
      </c>
      <c r="AC479">
        <v>0</v>
      </c>
      <c r="AD479">
        <v>0</v>
      </c>
      <c r="AE479">
        <v>0</v>
      </c>
      <c r="AF479">
        <v>0</v>
      </c>
      <c r="AG479">
        <v>0</v>
      </c>
      <c r="AH479">
        <v>0</v>
      </c>
      <c r="AI479">
        <v>0</v>
      </c>
      <c r="AJ479">
        <v>0</v>
      </c>
      <c r="AK479">
        <v>0</v>
      </c>
      <c r="AL479">
        <v>0</v>
      </c>
      <c r="AM479">
        <v>0</v>
      </c>
      <c r="AN479">
        <v>0</v>
      </c>
      <c r="AO479">
        <v>0</v>
      </c>
      <c r="AP479">
        <v>0</v>
      </c>
      <c r="AQ479">
        <v>0</v>
      </c>
      <c r="AR479">
        <v>0</v>
      </c>
      <c r="AS479">
        <v>0</v>
      </c>
      <c r="AT479">
        <v>0</v>
      </c>
      <c r="AU479">
        <v>0</v>
      </c>
      <c r="AV479">
        <v>0</v>
      </c>
      <c r="AW479">
        <v>0</v>
      </c>
      <c r="AX479">
        <v>0</v>
      </c>
      <c r="AY479">
        <v>0</v>
      </c>
      <c r="AZ479">
        <v>0</v>
      </c>
      <c r="BA479">
        <v>0</v>
      </c>
      <c r="BB479">
        <v>0</v>
      </c>
      <c r="BC479">
        <v>0</v>
      </c>
      <c r="BD479">
        <v>0</v>
      </c>
      <c r="BE479">
        <v>0</v>
      </c>
      <c r="BF479">
        <v>0</v>
      </c>
      <c r="BG479" s="185">
        <v>0</v>
      </c>
      <c r="BH479" s="185">
        <v>0</v>
      </c>
      <c r="BI479" s="185">
        <v>0</v>
      </c>
      <c r="BJ479" s="185">
        <v>0</v>
      </c>
      <c r="BK479" s="185">
        <v>0</v>
      </c>
      <c r="BL479" s="185">
        <v>0</v>
      </c>
      <c r="BM479" s="185">
        <v>0</v>
      </c>
      <c r="BN479" s="185">
        <v>0</v>
      </c>
      <c r="BO479" s="185">
        <v>0</v>
      </c>
      <c r="BP479" s="185">
        <v>0</v>
      </c>
      <c r="BQ479" s="185">
        <v>0</v>
      </c>
      <c r="BR479" s="185">
        <v>0</v>
      </c>
      <c r="BS479" s="185">
        <v>0</v>
      </c>
      <c r="BT479" s="185">
        <v>0</v>
      </c>
      <c r="BU479" t="b">
        <f>IF(_xlfn.MAXIFS(Table1[Sl No],Table1[Category],Table1[[#This Row],[Category]],Table1[Execution Year],Table1[[#This Row],[Execution Year]])=Table1[[#This Row],[Sl No]],TRUE,FALSE)</f>
        <v>1</v>
      </c>
      <c r="BV479" s="201">
        <f>SUM(Table1[[#This Row],[Spend - CAN]:[Spend - Sams]])+SUM(Table1[[#This Row],[Spend - Sams Mexico]:[Spend - Sams China]])+Table1[[#This Row],[Spend - IND]]</f>
        <v>444144700</v>
      </c>
      <c r="BW479">
        <f>SUM(Table1[[#This Row],[Savings - CAN]:[Savings - Sams]])+SUM(Table1[[#This Row],[Savings - Sams Mexico]:[Savings - Sams China]])+Table1[[#This Row],[Savings - IND]]</f>
        <v>0</v>
      </c>
      <c r="BX479">
        <f>SUM(Table1[[#This Row],[Spend - CAN]:[Spend - SAF]])+SUM(Table1[[#This Row],[Spend - Sams Mexico]:[Spend - Sams China]])+Table1[[#This Row],[Spend - IND]]</f>
        <v>102041987</v>
      </c>
      <c r="BY479">
        <f>SUM(Table1[[#This Row],[Savings - CAN]:[Savings - SAF]])+SUM(Table1[[#This Row],[Savings - Sams Mexico]:[Savings - Sams China]])+Table1[[#This Row],[Savings - IND]]</f>
        <v>0</v>
      </c>
      <c r="BZ479">
        <f>SUM(Table1[[#This Row],[Spend - US]:[Spend - Sams]])</f>
        <v>342102713</v>
      </c>
      <c r="CA479">
        <f>SUM(Table1[[#This Row],[Savings - US]:[Savings - Sams]])</f>
        <v>0</v>
      </c>
      <c r="CB479">
        <f>SUM(Table1[[#This Row],[Cost Avoidance - CAN2]:[Cost Avoidance - SAF10]])+SUM(Table1[[#This Row],[Cost Avoidance - Sams Mexico]:[Cost Avoidance - Sams China]])+Table1[[#This Row],[Cost Avoidance - IND]]</f>
        <v>0</v>
      </c>
      <c r="CC479">
        <f>SUM(Table1[[#This Row],[Cost Avoidance - US11]:[Cost Avoidance - Sams12]])</f>
        <v>0</v>
      </c>
      <c r="CD479">
        <f>_xlfn.XLOOKUP(Table1[[#This Row],[Status]],Status_Lookups[Status],Status_Lookups[Value],"")</f>
        <v>0.3</v>
      </c>
    </row>
    <row r="480" spans="1:82">
      <c r="A480">
        <v>2</v>
      </c>
      <c r="B480" t="s">
        <v>556</v>
      </c>
      <c r="C480" t="s">
        <v>543</v>
      </c>
      <c r="D480" t="s">
        <v>322</v>
      </c>
      <c r="E480" s="15">
        <v>0</v>
      </c>
      <c r="F480" s="15">
        <v>0</v>
      </c>
      <c r="G480" s="15">
        <v>0</v>
      </c>
      <c r="H480" s="15">
        <v>0</v>
      </c>
      <c r="I480" t="s">
        <v>470</v>
      </c>
      <c r="J480" t="s">
        <v>470</v>
      </c>
      <c r="K480" t="s">
        <v>533</v>
      </c>
      <c r="L480">
        <v>0</v>
      </c>
      <c r="M480">
        <v>0</v>
      </c>
      <c r="N480">
        <v>0</v>
      </c>
      <c r="O480">
        <v>0</v>
      </c>
      <c r="P480">
        <v>0</v>
      </c>
      <c r="Q480">
        <v>0</v>
      </c>
      <c r="R480">
        <v>0</v>
      </c>
      <c r="S480">
        <v>0</v>
      </c>
      <c r="T480">
        <v>0</v>
      </c>
      <c r="U480">
        <v>0</v>
      </c>
      <c r="V480">
        <v>1000000</v>
      </c>
      <c r="W480">
        <v>0</v>
      </c>
      <c r="X480" t="s">
        <v>533</v>
      </c>
      <c r="Y480" s="16">
        <v>44732.418082870368</v>
      </c>
      <c r="Z480" s="17" t="str">
        <f>_xlfn.XLOOKUP(Table1[[#This Row],[Phase]],'Lookup tables'!$Y$27:$Y$60,'Lookup tables'!$Z$27:$Z$60,"Not Updated")</f>
        <v>Complete</v>
      </c>
      <c r="AA480" s="17" t="s">
        <v>726</v>
      </c>
      <c r="AB480">
        <v>0</v>
      </c>
      <c r="AC480">
        <v>0</v>
      </c>
      <c r="AD480">
        <v>0</v>
      </c>
      <c r="AE480">
        <v>0</v>
      </c>
      <c r="AF480">
        <v>0</v>
      </c>
      <c r="AG480">
        <v>0</v>
      </c>
      <c r="AH480">
        <v>0</v>
      </c>
      <c r="AI480">
        <v>0</v>
      </c>
      <c r="AJ480">
        <v>0</v>
      </c>
      <c r="AK480">
        <v>0</v>
      </c>
      <c r="AL480">
        <v>0</v>
      </c>
      <c r="AM480">
        <v>0</v>
      </c>
      <c r="AN480">
        <v>0</v>
      </c>
      <c r="AO480">
        <v>0</v>
      </c>
      <c r="AP480">
        <v>0</v>
      </c>
      <c r="AQ480">
        <v>0</v>
      </c>
      <c r="AR480">
        <v>0</v>
      </c>
      <c r="AS480">
        <v>0</v>
      </c>
      <c r="AT480">
        <v>0</v>
      </c>
      <c r="AU480">
        <v>0</v>
      </c>
      <c r="AV480">
        <v>0</v>
      </c>
      <c r="AW480">
        <v>0</v>
      </c>
      <c r="AX480">
        <v>0</v>
      </c>
      <c r="AY480">
        <v>0</v>
      </c>
      <c r="AZ480">
        <v>0</v>
      </c>
      <c r="BA480">
        <v>0</v>
      </c>
      <c r="BB480">
        <v>0</v>
      </c>
      <c r="BC480">
        <v>0</v>
      </c>
      <c r="BD480">
        <v>0</v>
      </c>
      <c r="BE480">
        <v>0</v>
      </c>
      <c r="BF480">
        <v>0</v>
      </c>
      <c r="BG480" s="185">
        <v>0</v>
      </c>
      <c r="BH480" s="185">
        <v>0</v>
      </c>
      <c r="BI480" s="185">
        <v>0</v>
      </c>
      <c r="BJ480" s="185">
        <v>0</v>
      </c>
      <c r="BK480" s="185">
        <v>0</v>
      </c>
      <c r="BL480" s="185">
        <v>0</v>
      </c>
      <c r="BM480" s="185">
        <v>0</v>
      </c>
      <c r="BN480" s="185">
        <v>0</v>
      </c>
      <c r="BO480" s="185">
        <v>0</v>
      </c>
      <c r="BP480" s="185">
        <v>44593</v>
      </c>
      <c r="BQ480" s="185">
        <v>0</v>
      </c>
      <c r="BR480" s="185">
        <v>0</v>
      </c>
      <c r="BS480" s="185">
        <v>0</v>
      </c>
      <c r="BT480" s="185">
        <v>0</v>
      </c>
      <c r="BU480" t="b">
        <f>IF(_xlfn.MAXIFS(Table1[Sl No],Table1[Category],Table1[[#This Row],[Category]],Table1[Execution Year],Table1[[#This Row],[Execution Year]])=Table1[[#This Row],[Sl No]],TRUE,FALSE)</f>
        <v>1</v>
      </c>
      <c r="BV480" s="201">
        <f>SUM(Table1[[#This Row],[Spend - CAN]:[Spend - Sams]])+SUM(Table1[[#This Row],[Spend - Sams Mexico]:[Spend - Sams China]])+Table1[[#This Row],[Spend - IND]]</f>
        <v>1000000</v>
      </c>
      <c r="BW480">
        <f>SUM(Table1[[#This Row],[Savings - CAN]:[Savings - Sams]])+SUM(Table1[[#This Row],[Savings - Sams Mexico]:[Savings - Sams China]])+Table1[[#This Row],[Savings - IND]]</f>
        <v>0</v>
      </c>
      <c r="BX480">
        <f>SUM(Table1[[#This Row],[Spend - CAN]:[Spend - SAF]])+SUM(Table1[[#This Row],[Spend - Sams Mexico]:[Spend - Sams China]])+Table1[[#This Row],[Spend - IND]]</f>
        <v>0</v>
      </c>
      <c r="BY480">
        <f>SUM(Table1[[#This Row],[Savings - CAN]:[Savings - SAF]])+SUM(Table1[[#This Row],[Savings - Sams Mexico]:[Savings - Sams China]])+Table1[[#This Row],[Savings - IND]]</f>
        <v>0</v>
      </c>
      <c r="BZ480">
        <f>SUM(Table1[[#This Row],[Spend - US]:[Spend - Sams]])</f>
        <v>1000000</v>
      </c>
      <c r="CA480">
        <f>SUM(Table1[[#This Row],[Savings - US]:[Savings - Sams]])</f>
        <v>0</v>
      </c>
      <c r="CB480">
        <f>SUM(Table1[[#This Row],[Cost Avoidance - CAN2]:[Cost Avoidance - SAF10]])+SUM(Table1[[#This Row],[Cost Avoidance - Sams Mexico]:[Cost Avoidance - Sams China]])+Table1[[#This Row],[Cost Avoidance - IND]]</f>
        <v>0</v>
      </c>
      <c r="CC480">
        <f>SUM(Table1[[#This Row],[Cost Avoidance - US11]:[Cost Avoidance - Sams12]])</f>
        <v>0</v>
      </c>
      <c r="CD480" t="str">
        <f>_xlfn.XLOOKUP(Table1[[#This Row],[Status]],Status_Lookups[Status],Status_Lookups[Value],"")</f>
        <v/>
      </c>
    </row>
    <row r="481" spans="1:82">
      <c r="A481">
        <v>2</v>
      </c>
      <c r="B481" t="s">
        <v>557</v>
      </c>
      <c r="C481" t="s">
        <v>543</v>
      </c>
      <c r="D481" t="s">
        <v>322</v>
      </c>
      <c r="E481" s="15">
        <v>0</v>
      </c>
      <c r="F481" s="15">
        <v>0</v>
      </c>
      <c r="G481" s="15">
        <v>0</v>
      </c>
      <c r="H481" s="15">
        <v>0</v>
      </c>
      <c r="I481" t="s">
        <v>470</v>
      </c>
      <c r="J481" t="s">
        <v>470</v>
      </c>
      <c r="K481" t="s">
        <v>533</v>
      </c>
      <c r="L481">
        <v>0</v>
      </c>
      <c r="M481">
        <v>0</v>
      </c>
      <c r="N481">
        <v>0</v>
      </c>
      <c r="O481">
        <v>0</v>
      </c>
      <c r="P481">
        <v>0</v>
      </c>
      <c r="Q481">
        <v>0</v>
      </c>
      <c r="R481">
        <v>0</v>
      </c>
      <c r="S481">
        <v>0</v>
      </c>
      <c r="T481">
        <v>0</v>
      </c>
      <c r="U481">
        <v>0</v>
      </c>
      <c r="V481">
        <v>1000000</v>
      </c>
      <c r="W481">
        <v>0</v>
      </c>
      <c r="X481" t="s">
        <v>533</v>
      </c>
      <c r="Y481" s="16">
        <v>44732.418537268517</v>
      </c>
      <c r="Z481" s="17" t="str">
        <f>_xlfn.XLOOKUP(Table1[[#This Row],[Phase]],'Lookup tables'!$Y$27:$Y$60,'Lookup tables'!$Z$27:$Z$60,"Not Updated")</f>
        <v>Complete</v>
      </c>
      <c r="AA481" s="17" t="s">
        <v>727</v>
      </c>
      <c r="AB481">
        <v>0</v>
      </c>
      <c r="AC481">
        <v>0</v>
      </c>
      <c r="AD481">
        <v>0</v>
      </c>
      <c r="AE481">
        <v>0</v>
      </c>
      <c r="AF481">
        <v>0</v>
      </c>
      <c r="AG481">
        <v>0</v>
      </c>
      <c r="AH481">
        <v>0</v>
      </c>
      <c r="AI481">
        <v>0</v>
      </c>
      <c r="AJ481">
        <v>0</v>
      </c>
      <c r="AK481">
        <v>0</v>
      </c>
      <c r="AL481">
        <v>0</v>
      </c>
      <c r="AM481">
        <v>0</v>
      </c>
      <c r="AN481">
        <v>0</v>
      </c>
      <c r="AO481">
        <v>0</v>
      </c>
      <c r="AP481">
        <v>0</v>
      </c>
      <c r="AQ481">
        <v>0</v>
      </c>
      <c r="AR481">
        <v>0</v>
      </c>
      <c r="AS481">
        <v>0</v>
      </c>
      <c r="AT481">
        <v>0</v>
      </c>
      <c r="AU481">
        <v>0</v>
      </c>
      <c r="AV481">
        <v>0</v>
      </c>
      <c r="AW481">
        <v>0</v>
      </c>
      <c r="AX481">
        <v>0</v>
      </c>
      <c r="AY481">
        <v>0</v>
      </c>
      <c r="AZ481">
        <v>0</v>
      </c>
      <c r="BA481">
        <v>0</v>
      </c>
      <c r="BB481">
        <v>0</v>
      </c>
      <c r="BC481">
        <v>0</v>
      </c>
      <c r="BD481">
        <v>0</v>
      </c>
      <c r="BE481">
        <v>0</v>
      </c>
      <c r="BF481">
        <v>0</v>
      </c>
      <c r="BG481" s="185">
        <v>0</v>
      </c>
      <c r="BH481" s="185">
        <v>0</v>
      </c>
      <c r="BI481" s="185">
        <v>0</v>
      </c>
      <c r="BJ481" s="185">
        <v>0</v>
      </c>
      <c r="BK481" s="185">
        <v>0</v>
      </c>
      <c r="BL481" s="185">
        <v>0</v>
      </c>
      <c r="BM481" s="185">
        <v>0</v>
      </c>
      <c r="BN481" s="185">
        <v>0</v>
      </c>
      <c r="BO481" s="185">
        <v>0</v>
      </c>
      <c r="BP481" s="185">
        <v>44593</v>
      </c>
      <c r="BQ481" s="185">
        <v>0</v>
      </c>
      <c r="BR481" s="185">
        <v>0</v>
      </c>
      <c r="BS481" s="185">
        <v>0</v>
      </c>
      <c r="BT481" s="185">
        <v>0</v>
      </c>
      <c r="BU481" t="b">
        <f>IF(_xlfn.MAXIFS(Table1[Sl No],Table1[Category],Table1[[#This Row],[Category]],Table1[Execution Year],Table1[[#This Row],[Execution Year]])=Table1[[#This Row],[Sl No]],TRUE,FALSE)</f>
        <v>1</v>
      </c>
      <c r="BV481" s="201">
        <f>SUM(Table1[[#This Row],[Spend - CAN]:[Spend - Sams]])+SUM(Table1[[#This Row],[Spend - Sams Mexico]:[Spend - Sams China]])+Table1[[#This Row],[Spend - IND]]</f>
        <v>1000000</v>
      </c>
      <c r="BW481">
        <f>SUM(Table1[[#This Row],[Savings - CAN]:[Savings - Sams]])+SUM(Table1[[#This Row],[Savings - Sams Mexico]:[Savings - Sams China]])+Table1[[#This Row],[Savings - IND]]</f>
        <v>0</v>
      </c>
      <c r="BX481">
        <f>SUM(Table1[[#This Row],[Spend - CAN]:[Spend - SAF]])+SUM(Table1[[#This Row],[Spend - Sams Mexico]:[Spend - Sams China]])+Table1[[#This Row],[Spend - IND]]</f>
        <v>0</v>
      </c>
      <c r="BY481">
        <f>SUM(Table1[[#This Row],[Savings - CAN]:[Savings - SAF]])+SUM(Table1[[#This Row],[Savings - Sams Mexico]:[Savings - Sams China]])+Table1[[#This Row],[Savings - IND]]</f>
        <v>0</v>
      </c>
      <c r="BZ481">
        <f>SUM(Table1[[#This Row],[Spend - US]:[Spend - Sams]])</f>
        <v>1000000</v>
      </c>
      <c r="CA481">
        <f>SUM(Table1[[#This Row],[Savings - US]:[Savings - Sams]])</f>
        <v>0</v>
      </c>
      <c r="CB481">
        <f>SUM(Table1[[#This Row],[Cost Avoidance - CAN2]:[Cost Avoidance - SAF10]])+SUM(Table1[[#This Row],[Cost Avoidance - Sams Mexico]:[Cost Avoidance - Sams China]])+Table1[[#This Row],[Cost Avoidance - IND]]</f>
        <v>0</v>
      </c>
      <c r="CC481">
        <f>SUM(Table1[[#This Row],[Cost Avoidance - US11]:[Cost Avoidance - Sams12]])</f>
        <v>0</v>
      </c>
      <c r="CD481" t="str">
        <f>_xlfn.XLOOKUP(Table1[[#This Row],[Status]],Status_Lookups[Status],Status_Lookups[Value],"")</f>
        <v/>
      </c>
    </row>
    <row r="482" spans="1:82">
      <c r="A482">
        <v>2</v>
      </c>
      <c r="B482" t="s">
        <v>558</v>
      </c>
      <c r="C482" t="s">
        <v>543</v>
      </c>
      <c r="D482" t="s">
        <v>322</v>
      </c>
      <c r="E482" s="15">
        <v>0</v>
      </c>
      <c r="F482" s="15">
        <v>0</v>
      </c>
      <c r="G482" s="15">
        <v>0</v>
      </c>
      <c r="H482" s="15">
        <v>0</v>
      </c>
      <c r="I482" t="s">
        <v>470</v>
      </c>
      <c r="J482" t="s">
        <v>470</v>
      </c>
      <c r="K482" t="s">
        <v>533</v>
      </c>
      <c r="L482">
        <v>0</v>
      </c>
      <c r="M482">
        <v>0</v>
      </c>
      <c r="N482">
        <v>0</v>
      </c>
      <c r="O482">
        <v>0</v>
      </c>
      <c r="P482">
        <v>0</v>
      </c>
      <c r="Q482">
        <v>0</v>
      </c>
      <c r="R482">
        <v>0</v>
      </c>
      <c r="S482">
        <v>0</v>
      </c>
      <c r="T482">
        <v>0</v>
      </c>
      <c r="U482">
        <v>0</v>
      </c>
      <c r="V482">
        <v>1000000</v>
      </c>
      <c r="W482">
        <v>0</v>
      </c>
      <c r="X482" t="s">
        <v>533</v>
      </c>
      <c r="Y482" s="16">
        <v>44732.419150694448</v>
      </c>
      <c r="Z482" s="17" t="str">
        <f>_xlfn.XLOOKUP(Table1[[#This Row],[Phase]],'Lookup tables'!$Y$27:$Y$60,'Lookup tables'!$Z$27:$Z$60,"Not Updated")</f>
        <v>Complete</v>
      </c>
      <c r="AA482" s="17" t="s">
        <v>728</v>
      </c>
      <c r="AB482">
        <v>0</v>
      </c>
      <c r="AC482">
        <v>0</v>
      </c>
      <c r="AD482">
        <v>0</v>
      </c>
      <c r="AE482">
        <v>0</v>
      </c>
      <c r="AF482">
        <v>0</v>
      </c>
      <c r="AG482">
        <v>0</v>
      </c>
      <c r="AH482">
        <v>0</v>
      </c>
      <c r="AI482">
        <v>0</v>
      </c>
      <c r="AJ482">
        <v>0</v>
      </c>
      <c r="AK482">
        <v>0</v>
      </c>
      <c r="AL482">
        <v>0</v>
      </c>
      <c r="AM482">
        <v>0</v>
      </c>
      <c r="AN482">
        <v>0</v>
      </c>
      <c r="AO482">
        <v>0</v>
      </c>
      <c r="AP482">
        <v>0</v>
      </c>
      <c r="AQ482">
        <v>0</v>
      </c>
      <c r="AR482">
        <v>0</v>
      </c>
      <c r="AS482">
        <v>0</v>
      </c>
      <c r="AT482">
        <v>0</v>
      </c>
      <c r="AU482">
        <v>0</v>
      </c>
      <c r="AV482">
        <v>0</v>
      </c>
      <c r="AW482">
        <v>0</v>
      </c>
      <c r="AX482">
        <v>0</v>
      </c>
      <c r="AY482">
        <v>0</v>
      </c>
      <c r="AZ482">
        <v>0</v>
      </c>
      <c r="BA482">
        <v>0</v>
      </c>
      <c r="BB482">
        <v>0</v>
      </c>
      <c r="BC482">
        <v>0</v>
      </c>
      <c r="BD482">
        <v>0</v>
      </c>
      <c r="BE482">
        <v>0</v>
      </c>
      <c r="BF482">
        <v>0</v>
      </c>
      <c r="BG482" s="185">
        <v>0</v>
      </c>
      <c r="BH482" s="185">
        <v>0</v>
      </c>
      <c r="BI482" s="185">
        <v>0</v>
      </c>
      <c r="BJ482" s="185">
        <v>0</v>
      </c>
      <c r="BK482" s="185">
        <v>0</v>
      </c>
      <c r="BL482" s="185">
        <v>0</v>
      </c>
      <c r="BM482" s="185">
        <v>0</v>
      </c>
      <c r="BN482" s="185">
        <v>0</v>
      </c>
      <c r="BO482" s="185">
        <v>0</v>
      </c>
      <c r="BP482" s="185">
        <v>44593</v>
      </c>
      <c r="BQ482" s="185">
        <v>0</v>
      </c>
      <c r="BR482" s="185">
        <v>0</v>
      </c>
      <c r="BS482" s="185">
        <v>0</v>
      </c>
      <c r="BT482" s="185">
        <v>0</v>
      </c>
      <c r="BU482" t="b">
        <f>IF(_xlfn.MAXIFS(Table1[Sl No],Table1[Category],Table1[[#This Row],[Category]],Table1[Execution Year],Table1[[#This Row],[Execution Year]])=Table1[[#This Row],[Sl No]],TRUE,FALSE)</f>
        <v>1</v>
      </c>
      <c r="BV482" s="201">
        <f>SUM(Table1[[#This Row],[Spend - CAN]:[Spend - Sams]])+SUM(Table1[[#This Row],[Spend - Sams Mexico]:[Spend - Sams China]])+Table1[[#This Row],[Spend - IND]]</f>
        <v>1000000</v>
      </c>
      <c r="BW482">
        <f>SUM(Table1[[#This Row],[Savings - CAN]:[Savings - Sams]])+SUM(Table1[[#This Row],[Savings - Sams Mexico]:[Savings - Sams China]])+Table1[[#This Row],[Savings - IND]]</f>
        <v>0</v>
      </c>
      <c r="BX482">
        <f>SUM(Table1[[#This Row],[Spend - CAN]:[Spend - SAF]])+SUM(Table1[[#This Row],[Spend - Sams Mexico]:[Spend - Sams China]])+Table1[[#This Row],[Spend - IND]]</f>
        <v>0</v>
      </c>
      <c r="BY482">
        <f>SUM(Table1[[#This Row],[Savings - CAN]:[Savings - SAF]])+SUM(Table1[[#This Row],[Savings - Sams Mexico]:[Savings - Sams China]])+Table1[[#This Row],[Savings - IND]]</f>
        <v>0</v>
      </c>
      <c r="BZ482">
        <f>SUM(Table1[[#This Row],[Spend - US]:[Spend - Sams]])</f>
        <v>1000000</v>
      </c>
      <c r="CA482">
        <f>SUM(Table1[[#This Row],[Savings - US]:[Savings - Sams]])</f>
        <v>0</v>
      </c>
      <c r="CB482">
        <f>SUM(Table1[[#This Row],[Cost Avoidance - CAN2]:[Cost Avoidance - SAF10]])+SUM(Table1[[#This Row],[Cost Avoidance - Sams Mexico]:[Cost Avoidance - Sams China]])+Table1[[#This Row],[Cost Avoidance - IND]]</f>
        <v>0</v>
      </c>
      <c r="CC482">
        <f>SUM(Table1[[#This Row],[Cost Avoidance - US11]:[Cost Avoidance - Sams12]])</f>
        <v>0</v>
      </c>
      <c r="CD482" t="str">
        <f>_xlfn.XLOOKUP(Table1[[#This Row],[Status]],Status_Lookups[Status],Status_Lookups[Value],"")</f>
        <v/>
      </c>
    </row>
    <row r="483" spans="1:82">
      <c r="A483">
        <v>2</v>
      </c>
      <c r="B483" t="s">
        <v>559</v>
      </c>
      <c r="C483" t="s">
        <v>543</v>
      </c>
      <c r="D483" t="s">
        <v>322</v>
      </c>
      <c r="E483" s="15">
        <v>0</v>
      </c>
      <c r="F483" s="15">
        <v>0</v>
      </c>
      <c r="G483" s="15">
        <v>0</v>
      </c>
      <c r="H483" s="15">
        <v>0</v>
      </c>
      <c r="I483" t="s">
        <v>675</v>
      </c>
      <c r="J483" t="s">
        <v>459</v>
      </c>
      <c r="K483" t="s">
        <v>533</v>
      </c>
      <c r="L483">
        <v>0</v>
      </c>
      <c r="M483">
        <v>0</v>
      </c>
      <c r="N483">
        <v>0</v>
      </c>
      <c r="O483">
        <v>0</v>
      </c>
      <c r="P483">
        <v>0</v>
      </c>
      <c r="Q483">
        <v>0</v>
      </c>
      <c r="R483">
        <v>0</v>
      </c>
      <c r="S483">
        <v>0</v>
      </c>
      <c r="T483">
        <v>0</v>
      </c>
      <c r="U483">
        <v>0</v>
      </c>
      <c r="V483">
        <v>1000000</v>
      </c>
      <c r="W483">
        <v>0</v>
      </c>
      <c r="X483" t="s">
        <v>533</v>
      </c>
      <c r="Y483" s="16">
        <v>44732.419796527778</v>
      </c>
      <c r="Z483" s="17" t="str">
        <f>_xlfn.XLOOKUP(Table1[[#This Row],[Phase]],'Lookup tables'!$Y$27:$Y$60,'Lookup tables'!$Z$27:$Z$60,"Not Updated")</f>
        <v>RFPX underway</v>
      </c>
      <c r="AA483" s="17" t="s">
        <v>729</v>
      </c>
      <c r="AB483">
        <v>0</v>
      </c>
      <c r="AC483">
        <v>0</v>
      </c>
      <c r="AD483">
        <v>0</v>
      </c>
      <c r="AE483">
        <v>0</v>
      </c>
      <c r="AF483">
        <v>0</v>
      </c>
      <c r="AG483">
        <v>0</v>
      </c>
      <c r="AH483">
        <v>0</v>
      </c>
      <c r="AI483">
        <v>0</v>
      </c>
      <c r="AJ483">
        <v>0</v>
      </c>
      <c r="AK483">
        <v>0</v>
      </c>
      <c r="AL483">
        <v>0</v>
      </c>
      <c r="AM483">
        <v>0</v>
      </c>
      <c r="AN483">
        <v>0</v>
      </c>
      <c r="AO483">
        <v>0</v>
      </c>
      <c r="AP483">
        <v>0</v>
      </c>
      <c r="AQ483">
        <v>0</v>
      </c>
      <c r="AR483">
        <v>0</v>
      </c>
      <c r="AS483">
        <v>0</v>
      </c>
      <c r="AT483">
        <v>0</v>
      </c>
      <c r="AU483">
        <v>0</v>
      </c>
      <c r="AV483">
        <v>0</v>
      </c>
      <c r="AW483">
        <v>0</v>
      </c>
      <c r="AX483">
        <v>0</v>
      </c>
      <c r="AY483">
        <v>0</v>
      </c>
      <c r="AZ483">
        <v>0</v>
      </c>
      <c r="BA483">
        <v>0</v>
      </c>
      <c r="BB483">
        <v>0</v>
      </c>
      <c r="BC483">
        <v>0</v>
      </c>
      <c r="BD483">
        <v>0</v>
      </c>
      <c r="BE483">
        <v>0</v>
      </c>
      <c r="BF483">
        <v>0</v>
      </c>
      <c r="BG483" s="185">
        <v>0</v>
      </c>
      <c r="BH483" s="185">
        <v>0</v>
      </c>
      <c r="BI483" s="185">
        <v>0</v>
      </c>
      <c r="BJ483" s="185">
        <v>0</v>
      </c>
      <c r="BK483" s="185">
        <v>0</v>
      </c>
      <c r="BL483" s="185">
        <v>0</v>
      </c>
      <c r="BM483" s="185">
        <v>0</v>
      </c>
      <c r="BN483" s="185">
        <v>0</v>
      </c>
      <c r="BO483" s="185">
        <v>0</v>
      </c>
      <c r="BP483" s="185">
        <v>44837</v>
      </c>
      <c r="BQ483" s="185">
        <v>0</v>
      </c>
      <c r="BR483" s="185">
        <v>0</v>
      </c>
      <c r="BS483" s="185">
        <v>0</v>
      </c>
      <c r="BT483" s="185">
        <v>0</v>
      </c>
      <c r="BU483" t="b">
        <f>IF(_xlfn.MAXIFS(Table1[Sl No],Table1[Category],Table1[[#This Row],[Category]],Table1[Execution Year],Table1[[#This Row],[Execution Year]])=Table1[[#This Row],[Sl No]],TRUE,FALSE)</f>
        <v>0</v>
      </c>
      <c r="BV483" s="201">
        <f>SUM(Table1[[#This Row],[Spend - CAN]:[Spend - Sams]])+SUM(Table1[[#This Row],[Spend - Sams Mexico]:[Spend - Sams China]])+Table1[[#This Row],[Spend - IND]]</f>
        <v>1000000</v>
      </c>
      <c r="BW483">
        <f>SUM(Table1[[#This Row],[Savings - CAN]:[Savings - Sams]])+SUM(Table1[[#This Row],[Savings - Sams Mexico]:[Savings - Sams China]])+Table1[[#This Row],[Savings - IND]]</f>
        <v>0</v>
      </c>
      <c r="BX483">
        <f>SUM(Table1[[#This Row],[Spend - CAN]:[Spend - SAF]])+SUM(Table1[[#This Row],[Spend - Sams Mexico]:[Spend - Sams China]])+Table1[[#This Row],[Spend - IND]]</f>
        <v>0</v>
      </c>
      <c r="BY483">
        <f>SUM(Table1[[#This Row],[Savings - CAN]:[Savings - SAF]])+SUM(Table1[[#This Row],[Savings - Sams Mexico]:[Savings - Sams China]])+Table1[[#This Row],[Savings - IND]]</f>
        <v>0</v>
      </c>
      <c r="BZ483">
        <f>SUM(Table1[[#This Row],[Spend - US]:[Spend - Sams]])</f>
        <v>1000000</v>
      </c>
      <c r="CA483">
        <f>SUM(Table1[[#This Row],[Savings - US]:[Savings - Sams]])</f>
        <v>0</v>
      </c>
      <c r="CB483">
        <f>SUM(Table1[[#This Row],[Cost Avoidance - CAN2]:[Cost Avoidance - SAF10]])+SUM(Table1[[#This Row],[Cost Avoidance - Sams Mexico]:[Cost Avoidance - Sams China]])+Table1[[#This Row],[Cost Avoidance - IND]]</f>
        <v>0</v>
      </c>
      <c r="CC483">
        <f>SUM(Table1[[#This Row],[Cost Avoidance - US11]:[Cost Avoidance - Sams12]])</f>
        <v>0</v>
      </c>
      <c r="CD483">
        <f>_xlfn.XLOOKUP(Table1[[#This Row],[Status]],Status_Lookups[Status],Status_Lookups[Value],"")</f>
        <v>0.3</v>
      </c>
    </row>
    <row r="484" spans="1:82">
      <c r="A484">
        <v>2</v>
      </c>
      <c r="B484" t="s">
        <v>560</v>
      </c>
      <c r="C484" t="s">
        <v>543</v>
      </c>
      <c r="D484" t="s">
        <v>322</v>
      </c>
      <c r="E484" s="15">
        <v>0</v>
      </c>
      <c r="F484" s="15">
        <v>0</v>
      </c>
      <c r="G484" s="15">
        <v>0</v>
      </c>
      <c r="H484" s="15">
        <v>0</v>
      </c>
      <c r="I484" t="s">
        <v>470</v>
      </c>
      <c r="J484" t="s">
        <v>470</v>
      </c>
      <c r="K484" t="s">
        <v>533</v>
      </c>
      <c r="L484">
        <v>0</v>
      </c>
      <c r="M484">
        <v>0</v>
      </c>
      <c r="N484">
        <v>0</v>
      </c>
      <c r="O484">
        <v>0</v>
      </c>
      <c r="P484">
        <v>0</v>
      </c>
      <c r="Q484">
        <v>0</v>
      </c>
      <c r="R484">
        <v>0</v>
      </c>
      <c r="S484">
        <v>0</v>
      </c>
      <c r="T484">
        <v>0</v>
      </c>
      <c r="U484">
        <v>0</v>
      </c>
      <c r="V484">
        <v>1000000</v>
      </c>
      <c r="W484">
        <v>0</v>
      </c>
      <c r="X484" t="s">
        <v>533</v>
      </c>
      <c r="Y484" s="16">
        <v>44732.420280324077</v>
      </c>
      <c r="Z484" s="17" t="str">
        <f>_xlfn.XLOOKUP(Table1[[#This Row],[Phase]],'Lookup tables'!$Y$27:$Y$60,'Lookup tables'!$Z$27:$Z$60,"Not Updated")</f>
        <v>Complete</v>
      </c>
      <c r="AA484" s="17" t="s">
        <v>730</v>
      </c>
      <c r="AB484">
        <v>0</v>
      </c>
      <c r="AC484">
        <v>0</v>
      </c>
      <c r="AD484">
        <v>0</v>
      </c>
      <c r="AE484">
        <v>0</v>
      </c>
      <c r="AF484">
        <v>0</v>
      </c>
      <c r="AG484">
        <v>0</v>
      </c>
      <c r="AH484">
        <v>0</v>
      </c>
      <c r="AI484">
        <v>0</v>
      </c>
      <c r="AJ484">
        <v>0</v>
      </c>
      <c r="AK484">
        <v>0</v>
      </c>
      <c r="AL484">
        <v>0</v>
      </c>
      <c r="AM484">
        <v>0</v>
      </c>
      <c r="AN484">
        <v>0</v>
      </c>
      <c r="AO484">
        <v>0</v>
      </c>
      <c r="AP484">
        <v>0</v>
      </c>
      <c r="AQ484">
        <v>0</v>
      </c>
      <c r="AR484">
        <v>0</v>
      </c>
      <c r="AS484">
        <v>0</v>
      </c>
      <c r="AT484">
        <v>0</v>
      </c>
      <c r="AU484">
        <v>0</v>
      </c>
      <c r="AV484">
        <v>0</v>
      </c>
      <c r="AW484">
        <v>0</v>
      </c>
      <c r="AX484">
        <v>0</v>
      </c>
      <c r="AY484">
        <v>0</v>
      </c>
      <c r="AZ484">
        <v>0</v>
      </c>
      <c r="BA484">
        <v>0</v>
      </c>
      <c r="BB484">
        <v>0</v>
      </c>
      <c r="BC484">
        <v>0</v>
      </c>
      <c r="BD484">
        <v>0</v>
      </c>
      <c r="BE484">
        <v>0</v>
      </c>
      <c r="BF484">
        <v>0</v>
      </c>
      <c r="BG484" s="185">
        <v>0</v>
      </c>
      <c r="BH484" s="185">
        <v>0</v>
      </c>
      <c r="BI484" s="185">
        <v>0</v>
      </c>
      <c r="BJ484" s="185">
        <v>0</v>
      </c>
      <c r="BK484" s="185">
        <v>0</v>
      </c>
      <c r="BL484" s="185">
        <v>0</v>
      </c>
      <c r="BM484" s="185">
        <v>0</v>
      </c>
      <c r="BN484" s="185">
        <v>0</v>
      </c>
      <c r="BO484" s="185">
        <v>0</v>
      </c>
      <c r="BP484" s="185">
        <v>44593</v>
      </c>
      <c r="BQ484" s="185">
        <v>0</v>
      </c>
      <c r="BR484" s="185">
        <v>0</v>
      </c>
      <c r="BS484" s="185">
        <v>0</v>
      </c>
      <c r="BT484" s="185">
        <v>0</v>
      </c>
      <c r="BU484" t="b">
        <f>IF(_xlfn.MAXIFS(Table1[Sl No],Table1[Category],Table1[[#This Row],[Category]],Table1[Execution Year],Table1[[#This Row],[Execution Year]])=Table1[[#This Row],[Sl No]],TRUE,FALSE)</f>
        <v>1</v>
      </c>
      <c r="BV484" s="201">
        <f>SUM(Table1[[#This Row],[Spend - CAN]:[Spend - Sams]])+SUM(Table1[[#This Row],[Spend - Sams Mexico]:[Spend - Sams China]])+Table1[[#This Row],[Spend - IND]]</f>
        <v>1000000</v>
      </c>
      <c r="BW484">
        <f>SUM(Table1[[#This Row],[Savings - CAN]:[Savings - Sams]])+SUM(Table1[[#This Row],[Savings - Sams Mexico]:[Savings - Sams China]])+Table1[[#This Row],[Savings - IND]]</f>
        <v>0</v>
      </c>
      <c r="BX484">
        <f>SUM(Table1[[#This Row],[Spend - CAN]:[Spend - SAF]])+SUM(Table1[[#This Row],[Spend - Sams Mexico]:[Spend - Sams China]])+Table1[[#This Row],[Spend - IND]]</f>
        <v>0</v>
      </c>
      <c r="BY484">
        <f>SUM(Table1[[#This Row],[Savings - CAN]:[Savings - SAF]])+SUM(Table1[[#This Row],[Savings - Sams Mexico]:[Savings - Sams China]])+Table1[[#This Row],[Savings - IND]]</f>
        <v>0</v>
      </c>
      <c r="BZ484">
        <f>SUM(Table1[[#This Row],[Spend - US]:[Spend - Sams]])</f>
        <v>1000000</v>
      </c>
      <c r="CA484">
        <f>SUM(Table1[[#This Row],[Savings - US]:[Savings - Sams]])</f>
        <v>0</v>
      </c>
      <c r="CB484">
        <f>SUM(Table1[[#This Row],[Cost Avoidance - CAN2]:[Cost Avoidance - SAF10]])+SUM(Table1[[#This Row],[Cost Avoidance - Sams Mexico]:[Cost Avoidance - Sams China]])+Table1[[#This Row],[Cost Avoidance - IND]]</f>
        <v>0</v>
      </c>
      <c r="CC484">
        <f>SUM(Table1[[#This Row],[Cost Avoidance - US11]:[Cost Avoidance - Sams12]])</f>
        <v>0</v>
      </c>
      <c r="CD484" t="str">
        <f>_xlfn.XLOOKUP(Table1[[#This Row],[Status]],Status_Lookups[Status],Status_Lookups[Value],"")</f>
        <v/>
      </c>
    </row>
    <row r="485" spans="1:82">
      <c r="A485">
        <v>3</v>
      </c>
      <c r="B485" t="s">
        <v>559</v>
      </c>
      <c r="C485" t="s">
        <v>543</v>
      </c>
      <c r="D485" t="s">
        <v>322</v>
      </c>
      <c r="E485" s="15">
        <v>0</v>
      </c>
      <c r="F485" s="15">
        <v>0</v>
      </c>
      <c r="G485" s="15">
        <v>0</v>
      </c>
      <c r="H485" s="15">
        <v>0</v>
      </c>
      <c r="I485" t="s">
        <v>415</v>
      </c>
      <c r="J485" t="s">
        <v>459</v>
      </c>
      <c r="K485" t="s">
        <v>533</v>
      </c>
      <c r="L485">
        <v>0</v>
      </c>
      <c r="M485">
        <v>0</v>
      </c>
      <c r="N485">
        <v>0</v>
      </c>
      <c r="O485">
        <v>0</v>
      </c>
      <c r="P485">
        <v>0</v>
      </c>
      <c r="Q485">
        <v>0</v>
      </c>
      <c r="R485">
        <v>0</v>
      </c>
      <c r="S485">
        <v>0</v>
      </c>
      <c r="T485">
        <v>0</v>
      </c>
      <c r="U485">
        <v>0</v>
      </c>
      <c r="V485">
        <v>1000000</v>
      </c>
      <c r="W485">
        <v>0</v>
      </c>
      <c r="X485" t="s">
        <v>533</v>
      </c>
      <c r="Y485" s="16">
        <v>44732.420870949078</v>
      </c>
      <c r="Z485" s="17" t="str">
        <f>_xlfn.XLOOKUP(Table1[[#This Row],[Phase]],'Lookup tables'!$Y$27:$Y$60,'Lookup tables'!$Z$27:$Z$60,"Not Updated")</f>
        <v>Award</v>
      </c>
      <c r="AA485" s="17" t="s">
        <v>729</v>
      </c>
      <c r="AB485">
        <v>0</v>
      </c>
      <c r="AC485">
        <v>0</v>
      </c>
      <c r="AD485">
        <v>0</v>
      </c>
      <c r="AE485">
        <v>0</v>
      </c>
      <c r="AF485">
        <v>0</v>
      </c>
      <c r="AG485">
        <v>0</v>
      </c>
      <c r="AH485">
        <v>0</v>
      </c>
      <c r="AI485">
        <v>0</v>
      </c>
      <c r="AJ485">
        <v>0</v>
      </c>
      <c r="AK485">
        <v>0</v>
      </c>
      <c r="AL485">
        <v>0</v>
      </c>
      <c r="AM485">
        <v>0</v>
      </c>
      <c r="AN485">
        <v>0</v>
      </c>
      <c r="AO485">
        <v>0</v>
      </c>
      <c r="AP485">
        <v>0</v>
      </c>
      <c r="AQ485">
        <v>0</v>
      </c>
      <c r="AR485">
        <v>0</v>
      </c>
      <c r="AS485">
        <v>0</v>
      </c>
      <c r="AT485">
        <v>0</v>
      </c>
      <c r="AU485">
        <v>0</v>
      </c>
      <c r="AV485">
        <v>0</v>
      </c>
      <c r="AW485">
        <v>0</v>
      </c>
      <c r="AX485">
        <v>0</v>
      </c>
      <c r="AY485">
        <v>0</v>
      </c>
      <c r="AZ485">
        <v>0</v>
      </c>
      <c r="BA485">
        <v>0</v>
      </c>
      <c r="BB485">
        <v>0</v>
      </c>
      <c r="BC485">
        <v>0</v>
      </c>
      <c r="BD485">
        <v>0</v>
      </c>
      <c r="BE485">
        <v>0</v>
      </c>
      <c r="BF485">
        <v>0</v>
      </c>
      <c r="BG485" s="185">
        <v>0</v>
      </c>
      <c r="BH485" s="185">
        <v>0</v>
      </c>
      <c r="BI485" s="185">
        <v>0</v>
      </c>
      <c r="BJ485" s="185">
        <v>0</v>
      </c>
      <c r="BK485" s="185">
        <v>0</v>
      </c>
      <c r="BL485" s="185">
        <v>0</v>
      </c>
      <c r="BM485" s="185">
        <v>0</v>
      </c>
      <c r="BN485" s="185">
        <v>0</v>
      </c>
      <c r="BO485" s="185">
        <v>0</v>
      </c>
      <c r="BP485" s="185">
        <v>44837</v>
      </c>
      <c r="BQ485" s="185">
        <v>0</v>
      </c>
      <c r="BR485" s="185">
        <v>0</v>
      </c>
      <c r="BS485" s="185">
        <v>0</v>
      </c>
      <c r="BT485" s="185">
        <v>0</v>
      </c>
      <c r="BU485" t="b">
        <f>IF(_xlfn.MAXIFS(Table1[Sl No],Table1[Category],Table1[[#This Row],[Category]],Table1[Execution Year],Table1[[#This Row],[Execution Year]])=Table1[[#This Row],[Sl No]],TRUE,FALSE)</f>
        <v>1</v>
      </c>
      <c r="BV485" s="201">
        <f>SUM(Table1[[#This Row],[Spend - CAN]:[Spend - Sams]])+SUM(Table1[[#This Row],[Spend - Sams Mexico]:[Spend - Sams China]])+Table1[[#This Row],[Spend - IND]]</f>
        <v>1000000</v>
      </c>
      <c r="BW485">
        <f>SUM(Table1[[#This Row],[Savings - CAN]:[Savings - Sams]])+SUM(Table1[[#This Row],[Savings - Sams Mexico]:[Savings - Sams China]])+Table1[[#This Row],[Savings - IND]]</f>
        <v>0</v>
      </c>
      <c r="BX485">
        <f>SUM(Table1[[#This Row],[Spend - CAN]:[Spend - SAF]])+SUM(Table1[[#This Row],[Spend - Sams Mexico]:[Spend - Sams China]])+Table1[[#This Row],[Spend - IND]]</f>
        <v>0</v>
      </c>
      <c r="BY485">
        <f>SUM(Table1[[#This Row],[Savings - CAN]:[Savings - SAF]])+SUM(Table1[[#This Row],[Savings - Sams Mexico]:[Savings - Sams China]])+Table1[[#This Row],[Savings - IND]]</f>
        <v>0</v>
      </c>
      <c r="BZ485">
        <f>SUM(Table1[[#This Row],[Spend - US]:[Spend - Sams]])</f>
        <v>1000000</v>
      </c>
      <c r="CA485">
        <f>SUM(Table1[[#This Row],[Savings - US]:[Savings - Sams]])</f>
        <v>0</v>
      </c>
      <c r="CB485">
        <f>SUM(Table1[[#This Row],[Cost Avoidance - CAN2]:[Cost Avoidance - SAF10]])+SUM(Table1[[#This Row],[Cost Avoidance - Sams Mexico]:[Cost Avoidance - Sams China]])+Table1[[#This Row],[Cost Avoidance - IND]]</f>
        <v>0</v>
      </c>
      <c r="CC485">
        <f>SUM(Table1[[#This Row],[Cost Avoidance - US11]:[Cost Avoidance - Sams12]])</f>
        <v>0</v>
      </c>
      <c r="CD485">
        <f>_xlfn.XLOOKUP(Table1[[#This Row],[Status]],Status_Lookups[Status],Status_Lookups[Value],"")</f>
        <v>0.3</v>
      </c>
    </row>
    <row r="486" spans="1:82">
      <c r="A486">
        <v>4</v>
      </c>
      <c r="B486" t="s">
        <v>501</v>
      </c>
      <c r="C486" t="s">
        <v>33</v>
      </c>
      <c r="D486" t="s">
        <v>322</v>
      </c>
      <c r="E486" s="15">
        <v>44621</v>
      </c>
      <c r="F486" s="15">
        <v>44772</v>
      </c>
      <c r="G486" s="15">
        <v>44705</v>
      </c>
      <c r="H486" s="15">
        <v>0</v>
      </c>
      <c r="I486" t="s">
        <v>481</v>
      </c>
      <c r="J486" t="s">
        <v>459</v>
      </c>
      <c r="K486" t="s">
        <v>502</v>
      </c>
      <c r="L486">
        <v>0</v>
      </c>
      <c r="M486">
        <v>0</v>
      </c>
      <c r="N486">
        <v>0</v>
      </c>
      <c r="O486">
        <v>0</v>
      </c>
      <c r="P486">
        <v>0</v>
      </c>
      <c r="Q486">
        <v>0</v>
      </c>
      <c r="R486">
        <v>0</v>
      </c>
      <c r="S486">
        <v>0</v>
      </c>
      <c r="T486">
        <v>0</v>
      </c>
      <c r="U486">
        <v>0</v>
      </c>
      <c r="V486">
        <v>1000000</v>
      </c>
      <c r="W486">
        <v>1000000</v>
      </c>
      <c r="X486" t="s">
        <v>502</v>
      </c>
      <c r="Y486" s="16">
        <v>44732.631953935183</v>
      </c>
      <c r="Z486" s="17" t="str">
        <f>_xlfn.XLOOKUP(Table1[[#This Row],[Phase]],'Lookup tables'!$Y$27:$Y$60,'Lookup tables'!$Z$27:$Z$60,"Not Updated")</f>
        <v>RFPX underway</v>
      </c>
      <c r="AA486" s="17" t="s">
        <v>731</v>
      </c>
      <c r="AB486">
        <v>0</v>
      </c>
      <c r="AC486">
        <v>0</v>
      </c>
      <c r="AD486">
        <v>0</v>
      </c>
      <c r="AE486">
        <v>0</v>
      </c>
      <c r="AF486">
        <v>0</v>
      </c>
      <c r="AG486">
        <v>0</v>
      </c>
      <c r="AH486">
        <v>0</v>
      </c>
      <c r="AI486">
        <v>0</v>
      </c>
      <c r="AJ486">
        <v>0</v>
      </c>
      <c r="AK486">
        <v>0</v>
      </c>
      <c r="AL486">
        <v>0</v>
      </c>
      <c r="AM486">
        <v>0</v>
      </c>
      <c r="AN486">
        <v>0</v>
      </c>
      <c r="AO486">
        <v>0</v>
      </c>
      <c r="AP486">
        <v>0</v>
      </c>
      <c r="AQ486">
        <v>0</v>
      </c>
      <c r="AR486">
        <v>0</v>
      </c>
      <c r="AS486">
        <v>0</v>
      </c>
      <c r="AT486">
        <v>0</v>
      </c>
      <c r="AU486">
        <v>0</v>
      </c>
      <c r="AV486">
        <v>0</v>
      </c>
      <c r="AW486">
        <v>0</v>
      </c>
      <c r="AX486">
        <v>0</v>
      </c>
      <c r="AY486">
        <v>0</v>
      </c>
      <c r="AZ486">
        <v>0</v>
      </c>
      <c r="BA486">
        <v>0</v>
      </c>
      <c r="BB486">
        <v>0</v>
      </c>
      <c r="BC486">
        <v>0</v>
      </c>
      <c r="BD486">
        <v>0</v>
      </c>
      <c r="BE486">
        <v>0</v>
      </c>
      <c r="BF486">
        <v>0</v>
      </c>
      <c r="BG486" s="185">
        <v>0</v>
      </c>
      <c r="BH486" s="185">
        <v>0</v>
      </c>
      <c r="BI486" s="185">
        <v>0</v>
      </c>
      <c r="BJ486" s="185">
        <v>0</v>
      </c>
      <c r="BK486" s="185">
        <v>0</v>
      </c>
      <c r="BL486" s="185">
        <v>0</v>
      </c>
      <c r="BM486" s="185">
        <v>0</v>
      </c>
      <c r="BN486" s="185">
        <v>0</v>
      </c>
      <c r="BO486" s="185">
        <v>0</v>
      </c>
      <c r="BP486" s="185">
        <v>0</v>
      </c>
      <c r="BQ486" s="185">
        <v>0</v>
      </c>
      <c r="BR486" s="185">
        <v>0</v>
      </c>
      <c r="BS486" s="185">
        <v>0</v>
      </c>
      <c r="BT486" s="185">
        <v>0</v>
      </c>
      <c r="BU486" t="b">
        <f>IF(_xlfn.MAXIFS(Table1[Sl No],Table1[Category],Table1[[#This Row],[Category]],Table1[Execution Year],Table1[[#This Row],[Execution Year]])=Table1[[#This Row],[Sl No]],TRUE,FALSE)</f>
        <v>1</v>
      </c>
      <c r="BV486" s="201">
        <f>SUM(Table1[[#This Row],[Spend - CAN]:[Spend - Sams]])+SUM(Table1[[#This Row],[Spend - Sams Mexico]:[Spend - Sams China]])+Table1[[#This Row],[Spend - IND]]</f>
        <v>2000000</v>
      </c>
      <c r="BW486">
        <f>SUM(Table1[[#This Row],[Savings - CAN]:[Savings - Sams]])+SUM(Table1[[#This Row],[Savings - Sams Mexico]:[Savings - Sams China]])+Table1[[#This Row],[Savings - IND]]</f>
        <v>0</v>
      </c>
      <c r="BX486">
        <f>SUM(Table1[[#This Row],[Spend - CAN]:[Spend - SAF]])+SUM(Table1[[#This Row],[Spend - Sams Mexico]:[Spend - Sams China]])+Table1[[#This Row],[Spend - IND]]</f>
        <v>0</v>
      </c>
      <c r="BY486">
        <f>SUM(Table1[[#This Row],[Savings - CAN]:[Savings - SAF]])+SUM(Table1[[#This Row],[Savings - Sams Mexico]:[Savings - Sams China]])+Table1[[#This Row],[Savings - IND]]</f>
        <v>0</v>
      </c>
      <c r="BZ486">
        <f>SUM(Table1[[#This Row],[Spend - US]:[Spend - Sams]])</f>
        <v>2000000</v>
      </c>
      <c r="CA486">
        <f>SUM(Table1[[#This Row],[Savings - US]:[Savings - Sams]])</f>
        <v>0</v>
      </c>
      <c r="CB486">
        <f>SUM(Table1[[#This Row],[Cost Avoidance - CAN2]:[Cost Avoidance - SAF10]])+SUM(Table1[[#This Row],[Cost Avoidance - Sams Mexico]:[Cost Avoidance - Sams China]])+Table1[[#This Row],[Cost Avoidance - IND]]</f>
        <v>0</v>
      </c>
      <c r="CC486">
        <f>SUM(Table1[[#This Row],[Cost Avoidance - US11]:[Cost Avoidance - Sams12]])</f>
        <v>0</v>
      </c>
      <c r="CD486">
        <f>_xlfn.XLOOKUP(Table1[[#This Row],[Status]],Status_Lookups[Status],Status_Lookups[Value],"")</f>
        <v>0.3</v>
      </c>
    </row>
    <row r="487" spans="1:82">
      <c r="A487">
        <v>6</v>
      </c>
      <c r="B487" t="s">
        <v>80</v>
      </c>
      <c r="C487" t="s">
        <v>43</v>
      </c>
      <c r="D487" t="s">
        <v>322</v>
      </c>
      <c r="E487" s="15">
        <v>44655</v>
      </c>
      <c r="F487" s="15">
        <v>44694</v>
      </c>
      <c r="G487" s="15">
        <v>0</v>
      </c>
      <c r="H487" s="15">
        <v>0</v>
      </c>
      <c r="I487" t="s">
        <v>463</v>
      </c>
      <c r="J487" t="s">
        <v>459</v>
      </c>
      <c r="K487" t="s">
        <v>445</v>
      </c>
      <c r="L487">
        <v>0</v>
      </c>
      <c r="M487">
        <v>0</v>
      </c>
      <c r="N487">
        <v>0</v>
      </c>
      <c r="O487">
        <v>0</v>
      </c>
      <c r="P487">
        <v>0</v>
      </c>
      <c r="Q487">
        <v>0</v>
      </c>
      <c r="R487">
        <v>0</v>
      </c>
      <c r="S487">
        <v>0</v>
      </c>
      <c r="T487">
        <v>0</v>
      </c>
      <c r="U487">
        <v>0</v>
      </c>
      <c r="V487">
        <v>254012919</v>
      </c>
      <c r="W487">
        <v>0</v>
      </c>
      <c r="X487" t="s">
        <v>78</v>
      </c>
      <c r="Y487" s="16">
        <v>44732.718457175928</v>
      </c>
      <c r="Z487" s="17" t="str">
        <f>_xlfn.XLOOKUP(Table1[[#This Row],[Phase]],'Lookup tables'!$Y$27:$Y$60,'Lookup tables'!$Z$27:$Z$60,"Not Updated")</f>
        <v>Pending PB/Merch Approval</v>
      </c>
      <c r="AA487" s="17">
        <v>0</v>
      </c>
      <c r="AB487">
        <v>0</v>
      </c>
      <c r="AC487">
        <v>0</v>
      </c>
      <c r="AD487">
        <v>0</v>
      </c>
      <c r="AE487">
        <v>0</v>
      </c>
      <c r="AF487">
        <v>0</v>
      </c>
      <c r="AG487">
        <v>0</v>
      </c>
      <c r="AH487">
        <v>0</v>
      </c>
      <c r="AI487">
        <v>0</v>
      </c>
      <c r="AJ487">
        <v>0</v>
      </c>
      <c r="AK487">
        <v>0</v>
      </c>
      <c r="AL487">
        <v>0</v>
      </c>
      <c r="AM487">
        <v>0</v>
      </c>
      <c r="AN487">
        <v>0</v>
      </c>
      <c r="AO487">
        <v>0</v>
      </c>
      <c r="AP487">
        <v>0</v>
      </c>
      <c r="AQ487">
        <v>0</v>
      </c>
      <c r="AR487">
        <v>0</v>
      </c>
      <c r="AS487">
        <v>0</v>
      </c>
      <c r="AT487">
        <v>0</v>
      </c>
      <c r="AU487">
        <v>0</v>
      </c>
      <c r="AV487">
        <v>0</v>
      </c>
      <c r="AW487">
        <v>0</v>
      </c>
      <c r="AX487">
        <v>0</v>
      </c>
      <c r="AY487">
        <v>0</v>
      </c>
      <c r="AZ487">
        <v>0</v>
      </c>
      <c r="BA487">
        <v>0</v>
      </c>
      <c r="BB487">
        <v>0</v>
      </c>
      <c r="BC487">
        <v>0</v>
      </c>
      <c r="BD487">
        <v>0</v>
      </c>
      <c r="BE487">
        <v>0</v>
      </c>
      <c r="BF487">
        <v>0</v>
      </c>
      <c r="BG487" s="185">
        <v>0</v>
      </c>
      <c r="BH487" s="185">
        <v>0</v>
      </c>
      <c r="BI487" s="185">
        <v>0</v>
      </c>
      <c r="BJ487" s="185">
        <v>0</v>
      </c>
      <c r="BK487" s="185">
        <v>0</v>
      </c>
      <c r="BL487" s="185">
        <v>0</v>
      </c>
      <c r="BM487" s="185">
        <v>0</v>
      </c>
      <c r="BN487" s="185">
        <v>0</v>
      </c>
      <c r="BO487" s="185">
        <v>0</v>
      </c>
      <c r="BP487" s="185">
        <v>0</v>
      </c>
      <c r="BQ487" s="185">
        <v>0</v>
      </c>
      <c r="BR487" s="185">
        <v>0</v>
      </c>
      <c r="BS487" s="185">
        <v>0</v>
      </c>
      <c r="BT487" s="185">
        <v>0</v>
      </c>
      <c r="BU487" t="b">
        <f>IF(_xlfn.MAXIFS(Table1[Sl No],Table1[Category],Table1[[#This Row],[Category]],Table1[Execution Year],Table1[[#This Row],[Execution Year]])=Table1[[#This Row],[Sl No]],TRUE,FALSE)</f>
        <v>1</v>
      </c>
      <c r="BV487" s="201">
        <f>SUM(Table1[[#This Row],[Spend - CAN]:[Spend - Sams]])+SUM(Table1[[#This Row],[Spend - Sams Mexico]:[Spend - Sams China]])+Table1[[#This Row],[Spend - IND]]</f>
        <v>254012919</v>
      </c>
      <c r="BW487">
        <f>SUM(Table1[[#This Row],[Savings - CAN]:[Savings - Sams]])+SUM(Table1[[#This Row],[Savings - Sams Mexico]:[Savings - Sams China]])+Table1[[#This Row],[Savings - IND]]</f>
        <v>0</v>
      </c>
      <c r="BX487">
        <f>SUM(Table1[[#This Row],[Spend - CAN]:[Spend - SAF]])+SUM(Table1[[#This Row],[Spend - Sams Mexico]:[Spend - Sams China]])+Table1[[#This Row],[Spend - IND]]</f>
        <v>0</v>
      </c>
      <c r="BY487">
        <f>SUM(Table1[[#This Row],[Savings - CAN]:[Savings - SAF]])+SUM(Table1[[#This Row],[Savings - Sams Mexico]:[Savings - Sams China]])+Table1[[#This Row],[Savings - IND]]</f>
        <v>0</v>
      </c>
      <c r="BZ487">
        <f>SUM(Table1[[#This Row],[Spend - US]:[Spend - Sams]])</f>
        <v>254012919</v>
      </c>
      <c r="CA487">
        <f>SUM(Table1[[#This Row],[Savings - US]:[Savings - Sams]])</f>
        <v>0</v>
      </c>
      <c r="CB487">
        <f>SUM(Table1[[#This Row],[Cost Avoidance - CAN2]:[Cost Avoidance - SAF10]])+SUM(Table1[[#This Row],[Cost Avoidance - Sams Mexico]:[Cost Avoidance - Sams China]])+Table1[[#This Row],[Cost Avoidance - IND]]</f>
        <v>0</v>
      </c>
      <c r="CC487">
        <f>SUM(Table1[[#This Row],[Cost Avoidance - US11]:[Cost Avoidance - Sams12]])</f>
        <v>0</v>
      </c>
      <c r="CD487">
        <f>_xlfn.XLOOKUP(Table1[[#This Row],[Status]],Status_Lookups[Status],Status_Lookups[Value],"")</f>
        <v>0.3</v>
      </c>
    </row>
    <row r="488" spans="1:82">
      <c r="A488">
        <v>1</v>
      </c>
      <c r="B488" t="s">
        <v>598</v>
      </c>
      <c r="C488" t="s">
        <v>33</v>
      </c>
      <c r="D488" t="s">
        <v>322</v>
      </c>
      <c r="E488" s="15"/>
      <c r="F488" s="15"/>
      <c r="G488" s="15"/>
      <c r="H488" s="15"/>
      <c r="K488" t="s">
        <v>570</v>
      </c>
      <c r="X488" t="s">
        <v>47</v>
      </c>
      <c r="Y488" s="16">
        <v>44734.41238425926</v>
      </c>
      <c r="Z488" s="17" t="str">
        <f>_xlfn.XLOOKUP(Table1[[#This Row],[Phase]],'Lookup tables'!$Y$27:$Y$60,'Lookup tables'!$Z$27:$Z$60,"Not Updated")</f>
        <v>Not Updated</v>
      </c>
      <c r="AA488" s="17"/>
      <c r="BG488" s="185"/>
      <c r="BH488" s="185"/>
      <c r="BI488" s="185"/>
      <c r="BJ488" s="185"/>
      <c r="BK488" s="185"/>
      <c r="BL488" s="185"/>
      <c r="BM488" s="185"/>
      <c r="BN488" s="185"/>
      <c r="BO488" s="185"/>
      <c r="BP488" s="185"/>
      <c r="BQ488" s="185"/>
      <c r="BR488" s="185"/>
      <c r="BS488" s="185"/>
      <c r="BT488" s="185"/>
      <c r="BU488" t="b">
        <f>IF(_xlfn.MAXIFS(Table1[Sl No],Table1[Category],Table1[[#This Row],[Category]],Table1[Execution Year],Table1[[#This Row],[Execution Year]])=Table1[[#This Row],[Sl No]],TRUE,FALSE)</f>
        <v>1</v>
      </c>
      <c r="BV488" s="201">
        <f>SUM(Table1[[#This Row],[Spend - CAN]:[Spend - Sams]])+SUM(Table1[[#This Row],[Spend - Sams Mexico]:[Spend - Sams China]])+Table1[[#This Row],[Spend - IND]]</f>
        <v>0</v>
      </c>
      <c r="BW488">
        <f>SUM(Table1[[#This Row],[Savings - CAN]:[Savings - Sams]])+SUM(Table1[[#This Row],[Savings - Sams Mexico]:[Savings - Sams China]])+Table1[[#This Row],[Savings - IND]]</f>
        <v>0</v>
      </c>
      <c r="BX488">
        <f>SUM(Table1[[#This Row],[Spend - CAN]:[Spend - SAF]])+SUM(Table1[[#This Row],[Spend - Sams Mexico]:[Spend - Sams China]])+Table1[[#This Row],[Spend - IND]]</f>
        <v>0</v>
      </c>
      <c r="BY488">
        <f>SUM(Table1[[#This Row],[Savings - CAN]:[Savings - SAF]])+SUM(Table1[[#This Row],[Savings - Sams Mexico]:[Savings - Sams China]])+Table1[[#This Row],[Savings - IND]]</f>
        <v>0</v>
      </c>
      <c r="BZ488">
        <f>SUM(Table1[[#This Row],[Spend - US]:[Spend - Sams]])</f>
        <v>0</v>
      </c>
      <c r="CA488">
        <f>SUM(Table1[[#This Row],[Savings - US]:[Savings - Sams]])</f>
        <v>0</v>
      </c>
      <c r="CB488">
        <f>SUM(Table1[[#This Row],[Cost Avoidance - CAN2]:[Cost Avoidance - SAF10]])+SUM(Table1[[#This Row],[Cost Avoidance - Sams Mexico]:[Cost Avoidance - Sams China]])+Table1[[#This Row],[Cost Avoidance - IND]]</f>
        <v>0</v>
      </c>
      <c r="CC488">
        <f>SUM(Table1[[#This Row],[Cost Avoidance - US11]:[Cost Avoidance - Sams12]])</f>
        <v>0</v>
      </c>
      <c r="CD488" t="str">
        <f>_xlfn.XLOOKUP(Table1[[#This Row],[Status]],Status_Lookups[Status],Status_Lookups[Value],"")</f>
        <v/>
      </c>
    </row>
    <row r="489" spans="1:82">
      <c r="A489">
        <v>3</v>
      </c>
      <c r="B489" t="s">
        <v>551</v>
      </c>
      <c r="C489" t="s">
        <v>543</v>
      </c>
      <c r="D489" t="s">
        <v>322</v>
      </c>
      <c r="E489" s="15">
        <v>0</v>
      </c>
      <c r="F489" s="15">
        <v>0</v>
      </c>
      <c r="G489" s="15">
        <v>0</v>
      </c>
      <c r="H489" s="15">
        <v>0</v>
      </c>
      <c r="I489" t="s">
        <v>470</v>
      </c>
      <c r="J489" t="s">
        <v>470</v>
      </c>
      <c r="K489" t="s">
        <v>533</v>
      </c>
      <c r="L489">
        <v>0</v>
      </c>
      <c r="M489">
        <v>0</v>
      </c>
      <c r="N489">
        <v>0</v>
      </c>
      <c r="O489">
        <v>0</v>
      </c>
      <c r="P489">
        <v>0</v>
      </c>
      <c r="Q489">
        <v>0</v>
      </c>
      <c r="R489">
        <v>0</v>
      </c>
      <c r="S489">
        <v>0</v>
      </c>
      <c r="T489">
        <v>0</v>
      </c>
      <c r="U489">
        <v>0</v>
      </c>
      <c r="V489">
        <v>1000000</v>
      </c>
      <c r="W489">
        <v>0</v>
      </c>
      <c r="X489" t="s">
        <v>47</v>
      </c>
      <c r="Y489" s="16">
        <v>44735.712233101855</v>
      </c>
      <c r="Z489" s="17" t="str">
        <f>_xlfn.XLOOKUP(Table1[[#This Row],[Phase]],'Lookup tables'!$Y$27:$Y$60,'Lookup tables'!$Z$27:$Z$60,"Not Updated")</f>
        <v>Complete</v>
      </c>
      <c r="AA489" s="17" t="s">
        <v>721</v>
      </c>
      <c r="AB489">
        <v>0</v>
      </c>
      <c r="AC489">
        <v>0</v>
      </c>
      <c r="AD489">
        <v>0</v>
      </c>
      <c r="AE489">
        <v>0</v>
      </c>
      <c r="AF489">
        <v>0</v>
      </c>
      <c r="AG489">
        <v>0</v>
      </c>
      <c r="AH489">
        <v>0</v>
      </c>
      <c r="AI489">
        <v>0</v>
      </c>
      <c r="AJ489">
        <v>0</v>
      </c>
      <c r="AK489">
        <v>0</v>
      </c>
      <c r="AL489">
        <v>0</v>
      </c>
      <c r="AM489">
        <v>0</v>
      </c>
      <c r="AN489">
        <v>0</v>
      </c>
      <c r="AO489">
        <v>0</v>
      </c>
      <c r="AP489">
        <v>0</v>
      </c>
      <c r="AQ489">
        <v>0</v>
      </c>
      <c r="AR489">
        <v>0</v>
      </c>
      <c r="AS489">
        <v>0</v>
      </c>
      <c r="AT489">
        <v>0</v>
      </c>
      <c r="AU489">
        <v>0</v>
      </c>
      <c r="AV489">
        <v>0</v>
      </c>
      <c r="AW489">
        <v>0</v>
      </c>
      <c r="AX489">
        <v>0</v>
      </c>
      <c r="AY489">
        <v>0</v>
      </c>
      <c r="AZ489">
        <v>0</v>
      </c>
      <c r="BA489">
        <v>0</v>
      </c>
      <c r="BB489">
        <v>0</v>
      </c>
      <c r="BC489">
        <v>0</v>
      </c>
      <c r="BD489">
        <v>0</v>
      </c>
      <c r="BE489">
        <v>0</v>
      </c>
      <c r="BF489">
        <v>0</v>
      </c>
      <c r="BG489" s="185">
        <v>0</v>
      </c>
      <c r="BH489" s="185">
        <v>0</v>
      </c>
      <c r="BI489" s="185">
        <v>0</v>
      </c>
      <c r="BJ489" s="185">
        <v>0</v>
      </c>
      <c r="BK489" s="185">
        <v>0</v>
      </c>
      <c r="BL489" s="185">
        <v>0</v>
      </c>
      <c r="BM489" s="185">
        <v>0</v>
      </c>
      <c r="BN489" s="185">
        <v>0</v>
      </c>
      <c r="BO489" s="185">
        <v>0</v>
      </c>
      <c r="BP489" s="185">
        <v>44593</v>
      </c>
      <c r="BQ489" s="185">
        <v>0</v>
      </c>
      <c r="BR489" s="185">
        <v>0</v>
      </c>
      <c r="BS489" s="185">
        <v>0</v>
      </c>
      <c r="BT489" s="185">
        <v>0</v>
      </c>
      <c r="BU489" t="b">
        <f>IF(_xlfn.MAXIFS(Table1[Sl No],Table1[Category],Table1[[#This Row],[Category]],Table1[Execution Year],Table1[[#This Row],[Execution Year]])=Table1[[#This Row],[Sl No]],TRUE,FALSE)</f>
        <v>1</v>
      </c>
      <c r="BV489" s="201">
        <f>SUM(Table1[[#This Row],[Spend - CAN]:[Spend - Sams]])+SUM(Table1[[#This Row],[Spend - Sams Mexico]:[Spend - Sams China]])+Table1[[#This Row],[Spend - IND]]</f>
        <v>1000000</v>
      </c>
      <c r="BW489">
        <f>SUM(Table1[[#This Row],[Savings - CAN]:[Savings - Sams]])+SUM(Table1[[#This Row],[Savings - Sams Mexico]:[Savings - Sams China]])+Table1[[#This Row],[Savings - IND]]</f>
        <v>0</v>
      </c>
      <c r="BX489">
        <f>SUM(Table1[[#This Row],[Spend - CAN]:[Spend - SAF]])+SUM(Table1[[#This Row],[Spend - Sams Mexico]:[Spend - Sams China]])+Table1[[#This Row],[Spend - IND]]</f>
        <v>0</v>
      </c>
      <c r="BY489">
        <f>SUM(Table1[[#This Row],[Savings - CAN]:[Savings - SAF]])+SUM(Table1[[#This Row],[Savings - Sams Mexico]:[Savings - Sams China]])+Table1[[#This Row],[Savings - IND]]</f>
        <v>0</v>
      </c>
      <c r="BZ489">
        <f>SUM(Table1[[#This Row],[Spend - US]:[Spend - Sams]])</f>
        <v>1000000</v>
      </c>
      <c r="CA489">
        <f>SUM(Table1[[#This Row],[Savings - US]:[Savings - Sams]])</f>
        <v>0</v>
      </c>
      <c r="CB489">
        <f>SUM(Table1[[#This Row],[Cost Avoidance - CAN2]:[Cost Avoidance - SAF10]])+SUM(Table1[[#This Row],[Cost Avoidance - Sams Mexico]:[Cost Avoidance - Sams China]])+Table1[[#This Row],[Cost Avoidance - IND]]</f>
        <v>0</v>
      </c>
      <c r="CC489">
        <f>SUM(Table1[[#This Row],[Cost Avoidance - US11]:[Cost Avoidance - Sams12]])</f>
        <v>0</v>
      </c>
      <c r="CD489" t="str">
        <f>_xlfn.XLOOKUP(Table1[[#This Row],[Status]],Status_Lookups[Status],Status_Lookups[Value],"")</f>
        <v/>
      </c>
    </row>
  </sheetData>
  <phoneticPr fontId="17" type="noConversion"/>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74EE10-3CE3-4AEB-8EC6-5E8945EF5069}">
  <sheetPr codeName="Sheet3"/>
  <dimension ref="A1:BB103"/>
  <sheetViews>
    <sheetView workbookViewId="0">
      <selection activeCell="H2" sqref="H2"/>
    </sheetView>
  </sheetViews>
  <sheetFormatPr defaultColWidth="8.5703125" defaultRowHeight="14.45"/>
  <cols>
    <col min="1" max="3" width="1.5703125" customWidth="1"/>
    <col min="4" max="4" width="19.42578125" bestFit="1" customWidth="1"/>
    <col min="5" max="5" width="15" bestFit="1" customWidth="1"/>
    <col min="6" max="6" width="12.42578125" bestFit="1" customWidth="1"/>
    <col min="7" max="7" width="9.42578125" customWidth="1"/>
    <col min="8" max="8" width="10.28515625" customWidth="1"/>
    <col min="9" max="9" width="12.42578125" bestFit="1" customWidth="1"/>
    <col min="10" max="10" width="3.5703125" customWidth="1"/>
    <col min="11" max="11" width="99.5703125" customWidth="1"/>
    <col min="13" max="13" width="22.42578125" bestFit="1" customWidth="1"/>
    <col min="17" max="17" width="20.42578125" customWidth="1"/>
    <col min="22" max="22" width="19.7109375" customWidth="1"/>
    <col min="23" max="23" width="19.5703125" customWidth="1"/>
    <col min="25" max="25" width="30.42578125" customWidth="1"/>
    <col min="26" max="26" width="22.42578125" customWidth="1"/>
    <col min="28" max="28" width="21" bestFit="1" customWidth="1"/>
    <col min="39" max="39" width="10.42578125" bestFit="1" customWidth="1"/>
  </cols>
  <sheetData>
    <row r="1" spans="1:54">
      <c r="A1" s="1"/>
      <c r="B1" s="1"/>
      <c r="D1" s="1" t="s">
        <v>732</v>
      </c>
      <c r="E1" s="1" t="s">
        <v>733</v>
      </c>
      <c r="F1" s="1" t="s">
        <v>734</v>
      </c>
      <c r="G1" s="1" t="s">
        <v>735</v>
      </c>
      <c r="H1" s="1" t="s">
        <v>736</v>
      </c>
      <c r="I1" s="1" t="s">
        <v>4</v>
      </c>
      <c r="K1" s="1"/>
      <c r="M1" s="1" t="s">
        <v>737</v>
      </c>
      <c r="N1" s="1" t="s">
        <v>738</v>
      </c>
      <c r="O1" s="1" t="s">
        <v>739</v>
      </c>
      <c r="Q1" s="258" t="s">
        <v>740</v>
      </c>
      <c r="R1" s="1" t="s">
        <v>225</v>
      </c>
      <c r="T1" t="s">
        <v>741</v>
      </c>
      <c r="W1" s="1" t="s">
        <v>166</v>
      </c>
      <c r="X1" t="s">
        <v>621</v>
      </c>
      <c r="Y1" s="1" t="s">
        <v>297</v>
      </c>
      <c r="Z1" s="1" t="s">
        <v>742</v>
      </c>
      <c r="AB1" s="161" t="s">
        <v>166</v>
      </c>
      <c r="AC1" s="161" t="s">
        <v>743</v>
      </c>
      <c r="AI1" t="s">
        <v>322</v>
      </c>
      <c r="AJ1" t="s">
        <v>39</v>
      </c>
      <c r="AK1" t="s">
        <v>32</v>
      </c>
      <c r="AP1" s="1" t="s">
        <v>744</v>
      </c>
      <c r="AT1" t="s">
        <v>745</v>
      </c>
      <c r="AX1" s="1" t="s">
        <v>746</v>
      </c>
    </row>
    <row r="2" spans="1:54">
      <c r="D2" t="s">
        <v>747</v>
      </c>
      <c r="E2" t="s">
        <v>748</v>
      </c>
      <c r="F2" t="str">
        <f>LEFT(D2,3)</f>
        <v>CAN</v>
      </c>
      <c r="G2">
        <v>22</v>
      </c>
      <c r="H2" cm="1">
        <f t="array" ref="H2:H8">_xlfn._xlws.FILTER($G$2:$G$100,$G$2:$G$100&lt;&gt;0)</f>
        <v>22</v>
      </c>
      <c r="I2" t="s">
        <v>33</v>
      </c>
      <c r="K2" s="61" t="s">
        <v>749</v>
      </c>
      <c r="L2">
        <v>1</v>
      </c>
      <c r="M2" t="str" cm="1">
        <f t="array" ref="M2:M103">_xlfn.UNIQUE(Table1[Category])</f>
        <v>Absorbent pads</v>
      </c>
      <c r="N2" t="s">
        <v>32</v>
      </c>
      <c r="O2" t="s">
        <v>750</v>
      </c>
      <c r="Q2" t="str" cm="1">
        <f t="array" ref="Q2:Q22">_xlfn.UNIQUE(_xlfn._xlws.FILTER(Table1[US Lead],Table1[US Lead]&lt;&gt;0))</f>
        <v>Yoshi</v>
      </c>
      <c r="R2" t="s">
        <v>475</v>
      </c>
      <c r="T2" t="s">
        <v>751</v>
      </c>
      <c r="U2">
        <v>1</v>
      </c>
      <c r="W2" s="106" t="s">
        <v>459</v>
      </c>
      <c r="X2">
        <v>0.8</v>
      </c>
      <c r="Y2" s="18" t="s">
        <v>135</v>
      </c>
      <c r="Z2" t="s">
        <v>412</v>
      </c>
      <c r="AB2" s="162" t="s">
        <v>459</v>
      </c>
      <c r="AC2" s="162">
        <v>0.3</v>
      </c>
      <c r="AI2" s="78">
        <v>44501</v>
      </c>
      <c r="AJ2" s="78">
        <v>44136</v>
      </c>
      <c r="AK2" s="78">
        <v>43770</v>
      </c>
      <c r="AM2" s="15">
        <v>44501</v>
      </c>
      <c r="AN2" t="s">
        <v>39</v>
      </c>
      <c r="AP2">
        <f>Update!D3</f>
        <v>0</v>
      </c>
      <c r="AQ2">
        <f>Update!E3</f>
        <v>0</v>
      </c>
      <c r="AT2" t="str">
        <f>Resourcing!D3</f>
        <v>FY22</v>
      </c>
      <c r="AU2" t="str">
        <f>Resourcing!E3</f>
        <v>Consumables</v>
      </c>
      <c r="AX2" t="str" cm="1">
        <f t="array" ref="AX2:AX103">_xlfn.UNIQUE(Table1[Category])</f>
        <v>Absorbent pads</v>
      </c>
      <c r="BA2" t="s">
        <v>330</v>
      </c>
      <c r="BB2" t="s">
        <v>752</v>
      </c>
    </row>
    <row r="3" spans="1:54">
      <c r="D3" t="s">
        <v>753</v>
      </c>
      <c r="E3" t="s">
        <v>754</v>
      </c>
      <c r="F3" t="str">
        <f t="shared" ref="F3:F10" si="0">LEFT(D3,3)</f>
        <v>MEX</v>
      </c>
      <c r="G3">
        <v>17</v>
      </c>
      <c r="H3">
        <v>17</v>
      </c>
      <c r="I3" t="s">
        <v>43</v>
      </c>
      <c r="K3" s="61" t="s">
        <v>755</v>
      </c>
      <c r="L3">
        <v>2</v>
      </c>
      <c r="M3" t="str">
        <v>Alfredo Pasta Sauce</v>
      </c>
      <c r="N3" t="s">
        <v>39</v>
      </c>
      <c r="O3" t="s">
        <v>78</v>
      </c>
      <c r="Q3" t="str">
        <v>Sam Alicea</v>
      </c>
      <c r="R3" t="s">
        <v>492</v>
      </c>
      <c r="T3" t="s">
        <v>756</v>
      </c>
      <c r="U3">
        <v>2</v>
      </c>
      <c r="W3" s="106" t="s">
        <v>489</v>
      </c>
      <c r="X3">
        <v>0.6</v>
      </c>
      <c r="Y3" s="18" t="s">
        <v>412</v>
      </c>
      <c r="Z3" t="s">
        <v>413</v>
      </c>
      <c r="AB3" s="162" t="s">
        <v>489</v>
      </c>
      <c r="AC3" s="162">
        <v>0.6</v>
      </c>
      <c r="AJ3" s="78"/>
      <c r="AM3" s="15">
        <v>44136</v>
      </c>
      <c r="AN3" t="s">
        <v>32</v>
      </c>
      <c r="AP3" t="str" cm="1">
        <f t="array" ref="AP3">_xlfn._xlws.FILTER(Table1[Category],(Table1[Execution Year]=AP2)*(Table1[Most curent]=TRUE)*(Table1[SBU]=AQ2)*(Table1[Current Phase]&lt;&gt;"Cancelled"),"Select SBU and Year")</f>
        <v>Select SBU and Year</v>
      </c>
      <c r="AT3" t="str" cm="1">
        <f t="array" ref="AT3:AT13">_xlfn._xlws.FILTER(Table1[Category],(Table1[Execution Year]=AT2)*(Table1[Most curent]=TRUE)*(Table1[SBU]=AU2)*(Table1[Current Phase]&lt;&gt;"Cancelled"),"Select SBU and Year")</f>
        <v>Cat Litter</v>
      </c>
      <c r="AX3" t="str">
        <v>Alfredo Pasta Sauce</v>
      </c>
    </row>
    <row r="4" spans="1:54">
      <c r="D4" t="s">
        <v>757</v>
      </c>
      <c r="E4" t="s">
        <v>758</v>
      </c>
      <c r="F4" t="str">
        <f t="shared" si="0"/>
        <v>CAM</v>
      </c>
      <c r="G4">
        <v>24</v>
      </c>
      <c r="H4">
        <v>24</v>
      </c>
      <c r="I4" t="s">
        <v>486</v>
      </c>
      <c r="K4" s="61" t="s">
        <v>759</v>
      </c>
      <c r="L4">
        <v>3</v>
      </c>
      <c r="M4" t="str">
        <v>Applesauce - Pouch</v>
      </c>
      <c r="N4" t="s">
        <v>322</v>
      </c>
      <c r="O4" t="s">
        <v>760</v>
      </c>
      <c r="Q4" t="str">
        <v>Beau Reynolds</v>
      </c>
      <c r="R4" t="s">
        <v>510</v>
      </c>
      <c r="T4" t="s">
        <v>761</v>
      </c>
      <c r="U4">
        <v>3</v>
      </c>
      <c r="W4" s="106" t="s">
        <v>762</v>
      </c>
      <c r="X4">
        <v>0.4</v>
      </c>
      <c r="Y4" s="18" t="s">
        <v>413</v>
      </c>
      <c r="Z4" t="s">
        <v>104</v>
      </c>
      <c r="AB4" s="162" t="s">
        <v>762</v>
      </c>
      <c r="AC4" s="162">
        <v>0.8</v>
      </c>
      <c r="AI4" s="78">
        <v>44531</v>
      </c>
      <c r="AJ4" s="78">
        <v>44166</v>
      </c>
      <c r="AK4" s="78">
        <v>43800</v>
      </c>
      <c r="AM4" s="15">
        <v>43770</v>
      </c>
      <c r="AN4" t="s">
        <v>763</v>
      </c>
      <c r="AT4" t="str">
        <v>Cotton Products</v>
      </c>
      <c r="AX4" t="str">
        <v>Applesauce - Pouch</v>
      </c>
    </row>
    <row r="5" spans="1:54">
      <c r="D5" t="s">
        <v>764</v>
      </c>
      <c r="E5" t="s">
        <v>765</v>
      </c>
      <c r="F5" t="str">
        <f t="shared" si="0"/>
        <v>CHL</v>
      </c>
      <c r="G5">
        <v>2</v>
      </c>
      <c r="H5">
        <v>2</v>
      </c>
      <c r="I5" t="s">
        <v>543</v>
      </c>
      <c r="K5" s="61" t="s">
        <v>766</v>
      </c>
      <c r="L5">
        <v>4</v>
      </c>
      <c r="M5" t="str">
        <v>Baby Wipes</v>
      </c>
      <c r="N5" t="s">
        <v>767</v>
      </c>
      <c r="O5" t="s">
        <v>768</v>
      </c>
      <c r="Q5" t="str">
        <v>Kendra</v>
      </c>
      <c r="R5" t="s">
        <v>522</v>
      </c>
      <c r="T5" t="s">
        <v>769</v>
      </c>
      <c r="U5">
        <v>4</v>
      </c>
      <c r="W5" s="106" t="s">
        <v>444</v>
      </c>
      <c r="X5">
        <v>0.2</v>
      </c>
      <c r="Y5" s="18" t="s">
        <v>481</v>
      </c>
      <c r="Z5" t="s">
        <v>414</v>
      </c>
      <c r="AB5" s="162" t="s">
        <v>444</v>
      </c>
      <c r="AC5" s="162">
        <v>0.2</v>
      </c>
      <c r="AJ5" s="78"/>
      <c r="AM5" s="15">
        <v>44593</v>
      </c>
      <c r="AN5" t="s">
        <v>322</v>
      </c>
      <c r="AT5" t="str">
        <v>Diapers</v>
      </c>
      <c r="AX5" t="str">
        <v>Baby Wipes</v>
      </c>
    </row>
    <row r="6" spans="1:54">
      <c r="D6" t="s">
        <v>770</v>
      </c>
      <c r="E6" t="s">
        <v>771</v>
      </c>
      <c r="F6" t="str">
        <f t="shared" si="0"/>
        <v>ARG</v>
      </c>
      <c r="G6">
        <v>16</v>
      </c>
      <c r="H6">
        <v>16</v>
      </c>
      <c r="K6" s="61" t="s">
        <v>772</v>
      </c>
      <c r="L6">
        <v>5</v>
      </c>
      <c r="M6" t="str">
        <v>Bacon</v>
      </c>
      <c r="O6" t="s">
        <v>773</v>
      </c>
      <c r="Q6" t="str">
        <v>Jose Cano</v>
      </c>
      <c r="R6" t="s">
        <v>446</v>
      </c>
      <c r="T6" t="s">
        <v>774</v>
      </c>
      <c r="U6">
        <v>5</v>
      </c>
      <c r="W6" s="106" t="s">
        <v>417</v>
      </c>
      <c r="X6">
        <v>-0.1</v>
      </c>
      <c r="Y6" s="18" t="s">
        <v>473</v>
      </c>
      <c r="Z6" t="s">
        <v>415</v>
      </c>
      <c r="AB6" s="162" t="s">
        <v>417</v>
      </c>
      <c r="AC6" s="162">
        <v>0.2</v>
      </c>
      <c r="AI6" s="78">
        <v>44562</v>
      </c>
      <c r="AJ6" s="78">
        <v>44197</v>
      </c>
      <c r="AK6" s="78">
        <v>43831</v>
      </c>
      <c r="AM6" s="15">
        <v>44228</v>
      </c>
      <c r="AN6" t="s">
        <v>39</v>
      </c>
      <c r="AT6" t="str">
        <v>Dish &amp; Laundry (liquids/powder/pods)</v>
      </c>
      <c r="AX6" t="str">
        <v>Bacon</v>
      </c>
    </row>
    <row r="7" spans="1:54">
      <c r="D7" t="s">
        <v>775</v>
      </c>
      <c r="E7" t="s">
        <v>776</v>
      </c>
      <c r="F7" t="str">
        <f t="shared" si="0"/>
        <v>CHN</v>
      </c>
      <c r="G7">
        <v>19</v>
      </c>
      <c r="H7">
        <v>19</v>
      </c>
      <c r="K7" s="61" t="s">
        <v>759</v>
      </c>
      <c r="L7">
        <v>6</v>
      </c>
      <c r="M7" t="str">
        <v>Bakery Cookies/Freshest Guarantee</v>
      </c>
      <c r="O7" t="s">
        <v>445</v>
      </c>
      <c r="Q7" t="str">
        <v>Ofelia Cypert</v>
      </c>
      <c r="R7" t="s">
        <v>777</v>
      </c>
      <c r="T7" t="s">
        <v>778</v>
      </c>
      <c r="U7">
        <v>6</v>
      </c>
      <c r="Y7" s="18" t="s">
        <v>476</v>
      </c>
      <c r="Z7" t="s">
        <v>416</v>
      </c>
      <c r="AB7" s="162" t="s">
        <v>705</v>
      </c>
      <c r="AC7" s="162">
        <v>0.8</v>
      </c>
      <c r="AJ7" s="78"/>
      <c r="AM7" s="15">
        <v>43862</v>
      </c>
      <c r="AN7" t="s">
        <v>32</v>
      </c>
      <c r="AT7" t="str">
        <v>DTT - Paper</v>
      </c>
      <c r="AX7" t="str">
        <v>Bakery Cookies/Freshest Guarantee</v>
      </c>
    </row>
    <row r="8" spans="1:54">
      <c r="D8" t="s">
        <v>779</v>
      </c>
      <c r="E8" t="s">
        <v>780</v>
      </c>
      <c r="F8" t="str">
        <f t="shared" si="0"/>
        <v>JAP</v>
      </c>
      <c r="G8">
        <v>23</v>
      </c>
      <c r="H8">
        <v>23</v>
      </c>
      <c r="K8" s="61" t="s">
        <v>781</v>
      </c>
      <c r="L8">
        <v>7</v>
      </c>
      <c r="M8" t="str">
        <v>Baking Nuts</v>
      </c>
      <c r="O8" t="s">
        <v>782</v>
      </c>
      <c r="Q8" t="str">
        <v>Aime Snowden</v>
      </c>
      <c r="R8" t="s">
        <v>585</v>
      </c>
      <c r="T8" t="s">
        <v>783</v>
      </c>
      <c r="U8">
        <v>7</v>
      </c>
      <c r="Y8" t="s">
        <v>784</v>
      </c>
      <c r="Z8" t="s">
        <v>417</v>
      </c>
      <c r="AB8" s="162"/>
      <c r="AC8" s="162"/>
      <c r="AI8" s="78">
        <v>44593</v>
      </c>
      <c r="AJ8" s="78">
        <v>44228</v>
      </c>
      <c r="AK8" s="78">
        <v>43862</v>
      </c>
      <c r="AM8" s="15">
        <v>44958</v>
      </c>
      <c r="AN8" t="s">
        <v>767</v>
      </c>
      <c r="AT8" t="str">
        <v>Food &amp; Trash bags (GEP)</v>
      </c>
      <c r="AX8" t="str">
        <v>Baking Nuts</v>
      </c>
    </row>
    <row r="9" spans="1:54">
      <c r="D9" t="s">
        <v>785</v>
      </c>
      <c r="E9" t="s">
        <v>786</v>
      </c>
      <c r="F9" t="str">
        <f t="shared" si="0"/>
        <v>UKN</v>
      </c>
      <c r="K9" s="61" t="s">
        <v>787</v>
      </c>
      <c r="L9">
        <v>8</v>
      </c>
      <c r="M9" t="str">
        <v>Batteries</v>
      </c>
      <c r="O9" t="s">
        <v>47</v>
      </c>
      <c r="Q9" t="str">
        <v>Christine Dillard</v>
      </c>
      <c r="R9" t="s">
        <v>788</v>
      </c>
      <c r="T9" t="s">
        <v>789</v>
      </c>
      <c r="U9">
        <v>8</v>
      </c>
      <c r="Y9" s="61" t="s">
        <v>790</v>
      </c>
      <c r="AB9" s="162"/>
      <c r="AC9" s="162"/>
      <c r="AJ9" s="78"/>
      <c r="AM9" s="15">
        <v>44593</v>
      </c>
      <c r="AN9" t="s">
        <v>322</v>
      </c>
      <c r="AT9" t="str">
        <v>Liquid Handsoap &amp; Bodywash</v>
      </c>
      <c r="AX9" t="str">
        <v>Batteries</v>
      </c>
    </row>
    <row r="10" spans="1:54">
      <c r="D10" t="s">
        <v>791</v>
      </c>
      <c r="E10" t="s">
        <v>792</v>
      </c>
      <c r="F10" t="str">
        <f t="shared" si="0"/>
        <v>SAF</v>
      </c>
      <c r="K10" s="61" t="s">
        <v>793</v>
      </c>
      <c r="L10">
        <v>9</v>
      </c>
      <c r="M10" t="str">
        <v>Body Wash/Soap &amp; Shampoo</v>
      </c>
      <c r="Q10" t="str">
        <v>Chris McSpadden</v>
      </c>
      <c r="T10" t="s">
        <v>794</v>
      </c>
      <c r="U10">
        <v>9</v>
      </c>
      <c r="Y10" t="s">
        <v>795</v>
      </c>
      <c r="AB10" s="162"/>
      <c r="AC10" s="162"/>
      <c r="AI10" s="78">
        <v>44621</v>
      </c>
      <c r="AJ10" s="78">
        <v>44256</v>
      </c>
      <c r="AK10" s="78">
        <v>43891</v>
      </c>
      <c r="AM10" s="15">
        <v>44228</v>
      </c>
      <c r="AN10" t="s">
        <v>39</v>
      </c>
      <c r="AT10" t="str">
        <v>Paper products</v>
      </c>
      <c r="AX10" t="str">
        <v>Body Wash/Soap &amp; Shampoo</v>
      </c>
    </row>
    <row r="11" spans="1:54">
      <c r="D11" t="s">
        <v>796</v>
      </c>
      <c r="E11" t="s">
        <v>323</v>
      </c>
      <c r="F11" t="s">
        <v>14</v>
      </c>
      <c r="K11" s="61" t="s">
        <v>797</v>
      </c>
      <c r="L11">
        <v>10</v>
      </c>
      <c r="M11" t="str">
        <v>Butter</v>
      </c>
      <c r="Q11" t="str">
        <v>Larry</v>
      </c>
      <c r="T11" t="s">
        <v>798</v>
      </c>
      <c r="U11">
        <v>10</v>
      </c>
      <c r="Y11" t="s">
        <v>675</v>
      </c>
      <c r="AB11" s="162"/>
      <c r="AC11" s="162"/>
      <c r="AJ11" s="78"/>
      <c r="AM11" s="15"/>
      <c r="AT11" t="str">
        <v>Puppy Pads</v>
      </c>
      <c r="AX11" t="str">
        <v>Butter</v>
      </c>
    </row>
    <row r="12" spans="1:54">
      <c r="D12" t="s">
        <v>799</v>
      </c>
      <c r="E12" t="s">
        <v>800</v>
      </c>
      <c r="F12" t="s">
        <v>15</v>
      </c>
      <c r="K12" s="61" t="s">
        <v>801</v>
      </c>
      <c r="L12">
        <v>11</v>
      </c>
      <c r="M12" t="str">
        <v>Buttercream</v>
      </c>
      <c r="Q12" t="str">
        <v>Jony Farfan</v>
      </c>
      <c r="T12" t="s">
        <v>802</v>
      </c>
      <c r="U12">
        <v>11</v>
      </c>
      <c r="Y12" t="s">
        <v>622</v>
      </c>
      <c r="AB12" s="162"/>
      <c r="AC12" s="162"/>
      <c r="AI12" s="78">
        <v>44652</v>
      </c>
      <c r="AJ12" s="78">
        <v>44287</v>
      </c>
      <c r="AK12" s="78">
        <v>43922</v>
      </c>
      <c r="AT12" t="str">
        <v>Wipes</v>
      </c>
      <c r="AX12" t="str">
        <v>Buttercream</v>
      </c>
    </row>
    <row r="13" spans="1:54">
      <c r="D13" t="s">
        <v>336</v>
      </c>
      <c r="E13" t="s">
        <v>336</v>
      </c>
      <c r="F13" t="s">
        <v>336</v>
      </c>
      <c r="K13" s="61" t="s">
        <v>803</v>
      </c>
      <c r="L13">
        <v>12</v>
      </c>
      <c r="M13" t="str">
        <v>Canned - Pumpkin</v>
      </c>
      <c r="Q13" t="str">
        <v>Janet Hannay</v>
      </c>
      <c r="T13" t="s">
        <v>804</v>
      </c>
      <c r="U13">
        <v>12</v>
      </c>
      <c r="Y13" t="s">
        <v>463</v>
      </c>
      <c r="AJ13" s="78"/>
      <c r="AT13" t="str">
        <v>Dry pet food</v>
      </c>
      <c r="AX13" t="str">
        <v>Canned - Pumpkin</v>
      </c>
    </row>
    <row r="14" spans="1:54">
      <c r="D14" t="s">
        <v>337</v>
      </c>
      <c r="E14" t="s">
        <v>337</v>
      </c>
      <c r="F14" t="s">
        <v>337</v>
      </c>
      <c r="K14" s="61" t="s">
        <v>805</v>
      </c>
      <c r="L14">
        <v>13</v>
      </c>
      <c r="M14" t="str">
        <v>Canned Fruit</v>
      </c>
      <c r="Q14" t="str">
        <v>Chris</v>
      </c>
      <c r="Y14" t="s">
        <v>415</v>
      </c>
      <c r="AI14" s="78">
        <v>44682</v>
      </c>
      <c r="AJ14" s="78">
        <v>44317</v>
      </c>
      <c r="AK14" s="78">
        <v>43952</v>
      </c>
      <c r="AX14" t="str">
        <v>Canned Fruit</v>
      </c>
    </row>
    <row r="15" spans="1:54">
      <c r="D15" t="s">
        <v>806</v>
      </c>
      <c r="E15" t="s">
        <v>807</v>
      </c>
      <c r="F15" t="s">
        <v>338</v>
      </c>
      <c r="K15" s="61" t="s">
        <v>808</v>
      </c>
      <c r="L15">
        <v>14</v>
      </c>
      <c r="M15" t="str">
        <v>Canned Seafood</v>
      </c>
      <c r="Q15" t="str">
        <v>Jason</v>
      </c>
      <c r="Y15" t="s">
        <v>466</v>
      </c>
      <c r="AJ15" s="78"/>
      <c r="AX15" t="str">
        <v>Canned Seafood</v>
      </c>
    </row>
    <row r="16" spans="1:54">
      <c r="L16">
        <v>15</v>
      </c>
      <c r="M16" t="str">
        <v>Canned Soups</v>
      </c>
      <c r="Q16" t="str">
        <v>Jamie</v>
      </c>
      <c r="T16" t="s">
        <v>809</v>
      </c>
      <c r="U16" t="s">
        <v>810</v>
      </c>
      <c r="Y16" t="s">
        <v>470</v>
      </c>
      <c r="AI16" s="78">
        <v>44713</v>
      </c>
      <c r="AJ16" s="78">
        <v>44348</v>
      </c>
      <c r="AK16" s="78">
        <v>43983</v>
      </c>
      <c r="AX16" t="str">
        <v>Canned Soups</v>
      </c>
    </row>
    <row r="17" spans="12:50">
      <c r="L17">
        <v>16</v>
      </c>
      <c r="M17" t="str">
        <v>Canned Vegetables</v>
      </c>
      <c r="Q17" t="str">
        <v>Luis</v>
      </c>
      <c r="T17">
        <v>2</v>
      </c>
      <c r="U17" t="s">
        <v>453</v>
      </c>
      <c r="Y17" t="s">
        <v>417</v>
      </c>
      <c r="AJ17" s="78"/>
      <c r="AX17" t="str">
        <v>Canned Vegetables</v>
      </c>
    </row>
    <row r="18" spans="12:50">
      <c r="L18">
        <v>17</v>
      </c>
      <c r="M18" t="str">
        <v>Cat Litter</v>
      </c>
      <c r="Q18" t="str">
        <v>Tracy Chen</v>
      </c>
      <c r="T18">
        <v>4</v>
      </c>
      <c r="U18" t="s">
        <v>450</v>
      </c>
      <c r="AI18" s="78">
        <v>44743</v>
      </c>
      <c r="AJ18" s="78">
        <v>44378</v>
      </c>
      <c r="AK18" s="78">
        <v>44013</v>
      </c>
      <c r="AX18" t="str">
        <v>Cat Litter</v>
      </c>
    </row>
    <row r="19" spans="12:50">
      <c r="L19">
        <v>18</v>
      </c>
      <c r="M19" t="str">
        <v>Cheese / Shelf Stable / Deli</v>
      </c>
      <c r="Q19" t="str">
        <v>Greg Jenkins</v>
      </c>
      <c r="T19">
        <v>8</v>
      </c>
      <c r="U19" t="s">
        <v>455</v>
      </c>
      <c r="AJ19" s="78"/>
      <c r="AX19" t="str">
        <v>Cheese / Shelf Stable / Deli</v>
      </c>
    </row>
    <row r="20" spans="12:50">
      <c r="L20">
        <v>19</v>
      </c>
      <c r="M20" t="str">
        <v>Coconut Water</v>
      </c>
      <c r="Q20" t="str">
        <v>Matt Foster</v>
      </c>
      <c r="T20">
        <v>13</v>
      </c>
      <c r="U20" t="s">
        <v>447</v>
      </c>
      <c r="AI20" s="78">
        <v>44774</v>
      </c>
      <c r="AJ20" s="78">
        <v>44409</v>
      </c>
      <c r="AK20" s="78">
        <v>44044</v>
      </c>
      <c r="AX20" t="str">
        <v>Coconut Water</v>
      </c>
    </row>
    <row r="21" spans="12:50">
      <c r="L21">
        <v>20</v>
      </c>
      <c r="M21" t="str">
        <v>Coffee</v>
      </c>
      <c r="Q21" t="str">
        <v>Zack Kham</v>
      </c>
      <c r="T21">
        <v>46</v>
      </c>
      <c r="U21" t="s">
        <v>467</v>
      </c>
      <c r="AJ21" s="78"/>
      <c r="AX21" t="str">
        <v>Coffee</v>
      </c>
    </row>
    <row r="22" spans="12:50">
      <c r="L22">
        <v>21</v>
      </c>
      <c r="M22" t="str">
        <v>Commercial Bread &amp; Buns</v>
      </c>
      <c r="Q22" t="str">
        <v>Roy</v>
      </c>
      <c r="T22">
        <v>79</v>
      </c>
      <c r="U22" t="s">
        <v>464</v>
      </c>
      <c r="AI22" s="78">
        <v>44805</v>
      </c>
      <c r="AJ22" s="78">
        <v>44440</v>
      </c>
      <c r="AK22" s="78">
        <v>44075</v>
      </c>
      <c r="AX22" t="str">
        <v>Commercial Bread &amp; Buns</v>
      </c>
    </row>
    <row r="23" spans="12:50">
      <c r="L23">
        <v>22</v>
      </c>
      <c r="M23" t="str">
        <v>Commodity &amp; Specialty Eggs (WM)</v>
      </c>
      <c r="T23">
        <v>1</v>
      </c>
      <c r="U23" t="s">
        <v>811</v>
      </c>
      <c r="AJ23" s="78"/>
      <c r="AX23" t="str">
        <v>Commodity &amp; Specialty Eggs (WM)</v>
      </c>
    </row>
    <row r="24" spans="12:50">
      <c r="L24">
        <v>23</v>
      </c>
      <c r="M24" t="str">
        <v>Cookies</v>
      </c>
      <c r="T24">
        <v>80</v>
      </c>
      <c r="U24" t="s">
        <v>812</v>
      </c>
      <c r="AI24" s="78">
        <v>44835</v>
      </c>
      <c r="AJ24" s="78">
        <v>44470</v>
      </c>
      <c r="AK24" s="78">
        <v>44105</v>
      </c>
      <c r="AX24" t="str">
        <v>Cookies</v>
      </c>
    </row>
    <row r="25" spans="12:50">
      <c r="L25">
        <v>24</v>
      </c>
      <c r="M25" t="str">
        <v>Cookies &amp; Crackers</v>
      </c>
      <c r="T25">
        <v>81</v>
      </c>
      <c r="U25" t="s">
        <v>511</v>
      </c>
      <c r="AJ25" s="78"/>
      <c r="AX25" t="str">
        <v>Cookies &amp; Crackers</v>
      </c>
    </row>
    <row r="26" spans="12:50">
      <c r="L26">
        <v>25</v>
      </c>
      <c r="M26" t="str">
        <v>Cooking Spray</v>
      </c>
      <c r="T26">
        <v>82</v>
      </c>
      <c r="U26" t="s">
        <v>482</v>
      </c>
      <c r="AI26" s="78">
        <v>44866</v>
      </c>
      <c r="AJ26" s="78">
        <v>44501</v>
      </c>
      <c r="AK26" s="78">
        <v>44136</v>
      </c>
      <c r="AX26" t="str">
        <v>Cooking Spray</v>
      </c>
    </row>
    <row r="27" spans="12:50">
      <c r="M27" t="str">
        <v>Copy Paper</v>
      </c>
      <c r="T27">
        <v>83</v>
      </c>
      <c r="U27" t="s">
        <v>547</v>
      </c>
      <c r="W27" s="106" t="s">
        <v>459</v>
      </c>
      <c r="Y27" s="18" t="s">
        <v>458</v>
      </c>
      <c r="Z27" t="s">
        <v>412</v>
      </c>
      <c r="AJ27" s="78"/>
      <c r="AX27" t="str">
        <v>Copy Paper</v>
      </c>
    </row>
    <row r="28" spans="12:50">
      <c r="M28" t="str">
        <v>Corn Chips</v>
      </c>
      <c r="T28">
        <v>90</v>
      </c>
      <c r="U28" t="s">
        <v>493</v>
      </c>
      <c r="W28" s="106" t="s">
        <v>489</v>
      </c>
      <c r="Y28" s="18" t="s">
        <v>484</v>
      </c>
      <c r="Z28" t="s">
        <v>413</v>
      </c>
      <c r="AI28" s="78">
        <v>44896</v>
      </c>
      <c r="AJ28" s="78">
        <v>44531</v>
      </c>
      <c r="AK28" s="78">
        <v>44166</v>
      </c>
      <c r="AX28" t="str">
        <v>Corn Chips</v>
      </c>
    </row>
    <row r="29" spans="12:50">
      <c r="M29" t="str">
        <v>Cotton Products</v>
      </c>
      <c r="T29">
        <v>91</v>
      </c>
      <c r="U29" t="s">
        <v>503</v>
      </c>
      <c r="W29" s="106" t="s">
        <v>762</v>
      </c>
      <c r="Y29" s="18" t="s">
        <v>635</v>
      </c>
      <c r="Z29" t="s">
        <v>104</v>
      </c>
      <c r="AJ29" s="78"/>
      <c r="AX29" t="str">
        <v>Cotton Products</v>
      </c>
    </row>
    <row r="30" spans="12:50">
      <c r="M30" t="str">
        <v>Crackers / Saltines</v>
      </c>
      <c r="T30">
        <v>92</v>
      </c>
      <c r="U30" t="s">
        <v>499</v>
      </c>
      <c r="W30" s="106" t="s">
        <v>444</v>
      </c>
      <c r="Y30" s="18" t="s">
        <v>642</v>
      </c>
      <c r="Z30" t="s">
        <v>414</v>
      </c>
      <c r="AI30" s="78">
        <v>44927</v>
      </c>
      <c r="AJ30" s="78">
        <v>44562</v>
      </c>
      <c r="AK30" s="78">
        <v>44197</v>
      </c>
      <c r="AX30" t="str">
        <v>Crackers / Saltines</v>
      </c>
    </row>
    <row r="31" spans="12:50">
      <c r="M31" t="str">
        <v>Dairy Creamers and Half n Half</v>
      </c>
      <c r="T31">
        <v>93</v>
      </c>
      <c r="U31" t="s">
        <v>593</v>
      </c>
      <c r="Y31" s="18" t="s">
        <v>636</v>
      </c>
      <c r="Z31" t="s">
        <v>415</v>
      </c>
      <c r="AJ31" s="78"/>
      <c r="AX31" t="str">
        <v>Dairy Creamers and Half n Half</v>
      </c>
    </row>
    <row r="32" spans="12:50">
      <c r="M32" t="str">
        <v>Detergent</v>
      </c>
      <c r="T32">
        <v>94</v>
      </c>
      <c r="U32" t="s">
        <v>813</v>
      </c>
      <c r="Y32" s="18" t="s">
        <v>443</v>
      </c>
      <c r="Z32" t="s">
        <v>416</v>
      </c>
      <c r="AI32" s="78">
        <v>44958</v>
      </c>
      <c r="AJ32" s="78">
        <v>44593</v>
      </c>
      <c r="AK32" s="78">
        <v>44228</v>
      </c>
      <c r="AX32" t="str">
        <v>Detergent</v>
      </c>
    </row>
    <row r="33" spans="13:50">
      <c r="M33" t="str">
        <v>Diapers</v>
      </c>
      <c r="T33">
        <v>95</v>
      </c>
      <c r="U33" t="s">
        <v>597</v>
      </c>
      <c r="Y33" t="s">
        <v>449</v>
      </c>
      <c r="Z33" t="s">
        <v>417</v>
      </c>
      <c r="AJ33" s="78"/>
      <c r="AX33" t="str">
        <v>Diapers</v>
      </c>
    </row>
    <row r="34" spans="13:50">
      <c r="M34" t="str">
        <v>Diapers II</v>
      </c>
      <c r="T34">
        <v>96</v>
      </c>
      <c r="U34" t="s">
        <v>814</v>
      </c>
      <c r="Y34" s="61"/>
      <c r="Z34" t="s">
        <v>815</v>
      </c>
      <c r="AI34" s="78">
        <v>44986</v>
      </c>
      <c r="AJ34" s="78">
        <v>44621</v>
      </c>
      <c r="AK34" s="78">
        <v>44256</v>
      </c>
      <c r="AX34" t="str">
        <v>Diapers II</v>
      </c>
    </row>
    <row r="35" spans="13:50">
      <c r="M35" t="str">
        <v>Dish &amp; Laundry (liquids)</v>
      </c>
      <c r="T35">
        <v>97</v>
      </c>
      <c r="U35" t="s">
        <v>816</v>
      </c>
      <c r="Y35" s="61"/>
      <c r="Z35" t="s">
        <v>815</v>
      </c>
      <c r="AJ35" s="78"/>
      <c r="AX35" t="str">
        <v>Dish &amp; Laundry (liquids)</v>
      </c>
    </row>
    <row r="36" spans="13:50">
      <c r="M36" t="str">
        <v>Dish &amp; Laundry (liquids/powder/pods)</v>
      </c>
      <c r="T36">
        <v>98</v>
      </c>
      <c r="U36" t="s">
        <v>591</v>
      </c>
      <c r="W36" t="s">
        <v>633</v>
      </c>
      <c r="Y36" t="s">
        <v>655</v>
      </c>
      <c r="Z36" t="s">
        <v>103</v>
      </c>
      <c r="AI36" s="78">
        <v>45017</v>
      </c>
      <c r="AJ36" s="78">
        <v>44652</v>
      </c>
      <c r="AK36" s="78">
        <v>44287</v>
      </c>
      <c r="AX36" t="str">
        <v>Dish &amp; Laundry (liquids/powder/pods)</v>
      </c>
    </row>
    <row r="37" spans="13:50">
      <c r="M37" t="str">
        <v>Dish &amp; Laundry (pods)</v>
      </c>
      <c r="T37">
        <v>3</v>
      </c>
      <c r="U37" t="s">
        <v>487</v>
      </c>
      <c r="W37" t="s">
        <v>417</v>
      </c>
      <c r="Y37" t="s">
        <v>656</v>
      </c>
      <c r="Z37" t="s">
        <v>105</v>
      </c>
      <c r="AX37" t="str">
        <v>Dish &amp; Laundry (pods)</v>
      </c>
    </row>
    <row r="38" spans="13:50">
      <c r="M38" t="str">
        <v>Dish/Laundry Soap</v>
      </c>
      <c r="T38">
        <v>9</v>
      </c>
      <c r="U38" t="s">
        <v>817</v>
      </c>
      <c r="W38" t="s">
        <v>666</v>
      </c>
      <c r="Y38" t="s">
        <v>635</v>
      </c>
      <c r="Z38" t="s">
        <v>104</v>
      </c>
      <c r="AI38" s="78">
        <v>45047</v>
      </c>
      <c r="AJ38" s="78">
        <v>44682</v>
      </c>
      <c r="AK38" s="78">
        <v>44317</v>
      </c>
      <c r="AX38" t="str">
        <v>Dish/Laundry Soap</v>
      </c>
    </row>
    <row r="39" spans="13:50">
      <c r="M39" t="str">
        <v>Dog treats and rawhides</v>
      </c>
      <c r="T39">
        <v>10</v>
      </c>
      <c r="U39" t="s">
        <v>818</v>
      </c>
      <c r="W39" t="s">
        <v>819</v>
      </c>
      <c r="Y39" t="s">
        <v>681</v>
      </c>
      <c r="Z39" t="s">
        <v>102</v>
      </c>
      <c r="AX39" t="str">
        <v>Dog treats and rawhides</v>
      </c>
    </row>
    <row r="40" spans="13:50">
      <c r="M40" t="str">
        <v>Dry Beans</v>
      </c>
      <c r="T40">
        <v>11</v>
      </c>
      <c r="U40" t="s">
        <v>820</v>
      </c>
      <c r="W40" t="s">
        <v>444</v>
      </c>
      <c r="Y40" t="s">
        <v>704</v>
      </c>
      <c r="Z40" t="s">
        <v>101</v>
      </c>
      <c r="AI40" s="78">
        <v>45078</v>
      </c>
      <c r="AJ40" s="78">
        <v>44713</v>
      </c>
      <c r="AK40" s="78">
        <v>44348</v>
      </c>
      <c r="AX40" t="str">
        <v>Dry Beans</v>
      </c>
    </row>
    <row r="41" spans="13:50">
      <c r="M41" t="str">
        <v>Dry Pasta</v>
      </c>
      <c r="T41">
        <v>12</v>
      </c>
      <c r="U41" t="s">
        <v>821</v>
      </c>
      <c r="Y41" t="s">
        <v>643</v>
      </c>
      <c r="Z41" t="s">
        <v>822</v>
      </c>
      <c r="AX41" t="str">
        <v>Dry Pasta</v>
      </c>
    </row>
    <row r="42" spans="13:50">
      <c r="M42" t="str">
        <v>Dry pet food</v>
      </c>
      <c r="T42">
        <v>16</v>
      </c>
      <c r="U42" t="s">
        <v>823</v>
      </c>
      <c r="Y42" t="s">
        <v>625</v>
      </c>
      <c r="Z42" t="s">
        <v>99</v>
      </c>
      <c r="AI42" s="78">
        <v>45108</v>
      </c>
      <c r="AJ42" s="78">
        <v>44743</v>
      </c>
      <c r="AK42" s="78">
        <v>44378</v>
      </c>
      <c r="AX42" t="str">
        <v>Dry pet food</v>
      </c>
    </row>
    <row r="43" spans="13:50">
      <c r="M43" t="str">
        <v>DSD Milk</v>
      </c>
      <c r="T43">
        <v>56</v>
      </c>
      <c r="U43" t="s">
        <v>824</v>
      </c>
      <c r="Y43" s="61" t="s">
        <v>825</v>
      </c>
      <c r="Z43" t="s">
        <v>94</v>
      </c>
      <c r="AX43" t="str">
        <v>DSD Milk</v>
      </c>
    </row>
    <row r="44" spans="13:50">
      <c r="M44" t="str">
        <v>DTT - Paper</v>
      </c>
      <c r="T44">
        <v>0</v>
      </c>
      <c r="U44" t="s">
        <v>826</v>
      </c>
      <c r="Z44" t="s">
        <v>100</v>
      </c>
      <c r="AI44" s="78">
        <v>45139</v>
      </c>
      <c r="AJ44" s="78">
        <v>44774</v>
      </c>
      <c r="AK44" s="78">
        <v>44409</v>
      </c>
      <c r="AX44" t="str">
        <v>DTT - Paper</v>
      </c>
    </row>
    <row r="45" spans="13:50">
      <c r="M45" t="str">
        <v>DTT - Plastic</v>
      </c>
      <c r="T45">
        <v>40</v>
      </c>
      <c r="U45" t="s">
        <v>827</v>
      </c>
      <c r="Y45" s="18" t="s">
        <v>135</v>
      </c>
      <c r="Z45" t="s">
        <v>135</v>
      </c>
      <c r="AX45" t="str">
        <v>DTT - Plastic</v>
      </c>
    </row>
    <row r="46" spans="13:50">
      <c r="M46" t="str">
        <v>Edible Oil</v>
      </c>
      <c r="Y46" s="18" t="s">
        <v>412</v>
      </c>
      <c r="Z46" s="18" t="s">
        <v>412</v>
      </c>
      <c r="AI46" s="78">
        <v>45170</v>
      </c>
      <c r="AJ46" s="78">
        <v>44805</v>
      </c>
      <c r="AK46" s="78">
        <v>44440</v>
      </c>
      <c r="AX46" t="str">
        <v>Edible Oil</v>
      </c>
    </row>
    <row r="47" spans="13:50">
      <c r="M47" t="str">
        <v>Eggs</v>
      </c>
      <c r="Y47" s="18" t="s">
        <v>413</v>
      </c>
      <c r="Z47" s="18" t="s">
        <v>413</v>
      </c>
      <c r="AX47" t="str">
        <v>Eggs</v>
      </c>
    </row>
    <row r="48" spans="13:50">
      <c r="M48" t="str">
        <v>Food &amp; Trash bags (GEP)</v>
      </c>
      <c r="Y48" s="18" t="s">
        <v>481</v>
      </c>
      <c r="Z48" t="s">
        <v>104</v>
      </c>
      <c r="AI48" s="78">
        <v>45200</v>
      </c>
      <c r="AJ48" s="78">
        <v>44835</v>
      </c>
      <c r="AK48" s="78">
        <v>44470</v>
      </c>
      <c r="AX48" t="str">
        <v>Food &amp; Trash bags (GEP)</v>
      </c>
    </row>
    <row r="49" spans="13:50">
      <c r="M49" t="str">
        <v>Fresh/Frozen Seafood</v>
      </c>
      <c r="Y49" s="18" t="s">
        <v>473</v>
      </c>
      <c r="Z49" t="s">
        <v>828</v>
      </c>
      <c r="AX49" t="str">
        <v>Fresh/Frozen Seafood</v>
      </c>
    </row>
    <row r="50" spans="13:50">
      <c r="M50" t="str">
        <v>Frozen Atlantic Salmon</v>
      </c>
      <c r="Y50" s="18" t="s">
        <v>476</v>
      </c>
      <c r="Z50" t="s">
        <v>829</v>
      </c>
      <c r="AI50" s="78">
        <v>45231</v>
      </c>
      <c r="AJ50" s="78">
        <v>44866</v>
      </c>
      <c r="AK50" s="78">
        <v>44501</v>
      </c>
      <c r="AX50" t="str">
        <v>Frozen Atlantic Salmon</v>
      </c>
    </row>
    <row r="51" spans="13:50">
      <c r="M51" t="str">
        <v>Frozen Bay Scallops</v>
      </c>
      <c r="Y51" t="s">
        <v>784</v>
      </c>
      <c r="Z51" t="s">
        <v>104</v>
      </c>
      <c r="AX51" t="str">
        <v>Frozen Bay Scallops</v>
      </c>
    </row>
    <row r="52" spans="13:50">
      <c r="M52" t="str">
        <v>Frozen Cod</v>
      </c>
      <c r="Y52" s="61" t="s">
        <v>790</v>
      </c>
      <c r="Z52" t="s">
        <v>828</v>
      </c>
      <c r="AI52" s="78">
        <v>45261</v>
      </c>
      <c r="AJ52" s="78">
        <v>44896</v>
      </c>
      <c r="AK52" s="78">
        <v>44531</v>
      </c>
      <c r="AX52" t="str">
        <v>Frozen Cod</v>
      </c>
    </row>
    <row r="53" spans="13:50">
      <c r="M53" t="str">
        <v>Frozen Dough (pucks)</v>
      </c>
      <c r="Y53" t="s">
        <v>795</v>
      </c>
      <c r="Z53" t="s">
        <v>829</v>
      </c>
      <c r="AX53" t="str">
        <v>Frozen Dough (pucks)</v>
      </c>
    </row>
    <row r="54" spans="13:50">
      <c r="M54" t="str">
        <v>Frozen Flounder</v>
      </c>
      <c r="Y54" t="s">
        <v>675</v>
      </c>
      <c r="Z54" t="s">
        <v>104</v>
      </c>
      <c r="AI54" s="78">
        <v>45292</v>
      </c>
      <c r="AJ54" s="78">
        <v>44927</v>
      </c>
      <c r="AK54" s="78">
        <v>44562</v>
      </c>
      <c r="AX54" t="str">
        <v>Frozen Flounder</v>
      </c>
    </row>
    <row r="55" spans="13:50">
      <c r="M55" t="str">
        <v>Frozen Fruit</v>
      </c>
      <c r="Y55" t="s">
        <v>622</v>
      </c>
      <c r="Z55" t="s">
        <v>828</v>
      </c>
      <c r="AX55" t="str">
        <v>Frozen Fruit</v>
      </c>
    </row>
    <row r="56" spans="13:50">
      <c r="M56" t="str">
        <v>Frozen Fruit 2021</v>
      </c>
      <c r="Y56" t="s">
        <v>463</v>
      </c>
      <c r="Z56" t="s">
        <v>830</v>
      </c>
      <c r="AX56" t="str">
        <v>Frozen Fruit 2021</v>
      </c>
    </row>
    <row r="57" spans="13:50">
      <c r="M57" t="str">
        <v>Frozen Grouper &amp; Snapper</v>
      </c>
      <c r="Y57" t="s">
        <v>415</v>
      </c>
      <c r="Z57" t="s">
        <v>415</v>
      </c>
      <c r="AX57" t="str">
        <v>Frozen Grouper &amp; Snapper</v>
      </c>
    </row>
    <row r="58" spans="13:50">
      <c r="M58" t="str">
        <v>Frozen Gulf Shrimp</v>
      </c>
      <c r="Y58" t="s">
        <v>466</v>
      </c>
      <c r="Z58" t="s">
        <v>466</v>
      </c>
      <c r="AX58" t="str">
        <v>Frozen Gulf Shrimp</v>
      </c>
    </row>
    <row r="59" spans="13:50">
      <c r="M59" t="str">
        <v>Frozen Haddock</v>
      </c>
      <c r="Y59" t="s">
        <v>470</v>
      </c>
      <c r="Z59" t="s">
        <v>470</v>
      </c>
      <c r="AX59" t="str">
        <v>Frozen Haddock</v>
      </c>
    </row>
    <row r="60" spans="13:50">
      <c r="M60" t="str">
        <v>Frozen Mahi Mahi</v>
      </c>
      <c r="Y60" t="s">
        <v>417</v>
      </c>
      <c r="Z60" t="s">
        <v>417</v>
      </c>
      <c r="AX60" t="str">
        <v>Frozen Mahi Mahi</v>
      </c>
    </row>
    <row r="61" spans="13:50">
      <c r="M61" t="str">
        <v>Frozen Pancakes/Waffles</v>
      </c>
      <c r="AX61" t="str">
        <v>Frozen Pancakes/Waffles</v>
      </c>
    </row>
    <row r="62" spans="13:50">
      <c r="M62" t="str">
        <v>Frozen Potatoes / Deli</v>
      </c>
      <c r="AX62" t="str">
        <v>Frozen Potatoes / Deli</v>
      </c>
    </row>
    <row r="63" spans="13:50">
      <c r="M63" t="str">
        <v>Frozen Shrimp Bag Q2, 2022</v>
      </c>
      <c r="AX63" t="str">
        <v>Frozen Shrimp Bag Q2, 2022</v>
      </c>
    </row>
    <row r="64" spans="13:50">
      <c r="M64" t="str">
        <v>Frozen Shrimp Ring</v>
      </c>
      <c r="AX64" t="str">
        <v>Frozen Shrimp Ring</v>
      </c>
    </row>
    <row r="65" spans="13:50">
      <c r="M65" t="str">
        <v>Frozen Swai</v>
      </c>
      <c r="AX65" t="str">
        <v>Frozen Swai</v>
      </c>
    </row>
    <row r="66" spans="13:50">
      <c r="M66" t="str">
        <v>Frozen Swordfish</v>
      </c>
      <c r="AX66" t="str">
        <v>Frozen Swordfish</v>
      </c>
    </row>
    <row r="67" spans="13:50">
      <c r="M67" t="str">
        <v>Frozen Vegetables</v>
      </c>
      <c r="AX67" t="str">
        <v>Frozen Vegetables</v>
      </c>
    </row>
    <row r="68" spans="13:50">
      <c r="M68" t="str">
        <v>Frozen Wild Salmon</v>
      </c>
      <c r="AX68" t="str">
        <v>Frozen Wild Salmon</v>
      </c>
    </row>
    <row r="69" spans="13:50">
      <c r="M69" t="str">
        <v>Fruit Snacks</v>
      </c>
      <c r="AX69" t="str">
        <v>Fruit Snacks</v>
      </c>
    </row>
    <row r="70" spans="13:50">
      <c r="M70" t="str">
        <v>Graham Crackers</v>
      </c>
      <c r="AX70" t="str">
        <v>Graham Crackers</v>
      </c>
    </row>
    <row r="71" spans="13:50">
      <c r="M71" t="str">
        <v>Green Olives</v>
      </c>
      <c r="AX71" t="str">
        <v>Green Olives</v>
      </c>
    </row>
    <row r="72" spans="13:50">
      <c r="M72" t="str">
        <v>Instant Noodles</v>
      </c>
      <c r="AX72" t="str">
        <v>Instant Noodles</v>
      </c>
    </row>
    <row r="73" spans="13:50">
      <c r="M73" t="str">
        <v>L/G White Rice</v>
      </c>
      <c r="AX73" t="str">
        <v>L/G White Rice</v>
      </c>
    </row>
    <row r="74" spans="13:50">
      <c r="M74" t="str">
        <v>Liquid Handsoap &amp; Bodywash</v>
      </c>
      <c r="AX74" t="str">
        <v>Liquid Handsoap &amp; Bodywash</v>
      </c>
    </row>
    <row r="75" spans="13:50">
      <c r="M75" t="str">
        <v>Mouthwash</v>
      </c>
      <c r="AX75" t="str">
        <v>Mouthwash</v>
      </c>
    </row>
    <row r="76" spans="13:50">
      <c r="M76" t="str">
        <v>Multi-Pack Juice</v>
      </c>
      <c r="AX76" t="str">
        <v>Multi-Pack Juice</v>
      </c>
    </row>
    <row r="77" spans="13:50">
      <c r="M77" t="str">
        <v>Olive Oil</v>
      </c>
      <c r="AX77" t="str">
        <v>Olive Oil</v>
      </c>
    </row>
    <row r="78" spans="13:50">
      <c r="M78" t="str">
        <v>Paper products</v>
      </c>
      <c r="AX78" t="str">
        <v>Paper products</v>
      </c>
    </row>
    <row r="79" spans="13:50">
      <c r="M79" t="str">
        <v>Paper Products II</v>
      </c>
      <c r="AX79" t="str">
        <v>Paper Products II</v>
      </c>
    </row>
    <row r="80" spans="13:50">
      <c r="M80" t="str">
        <v>Pickles</v>
      </c>
      <c r="AX80" t="str">
        <v>Pickles</v>
      </c>
    </row>
    <row r="81" spans="13:50">
      <c r="M81" t="str">
        <v>Pies (4” 8” &amp; 10” &amp; holiday)</v>
      </c>
      <c r="AX81" t="str">
        <v>Pies (4” 8” &amp; 10” &amp; holiday)</v>
      </c>
    </row>
    <row r="82" spans="13:50">
      <c r="M82" t="str">
        <v>Pre-decorated Cakes</v>
      </c>
      <c r="AX82" t="str">
        <v>Pre-decorated Cakes</v>
      </c>
    </row>
    <row r="83" spans="13:50">
      <c r="M83" t="str">
        <v>Puppy Pads</v>
      </c>
      <c r="AX83" t="str">
        <v>Puppy Pads</v>
      </c>
    </row>
    <row r="84" spans="13:50">
      <c r="M84" t="str">
        <v>RMA - Buttercream</v>
      </c>
      <c r="AX84" t="str">
        <v>RMA - Buttercream</v>
      </c>
    </row>
    <row r="85" spans="13:50">
      <c r="M85" t="str">
        <v>RMA - Cashews</v>
      </c>
      <c r="AX85" t="str">
        <v>RMA - Cashews</v>
      </c>
    </row>
    <row r="86" spans="13:50">
      <c r="M86" t="str">
        <v>RMA - Cocoa - BKF</v>
      </c>
      <c r="AX86" t="str">
        <v>RMA - Cocoa - BKF</v>
      </c>
    </row>
    <row r="87" spans="13:50">
      <c r="M87" t="str">
        <v>RMA - Cocoa - GV Choc Milk</v>
      </c>
      <c r="AX87" t="str">
        <v>RMA - Cocoa - GV Choc Milk</v>
      </c>
    </row>
    <row r="88" spans="13:50">
      <c r="M88" t="str">
        <v>RMA - Cocoa - PB</v>
      </c>
      <c r="AX88" t="str">
        <v>RMA - Cocoa - PB</v>
      </c>
    </row>
    <row r="89" spans="13:50">
      <c r="M89" t="str">
        <v>RMA - Cocoa - Placed Based</v>
      </c>
      <c r="AX89" t="str">
        <v>RMA - Cocoa - Placed Based</v>
      </c>
    </row>
    <row r="90" spans="13:50">
      <c r="M90" t="str">
        <v>RMA - Cut Fruit &amp; Vav</v>
      </c>
      <c r="AX90" t="str">
        <v>RMA - Cut Fruit &amp; Vav</v>
      </c>
    </row>
    <row r="91" spans="13:50">
      <c r="M91" t="str">
        <v>RMA - Garlic</v>
      </c>
      <c r="AX91" t="str">
        <v>RMA - Garlic</v>
      </c>
    </row>
    <row r="92" spans="13:50">
      <c r="M92" t="str">
        <v>RMA - SBO/Egg</v>
      </c>
      <c r="AX92" t="str">
        <v>RMA - SBO/Egg</v>
      </c>
    </row>
    <row r="93" spans="13:50">
      <c r="M93" t="str">
        <v>Salmon</v>
      </c>
      <c r="AX93" t="str">
        <v>Salmon</v>
      </c>
    </row>
    <row r="94" spans="13:50">
      <c r="M94" t="str">
        <v>Salty Snacks (Chips &amp; Pretzels)</v>
      </c>
      <c r="AX94" t="str">
        <v>Salty Snacks (Chips &amp; Pretzels)</v>
      </c>
    </row>
    <row r="95" spans="13:50">
      <c r="M95" t="str">
        <v>Shave Gel/Foam</v>
      </c>
      <c r="AX95" t="str">
        <v>Shave Gel/Foam</v>
      </c>
    </row>
    <row r="96" spans="13:50">
      <c r="M96" t="str">
        <v xml:space="preserve">Shrimp </v>
      </c>
      <c r="AX96" t="str">
        <v xml:space="preserve">Shrimp </v>
      </c>
    </row>
    <row r="97" spans="13:50">
      <c r="M97" t="str">
        <v>Spices</v>
      </c>
      <c r="AX97" t="str">
        <v>Spices</v>
      </c>
    </row>
    <row r="98" spans="13:50">
      <c r="M98" t="str">
        <v>Sponges &amp; Cleaning</v>
      </c>
      <c r="AX98" t="str">
        <v>Sponges &amp; Cleaning</v>
      </c>
    </row>
    <row r="99" spans="13:50">
      <c r="M99" t="str">
        <v>Table Ready Salads</v>
      </c>
      <c r="AX99" t="str">
        <v>Table Ready Salads</v>
      </c>
    </row>
    <row r="100" spans="13:50">
      <c r="M100" t="str">
        <v>Tilapia</v>
      </c>
      <c r="AX100" t="str">
        <v>Tilapia</v>
      </c>
    </row>
    <row r="101" spans="13:50">
      <c r="M101" t="str">
        <v>Wet pet food</v>
      </c>
      <c r="AX101" t="str">
        <v>Wet pet food</v>
      </c>
    </row>
    <row r="102" spans="13:50">
      <c r="M102" t="str">
        <v>Wipes</v>
      </c>
      <c r="AX102" t="str">
        <v>Wipes</v>
      </c>
    </row>
    <row r="103" spans="13:50">
      <c r="M103" t="str">
        <v>Holiday Gift Tea</v>
      </c>
      <c r="AX103" t="str">
        <v>Holiday Gift Tea</v>
      </c>
    </row>
  </sheetData>
  <pageMargins left="0.7" right="0.7" top="0.75" bottom="0.75" header="0.3" footer="0.3"/>
  <drawing r:id="rId1"/>
  <tableParts count="1">
    <tablePart r:id="rId2"/>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16BAD-A80A-41F2-B1C4-87CCFEADFAF4}">
  <sheetPr codeName="Sheet16"/>
  <dimension ref="B2:AT297"/>
  <sheetViews>
    <sheetView showGridLines="0" workbookViewId="0">
      <selection activeCell="C4" sqref="C4"/>
    </sheetView>
  </sheetViews>
  <sheetFormatPr defaultRowHeight="14.45"/>
  <cols>
    <col min="1" max="1" width="11.28515625" customWidth="1"/>
    <col min="2" max="2" width="8.140625" customWidth="1"/>
    <col min="3" max="3" width="22.28515625" customWidth="1"/>
    <col min="4" max="4" width="26.28515625" customWidth="1"/>
    <col min="5" max="5" width="14.7109375" customWidth="1"/>
    <col min="6" max="11" width="11" customWidth="1"/>
    <col min="12" max="12" width="48.140625" customWidth="1"/>
    <col min="13" max="13" width="13.140625" customWidth="1"/>
  </cols>
  <sheetData>
    <row r="2" spans="2:46" ht="18.600000000000001">
      <c r="B2" s="210" t="s">
        <v>831</v>
      </c>
      <c r="C2" s="211"/>
      <c r="D2" s="211"/>
      <c r="E2" s="211"/>
      <c r="F2" s="211"/>
      <c r="G2" s="211"/>
      <c r="H2" s="211"/>
      <c r="I2" s="211"/>
      <c r="J2" s="211"/>
      <c r="K2" s="211"/>
      <c r="L2" s="211"/>
      <c r="M2" s="211"/>
    </row>
    <row r="3" spans="2:46">
      <c r="AP3" t="str" cm="1">
        <f t="array" ref="AP3:AP40">TRANSPOSE(Table2[#Headers])</f>
        <v>Identifier</v>
      </c>
      <c r="AQ3" cm="1">
        <f t="array" ref="AQ3:AQ40">_xlfn.SEQUENCE(ROWS(_xlfn.ANCHORARRAY(AP3)))</f>
        <v>1</v>
      </c>
    </row>
    <row r="4" spans="2:46" ht="15" thickBot="1">
      <c r="B4" s="155" t="s">
        <v>199</v>
      </c>
      <c r="C4" s="276">
        <f>ROWS(_xlfn.ANCHORARRAY(C10))</f>
        <v>30</v>
      </c>
      <c r="AP4" t="str">
        <v>Category</v>
      </c>
      <c r="AQ4">
        <v>2</v>
      </c>
      <c r="AR4">
        <v>1</v>
      </c>
      <c r="AS4">
        <v>1</v>
      </c>
      <c r="AT4" s="1" t="s">
        <v>331</v>
      </c>
    </row>
    <row r="5" spans="2:46" ht="15" thickBot="1">
      <c r="B5" s="155" t="s">
        <v>382</v>
      </c>
      <c r="C5" s="206">
        <f ca="1">NOW()</f>
        <v>44748.472848726851</v>
      </c>
      <c r="AP5" t="str">
        <v>SBU</v>
      </c>
      <c r="AQ5">
        <v>3</v>
      </c>
      <c r="AT5" s="1"/>
    </row>
    <row r="6" spans="2:46">
      <c r="C6" s="1"/>
      <c r="AP6" t="str">
        <v>Execution Year</v>
      </c>
      <c r="AQ6">
        <v>4</v>
      </c>
      <c r="AT6" s="1"/>
    </row>
    <row r="7" spans="2:46">
      <c r="C7" s="1"/>
      <c r="AP7" t="str">
        <v>Planned Start</v>
      </c>
      <c r="AQ7">
        <v>5</v>
      </c>
      <c r="AT7" s="1"/>
    </row>
    <row r="8" spans="2:46" ht="28.9" customHeight="1">
      <c r="B8" s="210"/>
      <c r="C8" s="211"/>
      <c r="D8" s="211"/>
      <c r="E8" s="211"/>
      <c r="F8" s="211"/>
      <c r="G8" s="211"/>
      <c r="H8" s="211"/>
      <c r="I8" s="211"/>
      <c r="J8" s="211"/>
      <c r="K8" s="211"/>
      <c r="L8" s="211"/>
      <c r="M8" s="211"/>
      <c r="AP8" t="str">
        <v>Planned Award</v>
      </c>
      <c r="AQ8">
        <v>6</v>
      </c>
      <c r="AS8">
        <v>2</v>
      </c>
      <c r="AT8" s="1" t="s">
        <v>420</v>
      </c>
    </row>
    <row r="9" spans="2:46" ht="29.1">
      <c r="B9" s="270" t="s">
        <v>0</v>
      </c>
      <c r="C9" s="270" t="s">
        <v>331</v>
      </c>
      <c r="D9" s="270" t="s">
        <v>329</v>
      </c>
      <c r="E9" s="270" t="s">
        <v>421</v>
      </c>
      <c r="F9" s="270" t="s">
        <v>252</v>
      </c>
      <c r="G9" s="270" t="s">
        <v>422</v>
      </c>
      <c r="H9" s="270" t="s">
        <v>423</v>
      </c>
      <c r="I9" s="270" t="s">
        <v>228</v>
      </c>
      <c r="J9" s="270" t="s">
        <v>229</v>
      </c>
      <c r="K9" s="270" t="s">
        <v>424</v>
      </c>
      <c r="L9" s="270" t="s">
        <v>425</v>
      </c>
      <c r="M9" s="270" t="s">
        <v>426</v>
      </c>
      <c r="AP9" t="str">
        <v>Current Phase End</v>
      </c>
      <c r="AQ9">
        <v>7</v>
      </c>
      <c r="AS9">
        <v>3</v>
      </c>
      <c r="AT9" s="1" t="s">
        <v>427</v>
      </c>
    </row>
    <row r="10" spans="2:46" ht="29.1">
      <c r="B10" s="271" cm="1">
        <f t="array" ref="B10:B39">_xlfn.SEQUENCE(ROWS(_xlfn.ANCHORARRAY(C10)))</f>
        <v>1</v>
      </c>
      <c r="C10" s="272" t="str" cm="1">
        <f t="array" ref="C10:K39">_xlfn._xlws.FILTER(INDEX(Table2[#Data],_xlfn.SEQUENCE(ROWS(Table2[])),{2,17,16,9,11,18,19,20,21}),(Table2[US]=1)*(Table2[SBU]&lt;&gt;"Hardlines")*(Table2[Status]&lt;&gt;"Closed")*(Table2[Status]&lt;&gt;"Cancelled"))</f>
        <v>Dry pet food</v>
      </c>
      <c r="D10" s="272" t="str">
        <v>PETS AND SUPPLIES</v>
      </c>
      <c r="E10" s="272" t="str">
        <v>Global Bid</v>
      </c>
      <c r="F10" s="272" t="str">
        <v>Pending PB/Merchant approval</v>
      </c>
      <c r="G10" s="272" t="str">
        <v>Jamie</v>
      </c>
      <c r="H10" s="272" t="str">
        <v/>
      </c>
      <c r="I10" s="272" t="str">
        <v>Yao</v>
      </c>
      <c r="J10" s="272" t="str">
        <v>Award</v>
      </c>
      <c r="K10" s="273">
        <v>44742</v>
      </c>
      <c r="L10" s="274" t="str" cm="1">
        <f t="array" ref="L10">IFERROR(IF(_xlfn._xlws.FILTER(Table1[Remarks],(Table1[Category]=C10)*(Table1[Execution Year]=$C$4)*(Table1[Most curent]=TRUE))=0,"",_xlfn._xlws.FILTER(Table1[Remarks],(Table1[Category]=C10)*(Table1[Execution Year]=$C$4)*(Table1[Most curent]=TRUE))),"")</f>
        <v/>
      </c>
      <c r="M10" s="275" t="str" cm="1">
        <f t="array" ref="M10">IFERROR(_xlfn._xlws.FILTER(Table1[Start Date - US],(Table1[Category]=C10)*(Table1[Execution Year]=$C$4)*(Table1[Most curent]=TRUE)),"")</f>
        <v/>
      </c>
      <c r="AP10" t="str">
        <v>Revised Award</v>
      </c>
      <c r="AQ10">
        <v>8</v>
      </c>
      <c r="AS10">
        <v>4</v>
      </c>
      <c r="AT10" s="1" t="s">
        <v>428</v>
      </c>
    </row>
    <row r="11" spans="2:46" ht="29.1">
      <c r="B11" s="271">
        <v>2</v>
      </c>
      <c r="C11" s="272" t="str">
        <v>Cotton Products</v>
      </c>
      <c r="D11" s="272" t="str">
        <v>BEAUTY</v>
      </c>
      <c r="E11" s="272" t="str">
        <v>Global Bid</v>
      </c>
      <c r="F11" s="272" t="str">
        <v>Post Award</v>
      </c>
      <c r="G11" s="272" t="str">
        <v>Chris</v>
      </c>
      <c r="H11" s="272" t="str">
        <v/>
      </c>
      <c r="I11" s="272" t="str">
        <v>Dawn</v>
      </c>
      <c r="J11" s="272" t="str">
        <v>Post Award</v>
      </c>
      <c r="K11" s="273">
        <v>0</v>
      </c>
      <c r="L11" s="274" t="str" cm="1">
        <f t="array" ref="L11">IFERROR(IF(_xlfn._xlws.FILTER(Table1[Remarks],(Table1[Category]=C11)*(Table1[Execution Year]=$C$4)*(Table1[Most curent]=TRUE))=0,"",_xlfn._xlws.FILTER(Table1[Remarks],(Table1[Category]=C11)*(Table1[Execution Year]=$C$4)*(Table1[Most curent]=TRUE))),"")</f>
        <v/>
      </c>
      <c r="M11" s="275" t="str" cm="1">
        <f t="array" ref="M11">IFERROR(_xlfn._xlws.FILTER(Table1[Start Date - US],(Table1[Category]=C11)*(Table1[Execution Year]=$C$4)*(Table1[Most curent]=TRUE)),"")</f>
        <v/>
      </c>
      <c r="AP11" t="str">
        <v>Milestone</v>
      </c>
      <c r="AQ11">
        <v>9</v>
      </c>
      <c r="AS11">
        <v>5</v>
      </c>
      <c r="AT11" s="1" t="s">
        <v>225</v>
      </c>
    </row>
    <row r="12" spans="2:46" ht="29.1">
      <c r="B12" s="271">
        <v>3</v>
      </c>
      <c r="C12" s="272" t="str">
        <v>Liquid Handsoap &amp; Bodywash</v>
      </c>
      <c r="D12" s="272" t="str">
        <v>PERSONAL CARE</v>
      </c>
      <c r="E12" s="272" t="str">
        <v>Global Bid</v>
      </c>
      <c r="F12" s="272" t="str">
        <v>Pending PB/Merchant approval</v>
      </c>
      <c r="G12" s="272" t="str">
        <v>Jason</v>
      </c>
      <c r="H12" s="272" t="str">
        <v/>
      </c>
      <c r="I12" s="272" t="str">
        <v>Yao</v>
      </c>
      <c r="J12" s="272" t="str">
        <v>Award</v>
      </c>
      <c r="K12" s="273">
        <v>0</v>
      </c>
      <c r="L12" s="274" t="str" cm="1">
        <f t="array" ref="L12">IFERROR(IF(_xlfn._xlws.FILTER(Table1[Remarks],(Table1[Category]=C12)*(Table1[Execution Year]=$C$4)*(Table1[Most curent]=TRUE))=0,"",_xlfn._xlws.FILTER(Table1[Remarks],(Table1[Category]=C12)*(Table1[Execution Year]=$C$4)*(Table1[Most curent]=TRUE))),"")</f>
        <v/>
      </c>
      <c r="M12" s="275" t="str" cm="1">
        <f t="array" ref="M12">IFERROR(_xlfn._xlws.FILTER(Table1[Start Date - US],(Table1[Category]=C12)*(Table1[Execution Year]=$C$4)*(Table1[Most curent]=TRUE)),"")</f>
        <v/>
      </c>
      <c r="AP12" t="str">
        <v>Status</v>
      </c>
      <c r="AQ12">
        <v>10</v>
      </c>
      <c r="AS12">
        <v>6</v>
      </c>
      <c r="AT12" s="1" t="s">
        <v>429</v>
      </c>
    </row>
    <row r="13" spans="2:46" ht="29.1">
      <c r="B13" s="271">
        <v>4</v>
      </c>
      <c r="C13" s="272" t="str">
        <v>Batteries</v>
      </c>
      <c r="D13" s="272" t="str">
        <v>IMPULSE MERCHANDISE</v>
      </c>
      <c r="E13" s="272" t="str">
        <v>Global Bid</v>
      </c>
      <c r="F13" s="272" t="str">
        <v>RFP1</v>
      </c>
      <c r="G13" s="272" t="str">
        <v>Kendra</v>
      </c>
      <c r="H13" s="272" t="str">
        <v/>
      </c>
      <c r="I13" s="272" t="str">
        <v>Yao</v>
      </c>
      <c r="J13" s="272" t="str">
        <v>Exploratory</v>
      </c>
      <c r="K13" s="273">
        <v>44696</v>
      </c>
      <c r="L13" s="274" t="str" cm="1">
        <f t="array" ref="L13">IFERROR(IF(_xlfn._xlws.FILTER(Table1[Remarks],(Table1[Category]=C13)*(Table1[Execution Year]=$C$4)*(Table1[Most curent]=TRUE))=0,"",_xlfn._xlws.FILTER(Table1[Remarks],(Table1[Category]=C13)*(Table1[Execution Year]=$C$4)*(Table1[Most curent]=TRUE))),"")</f>
        <v/>
      </c>
      <c r="M13" s="275" t="str" cm="1">
        <f t="array" ref="M13">IFERROR(_xlfn._xlws.FILTER(Table1[Start Date - US],(Table1[Category]=C13)*(Table1[Execution Year]=$C$4)*(Table1[Most curent]=TRUE)),"")</f>
        <v/>
      </c>
      <c r="AP13" t="str">
        <v>US Lead</v>
      </c>
      <c r="AQ13">
        <v>11</v>
      </c>
      <c r="AS13">
        <v>7</v>
      </c>
      <c r="AT13" s="1" t="s">
        <v>423</v>
      </c>
    </row>
    <row r="14" spans="2:46" ht="29.1">
      <c r="B14" s="271">
        <v>5</v>
      </c>
      <c r="C14" s="272" t="str">
        <v>Wet pet food</v>
      </c>
      <c r="D14" s="272">
        <v>0</v>
      </c>
      <c r="E14" s="272">
        <v>0</v>
      </c>
      <c r="F14" s="272" t="str">
        <v>Pending PB/Merchant approval</v>
      </c>
      <c r="G14" s="272" t="str">
        <v>Jason</v>
      </c>
      <c r="H14" s="272" t="str">
        <v/>
      </c>
      <c r="I14" s="272">
        <v>0</v>
      </c>
      <c r="J14" s="272">
        <v>0</v>
      </c>
      <c r="K14" s="273">
        <v>0</v>
      </c>
      <c r="L14" s="274" t="str" cm="1">
        <f t="array" ref="L14">IFERROR(IF(_xlfn._xlws.FILTER(Table1[Remarks],(Table1[Category]=C14)*(Table1[Execution Year]=$C$4)*(Table1[Most curent]=TRUE))=0,"",_xlfn._xlws.FILTER(Table1[Remarks],(Table1[Category]=C14)*(Table1[Execution Year]=$C$4)*(Table1[Most curent]=TRUE))),"")</f>
        <v/>
      </c>
      <c r="M14" s="275" t="str" cm="1">
        <f t="array" ref="M14">IFERROR(_xlfn._xlws.FILTER(Table1[Start Date - US],(Table1[Category]=C14)*(Table1[Execution Year]=$C$4)*(Table1[Most curent]=TRUE)),"")</f>
        <v/>
      </c>
      <c r="AP14" t="str">
        <v>Primary Market Merchant</v>
      </c>
      <c r="AQ14">
        <v>12</v>
      </c>
      <c r="AR14">
        <v>1</v>
      </c>
      <c r="AS14">
        <v>8</v>
      </c>
      <c r="AT14" s="1" t="s">
        <v>430</v>
      </c>
    </row>
    <row r="15" spans="2:46" ht="29.1">
      <c r="B15" s="271">
        <v>6</v>
      </c>
      <c r="C15" s="272" t="str">
        <v>Absorbent pads</v>
      </c>
      <c r="D15" s="272">
        <v>0</v>
      </c>
      <c r="E15" s="272">
        <v>0</v>
      </c>
      <c r="F15" s="272" t="str">
        <v>2_Bid Prep</v>
      </c>
      <c r="G15" s="272" t="str">
        <v>Yoshi</v>
      </c>
      <c r="H15" s="272" t="str">
        <v/>
      </c>
      <c r="I15" s="272">
        <v>0</v>
      </c>
      <c r="J15" s="272">
        <v>0</v>
      </c>
      <c r="K15" s="273">
        <v>0</v>
      </c>
      <c r="L15" s="274" t="str" cm="1">
        <f t="array" ref="L15">IFERROR(IF(_xlfn._xlws.FILTER(Table1[Remarks],(Table1[Category]=C15)*(Table1[Execution Year]=$C$4)*(Table1[Most curent]=TRUE))=0,"",_xlfn._xlws.FILTER(Table1[Remarks],(Table1[Category]=C15)*(Table1[Execution Year]=$C$4)*(Table1[Most curent]=TRUE))),"")</f>
        <v/>
      </c>
      <c r="M15" s="275" t="str" cm="1">
        <f t="array" ref="M15">IFERROR(_xlfn._xlws.FILTER(Table1[Start Date - US],(Table1[Category]=C15)*(Table1[Execution Year]=$C$4)*(Table1[Most curent]=TRUE)),"")</f>
        <v/>
      </c>
      <c r="AP15" t="str">
        <v>Spend Start Date</v>
      </c>
      <c r="AQ15">
        <v>13</v>
      </c>
      <c r="AS15">
        <v>9</v>
      </c>
      <c r="AT15" s="1" t="s">
        <v>228</v>
      </c>
    </row>
    <row r="16" spans="2:46" ht="29.1">
      <c r="B16" s="271">
        <v>7</v>
      </c>
      <c r="C16" s="272" t="str">
        <v>Dairy Creamers and Half n Half</v>
      </c>
      <c r="D16" s="272" t="str">
        <v>DAIRY</v>
      </c>
      <c r="E16" s="272" t="str">
        <v>Domestic Bid</v>
      </c>
      <c r="F16" s="272" t="str">
        <v>Award</v>
      </c>
      <c r="G16" s="272" t="str">
        <v>Aime Snowden</v>
      </c>
      <c r="H16" s="272" t="str">
        <v/>
      </c>
      <c r="I16" s="272" t="str">
        <v>David L. / Luis D.</v>
      </c>
      <c r="J16" s="272">
        <v>0</v>
      </c>
      <c r="K16" s="273">
        <v>0</v>
      </c>
      <c r="L16" s="274" t="str" cm="1">
        <f t="array" ref="L16">IFERROR(IF(_xlfn._xlws.FILTER(Table1[Remarks],(Table1[Category]=C16)*(Table1[Execution Year]=$C$4)*(Table1[Most curent]=TRUE))=0,"",_xlfn._xlws.FILTER(Table1[Remarks],(Table1[Category]=C16)*(Table1[Execution Year]=$C$4)*(Table1[Most curent]=TRUE))),"")</f>
        <v/>
      </c>
      <c r="M16" s="275" t="str" cm="1">
        <f t="array" ref="M16">IFERROR(_xlfn._xlws.FILTER(Table1[Start Date - US],(Table1[Category]=C16)*(Table1[Execution Year]=$C$4)*(Table1[Most curent]=TRUE)),"")</f>
        <v/>
      </c>
      <c r="AP16" t="str">
        <v>Updated By</v>
      </c>
      <c r="AQ16">
        <v>14</v>
      </c>
      <c r="AR16">
        <v>1</v>
      </c>
      <c r="AS16">
        <v>10</v>
      </c>
      <c r="AT16" s="1" t="s">
        <v>431</v>
      </c>
    </row>
    <row r="17" spans="2:46" ht="29.1">
      <c r="B17" s="271">
        <v>8</v>
      </c>
      <c r="C17" s="272" t="str">
        <v>Frozen Potatoes / Deli</v>
      </c>
      <c r="D17" s="272" t="str">
        <v>FROZEN</v>
      </c>
      <c r="E17" s="272" t="str">
        <v>Global Bid</v>
      </c>
      <c r="F17" s="272" t="str">
        <v>RFP1</v>
      </c>
      <c r="G17" s="272" t="str">
        <v>Jony Farfan</v>
      </c>
      <c r="H17" s="272" t="str">
        <v/>
      </c>
      <c r="I17" s="272" t="str">
        <v>Jake Deans</v>
      </c>
      <c r="J17" s="272" t="str">
        <v>RFP1</v>
      </c>
      <c r="K17" s="273">
        <v>44750</v>
      </c>
      <c r="L17" s="274" t="str" cm="1">
        <f t="array" ref="L17">IFERROR(IF(_xlfn._xlws.FILTER(Table1[Remarks],(Table1[Category]=C17)*(Table1[Execution Year]=$C$4)*(Table1[Most curent]=TRUE))=0,"",_xlfn._xlws.FILTER(Table1[Remarks],(Table1[Category]=C17)*(Table1[Execution Year]=$C$4)*(Table1[Most curent]=TRUE))),"")</f>
        <v/>
      </c>
      <c r="M17" s="275" t="str" cm="1">
        <f t="array" ref="M17">IFERROR(_xlfn._xlws.FILTER(Table1[Start Date - US],(Table1[Category]=C17)*(Table1[Execution Year]=$C$4)*(Table1[Most curent]=TRUE)),"")</f>
        <v/>
      </c>
      <c r="AP17" t="str">
        <v>Update time</v>
      </c>
      <c r="AQ17">
        <v>15</v>
      </c>
      <c r="AS17">
        <v>11</v>
      </c>
      <c r="AT17" s="1" t="s">
        <v>432</v>
      </c>
    </row>
    <row r="18" spans="2:46" ht="57.95">
      <c r="B18" s="271">
        <v>9</v>
      </c>
      <c r="C18" s="272" t="str">
        <v>Commercial Bread &amp; Buns</v>
      </c>
      <c r="D18" s="272" t="str">
        <v>COM BREAD</v>
      </c>
      <c r="E18" s="272" t="str">
        <v>Domestic Negotiation</v>
      </c>
      <c r="F18" s="272" t="str">
        <v>Pipeline</v>
      </c>
      <c r="G18" s="272" t="str">
        <v>Chris McSpadden</v>
      </c>
      <c r="H18" s="272" t="str">
        <v/>
      </c>
      <c r="I18" s="272" t="str">
        <v>Yao Fu</v>
      </c>
      <c r="J18" s="272" t="str">
        <v>Exploratory</v>
      </c>
      <c r="K18" s="273">
        <v>44772</v>
      </c>
      <c r="L18" s="274" t="str" cm="1">
        <f t="array" ref="L18">IFERROR(IF(_xlfn._xlws.FILTER(Table1[Remarks],(Table1[Category]=C18)*(Table1[Execution Year]=$C$4)*(Table1[Most curent]=TRUE))=0,"",_xlfn._xlws.FILTER(Table1[Remarks],(Table1[Category]=C18)*(Table1[Execution Year]=$C$4)*(Table1[Most curent]=TRUE))),"")</f>
        <v/>
      </c>
      <c r="M18" s="275" t="str" cm="1">
        <f t="array" ref="M18">IFERROR(_xlfn._xlws.FILTER(Table1[Start Date - US],(Table1[Category]=C18)*(Table1[Execution Year]=$C$4)*(Table1[Most curent]=TRUE)),"")</f>
        <v/>
      </c>
      <c r="AP18" t="str">
        <v>Project Type</v>
      </c>
      <c r="AQ18">
        <v>16</v>
      </c>
      <c r="AS18">
        <v>12</v>
      </c>
      <c r="AT18" s="1" t="s">
        <v>433</v>
      </c>
    </row>
    <row r="19" spans="2:46" ht="43.5">
      <c r="B19" s="271">
        <v>10</v>
      </c>
      <c r="C19" s="272" t="str">
        <v>Canned Fruit</v>
      </c>
      <c r="D19" s="272" t="str">
        <v>GROCERY</v>
      </c>
      <c r="E19" s="272" t="str">
        <v>DI/Domestic Bid</v>
      </c>
      <c r="F19" s="272" t="str">
        <v>Pipeline</v>
      </c>
      <c r="G19" s="272" t="str">
        <v>Chris McSpadden</v>
      </c>
      <c r="H19" s="272" t="str">
        <v/>
      </c>
      <c r="I19" s="272" t="str">
        <v>TBD</v>
      </c>
      <c r="J19" s="272" t="str">
        <v>Bid Prep</v>
      </c>
      <c r="K19" s="273">
        <v>44813</v>
      </c>
      <c r="L19" s="274" t="str" cm="1">
        <f t="array" ref="L19">IFERROR(IF(_xlfn._xlws.FILTER(Table1[Remarks],(Table1[Category]=C19)*(Table1[Execution Year]=$C$4)*(Table1[Most curent]=TRUE))=0,"",_xlfn._xlws.FILTER(Table1[Remarks],(Table1[Category]=C19)*(Table1[Execution Year]=$C$4)*(Table1[Most curent]=TRUE))),"")</f>
        <v/>
      </c>
      <c r="M19" s="275" t="str" cm="1">
        <f t="array" ref="M19">IFERROR(_xlfn._xlws.FILTER(Table1[Start Date - US],(Table1[Category]=C19)*(Table1[Execution Year]=$C$4)*(Table1[Most curent]=TRUE)),"")</f>
        <v/>
      </c>
      <c r="AP19" t="str">
        <v>Primary Dept Description</v>
      </c>
      <c r="AQ19">
        <v>17</v>
      </c>
      <c r="AS19">
        <v>13</v>
      </c>
      <c r="AT19" t="s">
        <v>434</v>
      </c>
    </row>
    <row r="20" spans="2:46" ht="43.5">
      <c r="B20" s="271">
        <v>11</v>
      </c>
      <c r="C20" s="272" t="str">
        <v>Canned Vegetables</v>
      </c>
      <c r="D20" s="272" t="str">
        <v>GROCERY</v>
      </c>
      <c r="E20" s="272" t="str">
        <v>Global Bid</v>
      </c>
      <c r="F20" s="272" t="str">
        <v>Award</v>
      </c>
      <c r="G20" s="272" t="str">
        <v>Chris McSpadden</v>
      </c>
      <c r="H20" s="272" t="str">
        <v/>
      </c>
      <c r="I20" s="272" t="str">
        <v>Yao Fu</v>
      </c>
      <c r="J20" s="272" t="str">
        <v>Post Award</v>
      </c>
      <c r="K20" s="273">
        <v>44750</v>
      </c>
      <c r="L20" s="274" t="str" cm="1">
        <f t="array" ref="L20">IFERROR(IF(_xlfn._xlws.FILTER(Table1[Remarks],(Table1[Category]=C20)*(Table1[Execution Year]=$C$4)*(Table1[Most curent]=TRUE))=0,"",_xlfn._xlws.FILTER(Table1[Remarks],(Table1[Category]=C20)*(Table1[Execution Year]=$C$4)*(Table1[Most curent]=TRUE))),"")</f>
        <v/>
      </c>
      <c r="M20" s="275" t="str" cm="1">
        <f t="array" ref="M20">IFERROR(_xlfn._xlws.FILTER(Table1[Start Date - US],(Table1[Category]=C20)*(Table1[Execution Year]=$C$4)*(Table1[Most curent]=TRUE)),"")</f>
        <v/>
      </c>
      <c r="AP20" t="str">
        <v>PB sourcing lead</v>
      </c>
      <c r="AQ20">
        <v>18</v>
      </c>
      <c r="AS20">
        <v>14</v>
      </c>
      <c r="AT20" t="s">
        <v>435</v>
      </c>
    </row>
    <row r="21" spans="2:46" ht="29.1">
      <c r="B21" s="271">
        <v>12</v>
      </c>
      <c r="C21" s="272" t="str">
        <v>Olive Oil</v>
      </c>
      <c r="D21" s="272" t="str">
        <v>GROCERY</v>
      </c>
      <c r="E21" s="272" t="str">
        <v>DI/Domestic Bid</v>
      </c>
      <c r="F21" s="272" t="str">
        <v>Pipeline</v>
      </c>
      <c r="G21" s="272" t="str">
        <v>Chris McSpadden</v>
      </c>
      <c r="H21" s="272" t="str">
        <v/>
      </c>
      <c r="I21" s="272" t="str">
        <v>TBD</v>
      </c>
      <c r="J21" s="272" t="str">
        <v>Bid Prep</v>
      </c>
      <c r="K21" s="273">
        <v>44835</v>
      </c>
      <c r="L21" s="274" t="str" cm="1">
        <f t="array" ref="L21">IFERROR(IF(_xlfn._xlws.FILTER(Table1[Remarks],(Table1[Category]=C21)*(Table1[Execution Year]=$C$4)*(Table1[Most curent]=TRUE))=0,"",_xlfn._xlws.FILTER(Table1[Remarks],(Table1[Category]=C21)*(Table1[Execution Year]=$C$4)*(Table1[Most curent]=TRUE))),"")</f>
        <v/>
      </c>
      <c r="M21" s="275" t="str" cm="1">
        <f t="array" ref="M21">IFERROR(_xlfn._xlws.FILTER(Table1[Start Date - US],(Table1[Category]=C21)*(Table1[Execution Year]=$C$4)*(Table1[Most curent]=TRUE)),"")</f>
        <v/>
      </c>
      <c r="AP21" t="str">
        <v>SCO Lead</v>
      </c>
      <c r="AQ21">
        <v>19</v>
      </c>
      <c r="AR21">
        <v>1</v>
      </c>
    </row>
    <row r="22" spans="2:46" ht="29.1">
      <c r="B22" s="271">
        <v>13</v>
      </c>
      <c r="C22" s="272" t="str">
        <v>Baking Nuts</v>
      </c>
      <c r="D22" s="272" t="str">
        <v>GROCERY</v>
      </c>
      <c r="E22" s="272" t="str">
        <v>Domestic Bid</v>
      </c>
      <c r="F22" s="272" t="str">
        <v>Pipeline</v>
      </c>
      <c r="G22" s="272" t="str">
        <v>Christine Dillard</v>
      </c>
      <c r="H22" s="272" t="str">
        <v/>
      </c>
      <c r="I22" s="272">
        <v>0</v>
      </c>
      <c r="J22" s="272" t="str">
        <v>RFP1</v>
      </c>
      <c r="K22" s="273">
        <v>0</v>
      </c>
      <c r="L22" s="274" t="str" cm="1">
        <f t="array" ref="L22">IFERROR(IF(_xlfn._xlws.FILTER(Table1[Remarks],(Table1[Category]=C22)*(Table1[Execution Year]=$C$4)*(Table1[Most curent]=TRUE))=0,"",_xlfn._xlws.FILTER(Table1[Remarks],(Table1[Category]=C22)*(Table1[Execution Year]=$C$4)*(Table1[Most curent]=TRUE))),"")</f>
        <v/>
      </c>
      <c r="M22" s="275" t="str" cm="1">
        <f t="array" ref="M22">IFERROR(_xlfn._xlws.FILTER(Table1[Start Date - US],(Table1[Category]=C22)*(Table1[Execution Year]=$C$4)*(Table1[Most curent]=TRUE)),"")</f>
        <v/>
      </c>
      <c r="AP22" t="str">
        <v>Next Phase</v>
      </c>
      <c r="AQ22">
        <v>20</v>
      </c>
      <c r="AR22">
        <v>1</v>
      </c>
    </row>
    <row r="23" spans="2:46" ht="43.5">
      <c r="B23" s="271">
        <v>14</v>
      </c>
      <c r="C23" s="272" t="str">
        <v>Eggs</v>
      </c>
      <c r="D23" s="272" t="str">
        <v>DAIRY</v>
      </c>
      <c r="E23" s="272" t="str">
        <v>Domestic Bid</v>
      </c>
      <c r="F23" s="272" t="str">
        <v>Award</v>
      </c>
      <c r="G23" s="272" t="str">
        <v>Ofelia Cypert</v>
      </c>
      <c r="H23" s="272" t="str">
        <v/>
      </c>
      <c r="I23" s="272" t="str">
        <v>David L</v>
      </c>
      <c r="J23" s="272" t="str">
        <v>Post Award</v>
      </c>
      <c r="K23" s="273">
        <v>44742</v>
      </c>
      <c r="L23" s="274" t="str" cm="1">
        <f t="array" ref="L23">IFERROR(IF(_xlfn._xlws.FILTER(Table1[Remarks],(Table1[Category]=C23)*(Table1[Execution Year]=$C$4)*(Table1[Most curent]=TRUE))=0,"",_xlfn._xlws.FILTER(Table1[Remarks],(Table1[Category]=C23)*(Table1[Execution Year]=$C$4)*(Table1[Most curent]=TRUE))),"")</f>
        <v/>
      </c>
      <c r="M23" s="275" t="str" cm="1">
        <f t="array" ref="M23">IFERROR(_xlfn._xlws.FILTER(Table1[Start Date - US],(Table1[Category]=C23)*(Table1[Execution Year]=$C$4)*(Table1[Most curent]=TRUE)),"")</f>
        <v/>
      </c>
      <c r="AP23" t="str">
        <v>Next Phase End Date</v>
      </c>
      <c r="AQ23">
        <v>21</v>
      </c>
      <c r="AR23">
        <v>1</v>
      </c>
    </row>
    <row r="24" spans="2:46" ht="43.5">
      <c r="B24" s="271">
        <v>15</v>
      </c>
      <c r="C24" s="272" t="str">
        <v>Frozen Wild Salmon</v>
      </c>
      <c r="D24" s="272" t="str">
        <v>SEAFOOD</v>
      </c>
      <c r="E24" s="272" t="str">
        <v>Domestic Bid</v>
      </c>
      <c r="F24" s="272" t="str">
        <v>Complete</v>
      </c>
      <c r="G24" s="272" t="str">
        <v>Tracy Chen</v>
      </c>
      <c r="H24" s="272" t="str">
        <v/>
      </c>
      <c r="I24" s="272" t="str">
        <v>n/a</v>
      </c>
      <c r="J24" s="272" t="str">
        <v>Complete</v>
      </c>
      <c r="K24" s="273">
        <v>0</v>
      </c>
      <c r="L24" s="274" t="str" cm="1">
        <f t="array" ref="L24">IFERROR(IF(_xlfn._xlws.FILTER(Table1[Remarks],(Table1[Category]=C24)*(Table1[Execution Year]=$C$4)*(Table1[Most curent]=TRUE))=0,"",_xlfn._xlws.FILTER(Table1[Remarks],(Table1[Category]=C24)*(Table1[Execution Year]=$C$4)*(Table1[Most curent]=TRUE))),"")</f>
        <v/>
      </c>
      <c r="M24" s="275" t="str" cm="1">
        <f t="array" ref="M24">IFERROR(_xlfn._xlws.FILTER(Table1[Start Date - US],(Table1[Category]=C24)*(Table1[Execution Year]=$C$4)*(Table1[Most curent]=TRUE)),"")</f>
        <v/>
      </c>
      <c r="AP24" t="str">
        <v>Primary Dept No</v>
      </c>
      <c r="AQ24">
        <v>22</v>
      </c>
      <c r="AR24">
        <v>1</v>
      </c>
    </row>
    <row r="25" spans="2:46" ht="43.5">
      <c r="B25" s="271">
        <v>16</v>
      </c>
      <c r="C25" s="272" t="str">
        <v>Frozen Shrimp Ring</v>
      </c>
      <c r="D25" s="272" t="str">
        <v>SEAFOOD</v>
      </c>
      <c r="E25" s="272" t="str">
        <v>Domestic Bid</v>
      </c>
      <c r="F25" s="272" t="str">
        <v>Award</v>
      </c>
      <c r="G25" s="272" t="str">
        <v>Tracy Chen</v>
      </c>
      <c r="H25" s="272" t="str">
        <v/>
      </c>
      <c r="I25" s="272" t="str">
        <v>n/a</v>
      </c>
      <c r="J25" s="272" t="str">
        <v>Post Award</v>
      </c>
      <c r="K25" s="273">
        <v>0</v>
      </c>
      <c r="L25" s="274" t="str" cm="1">
        <f t="array" ref="L25">IFERROR(IF(_xlfn._xlws.FILTER(Table1[Remarks],(Table1[Category]=C25)*(Table1[Execution Year]=$C$4)*(Table1[Most curent]=TRUE))=0,"",_xlfn._xlws.FILTER(Table1[Remarks],(Table1[Category]=C25)*(Table1[Execution Year]=$C$4)*(Table1[Most curent]=TRUE))),"")</f>
        <v/>
      </c>
      <c r="M25" s="275" t="str" cm="1">
        <f t="array" ref="M25">IFERROR(_xlfn._xlws.FILTER(Table1[Start Date - US],(Table1[Category]=C25)*(Table1[Execution Year]=$C$4)*(Table1[Most curent]=TRUE)),"")</f>
        <v/>
      </c>
      <c r="AP25" t="str">
        <v>Latest Award Date</v>
      </c>
      <c r="AQ25">
        <v>23</v>
      </c>
    </row>
    <row r="26" spans="2:46" ht="43.5">
      <c r="B26" s="271">
        <v>17</v>
      </c>
      <c r="C26" s="272" t="str">
        <v>Frozen Fruit 2021</v>
      </c>
      <c r="D26" s="272">
        <v>0</v>
      </c>
      <c r="E26" s="272">
        <v>0</v>
      </c>
      <c r="F26" s="272" t="str">
        <v>Complete</v>
      </c>
      <c r="G26" s="272" t="str">
        <v>Greg Jenkins</v>
      </c>
      <c r="H26" s="272" t="str">
        <v/>
      </c>
      <c r="I26" s="272">
        <v>0</v>
      </c>
      <c r="J26" s="272">
        <v>0</v>
      </c>
      <c r="K26" s="273">
        <v>0</v>
      </c>
      <c r="L26" s="274" t="str" cm="1">
        <f t="array" ref="L26">IFERROR(IF(_xlfn._xlws.FILTER(Table1[Remarks],(Table1[Category]=C26)*(Table1[Execution Year]=$C$4)*(Table1[Most curent]=TRUE))=0,"",_xlfn._xlws.FILTER(Table1[Remarks],(Table1[Category]=C26)*(Table1[Execution Year]=$C$4)*(Table1[Most curent]=TRUE))),"")</f>
        <v/>
      </c>
      <c r="M26" s="275" t="str" cm="1">
        <f t="array" ref="M26">IFERROR(_xlfn._xlws.FILTER(Table1[Start Date - US],(Table1[Category]=C26)*(Table1[Execution Year]=$C$4)*(Table1[Most curent]=TRUE)),"")</f>
        <v/>
      </c>
      <c r="AP26" t="str">
        <v>Display Phase</v>
      </c>
      <c r="AQ26">
        <v>24</v>
      </c>
    </row>
    <row r="27" spans="2:46" ht="29.1">
      <c r="B27" s="271">
        <v>18</v>
      </c>
      <c r="C27" s="272" t="str">
        <v>Graham Crackers</v>
      </c>
      <c r="D27" s="272" t="str">
        <v>GROCERY</v>
      </c>
      <c r="E27" s="272" t="str">
        <v>DI Bid</v>
      </c>
      <c r="F27" s="272" t="str">
        <v>Exploratory</v>
      </c>
      <c r="G27" s="272" t="str">
        <v>Sam Alicea</v>
      </c>
      <c r="H27" s="272" t="str">
        <v/>
      </c>
      <c r="I27" s="272" t="str">
        <v>Luis Diaz</v>
      </c>
      <c r="J27" s="272">
        <v>0</v>
      </c>
      <c r="K27" s="273">
        <v>0</v>
      </c>
      <c r="L27" s="274" t="str" cm="1">
        <f t="array" ref="L27">IFERROR(IF(_xlfn._xlws.FILTER(Table1[Remarks],(Table1[Category]=C27)*(Table1[Execution Year]=$C$4)*(Table1[Most curent]=TRUE))=0,"",_xlfn._xlws.FILTER(Table1[Remarks],(Table1[Category]=C27)*(Table1[Execution Year]=$C$4)*(Table1[Most curent]=TRUE))),"")</f>
        <v/>
      </c>
      <c r="M27" s="275" t="str" cm="1">
        <f t="array" ref="M27">IFERROR(_xlfn._xlws.FILTER(Table1[Start Date - US],(Table1[Category]=C27)*(Table1[Execution Year]=$C$4)*(Table1[Most curent]=TRUE)),"")</f>
        <v/>
      </c>
      <c r="AP27" t="str">
        <v>CAN</v>
      </c>
      <c r="AQ27">
        <v>25</v>
      </c>
    </row>
    <row r="28" spans="2:46" ht="43.5">
      <c r="B28" s="271">
        <v>19</v>
      </c>
      <c r="C28" s="272" t="str">
        <v>Corn Chips</v>
      </c>
      <c r="D28" s="272" t="str">
        <v>GROCERY</v>
      </c>
      <c r="E28" s="272" t="str">
        <v>DI Bid</v>
      </c>
      <c r="F28" s="272" t="str">
        <v>Exploratory</v>
      </c>
      <c r="G28" s="272" t="str">
        <v>Sam Alicea</v>
      </c>
      <c r="H28" s="272" t="str">
        <v/>
      </c>
      <c r="I28" s="272" t="str">
        <v>Luis Diaz</v>
      </c>
      <c r="J28" s="272">
        <v>0</v>
      </c>
      <c r="K28" s="273">
        <v>0</v>
      </c>
      <c r="L28" s="274" t="str" cm="1">
        <f t="array" ref="L28">IFERROR(IF(_xlfn._xlws.FILTER(Table1[Remarks],(Table1[Category]=C28)*(Table1[Execution Year]=$C$4)*(Table1[Most curent]=TRUE))=0,"",_xlfn._xlws.FILTER(Table1[Remarks],(Table1[Category]=C28)*(Table1[Execution Year]=$C$4)*(Table1[Most curent]=TRUE))),"")</f>
        <v/>
      </c>
      <c r="M28" s="275" t="str" cm="1">
        <f t="array" ref="M28">IFERROR(_xlfn._xlws.FILTER(Table1[Start Date - US],(Table1[Category]=C28)*(Table1[Execution Year]=$C$4)*(Table1[Most curent]=TRUE)),"")</f>
        <v/>
      </c>
      <c r="AP28" t="str">
        <v>MEX</v>
      </c>
      <c r="AQ28">
        <v>26</v>
      </c>
    </row>
    <row r="29" spans="2:46" ht="29.1">
      <c r="B29" s="271">
        <v>20</v>
      </c>
      <c r="C29" s="272" t="str">
        <v>Green Olives</v>
      </c>
      <c r="D29" s="272">
        <v>0</v>
      </c>
      <c r="E29" s="272">
        <v>0</v>
      </c>
      <c r="F29" s="272" t="str">
        <v>Complete</v>
      </c>
      <c r="G29" s="272" t="str">
        <v>Greg Jenkins</v>
      </c>
      <c r="H29" s="272" t="str">
        <v/>
      </c>
      <c r="I29" s="272">
        <v>0</v>
      </c>
      <c r="J29" s="272">
        <v>0</v>
      </c>
      <c r="K29" s="273">
        <v>0</v>
      </c>
      <c r="L29" s="274" t="str" cm="1">
        <f t="array" ref="L29">IFERROR(IF(_xlfn._xlws.FILTER(Table1[Remarks],(Table1[Category]=C29)*(Table1[Execution Year]=$C$4)*(Table1[Most curent]=TRUE))=0,"",_xlfn._xlws.FILTER(Table1[Remarks],(Table1[Category]=C29)*(Table1[Execution Year]=$C$4)*(Table1[Most curent]=TRUE))),"")</f>
        <v/>
      </c>
      <c r="M29" s="275" t="str" cm="1">
        <f t="array" ref="M29">IFERROR(_xlfn._xlws.FILTER(Table1[Start Date - US],(Table1[Category]=C29)*(Table1[Execution Year]=$C$4)*(Table1[Most curent]=TRUE)),"")</f>
        <v/>
      </c>
      <c r="AP29" t="str">
        <v>CAM</v>
      </c>
      <c r="AQ29">
        <v>27</v>
      </c>
    </row>
    <row r="30" spans="2:46">
      <c r="B30" s="271">
        <v>21</v>
      </c>
      <c r="C30" s="272" t="str">
        <v>Pickles</v>
      </c>
      <c r="D30" s="272">
        <v>0</v>
      </c>
      <c r="E30" s="272">
        <v>0</v>
      </c>
      <c r="F30" s="272" t="str">
        <v>Complete</v>
      </c>
      <c r="G30" s="272" t="str">
        <v>Greg Jenkins</v>
      </c>
      <c r="H30" s="272" t="str">
        <v/>
      </c>
      <c r="I30" s="272">
        <v>0</v>
      </c>
      <c r="J30" s="272">
        <v>0</v>
      </c>
      <c r="K30" s="273">
        <v>0</v>
      </c>
      <c r="L30" s="274" t="str" cm="1">
        <f t="array" ref="L30">IFERROR(IF(_xlfn._xlws.FILTER(Table1[Remarks],(Table1[Category]=C30)*(Table1[Execution Year]=$C$4)*(Table1[Most curent]=TRUE))=0,"",_xlfn._xlws.FILTER(Table1[Remarks],(Table1[Category]=C30)*(Table1[Execution Year]=$C$4)*(Table1[Most curent]=TRUE))),"")</f>
        <v/>
      </c>
      <c r="M30" s="275" t="str" cm="1">
        <f t="array" ref="M30">IFERROR(_xlfn._xlws.FILTER(Table1[Start Date - US],(Table1[Category]=C30)*(Table1[Execution Year]=$C$4)*(Table1[Most curent]=TRUE)),"")</f>
        <v/>
      </c>
      <c r="AP30" t="str">
        <v>CHL</v>
      </c>
      <c r="AQ30">
        <v>28</v>
      </c>
    </row>
    <row r="31" spans="2:46" ht="29.1">
      <c r="B31" s="271">
        <v>22</v>
      </c>
      <c r="C31" s="272" t="str">
        <v>RMA - Cocoa - GV Choc Milk</v>
      </c>
      <c r="D31" s="272" t="str">
        <v>DAIRY</v>
      </c>
      <c r="E31" s="272" t="str">
        <v>ARES</v>
      </c>
      <c r="F31" s="272" t="str">
        <v>Bid Prep</v>
      </c>
      <c r="G31" s="272" t="str">
        <v>Zack Kham</v>
      </c>
      <c r="H31" s="272" t="str">
        <v/>
      </c>
      <c r="I31" s="272">
        <v>0</v>
      </c>
      <c r="J31" s="272" t="str">
        <v>RFP1</v>
      </c>
      <c r="K31" s="273">
        <v>0</v>
      </c>
      <c r="L31" s="274" t="str" cm="1">
        <f t="array" ref="L31">IFERROR(IF(_xlfn._xlws.FILTER(Table1[Remarks],(Table1[Category]=C31)*(Table1[Execution Year]=$C$4)*(Table1[Most curent]=TRUE))=0,"",_xlfn._xlws.FILTER(Table1[Remarks],(Table1[Category]=C31)*(Table1[Execution Year]=$C$4)*(Table1[Most curent]=TRUE))),"")</f>
        <v/>
      </c>
      <c r="M31" s="275" t="str" cm="1">
        <f t="array" ref="M31">IFERROR(_xlfn._xlws.FILTER(Table1[Start Date - US],(Table1[Category]=C31)*(Table1[Execution Year]=$C$4)*(Table1[Most curent]=TRUE)),"")</f>
        <v/>
      </c>
      <c r="AP31" t="str">
        <v>ARG</v>
      </c>
      <c r="AQ31">
        <v>29</v>
      </c>
    </row>
    <row r="32" spans="2:46">
      <c r="B32" s="271">
        <v>23</v>
      </c>
      <c r="C32" s="272" t="str">
        <v>RMA - Cocoa - PB</v>
      </c>
      <c r="D32" s="272">
        <v>0</v>
      </c>
      <c r="E32" s="272" t="str">
        <v>ARES</v>
      </c>
      <c r="F32" s="272" t="str">
        <v>Exploratory</v>
      </c>
      <c r="G32" s="272" t="str">
        <v>Zack Kham</v>
      </c>
      <c r="H32" s="272" t="str">
        <v/>
      </c>
      <c r="I32" s="272">
        <v>0</v>
      </c>
      <c r="J32" s="272" t="str">
        <v>Bid Prep</v>
      </c>
      <c r="K32" s="273">
        <v>0</v>
      </c>
      <c r="L32" s="274" t="str" cm="1">
        <f t="array" ref="L32">IFERROR(IF(_xlfn._xlws.FILTER(Table1[Remarks],(Table1[Category]=C32)*(Table1[Execution Year]=$C$4)*(Table1[Most curent]=TRUE))=0,"",_xlfn._xlws.FILTER(Table1[Remarks],(Table1[Category]=C32)*(Table1[Execution Year]=$C$4)*(Table1[Most curent]=TRUE))),"")</f>
        <v/>
      </c>
      <c r="M32" s="275" t="str" cm="1">
        <f t="array" ref="M32">IFERROR(_xlfn._xlws.FILTER(Table1[Start Date - US],(Table1[Category]=C32)*(Table1[Execution Year]=$C$4)*(Table1[Most curent]=TRUE)),"")</f>
        <v/>
      </c>
      <c r="AP32" t="str">
        <v>CHN</v>
      </c>
      <c r="AQ32">
        <v>30</v>
      </c>
    </row>
    <row r="33" spans="2:43">
      <c r="B33" s="271">
        <v>24</v>
      </c>
      <c r="C33" s="272" t="str">
        <v>RMA - Cocoa - Placed Based</v>
      </c>
      <c r="D33" s="272">
        <v>0</v>
      </c>
      <c r="E33" s="272" t="str">
        <v>ARES</v>
      </c>
      <c r="F33" s="272" t="str">
        <v>Exploratory</v>
      </c>
      <c r="G33" s="272" t="str">
        <v>Zack Kham</v>
      </c>
      <c r="H33" s="272" t="str">
        <v/>
      </c>
      <c r="I33" s="272">
        <v>0</v>
      </c>
      <c r="J33" s="272" t="str">
        <v>Bid Prep</v>
      </c>
      <c r="K33" s="273">
        <v>0</v>
      </c>
      <c r="L33" s="274" t="str" cm="1">
        <f t="array" ref="L33">IFERROR(IF(_xlfn._xlws.FILTER(Table1[Remarks],(Table1[Category]=C33)*(Table1[Execution Year]=$C$4)*(Table1[Most curent]=TRUE))=0,"",_xlfn._xlws.FILTER(Table1[Remarks],(Table1[Category]=C33)*(Table1[Execution Year]=$C$4)*(Table1[Most curent]=TRUE))),"")</f>
        <v/>
      </c>
      <c r="M33" s="275" t="str" cm="1">
        <f t="array" ref="M33">IFERROR(_xlfn._xlws.FILTER(Table1[Start Date - US],(Table1[Category]=C33)*(Table1[Execution Year]=$C$4)*(Table1[Most curent]=TRUE)),"")</f>
        <v/>
      </c>
      <c r="AP33" t="str">
        <v>JAP</v>
      </c>
      <c r="AQ33">
        <v>31</v>
      </c>
    </row>
    <row r="34" spans="2:43">
      <c r="B34" s="271">
        <v>25</v>
      </c>
      <c r="C34" s="272" t="str">
        <v>RMA - SBO/Egg</v>
      </c>
      <c r="D34" s="272" t="str">
        <v>GROCERY</v>
      </c>
      <c r="E34" s="272" t="str">
        <v>ARES</v>
      </c>
      <c r="F34" s="272" t="str">
        <v>Pending PB/Merchant approval</v>
      </c>
      <c r="G34" s="272" t="str">
        <v>Zack Kham</v>
      </c>
      <c r="H34" s="272" t="str">
        <v/>
      </c>
      <c r="I34" s="272">
        <v>0</v>
      </c>
      <c r="J34" s="272" t="str">
        <v>Award</v>
      </c>
      <c r="K34" s="273">
        <v>0</v>
      </c>
      <c r="L34" s="274" t="str" cm="1">
        <f t="array" ref="L34">IFERROR(IF(_xlfn._xlws.FILTER(Table1[Remarks],(Table1[Category]=C34)*(Table1[Execution Year]=$C$4)*(Table1[Most curent]=TRUE))=0,"",_xlfn._xlws.FILTER(Table1[Remarks],(Table1[Category]=C34)*(Table1[Execution Year]=$C$4)*(Table1[Most curent]=TRUE))),"")</f>
        <v/>
      </c>
      <c r="M34" s="275" t="str" cm="1">
        <f t="array" ref="M34">IFERROR(_xlfn._xlws.FILTER(Table1[Start Date - US],(Table1[Category]=C34)*(Table1[Execution Year]=$C$4)*(Table1[Most curent]=TRUE)),"")</f>
        <v/>
      </c>
      <c r="AP34" t="str">
        <v>UKN</v>
      </c>
      <c r="AQ34">
        <v>32</v>
      </c>
    </row>
    <row r="35" spans="2:43">
      <c r="B35" s="271">
        <v>26</v>
      </c>
      <c r="C35" s="272" t="str">
        <v>RMA - Buttercream</v>
      </c>
      <c r="D35" s="272" t="str">
        <v>BAKERY</v>
      </c>
      <c r="E35" s="272" t="str">
        <v>ARES</v>
      </c>
      <c r="F35" s="272" t="str">
        <v>Exploratory</v>
      </c>
      <c r="G35" s="272" t="str">
        <v>Zack Kham</v>
      </c>
      <c r="H35" s="272" t="str">
        <v/>
      </c>
      <c r="I35" s="272">
        <v>0</v>
      </c>
      <c r="J35" s="272" t="str">
        <v>Bid Prep</v>
      </c>
      <c r="K35" s="273">
        <v>0</v>
      </c>
      <c r="L35" s="274" t="str" cm="1">
        <f t="array" ref="L35">IFERROR(IF(_xlfn._xlws.FILTER(Table1[Remarks],(Table1[Category]=C35)*(Table1[Execution Year]=$C$4)*(Table1[Most curent]=TRUE))=0,"",_xlfn._xlws.FILTER(Table1[Remarks],(Table1[Category]=C35)*(Table1[Execution Year]=$C$4)*(Table1[Most curent]=TRUE))),"")</f>
        <v/>
      </c>
      <c r="M35" s="275" t="str" cm="1">
        <f t="array" ref="M35">IFERROR(_xlfn._xlws.FILTER(Table1[Start Date - US],(Table1[Category]=C35)*(Table1[Execution Year]=$C$4)*(Table1[Most curent]=TRUE)),"")</f>
        <v/>
      </c>
      <c r="AP35" t="str">
        <v>SAF</v>
      </c>
      <c r="AQ35">
        <v>33</v>
      </c>
    </row>
    <row r="36" spans="2:43">
      <c r="B36" s="271">
        <v>27</v>
      </c>
      <c r="C36" s="272" t="str">
        <v>RMA - Cut Fruit &amp; Vav</v>
      </c>
      <c r="D36" s="272" t="str">
        <v>MEAT</v>
      </c>
      <c r="E36" s="272" t="str">
        <v>ARES</v>
      </c>
      <c r="F36" s="272" t="str">
        <v>Exploratory</v>
      </c>
      <c r="G36" s="272" t="str">
        <v>Zack Kham</v>
      </c>
      <c r="H36" s="272" t="str">
        <v/>
      </c>
      <c r="I36" s="272">
        <v>0</v>
      </c>
      <c r="J36" s="272" t="str">
        <v>Bid Prep</v>
      </c>
      <c r="K36" s="273">
        <v>0</v>
      </c>
      <c r="L36" s="274" t="str" cm="1">
        <f t="array" ref="L36">IFERROR(IF(_xlfn._xlws.FILTER(Table1[Remarks],(Table1[Category]=C36)*(Table1[Execution Year]=$C$4)*(Table1[Most curent]=TRUE))=0,"",_xlfn._xlws.FILTER(Table1[Remarks],(Table1[Category]=C36)*(Table1[Execution Year]=$C$4)*(Table1[Most curent]=TRUE))),"")</f>
        <v/>
      </c>
      <c r="M36" s="275" t="str" cm="1">
        <f t="array" ref="M36">IFERROR(_xlfn._xlws.FILTER(Table1[Start Date - US],(Table1[Category]=C36)*(Table1[Execution Year]=$C$4)*(Table1[Most curent]=TRUE)),"")</f>
        <v/>
      </c>
      <c r="AP36" t="str">
        <v>US</v>
      </c>
      <c r="AQ36">
        <v>34</v>
      </c>
    </row>
    <row r="37" spans="2:43">
      <c r="B37" s="271">
        <v>28</v>
      </c>
      <c r="C37" s="272" t="str">
        <v>RMA - Garlic</v>
      </c>
      <c r="D37" s="272">
        <v>0</v>
      </c>
      <c r="E37" s="272" t="str">
        <v>ARES</v>
      </c>
      <c r="F37" s="272" t="str">
        <v>Exploratory</v>
      </c>
      <c r="G37" s="272" t="str">
        <v>Zack Kham</v>
      </c>
      <c r="H37" s="272" t="str">
        <v/>
      </c>
      <c r="I37" s="272">
        <v>0</v>
      </c>
      <c r="J37" s="272" t="str">
        <v>Bid Prep</v>
      </c>
      <c r="K37" s="273">
        <v>0</v>
      </c>
      <c r="L37" s="274" t="str" cm="1">
        <f t="array" ref="L37">IFERROR(IF(_xlfn._xlws.FILTER(Table1[Remarks],(Table1[Category]=C37)*(Table1[Execution Year]=$C$4)*(Table1[Most curent]=TRUE))=0,"",_xlfn._xlws.FILTER(Table1[Remarks],(Table1[Category]=C37)*(Table1[Execution Year]=$C$4)*(Table1[Most curent]=TRUE))),"")</f>
        <v/>
      </c>
      <c r="M37" s="275" t="str" cm="1">
        <f t="array" ref="M37">IFERROR(_xlfn._xlws.FILTER(Table1[Start Date - US],(Table1[Category]=C37)*(Table1[Execution Year]=$C$4)*(Table1[Most curent]=TRUE)),"")</f>
        <v/>
      </c>
      <c r="AP37" t="str">
        <v>Sams</v>
      </c>
      <c r="AQ37">
        <v>35</v>
      </c>
    </row>
    <row r="38" spans="2:43">
      <c r="B38" s="271">
        <v>29</v>
      </c>
      <c r="C38" s="272" t="str">
        <v>RMA - Cashews</v>
      </c>
      <c r="D38" s="272">
        <v>0</v>
      </c>
      <c r="E38" s="272" t="str">
        <v>ARES</v>
      </c>
      <c r="F38" s="272" t="str">
        <v>Exploratory</v>
      </c>
      <c r="G38" s="272" t="str">
        <v>Zack Kham</v>
      </c>
      <c r="H38" s="272" t="str">
        <v/>
      </c>
      <c r="I38" s="272">
        <v>0</v>
      </c>
      <c r="J38" s="272" t="str">
        <v>Bid Prep</v>
      </c>
      <c r="K38" s="273">
        <v>0</v>
      </c>
      <c r="L38" s="274" t="str" cm="1">
        <f t="array" ref="L38">IFERROR(IF(_xlfn._xlws.FILTER(Table1[Remarks],(Table1[Category]=C38)*(Table1[Execution Year]=$C$4)*(Table1[Most curent]=TRUE))=0,"",_xlfn._xlws.FILTER(Table1[Remarks],(Table1[Category]=C38)*(Table1[Execution Year]=$C$4)*(Table1[Most curent]=TRUE))),"")</f>
        <v/>
      </c>
      <c r="M38" s="275" t="str" cm="1">
        <f t="array" ref="M38">IFERROR(_xlfn._xlws.FILTER(Table1[Start Date - US],(Table1[Category]=C38)*(Table1[Execution Year]=$C$4)*(Table1[Most curent]=TRUE)),"")</f>
        <v/>
      </c>
      <c r="AP38" t="str">
        <v>Sams Mexico</v>
      </c>
      <c r="AQ38">
        <v>36</v>
      </c>
    </row>
    <row r="39" spans="2:43">
      <c r="B39" s="271">
        <v>30</v>
      </c>
      <c r="C39" s="272" t="str">
        <v>Cookies &amp; Crackers</v>
      </c>
      <c r="D39" s="272" t="str">
        <v>SNACKS AND BEVERAGES</v>
      </c>
      <c r="E39" s="272" t="str">
        <v>Global Bid</v>
      </c>
      <c r="F39" s="272" t="str">
        <v>Bid Prep</v>
      </c>
      <c r="G39" s="272" t="str">
        <v>Christine Dillard</v>
      </c>
      <c r="H39" s="272" t="str">
        <v/>
      </c>
      <c r="I39" s="272" t="str">
        <v>Jake Deans</v>
      </c>
      <c r="J39" s="272" t="str">
        <v>RFP1</v>
      </c>
      <c r="K39" s="274">
        <v>0</v>
      </c>
      <c r="L39" s="274" t="str" cm="1">
        <f t="array" ref="L39">IFERROR(IF(_xlfn._xlws.FILTER(Table1[Remarks],(Table1[Category]=C39)*(Table1[Execution Year]=$C$4)*(Table1[Most curent]=TRUE))=0,"",_xlfn._xlws.FILTER(Table1[Remarks],(Table1[Category]=C39)*(Table1[Execution Year]=$C$4)*(Table1[Most curent]=TRUE))),"")</f>
        <v/>
      </c>
      <c r="M39" s="275" t="str" cm="1">
        <f t="array" ref="M39">IFERROR(_xlfn._xlws.FILTER(Table1[Start Date - US],(Table1[Category]=C39)*(Table1[Execution Year]=$C$4)*(Table1[Most curent]=TRUE)),"")</f>
        <v/>
      </c>
      <c r="AP39" t="str">
        <v>Sams China</v>
      </c>
      <c r="AQ39">
        <v>37</v>
      </c>
    </row>
    <row r="40" spans="2:43">
      <c r="B40" s="271"/>
      <c r="C40" s="272"/>
      <c r="D40" s="272"/>
      <c r="E40" s="272"/>
      <c r="F40" s="272"/>
      <c r="G40" s="272"/>
      <c r="H40" s="272"/>
      <c r="I40" s="272"/>
      <c r="J40" s="272"/>
      <c r="K40" s="274"/>
      <c r="L40" s="274" t="str" cm="1">
        <f t="array" ref="L40">IFERROR(IF(_xlfn._xlws.FILTER(Table1[Remarks],(Table1[Category]=C40)*(Table1[Execution Year]=$C$4)*(Table1[Most curent]=TRUE))=0,"",_xlfn._xlws.FILTER(Table1[Remarks],(Table1[Category]=C40)*(Table1[Execution Year]=$C$4)*(Table1[Most curent]=TRUE))),"")</f>
        <v/>
      </c>
      <c r="M40" s="275" t="str" cm="1">
        <f t="array" ref="M40">IFERROR(_xlfn._xlws.FILTER(Table1[Start Date - US],(Table1[Category]=C40)*(Table1[Execution Year]=$C$4)*(Table1[Most curent]=TRUE)),"")</f>
        <v/>
      </c>
      <c r="AP40" t="str">
        <v>IND</v>
      </c>
      <c r="AQ40">
        <v>38</v>
      </c>
    </row>
    <row r="41" spans="2:43">
      <c r="B41" s="271"/>
      <c r="C41" s="272"/>
      <c r="D41" s="272"/>
      <c r="E41" s="272"/>
      <c r="F41" s="272"/>
      <c r="G41" s="272"/>
      <c r="H41" s="272"/>
      <c r="I41" s="272"/>
      <c r="J41" s="272"/>
      <c r="K41" s="274"/>
      <c r="L41" s="274" t="str" cm="1">
        <f t="array" ref="L41">IFERROR(IF(_xlfn._xlws.FILTER(Table1[Remarks],(Table1[Category]=C41)*(Table1[Execution Year]=$C$4)*(Table1[Most curent]=TRUE))=0,"",_xlfn._xlws.FILTER(Table1[Remarks],(Table1[Category]=C41)*(Table1[Execution Year]=$C$4)*(Table1[Most curent]=TRUE))),"")</f>
        <v/>
      </c>
      <c r="M41" s="275" t="str" cm="1">
        <f t="array" ref="M41">IFERROR(_xlfn._xlws.FILTER(Table1[Start Date - US],(Table1[Category]=C41)*(Table1[Execution Year]=$C$4)*(Table1[Most curent]=TRUE)),"")</f>
        <v/>
      </c>
    </row>
    <row r="42" spans="2:43">
      <c r="B42" s="271"/>
      <c r="C42" s="272"/>
      <c r="D42" s="272"/>
      <c r="E42" s="272"/>
      <c r="F42" s="272"/>
      <c r="G42" s="272"/>
      <c r="H42" s="272"/>
      <c r="I42" s="272"/>
      <c r="J42" s="272"/>
      <c r="K42" s="274"/>
      <c r="L42" s="274" t="str" cm="1">
        <f t="array" ref="L42">IFERROR(IF(_xlfn._xlws.FILTER(Table1[Remarks],(Table1[Category]=C42)*(Table1[Execution Year]=$C$4)*(Table1[Most curent]=TRUE))=0,"",_xlfn._xlws.FILTER(Table1[Remarks],(Table1[Category]=C42)*(Table1[Execution Year]=$C$4)*(Table1[Most curent]=TRUE))),"")</f>
        <v/>
      </c>
      <c r="M42" s="275" t="str" cm="1">
        <f t="array" ref="M42">IFERROR(_xlfn._xlws.FILTER(Table1[Start Date - US],(Table1[Category]=C42)*(Table1[Execution Year]=$C$4)*(Table1[Most curent]=TRUE)),"")</f>
        <v/>
      </c>
    </row>
    <row r="43" spans="2:43">
      <c r="B43" s="271"/>
      <c r="C43" s="272"/>
      <c r="D43" s="272"/>
      <c r="E43" s="272"/>
      <c r="F43" s="272"/>
      <c r="G43" s="272"/>
      <c r="H43" s="272"/>
      <c r="I43" s="272"/>
      <c r="J43" s="272"/>
      <c r="K43" s="272"/>
      <c r="L43" s="274" t="str" cm="1">
        <f t="array" ref="L43">IFERROR(IF(_xlfn._xlws.FILTER(Table1[Remarks],(Table1[Category]=C43)*(Table1[Execution Year]=$C$4)*(Table1[Most curent]=TRUE))=0,"",_xlfn._xlws.FILTER(Table1[Remarks],(Table1[Category]=C43)*(Table1[Execution Year]=$C$4)*(Table1[Most curent]=TRUE))),"")</f>
        <v/>
      </c>
      <c r="M43" s="275" t="str" cm="1">
        <f t="array" ref="M43">IFERROR(_xlfn._xlws.FILTER(Table1[Start Date - US],(Table1[Category]=C43)*(Table1[Execution Year]=$C$4)*(Table1[Most curent]=TRUE)),"")</f>
        <v/>
      </c>
    </row>
    <row r="44" spans="2:43">
      <c r="B44" s="271"/>
      <c r="C44" s="272"/>
      <c r="D44" s="272"/>
      <c r="E44" s="272"/>
      <c r="F44" s="272"/>
      <c r="G44" s="272"/>
      <c r="H44" s="272"/>
      <c r="I44" s="272"/>
      <c r="J44" s="272"/>
      <c r="K44" s="272"/>
      <c r="L44" s="274" t="str" cm="1">
        <f t="array" ref="L44">IFERROR(IF(_xlfn._xlws.FILTER(Table1[Remarks],(Table1[Category]=C44)*(Table1[Execution Year]=$C$4)*(Table1[Most curent]=TRUE))=0,"",_xlfn._xlws.FILTER(Table1[Remarks],(Table1[Category]=C44)*(Table1[Execution Year]=$C$4)*(Table1[Most curent]=TRUE))),"")</f>
        <v/>
      </c>
      <c r="M44" s="275" t="str" cm="1">
        <f t="array" ref="M44">IFERROR(_xlfn._xlws.FILTER(Table1[Start Date - US],(Table1[Category]=C44)*(Table1[Execution Year]=$C$4)*(Table1[Most curent]=TRUE)),"")</f>
        <v/>
      </c>
    </row>
    <row r="45" spans="2:43">
      <c r="B45" s="271"/>
      <c r="C45" s="272"/>
      <c r="D45" s="272"/>
      <c r="E45" s="272"/>
      <c r="F45" s="272"/>
      <c r="G45" s="272"/>
      <c r="H45" s="272"/>
      <c r="I45" s="272"/>
      <c r="J45" s="272"/>
      <c r="K45" s="272"/>
      <c r="L45" s="274" t="str" cm="1">
        <f t="array" ref="L45">IFERROR(IF(_xlfn._xlws.FILTER(Table1[Remarks],(Table1[Category]=C45)*(Table1[Execution Year]=$C$4)*(Table1[Most curent]=TRUE))=0,"",_xlfn._xlws.FILTER(Table1[Remarks],(Table1[Category]=C45)*(Table1[Execution Year]=$C$4)*(Table1[Most curent]=TRUE))),"")</f>
        <v/>
      </c>
      <c r="M45" s="275" t="str" cm="1">
        <f t="array" ref="M45">IFERROR(_xlfn._xlws.FILTER(Table1[Start Date - US],(Table1[Category]=C45)*(Table1[Execution Year]=$C$4)*(Table1[Most curent]=TRUE)),"")</f>
        <v/>
      </c>
    </row>
    <row r="46" spans="2:43">
      <c r="B46" s="271"/>
      <c r="C46" s="272"/>
      <c r="D46" s="272"/>
      <c r="E46" s="272"/>
      <c r="F46" s="272"/>
      <c r="G46" s="272"/>
      <c r="H46" s="272"/>
      <c r="I46" s="272"/>
      <c r="J46" s="272"/>
      <c r="K46" s="272"/>
      <c r="L46" s="274" t="str" cm="1">
        <f t="array" ref="L46">IFERROR(IF(_xlfn._xlws.FILTER(Table1[Remarks],(Table1[Category]=C46)*(Table1[Execution Year]=$C$4)*(Table1[Most curent]=TRUE))=0,"",_xlfn._xlws.FILTER(Table1[Remarks],(Table1[Category]=C46)*(Table1[Execution Year]=$C$4)*(Table1[Most curent]=TRUE))),"")</f>
        <v/>
      </c>
      <c r="M46" s="275" t="str" cm="1">
        <f t="array" ref="M46">IFERROR(_xlfn._xlws.FILTER(Table1[Start Date - US],(Table1[Category]=C46)*(Table1[Execution Year]=$C$4)*(Table1[Most curent]=TRUE)),"")</f>
        <v/>
      </c>
    </row>
    <row r="47" spans="2:43">
      <c r="B47" s="271"/>
      <c r="C47" s="272"/>
      <c r="D47" s="272"/>
      <c r="E47" s="272"/>
      <c r="F47" s="272"/>
      <c r="G47" s="272"/>
      <c r="H47" s="272"/>
      <c r="I47" s="272"/>
      <c r="J47" s="272"/>
      <c r="K47" s="272"/>
      <c r="L47" s="274" t="str" cm="1">
        <f t="array" ref="L47">IFERROR(IF(_xlfn._xlws.FILTER(Table1[Remarks],(Table1[Category]=C47)*(Table1[Execution Year]=$C$4)*(Table1[Most curent]=TRUE))=0,"",_xlfn._xlws.FILTER(Table1[Remarks],(Table1[Category]=C47)*(Table1[Execution Year]=$C$4)*(Table1[Most curent]=TRUE))),"")</f>
        <v/>
      </c>
      <c r="M47" s="275" t="str" cm="1">
        <f t="array" ref="M47">IFERROR(_xlfn._xlws.FILTER(Table1[Start Date - US],(Table1[Category]=C47)*(Table1[Execution Year]=$C$4)*(Table1[Most curent]=TRUE)),"")</f>
        <v/>
      </c>
    </row>
    <row r="48" spans="2:43">
      <c r="B48" s="271"/>
      <c r="C48" s="272"/>
      <c r="D48" s="272"/>
      <c r="E48" s="272"/>
      <c r="F48" s="272"/>
      <c r="G48" s="272"/>
      <c r="H48" s="272"/>
      <c r="I48" s="272"/>
      <c r="J48" s="272"/>
      <c r="K48" s="272"/>
      <c r="L48" s="274" t="str" cm="1">
        <f t="array" ref="L48">IFERROR(IF(_xlfn._xlws.FILTER(Table1[Remarks],(Table1[Category]=C48)*(Table1[Execution Year]=$C$4)*(Table1[Most curent]=TRUE))=0,"",_xlfn._xlws.FILTER(Table1[Remarks],(Table1[Category]=C48)*(Table1[Execution Year]=$C$4)*(Table1[Most curent]=TRUE))),"")</f>
        <v/>
      </c>
      <c r="M48" s="275" t="str" cm="1">
        <f t="array" ref="M48">IFERROR(_xlfn._xlws.FILTER(Table1[Start Date - US],(Table1[Category]=C48)*(Table1[Execution Year]=$C$4)*(Table1[Most curent]=TRUE)),"")</f>
        <v/>
      </c>
    </row>
    <row r="49" spans="2:13">
      <c r="B49" s="271"/>
      <c r="C49" s="272"/>
      <c r="D49" s="272"/>
      <c r="E49" s="272"/>
      <c r="F49" s="272"/>
      <c r="G49" s="272"/>
      <c r="H49" s="272"/>
      <c r="I49" s="272"/>
      <c r="J49" s="272"/>
      <c r="K49" s="272"/>
      <c r="L49" s="274" t="str" cm="1">
        <f t="array" ref="L49">IFERROR(IF(_xlfn._xlws.FILTER(Table1[Remarks],(Table1[Category]=C49)*(Table1[Execution Year]=$C$4)*(Table1[Most curent]=TRUE))=0,"",_xlfn._xlws.FILTER(Table1[Remarks],(Table1[Category]=C49)*(Table1[Execution Year]=$C$4)*(Table1[Most curent]=TRUE))),"")</f>
        <v/>
      </c>
      <c r="M49" s="275" t="str" cm="1">
        <f t="array" ref="M49">IFERROR(_xlfn._xlws.FILTER(Table1[Start Date - US],(Table1[Category]=C49)*(Table1[Execution Year]=$C$4)*(Table1[Most curent]=TRUE)),"")</f>
        <v/>
      </c>
    </row>
    <row r="50" spans="2:13">
      <c r="B50" s="271"/>
      <c r="C50" s="272"/>
      <c r="D50" s="272"/>
      <c r="E50" s="272"/>
      <c r="F50" s="272"/>
      <c r="G50" s="272"/>
      <c r="H50" s="272"/>
      <c r="I50" s="272"/>
      <c r="J50" s="272"/>
      <c r="K50" s="272"/>
      <c r="L50" s="274" t="str" cm="1">
        <f t="array" ref="L50">IFERROR(IF(_xlfn._xlws.FILTER(Table1[Remarks],(Table1[Category]=C50)*(Table1[Execution Year]=$C$4)*(Table1[Most curent]=TRUE))=0,"",_xlfn._xlws.FILTER(Table1[Remarks],(Table1[Category]=C50)*(Table1[Execution Year]=$C$4)*(Table1[Most curent]=TRUE))),"")</f>
        <v/>
      </c>
      <c r="M50" s="275" t="str" cm="1">
        <f t="array" ref="M50">IFERROR(_xlfn._xlws.FILTER(Table1[Start Date - US],(Table1[Category]=C50)*(Table1[Execution Year]=$C$4)*(Table1[Most curent]=TRUE)),"")</f>
        <v/>
      </c>
    </row>
    <row r="51" spans="2:13">
      <c r="B51" s="271"/>
      <c r="C51" s="272"/>
      <c r="D51" s="272"/>
      <c r="E51" s="272"/>
      <c r="F51" s="272"/>
      <c r="G51" s="272"/>
      <c r="H51" s="272"/>
      <c r="I51" s="272"/>
      <c r="J51" s="272"/>
      <c r="K51" s="272"/>
      <c r="L51" s="274" t="str" cm="1">
        <f t="array" ref="L51">IFERROR(IF(_xlfn._xlws.FILTER(Table1[Remarks],(Table1[Category]=C51)*(Table1[Execution Year]=$C$4)*(Table1[Most curent]=TRUE))=0,"",_xlfn._xlws.FILTER(Table1[Remarks],(Table1[Category]=C51)*(Table1[Execution Year]=$C$4)*(Table1[Most curent]=TRUE))),"")</f>
        <v/>
      </c>
      <c r="M51" s="275" t="str" cm="1">
        <f t="array" ref="M51">IFERROR(_xlfn._xlws.FILTER(Table1[Start Date - US],(Table1[Category]=C51)*(Table1[Execution Year]=$C$4)*(Table1[Most curent]=TRUE)),"")</f>
        <v/>
      </c>
    </row>
    <row r="52" spans="2:13">
      <c r="B52" s="271"/>
      <c r="C52" s="272"/>
      <c r="D52" s="272"/>
      <c r="E52" s="272"/>
      <c r="F52" s="272"/>
      <c r="G52" s="272"/>
      <c r="H52" s="272"/>
      <c r="I52" s="272"/>
      <c r="J52" s="272"/>
      <c r="K52" s="272"/>
      <c r="L52" s="274" t="str" cm="1">
        <f t="array" ref="L52">IFERROR(IF(_xlfn._xlws.FILTER(Table1[Remarks],(Table1[Category]=C52)*(Table1[Execution Year]=$C$4)*(Table1[Most curent]=TRUE))=0,"",_xlfn._xlws.FILTER(Table1[Remarks],(Table1[Category]=C52)*(Table1[Execution Year]=$C$4)*(Table1[Most curent]=TRUE))),"")</f>
        <v/>
      </c>
      <c r="M52" s="275" t="str" cm="1">
        <f t="array" ref="M52">IFERROR(_xlfn._xlws.FILTER(Table1[Start Date - US],(Table1[Category]=C52)*(Table1[Execution Year]=$C$4)*(Table1[Most curent]=TRUE)),"")</f>
        <v/>
      </c>
    </row>
    <row r="53" spans="2:13">
      <c r="B53" s="271"/>
      <c r="C53" s="272"/>
      <c r="D53" s="272"/>
      <c r="E53" s="272"/>
      <c r="F53" s="272"/>
      <c r="G53" s="272"/>
      <c r="H53" s="272"/>
      <c r="I53" s="272"/>
      <c r="J53" s="272"/>
      <c r="K53" s="272"/>
      <c r="L53" s="274" t="str" cm="1">
        <f t="array" ref="L53">IFERROR(IF(_xlfn._xlws.FILTER(Table1[Remarks],(Table1[Category]=C53)*(Table1[Execution Year]=$C$4)*(Table1[Most curent]=TRUE))=0,"",_xlfn._xlws.FILTER(Table1[Remarks],(Table1[Category]=C53)*(Table1[Execution Year]=$C$4)*(Table1[Most curent]=TRUE))),"")</f>
        <v/>
      </c>
      <c r="M53" s="275" t="str" cm="1">
        <f t="array" ref="M53">IFERROR(_xlfn._xlws.FILTER(Table1[Start Date - US],(Table1[Category]=C53)*(Table1[Execution Year]=$C$4)*(Table1[Most curent]=TRUE)),"")</f>
        <v/>
      </c>
    </row>
    <row r="54" spans="2:13">
      <c r="B54" s="271"/>
      <c r="C54" s="272"/>
      <c r="D54" s="272"/>
      <c r="E54" s="272"/>
      <c r="F54" s="272"/>
      <c r="G54" s="272"/>
      <c r="H54" s="272"/>
      <c r="I54" s="272"/>
      <c r="J54" s="272"/>
      <c r="K54" s="272"/>
      <c r="L54" s="274" t="str" cm="1">
        <f t="array" ref="L54">IFERROR(IF(_xlfn._xlws.FILTER(Table1[Remarks],(Table1[Category]=C54)*(Table1[Execution Year]=$C$4)*(Table1[Most curent]=TRUE))=0,"",_xlfn._xlws.FILTER(Table1[Remarks],(Table1[Category]=C54)*(Table1[Execution Year]=$C$4)*(Table1[Most curent]=TRUE))),"")</f>
        <v/>
      </c>
      <c r="M54" s="275" t="str" cm="1">
        <f t="array" ref="M54">IFERROR(_xlfn._xlws.FILTER(Table1[Start Date - US],(Table1[Category]=C54)*(Table1[Execution Year]=$C$4)*(Table1[Most curent]=TRUE)),"")</f>
        <v/>
      </c>
    </row>
    <row r="55" spans="2:13">
      <c r="B55" s="271"/>
      <c r="C55" s="272"/>
      <c r="D55" s="272"/>
      <c r="E55" s="272"/>
      <c r="F55" s="272"/>
      <c r="G55" s="272"/>
      <c r="H55" s="272"/>
      <c r="I55" s="272"/>
      <c r="J55" s="272"/>
      <c r="K55" s="272"/>
      <c r="L55" s="274" t="str" cm="1">
        <f t="array" ref="L55">IFERROR(IF(_xlfn._xlws.FILTER(Table1[Remarks],(Table1[Category]=C55)*(Table1[Execution Year]=$C$4)*(Table1[Most curent]=TRUE))=0,"",_xlfn._xlws.FILTER(Table1[Remarks],(Table1[Category]=C55)*(Table1[Execution Year]=$C$4)*(Table1[Most curent]=TRUE))),"")</f>
        <v/>
      </c>
      <c r="M55" s="275" t="str" cm="1">
        <f t="array" ref="M55">IFERROR(_xlfn._xlws.FILTER(Table1[Start Date - US],(Table1[Category]=C55)*(Table1[Execution Year]=$C$4)*(Table1[Most curent]=TRUE)),"")</f>
        <v/>
      </c>
    </row>
    <row r="56" spans="2:13">
      <c r="B56" s="271"/>
      <c r="C56" s="272"/>
      <c r="D56" s="272"/>
      <c r="E56" s="272"/>
      <c r="F56" s="272"/>
      <c r="G56" s="272"/>
      <c r="H56" s="272"/>
      <c r="I56" s="272"/>
      <c r="J56" s="272"/>
      <c r="K56" s="272"/>
      <c r="L56" s="272"/>
      <c r="M56" s="275" t="str" cm="1">
        <f t="array" ref="M56">IFERROR(_xlfn._xlws.FILTER(Table1[Start Date - US],(Table1[Category]=C56)*(Table1[Execution Year]=$C$4)*(Table1[Most curent]=TRUE)),"")</f>
        <v/>
      </c>
    </row>
    <row r="57" spans="2:13">
      <c r="B57" s="271"/>
      <c r="C57" s="272"/>
      <c r="D57" s="272"/>
      <c r="E57" s="272"/>
      <c r="F57" s="272"/>
      <c r="G57" s="272"/>
      <c r="H57" s="272"/>
      <c r="I57" s="272"/>
      <c r="J57" s="272"/>
      <c r="K57" s="272"/>
      <c r="L57" s="272"/>
      <c r="M57" s="275" t="str" cm="1">
        <f t="array" ref="M57">IFERROR(_xlfn._xlws.FILTER(Table1[Start Date - US],(Table1[Category]=C57)*(Table1[Execution Year]=$C$4)*(Table1[Most curent]=TRUE)),"")</f>
        <v/>
      </c>
    </row>
    <row r="58" spans="2:13">
      <c r="B58" s="271"/>
      <c r="C58" s="272"/>
      <c r="D58" s="272"/>
      <c r="E58" s="272"/>
      <c r="F58" s="272"/>
      <c r="G58" s="272"/>
      <c r="H58" s="272"/>
      <c r="I58" s="272"/>
      <c r="J58" s="272"/>
      <c r="K58" s="272"/>
      <c r="L58" s="272"/>
      <c r="M58" s="275" t="str" cm="1">
        <f t="array" ref="M58">IFERROR(_xlfn._xlws.FILTER(Table1[Start Date - US],(Table1[Category]=C58)*(Table1[Execution Year]=$C$4)*(Table1[Most curent]=TRUE)),"")</f>
        <v/>
      </c>
    </row>
    <row r="59" spans="2:13">
      <c r="B59" s="271"/>
      <c r="C59" s="272"/>
      <c r="D59" s="272"/>
      <c r="E59" s="272"/>
      <c r="F59" s="272"/>
      <c r="G59" s="272"/>
      <c r="H59" s="272"/>
      <c r="I59" s="272"/>
      <c r="J59" s="272"/>
      <c r="K59" s="272"/>
      <c r="L59" s="272"/>
      <c r="M59" s="275" t="str" cm="1">
        <f t="array" ref="M59">IFERROR(_xlfn._xlws.FILTER(Table1[Start Date - US],(Table1[Category]=C59)*(Table1[Execution Year]=$C$4)*(Table1[Most curent]=TRUE)),"")</f>
        <v/>
      </c>
    </row>
    <row r="60" spans="2:13">
      <c r="B60" s="271"/>
      <c r="C60" s="272"/>
      <c r="D60" s="272"/>
      <c r="E60" s="272"/>
      <c r="F60" s="272"/>
      <c r="G60" s="272"/>
      <c r="H60" s="272"/>
      <c r="I60" s="272"/>
      <c r="J60" s="272"/>
      <c r="K60" s="272"/>
      <c r="L60" s="272"/>
      <c r="M60" s="275" t="str" cm="1">
        <f t="array" ref="M60">IFERROR(_xlfn._xlws.FILTER(Table1[Start Date - US],(Table1[Category]=C60)*(Table1[Execution Year]=$C$4)*(Table1[Most curent]=TRUE)),"")</f>
        <v/>
      </c>
    </row>
    <row r="61" spans="2:13">
      <c r="B61" s="11"/>
      <c r="M61" s="268" t="str" cm="1">
        <f t="array" ref="M61">IFERROR(_xlfn._xlws.FILTER(Table1[Start Date - US],(Table1[Category]=C61)*(Table1[Execution Year]=$C$4)*(Table1[Most curent]=TRUE)),"")</f>
        <v/>
      </c>
    </row>
    <row r="62" spans="2:13">
      <c r="B62" s="11"/>
      <c r="M62" s="268" t="str" cm="1">
        <f t="array" ref="M62">IFERROR(_xlfn._xlws.FILTER(Table1[Start Date - US],(Table1[Category]=C62)*(Table1[Execution Year]=$C$4)*(Table1[Most curent]=TRUE)),"")</f>
        <v/>
      </c>
    </row>
    <row r="63" spans="2:13">
      <c r="B63" s="11"/>
      <c r="M63" s="268" t="str" cm="1">
        <f t="array" ref="M63">IFERROR(_xlfn._xlws.FILTER(Table1[Start Date - US],(Table1[Category]=C63)*(Table1[Execution Year]=$C$4)*(Table1[Most curent]=TRUE)),"")</f>
        <v/>
      </c>
    </row>
    <row r="64" spans="2:13">
      <c r="B64" s="11"/>
      <c r="M64" s="268" t="str" cm="1">
        <f t="array" ref="M64">IFERROR(_xlfn._xlws.FILTER(Table1[Start Date - US],(Table1[Category]=C64)*(Table1[Execution Year]=$C$4)*(Table1[Most curent]=TRUE)),"")</f>
        <v/>
      </c>
    </row>
    <row r="65" spans="2:13">
      <c r="B65" s="11"/>
      <c r="M65" s="268" t="str" cm="1">
        <f t="array" ref="M65">IFERROR(_xlfn._xlws.FILTER(Table1[Start Date - US],(Table1[Category]=C65)*(Table1[Execution Year]=$C$4)*(Table1[Most curent]=TRUE)),"")</f>
        <v/>
      </c>
    </row>
    <row r="66" spans="2:13">
      <c r="B66" s="11"/>
      <c r="M66" s="268" t="str" cm="1">
        <f t="array" ref="M66">IFERROR(_xlfn._xlws.FILTER(Table1[Start Date - US],(Table1[Category]=C66)*(Table1[Execution Year]=$C$4)*(Table1[Most curent]=TRUE)),"")</f>
        <v/>
      </c>
    </row>
    <row r="67" spans="2:13">
      <c r="B67" s="11"/>
      <c r="M67" s="268" t="str" cm="1">
        <f t="array" ref="M67">IFERROR(_xlfn._xlws.FILTER(Table1[Start Date - US],(Table1[Category]=C67)*(Table1[Execution Year]=$C$4)*(Table1[Most curent]=TRUE)),"")</f>
        <v/>
      </c>
    </row>
    <row r="68" spans="2:13">
      <c r="B68" s="11"/>
      <c r="M68" s="268" t="str" cm="1">
        <f t="array" ref="M68">IFERROR(_xlfn._xlws.FILTER(Table1[Start Date - US],(Table1[Category]=C68)*(Table1[Execution Year]=$C$4)*(Table1[Most curent]=TRUE)),"")</f>
        <v/>
      </c>
    </row>
    <row r="69" spans="2:13">
      <c r="B69" s="11"/>
      <c r="M69" s="268" t="str" cm="1">
        <f t="array" ref="M69">IFERROR(_xlfn._xlws.FILTER(Table1[Start Date - US],(Table1[Category]=C69)*(Table1[Execution Year]=$C$4)*(Table1[Most curent]=TRUE)),"")</f>
        <v/>
      </c>
    </row>
    <row r="70" spans="2:13">
      <c r="B70" s="11"/>
      <c r="M70" s="268" t="str" cm="1">
        <f t="array" ref="M70">IFERROR(_xlfn._xlws.FILTER(Table1[Start Date - US],(Table1[Category]=C70)*(Table1[Execution Year]=$C$4)*(Table1[Most curent]=TRUE)),"")</f>
        <v/>
      </c>
    </row>
    <row r="71" spans="2:13">
      <c r="B71" s="11"/>
      <c r="M71" s="268" t="str" cm="1">
        <f t="array" ref="M71">IFERROR(_xlfn._xlws.FILTER(Table1[Start Date - US],(Table1[Category]=C71)*(Table1[Execution Year]=$C$4)*(Table1[Most curent]=TRUE)),"")</f>
        <v/>
      </c>
    </row>
    <row r="72" spans="2:13">
      <c r="B72" s="11"/>
      <c r="M72" s="268" t="str" cm="1">
        <f t="array" ref="M72">IFERROR(_xlfn._xlws.FILTER(Table1[Start Date - US],(Table1[Category]=C72)*(Table1[Execution Year]=$C$4)*(Table1[Most curent]=TRUE)),"")</f>
        <v/>
      </c>
    </row>
    <row r="73" spans="2:13">
      <c r="M73" s="268" t="str" cm="1">
        <f t="array" ref="M73">IFERROR(_xlfn._xlws.FILTER(Table1[Start Date - US],(Table1[Category]=C73)*(Table1[Execution Year]=$C$4)*(Table1[Most curent]=TRUE)),"")</f>
        <v/>
      </c>
    </row>
    <row r="74" spans="2:13">
      <c r="M74" s="268" t="str" cm="1">
        <f t="array" ref="M74">IFERROR(_xlfn._xlws.FILTER(Table1[Start Date - US],(Table1[Category]=C74)*(Table1[Execution Year]=$C$4)*(Table1[Most curent]=TRUE)),"")</f>
        <v/>
      </c>
    </row>
    <row r="75" spans="2:13">
      <c r="M75" s="268" t="str" cm="1">
        <f t="array" ref="M75">IFERROR(_xlfn._xlws.FILTER(Table1[Start Date - US],(Table1[Category]=C75)*(Table1[Execution Year]=$C$4)*(Table1[Most curent]=TRUE)),"")</f>
        <v/>
      </c>
    </row>
    <row r="76" spans="2:13">
      <c r="M76" s="268" t="str" cm="1">
        <f t="array" ref="M76">IFERROR(_xlfn._xlws.FILTER(Table1[Start Date - US],(Table1[Category]=C76)*(Table1[Execution Year]=$C$4)*(Table1[Most curent]=TRUE)),"")</f>
        <v/>
      </c>
    </row>
    <row r="77" spans="2:13">
      <c r="M77" s="268" t="str" cm="1">
        <f t="array" ref="M77">IFERROR(_xlfn._xlws.FILTER(Table1[Start Date - US],(Table1[Category]=C77)*(Table1[Execution Year]=$C$4)*(Table1[Most curent]=TRUE)),"")</f>
        <v/>
      </c>
    </row>
    <row r="78" spans="2:13">
      <c r="M78" s="268" t="str" cm="1">
        <f t="array" ref="M78">IFERROR(_xlfn._xlws.FILTER(Table1[Start Date - US],(Table1[Category]=C78)*(Table1[Execution Year]=$C$4)*(Table1[Most curent]=TRUE)),"")</f>
        <v/>
      </c>
    </row>
    <row r="79" spans="2:13">
      <c r="M79" s="268" t="str" cm="1">
        <f t="array" ref="M79">IFERROR(_xlfn._xlws.FILTER(Table1[Start Date - US],(Table1[Category]=C79)*(Table1[Execution Year]=$C$4)*(Table1[Most curent]=TRUE)),"")</f>
        <v/>
      </c>
    </row>
    <row r="80" spans="2:13">
      <c r="M80" s="268" t="str" cm="1">
        <f t="array" ref="M80">IFERROR(_xlfn._xlws.FILTER(Table1[Start Date - US],(Table1[Category]=C80)*(Table1[Execution Year]=$C$4)*(Table1[Most curent]=TRUE)),"")</f>
        <v/>
      </c>
    </row>
    <row r="81" spans="13:13">
      <c r="M81" s="268" t="str" cm="1">
        <f t="array" ref="M81">IFERROR(_xlfn._xlws.FILTER(Table1[Start Date - US],(Table1[Category]=C81)*(Table1[Execution Year]=$C$4)*(Table1[Most curent]=TRUE)),"")</f>
        <v/>
      </c>
    </row>
    <row r="82" spans="13:13">
      <c r="M82" s="268" t="str" cm="1">
        <f t="array" ref="M82">IFERROR(_xlfn._xlws.FILTER(Table1[Start Date - US],(Table1[Category]=C82)*(Table1[Execution Year]=$C$4)*(Table1[Most curent]=TRUE)),"")</f>
        <v/>
      </c>
    </row>
    <row r="83" spans="13:13">
      <c r="M83" s="268" t="str" cm="1">
        <f t="array" ref="M83">IFERROR(_xlfn._xlws.FILTER(Table1[Start Date - US],(Table1[Category]=C83)*(Table1[Execution Year]=$C$4)*(Table1[Most curent]=TRUE)),"")</f>
        <v/>
      </c>
    </row>
    <row r="84" spans="13:13">
      <c r="M84" s="268" t="str" cm="1">
        <f t="array" ref="M84">IFERROR(_xlfn._xlws.FILTER(Table1[Start Date - US],(Table1[Category]=C84)*(Table1[Execution Year]=$C$4)*(Table1[Most curent]=TRUE)),"")</f>
        <v/>
      </c>
    </row>
    <row r="85" spans="13:13">
      <c r="M85" s="268" t="str" cm="1">
        <f t="array" ref="M85">IFERROR(_xlfn._xlws.FILTER(Table1[Start Date - US],(Table1[Category]=C85)*(Table1[Execution Year]=$C$4)*(Table1[Most curent]=TRUE)),"")</f>
        <v/>
      </c>
    </row>
    <row r="86" spans="13:13">
      <c r="M86" s="268" t="str" cm="1">
        <f t="array" ref="M86">IFERROR(_xlfn._xlws.FILTER(Table1[Start Date - US],(Table1[Category]=C86)*(Table1[Execution Year]=$C$4)*(Table1[Most curent]=TRUE)),"")</f>
        <v/>
      </c>
    </row>
    <row r="87" spans="13:13">
      <c r="M87" s="268" t="str" cm="1">
        <f t="array" ref="M87">IFERROR(_xlfn._xlws.FILTER(Table1[Start Date - US],(Table1[Category]=C87)*(Table1[Execution Year]=$C$4)*(Table1[Most curent]=TRUE)),"")</f>
        <v/>
      </c>
    </row>
    <row r="88" spans="13:13">
      <c r="M88" s="268" t="str" cm="1">
        <f t="array" ref="M88">IFERROR(_xlfn._xlws.FILTER(Table1[Start Date - US],(Table1[Category]=C88)*(Table1[Execution Year]=$C$4)*(Table1[Most curent]=TRUE)),"")</f>
        <v/>
      </c>
    </row>
    <row r="89" spans="13:13">
      <c r="M89" s="268" t="str" cm="1">
        <f t="array" ref="M89">IFERROR(_xlfn._xlws.FILTER(Table1[Start Date - US],(Table1[Category]=C89)*(Table1[Execution Year]=$C$4)*(Table1[Most curent]=TRUE)),"")</f>
        <v/>
      </c>
    </row>
    <row r="90" spans="13:13">
      <c r="M90" s="268" t="str" cm="1">
        <f t="array" ref="M90">IFERROR(_xlfn._xlws.FILTER(Table1[Start Date - US],(Table1[Category]=C90)*(Table1[Execution Year]=$C$4)*(Table1[Most curent]=TRUE)),"")</f>
        <v/>
      </c>
    </row>
    <row r="91" spans="13:13">
      <c r="M91" s="268" t="str" cm="1">
        <f t="array" ref="M91">IFERROR(_xlfn._xlws.FILTER(Table1[Start Date - US],(Table1[Category]=C91)*(Table1[Execution Year]=$C$4)*(Table1[Most curent]=TRUE)),"")</f>
        <v/>
      </c>
    </row>
    <row r="92" spans="13:13">
      <c r="M92" s="268" t="str" cm="1">
        <f t="array" ref="M92">IFERROR(_xlfn._xlws.FILTER(Table1[Start Date - US],(Table1[Category]=C92)*(Table1[Execution Year]=$C$4)*(Table1[Most curent]=TRUE)),"")</f>
        <v/>
      </c>
    </row>
    <row r="93" spans="13:13">
      <c r="M93" s="268" t="str" cm="1">
        <f t="array" ref="M93">IFERROR(_xlfn._xlws.FILTER(Table1[Start Date - US],(Table1[Category]=C93)*(Table1[Execution Year]=$C$4)*(Table1[Most curent]=TRUE)),"")</f>
        <v/>
      </c>
    </row>
    <row r="94" spans="13:13">
      <c r="M94" s="268" t="str" cm="1">
        <f t="array" ref="M94">IFERROR(_xlfn._xlws.FILTER(Table1[Start Date - US],(Table1[Category]=C94)*(Table1[Execution Year]=$C$4)*(Table1[Most curent]=TRUE)),"")</f>
        <v/>
      </c>
    </row>
    <row r="95" spans="13:13">
      <c r="M95" s="268" t="str" cm="1">
        <f t="array" ref="M95">IFERROR(_xlfn._xlws.FILTER(Table1[Start Date - US],(Table1[Category]=C95)*(Table1[Execution Year]=$C$4)*(Table1[Most curent]=TRUE)),"")</f>
        <v/>
      </c>
    </row>
    <row r="96" spans="13:13">
      <c r="M96" s="268" t="str" cm="1">
        <f t="array" ref="M96">IFERROR(_xlfn._xlws.FILTER(Table1[Start Date - US],(Table1[Category]=C96)*(Table1[Execution Year]=$C$4)*(Table1[Most curent]=TRUE)),"")</f>
        <v/>
      </c>
    </row>
    <row r="97" spans="13:13">
      <c r="M97" s="268" t="str" cm="1">
        <f t="array" ref="M97">IFERROR(_xlfn._xlws.FILTER(Table1[Start Date - US],(Table1[Category]=C97)*(Table1[Execution Year]=$C$4)*(Table1[Most curent]=TRUE)),"")</f>
        <v/>
      </c>
    </row>
    <row r="98" spans="13:13">
      <c r="M98" s="268" t="str" cm="1">
        <f t="array" ref="M98">IFERROR(_xlfn._xlws.FILTER(Table1[Start Date - US],(Table1[Category]=C98)*(Table1[Execution Year]=$C$4)*(Table1[Most curent]=TRUE)),"")</f>
        <v/>
      </c>
    </row>
    <row r="99" spans="13:13">
      <c r="M99" s="268" t="str" cm="1">
        <f t="array" ref="M99">IFERROR(_xlfn._xlws.FILTER(Table1[Start Date - US],(Table1[Category]=C99)*(Table1[Execution Year]=$C$4)*(Table1[Most curent]=TRUE)),"")</f>
        <v/>
      </c>
    </row>
    <row r="100" spans="13:13">
      <c r="M100" s="268" t="str" cm="1">
        <f t="array" ref="M100">IFERROR(_xlfn._xlws.FILTER(Table1[Start Date - US],(Table1[Category]=C100)*(Table1[Execution Year]=$C$4)*(Table1[Most curent]=TRUE)),"")</f>
        <v/>
      </c>
    </row>
    <row r="101" spans="13:13">
      <c r="M101" s="268" t="str" cm="1">
        <f t="array" ref="M101">IFERROR(_xlfn._xlws.FILTER(Table1[Start Date - US],(Table1[Category]=C101)*(Table1[Execution Year]=$C$4)*(Table1[Most curent]=TRUE)),"")</f>
        <v/>
      </c>
    </row>
    <row r="102" spans="13:13">
      <c r="M102" s="268" t="str" cm="1">
        <f t="array" ref="M102">IFERROR(_xlfn._xlws.FILTER(Table1[Start Date - US],(Table1[Category]=C102)*(Table1[Execution Year]=$C$4)*(Table1[Most curent]=TRUE)),"")</f>
        <v/>
      </c>
    </row>
    <row r="103" spans="13:13">
      <c r="M103" s="268" t="str" cm="1">
        <f t="array" ref="M103">IFERROR(_xlfn._xlws.FILTER(Table1[Start Date - US],(Table1[Category]=C103)*(Table1[Execution Year]=$C$4)*(Table1[Most curent]=TRUE)),"")</f>
        <v/>
      </c>
    </row>
    <row r="104" spans="13:13">
      <c r="M104" s="268" t="str" cm="1">
        <f t="array" ref="M104">IFERROR(_xlfn._xlws.FILTER(Table1[Start Date - US],(Table1[Category]=C104)*(Table1[Execution Year]=$C$4)*(Table1[Most curent]=TRUE)),"")</f>
        <v/>
      </c>
    </row>
    <row r="105" spans="13:13">
      <c r="M105" s="268" t="str" cm="1">
        <f t="array" ref="M105">IFERROR(_xlfn._xlws.FILTER(Table1[Start Date - US],(Table1[Category]=C105)*(Table1[Execution Year]=$C$4)*(Table1[Most curent]=TRUE)),"")</f>
        <v/>
      </c>
    </row>
    <row r="106" spans="13:13">
      <c r="M106" s="268" t="str" cm="1">
        <f t="array" ref="M106">IFERROR(_xlfn._xlws.FILTER(Table1[Start Date - US],(Table1[Category]=C106)*(Table1[Execution Year]=$C$4)*(Table1[Most curent]=TRUE)),"")</f>
        <v/>
      </c>
    </row>
    <row r="107" spans="13:13">
      <c r="M107" s="268" t="str" cm="1">
        <f t="array" ref="M107">IFERROR(_xlfn._xlws.FILTER(Table1[Start Date - US],(Table1[Category]=C107)*(Table1[Execution Year]=$C$4)*(Table1[Most curent]=TRUE)),"")</f>
        <v/>
      </c>
    </row>
    <row r="108" spans="13:13">
      <c r="M108" s="268" t="str" cm="1">
        <f t="array" ref="M108">IFERROR(_xlfn._xlws.FILTER(Table1[Start Date - US],(Table1[Category]=C108)*(Table1[Execution Year]=$C$4)*(Table1[Most curent]=TRUE)),"")</f>
        <v/>
      </c>
    </row>
    <row r="109" spans="13:13">
      <c r="M109" s="268" t="str" cm="1">
        <f t="array" ref="M109">IFERROR(_xlfn._xlws.FILTER(Table1[Start Date - US],(Table1[Category]=C109)*(Table1[Execution Year]=$C$4)*(Table1[Most curent]=TRUE)),"")</f>
        <v/>
      </c>
    </row>
    <row r="110" spans="13:13">
      <c r="M110" s="268" t="str" cm="1">
        <f t="array" ref="M110">IFERROR(_xlfn._xlws.FILTER(Table1[Start Date - US],(Table1[Category]=C110)*(Table1[Execution Year]=$C$4)*(Table1[Most curent]=TRUE)),"")</f>
        <v/>
      </c>
    </row>
    <row r="111" spans="13:13">
      <c r="M111" s="268" t="str" cm="1">
        <f t="array" ref="M111">IFERROR(_xlfn._xlws.FILTER(Table1[Start Date - US],(Table1[Category]=C111)*(Table1[Execution Year]=$C$4)*(Table1[Most curent]=TRUE)),"")</f>
        <v/>
      </c>
    </row>
    <row r="112" spans="13:13">
      <c r="M112" s="268" t="str" cm="1">
        <f t="array" ref="M112">IFERROR(_xlfn._xlws.FILTER(Table1[Start Date - US],(Table1[Category]=C112)*(Table1[Execution Year]=$C$4)*(Table1[Most curent]=TRUE)),"")</f>
        <v/>
      </c>
    </row>
    <row r="113" spans="13:13">
      <c r="M113" s="268" t="str" cm="1">
        <f t="array" ref="M113">IFERROR(_xlfn._xlws.FILTER(Table1[Start Date - US],(Table1[Category]=C113)*(Table1[Execution Year]=$C$4)*(Table1[Most curent]=TRUE)),"")</f>
        <v/>
      </c>
    </row>
    <row r="114" spans="13:13">
      <c r="M114" s="268" t="str" cm="1">
        <f t="array" ref="M114">IFERROR(_xlfn._xlws.FILTER(Table1[Start Date - US],(Table1[Category]=C114)*(Table1[Execution Year]=$C$4)*(Table1[Most curent]=TRUE)),"")</f>
        <v/>
      </c>
    </row>
    <row r="115" spans="13:13">
      <c r="M115" s="268" t="str" cm="1">
        <f t="array" ref="M115">IFERROR(_xlfn._xlws.FILTER(Table1[Start Date - US],(Table1[Category]=C115)*(Table1[Execution Year]=$C$4)*(Table1[Most curent]=TRUE)),"")</f>
        <v/>
      </c>
    </row>
    <row r="116" spans="13:13">
      <c r="M116" s="268" t="str" cm="1">
        <f t="array" ref="M116">IFERROR(_xlfn._xlws.FILTER(Table1[Start Date - US],(Table1[Category]=C116)*(Table1[Execution Year]=$C$4)*(Table1[Most curent]=TRUE)),"")</f>
        <v/>
      </c>
    </row>
    <row r="117" spans="13:13">
      <c r="M117" s="268" t="str" cm="1">
        <f t="array" ref="M117">IFERROR(_xlfn._xlws.FILTER(Table1[Start Date - US],(Table1[Category]=C117)*(Table1[Execution Year]=$C$4)*(Table1[Most curent]=TRUE)),"")</f>
        <v/>
      </c>
    </row>
    <row r="118" spans="13:13">
      <c r="M118" s="268" t="str" cm="1">
        <f t="array" ref="M118">IFERROR(_xlfn._xlws.FILTER(Table1[Start Date - US],(Table1[Category]=C118)*(Table1[Execution Year]=$C$4)*(Table1[Most curent]=TRUE)),"")</f>
        <v/>
      </c>
    </row>
    <row r="119" spans="13:13">
      <c r="M119" s="268" t="str" cm="1">
        <f t="array" ref="M119">IFERROR(_xlfn._xlws.FILTER(Table1[Start Date - US],(Table1[Category]=C119)*(Table1[Execution Year]=$C$4)*(Table1[Most curent]=TRUE)),"")</f>
        <v/>
      </c>
    </row>
    <row r="120" spans="13:13">
      <c r="M120" s="268" t="str" cm="1">
        <f t="array" ref="M120">IFERROR(_xlfn._xlws.FILTER(Table1[Start Date - US],(Table1[Category]=C120)*(Table1[Execution Year]=$C$4)*(Table1[Most curent]=TRUE)),"")</f>
        <v/>
      </c>
    </row>
    <row r="121" spans="13:13">
      <c r="M121" s="268" t="str" cm="1">
        <f t="array" ref="M121">IFERROR(_xlfn._xlws.FILTER(Table1[Start Date - US],(Table1[Category]=C121)*(Table1[Execution Year]=$C$4)*(Table1[Most curent]=TRUE)),"")</f>
        <v/>
      </c>
    </row>
    <row r="122" spans="13:13">
      <c r="M122" s="268" t="str" cm="1">
        <f t="array" ref="M122">IFERROR(_xlfn._xlws.FILTER(Table1[Start Date - US],(Table1[Category]=C122)*(Table1[Execution Year]=$C$4)*(Table1[Most curent]=TRUE)),"")</f>
        <v/>
      </c>
    </row>
    <row r="123" spans="13:13">
      <c r="M123" s="268" t="str" cm="1">
        <f t="array" ref="M123">IFERROR(_xlfn._xlws.FILTER(Table1[Start Date - US],(Table1[Category]=C123)*(Table1[Execution Year]=$C$4)*(Table1[Most curent]=TRUE)),"")</f>
        <v/>
      </c>
    </row>
    <row r="124" spans="13:13">
      <c r="M124" s="268" t="str" cm="1">
        <f t="array" ref="M124">IFERROR(_xlfn._xlws.FILTER(Table1[Start Date - US],(Table1[Category]=C124)*(Table1[Execution Year]=$C$4)*(Table1[Most curent]=TRUE)),"")</f>
        <v/>
      </c>
    </row>
    <row r="125" spans="13:13">
      <c r="M125" s="268" t="str" cm="1">
        <f t="array" ref="M125">IFERROR(_xlfn._xlws.FILTER(Table1[Start Date - US],(Table1[Category]=C125)*(Table1[Execution Year]=$C$4)*(Table1[Most curent]=TRUE)),"")</f>
        <v/>
      </c>
    </row>
    <row r="126" spans="13:13">
      <c r="M126" s="268" t="str" cm="1">
        <f t="array" ref="M126">IFERROR(_xlfn._xlws.FILTER(Table1[Start Date - US],(Table1[Category]=C126)*(Table1[Execution Year]=$C$4)*(Table1[Most curent]=TRUE)),"")</f>
        <v/>
      </c>
    </row>
    <row r="127" spans="13:13">
      <c r="M127" s="268" t="str" cm="1">
        <f t="array" ref="M127">IFERROR(_xlfn._xlws.FILTER(Table1[Start Date - US],(Table1[Category]=C127)*(Table1[Execution Year]=$C$4)*(Table1[Most curent]=TRUE)),"")</f>
        <v/>
      </c>
    </row>
    <row r="128" spans="13:13">
      <c r="M128" s="268" t="str" cm="1">
        <f t="array" ref="M128">IFERROR(_xlfn._xlws.FILTER(Table1[Start Date - US],(Table1[Category]=C128)*(Table1[Execution Year]=$C$4)*(Table1[Most curent]=TRUE)),"")</f>
        <v/>
      </c>
    </row>
    <row r="129" spans="13:13">
      <c r="M129" s="268" t="str" cm="1">
        <f t="array" ref="M129">IFERROR(_xlfn._xlws.FILTER(Table1[Start Date - US],(Table1[Category]=C129)*(Table1[Execution Year]=$C$4)*(Table1[Most curent]=TRUE)),"")</f>
        <v/>
      </c>
    </row>
    <row r="130" spans="13:13">
      <c r="M130" s="268" t="str" cm="1">
        <f t="array" ref="M130">IFERROR(_xlfn._xlws.FILTER(Table1[Start Date - US],(Table1[Category]=C130)*(Table1[Execution Year]=$C$4)*(Table1[Most curent]=TRUE)),"")</f>
        <v/>
      </c>
    </row>
    <row r="131" spans="13:13">
      <c r="M131" s="268" t="str" cm="1">
        <f t="array" ref="M131">IFERROR(_xlfn._xlws.FILTER(Table1[Start Date - US],(Table1[Category]=C131)*(Table1[Execution Year]=$C$4)*(Table1[Most curent]=TRUE)),"")</f>
        <v/>
      </c>
    </row>
    <row r="132" spans="13:13">
      <c r="M132" s="268" t="str" cm="1">
        <f t="array" ref="M132">IFERROR(_xlfn._xlws.FILTER(Table1[Start Date - US],(Table1[Category]=C132)*(Table1[Execution Year]=$C$4)*(Table1[Most curent]=TRUE)),"")</f>
        <v/>
      </c>
    </row>
    <row r="133" spans="13:13">
      <c r="M133" s="268" t="str" cm="1">
        <f t="array" ref="M133">IFERROR(_xlfn._xlws.FILTER(Table1[Start Date - US],(Table1[Category]=C133)*(Table1[Execution Year]=$C$4)*(Table1[Most curent]=TRUE)),"")</f>
        <v/>
      </c>
    </row>
    <row r="134" spans="13:13">
      <c r="M134" s="268" t="str" cm="1">
        <f t="array" ref="M134">IFERROR(_xlfn._xlws.FILTER(Table1[Start Date - US],(Table1[Category]=C134)*(Table1[Execution Year]=$C$4)*(Table1[Most curent]=TRUE)),"")</f>
        <v/>
      </c>
    </row>
    <row r="135" spans="13:13">
      <c r="M135" s="268" t="str" cm="1">
        <f t="array" ref="M135">IFERROR(_xlfn._xlws.FILTER(Table1[Start Date - US],(Table1[Category]=C135)*(Table1[Execution Year]=$C$4)*(Table1[Most curent]=TRUE)),"")</f>
        <v/>
      </c>
    </row>
    <row r="136" spans="13:13">
      <c r="M136" s="268" t="str" cm="1">
        <f t="array" ref="M136">IFERROR(_xlfn._xlws.FILTER(Table1[Start Date - US],(Table1[Category]=C136)*(Table1[Execution Year]=$C$4)*(Table1[Most curent]=TRUE)),"")</f>
        <v/>
      </c>
    </row>
    <row r="137" spans="13:13">
      <c r="M137" s="268" t="str" cm="1">
        <f t="array" ref="M137">IFERROR(_xlfn._xlws.FILTER(Table1[Start Date - US],(Table1[Category]=C137)*(Table1[Execution Year]=$C$4)*(Table1[Most curent]=TRUE)),"")</f>
        <v/>
      </c>
    </row>
    <row r="138" spans="13:13">
      <c r="M138" s="268" t="str" cm="1">
        <f t="array" ref="M138">IFERROR(_xlfn._xlws.FILTER(Table1[Start Date - US],(Table1[Category]=C138)*(Table1[Execution Year]=$C$4)*(Table1[Most curent]=TRUE)),"")</f>
        <v/>
      </c>
    </row>
    <row r="139" spans="13:13">
      <c r="M139" s="268" t="str" cm="1">
        <f t="array" ref="M139">IFERROR(_xlfn._xlws.FILTER(Table1[Start Date - US],(Table1[Category]=C139)*(Table1[Execution Year]=$C$4)*(Table1[Most curent]=TRUE)),"")</f>
        <v/>
      </c>
    </row>
    <row r="140" spans="13:13">
      <c r="M140" s="268" t="str" cm="1">
        <f t="array" ref="M140">IFERROR(_xlfn._xlws.FILTER(Table1[Start Date - US],(Table1[Category]=C140)*(Table1[Execution Year]=$C$4)*(Table1[Most curent]=TRUE)),"")</f>
        <v/>
      </c>
    </row>
    <row r="141" spans="13:13">
      <c r="M141" s="268" t="str" cm="1">
        <f t="array" ref="M141">IFERROR(_xlfn._xlws.FILTER(Table1[Start Date - US],(Table1[Category]=C141)*(Table1[Execution Year]=$C$4)*(Table1[Most curent]=TRUE)),"")</f>
        <v/>
      </c>
    </row>
    <row r="142" spans="13:13">
      <c r="M142" s="268" t="str" cm="1">
        <f t="array" ref="M142">IFERROR(_xlfn._xlws.FILTER(Table1[Start Date - US],(Table1[Category]=C142)*(Table1[Execution Year]=$C$4)*(Table1[Most curent]=TRUE)),"")</f>
        <v/>
      </c>
    </row>
    <row r="143" spans="13:13">
      <c r="M143" s="268" t="str" cm="1">
        <f t="array" ref="M143">IFERROR(_xlfn._xlws.FILTER(Table1[Start Date - US],(Table1[Category]=C143)*(Table1[Execution Year]=$C$4)*(Table1[Most curent]=TRUE)),"")</f>
        <v/>
      </c>
    </row>
    <row r="144" spans="13:13">
      <c r="M144" s="268" t="str" cm="1">
        <f t="array" ref="M144">IFERROR(_xlfn._xlws.FILTER(Table1[Start Date - US],(Table1[Category]=C144)*(Table1[Execution Year]=$C$4)*(Table1[Most curent]=TRUE)),"")</f>
        <v/>
      </c>
    </row>
    <row r="145" spans="13:13">
      <c r="M145" s="268" t="str" cm="1">
        <f t="array" ref="M145">IFERROR(_xlfn._xlws.FILTER(Table1[Start Date - US],(Table1[Category]=C145)*(Table1[Execution Year]=$C$4)*(Table1[Most curent]=TRUE)),"")</f>
        <v/>
      </c>
    </row>
    <row r="146" spans="13:13">
      <c r="M146" s="268" t="str" cm="1">
        <f t="array" ref="M146">IFERROR(_xlfn._xlws.FILTER(Table1[Start Date - US],(Table1[Category]=C146)*(Table1[Execution Year]=$C$4)*(Table1[Most curent]=TRUE)),"")</f>
        <v/>
      </c>
    </row>
    <row r="147" spans="13:13">
      <c r="M147" s="268" t="str" cm="1">
        <f t="array" ref="M147">IFERROR(_xlfn._xlws.FILTER(Table1[Start Date - US],(Table1[Category]=C147)*(Table1[Execution Year]=$C$4)*(Table1[Most curent]=TRUE)),"")</f>
        <v/>
      </c>
    </row>
    <row r="148" spans="13:13">
      <c r="M148" s="268" t="str" cm="1">
        <f t="array" ref="M148">IFERROR(_xlfn._xlws.FILTER(Table1[Start Date - US],(Table1[Category]=C148)*(Table1[Execution Year]=$C$4)*(Table1[Most curent]=TRUE)),"")</f>
        <v/>
      </c>
    </row>
    <row r="149" spans="13:13">
      <c r="M149" s="268" t="str" cm="1">
        <f t="array" ref="M149">IFERROR(_xlfn._xlws.FILTER(Table1[Start Date - US],(Table1[Category]=C149)*(Table1[Execution Year]=$C$4)*(Table1[Most curent]=TRUE)),"")</f>
        <v/>
      </c>
    </row>
    <row r="150" spans="13:13">
      <c r="M150" s="268" t="str" cm="1">
        <f t="array" ref="M150">IFERROR(_xlfn._xlws.FILTER(Table1[Start Date - US],(Table1[Category]=C150)*(Table1[Execution Year]=$C$4)*(Table1[Most curent]=TRUE)),"")</f>
        <v/>
      </c>
    </row>
    <row r="151" spans="13:13">
      <c r="M151" s="268" t="str" cm="1">
        <f t="array" ref="M151">IFERROR(_xlfn._xlws.FILTER(Table1[Start Date - US],(Table1[Category]=C151)*(Table1[Execution Year]=$C$4)*(Table1[Most curent]=TRUE)),"")</f>
        <v/>
      </c>
    </row>
    <row r="152" spans="13:13">
      <c r="M152" s="268" t="str" cm="1">
        <f t="array" ref="M152">IFERROR(_xlfn._xlws.FILTER(Table1[Start Date - US],(Table1[Category]=C152)*(Table1[Execution Year]=$C$4)*(Table1[Most curent]=TRUE)),"")</f>
        <v/>
      </c>
    </row>
    <row r="153" spans="13:13">
      <c r="M153" s="268" t="str" cm="1">
        <f t="array" ref="M153">IFERROR(_xlfn._xlws.FILTER(Table1[Start Date - US],(Table1[Category]=C153)*(Table1[Execution Year]=$C$4)*(Table1[Most curent]=TRUE)),"")</f>
        <v/>
      </c>
    </row>
    <row r="154" spans="13:13">
      <c r="M154" s="268" t="str" cm="1">
        <f t="array" ref="M154">IFERROR(_xlfn._xlws.FILTER(Table1[Start Date - US],(Table1[Category]=C154)*(Table1[Execution Year]=$C$4)*(Table1[Most curent]=TRUE)),"")</f>
        <v/>
      </c>
    </row>
    <row r="155" spans="13:13">
      <c r="M155" s="268" t="str" cm="1">
        <f t="array" ref="M155">IFERROR(_xlfn._xlws.FILTER(Table1[Start Date - US],(Table1[Category]=C155)*(Table1[Execution Year]=$C$4)*(Table1[Most curent]=TRUE)),"")</f>
        <v/>
      </c>
    </row>
    <row r="156" spans="13:13">
      <c r="M156" s="268" t="str" cm="1">
        <f t="array" ref="M156">IFERROR(_xlfn._xlws.FILTER(Table1[Start Date - US],(Table1[Category]=C156)*(Table1[Execution Year]=$C$4)*(Table1[Most curent]=TRUE)),"")</f>
        <v/>
      </c>
    </row>
    <row r="157" spans="13:13">
      <c r="M157" s="268" t="str" cm="1">
        <f t="array" ref="M157">IFERROR(_xlfn._xlws.FILTER(Table1[Start Date - US],(Table1[Category]=C157)*(Table1[Execution Year]=$C$4)*(Table1[Most curent]=TRUE)),"")</f>
        <v/>
      </c>
    </row>
    <row r="158" spans="13:13">
      <c r="M158" s="268" t="str" cm="1">
        <f t="array" ref="M158">IFERROR(_xlfn._xlws.FILTER(Table1[Start Date - US],(Table1[Category]=C158)*(Table1[Execution Year]=$C$4)*(Table1[Most curent]=TRUE)),"")</f>
        <v/>
      </c>
    </row>
    <row r="159" spans="13:13">
      <c r="M159" s="268" t="str" cm="1">
        <f t="array" ref="M159">IFERROR(_xlfn._xlws.FILTER(Table1[Start Date - US],(Table1[Category]=C159)*(Table1[Execution Year]=$C$4)*(Table1[Most curent]=TRUE)),"")</f>
        <v/>
      </c>
    </row>
    <row r="160" spans="13:13">
      <c r="M160" s="268" t="str" cm="1">
        <f t="array" ref="M160">IFERROR(_xlfn._xlws.FILTER(Table1[Start Date - US],(Table1[Category]=C160)*(Table1[Execution Year]=$C$4)*(Table1[Most curent]=TRUE)),"")</f>
        <v/>
      </c>
    </row>
    <row r="161" spans="13:13">
      <c r="M161" s="268" t="str" cm="1">
        <f t="array" ref="M161">IFERROR(_xlfn._xlws.FILTER(Table1[Start Date - US],(Table1[Category]=C161)*(Table1[Execution Year]=$C$4)*(Table1[Most curent]=TRUE)),"")</f>
        <v/>
      </c>
    </row>
    <row r="162" spans="13:13">
      <c r="M162" s="268" t="str" cm="1">
        <f t="array" ref="M162">IFERROR(_xlfn._xlws.FILTER(Table1[Start Date - US],(Table1[Category]=C162)*(Table1[Execution Year]=$C$4)*(Table1[Most curent]=TRUE)),"")</f>
        <v/>
      </c>
    </row>
    <row r="163" spans="13:13">
      <c r="M163" s="268" t="str" cm="1">
        <f t="array" ref="M163">IFERROR(_xlfn._xlws.FILTER(Table1[Start Date - US],(Table1[Category]=C163)*(Table1[Execution Year]=$C$4)*(Table1[Most curent]=TRUE)),"")</f>
        <v/>
      </c>
    </row>
    <row r="164" spans="13:13">
      <c r="M164" s="268" t="str" cm="1">
        <f t="array" ref="M164">IFERROR(_xlfn._xlws.FILTER(Table1[Start Date - US],(Table1[Category]=C164)*(Table1[Execution Year]=$C$4)*(Table1[Most curent]=TRUE)),"")</f>
        <v/>
      </c>
    </row>
    <row r="165" spans="13:13">
      <c r="M165" s="268" t="str" cm="1">
        <f t="array" ref="M165">IFERROR(_xlfn._xlws.FILTER(Table1[Start Date - US],(Table1[Category]=C165)*(Table1[Execution Year]=$C$4)*(Table1[Most curent]=TRUE)),"")</f>
        <v/>
      </c>
    </row>
    <row r="166" spans="13:13">
      <c r="M166" s="268" t="str" cm="1">
        <f t="array" ref="M166">IFERROR(_xlfn._xlws.FILTER(Table1[Start Date - US],(Table1[Category]=C166)*(Table1[Execution Year]=$C$4)*(Table1[Most curent]=TRUE)),"")</f>
        <v/>
      </c>
    </row>
    <row r="167" spans="13:13">
      <c r="M167" s="268" t="str" cm="1">
        <f t="array" ref="M167">IFERROR(_xlfn._xlws.FILTER(Table1[Start Date - US],(Table1[Category]=C167)*(Table1[Execution Year]=$C$4)*(Table1[Most curent]=TRUE)),"")</f>
        <v/>
      </c>
    </row>
    <row r="168" spans="13:13">
      <c r="M168" s="268" t="str" cm="1">
        <f t="array" ref="M168">IFERROR(_xlfn._xlws.FILTER(Table1[Start Date - US],(Table1[Category]=C168)*(Table1[Execution Year]=$C$4)*(Table1[Most curent]=TRUE)),"")</f>
        <v/>
      </c>
    </row>
    <row r="169" spans="13:13">
      <c r="M169" s="268" t="str" cm="1">
        <f t="array" ref="M169">IFERROR(_xlfn._xlws.FILTER(Table1[Start Date - US],(Table1[Category]=C169)*(Table1[Execution Year]=$C$4)*(Table1[Most curent]=TRUE)),"")</f>
        <v/>
      </c>
    </row>
    <row r="170" spans="13:13">
      <c r="M170" s="268" t="str" cm="1">
        <f t="array" ref="M170">IFERROR(_xlfn._xlws.FILTER(Table1[Start Date - US],(Table1[Category]=C170)*(Table1[Execution Year]=$C$4)*(Table1[Most curent]=TRUE)),"")</f>
        <v/>
      </c>
    </row>
    <row r="171" spans="13:13">
      <c r="M171" s="268" t="str" cm="1">
        <f t="array" ref="M171">IFERROR(_xlfn._xlws.FILTER(Table1[Start Date - US],(Table1[Category]=C171)*(Table1[Execution Year]=$C$4)*(Table1[Most curent]=TRUE)),"")</f>
        <v/>
      </c>
    </row>
    <row r="172" spans="13:13">
      <c r="M172" s="268" t="str" cm="1">
        <f t="array" ref="M172">IFERROR(_xlfn._xlws.FILTER(Table1[Start Date - US],(Table1[Category]=C172)*(Table1[Execution Year]=$C$4)*(Table1[Most curent]=TRUE)),"")</f>
        <v/>
      </c>
    </row>
    <row r="173" spans="13:13">
      <c r="M173" s="268" t="str" cm="1">
        <f t="array" ref="M173">IFERROR(_xlfn._xlws.FILTER(Table1[Start Date - US],(Table1[Category]=C173)*(Table1[Execution Year]=$C$4)*(Table1[Most curent]=TRUE)),"")</f>
        <v/>
      </c>
    </row>
    <row r="174" spans="13:13">
      <c r="M174" s="268" t="str" cm="1">
        <f t="array" ref="M174">IFERROR(_xlfn._xlws.FILTER(Table1[Start Date - US],(Table1[Category]=C174)*(Table1[Execution Year]=$C$4)*(Table1[Most curent]=TRUE)),"")</f>
        <v/>
      </c>
    </row>
    <row r="175" spans="13:13">
      <c r="M175" s="268" t="str" cm="1">
        <f t="array" ref="M175">IFERROR(_xlfn._xlws.FILTER(Table1[Start Date - US],(Table1[Category]=C175)*(Table1[Execution Year]=$C$4)*(Table1[Most curent]=TRUE)),"")</f>
        <v/>
      </c>
    </row>
    <row r="176" spans="13:13">
      <c r="M176" s="268" t="str" cm="1">
        <f t="array" ref="M176">IFERROR(_xlfn._xlws.FILTER(Table1[Start Date - US],(Table1[Category]=C176)*(Table1[Execution Year]=$C$4)*(Table1[Most curent]=TRUE)),"")</f>
        <v/>
      </c>
    </row>
    <row r="177" spans="13:13">
      <c r="M177" s="268" t="str" cm="1">
        <f t="array" ref="M177">IFERROR(_xlfn._xlws.FILTER(Table1[Start Date - US],(Table1[Category]=C177)*(Table1[Execution Year]=$C$4)*(Table1[Most curent]=TRUE)),"")</f>
        <v/>
      </c>
    </row>
    <row r="178" spans="13:13">
      <c r="M178" s="268" t="str" cm="1">
        <f t="array" ref="M178">IFERROR(_xlfn._xlws.FILTER(Table1[Start Date - US],(Table1[Category]=C178)*(Table1[Execution Year]=$C$4)*(Table1[Most curent]=TRUE)),"")</f>
        <v/>
      </c>
    </row>
    <row r="179" spans="13:13">
      <c r="M179" s="268" t="str" cm="1">
        <f t="array" ref="M179">IFERROR(_xlfn._xlws.FILTER(Table1[Start Date - US],(Table1[Category]=C179)*(Table1[Execution Year]=$C$4)*(Table1[Most curent]=TRUE)),"")</f>
        <v/>
      </c>
    </row>
    <row r="180" spans="13:13">
      <c r="M180" s="268" t="str" cm="1">
        <f t="array" ref="M180">IFERROR(_xlfn._xlws.FILTER(Table1[Start Date - US],(Table1[Category]=C180)*(Table1[Execution Year]=$C$4)*(Table1[Most curent]=TRUE)),"")</f>
        <v/>
      </c>
    </row>
    <row r="181" spans="13:13">
      <c r="M181" s="268" t="str" cm="1">
        <f t="array" ref="M181">IFERROR(_xlfn._xlws.FILTER(Table1[Start Date - US],(Table1[Category]=C181)*(Table1[Execution Year]=$C$4)*(Table1[Most curent]=TRUE)),"")</f>
        <v/>
      </c>
    </row>
    <row r="182" spans="13:13">
      <c r="M182" s="268" t="str" cm="1">
        <f t="array" ref="M182">IFERROR(_xlfn._xlws.FILTER(Table1[Start Date - US],(Table1[Category]=C182)*(Table1[Execution Year]=$C$4)*(Table1[Most curent]=TRUE)),"")</f>
        <v/>
      </c>
    </row>
    <row r="183" spans="13:13">
      <c r="M183" s="268" t="str" cm="1">
        <f t="array" ref="M183">IFERROR(_xlfn._xlws.FILTER(Table1[Start Date - US],(Table1[Category]=C183)*(Table1[Execution Year]=$C$4)*(Table1[Most curent]=TRUE)),"")</f>
        <v/>
      </c>
    </row>
    <row r="184" spans="13:13">
      <c r="M184" s="268" t="str" cm="1">
        <f t="array" ref="M184">IFERROR(_xlfn._xlws.FILTER(Table1[Start Date - US],(Table1[Category]=C184)*(Table1[Execution Year]=$C$4)*(Table1[Most curent]=TRUE)),"")</f>
        <v/>
      </c>
    </row>
    <row r="185" spans="13:13">
      <c r="M185" s="268" t="str" cm="1">
        <f t="array" ref="M185">IFERROR(_xlfn._xlws.FILTER(Table1[Start Date - US],(Table1[Category]=C185)*(Table1[Execution Year]=$C$4)*(Table1[Most curent]=TRUE)),"")</f>
        <v/>
      </c>
    </row>
    <row r="186" spans="13:13">
      <c r="M186" s="268" t="str" cm="1">
        <f t="array" ref="M186">IFERROR(_xlfn._xlws.FILTER(Table1[Start Date - US],(Table1[Category]=C186)*(Table1[Execution Year]=$C$4)*(Table1[Most curent]=TRUE)),"")</f>
        <v/>
      </c>
    </row>
    <row r="187" spans="13:13">
      <c r="M187" s="268" t="str" cm="1">
        <f t="array" ref="M187">IFERROR(_xlfn._xlws.FILTER(Table1[Start Date - US],(Table1[Category]=C187)*(Table1[Execution Year]=$C$4)*(Table1[Most curent]=TRUE)),"")</f>
        <v/>
      </c>
    </row>
    <row r="188" spans="13:13">
      <c r="M188" s="268" t="str" cm="1">
        <f t="array" ref="M188">IFERROR(_xlfn._xlws.FILTER(Table1[Start Date - US],(Table1[Category]=C188)*(Table1[Execution Year]=$C$4)*(Table1[Most curent]=TRUE)),"")</f>
        <v/>
      </c>
    </row>
    <row r="189" spans="13:13">
      <c r="M189" s="268" t="str" cm="1">
        <f t="array" ref="M189">IFERROR(_xlfn._xlws.FILTER(Table1[Start Date - US],(Table1[Category]=C189)*(Table1[Execution Year]=$C$4)*(Table1[Most curent]=TRUE)),"")</f>
        <v/>
      </c>
    </row>
    <row r="190" spans="13:13">
      <c r="M190" s="268" t="str" cm="1">
        <f t="array" ref="M190">IFERROR(_xlfn._xlws.FILTER(Table1[Start Date - US],(Table1[Category]=C190)*(Table1[Execution Year]=$C$4)*(Table1[Most curent]=TRUE)),"")</f>
        <v/>
      </c>
    </row>
    <row r="191" spans="13:13">
      <c r="M191" s="268" t="str" cm="1">
        <f t="array" ref="M191">IFERROR(_xlfn._xlws.FILTER(Table1[Start Date - US],(Table1[Category]=C191)*(Table1[Execution Year]=$C$4)*(Table1[Most curent]=TRUE)),"")</f>
        <v/>
      </c>
    </row>
    <row r="192" spans="13:13">
      <c r="M192" s="268" t="str" cm="1">
        <f t="array" ref="M192">IFERROR(_xlfn._xlws.FILTER(Table1[Start Date - US],(Table1[Category]=C192)*(Table1[Execution Year]=$C$4)*(Table1[Most curent]=TRUE)),"")</f>
        <v/>
      </c>
    </row>
    <row r="193" spans="13:13">
      <c r="M193" s="268" t="str" cm="1">
        <f t="array" ref="M193">IFERROR(_xlfn._xlws.FILTER(Table1[Start Date - US],(Table1[Category]=C193)*(Table1[Execution Year]=$C$4)*(Table1[Most curent]=TRUE)),"")</f>
        <v/>
      </c>
    </row>
    <row r="194" spans="13:13">
      <c r="M194" s="268" t="str" cm="1">
        <f t="array" ref="M194">IFERROR(_xlfn._xlws.FILTER(Table1[Start Date - US],(Table1[Category]=C194)*(Table1[Execution Year]=$C$4)*(Table1[Most curent]=TRUE)),"")</f>
        <v/>
      </c>
    </row>
    <row r="195" spans="13:13">
      <c r="M195" s="268" t="str" cm="1">
        <f t="array" ref="M195">IFERROR(_xlfn._xlws.FILTER(Table1[Start Date - US],(Table1[Category]=C195)*(Table1[Execution Year]=$C$4)*(Table1[Most curent]=TRUE)),"")</f>
        <v/>
      </c>
    </row>
    <row r="196" spans="13:13">
      <c r="M196" s="268" t="str" cm="1">
        <f t="array" ref="M196">IFERROR(_xlfn._xlws.FILTER(Table1[Start Date - US],(Table1[Category]=C196)*(Table1[Execution Year]=$C$4)*(Table1[Most curent]=TRUE)),"")</f>
        <v/>
      </c>
    </row>
    <row r="197" spans="13:13">
      <c r="M197" s="268" t="str" cm="1">
        <f t="array" ref="M197">IFERROR(_xlfn._xlws.FILTER(Table1[Start Date - US],(Table1[Category]=C197)*(Table1[Execution Year]=$C$4)*(Table1[Most curent]=TRUE)),"")</f>
        <v/>
      </c>
    </row>
    <row r="198" spans="13:13">
      <c r="M198" s="268" t="str" cm="1">
        <f t="array" ref="M198">IFERROR(_xlfn._xlws.FILTER(Table1[Start Date - US],(Table1[Category]=C198)*(Table1[Execution Year]=$C$4)*(Table1[Most curent]=TRUE)),"")</f>
        <v/>
      </c>
    </row>
    <row r="199" spans="13:13">
      <c r="M199" s="268" t="str" cm="1">
        <f t="array" ref="M199">IFERROR(_xlfn._xlws.FILTER(Table1[Start Date - US],(Table1[Category]=C199)*(Table1[Execution Year]=$C$4)*(Table1[Most curent]=TRUE)),"")</f>
        <v/>
      </c>
    </row>
    <row r="200" spans="13:13">
      <c r="M200" s="268" t="str" cm="1">
        <f t="array" ref="M200">IFERROR(_xlfn._xlws.FILTER(Table1[Start Date - US],(Table1[Category]=C200)*(Table1[Execution Year]=$C$4)*(Table1[Most curent]=TRUE)),"")</f>
        <v/>
      </c>
    </row>
    <row r="201" spans="13:13">
      <c r="M201" s="268" t="str" cm="1">
        <f t="array" ref="M201">IFERROR(_xlfn._xlws.FILTER(Table1[Start Date - US],(Table1[Category]=C201)*(Table1[Execution Year]=$C$4)*(Table1[Most curent]=TRUE)),"")</f>
        <v/>
      </c>
    </row>
    <row r="202" spans="13:13">
      <c r="M202" s="268" t="str" cm="1">
        <f t="array" ref="M202">IFERROR(_xlfn._xlws.FILTER(Table1[Start Date - US],(Table1[Category]=C202)*(Table1[Execution Year]=$C$4)*(Table1[Most curent]=TRUE)),"")</f>
        <v/>
      </c>
    </row>
    <row r="203" spans="13:13">
      <c r="M203" s="268" t="str" cm="1">
        <f t="array" ref="M203">IFERROR(_xlfn._xlws.FILTER(Table1[Start Date - US],(Table1[Category]=C203)*(Table1[Execution Year]=$C$4)*(Table1[Most curent]=TRUE)),"")</f>
        <v/>
      </c>
    </row>
    <row r="204" spans="13:13">
      <c r="M204" s="268" t="str" cm="1">
        <f t="array" ref="M204">IFERROR(_xlfn._xlws.FILTER(Table1[Start Date - US],(Table1[Category]=C204)*(Table1[Execution Year]=$C$4)*(Table1[Most curent]=TRUE)),"")</f>
        <v/>
      </c>
    </row>
    <row r="205" spans="13:13">
      <c r="M205" s="268" t="str" cm="1">
        <f t="array" ref="M205">IFERROR(_xlfn._xlws.FILTER(Table1[Start Date - US],(Table1[Category]=C205)*(Table1[Execution Year]=$C$4)*(Table1[Most curent]=TRUE)),"")</f>
        <v/>
      </c>
    </row>
    <row r="206" spans="13:13">
      <c r="M206" s="268" t="str" cm="1">
        <f t="array" ref="M206">IFERROR(_xlfn._xlws.FILTER(Table1[Start Date - US],(Table1[Category]=C206)*(Table1[Execution Year]=$C$4)*(Table1[Most curent]=TRUE)),"")</f>
        <v/>
      </c>
    </row>
    <row r="207" spans="13:13">
      <c r="M207" s="268" t="str" cm="1">
        <f t="array" ref="M207">IFERROR(_xlfn._xlws.FILTER(Table1[Start Date - US],(Table1[Category]=C207)*(Table1[Execution Year]=$C$4)*(Table1[Most curent]=TRUE)),"")</f>
        <v/>
      </c>
    </row>
    <row r="208" spans="13:13">
      <c r="M208" s="268" t="str" cm="1">
        <f t="array" ref="M208">IFERROR(_xlfn._xlws.FILTER(Table1[Start Date - US],(Table1[Category]=C208)*(Table1[Execution Year]=$C$4)*(Table1[Most curent]=TRUE)),"")</f>
        <v/>
      </c>
    </row>
    <row r="209" spans="13:13">
      <c r="M209" s="268" t="str" cm="1">
        <f t="array" ref="M209">IFERROR(_xlfn._xlws.FILTER(Table1[Start Date - US],(Table1[Category]=C209)*(Table1[Execution Year]=$C$4)*(Table1[Most curent]=TRUE)),"")</f>
        <v/>
      </c>
    </row>
    <row r="210" spans="13:13">
      <c r="M210" s="268" t="str" cm="1">
        <f t="array" ref="M210">IFERROR(_xlfn._xlws.FILTER(Table1[Start Date - US],(Table1[Category]=C210)*(Table1[Execution Year]=$C$4)*(Table1[Most curent]=TRUE)),"")</f>
        <v/>
      </c>
    </row>
    <row r="211" spans="13:13">
      <c r="M211" s="268" t="str" cm="1">
        <f t="array" ref="M211">IFERROR(_xlfn._xlws.FILTER(Table1[Start Date - US],(Table1[Category]=C211)*(Table1[Execution Year]=$C$4)*(Table1[Most curent]=TRUE)),"")</f>
        <v/>
      </c>
    </row>
    <row r="212" spans="13:13">
      <c r="M212" s="268" t="str" cm="1">
        <f t="array" ref="M212">IFERROR(_xlfn._xlws.FILTER(Table1[Start Date - US],(Table1[Category]=C212)*(Table1[Execution Year]=$C$4)*(Table1[Most curent]=TRUE)),"")</f>
        <v/>
      </c>
    </row>
    <row r="213" spans="13:13">
      <c r="M213" s="268" t="str" cm="1">
        <f t="array" ref="M213">IFERROR(_xlfn._xlws.FILTER(Table1[Start Date - US],(Table1[Category]=C213)*(Table1[Execution Year]=$C$4)*(Table1[Most curent]=TRUE)),"")</f>
        <v/>
      </c>
    </row>
    <row r="214" spans="13:13">
      <c r="M214" s="268" t="str" cm="1">
        <f t="array" ref="M214">IFERROR(_xlfn._xlws.FILTER(Table1[Start Date - US],(Table1[Category]=C214)*(Table1[Execution Year]=$C$4)*(Table1[Most curent]=TRUE)),"")</f>
        <v/>
      </c>
    </row>
    <row r="215" spans="13:13">
      <c r="M215" s="268" t="str" cm="1">
        <f t="array" ref="M215">IFERROR(_xlfn._xlws.FILTER(Table1[Start Date - US],(Table1[Category]=C215)*(Table1[Execution Year]=$C$4)*(Table1[Most curent]=TRUE)),"")</f>
        <v/>
      </c>
    </row>
    <row r="216" spans="13:13">
      <c r="M216" s="268" t="str" cm="1">
        <f t="array" ref="M216">IFERROR(_xlfn._xlws.FILTER(Table1[Start Date - US],(Table1[Category]=C216)*(Table1[Execution Year]=$C$4)*(Table1[Most curent]=TRUE)),"")</f>
        <v/>
      </c>
    </row>
    <row r="217" spans="13:13">
      <c r="M217" s="268" t="str" cm="1">
        <f t="array" ref="M217">IFERROR(_xlfn._xlws.FILTER(Table1[Start Date - US],(Table1[Category]=C217)*(Table1[Execution Year]=$C$4)*(Table1[Most curent]=TRUE)),"")</f>
        <v/>
      </c>
    </row>
    <row r="218" spans="13:13">
      <c r="M218" s="268" t="str" cm="1">
        <f t="array" ref="M218">IFERROR(_xlfn._xlws.FILTER(Table1[Start Date - US],(Table1[Category]=C218)*(Table1[Execution Year]=$C$4)*(Table1[Most curent]=TRUE)),"")</f>
        <v/>
      </c>
    </row>
    <row r="219" spans="13:13">
      <c r="M219" s="268" t="str" cm="1">
        <f t="array" ref="M219">IFERROR(_xlfn._xlws.FILTER(Table1[Start Date - US],(Table1[Category]=C219)*(Table1[Execution Year]=$C$4)*(Table1[Most curent]=TRUE)),"")</f>
        <v/>
      </c>
    </row>
    <row r="220" spans="13:13">
      <c r="M220" s="268" t="str" cm="1">
        <f t="array" ref="M220">IFERROR(_xlfn._xlws.FILTER(Table1[Start Date - US],(Table1[Category]=C220)*(Table1[Execution Year]=$C$4)*(Table1[Most curent]=TRUE)),"")</f>
        <v/>
      </c>
    </row>
    <row r="221" spans="13:13">
      <c r="M221" s="268" t="str" cm="1">
        <f t="array" ref="M221">IFERROR(_xlfn._xlws.FILTER(Table1[Start Date - US],(Table1[Category]=C221)*(Table1[Execution Year]=$C$4)*(Table1[Most curent]=TRUE)),"")</f>
        <v/>
      </c>
    </row>
    <row r="222" spans="13:13">
      <c r="M222" s="268" t="str" cm="1">
        <f t="array" ref="M222">IFERROR(_xlfn._xlws.FILTER(Table1[Start Date - US],(Table1[Category]=C222)*(Table1[Execution Year]=$C$4)*(Table1[Most curent]=TRUE)),"")</f>
        <v/>
      </c>
    </row>
    <row r="223" spans="13:13">
      <c r="M223" s="268" t="str" cm="1">
        <f t="array" ref="M223">IFERROR(_xlfn._xlws.FILTER(Table1[Start Date - US],(Table1[Category]=C223)*(Table1[Execution Year]=$C$4)*(Table1[Most curent]=TRUE)),"")</f>
        <v/>
      </c>
    </row>
    <row r="224" spans="13:13">
      <c r="M224" s="268" t="str" cm="1">
        <f t="array" ref="M224">IFERROR(_xlfn._xlws.FILTER(Table1[Start Date - US],(Table1[Category]=C224)*(Table1[Execution Year]=$C$4)*(Table1[Most curent]=TRUE)),"")</f>
        <v/>
      </c>
    </row>
    <row r="225" spans="13:13">
      <c r="M225" s="268" t="str" cm="1">
        <f t="array" ref="M225">IFERROR(_xlfn._xlws.FILTER(Table1[Start Date - US],(Table1[Category]=C225)*(Table1[Execution Year]=$C$4)*(Table1[Most curent]=TRUE)),"")</f>
        <v/>
      </c>
    </row>
    <row r="226" spans="13:13">
      <c r="M226" s="268" t="str" cm="1">
        <f t="array" ref="M226">IFERROR(_xlfn._xlws.FILTER(Table1[Start Date - US],(Table1[Category]=C226)*(Table1[Execution Year]=$C$4)*(Table1[Most curent]=TRUE)),"")</f>
        <v/>
      </c>
    </row>
    <row r="227" spans="13:13">
      <c r="M227" s="268" t="str" cm="1">
        <f t="array" ref="M227">IFERROR(_xlfn._xlws.FILTER(Table1[Start Date - US],(Table1[Category]=C227)*(Table1[Execution Year]=$C$4)*(Table1[Most curent]=TRUE)),"")</f>
        <v/>
      </c>
    </row>
    <row r="228" spans="13:13">
      <c r="M228" s="268" t="str" cm="1">
        <f t="array" ref="M228">IFERROR(_xlfn._xlws.FILTER(Table1[Start Date - US],(Table1[Category]=C228)*(Table1[Execution Year]=$C$4)*(Table1[Most curent]=TRUE)),"")</f>
        <v/>
      </c>
    </row>
    <row r="229" spans="13:13">
      <c r="M229" s="268" t="str" cm="1">
        <f t="array" ref="M229">IFERROR(_xlfn._xlws.FILTER(Table1[Start Date - US],(Table1[Category]=C229)*(Table1[Execution Year]=$C$4)*(Table1[Most curent]=TRUE)),"")</f>
        <v/>
      </c>
    </row>
    <row r="230" spans="13:13">
      <c r="M230" s="268" t="str" cm="1">
        <f t="array" ref="M230">IFERROR(_xlfn._xlws.FILTER(Table1[Start Date - US],(Table1[Category]=C230)*(Table1[Execution Year]=$C$4)*(Table1[Most curent]=TRUE)),"")</f>
        <v/>
      </c>
    </row>
    <row r="231" spans="13:13">
      <c r="M231" s="268" t="str" cm="1">
        <f t="array" ref="M231">IFERROR(_xlfn._xlws.FILTER(Table1[Start Date - US],(Table1[Category]=C231)*(Table1[Execution Year]=$C$4)*(Table1[Most curent]=TRUE)),"")</f>
        <v/>
      </c>
    </row>
    <row r="232" spans="13:13">
      <c r="M232" s="268" t="str" cm="1">
        <f t="array" ref="M232">IFERROR(_xlfn._xlws.FILTER(Table1[Start Date - US],(Table1[Category]=C232)*(Table1[Execution Year]=$C$4)*(Table1[Most curent]=TRUE)),"")</f>
        <v/>
      </c>
    </row>
    <row r="233" spans="13:13">
      <c r="M233" s="268" t="str" cm="1">
        <f t="array" ref="M233">IFERROR(_xlfn._xlws.FILTER(Table1[Start Date - US],(Table1[Category]=C233)*(Table1[Execution Year]=$C$4)*(Table1[Most curent]=TRUE)),"")</f>
        <v/>
      </c>
    </row>
    <row r="234" spans="13:13">
      <c r="M234" s="268" t="str" cm="1">
        <f t="array" ref="M234">IFERROR(_xlfn._xlws.FILTER(Table1[Start Date - US],(Table1[Category]=C234)*(Table1[Execution Year]=$C$4)*(Table1[Most curent]=TRUE)),"")</f>
        <v/>
      </c>
    </row>
    <row r="235" spans="13:13">
      <c r="M235" s="268" t="str" cm="1">
        <f t="array" ref="M235">IFERROR(_xlfn._xlws.FILTER(Table1[Start Date - US],(Table1[Category]=C235)*(Table1[Execution Year]=$C$4)*(Table1[Most curent]=TRUE)),"")</f>
        <v/>
      </c>
    </row>
    <row r="236" spans="13:13">
      <c r="M236" s="268" t="str" cm="1">
        <f t="array" ref="M236">IFERROR(_xlfn._xlws.FILTER(Table1[Start Date - US],(Table1[Category]=C236)*(Table1[Execution Year]=$C$4)*(Table1[Most curent]=TRUE)),"")</f>
        <v/>
      </c>
    </row>
    <row r="237" spans="13:13">
      <c r="M237" s="268" t="str" cm="1">
        <f t="array" ref="M237">IFERROR(_xlfn._xlws.FILTER(Table1[Start Date - US],(Table1[Category]=C237)*(Table1[Execution Year]=$C$4)*(Table1[Most curent]=TRUE)),"")</f>
        <v/>
      </c>
    </row>
    <row r="238" spans="13:13">
      <c r="M238" s="268" t="str" cm="1">
        <f t="array" ref="M238">IFERROR(_xlfn._xlws.FILTER(Table1[Start Date - US],(Table1[Category]=C238)*(Table1[Execution Year]=$C$4)*(Table1[Most curent]=TRUE)),"")</f>
        <v/>
      </c>
    </row>
    <row r="239" spans="13:13">
      <c r="M239" s="268" t="str" cm="1">
        <f t="array" ref="M239">IFERROR(_xlfn._xlws.FILTER(Table1[Start Date - US],(Table1[Category]=C239)*(Table1[Execution Year]=$C$4)*(Table1[Most curent]=TRUE)),"")</f>
        <v/>
      </c>
    </row>
    <row r="240" spans="13:13">
      <c r="M240" s="268" t="str" cm="1">
        <f t="array" ref="M240">IFERROR(_xlfn._xlws.FILTER(Table1[Start Date - US],(Table1[Category]=C240)*(Table1[Execution Year]=$C$4)*(Table1[Most curent]=TRUE)),"")</f>
        <v/>
      </c>
    </row>
    <row r="241" spans="13:13">
      <c r="M241" s="268" t="str" cm="1">
        <f t="array" ref="M241">IFERROR(_xlfn._xlws.FILTER(Table1[Start Date - US],(Table1[Category]=C241)*(Table1[Execution Year]=$C$4)*(Table1[Most curent]=TRUE)),"")</f>
        <v/>
      </c>
    </row>
    <row r="242" spans="13:13">
      <c r="M242" s="268" t="str" cm="1">
        <f t="array" ref="M242">IFERROR(_xlfn._xlws.FILTER(Table1[Start Date - US],(Table1[Category]=C242)*(Table1[Execution Year]=$C$4)*(Table1[Most curent]=TRUE)),"")</f>
        <v/>
      </c>
    </row>
    <row r="243" spans="13:13">
      <c r="M243" s="268" t="str" cm="1">
        <f t="array" ref="M243">IFERROR(_xlfn._xlws.FILTER(Table1[Start Date - US],(Table1[Category]=C243)*(Table1[Execution Year]=$C$4)*(Table1[Most curent]=TRUE)),"")</f>
        <v/>
      </c>
    </row>
    <row r="244" spans="13:13">
      <c r="M244" s="268" t="str" cm="1">
        <f t="array" ref="M244">IFERROR(_xlfn._xlws.FILTER(Table1[Start Date - US],(Table1[Category]=C244)*(Table1[Execution Year]=$C$4)*(Table1[Most curent]=TRUE)),"")</f>
        <v/>
      </c>
    </row>
    <row r="245" spans="13:13">
      <c r="M245" s="268" t="str" cm="1">
        <f t="array" ref="M245">IFERROR(_xlfn._xlws.FILTER(Table1[Start Date - US],(Table1[Category]=C245)*(Table1[Execution Year]=$C$4)*(Table1[Most curent]=TRUE)),"")</f>
        <v/>
      </c>
    </row>
    <row r="246" spans="13:13">
      <c r="M246" s="268" t="str" cm="1">
        <f t="array" ref="M246">IFERROR(_xlfn._xlws.FILTER(Table1[Start Date - US],(Table1[Category]=C246)*(Table1[Execution Year]=$C$4)*(Table1[Most curent]=TRUE)),"")</f>
        <v/>
      </c>
    </row>
    <row r="247" spans="13:13">
      <c r="M247" s="268" t="str" cm="1">
        <f t="array" ref="M247">IFERROR(_xlfn._xlws.FILTER(Table1[Start Date - US],(Table1[Category]=C247)*(Table1[Execution Year]=$C$4)*(Table1[Most curent]=TRUE)),"")</f>
        <v/>
      </c>
    </row>
    <row r="248" spans="13:13">
      <c r="M248" s="268" t="str" cm="1">
        <f t="array" ref="M248">IFERROR(_xlfn._xlws.FILTER(Table1[Start Date - US],(Table1[Category]=C248)*(Table1[Execution Year]=$C$4)*(Table1[Most curent]=TRUE)),"")</f>
        <v/>
      </c>
    </row>
    <row r="249" spans="13:13">
      <c r="M249" s="268" t="str" cm="1">
        <f t="array" ref="M249">IFERROR(_xlfn._xlws.FILTER(Table1[Start Date - US],(Table1[Category]=C249)*(Table1[Execution Year]=$C$4)*(Table1[Most curent]=TRUE)),"")</f>
        <v/>
      </c>
    </row>
    <row r="250" spans="13:13">
      <c r="M250" s="268" t="str" cm="1">
        <f t="array" ref="M250">IFERROR(_xlfn._xlws.FILTER(Table1[Start Date - US],(Table1[Category]=C250)*(Table1[Execution Year]=$C$4)*(Table1[Most curent]=TRUE)),"")</f>
        <v/>
      </c>
    </row>
    <row r="251" spans="13:13">
      <c r="M251" s="268" t="str" cm="1">
        <f t="array" ref="M251">IFERROR(_xlfn._xlws.FILTER(Table1[Start Date - US],(Table1[Category]=C251)*(Table1[Execution Year]=$C$4)*(Table1[Most curent]=TRUE)),"")</f>
        <v/>
      </c>
    </row>
    <row r="252" spans="13:13">
      <c r="M252" s="268" t="str" cm="1">
        <f t="array" ref="M252">IFERROR(_xlfn._xlws.FILTER(Table1[Start Date - US],(Table1[Category]=C252)*(Table1[Execution Year]=$C$4)*(Table1[Most curent]=TRUE)),"")</f>
        <v/>
      </c>
    </row>
    <row r="253" spans="13:13">
      <c r="M253" s="268" t="str" cm="1">
        <f t="array" ref="M253">IFERROR(_xlfn._xlws.FILTER(Table1[Start Date - US],(Table1[Category]=C253)*(Table1[Execution Year]=$C$4)*(Table1[Most curent]=TRUE)),"")</f>
        <v/>
      </c>
    </row>
    <row r="254" spans="13:13">
      <c r="M254" s="268" t="str" cm="1">
        <f t="array" ref="M254">IFERROR(_xlfn._xlws.FILTER(Table1[Start Date - US],(Table1[Category]=C254)*(Table1[Execution Year]=$C$4)*(Table1[Most curent]=TRUE)),"")</f>
        <v/>
      </c>
    </row>
    <row r="255" spans="13:13">
      <c r="M255" s="268" t="str" cm="1">
        <f t="array" ref="M255">IFERROR(_xlfn._xlws.FILTER(Table1[Start Date - US],(Table1[Category]=C255)*(Table1[Execution Year]=$C$4)*(Table1[Most curent]=TRUE)),"")</f>
        <v/>
      </c>
    </row>
    <row r="256" spans="13:13">
      <c r="M256" s="268" t="str" cm="1">
        <f t="array" ref="M256">IFERROR(_xlfn._xlws.FILTER(Table1[Start Date - US],(Table1[Category]=C256)*(Table1[Execution Year]=$C$4)*(Table1[Most curent]=TRUE)),"")</f>
        <v/>
      </c>
    </row>
    <row r="257" spans="13:13">
      <c r="M257" s="268" t="str" cm="1">
        <f t="array" ref="M257">IFERROR(_xlfn._xlws.FILTER(Table1[Start Date - US],(Table1[Category]=C257)*(Table1[Execution Year]=$C$4)*(Table1[Most curent]=TRUE)),"")</f>
        <v/>
      </c>
    </row>
    <row r="258" spans="13:13">
      <c r="M258" s="268" t="str" cm="1">
        <f t="array" ref="M258">IFERROR(_xlfn._xlws.FILTER(Table1[Start Date - US],(Table1[Category]=C258)*(Table1[Execution Year]=$C$4)*(Table1[Most curent]=TRUE)),"")</f>
        <v/>
      </c>
    </row>
    <row r="259" spans="13:13">
      <c r="M259" s="268" t="str" cm="1">
        <f t="array" ref="M259">IFERROR(_xlfn._xlws.FILTER(Table1[Start Date - US],(Table1[Category]=C259)*(Table1[Execution Year]=$C$4)*(Table1[Most curent]=TRUE)),"")</f>
        <v/>
      </c>
    </row>
    <row r="260" spans="13:13">
      <c r="M260" s="268" t="str" cm="1">
        <f t="array" ref="M260">IFERROR(_xlfn._xlws.FILTER(Table1[Start Date - US],(Table1[Category]=C260)*(Table1[Execution Year]=$C$4)*(Table1[Most curent]=TRUE)),"")</f>
        <v/>
      </c>
    </row>
    <row r="261" spans="13:13">
      <c r="M261" s="268" t="str" cm="1">
        <f t="array" ref="M261">IFERROR(_xlfn._xlws.FILTER(Table1[Start Date - US],(Table1[Category]=C261)*(Table1[Execution Year]=$C$4)*(Table1[Most curent]=TRUE)),"")</f>
        <v/>
      </c>
    </row>
    <row r="262" spans="13:13">
      <c r="M262" s="268" t="str" cm="1">
        <f t="array" ref="M262">IFERROR(_xlfn._xlws.FILTER(Table1[Start Date - US],(Table1[Category]=C262)*(Table1[Execution Year]=$C$4)*(Table1[Most curent]=TRUE)),"")</f>
        <v/>
      </c>
    </row>
    <row r="263" spans="13:13">
      <c r="M263" s="268" t="str" cm="1">
        <f t="array" ref="M263">IFERROR(_xlfn._xlws.FILTER(Table1[Start Date - US],(Table1[Category]=C263)*(Table1[Execution Year]=$C$4)*(Table1[Most curent]=TRUE)),"")</f>
        <v/>
      </c>
    </row>
    <row r="264" spans="13:13">
      <c r="M264" s="268" t="str" cm="1">
        <f t="array" ref="M264">IFERROR(_xlfn._xlws.FILTER(Table1[Start Date - US],(Table1[Category]=C264)*(Table1[Execution Year]=$C$4)*(Table1[Most curent]=TRUE)),"")</f>
        <v/>
      </c>
    </row>
    <row r="265" spans="13:13">
      <c r="M265" s="268" t="str" cm="1">
        <f t="array" ref="M265">IFERROR(_xlfn._xlws.FILTER(Table1[Start Date - US],(Table1[Category]=C265)*(Table1[Execution Year]=$C$4)*(Table1[Most curent]=TRUE)),"")</f>
        <v/>
      </c>
    </row>
    <row r="266" spans="13:13">
      <c r="M266" s="268" t="str" cm="1">
        <f t="array" ref="M266">IFERROR(_xlfn._xlws.FILTER(Table1[Start Date - US],(Table1[Category]=C266)*(Table1[Execution Year]=$C$4)*(Table1[Most curent]=TRUE)),"")</f>
        <v/>
      </c>
    </row>
    <row r="267" spans="13:13">
      <c r="M267" s="268" t="str" cm="1">
        <f t="array" ref="M267">IFERROR(_xlfn._xlws.FILTER(Table1[Start Date - US],(Table1[Category]=C267)*(Table1[Execution Year]=$C$4)*(Table1[Most curent]=TRUE)),"")</f>
        <v/>
      </c>
    </row>
    <row r="268" spans="13:13">
      <c r="M268" s="268" t="str" cm="1">
        <f t="array" ref="M268">IFERROR(_xlfn._xlws.FILTER(Table1[Start Date - US],(Table1[Category]=C268)*(Table1[Execution Year]=$C$4)*(Table1[Most curent]=TRUE)),"")</f>
        <v/>
      </c>
    </row>
    <row r="269" spans="13:13">
      <c r="M269" s="268" t="str" cm="1">
        <f t="array" ref="M269">IFERROR(_xlfn._xlws.FILTER(Table1[Start Date - US],(Table1[Category]=C269)*(Table1[Execution Year]=$C$4)*(Table1[Most curent]=TRUE)),"")</f>
        <v/>
      </c>
    </row>
    <row r="270" spans="13:13">
      <c r="M270" s="268" t="str" cm="1">
        <f t="array" ref="M270">IFERROR(_xlfn._xlws.FILTER(Table1[Start Date - US],(Table1[Category]=C270)*(Table1[Execution Year]=$C$4)*(Table1[Most curent]=TRUE)),"")</f>
        <v/>
      </c>
    </row>
    <row r="271" spans="13:13">
      <c r="M271" s="268" t="str" cm="1">
        <f t="array" ref="M271">IFERROR(_xlfn._xlws.FILTER(Table1[Start Date - US],(Table1[Category]=C271)*(Table1[Execution Year]=$C$4)*(Table1[Most curent]=TRUE)),"")</f>
        <v/>
      </c>
    </row>
    <row r="272" spans="13:13">
      <c r="M272" s="268" t="str" cm="1">
        <f t="array" ref="M272">IFERROR(_xlfn._xlws.FILTER(Table1[Start Date - US],(Table1[Category]=C272)*(Table1[Execution Year]=$C$4)*(Table1[Most curent]=TRUE)),"")</f>
        <v/>
      </c>
    </row>
    <row r="273" spans="13:13">
      <c r="M273" s="268" t="str" cm="1">
        <f t="array" ref="M273">IFERROR(_xlfn._xlws.FILTER(Table1[Start Date - US],(Table1[Category]=C273)*(Table1[Execution Year]=$C$4)*(Table1[Most curent]=TRUE)),"")</f>
        <v/>
      </c>
    </row>
    <row r="274" spans="13:13">
      <c r="M274" s="268" t="str" cm="1">
        <f t="array" ref="M274">IFERROR(_xlfn._xlws.FILTER(Table1[Start Date - US],(Table1[Category]=C274)*(Table1[Execution Year]=$C$4)*(Table1[Most curent]=TRUE)),"")</f>
        <v/>
      </c>
    </row>
    <row r="275" spans="13:13">
      <c r="M275" s="268" t="str" cm="1">
        <f t="array" ref="M275">IFERROR(_xlfn._xlws.FILTER(Table1[Start Date - US],(Table1[Category]=C275)*(Table1[Execution Year]=$C$4)*(Table1[Most curent]=TRUE)),"")</f>
        <v/>
      </c>
    </row>
    <row r="276" spans="13:13">
      <c r="M276" s="268" t="str" cm="1">
        <f t="array" ref="M276">IFERROR(_xlfn._xlws.FILTER(Table1[Start Date - US],(Table1[Category]=C276)*(Table1[Execution Year]=$C$4)*(Table1[Most curent]=TRUE)),"")</f>
        <v/>
      </c>
    </row>
    <row r="277" spans="13:13">
      <c r="M277" s="268" t="str" cm="1">
        <f t="array" ref="M277">IFERROR(_xlfn._xlws.FILTER(Table1[Start Date - US],(Table1[Category]=C277)*(Table1[Execution Year]=$C$4)*(Table1[Most curent]=TRUE)),"")</f>
        <v/>
      </c>
    </row>
    <row r="278" spans="13:13">
      <c r="M278" s="268" t="str" cm="1">
        <f t="array" ref="M278">IFERROR(_xlfn._xlws.FILTER(Table1[Start Date - US],(Table1[Category]=C278)*(Table1[Execution Year]=$C$4)*(Table1[Most curent]=TRUE)),"")</f>
        <v/>
      </c>
    </row>
    <row r="279" spans="13:13">
      <c r="M279" s="268" t="str" cm="1">
        <f t="array" ref="M279">IFERROR(_xlfn._xlws.FILTER(Table1[Start Date - US],(Table1[Category]=C279)*(Table1[Execution Year]=$C$4)*(Table1[Most curent]=TRUE)),"")</f>
        <v/>
      </c>
    </row>
    <row r="280" spans="13:13">
      <c r="M280" s="268" t="str" cm="1">
        <f t="array" ref="M280">IFERROR(_xlfn._xlws.FILTER(Table1[Start Date - US],(Table1[Category]=C280)*(Table1[Execution Year]=$C$4)*(Table1[Most curent]=TRUE)),"")</f>
        <v/>
      </c>
    </row>
    <row r="281" spans="13:13">
      <c r="M281" s="268" t="str" cm="1">
        <f t="array" ref="M281">IFERROR(_xlfn._xlws.FILTER(Table1[Start Date - US],(Table1[Category]=C281)*(Table1[Execution Year]=$C$4)*(Table1[Most curent]=TRUE)),"")</f>
        <v/>
      </c>
    </row>
    <row r="282" spans="13:13">
      <c r="M282" s="268" t="str" cm="1">
        <f t="array" ref="M282">IFERROR(_xlfn._xlws.FILTER(Table1[Start Date - US],(Table1[Category]=C282)*(Table1[Execution Year]=$C$4)*(Table1[Most curent]=TRUE)),"")</f>
        <v/>
      </c>
    </row>
    <row r="283" spans="13:13">
      <c r="M283" s="268" t="str" cm="1">
        <f t="array" ref="M283">IFERROR(_xlfn._xlws.FILTER(Table1[Start Date - US],(Table1[Category]=C283)*(Table1[Execution Year]=$C$4)*(Table1[Most curent]=TRUE)),"")</f>
        <v/>
      </c>
    </row>
    <row r="284" spans="13:13">
      <c r="M284" s="268" t="str" cm="1">
        <f t="array" ref="M284">IFERROR(_xlfn._xlws.FILTER(Table1[Start Date - US],(Table1[Category]=C284)*(Table1[Execution Year]=$C$4)*(Table1[Most curent]=TRUE)),"")</f>
        <v/>
      </c>
    </row>
    <row r="285" spans="13:13">
      <c r="M285" s="268" t="str" cm="1">
        <f t="array" ref="M285">IFERROR(_xlfn._xlws.FILTER(Table1[Start Date - US],(Table1[Category]=C285)*(Table1[Execution Year]=$C$4)*(Table1[Most curent]=TRUE)),"")</f>
        <v/>
      </c>
    </row>
    <row r="286" spans="13:13">
      <c r="M286" s="268" t="str" cm="1">
        <f t="array" ref="M286">IFERROR(_xlfn._xlws.FILTER(Table1[Start Date - US],(Table1[Category]=C286)*(Table1[Execution Year]=$C$4)*(Table1[Most curent]=TRUE)),"")</f>
        <v/>
      </c>
    </row>
    <row r="287" spans="13:13">
      <c r="M287" s="268" t="str" cm="1">
        <f t="array" ref="M287">IFERROR(_xlfn._xlws.FILTER(Table1[Start Date - US],(Table1[Category]=C287)*(Table1[Execution Year]=$C$4)*(Table1[Most curent]=TRUE)),"")</f>
        <v/>
      </c>
    </row>
    <row r="288" spans="13:13">
      <c r="M288" s="268" t="str" cm="1">
        <f t="array" ref="M288">IFERROR(_xlfn._xlws.FILTER(Table1[Start Date - US],(Table1[Category]=C288)*(Table1[Execution Year]=$C$4)*(Table1[Most curent]=TRUE)),"")</f>
        <v/>
      </c>
    </row>
    <row r="289" spans="13:13">
      <c r="M289" s="268" t="str" cm="1">
        <f t="array" ref="M289">IFERROR(_xlfn._xlws.FILTER(Table1[Start Date - US],(Table1[Category]=C289)*(Table1[Execution Year]=$C$4)*(Table1[Most curent]=TRUE)),"")</f>
        <v/>
      </c>
    </row>
    <row r="290" spans="13:13">
      <c r="M290" s="268" t="str" cm="1">
        <f t="array" ref="M290">IFERROR(_xlfn._xlws.FILTER(Table1[Start Date - US],(Table1[Category]=C290)*(Table1[Execution Year]=$C$4)*(Table1[Most curent]=TRUE)),"")</f>
        <v/>
      </c>
    </row>
    <row r="291" spans="13:13">
      <c r="M291" s="268" t="str" cm="1">
        <f t="array" ref="M291">IFERROR(_xlfn._xlws.FILTER(Table1[Start Date - US],(Table1[Category]=C291)*(Table1[Execution Year]=$C$4)*(Table1[Most curent]=TRUE)),"")</f>
        <v/>
      </c>
    </row>
    <row r="292" spans="13:13">
      <c r="M292" s="268" t="str" cm="1">
        <f t="array" ref="M292">IFERROR(_xlfn._xlws.FILTER(Table1[Start Date - US],(Table1[Category]=C292)*(Table1[Execution Year]=$C$4)*(Table1[Most curent]=TRUE)),"")</f>
        <v/>
      </c>
    </row>
    <row r="293" spans="13:13">
      <c r="M293" s="268" t="str" cm="1">
        <f t="array" ref="M293">IFERROR(_xlfn._xlws.FILTER(Table1[Start Date - US],(Table1[Category]=C293)*(Table1[Execution Year]=$C$4)*(Table1[Most curent]=TRUE)),"")</f>
        <v/>
      </c>
    </row>
    <row r="294" spans="13:13">
      <c r="M294" s="268" t="str" cm="1">
        <f t="array" ref="M294">IFERROR(_xlfn._xlws.FILTER(Table1[Start Date - US],(Table1[Category]=C294)*(Table1[Execution Year]=$C$4)*(Table1[Most curent]=TRUE)),"")</f>
        <v/>
      </c>
    </row>
    <row r="295" spans="13:13">
      <c r="M295" s="268" t="str" cm="1">
        <f t="array" ref="M295">IFERROR(_xlfn._xlws.FILTER(Table1[Start Date - US],(Table1[Category]=C295)*(Table1[Execution Year]=$C$4)*(Table1[Most curent]=TRUE)),"")</f>
        <v/>
      </c>
    </row>
    <row r="296" spans="13:13">
      <c r="M296" s="268" t="str" cm="1">
        <f t="array" ref="M296">IFERROR(_xlfn._xlws.FILTER(Table1[Start Date - US],(Table1[Category]=C296)*(Table1[Execution Year]=$C$4)*(Table1[Most curent]=TRUE)),"")</f>
        <v/>
      </c>
    </row>
    <row r="297" spans="13:13">
      <c r="M297" s="268" t="str" cm="1">
        <f t="array" ref="M297">IFERROR(_xlfn._xlws.FILTER(Table1[Start Date - US],(Table1[Category]=C297)*(Table1[Execution Year]=$C$4)*(Table1[Most curent]=TRUE)),"")</f>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261" r:id="rId4" name="Button 5">
              <controlPr defaultSize="0" print="0" autoFill="0" autoPict="0" macro="[0]!Adjust_Row_Height">
                <anchor moveWithCells="1">
                  <from>
                    <xdr:col>11</xdr:col>
                    <xdr:colOff>3155950</xdr:colOff>
                    <xdr:row>7</xdr:row>
                    <xdr:rowOff>38100</xdr:rowOff>
                  </from>
                  <to>
                    <xdr:col>12</xdr:col>
                    <xdr:colOff>717550</xdr:colOff>
                    <xdr:row>7</xdr:row>
                    <xdr:rowOff>317500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E959D-3944-4B4F-937C-538C2F7002E4}">
  <sheetPr codeName="Sheet2"/>
  <dimension ref="C2:M32"/>
  <sheetViews>
    <sheetView workbookViewId="0">
      <selection activeCell="D20" sqref="D20"/>
    </sheetView>
  </sheetViews>
  <sheetFormatPr defaultRowHeight="14.45"/>
  <cols>
    <col min="3" max="3" width="15.42578125" customWidth="1"/>
    <col min="4" max="6" width="16.5703125" customWidth="1"/>
  </cols>
  <sheetData>
    <row r="2" spans="3:13" ht="15" thickBot="1">
      <c r="D2" s="82" t="s">
        <v>202</v>
      </c>
      <c r="E2" s="82" t="s">
        <v>203</v>
      </c>
      <c r="F2" s="82" t="s">
        <v>204</v>
      </c>
    </row>
    <row r="3" spans="3:13" ht="15.6" thickTop="1" thickBot="1">
      <c r="D3" s="68" t="s">
        <v>39</v>
      </c>
      <c r="E3" s="68" t="s">
        <v>43</v>
      </c>
      <c r="F3" s="68"/>
    </row>
    <row r="4" spans="3:13" ht="15" thickTop="1"/>
    <row r="9" spans="3:13" ht="29.1">
      <c r="C9" s="129" t="s">
        <v>832</v>
      </c>
      <c r="D9" s="120" t="s">
        <v>833</v>
      </c>
      <c r="E9" s="120" t="s">
        <v>834</v>
      </c>
      <c r="F9" s="120"/>
      <c r="G9" s="120"/>
      <c r="H9" s="120"/>
      <c r="I9" s="120"/>
      <c r="J9" s="120"/>
      <c r="K9" s="120"/>
      <c r="L9" s="120"/>
      <c r="M9" s="120"/>
    </row>
    <row r="10" spans="3:13">
      <c r="C10" cm="1">
        <f t="array" ref="C10:C32">_xlfn.UNIQUE(_xlfn._xlws.FILTER(Table1[US Lead],(Table1[Status]&lt;&gt;"Closed")*(Table1[Status]&lt;&gt;"Cancelled")))</f>
        <v>0</v>
      </c>
      <c r="D10" s="257" cm="1">
        <f t="array" ref="D10">SUM(_xlfn._xlws.FILTER(Table1[Spend - ALL],(Table1[Status]&lt;&gt;"Closed")*(Table1[Status]&lt;&gt;"Cancelled")*(Table1[US Lead]=$C10)*(Table1[Most curent]=TRUE)*(Table1[Execution Year]=$D$3)))</f>
        <v>18218761.390000001</v>
      </c>
      <c r="E10" cm="1">
        <f t="array" ref="E10">COUNTA(_xlfn.UNIQUE(_xlfn._xlws.FILTER(Table1[Category],(Table1[Status]&lt;&gt;"Closed")*(Table1[Status]&lt;&gt;"Cancelled")*(Table1[US Lead]=$C10)*(Table1[Most curent]=TRUE))))-1</f>
        <v>2</v>
      </c>
    </row>
    <row r="11" spans="3:13">
      <c r="C11" t="str">
        <v>Yoshi</v>
      </c>
      <c r="D11" s="257" t="e" cm="1" vm="1">
        <f t="array" ref="D11">SUM(_xlfn._xlws.FILTER(Table1[Spend - ALL],(Table1[Status]&lt;&gt;"Closed")*(Table1[Status]&lt;&gt;"Cancelled")*(Table1[US Lead]=$C11)*(Table1[Most curent]=TRUE)*(Table1[Execution Year]=$D$3)))</f>
        <v>#VALUE!</v>
      </c>
      <c r="E11" cm="1">
        <f t="array" ref="E11">COUNTA(_xlfn.UNIQUE(_xlfn._xlws.FILTER(Table1[Category],(Table1[Status]&lt;&gt;"Closed")*(Table1[Status]&lt;&gt;"Cancelled")*(Table1[US Lead]=$C11)*(Table1[Most curent]=TRUE))))-1</f>
        <v>2</v>
      </c>
    </row>
    <row r="12" spans="3:13">
      <c r="C12" t="str">
        <v>Sam Alicea</v>
      </c>
      <c r="D12" s="257" t="e" cm="1" vm="1">
        <f t="array" ref="D12">SUM(_xlfn._xlws.FILTER(Table1[Spend - ALL],(Table1[Status]&lt;&gt;"Closed")*(Table1[Status]&lt;&gt;"Cancelled")*(Table1[US Lead]=$C12)*(Table1[Most curent]=TRUE)*(Table1[Execution Year]=$D$3)))</f>
        <v>#VALUE!</v>
      </c>
      <c r="E12" cm="1">
        <f t="array" ref="E12">COUNTA(_xlfn.UNIQUE(_xlfn._xlws.FILTER(Table1[Category],(Table1[Status]&lt;&gt;"Closed")*(Table1[Status]&lt;&gt;"Cancelled")*(Table1[US Lead]=$C12)*(Table1[Most curent]=TRUE))))-1</f>
        <v>5</v>
      </c>
    </row>
    <row r="13" spans="3:13">
      <c r="C13" t="str">
        <v>Beau Reynolds</v>
      </c>
      <c r="D13" s="257" t="e" cm="1" vm="1">
        <f t="array" ref="D13">SUM(_xlfn._xlws.FILTER(Table1[Spend - ALL],(Table1[Status]&lt;&gt;"Closed")*(Table1[Status]&lt;&gt;"Cancelled")*(Table1[US Lead]=$C13)*(Table1[Most curent]=TRUE)*(Table1[Execution Year]=$D$3)))</f>
        <v>#VALUE!</v>
      </c>
      <c r="E13" cm="1">
        <f t="array" ref="E13">COUNTA(_xlfn.UNIQUE(_xlfn._xlws.FILTER(Table1[Category],(Table1[Status]&lt;&gt;"Closed")*(Table1[Status]&lt;&gt;"Cancelled")*(Table1[US Lead]=$C13)*(Table1[Most curent]=TRUE))))-1</f>
        <v>4</v>
      </c>
    </row>
    <row r="14" spans="3:13">
      <c r="C14" t="str">
        <v>Kendra</v>
      </c>
      <c r="D14" s="257" t="e" cm="1" vm="1">
        <f t="array" ref="D14">SUM(_xlfn._xlws.FILTER(Table1[Spend - ALL],(Table1[Status]&lt;&gt;"Closed")*(Table1[Status]&lt;&gt;"Cancelled")*(Table1[US Lead]=$C14)*(Table1[Most curent]=TRUE)*(Table1[Execution Year]=$D$3)))</f>
        <v>#VALUE!</v>
      </c>
      <c r="E14" cm="1">
        <f t="array" ref="E14">COUNTA(_xlfn.UNIQUE(_xlfn._xlws.FILTER(Table1[Category],(Table1[Status]&lt;&gt;"Closed")*(Table1[Status]&lt;&gt;"Cancelled")*(Table1[US Lead]=$C14)*(Table1[Most curent]=TRUE))))-1</f>
        <v>2</v>
      </c>
    </row>
    <row r="15" spans="3:13">
      <c r="C15" t="str">
        <v>Jose Cano</v>
      </c>
      <c r="D15" s="257" t="e" cm="1" vm="1">
        <f t="array" ref="D15">SUM(_xlfn._xlws.FILTER(Table1[Spend - ALL],(Table1[Status]&lt;&gt;"Closed")*(Table1[Status]&lt;&gt;"Cancelled")*(Table1[US Lead]=$C15)*(Table1[Most curent]=TRUE)*(Table1[Execution Year]=$D$3)))</f>
        <v>#VALUE!</v>
      </c>
      <c r="E15" cm="1">
        <f t="array" ref="E15">COUNTA(_xlfn.UNIQUE(_xlfn._xlws.FILTER(Table1[Category],(Table1[Status]&lt;&gt;"Closed")*(Table1[Status]&lt;&gt;"Cancelled")*(Table1[US Lead]=$C15)*(Table1[Most curent]=TRUE))))-1</f>
        <v>2</v>
      </c>
    </row>
    <row r="16" spans="3:13">
      <c r="C16" t="str">
        <v>Ofelia Cypert</v>
      </c>
      <c r="D16" s="257" cm="1">
        <f t="array" ref="D16">SUM(_xlfn._xlws.FILTER(Table1[Spend - ALL],(Table1[Status]&lt;&gt;"Closed")*(Table1[Status]&lt;&gt;"Cancelled")*(Table1[US Lead]=$C16)*(Table1[Most curent]=TRUE)*(Table1[Execution Year]=$D$3)))</f>
        <v>1E-4</v>
      </c>
      <c r="E16" cm="1">
        <f t="array" ref="E16">COUNTA(_xlfn.UNIQUE(_xlfn._xlws.FILTER(Table1[Category],(Table1[Status]&lt;&gt;"Closed")*(Table1[Status]&lt;&gt;"Cancelled")*(Table1[US Lead]=$C16)*(Table1[Most curent]=TRUE))))-1</f>
        <v>9</v>
      </c>
    </row>
    <row r="17" spans="3:5">
      <c r="C17" t="str">
        <v>Aime Snowden</v>
      </c>
      <c r="D17" s="257" t="e" cm="1" vm="1">
        <f t="array" ref="D17">SUM(_xlfn._xlws.FILTER(Table1[Spend - ALL],(Table1[Status]&lt;&gt;"Closed")*(Table1[Status]&lt;&gt;"Cancelled")*(Table1[US Lead]=$C17)*(Table1[Most curent]=TRUE)*(Table1[Execution Year]=$D$3)))</f>
        <v>#VALUE!</v>
      </c>
      <c r="E17" cm="1">
        <f t="array" ref="E17">COUNTA(_xlfn.UNIQUE(_xlfn._xlws.FILTER(Table1[Category],(Table1[Status]&lt;&gt;"Closed")*(Table1[Status]&lt;&gt;"Cancelled")*(Table1[US Lead]=$C17)*(Table1[Most curent]=TRUE))))-1</f>
        <v>3</v>
      </c>
    </row>
    <row r="18" spans="3:5">
      <c r="C18" t="str">
        <v>Christine Dillard</v>
      </c>
      <c r="D18" s="257" t="e" cm="1" vm="1">
        <f t="array" ref="D18">SUM(_xlfn._xlws.FILTER(Table1[Spend - ALL],(Table1[Status]&lt;&gt;"Closed")*(Table1[Status]&lt;&gt;"Cancelled")*(Table1[US Lead]=$C18)*(Table1[Most curent]=TRUE)*(Table1[Execution Year]=$D$3)))</f>
        <v>#VALUE!</v>
      </c>
      <c r="E18" cm="1">
        <f t="array" ref="E18">COUNTA(_xlfn.UNIQUE(_xlfn._xlws.FILTER(Table1[Category],(Table1[Status]&lt;&gt;"Closed")*(Table1[Status]&lt;&gt;"Cancelled")*(Table1[US Lead]=$C18)*(Table1[Most curent]=TRUE))))-1</f>
        <v>3</v>
      </c>
    </row>
    <row r="19" spans="3:5">
      <c r="C19">
        <v>0</v>
      </c>
      <c r="D19" s="257" cm="1">
        <f t="array" ref="D19">SUM(_xlfn._xlws.FILTER(Table1[Spend - ALL],(Table1[Status]&lt;&gt;"Closed")*(Table1[Status]&lt;&gt;"Cancelled")*(Table1[US Lead]=$C19)*(Table1[Most curent]=TRUE)*(Table1[Execution Year]=$D$3)))</f>
        <v>18218761.390000001</v>
      </c>
      <c r="E19" cm="1">
        <f t="array" ref="E19">COUNTA(_xlfn.UNIQUE(_xlfn._xlws.FILTER(Table1[Category],(Table1[Status]&lt;&gt;"Closed")*(Table1[Status]&lt;&gt;"Cancelled")*(Table1[US Lead]=$C19)*(Table1[Most curent]=TRUE))))-1</f>
        <v>2</v>
      </c>
    </row>
    <row r="20" spans="3:5">
      <c r="C20" t="str">
        <v>Chris McSpadden</v>
      </c>
      <c r="D20" s="257" cm="1">
        <f t="array" ref="D20">SUM(_xlfn._xlws.FILTER(Table1[Spend - ALL],(Table1[Status]&lt;&gt;"Closed")*(Table1[Status]&lt;&gt;"Cancelled")*(Table1[US Lead]=$C20)*(Table1[Most curent]=TRUE)*(Table1[Execution Year]=$D$3)))</f>
        <v>0</v>
      </c>
      <c r="E20" cm="1">
        <f t="array" ref="E20">COUNTA(_xlfn.UNIQUE(_xlfn._xlws.FILTER(Table1[Category],(Table1[Status]&lt;&gt;"Closed")*(Table1[Status]&lt;&gt;"Cancelled")*(Table1[US Lead]=$C20)*(Table1[Most curent]=TRUE))))-1</f>
        <v>3</v>
      </c>
    </row>
    <row r="21" spans="3:5">
      <c r="C21" t="str">
        <v>Larry</v>
      </c>
      <c r="D21" s="257" t="e" cm="1" vm="1">
        <f t="array" ref="D21">SUM(_xlfn._xlws.FILTER(Table1[Spend - ALL],(Table1[Status]&lt;&gt;"Closed")*(Table1[Status]&lt;&gt;"Cancelled")*(Table1[US Lead]=$C21)*(Table1[Most curent]=TRUE)*(Table1[Execution Year]=$D$3)))</f>
        <v>#VALUE!</v>
      </c>
      <c r="E21" cm="1">
        <f t="array" ref="E21">COUNTA(_xlfn.UNIQUE(_xlfn._xlws.FILTER(Table1[Category],(Table1[Status]&lt;&gt;"Closed")*(Table1[Status]&lt;&gt;"Cancelled")*(Table1[US Lead]=$C21)*(Table1[Most curent]=TRUE))))-1</f>
        <v>0</v>
      </c>
    </row>
    <row r="22" spans="3:5">
      <c r="C22" t="str">
        <v>Jony Farfan</v>
      </c>
      <c r="D22" s="257" cm="1">
        <f t="array" ref="D22">SUM(_xlfn._xlws.FILTER(Table1[Spend - ALL],(Table1[Status]&lt;&gt;"Closed")*(Table1[Status]&lt;&gt;"Cancelled")*(Table1[US Lead]=$C22)*(Table1[Most curent]=TRUE)*(Table1[Execution Year]=$D$3)))</f>
        <v>2000000</v>
      </c>
      <c r="E22" cm="1">
        <f t="array" ref="E22">COUNTA(_xlfn.UNIQUE(_xlfn._xlws.FILTER(Table1[Category],(Table1[Status]&lt;&gt;"Closed")*(Table1[Status]&lt;&gt;"Cancelled")*(Table1[US Lead]=$C22)*(Table1[Most curent]=TRUE))))-1</f>
        <v>3</v>
      </c>
    </row>
    <row r="23" spans="3:5">
      <c r="C23" t="str">
        <v>Janet Hannay</v>
      </c>
      <c r="D23" s="257" t="e" cm="1" vm="1">
        <f t="array" ref="D23">SUM(_xlfn._xlws.FILTER(Table1[Spend - ALL],(Table1[Status]&lt;&gt;"Closed")*(Table1[Status]&lt;&gt;"Cancelled")*(Table1[US Lead]=$C23)*(Table1[Most curent]=TRUE)*(Table1[Execution Year]=$D$3)))</f>
        <v>#VALUE!</v>
      </c>
      <c r="E23" cm="1">
        <f t="array" ref="E23">COUNTA(_xlfn.UNIQUE(_xlfn._xlws.FILTER(Table1[Category],(Table1[Status]&lt;&gt;"Closed")*(Table1[Status]&lt;&gt;"Cancelled")*(Table1[US Lead]=$C23)*(Table1[Most curent]=TRUE))))-1</f>
        <v>0</v>
      </c>
    </row>
    <row r="24" spans="3:5">
      <c r="C24" t="str">
        <v>Chris</v>
      </c>
      <c r="D24" s="257" cm="1">
        <f t="array" ref="D24">SUM(_xlfn._xlws.FILTER(Table1[Spend - ALL],(Table1[Status]&lt;&gt;"Closed")*(Table1[Status]&lt;&gt;"Cancelled")*(Table1[US Lead]=$C24)*(Table1[Most curent]=TRUE)*(Table1[Execution Year]=$D$3)))</f>
        <v>47400000</v>
      </c>
      <c r="E24" cm="1">
        <f t="array" ref="E24">COUNTA(_xlfn.UNIQUE(_xlfn._xlws.FILTER(Table1[Category],(Table1[Status]&lt;&gt;"Closed")*(Table1[Status]&lt;&gt;"Cancelled")*(Table1[US Lead]=$C24)*(Table1[Most curent]=TRUE))))-1</f>
        <v>1</v>
      </c>
    </row>
    <row r="25" spans="3:5">
      <c r="C25" t="str">
        <v>Jason</v>
      </c>
    </row>
    <row r="26" spans="3:5">
      <c r="C26" t="str">
        <v>Jamie</v>
      </c>
    </row>
    <row r="27" spans="3:5">
      <c r="C27" t="str">
        <v>Luis</v>
      </c>
    </row>
    <row r="28" spans="3:5">
      <c r="C28" t="str">
        <v>Tracy Chen</v>
      </c>
    </row>
    <row r="29" spans="3:5">
      <c r="C29" t="str">
        <v>Greg Jenkins</v>
      </c>
    </row>
    <row r="30" spans="3:5">
      <c r="C30" t="str">
        <v>Matt Foster</v>
      </c>
    </row>
    <row r="31" spans="3:5">
      <c r="C31" t="str">
        <v>Zack Kham</v>
      </c>
    </row>
    <row r="32" spans="3:5">
      <c r="C32" t="str">
        <v>Roy</v>
      </c>
    </row>
  </sheetData>
  <protectedRanges>
    <protectedRange sqref="D3:F3" name="Range7"/>
  </protectedRanges>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showInputMessage="1" showErrorMessage="1" xr:uid="{A387B60E-4D11-4066-B917-C12293A7C350}">
          <x14:formula1>
            <xm:f>'Lookup tables'!$N$2:$N$5</xm:f>
          </x14:formula1>
          <xm:sqref>D3</xm:sqref>
        </x14:dataValidation>
        <x14:dataValidation type="list" allowBlank="1" showInputMessage="1" showErrorMessage="1" xr:uid="{A849B3D1-F6EE-49CD-A9F8-DE27F8BB29A2}">
          <x14:formula1>
            <xm:f>'Lookup tables'!$I$2:$I$5</xm:f>
          </x14:formula1>
          <xm:sqref>E3</xm:sqref>
        </x14:dataValidation>
        <x14:dataValidation type="list" allowBlank="1" showInputMessage="1" showErrorMessage="1" xr:uid="{04000A00-994E-45E8-940A-9B90CFDA1676}">
          <x14:formula1>
            <xm:f>_xlfn.ANCHORARRAY('Lookup tables'!$AT3)</xm:f>
          </x14:formula1>
          <xm:sqref>F3</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f4b3c275-b218-4525-9e97-9e430fdceb5c">
      <UserInfo>
        <DisplayName>Jamie Thompson</DisplayName>
        <AccountId>24</AccountId>
        <AccountType/>
      </UserInfo>
      <UserInfo>
        <DisplayName>Carli Rosencranz</DisplayName>
        <AccountId>77</AccountId>
        <AccountType/>
      </UserInfo>
      <UserInfo>
        <DisplayName>Marco Vigato (GS)</DisplayName>
        <AccountId>76</AccountId>
        <AccountType/>
      </UserInfo>
      <UserInfo>
        <DisplayName>Rafael Gonzalez</DisplayName>
        <AccountId>266</AccountId>
        <AccountType/>
      </UserInfo>
      <UserInfo>
        <DisplayName>Yoshiyuki Higaki</DisplayName>
        <AccountId>74</AccountId>
        <AccountType/>
      </UserInfo>
      <UserInfo>
        <DisplayName>Chris McSpadden</DisplayName>
        <AccountId>23</AccountId>
        <AccountType/>
      </UserInfo>
      <UserInfo>
        <DisplayName>Jason Cartee</DisplayName>
        <AccountId>12</AccountId>
        <AccountType/>
      </UserInfo>
      <UserInfo>
        <DisplayName>Larry Hamilton</DisplayName>
        <AccountId>25</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B61EC0A7647BF9469FCD6D77BF26D7B4" ma:contentTypeVersion="12" ma:contentTypeDescription="Create a new document." ma:contentTypeScope="" ma:versionID="c717e650eba904a11699de5b221e41b2">
  <xsd:schema xmlns:xsd="http://www.w3.org/2001/XMLSchema" xmlns:xs="http://www.w3.org/2001/XMLSchema" xmlns:p="http://schemas.microsoft.com/office/2006/metadata/properties" xmlns:ns2="02215ce5-9e32-45e8-96e2-99e287ba084c" xmlns:ns3="f4b3c275-b218-4525-9e97-9e430fdceb5c" targetNamespace="http://schemas.microsoft.com/office/2006/metadata/properties" ma:root="true" ma:fieldsID="7695cf8d1ad0e9d28781a5c72792b75d" ns2:_="" ns3:_="">
    <xsd:import namespace="02215ce5-9e32-45e8-96e2-99e287ba084c"/>
    <xsd:import namespace="f4b3c275-b218-4525-9e97-9e430fdceb5c"/>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OCR" minOccurs="0"/>
                <xsd:element ref="ns2:MediaServiceAutoKeyPoints" minOccurs="0"/>
                <xsd:element ref="ns2:MediaServiceKeyPoints"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2215ce5-9e32-45e8-96e2-99e287ba084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4b3c275-b218-4525-9e97-9e430fdceb5c"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7D3FE3D-18AB-4C46-AA5F-55040416E06E}"/>
</file>

<file path=customXml/itemProps2.xml><?xml version="1.0" encoding="utf-8"?>
<ds:datastoreItem xmlns:ds="http://schemas.openxmlformats.org/officeDocument/2006/customXml" ds:itemID="{152124DC-F293-4A0A-86DF-52A707E51693}"/>
</file>

<file path=customXml/itemProps3.xml><?xml version="1.0" encoding="utf-8"?>
<ds:datastoreItem xmlns:ds="http://schemas.openxmlformats.org/officeDocument/2006/customXml" ds:itemID="{DC0AC873-F4CE-4175-A012-FD7C0BE05ED0}"/>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Richeek Maitra</dc:creator>
  <cp:keywords/>
  <dc:description/>
  <cp:lastModifiedBy>Mike Roberts</cp:lastModifiedBy>
  <cp:revision/>
  <dcterms:created xsi:type="dcterms:W3CDTF">2015-06-05T18:17:20Z</dcterms:created>
  <dcterms:modified xsi:type="dcterms:W3CDTF">2022-07-06T16:22:58Z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0x010100B61EC0A7647BF9469FCD6D77BF26D7B4</vt:lpwstr>
  </property>
  <property fmtid="{D5CDD505-2E9C-101B-9397-08002B2CF9AE}" pid="3" name="SV_QUERY_LIST_4F35BF76-6C0D-4D9B-82B2-816C12CF3733">
    <vt:lpwstr>empty_477D106A-C0D6-4607-AEBD-E2C9D60EA279</vt:lpwstr>
  </property>
  <property fmtid="{D5CDD505-2E9C-101B-9397-08002B2CF9AE}" pid="4" name="SV_HIDDEN_GRID_QUERY_LIST_4F35BF76-6C0D-4D9B-82B2-816C12CF3733">
    <vt:lpwstr>empty_477D106A-C0D6-4607-AEBD-E2C9D60EA279</vt:lpwstr>
  </property>
</Properties>
</file>