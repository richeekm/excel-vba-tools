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6.xml" ContentType="application/vnd.openxmlformats-officedocument.spreadsheetml.table+xml"/>
  <Override PartName="/xl/drawings/drawing6.xml" ContentType="application/vnd.openxmlformats-officedocument.drawing+xml"/>
  <Override PartName="/xl/ink/ink1.xml" ContentType="application/inkml+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502" codeName="{00000000-0000-0000-0000-000000000000}"/>
  <workbookPr codeName="ThisWorkbook"/>
  <mc:AlternateContent xmlns:mc="http://schemas.openxmlformats.org/markup-compatibility/2006">
    <mc:Choice Requires="x15">
      <x15ac:absPath xmlns:x15ac="http://schemas.microsoft.com/office/spreadsheetml/2010/11/ac" url="https://teams.wal-mart.com/sites/GSStrategy/Shared Documents/Team Documents/Talent attraction/"/>
    </mc:Choice>
  </mc:AlternateContent>
  <xr:revisionPtr revIDLastSave="0" documentId="8_{893E914A-4CF1-4033-BC83-E7DA250057A3}" xr6:coauthVersionLast="47" xr6:coauthVersionMax="47" xr10:uidLastSave="{00000000-0000-0000-0000-000000000000}"/>
  <bookViews>
    <workbookView xWindow="28680" yWindow="-120" windowWidth="29040" windowHeight="15840" firstSheet="2" activeTab="2" xr2:uid="{00000000-000D-0000-FFFF-FFFF00000000}"/>
  </bookViews>
  <sheets>
    <sheet name="ReviewOld" sheetId="16" r:id="rId1"/>
    <sheet name="Checklist" sheetId="14" state="hidden" r:id="rId2"/>
    <sheet name="MyTasks" sheetId="9" r:id="rId3"/>
    <sheet name="Data" sheetId="1" r:id="rId4"/>
    <sheet name="Active View" sheetId="13" r:id="rId5"/>
    <sheet name="Lookups" sheetId="2" r:id="rId6"/>
    <sheet name="Update" sheetId="3" r:id="rId7"/>
    <sheet name="Active" sheetId="7" state="hidden" r:id="rId8"/>
    <sheet name="Setup" sheetId="5" r:id="rId9"/>
    <sheet name="Menu" sheetId="4" r:id="rId10"/>
  </sheets>
  <definedNames>
    <definedName name="_xlnm._FilterDatabase" localSheetId="1" hidden="1">Checklist!$A$1:$AC$413</definedName>
    <definedName name="_Hlk46130858" localSheetId="1">Checklist!$H$3</definedName>
    <definedName name="_Hlk46130883" localSheetId="1">Checklist!$I$3</definedName>
    <definedName name="ALLSTATS" localSheetId="4">_xlfn._xlws.FILTER(Contact[],(Contact[Season]=Active!$C$3)*(Contact[Latest]=TRUE),"No records matching the criteria")</definedName>
    <definedName name="ALLSTATS" localSheetId="2">_xlfn._xlws.FILTER(Contact[],(Contact[Season]=MyTasks!$C$3)*(Contact[Latest]=TRUE),"No records matching the criteria")</definedName>
    <definedName name="ALLSTATS" localSheetId="0">_xlfn._xlws.FILTER(Contact[],(Contact[Season]=ReviewOld!$C$3)*(Contact[Latest]=TRUE),"No records matching the criteria")</definedName>
    <definedName name="ALLSTATS">_xlfn._xlws.FILTER(Contact[],(Contact[Season]=Active!$C$3)*(Contact[Latest]=TRUE),"No records matching the criteria")</definedName>
    <definedName name="ALLSTATSRECRUITMENT">_xlfn._xlws.FILTER(Contact[],(Contact[Season]=Active!$C$3)*(Contact[Latest]=TRUE),"No records matching the criteria")</definedName>
    <definedName name="ONESTAT" localSheetId="4">_xlfn._xlws.FILTER(Contact[],(Contact[Season]=Active!$C$3)*(Contact[Latest]=TRUE)*(Contact[Status]=Active!$C$5),"No records matching the criteria")</definedName>
    <definedName name="ONESTAT" localSheetId="2">_xlfn._xlws.FILTER(Contact[],(Contact[Season]=MyTasks!$C$3)*(Contact[Latest]=TRUE)*(Contact[Status]=MyTasks!$C$5),"No records matching the criteria")</definedName>
    <definedName name="ONESTAT" localSheetId="0">_xlfn._xlws.FILTER(Contact[],(Contact[Season]=ReviewOld!$C$3)*(Contact[Latest]=TRUE)*(Contact[Status]=ReviewOld!$H$3),"No records matching the criteria")</definedName>
    <definedName name="ONESTAT">_xlfn._xlws.FILTER(Contact[],(Contact[Season]=Active!$C$3)*(Contact[Latest]=TRUE)*(Contact[Status]=Active!$C$5),"No records matching the criteria")</definedName>
    <definedName name="ONESTATRECRUITMENT">_xlfn._xlws.FILTER(Contact[],(Contact[Season]=Active!$C$3)*(Contact[Latest]=TRUE)*(Contact[Status]=Active!$C$5),"No records matching the criteria")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2" i="2" l="1" a="1"/>
  <c r="X2" i="2" s="1"/>
  <c r="E460" i="1"/>
  <c r="U461" i="1"/>
  <c r="E463" i="1"/>
  <c r="E466" i="1"/>
  <c r="E468" i="1"/>
  <c r="E472" i="1"/>
  <c r="AI10" i="16"/>
  <c r="M14" i="16"/>
  <c r="AG9" i="16"/>
  <c r="AF9" i="16"/>
  <c r="A1" i="16"/>
  <c r="AE9" i="16"/>
  <c r="AL9" i="16"/>
  <c r="AK9" i="16"/>
  <c r="AI9" i="16"/>
  <c r="H3" i="16"/>
  <c r="AJ9" i="16" s="1"/>
  <c r="F3" i="16"/>
  <c r="F413" i="14"/>
  <c r="G413" i="14" s="1"/>
  <c r="F412" i="14"/>
  <c r="G412" i="14" s="1"/>
  <c r="F411" i="14"/>
  <c r="G411" i="14" s="1"/>
  <c r="F410" i="14"/>
  <c r="G410" i="14" s="1"/>
  <c r="F409" i="14"/>
  <c r="G409" i="14" s="1"/>
  <c r="F408" i="14"/>
  <c r="G408" i="14" s="1"/>
  <c r="F407" i="14"/>
  <c r="G407" i="14" s="1"/>
  <c r="F406" i="14"/>
  <c r="G406" i="14" s="1"/>
  <c r="F405" i="14"/>
  <c r="G405" i="14" s="1"/>
  <c r="F404" i="14"/>
  <c r="G404" i="14" s="1"/>
  <c r="F403" i="14"/>
  <c r="G403" i="14" s="1"/>
  <c r="F402" i="14"/>
  <c r="G402" i="14" s="1"/>
  <c r="F401" i="14"/>
  <c r="G401" i="14" s="1"/>
  <c r="F400" i="14"/>
  <c r="G400" i="14" s="1"/>
  <c r="F399" i="14"/>
  <c r="G399" i="14" s="1"/>
  <c r="F398" i="14"/>
  <c r="G398" i="14" s="1"/>
  <c r="F397" i="14"/>
  <c r="G397" i="14" s="1"/>
  <c r="F396" i="14"/>
  <c r="G396" i="14" s="1"/>
  <c r="F395" i="14"/>
  <c r="G395" i="14" s="1"/>
  <c r="F394" i="14"/>
  <c r="G394" i="14" s="1"/>
  <c r="F393" i="14"/>
  <c r="G393" i="14" s="1"/>
  <c r="F392" i="14"/>
  <c r="G392" i="14" s="1"/>
  <c r="F391" i="14"/>
  <c r="G391" i="14" s="1"/>
  <c r="F390" i="14"/>
  <c r="G390" i="14" s="1"/>
  <c r="F389" i="14"/>
  <c r="G389" i="14" s="1"/>
  <c r="F388" i="14"/>
  <c r="G388" i="14" s="1"/>
  <c r="F387" i="14"/>
  <c r="G387" i="14" s="1"/>
  <c r="F386" i="14"/>
  <c r="G386" i="14" s="1"/>
  <c r="F385" i="14"/>
  <c r="G385" i="14" s="1"/>
  <c r="F384" i="14"/>
  <c r="G384" i="14" s="1"/>
  <c r="F383" i="14"/>
  <c r="G383" i="14" s="1"/>
  <c r="F382" i="14"/>
  <c r="G382" i="14" s="1"/>
  <c r="F381" i="14"/>
  <c r="G381" i="14" s="1"/>
  <c r="F380" i="14"/>
  <c r="G380" i="14" s="1"/>
  <c r="F379" i="14"/>
  <c r="G379" i="14" s="1"/>
  <c r="F378" i="14"/>
  <c r="G378" i="14" s="1"/>
  <c r="F377" i="14"/>
  <c r="G377" i="14" s="1"/>
  <c r="F376" i="14"/>
  <c r="G376" i="14" s="1"/>
  <c r="F375" i="14"/>
  <c r="G375" i="14" s="1"/>
  <c r="F374" i="14"/>
  <c r="G374" i="14" s="1"/>
  <c r="F373" i="14"/>
  <c r="G373" i="14" s="1"/>
  <c r="F372" i="14"/>
  <c r="G372" i="14" s="1"/>
  <c r="F371" i="14"/>
  <c r="G371" i="14" s="1"/>
  <c r="F370" i="14"/>
  <c r="G370" i="14" s="1"/>
  <c r="F369" i="14"/>
  <c r="G369" i="14" s="1"/>
  <c r="F368" i="14"/>
  <c r="G368" i="14" s="1"/>
  <c r="F367" i="14"/>
  <c r="G367" i="14" s="1"/>
  <c r="F366" i="14"/>
  <c r="G366" i="14" s="1"/>
  <c r="F365" i="14"/>
  <c r="G365" i="14" s="1"/>
  <c r="F364" i="14"/>
  <c r="G364" i="14" s="1"/>
  <c r="F363" i="14"/>
  <c r="G363" i="14" s="1"/>
  <c r="F362" i="14"/>
  <c r="G362" i="14" s="1"/>
  <c r="F361" i="14"/>
  <c r="G361" i="14" s="1"/>
  <c r="F360" i="14"/>
  <c r="G360" i="14" s="1"/>
  <c r="F359" i="14"/>
  <c r="G359" i="14" s="1"/>
  <c r="F358" i="14"/>
  <c r="G358" i="14" s="1"/>
  <c r="F357" i="14"/>
  <c r="G357" i="14" s="1"/>
  <c r="F356" i="14"/>
  <c r="G356" i="14" s="1"/>
  <c r="F355" i="14"/>
  <c r="G355" i="14" s="1"/>
  <c r="F354" i="14"/>
  <c r="G354" i="14" s="1"/>
  <c r="F353" i="14"/>
  <c r="G353" i="14" s="1"/>
  <c r="F352" i="14"/>
  <c r="G352" i="14" s="1"/>
  <c r="F351" i="14"/>
  <c r="G351" i="14" s="1"/>
  <c r="F350" i="14"/>
  <c r="G350" i="14" s="1"/>
  <c r="F349" i="14"/>
  <c r="G349" i="14" s="1"/>
  <c r="F348" i="14"/>
  <c r="G348" i="14" s="1"/>
  <c r="F347" i="14"/>
  <c r="G347" i="14" s="1"/>
  <c r="F346" i="14"/>
  <c r="G346" i="14" s="1"/>
  <c r="F345" i="14"/>
  <c r="G345" i="14" s="1"/>
  <c r="F344" i="14"/>
  <c r="G344" i="14" s="1"/>
  <c r="F343" i="14"/>
  <c r="G343" i="14" s="1"/>
  <c r="F342" i="14"/>
  <c r="G342" i="14" s="1"/>
  <c r="F341" i="14"/>
  <c r="G341" i="14" s="1"/>
  <c r="F340" i="14"/>
  <c r="G340" i="14" s="1"/>
  <c r="F339" i="14"/>
  <c r="G339" i="14" s="1"/>
  <c r="F338" i="14"/>
  <c r="G338" i="14" s="1"/>
  <c r="F337" i="14"/>
  <c r="G337" i="14" s="1"/>
  <c r="F336" i="14"/>
  <c r="G336" i="14" s="1"/>
  <c r="F335" i="14"/>
  <c r="G335" i="14" s="1"/>
  <c r="F334" i="14"/>
  <c r="G334" i="14" s="1"/>
  <c r="F333" i="14"/>
  <c r="G333" i="14" s="1"/>
  <c r="F332" i="14"/>
  <c r="G332" i="14" s="1"/>
  <c r="F331" i="14"/>
  <c r="G331" i="14" s="1"/>
  <c r="F330" i="14"/>
  <c r="G330" i="14" s="1"/>
  <c r="F329" i="14"/>
  <c r="G329" i="14" s="1"/>
  <c r="F328" i="14"/>
  <c r="G328" i="14" s="1"/>
  <c r="F327" i="14"/>
  <c r="G327" i="14" s="1"/>
  <c r="F326" i="14"/>
  <c r="G326" i="14" s="1"/>
  <c r="F325" i="14"/>
  <c r="G325" i="14" s="1"/>
  <c r="F324" i="14"/>
  <c r="G324" i="14" s="1"/>
  <c r="F323" i="14"/>
  <c r="G323" i="14" s="1"/>
  <c r="F322" i="14"/>
  <c r="G322" i="14" s="1"/>
  <c r="F321" i="14"/>
  <c r="G321" i="14" s="1"/>
  <c r="F320" i="14"/>
  <c r="G320" i="14" s="1"/>
  <c r="F319" i="14"/>
  <c r="G319" i="14" s="1"/>
  <c r="F318" i="14"/>
  <c r="G318" i="14" s="1"/>
  <c r="F317" i="14"/>
  <c r="G317" i="14" s="1"/>
  <c r="F316" i="14"/>
  <c r="G316" i="14" s="1"/>
  <c r="F315" i="14"/>
  <c r="G315" i="14" s="1"/>
  <c r="F314" i="14"/>
  <c r="G314" i="14" s="1"/>
  <c r="F313" i="14"/>
  <c r="G313" i="14" s="1"/>
  <c r="F312" i="14"/>
  <c r="G312" i="14" s="1"/>
  <c r="F311" i="14"/>
  <c r="G311" i="14" s="1"/>
  <c r="F310" i="14"/>
  <c r="G310" i="14" s="1"/>
  <c r="F309" i="14"/>
  <c r="G309" i="14" s="1"/>
  <c r="F308" i="14"/>
  <c r="G308" i="14" s="1"/>
  <c r="F307" i="14"/>
  <c r="G307" i="14" s="1"/>
  <c r="F306" i="14"/>
  <c r="G306" i="14" s="1"/>
  <c r="F305" i="14"/>
  <c r="G305" i="14" s="1"/>
  <c r="F304" i="14"/>
  <c r="G304" i="14" s="1"/>
  <c r="F303" i="14"/>
  <c r="G303" i="14" s="1"/>
  <c r="F302" i="14"/>
  <c r="G302" i="14" s="1"/>
  <c r="F301" i="14"/>
  <c r="G301" i="14" s="1"/>
  <c r="F300" i="14"/>
  <c r="G300" i="14" s="1"/>
  <c r="F299" i="14"/>
  <c r="G299" i="14" s="1"/>
  <c r="F298" i="14"/>
  <c r="G298" i="14" s="1"/>
  <c r="F297" i="14"/>
  <c r="G297" i="14" s="1"/>
  <c r="F296" i="14"/>
  <c r="G296" i="14" s="1"/>
  <c r="F295" i="14"/>
  <c r="G295" i="14" s="1"/>
  <c r="F294" i="14"/>
  <c r="G294" i="14" s="1"/>
  <c r="F293" i="14"/>
  <c r="G293" i="14" s="1"/>
  <c r="F292" i="14"/>
  <c r="G292" i="14" s="1"/>
  <c r="F291" i="14"/>
  <c r="G291" i="14" s="1"/>
  <c r="F290" i="14"/>
  <c r="G290" i="14" s="1"/>
  <c r="F289" i="14"/>
  <c r="G289" i="14" s="1"/>
  <c r="F288" i="14"/>
  <c r="G288" i="14" s="1"/>
  <c r="F287" i="14"/>
  <c r="G287" i="14" s="1"/>
  <c r="F286" i="14"/>
  <c r="G286" i="14" s="1"/>
  <c r="F285" i="14"/>
  <c r="G285" i="14" s="1"/>
  <c r="F284" i="14"/>
  <c r="G284" i="14" s="1"/>
  <c r="F283" i="14"/>
  <c r="G283" i="14" s="1"/>
  <c r="F282" i="14"/>
  <c r="G282" i="14" s="1"/>
  <c r="F281" i="14"/>
  <c r="G281" i="14" s="1"/>
  <c r="F280" i="14"/>
  <c r="G280" i="14" s="1"/>
  <c r="F279" i="14"/>
  <c r="G279" i="14" s="1"/>
  <c r="F278" i="14"/>
  <c r="G278" i="14" s="1"/>
  <c r="F277" i="14"/>
  <c r="G277" i="14" s="1"/>
  <c r="F276" i="14"/>
  <c r="G276" i="14" s="1"/>
  <c r="F275" i="14"/>
  <c r="G275" i="14" s="1"/>
  <c r="F274" i="14"/>
  <c r="G274" i="14" s="1"/>
  <c r="F273" i="14"/>
  <c r="G273" i="14" s="1"/>
  <c r="F272" i="14"/>
  <c r="G272" i="14" s="1"/>
  <c r="F271" i="14"/>
  <c r="G271" i="14" s="1"/>
  <c r="F270" i="14"/>
  <c r="G270" i="14" s="1"/>
  <c r="F269" i="14"/>
  <c r="G269" i="14" s="1"/>
  <c r="F268" i="14"/>
  <c r="G268" i="14" s="1"/>
  <c r="F267" i="14"/>
  <c r="G267" i="14" s="1"/>
  <c r="F266" i="14"/>
  <c r="G266" i="14" s="1"/>
  <c r="F265" i="14"/>
  <c r="G265" i="14" s="1"/>
  <c r="F264" i="14"/>
  <c r="G264" i="14" s="1"/>
  <c r="F263" i="14"/>
  <c r="G263" i="14" s="1"/>
  <c r="F262" i="14"/>
  <c r="G262" i="14" s="1"/>
  <c r="F261" i="14"/>
  <c r="G261" i="14" s="1"/>
  <c r="F260" i="14"/>
  <c r="G260" i="14" s="1"/>
  <c r="F259" i="14"/>
  <c r="G259" i="14" s="1"/>
  <c r="F258" i="14"/>
  <c r="G258" i="14" s="1"/>
  <c r="F257" i="14"/>
  <c r="G257" i="14" s="1"/>
  <c r="F256" i="14"/>
  <c r="G256" i="14" s="1"/>
  <c r="F255" i="14"/>
  <c r="G255" i="14" s="1"/>
  <c r="F254" i="14"/>
  <c r="G254" i="14" s="1"/>
  <c r="F253" i="14"/>
  <c r="G253" i="14" s="1"/>
  <c r="F252" i="14"/>
  <c r="G252" i="14" s="1"/>
  <c r="F251" i="14"/>
  <c r="G251" i="14" s="1"/>
  <c r="F250" i="14"/>
  <c r="G250" i="14" s="1"/>
  <c r="F249" i="14"/>
  <c r="G249" i="14" s="1"/>
  <c r="F248" i="14"/>
  <c r="G248" i="14" s="1"/>
  <c r="F247" i="14"/>
  <c r="G247" i="14" s="1"/>
  <c r="F246" i="14"/>
  <c r="G246" i="14" s="1"/>
  <c r="F245" i="14"/>
  <c r="G245" i="14" s="1"/>
  <c r="F244" i="14"/>
  <c r="G244" i="14" s="1"/>
  <c r="F243" i="14"/>
  <c r="G243" i="14" s="1"/>
  <c r="F242" i="14"/>
  <c r="G242" i="14" s="1"/>
  <c r="F241" i="14"/>
  <c r="G241" i="14" s="1"/>
  <c r="F240" i="14"/>
  <c r="G240" i="14" s="1"/>
  <c r="F239" i="14"/>
  <c r="G239" i="14" s="1"/>
  <c r="F238" i="14"/>
  <c r="G238" i="14" s="1"/>
  <c r="F237" i="14"/>
  <c r="G237" i="14" s="1"/>
  <c r="F236" i="14"/>
  <c r="G236" i="14" s="1"/>
  <c r="F235" i="14"/>
  <c r="G235" i="14" s="1"/>
  <c r="F234" i="14"/>
  <c r="G234" i="14" s="1"/>
  <c r="F233" i="14"/>
  <c r="G233" i="14" s="1"/>
  <c r="F232" i="14"/>
  <c r="G232" i="14" s="1"/>
  <c r="F231" i="14"/>
  <c r="G231" i="14" s="1"/>
  <c r="F230" i="14"/>
  <c r="G230" i="14" s="1"/>
  <c r="F229" i="14"/>
  <c r="G229" i="14" s="1"/>
  <c r="F228" i="14"/>
  <c r="G228" i="14" s="1"/>
  <c r="F227" i="14"/>
  <c r="G227" i="14" s="1"/>
  <c r="F226" i="14"/>
  <c r="G226" i="14" s="1"/>
  <c r="F225" i="14"/>
  <c r="G225" i="14" s="1"/>
  <c r="F224" i="14"/>
  <c r="G224" i="14" s="1"/>
  <c r="F223" i="14"/>
  <c r="G223" i="14" s="1"/>
  <c r="F222" i="14"/>
  <c r="G222" i="14" s="1"/>
  <c r="F221" i="14"/>
  <c r="G221" i="14" s="1"/>
  <c r="F220" i="14"/>
  <c r="G220" i="14" s="1"/>
  <c r="F219" i="14"/>
  <c r="G219" i="14" s="1"/>
  <c r="F218" i="14"/>
  <c r="G218" i="14" s="1"/>
  <c r="F217" i="14"/>
  <c r="G217" i="14" s="1"/>
  <c r="F216" i="14"/>
  <c r="G216" i="14" s="1"/>
  <c r="F215" i="14"/>
  <c r="G215" i="14" s="1"/>
  <c r="F214" i="14"/>
  <c r="G214" i="14" s="1"/>
  <c r="F213" i="14"/>
  <c r="G213" i="14" s="1"/>
  <c r="F212" i="14"/>
  <c r="G212" i="14" s="1"/>
  <c r="F211" i="14"/>
  <c r="G211" i="14" s="1"/>
  <c r="F210" i="14"/>
  <c r="G210" i="14" s="1"/>
  <c r="F209" i="14"/>
  <c r="G209" i="14" s="1"/>
  <c r="F208" i="14"/>
  <c r="G208" i="14" s="1"/>
  <c r="F207" i="14"/>
  <c r="G207" i="14" s="1"/>
  <c r="F206" i="14"/>
  <c r="G206" i="14" s="1"/>
  <c r="F205" i="14"/>
  <c r="G205" i="14" s="1"/>
  <c r="F204" i="14"/>
  <c r="G204" i="14" s="1"/>
  <c r="F203" i="14"/>
  <c r="G203" i="14" s="1"/>
  <c r="F202" i="14"/>
  <c r="G202" i="14" s="1"/>
  <c r="F201" i="14"/>
  <c r="G201" i="14" s="1"/>
  <c r="F200" i="14"/>
  <c r="G200" i="14" s="1"/>
  <c r="F199" i="14"/>
  <c r="G199" i="14" s="1"/>
  <c r="F198" i="14"/>
  <c r="G198" i="14" s="1"/>
  <c r="F197" i="14"/>
  <c r="G197" i="14" s="1"/>
  <c r="F196" i="14"/>
  <c r="G196" i="14" s="1"/>
  <c r="F195" i="14"/>
  <c r="G195" i="14" s="1"/>
  <c r="F194" i="14"/>
  <c r="G194" i="14" s="1"/>
  <c r="F193" i="14"/>
  <c r="G193" i="14" s="1"/>
  <c r="F192" i="14"/>
  <c r="G192" i="14" s="1"/>
  <c r="F191" i="14"/>
  <c r="G191" i="14" s="1"/>
  <c r="F190" i="14"/>
  <c r="G190" i="14" s="1"/>
  <c r="F189" i="14"/>
  <c r="G189" i="14" s="1"/>
  <c r="F188" i="14"/>
  <c r="G188" i="14" s="1"/>
  <c r="F187" i="14"/>
  <c r="G187" i="14" s="1"/>
  <c r="F186" i="14"/>
  <c r="G186" i="14" s="1"/>
  <c r="F185" i="14"/>
  <c r="G185" i="14" s="1"/>
  <c r="F184" i="14"/>
  <c r="G184" i="14" s="1"/>
  <c r="F183" i="14"/>
  <c r="G183" i="14" s="1"/>
  <c r="F182" i="14"/>
  <c r="G182" i="14" s="1"/>
  <c r="F181" i="14"/>
  <c r="G181" i="14" s="1"/>
  <c r="F180" i="14"/>
  <c r="G180" i="14" s="1"/>
  <c r="F179" i="14"/>
  <c r="G179" i="14" s="1"/>
  <c r="F178" i="14"/>
  <c r="G178" i="14" s="1"/>
  <c r="F177" i="14"/>
  <c r="G177" i="14" s="1"/>
  <c r="F176" i="14"/>
  <c r="G176" i="14" s="1"/>
  <c r="F175" i="14"/>
  <c r="G175" i="14" s="1"/>
  <c r="F174" i="14"/>
  <c r="G174" i="14" s="1"/>
  <c r="F173" i="14"/>
  <c r="G173" i="14" s="1"/>
  <c r="F172" i="14"/>
  <c r="G172" i="14" s="1"/>
  <c r="F171" i="14"/>
  <c r="G171" i="14" s="1"/>
  <c r="F170" i="14"/>
  <c r="G170" i="14" s="1"/>
  <c r="F169" i="14"/>
  <c r="G169" i="14" s="1"/>
  <c r="F168" i="14"/>
  <c r="G168" i="14" s="1"/>
  <c r="F167" i="14"/>
  <c r="G167" i="14" s="1"/>
  <c r="F166" i="14"/>
  <c r="G166" i="14" s="1"/>
  <c r="F165" i="14"/>
  <c r="G165" i="14" s="1"/>
  <c r="F164" i="14"/>
  <c r="G164" i="14" s="1"/>
  <c r="F163" i="14"/>
  <c r="G163" i="14" s="1"/>
  <c r="F162" i="14"/>
  <c r="G162" i="14" s="1"/>
  <c r="F161" i="14"/>
  <c r="G161" i="14" s="1"/>
  <c r="F160" i="14"/>
  <c r="G160" i="14" s="1"/>
  <c r="F159" i="14"/>
  <c r="G159" i="14" s="1"/>
  <c r="F158" i="14"/>
  <c r="G158" i="14" s="1"/>
  <c r="F157" i="14"/>
  <c r="G157" i="14" s="1"/>
  <c r="F156" i="14"/>
  <c r="G156" i="14" s="1"/>
  <c r="F155" i="14"/>
  <c r="G155" i="14" s="1"/>
  <c r="F154" i="14"/>
  <c r="G154" i="14" s="1"/>
  <c r="F153" i="14"/>
  <c r="G153" i="14" s="1"/>
  <c r="F152" i="14"/>
  <c r="G152" i="14" s="1"/>
  <c r="F151" i="14"/>
  <c r="G151" i="14" s="1"/>
  <c r="F150" i="14"/>
  <c r="G150" i="14" s="1"/>
  <c r="F149" i="14"/>
  <c r="G149" i="14" s="1"/>
  <c r="F148" i="14"/>
  <c r="G148" i="14" s="1"/>
  <c r="F147" i="14"/>
  <c r="G147" i="14" s="1"/>
  <c r="F146" i="14"/>
  <c r="G146" i="14" s="1"/>
  <c r="F145" i="14"/>
  <c r="G145" i="14" s="1"/>
  <c r="F144" i="14"/>
  <c r="G144" i="14" s="1"/>
  <c r="F143" i="14"/>
  <c r="G143" i="14" s="1"/>
  <c r="F142" i="14"/>
  <c r="G142" i="14" s="1"/>
  <c r="F141" i="14"/>
  <c r="G141" i="14" s="1"/>
  <c r="F140" i="14"/>
  <c r="G140" i="14" s="1"/>
  <c r="F139" i="14"/>
  <c r="G139" i="14" s="1"/>
  <c r="F138" i="14"/>
  <c r="G138" i="14" s="1"/>
  <c r="F137" i="14"/>
  <c r="G137" i="14" s="1"/>
  <c r="F136" i="14"/>
  <c r="G136" i="14" s="1"/>
  <c r="F135" i="14"/>
  <c r="G135" i="14" s="1"/>
  <c r="F134" i="14"/>
  <c r="G134" i="14" s="1"/>
  <c r="F133" i="14"/>
  <c r="G133" i="14" s="1"/>
  <c r="F132" i="14"/>
  <c r="G132" i="14" s="1"/>
  <c r="F131" i="14"/>
  <c r="G131" i="14" s="1"/>
  <c r="F130" i="14"/>
  <c r="G130" i="14" s="1"/>
  <c r="F129" i="14"/>
  <c r="G129" i="14" s="1"/>
  <c r="F128" i="14"/>
  <c r="G128" i="14" s="1"/>
  <c r="F127" i="14"/>
  <c r="G127" i="14" s="1"/>
  <c r="F126" i="14"/>
  <c r="G126" i="14" s="1"/>
  <c r="F125" i="14"/>
  <c r="G125" i="14" s="1"/>
  <c r="F124" i="14"/>
  <c r="G124" i="14" s="1"/>
  <c r="F123" i="14"/>
  <c r="G123" i="14" s="1"/>
  <c r="F122" i="14"/>
  <c r="G122" i="14" s="1"/>
  <c r="F121" i="14"/>
  <c r="G121" i="14" s="1"/>
  <c r="F120" i="14"/>
  <c r="G120" i="14" s="1"/>
  <c r="F119" i="14"/>
  <c r="G119" i="14" s="1"/>
  <c r="F118" i="14"/>
  <c r="G118" i="14" s="1"/>
  <c r="F117" i="14"/>
  <c r="G117" i="14" s="1"/>
  <c r="F116" i="14"/>
  <c r="G116" i="14" s="1"/>
  <c r="F115" i="14"/>
  <c r="G115" i="14" s="1"/>
  <c r="F114" i="14"/>
  <c r="G114" i="14" s="1"/>
  <c r="F113" i="14"/>
  <c r="G113" i="14" s="1"/>
  <c r="F112" i="14"/>
  <c r="G112" i="14" s="1"/>
  <c r="F111" i="14"/>
  <c r="G111" i="14" s="1"/>
  <c r="F110" i="14"/>
  <c r="G110" i="14" s="1"/>
  <c r="F109" i="14"/>
  <c r="G109" i="14" s="1"/>
  <c r="F108" i="14"/>
  <c r="G108" i="14" s="1"/>
  <c r="F107" i="14"/>
  <c r="G107" i="14" s="1"/>
  <c r="F106" i="14"/>
  <c r="G106" i="14" s="1"/>
  <c r="F105" i="14"/>
  <c r="G105" i="14" s="1"/>
  <c r="F104" i="14"/>
  <c r="G104" i="14" s="1"/>
  <c r="F103" i="14"/>
  <c r="G103" i="14" s="1"/>
  <c r="F102" i="14"/>
  <c r="G102" i="14" s="1"/>
  <c r="F101" i="14"/>
  <c r="G101" i="14" s="1"/>
  <c r="F100" i="14"/>
  <c r="G100" i="14" s="1"/>
  <c r="F99" i="14"/>
  <c r="G99" i="14" s="1"/>
  <c r="F98" i="14"/>
  <c r="G98" i="14" s="1"/>
  <c r="F97" i="14"/>
  <c r="G97" i="14" s="1"/>
  <c r="F96" i="14"/>
  <c r="G96" i="14" s="1"/>
  <c r="F95" i="14"/>
  <c r="G95" i="14" s="1"/>
  <c r="F94" i="14"/>
  <c r="G94" i="14" s="1"/>
  <c r="F93" i="14"/>
  <c r="G93" i="14" s="1"/>
  <c r="F92" i="14"/>
  <c r="G92" i="14" s="1"/>
  <c r="F91" i="14"/>
  <c r="G91" i="14" s="1"/>
  <c r="F90" i="14"/>
  <c r="G90" i="14" s="1"/>
  <c r="F89" i="14"/>
  <c r="G89" i="14" s="1"/>
  <c r="F88" i="14"/>
  <c r="G88" i="14" s="1"/>
  <c r="F87" i="14"/>
  <c r="G87" i="14" s="1"/>
  <c r="F86" i="14"/>
  <c r="G86" i="14" s="1"/>
  <c r="F85" i="14"/>
  <c r="G85" i="14" s="1"/>
  <c r="F84" i="14"/>
  <c r="G84" i="14" s="1"/>
  <c r="F83" i="14"/>
  <c r="G83" i="14" s="1"/>
  <c r="F82" i="14"/>
  <c r="G82" i="14" s="1"/>
  <c r="F81" i="14"/>
  <c r="G81" i="14" s="1"/>
  <c r="F80" i="14"/>
  <c r="G80" i="14" s="1"/>
  <c r="F79" i="14"/>
  <c r="G79" i="14" s="1"/>
  <c r="F78" i="14"/>
  <c r="G78" i="14" s="1"/>
  <c r="F77" i="14"/>
  <c r="G77" i="14" s="1"/>
  <c r="F76" i="14"/>
  <c r="G76" i="14" s="1"/>
  <c r="F75" i="14"/>
  <c r="G75" i="14" s="1"/>
  <c r="F74" i="14"/>
  <c r="G74" i="14" s="1"/>
  <c r="F73" i="14"/>
  <c r="G73" i="14" s="1"/>
  <c r="F72" i="14"/>
  <c r="G72" i="14" s="1"/>
  <c r="F71" i="14"/>
  <c r="G71" i="14" s="1"/>
  <c r="F70" i="14"/>
  <c r="G70" i="14" s="1"/>
  <c r="F69" i="14"/>
  <c r="G69" i="14" s="1"/>
  <c r="F68" i="14"/>
  <c r="G68" i="14" s="1"/>
  <c r="F67" i="14"/>
  <c r="G67" i="14" s="1"/>
  <c r="F66" i="14"/>
  <c r="G66" i="14" s="1"/>
  <c r="F65" i="14"/>
  <c r="G65" i="14" s="1"/>
  <c r="F64" i="14"/>
  <c r="G64" i="14" s="1"/>
  <c r="F63" i="14"/>
  <c r="G63" i="14" s="1"/>
  <c r="F62" i="14"/>
  <c r="G62" i="14" s="1"/>
  <c r="F61" i="14"/>
  <c r="G61" i="14" s="1"/>
  <c r="F60" i="14"/>
  <c r="G60" i="14" s="1"/>
  <c r="F59" i="14"/>
  <c r="G59" i="14" s="1"/>
  <c r="F58" i="14"/>
  <c r="G58" i="14" s="1"/>
  <c r="F57" i="14"/>
  <c r="G57" i="14" s="1"/>
  <c r="F56" i="14"/>
  <c r="G56" i="14" s="1"/>
  <c r="F55" i="14"/>
  <c r="G55" i="14" s="1"/>
  <c r="F54" i="14"/>
  <c r="G54" i="14" s="1"/>
  <c r="F53" i="14"/>
  <c r="G53" i="14" s="1"/>
  <c r="F52" i="14"/>
  <c r="G52" i="14" s="1"/>
  <c r="F51" i="14"/>
  <c r="G51" i="14" s="1"/>
  <c r="F50" i="14"/>
  <c r="G50" i="14" s="1"/>
  <c r="F49" i="14"/>
  <c r="G49" i="14" s="1"/>
  <c r="F48" i="14"/>
  <c r="G48" i="14" s="1"/>
  <c r="F47" i="14"/>
  <c r="G47" i="14" s="1"/>
  <c r="F46" i="14"/>
  <c r="G46" i="14" s="1"/>
  <c r="F45" i="14"/>
  <c r="G45" i="14" s="1"/>
  <c r="F44" i="14"/>
  <c r="G44" i="14" s="1"/>
  <c r="F43" i="14"/>
  <c r="G43" i="14" s="1"/>
  <c r="F42" i="14"/>
  <c r="G42" i="14" s="1"/>
  <c r="F41" i="14"/>
  <c r="G41" i="14" s="1"/>
  <c r="F40" i="14"/>
  <c r="G40" i="14" s="1"/>
  <c r="F39" i="14"/>
  <c r="G39" i="14" s="1"/>
  <c r="F38" i="14"/>
  <c r="G38" i="14" s="1"/>
  <c r="F37" i="14"/>
  <c r="G37" i="14" s="1"/>
  <c r="F36" i="14"/>
  <c r="G36" i="14" s="1"/>
  <c r="F35" i="14"/>
  <c r="G35" i="14" s="1"/>
  <c r="F34" i="14"/>
  <c r="G34" i="14" s="1"/>
  <c r="F33" i="14"/>
  <c r="G33" i="14" s="1"/>
  <c r="F32" i="14"/>
  <c r="G32" i="14" s="1"/>
  <c r="F31" i="14"/>
  <c r="G31" i="14" s="1"/>
  <c r="F30" i="14"/>
  <c r="G30" i="14" s="1"/>
  <c r="F29" i="14"/>
  <c r="G29" i="14" s="1"/>
  <c r="F28" i="14"/>
  <c r="G28" i="14" s="1"/>
  <c r="F27" i="14"/>
  <c r="G27" i="14" s="1"/>
  <c r="F26" i="14"/>
  <c r="G26" i="14" s="1"/>
  <c r="F25" i="14"/>
  <c r="G25" i="14" s="1"/>
  <c r="F24" i="14"/>
  <c r="G24" i="14" s="1"/>
  <c r="F23" i="14"/>
  <c r="G23" i="14" s="1"/>
  <c r="F22" i="14"/>
  <c r="G22" i="14" s="1"/>
  <c r="F21" i="14"/>
  <c r="G21" i="14" s="1"/>
  <c r="F20" i="14"/>
  <c r="G20" i="14" s="1"/>
  <c r="F19" i="14"/>
  <c r="G19" i="14" s="1"/>
  <c r="F18" i="14"/>
  <c r="G18" i="14" s="1"/>
  <c r="F17" i="14"/>
  <c r="G17" i="14" s="1"/>
  <c r="F16" i="14"/>
  <c r="G16" i="14" s="1"/>
  <c r="F15" i="14"/>
  <c r="G15" i="14" s="1"/>
  <c r="F14" i="14"/>
  <c r="G14" i="14" s="1"/>
  <c r="F13" i="14"/>
  <c r="G13" i="14" s="1"/>
  <c r="F12" i="14"/>
  <c r="G12" i="14" s="1"/>
  <c r="F11" i="14"/>
  <c r="G11" i="14" s="1"/>
  <c r="F10" i="14"/>
  <c r="G10" i="14" s="1"/>
  <c r="F9" i="14"/>
  <c r="G9" i="14" s="1"/>
  <c r="F8" i="14"/>
  <c r="G8" i="14" s="1"/>
  <c r="F7" i="14"/>
  <c r="G7" i="14" s="1"/>
  <c r="F6" i="14"/>
  <c r="G6" i="14" s="1"/>
  <c r="F5" i="14"/>
  <c r="F4" i="14"/>
  <c r="F3" i="14"/>
  <c r="F2" i="14"/>
  <c r="G2" i="14" s="1"/>
  <c r="I3" i="13"/>
  <c r="X513" i="1" l="1"/>
  <c r="AA513" i="1" s="1"/>
  <c r="X511" i="1"/>
  <c r="AA511" i="1" s="1"/>
  <c r="X515" i="1"/>
  <c r="AA515" i="1" s="1"/>
  <c r="X514" i="1"/>
  <c r="AA514" i="1" s="1"/>
  <c r="X512" i="1"/>
  <c r="AA512" i="1" s="1"/>
  <c r="X510" i="1"/>
  <c r="AA510" i="1" s="1"/>
  <c r="X509" i="1"/>
  <c r="AA509" i="1" s="1"/>
  <c r="X508" i="1"/>
  <c r="AA508" i="1" s="1"/>
  <c r="X507" i="1"/>
  <c r="AA507" i="1" s="1"/>
  <c r="X504" i="1"/>
  <c r="AA504" i="1" s="1"/>
  <c r="X505" i="1"/>
  <c r="AA505" i="1" s="1"/>
  <c r="C5" i="3" a="1"/>
  <c r="C5" i="3" s="1"/>
  <c r="X506" i="1"/>
  <c r="AA506" i="1" s="1"/>
  <c r="X503" i="1"/>
  <c r="AA503" i="1" s="1"/>
  <c r="X500" i="1"/>
  <c r="AA500" i="1" s="1"/>
  <c r="X501" i="1"/>
  <c r="AA501" i="1" s="1"/>
  <c r="X499" i="1"/>
  <c r="AA499" i="1" s="1"/>
  <c r="X502" i="1"/>
  <c r="AA502" i="1" s="1"/>
  <c r="X494" i="1"/>
  <c r="AA494" i="1" s="1"/>
  <c r="X497" i="1"/>
  <c r="AA497" i="1" s="1"/>
  <c r="X498" i="1"/>
  <c r="AA498" i="1" s="1"/>
  <c r="X496" i="1"/>
  <c r="AA496" i="1" s="1"/>
  <c r="X495" i="1"/>
  <c r="AA495" i="1" s="1"/>
  <c r="X492" i="1"/>
  <c r="AA492" i="1" s="1"/>
  <c r="X491" i="1"/>
  <c r="AA491" i="1" s="1"/>
  <c r="X493" i="1"/>
  <c r="AA493" i="1" s="1"/>
  <c r="X490" i="1"/>
  <c r="AA490" i="1" s="1"/>
  <c r="X489" i="1"/>
  <c r="AA489" i="1" s="1"/>
  <c r="X457" i="1"/>
  <c r="AA457" i="1" s="1"/>
  <c r="X468" i="1"/>
  <c r="AA468" i="1" s="1"/>
  <c r="X463" i="1"/>
  <c r="AA463" i="1" s="1"/>
  <c r="X483" i="1"/>
  <c r="AA483" i="1" s="1"/>
  <c r="X2" i="1"/>
  <c r="X475" i="1"/>
  <c r="AA475" i="1" s="1"/>
  <c r="X441" i="1"/>
  <c r="AA441" i="1" s="1"/>
  <c r="X425" i="1"/>
  <c r="AA425" i="1" s="1"/>
  <c r="X409" i="1"/>
  <c r="AA409" i="1" s="1"/>
  <c r="AB409" i="1" s="1"/>
  <c r="X393" i="1"/>
  <c r="AA393" i="1" s="1"/>
  <c r="AB393" i="1" s="1"/>
  <c r="X385" i="1"/>
  <c r="AA385" i="1" s="1"/>
  <c r="AB385" i="1" s="1"/>
  <c r="X377" i="1"/>
  <c r="AA377" i="1" s="1"/>
  <c r="AB377" i="1" s="1"/>
  <c r="X369" i="1"/>
  <c r="AA369" i="1" s="1"/>
  <c r="AB369" i="1" s="1"/>
  <c r="X361" i="1"/>
  <c r="AA361" i="1" s="1"/>
  <c r="AB361" i="1" s="1"/>
  <c r="X353" i="1"/>
  <c r="AA353" i="1" s="1"/>
  <c r="AB353" i="1" s="1"/>
  <c r="X345" i="1"/>
  <c r="AA345" i="1" s="1"/>
  <c r="AB345" i="1" s="1"/>
  <c r="X337" i="1"/>
  <c r="AA337" i="1" s="1"/>
  <c r="AB337" i="1" s="1"/>
  <c r="X329" i="1"/>
  <c r="AA329" i="1" s="1"/>
  <c r="AB329" i="1" s="1"/>
  <c r="X321" i="1"/>
  <c r="AA321" i="1" s="1"/>
  <c r="AB321" i="1" s="1"/>
  <c r="X313" i="1"/>
  <c r="AA313" i="1" s="1"/>
  <c r="AB313" i="1" s="1"/>
  <c r="X305" i="1"/>
  <c r="AA305" i="1" s="1"/>
  <c r="AB305" i="1" s="1"/>
  <c r="X297" i="1"/>
  <c r="AA297" i="1" s="1"/>
  <c r="AB297" i="1" s="1"/>
  <c r="X289" i="1"/>
  <c r="AA289" i="1" s="1"/>
  <c r="AB289" i="1" s="1"/>
  <c r="X281" i="1"/>
  <c r="AA281" i="1" s="1"/>
  <c r="AB281" i="1" s="1"/>
  <c r="X273" i="1"/>
  <c r="AA273" i="1" s="1"/>
  <c r="AB273" i="1" s="1"/>
  <c r="X265" i="1"/>
  <c r="AA265" i="1" s="1"/>
  <c r="AB265" i="1" s="1"/>
  <c r="X257" i="1"/>
  <c r="AA257" i="1" s="1"/>
  <c r="X249" i="1"/>
  <c r="AA249" i="1" s="1"/>
  <c r="AB249" i="1" s="1"/>
  <c r="X241" i="1"/>
  <c r="AA241" i="1" s="1"/>
  <c r="AB241" i="1" s="1"/>
  <c r="X233" i="1"/>
  <c r="AA233" i="1" s="1"/>
  <c r="AB233" i="1" s="1"/>
  <c r="X225" i="1"/>
  <c r="AA225" i="1" s="1"/>
  <c r="AB225" i="1" s="1"/>
  <c r="X217" i="1"/>
  <c r="AA217" i="1" s="1"/>
  <c r="AB217" i="1" s="1"/>
  <c r="X209" i="1"/>
  <c r="AA209" i="1" s="1"/>
  <c r="AB209" i="1" s="1"/>
  <c r="X201" i="1"/>
  <c r="AA201" i="1" s="1"/>
  <c r="AB201" i="1" s="1"/>
  <c r="X193" i="1"/>
  <c r="AA193" i="1" s="1"/>
  <c r="AB193" i="1" s="1"/>
  <c r="X185" i="1"/>
  <c r="AA185" i="1" s="1"/>
  <c r="AB185" i="1" s="1"/>
  <c r="X177" i="1"/>
  <c r="AA177" i="1" s="1"/>
  <c r="AB177" i="1" s="1"/>
  <c r="X169" i="1"/>
  <c r="AA169" i="1" s="1"/>
  <c r="AB169" i="1" s="1"/>
  <c r="X161" i="1"/>
  <c r="AA161" i="1" s="1"/>
  <c r="AB161" i="1" s="1"/>
  <c r="X153" i="1"/>
  <c r="AA153" i="1" s="1"/>
  <c r="AB153" i="1" s="1"/>
  <c r="X145" i="1"/>
  <c r="AA145" i="1" s="1"/>
  <c r="AB145" i="1" s="1"/>
  <c r="X137" i="1"/>
  <c r="AA137" i="1" s="1"/>
  <c r="AB137" i="1" s="1"/>
  <c r="X129" i="1"/>
  <c r="AA129" i="1" s="1"/>
  <c r="AB129" i="1" s="1"/>
  <c r="X121" i="1"/>
  <c r="AA121" i="1" s="1"/>
  <c r="AB121" i="1" s="1"/>
  <c r="X113" i="1"/>
  <c r="AA113" i="1" s="1"/>
  <c r="AB113" i="1" s="1"/>
  <c r="X105" i="1"/>
  <c r="AA105" i="1" s="1"/>
  <c r="AB105" i="1" s="1"/>
  <c r="X97" i="1"/>
  <c r="AA97" i="1" s="1"/>
  <c r="AB97" i="1" s="1"/>
  <c r="X89" i="1"/>
  <c r="AA89" i="1" s="1"/>
  <c r="AB89" i="1" s="1"/>
  <c r="X81" i="1"/>
  <c r="AA81" i="1" s="1"/>
  <c r="AB81" i="1" s="1"/>
  <c r="X73" i="1"/>
  <c r="AA73" i="1" s="1"/>
  <c r="AB73" i="1" s="1"/>
  <c r="X65" i="1"/>
  <c r="AA65" i="1" s="1"/>
  <c r="X57" i="1"/>
  <c r="AA57" i="1" s="1"/>
  <c r="AB57" i="1" s="1"/>
  <c r="X49" i="1"/>
  <c r="AA49" i="1" s="1"/>
  <c r="AB49" i="1" s="1"/>
  <c r="X41" i="1"/>
  <c r="AA41" i="1" s="1"/>
  <c r="AB41" i="1" s="1"/>
  <c r="X33" i="1"/>
  <c r="AA33" i="1" s="1"/>
  <c r="AB33" i="1" s="1"/>
  <c r="X25" i="1"/>
  <c r="AA25" i="1" s="1"/>
  <c r="AB25" i="1" s="1"/>
  <c r="X17" i="1"/>
  <c r="AA17" i="1" s="1"/>
  <c r="AB17" i="1" s="1"/>
  <c r="X9" i="1"/>
  <c r="AA9" i="1" s="1"/>
  <c r="AB9" i="1" s="1"/>
  <c r="X449" i="1"/>
  <c r="AA449" i="1" s="1"/>
  <c r="X433" i="1"/>
  <c r="AA433" i="1" s="1"/>
  <c r="X417" i="1"/>
  <c r="AA417" i="1" s="1"/>
  <c r="X401" i="1"/>
  <c r="AA401" i="1" s="1"/>
  <c r="AB401" i="1" s="1"/>
  <c r="X482" i="1"/>
  <c r="AA482" i="1" s="1"/>
  <c r="X474" i="1"/>
  <c r="AA474" i="1" s="1"/>
  <c r="X462" i="1"/>
  <c r="AA462" i="1" s="1"/>
  <c r="X456" i="1"/>
  <c r="AA456" i="1" s="1"/>
  <c r="X448" i="1"/>
  <c r="AA448" i="1" s="1"/>
  <c r="X440" i="1"/>
  <c r="AA440" i="1" s="1"/>
  <c r="X432" i="1"/>
  <c r="AA432" i="1" s="1"/>
  <c r="X424" i="1"/>
  <c r="AA424" i="1" s="1"/>
  <c r="X416" i="1"/>
  <c r="AA416" i="1" s="1"/>
  <c r="X408" i="1"/>
  <c r="AA408" i="1" s="1"/>
  <c r="AB408" i="1" s="1"/>
  <c r="X400" i="1"/>
  <c r="AA400" i="1" s="1"/>
  <c r="AB400" i="1" s="1"/>
  <c r="X392" i="1"/>
  <c r="AA392" i="1" s="1"/>
  <c r="AB392" i="1" s="1"/>
  <c r="X384" i="1"/>
  <c r="AA384" i="1" s="1"/>
  <c r="AB384" i="1" s="1"/>
  <c r="X376" i="1"/>
  <c r="AA376" i="1" s="1"/>
  <c r="X368" i="1"/>
  <c r="AA368" i="1" s="1"/>
  <c r="AB368" i="1" s="1"/>
  <c r="X360" i="1"/>
  <c r="AA360" i="1" s="1"/>
  <c r="AB360" i="1" s="1"/>
  <c r="X352" i="1"/>
  <c r="AA352" i="1" s="1"/>
  <c r="X344" i="1"/>
  <c r="AA344" i="1" s="1"/>
  <c r="AB344" i="1" s="1"/>
  <c r="X336" i="1"/>
  <c r="AA336" i="1" s="1"/>
  <c r="AB336" i="1" s="1"/>
  <c r="X328" i="1"/>
  <c r="AA328" i="1" s="1"/>
  <c r="AB328" i="1" s="1"/>
  <c r="X320" i="1"/>
  <c r="AA320" i="1" s="1"/>
  <c r="AB320" i="1" s="1"/>
  <c r="X312" i="1"/>
  <c r="AA312" i="1" s="1"/>
  <c r="AB312" i="1" s="1"/>
  <c r="X304" i="1"/>
  <c r="AA304" i="1" s="1"/>
  <c r="AB304" i="1" s="1"/>
  <c r="X296" i="1"/>
  <c r="AA296" i="1" s="1"/>
  <c r="AB296" i="1" s="1"/>
  <c r="X288" i="1"/>
  <c r="AA288" i="1" s="1"/>
  <c r="AB288" i="1" s="1"/>
  <c r="X280" i="1"/>
  <c r="AA280" i="1" s="1"/>
  <c r="X272" i="1"/>
  <c r="AA272" i="1" s="1"/>
  <c r="X264" i="1"/>
  <c r="AA264" i="1" s="1"/>
  <c r="AB264" i="1" s="1"/>
  <c r="X256" i="1"/>
  <c r="AA256" i="1" s="1"/>
  <c r="AB256" i="1" s="1"/>
  <c r="X248" i="1"/>
  <c r="AA248" i="1" s="1"/>
  <c r="AB248" i="1" s="1"/>
  <c r="X240" i="1"/>
  <c r="AA240" i="1" s="1"/>
  <c r="AB240" i="1" s="1"/>
  <c r="X232" i="1"/>
  <c r="AA232" i="1" s="1"/>
  <c r="X224" i="1"/>
  <c r="AA224" i="1" s="1"/>
  <c r="AB224" i="1" s="1"/>
  <c r="X216" i="1"/>
  <c r="AA216" i="1" s="1"/>
  <c r="AB216" i="1" s="1"/>
  <c r="X208" i="1"/>
  <c r="AA208" i="1" s="1"/>
  <c r="AB208" i="1" s="1"/>
  <c r="X200" i="1"/>
  <c r="AA200" i="1" s="1"/>
  <c r="AB200" i="1" s="1"/>
  <c r="X192" i="1"/>
  <c r="AA192" i="1" s="1"/>
  <c r="AB192" i="1" s="1"/>
  <c r="X184" i="1"/>
  <c r="AA184" i="1" s="1"/>
  <c r="AB184" i="1" s="1"/>
  <c r="X176" i="1"/>
  <c r="AA176" i="1" s="1"/>
  <c r="AB176" i="1" s="1"/>
  <c r="X168" i="1"/>
  <c r="AA168" i="1" s="1"/>
  <c r="AB168" i="1" s="1"/>
  <c r="X160" i="1"/>
  <c r="AA160" i="1" s="1"/>
  <c r="AB160" i="1" s="1"/>
  <c r="X152" i="1"/>
  <c r="AA152" i="1" s="1"/>
  <c r="AB152" i="1" s="1"/>
  <c r="X144" i="1"/>
  <c r="AA144" i="1" s="1"/>
  <c r="AB144" i="1" s="1"/>
  <c r="X136" i="1"/>
  <c r="AA136" i="1" s="1"/>
  <c r="AB136" i="1" s="1"/>
  <c r="X128" i="1"/>
  <c r="AA128" i="1" s="1"/>
  <c r="AB128" i="1" s="1"/>
  <c r="X120" i="1"/>
  <c r="AA120" i="1" s="1"/>
  <c r="AB120" i="1" s="1"/>
  <c r="X112" i="1"/>
  <c r="AA112" i="1" s="1"/>
  <c r="X104" i="1"/>
  <c r="AA104" i="1" s="1"/>
  <c r="AB104" i="1" s="1"/>
  <c r="X96" i="1"/>
  <c r="AA96" i="1" s="1"/>
  <c r="AB96" i="1" s="1"/>
  <c r="X88" i="1"/>
  <c r="AA88" i="1" s="1"/>
  <c r="AB88" i="1" s="1"/>
  <c r="X80" i="1"/>
  <c r="AA80" i="1" s="1"/>
  <c r="AB80" i="1" s="1"/>
  <c r="X72" i="1"/>
  <c r="AA72" i="1" s="1"/>
  <c r="AB72" i="1" s="1"/>
  <c r="X64" i="1"/>
  <c r="AA64" i="1" s="1"/>
  <c r="AB64" i="1" s="1"/>
  <c r="X56" i="1"/>
  <c r="AA56" i="1" s="1"/>
  <c r="X48" i="1"/>
  <c r="AA48" i="1" s="1"/>
  <c r="AB48" i="1" s="1"/>
  <c r="X40" i="1"/>
  <c r="AA40" i="1" s="1"/>
  <c r="AB40" i="1" s="1"/>
  <c r="X32" i="1"/>
  <c r="AA32" i="1" s="1"/>
  <c r="AB32" i="1" s="1"/>
  <c r="X24" i="1"/>
  <c r="AA24" i="1" s="1"/>
  <c r="AB24" i="1" s="1"/>
  <c r="X16" i="1"/>
  <c r="AA16" i="1" s="1"/>
  <c r="AB16" i="1" s="1"/>
  <c r="X8" i="1"/>
  <c r="AA8" i="1" s="1"/>
  <c r="AB8" i="1" s="1"/>
  <c r="X461" i="1"/>
  <c r="AA461" i="1" s="1"/>
  <c r="X407" i="1"/>
  <c r="AA407" i="1" s="1"/>
  <c r="AB407" i="1" s="1"/>
  <c r="X351" i="1"/>
  <c r="AA351" i="1" s="1"/>
  <c r="AB351" i="1" s="1"/>
  <c r="X311" i="1"/>
  <c r="AA311" i="1" s="1"/>
  <c r="AB311" i="1" s="1"/>
  <c r="X303" i="1"/>
  <c r="AA303" i="1" s="1"/>
  <c r="AB303" i="1" s="1"/>
  <c r="X295" i="1"/>
  <c r="AA295" i="1" s="1"/>
  <c r="X287" i="1"/>
  <c r="AA287" i="1" s="1"/>
  <c r="AB287" i="1" s="1"/>
  <c r="X279" i="1"/>
  <c r="AA279" i="1" s="1"/>
  <c r="AB279" i="1" s="1"/>
  <c r="X271" i="1"/>
  <c r="AA271" i="1" s="1"/>
  <c r="AB271" i="1" s="1"/>
  <c r="X263" i="1"/>
  <c r="AA263" i="1" s="1"/>
  <c r="AB263" i="1" s="1"/>
  <c r="X255" i="1"/>
  <c r="AA255" i="1" s="1"/>
  <c r="AB255" i="1" s="1"/>
  <c r="X247" i="1"/>
  <c r="AA247" i="1" s="1"/>
  <c r="X239" i="1"/>
  <c r="AA239" i="1" s="1"/>
  <c r="AB239" i="1" s="1"/>
  <c r="X231" i="1"/>
  <c r="AA231" i="1" s="1"/>
  <c r="AB231" i="1" s="1"/>
  <c r="X223" i="1"/>
  <c r="AA223" i="1" s="1"/>
  <c r="AB223" i="1" s="1"/>
  <c r="X215" i="1"/>
  <c r="AA215" i="1" s="1"/>
  <c r="AB215" i="1" s="1"/>
  <c r="X207" i="1"/>
  <c r="AA207" i="1" s="1"/>
  <c r="AB207" i="1" s="1"/>
  <c r="X199" i="1"/>
  <c r="AA199" i="1" s="1"/>
  <c r="AB199" i="1" s="1"/>
  <c r="X191" i="1"/>
  <c r="AA191" i="1" s="1"/>
  <c r="AB191" i="1" s="1"/>
  <c r="X183" i="1"/>
  <c r="AA183" i="1" s="1"/>
  <c r="AB183" i="1" s="1"/>
  <c r="X175" i="1"/>
  <c r="AA175" i="1" s="1"/>
  <c r="AB175" i="1" s="1"/>
  <c r="X167" i="1"/>
  <c r="AA167" i="1" s="1"/>
  <c r="AB167" i="1" s="1"/>
  <c r="X159" i="1"/>
  <c r="AA159" i="1" s="1"/>
  <c r="AB159" i="1" s="1"/>
  <c r="X151" i="1"/>
  <c r="AA151" i="1" s="1"/>
  <c r="AB151" i="1" s="1"/>
  <c r="X143" i="1"/>
  <c r="AA143" i="1" s="1"/>
  <c r="AB143" i="1" s="1"/>
  <c r="X135" i="1"/>
  <c r="AA135" i="1" s="1"/>
  <c r="AB135" i="1" s="1"/>
  <c r="X127" i="1"/>
  <c r="AA127" i="1" s="1"/>
  <c r="AB127" i="1" s="1"/>
  <c r="X119" i="1"/>
  <c r="AA119" i="1" s="1"/>
  <c r="AB119" i="1" s="1"/>
  <c r="X111" i="1"/>
  <c r="AA111" i="1" s="1"/>
  <c r="AB111" i="1" s="1"/>
  <c r="X103" i="1"/>
  <c r="AA103" i="1" s="1"/>
  <c r="AB103" i="1" s="1"/>
  <c r="X95" i="1"/>
  <c r="AA95" i="1" s="1"/>
  <c r="AB95" i="1" s="1"/>
  <c r="X87" i="1"/>
  <c r="AA87" i="1" s="1"/>
  <c r="AB87" i="1" s="1"/>
  <c r="X79" i="1"/>
  <c r="AA79" i="1" s="1"/>
  <c r="AB79" i="1" s="1"/>
  <c r="X71" i="1"/>
  <c r="AA71" i="1" s="1"/>
  <c r="AB71" i="1" s="1"/>
  <c r="X63" i="1"/>
  <c r="AA63" i="1" s="1"/>
  <c r="AB63" i="1" s="1"/>
  <c r="X55" i="1"/>
  <c r="AA55" i="1" s="1"/>
  <c r="AB55" i="1" s="1"/>
  <c r="X47" i="1"/>
  <c r="AA47" i="1" s="1"/>
  <c r="AB47" i="1" s="1"/>
  <c r="X39" i="1"/>
  <c r="AA39" i="1" s="1"/>
  <c r="AB39" i="1" s="1"/>
  <c r="X31" i="1"/>
  <c r="AA31" i="1" s="1"/>
  <c r="AB31" i="1" s="1"/>
  <c r="X23" i="1"/>
  <c r="AA23" i="1" s="1"/>
  <c r="AB23" i="1" s="1"/>
  <c r="X15" i="1"/>
  <c r="AA15" i="1" s="1"/>
  <c r="AB15" i="1" s="1"/>
  <c r="X7" i="1"/>
  <c r="AA7" i="1" s="1"/>
  <c r="AB7" i="1" s="1"/>
  <c r="X480" i="1"/>
  <c r="AA480" i="1" s="1"/>
  <c r="X454" i="1"/>
  <c r="AA454" i="1" s="1"/>
  <c r="X438" i="1"/>
  <c r="AA438" i="1" s="1"/>
  <c r="X430" i="1"/>
  <c r="AA430" i="1" s="1"/>
  <c r="X422" i="1"/>
  <c r="AA422" i="1" s="1"/>
  <c r="X414" i="1"/>
  <c r="AA414" i="1" s="1"/>
  <c r="X406" i="1"/>
  <c r="AA406" i="1" s="1"/>
  <c r="AB406" i="1" s="1"/>
  <c r="X398" i="1"/>
  <c r="AA398" i="1" s="1"/>
  <c r="AB398" i="1" s="1"/>
  <c r="X390" i="1"/>
  <c r="AA390" i="1" s="1"/>
  <c r="AB390" i="1" s="1"/>
  <c r="X382" i="1"/>
  <c r="AA382" i="1" s="1"/>
  <c r="AB382" i="1" s="1"/>
  <c r="X374" i="1"/>
  <c r="AA374" i="1" s="1"/>
  <c r="AB374" i="1" s="1"/>
  <c r="X366" i="1"/>
  <c r="AA366" i="1" s="1"/>
  <c r="AB366" i="1" s="1"/>
  <c r="X358" i="1"/>
  <c r="AA358" i="1" s="1"/>
  <c r="X350" i="1"/>
  <c r="AA350" i="1" s="1"/>
  <c r="AB350" i="1" s="1"/>
  <c r="X342" i="1"/>
  <c r="AA342" i="1" s="1"/>
  <c r="AB342" i="1" s="1"/>
  <c r="X334" i="1"/>
  <c r="AA334" i="1" s="1"/>
  <c r="AB334" i="1" s="1"/>
  <c r="X326" i="1"/>
  <c r="AA326" i="1" s="1"/>
  <c r="AB326" i="1" s="1"/>
  <c r="X318" i="1"/>
  <c r="AA318" i="1" s="1"/>
  <c r="AB318" i="1" s="1"/>
  <c r="X310" i="1"/>
  <c r="AA310" i="1" s="1"/>
  <c r="AB310" i="1" s="1"/>
  <c r="X302" i="1"/>
  <c r="AA302" i="1" s="1"/>
  <c r="AB302" i="1" s="1"/>
  <c r="X294" i="1"/>
  <c r="AA294" i="1" s="1"/>
  <c r="AB294" i="1" s="1"/>
  <c r="X286" i="1"/>
  <c r="AA286" i="1" s="1"/>
  <c r="AB286" i="1" s="1"/>
  <c r="X278" i="1"/>
  <c r="AA278" i="1" s="1"/>
  <c r="AB278" i="1" s="1"/>
  <c r="X270" i="1"/>
  <c r="AA270" i="1" s="1"/>
  <c r="AB270" i="1" s="1"/>
  <c r="X262" i="1"/>
  <c r="AA262" i="1" s="1"/>
  <c r="AB262" i="1" s="1"/>
  <c r="X254" i="1"/>
  <c r="AA254" i="1" s="1"/>
  <c r="AB254" i="1" s="1"/>
  <c r="X246" i="1"/>
  <c r="AA246" i="1" s="1"/>
  <c r="AB246" i="1" s="1"/>
  <c r="X238" i="1"/>
  <c r="AA238" i="1" s="1"/>
  <c r="AB238" i="1" s="1"/>
  <c r="X230" i="1"/>
  <c r="AA230" i="1" s="1"/>
  <c r="AB230" i="1" s="1"/>
  <c r="X222" i="1"/>
  <c r="AA222" i="1" s="1"/>
  <c r="AB222" i="1" s="1"/>
  <c r="X214" i="1"/>
  <c r="AA214" i="1" s="1"/>
  <c r="AB214" i="1" s="1"/>
  <c r="X206" i="1"/>
  <c r="AA206" i="1" s="1"/>
  <c r="X198" i="1"/>
  <c r="AA198" i="1" s="1"/>
  <c r="X190" i="1"/>
  <c r="AA190" i="1" s="1"/>
  <c r="AB190" i="1" s="1"/>
  <c r="X182" i="1"/>
  <c r="AA182" i="1" s="1"/>
  <c r="AB182" i="1" s="1"/>
  <c r="X174" i="1"/>
  <c r="AA174" i="1" s="1"/>
  <c r="AB174" i="1" s="1"/>
  <c r="X166" i="1"/>
  <c r="AA166" i="1" s="1"/>
  <c r="AB166" i="1" s="1"/>
  <c r="X158" i="1"/>
  <c r="AA158" i="1" s="1"/>
  <c r="AB158" i="1" s="1"/>
  <c r="X150" i="1"/>
  <c r="AA150" i="1" s="1"/>
  <c r="AB150" i="1" s="1"/>
  <c r="X142" i="1"/>
  <c r="AA142" i="1" s="1"/>
  <c r="AB142" i="1" s="1"/>
  <c r="X134" i="1"/>
  <c r="AA134" i="1" s="1"/>
  <c r="AB134" i="1" s="1"/>
  <c r="X126" i="1"/>
  <c r="AA126" i="1" s="1"/>
  <c r="AB126" i="1" s="1"/>
  <c r="X118" i="1"/>
  <c r="AA118" i="1" s="1"/>
  <c r="AB118" i="1" s="1"/>
  <c r="X110" i="1"/>
  <c r="AA110" i="1" s="1"/>
  <c r="AB110" i="1" s="1"/>
  <c r="X102" i="1"/>
  <c r="AA102" i="1" s="1"/>
  <c r="AB102" i="1" s="1"/>
  <c r="X94" i="1"/>
  <c r="AA94" i="1" s="1"/>
  <c r="AB94" i="1" s="1"/>
  <c r="X86" i="1"/>
  <c r="AA86" i="1" s="1"/>
  <c r="AB86" i="1" s="1"/>
  <c r="X78" i="1"/>
  <c r="AA78" i="1" s="1"/>
  <c r="AB78" i="1" s="1"/>
  <c r="X70" i="1"/>
  <c r="AA70" i="1" s="1"/>
  <c r="AB70" i="1" s="1"/>
  <c r="X62" i="1"/>
  <c r="AA62" i="1" s="1"/>
  <c r="AB62" i="1" s="1"/>
  <c r="X54" i="1"/>
  <c r="AA54" i="1" s="1"/>
  <c r="AB54" i="1" s="1"/>
  <c r="X46" i="1"/>
  <c r="AA46" i="1" s="1"/>
  <c r="AB46" i="1" s="1"/>
  <c r="X38" i="1"/>
  <c r="AA38" i="1" s="1"/>
  <c r="AB38" i="1" s="1"/>
  <c r="X30" i="1"/>
  <c r="AA30" i="1" s="1"/>
  <c r="AB30" i="1" s="1"/>
  <c r="X22" i="1"/>
  <c r="AA22" i="1" s="1"/>
  <c r="AB22" i="1" s="1"/>
  <c r="X14" i="1"/>
  <c r="AA14" i="1" s="1"/>
  <c r="AB14" i="1" s="1"/>
  <c r="X6" i="1"/>
  <c r="AA6" i="1" s="1"/>
  <c r="AB6" i="1" s="1"/>
  <c r="X473" i="1"/>
  <c r="AA473" i="1" s="1"/>
  <c r="X439" i="1"/>
  <c r="AA439" i="1" s="1"/>
  <c r="X375" i="1"/>
  <c r="AA375" i="1" s="1"/>
  <c r="AB375" i="1" s="1"/>
  <c r="X343" i="1"/>
  <c r="AA343" i="1" s="1"/>
  <c r="AB343" i="1" s="1"/>
  <c r="X488" i="1"/>
  <c r="AA488" i="1" s="1"/>
  <c r="X472" i="1"/>
  <c r="AA472" i="1" s="1"/>
  <c r="AB472" i="1" s="1"/>
  <c r="X466" i="1"/>
  <c r="AA466" i="1" s="1"/>
  <c r="AB466" i="1" s="1"/>
  <c r="X446" i="1"/>
  <c r="AA446" i="1" s="1"/>
  <c r="X487" i="1"/>
  <c r="AA487" i="1" s="1"/>
  <c r="X479" i="1"/>
  <c r="AA479" i="1" s="1"/>
  <c r="X460" i="1"/>
  <c r="AA460" i="1" s="1"/>
  <c r="X453" i="1"/>
  <c r="AA453" i="1" s="1"/>
  <c r="X445" i="1"/>
  <c r="AA445" i="1" s="1"/>
  <c r="X437" i="1"/>
  <c r="AA437" i="1" s="1"/>
  <c r="X429" i="1"/>
  <c r="AA429" i="1" s="1"/>
  <c r="X421" i="1"/>
  <c r="AA421" i="1" s="1"/>
  <c r="X413" i="1"/>
  <c r="AA413" i="1" s="1"/>
  <c r="X405" i="1"/>
  <c r="AA405" i="1" s="1"/>
  <c r="AB405" i="1" s="1"/>
  <c r="X397" i="1"/>
  <c r="AA397" i="1" s="1"/>
  <c r="AB397" i="1" s="1"/>
  <c r="X389" i="1"/>
  <c r="AA389" i="1" s="1"/>
  <c r="X381" i="1"/>
  <c r="AA381" i="1" s="1"/>
  <c r="AB381" i="1" s="1"/>
  <c r="X373" i="1"/>
  <c r="AA373" i="1" s="1"/>
  <c r="AB373" i="1" s="1"/>
  <c r="X365" i="1"/>
  <c r="AA365" i="1" s="1"/>
  <c r="AB365" i="1" s="1"/>
  <c r="X357" i="1"/>
  <c r="AA357" i="1" s="1"/>
  <c r="AB357" i="1" s="1"/>
  <c r="X349" i="1"/>
  <c r="AA349" i="1" s="1"/>
  <c r="AB349" i="1" s="1"/>
  <c r="X341" i="1"/>
  <c r="AA341" i="1" s="1"/>
  <c r="AB341" i="1" s="1"/>
  <c r="X333" i="1"/>
  <c r="AA333" i="1" s="1"/>
  <c r="AB333" i="1" s="1"/>
  <c r="X325" i="1"/>
  <c r="AA325" i="1" s="1"/>
  <c r="AB325" i="1" s="1"/>
  <c r="X317" i="1"/>
  <c r="AA317" i="1" s="1"/>
  <c r="X309" i="1"/>
  <c r="AA309" i="1" s="1"/>
  <c r="AB309" i="1" s="1"/>
  <c r="X301" i="1"/>
  <c r="AA301" i="1" s="1"/>
  <c r="AB301" i="1" s="1"/>
  <c r="X293" i="1"/>
  <c r="AA293" i="1" s="1"/>
  <c r="AB293" i="1" s="1"/>
  <c r="X285" i="1"/>
  <c r="AA285" i="1" s="1"/>
  <c r="AB285" i="1" s="1"/>
  <c r="X277" i="1"/>
  <c r="AA277" i="1" s="1"/>
  <c r="AB277" i="1" s="1"/>
  <c r="X269" i="1"/>
  <c r="AA269" i="1" s="1"/>
  <c r="AB269" i="1" s="1"/>
  <c r="X261" i="1"/>
  <c r="AA261" i="1" s="1"/>
  <c r="AB261" i="1" s="1"/>
  <c r="X253" i="1"/>
  <c r="AA253" i="1" s="1"/>
  <c r="AB253" i="1" s="1"/>
  <c r="X245" i="1"/>
  <c r="AA245" i="1" s="1"/>
  <c r="AB245" i="1" s="1"/>
  <c r="X237" i="1"/>
  <c r="AA237" i="1" s="1"/>
  <c r="AB237" i="1" s="1"/>
  <c r="X229" i="1"/>
  <c r="AA229" i="1" s="1"/>
  <c r="AB229" i="1" s="1"/>
  <c r="X221" i="1"/>
  <c r="AA221" i="1" s="1"/>
  <c r="X213" i="1"/>
  <c r="AA213" i="1" s="1"/>
  <c r="AB213" i="1" s="1"/>
  <c r="X205" i="1"/>
  <c r="AA205" i="1" s="1"/>
  <c r="AB205" i="1" s="1"/>
  <c r="X197" i="1"/>
  <c r="AA197" i="1" s="1"/>
  <c r="X189" i="1"/>
  <c r="AA189" i="1" s="1"/>
  <c r="AB189" i="1" s="1"/>
  <c r="X181" i="1"/>
  <c r="AA181" i="1" s="1"/>
  <c r="AB181" i="1" s="1"/>
  <c r="X173" i="1"/>
  <c r="AA173" i="1" s="1"/>
  <c r="AB173" i="1" s="1"/>
  <c r="X165" i="1"/>
  <c r="AA165" i="1" s="1"/>
  <c r="AB165" i="1" s="1"/>
  <c r="X157" i="1"/>
  <c r="AA157" i="1" s="1"/>
  <c r="AB157" i="1" s="1"/>
  <c r="X149" i="1"/>
  <c r="AA149" i="1" s="1"/>
  <c r="AB149" i="1" s="1"/>
  <c r="X141" i="1"/>
  <c r="AA141" i="1" s="1"/>
  <c r="AB141" i="1" s="1"/>
  <c r="X133" i="1"/>
  <c r="AA133" i="1" s="1"/>
  <c r="AB133" i="1" s="1"/>
  <c r="X125" i="1"/>
  <c r="AA125" i="1" s="1"/>
  <c r="AB125" i="1" s="1"/>
  <c r="X117" i="1"/>
  <c r="AA117" i="1" s="1"/>
  <c r="X109" i="1"/>
  <c r="AA109" i="1" s="1"/>
  <c r="AB109" i="1" s="1"/>
  <c r="X101" i="1"/>
  <c r="AA101" i="1" s="1"/>
  <c r="AB101" i="1" s="1"/>
  <c r="X93" i="1"/>
  <c r="AA93" i="1" s="1"/>
  <c r="AB93" i="1" s="1"/>
  <c r="X85" i="1"/>
  <c r="AA85" i="1" s="1"/>
  <c r="AB85" i="1" s="1"/>
  <c r="X77" i="1"/>
  <c r="AA77" i="1" s="1"/>
  <c r="AB77" i="1" s="1"/>
  <c r="X69" i="1"/>
  <c r="AA69" i="1" s="1"/>
  <c r="AB69" i="1" s="1"/>
  <c r="X61" i="1"/>
  <c r="AA61" i="1" s="1"/>
  <c r="AB61" i="1" s="1"/>
  <c r="X53" i="1"/>
  <c r="AA53" i="1" s="1"/>
  <c r="AB53" i="1" s="1"/>
  <c r="X45" i="1"/>
  <c r="AA45" i="1" s="1"/>
  <c r="AB45" i="1" s="1"/>
  <c r="X37" i="1"/>
  <c r="AA37" i="1" s="1"/>
  <c r="X29" i="1"/>
  <c r="AA29" i="1" s="1"/>
  <c r="X21" i="1"/>
  <c r="AA21" i="1" s="1"/>
  <c r="AB21" i="1" s="1"/>
  <c r="X13" i="1"/>
  <c r="AA13" i="1" s="1"/>
  <c r="AB13" i="1" s="1"/>
  <c r="X5" i="1"/>
  <c r="AA5" i="1" s="1"/>
  <c r="AB5" i="1" s="1"/>
  <c r="X467" i="1"/>
  <c r="AA467" i="1" s="1"/>
  <c r="X431" i="1"/>
  <c r="AA431" i="1" s="1"/>
  <c r="X383" i="1"/>
  <c r="AA383" i="1" s="1"/>
  <c r="AB383" i="1" s="1"/>
  <c r="X335" i="1"/>
  <c r="AA335" i="1" s="1"/>
  <c r="AB335" i="1" s="1"/>
  <c r="X486" i="1"/>
  <c r="AA486" i="1" s="1"/>
  <c r="X478" i="1"/>
  <c r="AA478" i="1" s="1"/>
  <c r="X471" i="1"/>
  <c r="AA471" i="1" s="1"/>
  <c r="X465" i="1"/>
  <c r="AA465" i="1" s="1"/>
  <c r="X452" i="1"/>
  <c r="AA452" i="1" s="1"/>
  <c r="X444" i="1"/>
  <c r="AA444" i="1" s="1"/>
  <c r="X436" i="1"/>
  <c r="AA436" i="1" s="1"/>
  <c r="X428" i="1"/>
  <c r="AA428" i="1" s="1"/>
  <c r="X420" i="1"/>
  <c r="AA420" i="1" s="1"/>
  <c r="X412" i="1"/>
  <c r="AA412" i="1" s="1"/>
  <c r="X404" i="1"/>
  <c r="AA404" i="1" s="1"/>
  <c r="AB404" i="1" s="1"/>
  <c r="X396" i="1"/>
  <c r="AA396" i="1" s="1"/>
  <c r="AB396" i="1" s="1"/>
  <c r="X388" i="1"/>
  <c r="AA388" i="1" s="1"/>
  <c r="AB388" i="1" s="1"/>
  <c r="X380" i="1"/>
  <c r="AA380" i="1" s="1"/>
  <c r="AB380" i="1" s="1"/>
  <c r="X372" i="1"/>
  <c r="AA372" i="1" s="1"/>
  <c r="AB372" i="1" s="1"/>
  <c r="X364" i="1"/>
  <c r="AA364" i="1" s="1"/>
  <c r="AB364" i="1" s="1"/>
  <c r="X356" i="1"/>
  <c r="AA356" i="1" s="1"/>
  <c r="AB356" i="1" s="1"/>
  <c r="X348" i="1"/>
  <c r="AA348" i="1" s="1"/>
  <c r="AB348" i="1" s="1"/>
  <c r="X340" i="1"/>
  <c r="AA340" i="1" s="1"/>
  <c r="AB340" i="1" s="1"/>
  <c r="X332" i="1"/>
  <c r="AA332" i="1" s="1"/>
  <c r="AB332" i="1" s="1"/>
  <c r="X324" i="1"/>
  <c r="AA324" i="1" s="1"/>
  <c r="AB324" i="1" s="1"/>
  <c r="X316" i="1"/>
  <c r="AA316" i="1" s="1"/>
  <c r="X308" i="1"/>
  <c r="AA308" i="1" s="1"/>
  <c r="AB308" i="1" s="1"/>
  <c r="X300" i="1"/>
  <c r="AA300" i="1" s="1"/>
  <c r="AB300" i="1" s="1"/>
  <c r="X292" i="1"/>
  <c r="AA292" i="1" s="1"/>
  <c r="AB292" i="1" s="1"/>
  <c r="X284" i="1"/>
  <c r="AA284" i="1" s="1"/>
  <c r="AB284" i="1" s="1"/>
  <c r="X276" i="1"/>
  <c r="AA276" i="1" s="1"/>
  <c r="AB276" i="1" s="1"/>
  <c r="X268" i="1"/>
  <c r="AA268" i="1" s="1"/>
  <c r="AB268" i="1" s="1"/>
  <c r="X260" i="1"/>
  <c r="AA260" i="1" s="1"/>
  <c r="AB260" i="1" s="1"/>
  <c r="X252" i="1"/>
  <c r="AA252" i="1" s="1"/>
  <c r="AB252" i="1" s="1"/>
  <c r="X244" i="1"/>
  <c r="AA244" i="1" s="1"/>
  <c r="AB244" i="1" s="1"/>
  <c r="X236" i="1"/>
  <c r="AA236" i="1" s="1"/>
  <c r="AB236" i="1" s="1"/>
  <c r="X228" i="1"/>
  <c r="AA228" i="1" s="1"/>
  <c r="AB228" i="1" s="1"/>
  <c r="X220" i="1"/>
  <c r="AA220" i="1" s="1"/>
  <c r="AB220" i="1" s="1"/>
  <c r="X212" i="1"/>
  <c r="AA212" i="1" s="1"/>
  <c r="AB212" i="1" s="1"/>
  <c r="X204" i="1"/>
  <c r="AA204" i="1" s="1"/>
  <c r="AB204" i="1" s="1"/>
  <c r="X196" i="1"/>
  <c r="AA196" i="1" s="1"/>
  <c r="AB196" i="1" s="1"/>
  <c r="X188" i="1"/>
  <c r="AA188" i="1" s="1"/>
  <c r="AB188" i="1" s="1"/>
  <c r="X180" i="1"/>
  <c r="AA180" i="1" s="1"/>
  <c r="AB180" i="1" s="1"/>
  <c r="X172" i="1"/>
  <c r="AA172" i="1" s="1"/>
  <c r="AB172" i="1" s="1"/>
  <c r="X164" i="1"/>
  <c r="AA164" i="1" s="1"/>
  <c r="AB164" i="1" s="1"/>
  <c r="X156" i="1"/>
  <c r="AA156" i="1" s="1"/>
  <c r="AB156" i="1" s="1"/>
  <c r="X148" i="1"/>
  <c r="AA148" i="1" s="1"/>
  <c r="AB148" i="1" s="1"/>
  <c r="X140" i="1"/>
  <c r="AA140" i="1" s="1"/>
  <c r="AB140" i="1" s="1"/>
  <c r="X132" i="1"/>
  <c r="AA132" i="1" s="1"/>
  <c r="AB132" i="1" s="1"/>
  <c r="X124" i="1"/>
  <c r="AA124" i="1" s="1"/>
  <c r="X116" i="1"/>
  <c r="AA116" i="1" s="1"/>
  <c r="AB116" i="1" s="1"/>
  <c r="X108" i="1"/>
  <c r="AA108" i="1" s="1"/>
  <c r="AB108" i="1" s="1"/>
  <c r="X100" i="1"/>
  <c r="AA100" i="1" s="1"/>
  <c r="AB100" i="1" s="1"/>
  <c r="X92" i="1"/>
  <c r="AA92" i="1" s="1"/>
  <c r="AB92" i="1" s="1"/>
  <c r="X84" i="1"/>
  <c r="AA84" i="1" s="1"/>
  <c r="AB84" i="1" s="1"/>
  <c r="X76" i="1"/>
  <c r="AA76" i="1" s="1"/>
  <c r="X68" i="1"/>
  <c r="AA68" i="1" s="1"/>
  <c r="AB68" i="1" s="1"/>
  <c r="X60" i="1"/>
  <c r="AA60" i="1" s="1"/>
  <c r="AB60" i="1" s="1"/>
  <c r="X52" i="1"/>
  <c r="AA52" i="1" s="1"/>
  <c r="AB52" i="1" s="1"/>
  <c r="X44" i="1"/>
  <c r="AA44" i="1" s="1"/>
  <c r="AB44" i="1" s="1"/>
  <c r="X36" i="1"/>
  <c r="AA36" i="1" s="1"/>
  <c r="AB36" i="1" s="1"/>
  <c r="X28" i="1"/>
  <c r="AA28" i="1" s="1"/>
  <c r="AB28" i="1" s="1"/>
  <c r="X20" i="1"/>
  <c r="AA20" i="1" s="1"/>
  <c r="AB20" i="1" s="1"/>
  <c r="X12" i="1"/>
  <c r="AA12" i="1" s="1"/>
  <c r="AB12" i="1" s="1"/>
  <c r="X4" i="1"/>
  <c r="AA4" i="1" s="1"/>
  <c r="AB4" i="1" s="1"/>
  <c r="X481" i="1"/>
  <c r="AA481" i="1" s="1"/>
  <c r="X447" i="1"/>
  <c r="AA447" i="1" s="1"/>
  <c r="X423" i="1"/>
  <c r="AA423" i="1" s="1"/>
  <c r="X391" i="1"/>
  <c r="AA391" i="1" s="1"/>
  <c r="X367" i="1"/>
  <c r="AA367" i="1" s="1"/>
  <c r="AB367" i="1" s="1"/>
  <c r="X319" i="1"/>
  <c r="AA319" i="1" s="1"/>
  <c r="AB319" i="1" s="1"/>
  <c r="X485" i="1"/>
  <c r="AA485" i="1" s="1"/>
  <c r="X477" i="1"/>
  <c r="AA477" i="1" s="1"/>
  <c r="X470" i="1"/>
  <c r="AA470" i="1" s="1"/>
  <c r="X464" i="1"/>
  <c r="AA464" i="1" s="1"/>
  <c r="X459" i="1"/>
  <c r="AA459" i="1" s="1"/>
  <c r="X451" i="1"/>
  <c r="AA451" i="1" s="1"/>
  <c r="X443" i="1"/>
  <c r="AA443" i="1" s="1"/>
  <c r="X435" i="1"/>
  <c r="AA435" i="1" s="1"/>
  <c r="X427" i="1"/>
  <c r="AA427" i="1" s="1"/>
  <c r="X419" i="1"/>
  <c r="AA419" i="1" s="1"/>
  <c r="X411" i="1"/>
  <c r="AA411" i="1" s="1"/>
  <c r="X403" i="1"/>
  <c r="AA403" i="1" s="1"/>
  <c r="AB403" i="1" s="1"/>
  <c r="X395" i="1"/>
  <c r="AA395" i="1" s="1"/>
  <c r="AB395" i="1" s="1"/>
  <c r="X387" i="1"/>
  <c r="AA387" i="1" s="1"/>
  <c r="AB387" i="1" s="1"/>
  <c r="X379" i="1"/>
  <c r="AA379" i="1" s="1"/>
  <c r="AB379" i="1" s="1"/>
  <c r="X371" i="1"/>
  <c r="AA371" i="1" s="1"/>
  <c r="AB371" i="1" s="1"/>
  <c r="X363" i="1"/>
  <c r="AA363" i="1" s="1"/>
  <c r="AB363" i="1" s="1"/>
  <c r="X355" i="1"/>
  <c r="AA355" i="1" s="1"/>
  <c r="AB355" i="1" s="1"/>
  <c r="X347" i="1"/>
  <c r="AA347" i="1" s="1"/>
  <c r="AB347" i="1" s="1"/>
  <c r="X339" i="1"/>
  <c r="AA339" i="1" s="1"/>
  <c r="AB339" i="1" s="1"/>
  <c r="X331" i="1"/>
  <c r="AA331" i="1" s="1"/>
  <c r="AB331" i="1" s="1"/>
  <c r="X323" i="1"/>
  <c r="AA323" i="1" s="1"/>
  <c r="AB323" i="1" s="1"/>
  <c r="X315" i="1"/>
  <c r="AA315" i="1" s="1"/>
  <c r="AB315" i="1" s="1"/>
  <c r="X307" i="1"/>
  <c r="AA307" i="1" s="1"/>
  <c r="AB307" i="1" s="1"/>
  <c r="X299" i="1"/>
  <c r="AA299" i="1" s="1"/>
  <c r="X291" i="1"/>
  <c r="AA291" i="1" s="1"/>
  <c r="AB291" i="1" s="1"/>
  <c r="X283" i="1"/>
  <c r="AA283" i="1" s="1"/>
  <c r="AB283" i="1" s="1"/>
  <c r="X275" i="1"/>
  <c r="AA275" i="1" s="1"/>
  <c r="AB275" i="1" s="1"/>
  <c r="X267" i="1"/>
  <c r="AA267" i="1" s="1"/>
  <c r="AB267" i="1" s="1"/>
  <c r="X259" i="1"/>
  <c r="AA259" i="1" s="1"/>
  <c r="AB259" i="1" s="1"/>
  <c r="X251" i="1"/>
  <c r="AA251" i="1" s="1"/>
  <c r="AB251" i="1" s="1"/>
  <c r="X243" i="1"/>
  <c r="AA243" i="1" s="1"/>
  <c r="AB243" i="1" s="1"/>
  <c r="X235" i="1"/>
  <c r="AA235" i="1" s="1"/>
  <c r="AB235" i="1" s="1"/>
  <c r="X227" i="1"/>
  <c r="AA227" i="1" s="1"/>
  <c r="AB227" i="1" s="1"/>
  <c r="X219" i="1"/>
  <c r="AA219" i="1" s="1"/>
  <c r="AB219" i="1" s="1"/>
  <c r="X211" i="1"/>
  <c r="AA211" i="1" s="1"/>
  <c r="AB211" i="1" s="1"/>
  <c r="X203" i="1"/>
  <c r="AA203" i="1" s="1"/>
  <c r="AB203" i="1" s="1"/>
  <c r="X195" i="1"/>
  <c r="AA195" i="1" s="1"/>
  <c r="AB195" i="1" s="1"/>
  <c r="X187" i="1"/>
  <c r="AA187" i="1" s="1"/>
  <c r="AB187" i="1" s="1"/>
  <c r="X179" i="1"/>
  <c r="AA179" i="1" s="1"/>
  <c r="AB179" i="1" s="1"/>
  <c r="X171" i="1"/>
  <c r="AA171" i="1" s="1"/>
  <c r="AB171" i="1" s="1"/>
  <c r="X163" i="1"/>
  <c r="AA163" i="1" s="1"/>
  <c r="AB163" i="1" s="1"/>
  <c r="X155" i="1"/>
  <c r="AA155" i="1" s="1"/>
  <c r="AB155" i="1" s="1"/>
  <c r="X147" i="1"/>
  <c r="AA147" i="1" s="1"/>
  <c r="AB147" i="1" s="1"/>
  <c r="X139" i="1"/>
  <c r="AA139" i="1" s="1"/>
  <c r="AB139" i="1" s="1"/>
  <c r="X131" i="1"/>
  <c r="AA131" i="1" s="1"/>
  <c r="AB131" i="1" s="1"/>
  <c r="X123" i="1"/>
  <c r="AA123" i="1" s="1"/>
  <c r="AB123" i="1" s="1"/>
  <c r="X115" i="1"/>
  <c r="AA115" i="1" s="1"/>
  <c r="AB115" i="1" s="1"/>
  <c r="X107" i="1"/>
  <c r="AA107" i="1" s="1"/>
  <c r="AB107" i="1" s="1"/>
  <c r="X99" i="1"/>
  <c r="AA99" i="1" s="1"/>
  <c r="AB99" i="1" s="1"/>
  <c r="X91" i="1"/>
  <c r="AA91" i="1" s="1"/>
  <c r="AB91" i="1" s="1"/>
  <c r="X83" i="1"/>
  <c r="AA83" i="1" s="1"/>
  <c r="AB83" i="1" s="1"/>
  <c r="X75" i="1"/>
  <c r="AA75" i="1" s="1"/>
  <c r="AB75" i="1" s="1"/>
  <c r="X67" i="1"/>
  <c r="AA67" i="1" s="1"/>
  <c r="AB67" i="1" s="1"/>
  <c r="X59" i="1"/>
  <c r="AA59" i="1" s="1"/>
  <c r="AB59" i="1" s="1"/>
  <c r="X51" i="1"/>
  <c r="AA51" i="1" s="1"/>
  <c r="AB51" i="1" s="1"/>
  <c r="X43" i="1"/>
  <c r="AA43" i="1" s="1"/>
  <c r="AB43" i="1" s="1"/>
  <c r="X35" i="1"/>
  <c r="AA35" i="1" s="1"/>
  <c r="AB35" i="1" s="1"/>
  <c r="X27" i="1"/>
  <c r="AA27" i="1" s="1"/>
  <c r="AB27" i="1" s="1"/>
  <c r="X19" i="1"/>
  <c r="AA19" i="1" s="1"/>
  <c r="AB19" i="1" s="1"/>
  <c r="X11" i="1"/>
  <c r="AA11" i="1" s="1"/>
  <c r="AB11" i="1" s="1"/>
  <c r="X3" i="1"/>
  <c r="AA3" i="1" s="1"/>
  <c r="AB3" i="1" s="1"/>
  <c r="X455" i="1"/>
  <c r="AA455" i="1" s="1"/>
  <c r="X415" i="1"/>
  <c r="AA415" i="1" s="1"/>
  <c r="X399" i="1"/>
  <c r="AA399" i="1" s="1"/>
  <c r="AB399" i="1" s="1"/>
  <c r="X359" i="1"/>
  <c r="AA359" i="1" s="1"/>
  <c r="X327" i="1"/>
  <c r="AA327" i="1" s="1"/>
  <c r="AB327" i="1" s="1"/>
  <c r="X484" i="1"/>
  <c r="AA484" i="1" s="1"/>
  <c r="X476" i="1"/>
  <c r="AA476" i="1" s="1"/>
  <c r="X469" i="1"/>
  <c r="AA469" i="1" s="1"/>
  <c r="X458" i="1"/>
  <c r="AA458" i="1" s="1"/>
  <c r="X450" i="1"/>
  <c r="AA450" i="1" s="1"/>
  <c r="X442" i="1"/>
  <c r="AA442" i="1" s="1"/>
  <c r="X434" i="1"/>
  <c r="AA434" i="1" s="1"/>
  <c r="X426" i="1"/>
  <c r="AA426" i="1" s="1"/>
  <c r="X418" i="1"/>
  <c r="AA418" i="1" s="1"/>
  <c r="X410" i="1"/>
  <c r="AA410" i="1" s="1"/>
  <c r="AB410" i="1" s="1"/>
  <c r="X402" i="1"/>
  <c r="AA402" i="1" s="1"/>
  <c r="AB402" i="1" s="1"/>
  <c r="X394" i="1"/>
  <c r="AA394" i="1" s="1"/>
  <c r="AB394" i="1" s="1"/>
  <c r="X386" i="1"/>
  <c r="AA386" i="1" s="1"/>
  <c r="AB386" i="1" s="1"/>
  <c r="X378" i="1"/>
  <c r="AA378" i="1" s="1"/>
  <c r="AB378" i="1" s="1"/>
  <c r="X370" i="1"/>
  <c r="AA370" i="1" s="1"/>
  <c r="AB370" i="1" s="1"/>
  <c r="X362" i="1"/>
  <c r="AA362" i="1" s="1"/>
  <c r="AB362" i="1" s="1"/>
  <c r="X354" i="1"/>
  <c r="AA354" i="1" s="1"/>
  <c r="AB354" i="1" s="1"/>
  <c r="X346" i="1"/>
  <c r="AA346" i="1" s="1"/>
  <c r="AB346" i="1" s="1"/>
  <c r="X338" i="1"/>
  <c r="AA338" i="1" s="1"/>
  <c r="AB338" i="1" s="1"/>
  <c r="X330" i="1"/>
  <c r="AA330" i="1" s="1"/>
  <c r="AB330" i="1" s="1"/>
  <c r="X322" i="1"/>
  <c r="AA322" i="1" s="1"/>
  <c r="AB322" i="1" s="1"/>
  <c r="X314" i="1"/>
  <c r="AA314" i="1" s="1"/>
  <c r="AB314" i="1" s="1"/>
  <c r="X306" i="1"/>
  <c r="AA306" i="1" s="1"/>
  <c r="AB306" i="1" s="1"/>
  <c r="X298" i="1"/>
  <c r="AA298" i="1" s="1"/>
  <c r="AB298" i="1" s="1"/>
  <c r="X290" i="1"/>
  <c r="AA290" i="1" s="1"/>
  <c r="X282" i="1"/>
  <c r="AA282" i="1" s="1"/>
  <c r="X274" i="1"/>
  <c r="AA274" i="1" s="1"/>
  <c r="AB274" i="1" s="1"/>
  <c r="X266" i="1"/>
  <c r="AA266" i="1" s="1"/>
  <c r="AB266" i="1" s="1"/>
  <c r="X258" i="1"/>
  <c r="AA258" i="1" s="1"/>
  <c r="AB258" i="1" s="1"/>
  <c r="X250" i="1"/>
  <c r="AA250" i="1" s="1"/>
  <c r="AB250" i="1" s="1"/>
  <c r="X242" i="1"/>
  <c r="AA242" i="1" s="1"/>
  <c r="AB242" i="1" s="1"/>
  <c r="X234" i="1"/>
  <c r="AA234" i="1" s="1"/>
  <c r="AB234" i="1" s="1"/>
  <c r="X226" i="1"/>
  <c r="AA226" i="1" s="1"/>
  <c r="AB226" i="1" s="1"/>
  <c r="X218" i="1"/>
  <c r="AA218" i="1" s="1"/>
  <c r="AB218" i="1" s="1"/>
  <c r="X210" i="1"/>
  <c r="AA210" i="1" s="1"/>
  <c r="AB210" i="1" s="1"/>
  <c r="X202" i="1"/>
  <c r="AA202" i="1" s="1"/>
  <c r="X194" i="1"/>
  <c r="AA194" i="1" s="1"/>
  <c r="AB194" i="1" s="1"/>
  <c r="X186" i="1"/>
  <c r="AA186" i="1" s="1"/>
  <c r="AB186" i="1" s="1"/>
  <c r="X178" i="1"/>
  <c r="AA178" i="1" s="1"/>
  <c r="AB178" i="1" s="1"/>
  <c r="X170" i="1"/>
  <c r="AA170" i="1" s="1"/>
  <c r="AB170" i="1" s="1"/>
  <c r="X162" i="1"/>
  <c r="AA162" i="1" s="1"/>
  <c r="X154" i="1"/>
  <c r="AA154" i="1" s="1"/>
  <c r="AB154" i="1" s="1"/>
  <c r="X146" i="1"/>
  <c r="AA146" i="1" s="1"/>
  <c r="AB146" i="1" s="1"/>
  <c r="X138" i="1"/>
  <c r="AA138" i="1" s="1"/>
  <c r="AB138" i="1" s="1"/>
  <c r="X130" i="1"/>
  <c r="AA130" i="1" s="1"/>
  <c r="AB130" i="1" s="1"/>
  <c r="X122" i="1"/>
  <c r="AA122" i="1" s="1"/>
  <c r="AB122" i="1" s="1"/>
  <c r="X114" i="1"/>
  <c r="AA114" i="1" s="1"/>
  <c r="AB114" i="1" s="1"/>
  <c r="X106" i="1"/>
  <c r="AA106" i="1" s="1"/>
  <c r="AB106" i="1" s="1"/>
  <c r="X98" i="1"/>
  <c r="AA98" i="1" s="1"/>
  <c r="AB98" i="1" s="1"/>
  <c r="X90" i="1"/>
  <c r="AA90" i="1" s="1"/>
  <c r="AB90" i="1" s="1"/>
  <c r="X82" i="1"/>
  <c r="AA82" i="1" s="1"/>
  <c r="AB82" i="1" s="1"/>
  <c r="X74" i="1"/>
  <c r="AA74" i="1" s="1"/>
  <c r="AB74" i="1" s="1"/>
  <c r="X66" i="1"/>
  <c r="AA66" i="1" s="1"/>
  <c r="AB66" i="1" s="1"/>
  <c r="X58" i="1"/>
  <c r="AA58" i="1" s="1"/>
  <c r="AB58" i="1" s="1"/>
  <c r="X50" i="1"/>
  <c r="AA50" i="1" s="1"/>
  <c r="AB50" i="1" s="1"/>
  <c r="X42" i="1"/>
  <c r="AA42" i="1" s="1"/>
  <c r="AB42" i="1" s="1"/>
  <c r="X34" i="1"/>
  <c r="AA34" i="1" s="1"/>
  <c r="AB34" i="1" s="1"/>
  <c r="X26" i="1"/>
  <c r="AA26" i="1" s="1"/>
  <c r="AB26" i="1" s="1"/>
  <c r="X18" i="1"/>
  <c r="AA18" i="1" s="1"/>
  <c r="AB18" i="1" s="1"/>
  <c r="X10" i="1"/>
  <c r="AA10" i="1" s="1"/>
  <c r="AB10" i="1" s="1"/>
  <c r="AJ10" i="16"/>
  <c r="W10" i="16"/>
  <c r="M17" i="16" a="1"/>
  <c r="M17" i="16" s="1"/>
  <c r="M16" i="16" s="1"/>
  <c r="W9" i="16"/>
  <c r="B9" i="5" a="1"/>
  <c r="B9" i="5" s="1"/>
  <c r="U10" i="5" s="1"/>
  <c r="AO73" i="5" s="1"/>
  <c r="A9" i="5"/>
  <c r="U34" i="5"/>
  <c r="U18" i="5"/>
  <c r="U16" i="5"/>
  <c r="U15" i="5"/>
  <c r="U14" i="5"/>
  <c r="T13" i="5" a="1"/>
  <c r="T13" i="5" s="1"/>
  <c r="X12" i="5" a="1"/>
  <c r="X12" i="5" s="1"/>
  <c r="X10" i="5" s="1"/>
  <c r="Y36" i="13"/>
  <c r="Y35" i="13"/>
  <c r="Y34" i="13"/>
  <c r="Y33" i="13"/>
  <c r="Y32" i="13"/>
  <c r="Y31" i="13"/>
  <c r="Y30" i="13"/>
  <c r="Y29" i="13"/>
  <c r="Y28" i="13"/>
  <c r="Y27" i="13"/>
  <c r="Y26" i="13"/>
  <c r="Y25" i="13"/>
  <c r="Y24" i="13"/>
  <c r="Y23" i="13"/>
  <c r="Y22" i="13"/>
  <c r="Y21" i="13"/>
  <c r="Y20" i="13"/>
  <c r="Y19" i="13"/>
  <c r="Y18" i="13"/>
  <c r="Y17" i="13"/>
  <c r="Y16" i="13"/>
  <c r="Y15" i="13"/>
  <c r="Y14" i="13"/>
  <c r="U35" i="13"/>
  <c r="U32" i="13"/>
  <c r="U31" i="13"/>
  <c r="U30" i="13"/>
  <c r="U29" i="13"/>
  <c r="U28" i="13"/>
  <c r="U20" i="13"/>
  <c r="U19" i="13"/>
  <c r="U18" i="13"/>
  <c r="Y13" i="13"/>
  <c r="T13" i="13" a="1"/>
  <c r="T13" i="13" s="1"/>
  <c r="AE11" i="13"/>
  <c r="Z11" i="13"/>
  <c r="T10" i="13"/>
  <c r="U13" i="13"/>
  <c r="U33" i="13"/>
  <c r="AS13" i="5" a="1"/>
  <c r="AS13" i="5" s="1"/>
  <c r="AH13" i="5" a="1"/>
  <c r="AH13" i="5" s="1"/>
  <c r="AF13" i="5" a="1"/>
  <c r="AF13" i="5" s="1"/>
  <c r="AC13" i="5" a="1"/>
  <c r="AC13" i="5" s="1"/>
  <c r="Y13" i="5" a="1"/>
  <c r="Y13" i="5" s="1"/>
  <c r="AB13" i="5" s="1"/>
  <c r="AB514" i="1" l="1"/>
  <c r="AB515" i="1"/>
  <c r="AB513" i="1"/>
  <c r="AB512" i="1"/>
  <c r="AB511" i="1"/>
  <c r="AB509" i="1"/>
  <c r="AB510" i="1"/>
  <c r="AB506" i="1"/>
  <c r="AB508" i="1"/>
  <c r="AB507" i="1"/>
  <c r="AB505" i="1"/>
  <c r="AB503" i="1"/>
  <c r="AB502" i="1"/>
  <c r="AB501" i="1"/>
  <c r="AB497" i="1"/>
  <c r="AB504" i="1"/>
  <c r="AB498" i="1"/>
  <c r="AB500" i="1"/>
  <c r="AB499" i="1"/>
  <c r="AB492" i="1"/>
  <c r="AB496" i="1"/>
  <c r="AB495" i="1"/>
  <c r="AB494" i="1"/>
  <c r="AB493" i="1"/>
  <c r="AA2" i="1"/>
  <c r="AB2" i="1" s="1"/>
  <c r="AB431" i="1"/>
  <c r="AB352" i="1"/>
  <c r="AB442" i="1"/>
  <c r="AB439" i="1"/>
  <c r="AB428" i="1"/>
  <c r="AB29" i="1"/>
  <c r="AB221" i="1"/>
  <c r="AB417" i="1"/>
  <c r="AB491" i="1"/>
  <c r="AB487" i="1"/>
  <c r="AB488" i="1"/>
  <c r="AB474" i="1"/>
  <c r="AB477" i="1"/>
  <c r="AB473" i="1"/>
  <c r="AB247" i="1"/>
  <c r="AB416" i="1"/>
  <c r="AB430" i="1"/>
  <c r="AB232" i="1"/>
  <c r="AB475" i="1"/>
  <c r="AB483" i="1"/>
  <c r="AB479" i="1"/>
  <c r="AB444" i="1"/>
  <c r="AB37" i="1"/>
  <c r="AB420" i="1"/>
  <c r="AB436" i="1"/>
  <c r="AB198" i="1"/>
  <c r="AB447" i="1"/>
  <c r="AB112" i="1"/>
  <c r="AB459" i="1"/>
  <c r="AB413" i="1"/>
  <c r="AB455" i="1"/>
  <c r="AB391" i="1"/>
  <c r="AB282" i="1"/>
  <c r="AB419" i="1"/>
  <c r="AB162" i="1"/>
  <c r="AB422" i="1"/>
  <c r="AB290" i="1"/>
  <c r="AB450" i="1"/>
  <c r="AB484" i="1"/>
  <c r="AB486" i="1"/>
  <c r="AB485" i="1"/>
  <c r="AB206" i="1"/>
  <c r="AB449" i="1"/>
  <c r="AB456" i="1"/>
  <c r="AB411" i="1"/>
  <c r="AB445" i="1"/>
  <c r="AB56" i="1"/>
  <c r="AB432" i="1"/>
  <c r="AB429" i="1"/>
  <c r="AB376" i="1"/>
  <c r="AB482" i="1"/>
  <c r="AB481" i="1"/>
  <c r="AB435" i="1"/>
  <c r="AB124" i="1"/>
  <c r="AB415" i="1"/>
  <c r="AB316" i="1"/>
  <c r="AB452" i="1"/>
  <c r="AB117" i="1"/>
  <c r="AB457" i="1"/>
  <c r="AB448" i="1"/>
  <c r="AB471" i="1"/>
  <c r="AB462" i="1"/>
  <c r="AB465" i="1"/>
  <c r="AB461" i="1"/>
  <c r="AB426" i="1"/>
  <c r="AB438" i="1"/>
  <c r="AB65" i="1"/>
  <c r="AB427" i="1"/>
  <c r="AB257" i="1"/>
  <c r="AB463" i="1"/>
  <c r="AB467" i="1"/>
  <c r="AB453" i="1"/>
  <c r="AB317" i="1"/>
  <c r="AB470" i="1"/>
  <c r="AB468" i="1"/>
  <c r="AB469" i="1"/>
  <c r="AB418" i="1"/>
  <c r="AB458" i="1"/>
  <c r="AB454" i="1"/>
  <c r="AB359" i="1"/>
  <c r="AB451" i="1"/>
  <c r="AB299" i="1"/>
  <c r="AB76" i="1"/>
  <c r="AB446" i="1"/>
  <c r="AB197" i="1"/>
  <c r="AB425" i="1"/>
  <c r="AB476" i="1"/>
  <c r="AB389" i="1"/>
  <c r="AB478" i="1"/>
  <c r="AB480" i="1"/>
  <c r="AB434" i="1"/>
  <c r="AB414" i="1"/>
  <c r="AB358" i="1"/>
  <c r="AB441" i="1"/>
  <c r="AB443" i="1"/>
  <c r="AB412" i="1"/>
  <c r="AB272" i="1"/>
  <c r="AB440" i="1"/>
  <c r="AB433" i="1"/>
  <c r="AB202" i="1"/>
  <c r="AB421" i="1"/>
  <c r="AB437" i="1"/>
  <c r="AB464" i="1"/>
  <c r="AB460" i="1"/>
  <c r="AB295" i="1"/>
  <c r="AB423" i="1"/>
  <c r="AB280" i="1"/>
  <c r="AB424" i="1"/>
  <c r="AB490" i="1"/>
  <c r="AB489" i="1"/>
  <c r="P12" i="16" a="1"/>
  <c r="P12" i="16" s="1"/>
  <c r="M18" i="16" a="1"/>
  <c r="M18" i="16" s="1"/>
  <c r="X13" i="5"/>
  <c r="X98" i="5"/>
  <c r="AR107" i="5"/>
  <c r="AD16" i="5"/>
  <c r="X29" i="5"/>
  <c r="AR68" i="5"/>
  <c r="AD41" i="5"/>
  <c r="X92" i="5"/>
  <c r="AR67" i="5"/>
  <c r="AE89" i="5"/>
  <c r="AR92" i="5"/>
  <c r="AR60" i="5"/>
  <c r="AD97" i="5"/>
  <c r="AD65" i="5"/>
  <c r="AD33" i="5"/>
  <c r="AO25" i="5"/>
  <c r="AO112" i="5"/>
  <c r="AO104" i="5"/>
  <c r="AO96" i="5"/>
  <c r="AO88" i="5"/>
  <c r="AO80" i="5"/>
  <c r="AO72" i="5"/>
  <c r="AO64" i="5"/>
  <c r="AO56" i="5"/>
  <c r="AO48" i="5"/>
  <c r="AO40" i="5"/>
  <c r="AO32" i="5"/>
  <c r="AO24" i="5"/>
  <c r="AO16" i="5"/>
  <c r="AD18" i="5"/>
  <c r="AD26" i="5"/>
  <c r="AD34" i="5"/>
  <c r="AD42" i="5"/>
  <c r="AD50" i="5"/>
  <c r="AD58" i="5"/>
  <c r="AD66" i="5"/>
  <c r="AD74" i="5"/>
  <c r="AD82" i="5"/>
  <c r="AD90" i="5"/>
  <c r="AD98" i="5"/>
  <c r="AD106" i="5"/>
  <c r="AR112" i="5"/>
  <c r="AR21" i="5"/>
  <c r="AR29" i="5"/>
  <c r="AR37" i="5"/>
  <c r="AR45" i="5"/>
  <c r="AR53" i="5"/>
  <c r="AR61" i="5"/>
  <c r="AR69" i="5"/>
  <c r="AR77" i="5"/>
  <c r="AR85" i="5"/>
  <c r="AR93" i="5"/>
  <c r="AR101" i="5"/>
  <c r="AR109" i="5"/>
  <c r="AE18" i="5"/>
  <c r="AE26" i="5"/>
  <c r="AE34" i="5"/>
  <c r="AE42" i="5"/>
  <c r="AE50" i="5"/>
  <c r="AE58" i="5"/>
  <c r="AE66" i="5"/>
  <c r="AE74" i="5"/>
  <c r="AE82" i="5"/>
  <c r="AE90" i="5"/>
  <c r="AE98" i="5"/>
  <c r="AE106" i="5"/>
  <c r="X14" i="5"/>
  <c r="X22" i="5"/>
  <c r="X30" i="5"/>
  <c r="X38" i="5"/>
  <c r="X46" i="5"/>
  <c r="X54" i="5"/>
  <c r="X62" i="5"/>
  <c r="X70" i="5"/>
  <c r="X78" i="5"/>
  <c r="X86" i="5"/>
  <c r="X94" i="5"/>
  <c r="X102" i="5"/>
  <c r="X110" i="5"/>
  <c r="AO108" i="5"/>
  <c r="AO92" i="5"/>
  <c r="AO84" i="5"/>
  <c r="AO68" i="5"/>
  <c r="AO52" i="5"/>
  <c r="AO36" i="5"/>
  <c r="AD14" i="5"/>
  <c r="AD30" i="5"/>
  <c r="AD54" i="5"/>
  <c r="AD70" i="5"/>
  <c r="AD94" i="5"/>
  <c r="AR17" i="5"/>
  <c r="AR41" i="5"/>
  <c r="AR73" i="5"/>
  <c r="AR97" i="5"/>
  <c r="AE30" i="5"/>
  <c r="AE54" i="5"/>
  <c r="AE78" i="5"/>
  <c r="AE102" i="5"/>
  <c r="X26" i="5"/>
  <c r="X50" i="5"/>
  <c r="X74" i="5"/>
  <c r="AO111" i="5"/>
  <c r="AO103" i="5"/>
  <c r="AO95" i="5"/>
  <c r="AO87" i="5"/>
  <c r="AO79" i="5"/>
  <c r="AO71" i="5"/>
  <c r="AO63" i="5"/>
  <c r="AO55" i="5"/>
  <c r="AO47" i="5"/>
  <c r="AO39" i="5"/>
  <c r="AO31" i="5"/>
  <c r="AO23" i="5"/>
  <c r="AO15" i="5"/>
  <c r="AD19" i="5"/>
  <c r="AD27" i="5"/>
  <c r="AD35" i="5"/>
  <c r="AD43" i="5"/>
  <c r="AD51" i="5"/>
  <c r="AD59" i="5"/>
  <c r="AD67" i="5"/>
  <c r="AD75" i="5"/>
  <c r="AD83" i="5"/>
  <c r="AD91" i="5"/>
  <c r="AD99" i="5"/>
  <c r="AD107" i="5"/>
  <c r="AR14" i="5"/>
  <c r="AR22" i="5"/>
  <c r="AR30" i="5"/>
  <c r="AR38" i="5"/>
  <c r="AR46" i="5"/>
  <c r="AR54" i="5"/>
  <c r="AR62" i="5"/>
  <c r="AR70" i="5"/>
  <c r="AR78" i="5"/>
  <c r="AR86" i="5"/>
  <c r="AR94" i="5"/>
  <c r="AR102" i="5"/>
  <c r="AR110" i="5"/>
  <c r="AE19" i="5"/>
  <c r="AE27" i="5"/>
  <c r="AE35" i="5"/>
  <c r="AE43" i="5"/>
  <c r="AE51" i="5"/>
  <c r="AE59" i="5"/>
  <c r="AE67" i="5"/>
  <c r="AE75" i="5"/>
  <c r="AE83" i="5"/>
  <c r="AE91" i="5"/>
  <c r="AE99" i="5"/>
  <c r="AE107" i="5"/>
  <c r="X15" i="5"/>
  <c r="X23" i="5"/>
  <c r="X31" i="5"/>
  <c r="X39" i="5"/>
  <c r="X47" i="5"/>
  <c r="X55" i="5"/>
  <c r="X63" i="5"/>
  <c r="X71" i="5"/>
  <c r="X79" i="5"/>
  <c r="X87" i="5"/>
  <c r="X95" i="5"/>
  <c r="X103" i="5"/>
  <c r="X111" i="5"/>
  <c r="AO100" i="5"/>
  <c r="AO76" i="5"/>
  <c r="AO60" i="5"/>
  <c r="AO44" i="5"/>
  <c r="AO28" i="5"/>
  <c r="AD22" i="5"/>
  <c r="AD38" i="5"/>
  <c r="AD62" i="5"/>
  <c r="AD86" i="5"/>
  <c r="AD110" i="5"/>
  <c r="AR33" i="5"/>
  <c r="AR57" i="5"/>
  <c r="AR65" i="5"/>
  <c r="AR89" i="5"/>
  <c r="AE14" i="5"/>
  <c r="AE38" i="5"/>
  <c r="AE62" i="5"/>
  <c r="AE86" i="5"/>
  <c r="AE110" i="5"/>
  <c r="X34" i="5"/>
  <c r="X66" i="5"/>
  <c r="X90" i="5"/>
  <c r="AO110" i="5"/>
  <c r="AO102" i="5"/>
  <c r="AO94" i="5"/>
  <c r="AO86" i="5"/>
  <c r="AO78" i="5"/>
  <c r="AO70" i="5"/>
  <c r="AO62" i="5"/>
  <c r="AO54" i="5"/>
  <c r="AO46" i="5"/>
  <c r="AO38" i="5"/>
  <c r="AO30" i="5"/>
  <c r="AO22" i="5"/>
  <c r="AO14" i="5"/>
  <c r="AD20" i="5"/>
  <c r="AD28" i="5"/>
  <c r="AD36" i="5"/>
  <c r="AD44" i="5"/>
  <c r="AD52" i="5"/>
  <c r="AD60" i="5"/>
  <c r="AD68" i="5"/>
  <c r="AD76" i="5"/>
  <c r="AD84" i="5"/>
  <c r="AD92" i="5"/>
  <c r="AD100" i="5"/>
  <c r="AD108" i="5"/>
  <c r="AR15" i="5"/>
  <c r="AR23" i="5"/>
  <c r="AR31" i="5"/>
  <c r="AR39" i="5"/>
  <c r="AR47" i="5"/>
  <c r="AR55" i="5"/>
  <c r="AR63" i="5"/>
  <c r="AR71" i="5"/>
  <c r="AR79" i="5"/>
  <c r="AR87" i="5"/>
  <c r="AR95" i="5"/>
  <c r="AR103" i="5"/>
  <c r="AR111" i="5"/>
  <c r="AE20" i="5"/>
  <c r="AE28" i="5"/>
  <c r="AE36" i="5"/>
  <c r="AE44" i="5"/>
  <c r="AE52" i="5"/>
  <c r="AE60" i="5"/>
  <c r="AE68" i="5"/>
  <c r="AE76" i="5"/>
  <c r="AE84" i="5"/>
  <c r="AE92" i="5"/>
  <c r="AE100" i="5"/>
  <c r="AE108" i="5"/>
  <c r="X16" i="5"/>
  <c r="X24" i="5"/>
  <c r="X32" i="5"/>
  <c r="X40" i="5"/>
  <c r="X48" i="5"/>
  <c r="X56" i="5"/>
  <c r="X64" i="5"/>
  <c r="X72" i="5"/>
  <c r="X80" i="5"/>
  <c r="X88" i="5"/>
  <c r="X96" i="5"/>
  <c r="X104" i="5"/>
  <c r="X112" i="5"/>
  <c r="AO109" i="5"/>
  <c r="AO101" i="5"/>
  <c r="AO93" i="5"/>
  <c r="AO85" i="5"/>
  <c r="AO77" i="5"/>
  <c r="AO69" i="5"/>
  <c r="AO61" i="5"/>
  <c r="AO53" i="5"/>
  <c r="AO45" i="5"/>
  <c r="AO37" i="5"/>
  <c r="AO29" i="5"/>
  <c r="AO21" i="5"/>
  <c r="AO13" i="5"/>
  <c r="AD21" i="5"/>
  <c r="AD29" i="5"/>
  <c r="AD37" i="5"/>
  <c r="AD45" i="5"/>
  <c r="AD53" i="5"/>
  <c r="AD61" i="5"/>
  <c r="AD69" i="5"/>
  <c r="AD77" i="5"/>
  <c r="AD85" i="5"/>
  <c r="AD93" i="5"/>
  <c r="AD101" i="5"/>
  <c r="AD109" i="5"/>
  <c r="AR16" i="5"/>
  <c r="AR24" i="5"/>
  <c r="AR32" i="5"/>
  <c r="AR40" i="5"/>
  <c r="AR48" i="5"/>
  <c r="AR56" i="5"/>
  <c r="AR64" i="5"/>
  <c r="AR72" i="5"/>
  <c r="AR80" i="5"/>
  <c r="AR88" i="5"/>
  <c r="AR96" i="5"/>
  <c r="AR104" i="5"/>
  <c r="AR13" i="5"/>
  <c r="AE21" i="5"/>
  <c r="AE29" i="5"/>
  <c r="AE37" i="5"/>
  <c r="AE45" i="5"/>
  <c r="AE53" i="5"/>
  <c r="AE61" i="5"/>
  <c r="AE69" i="5"/>
  <c r="AE77" i="5"/>
  <c r="AE85" i="5"/>
  <c r="AE93" i="5"/>
  <c r="AE101" i="5"/>
  <c r="AE109" i="5"/>
  <c r="X17" i="5"/>
  <c r="X25" i="5"/>
  <c r="X33" i="5"/>
  <c r="X41" i="5"/>
  <c r="X49" i="5"/>
  <c r="X57" i="5"/>
  <c r="X65" i="5"/>
  <c r="X73" i="5"/>
  <c r="X81" i="5"/>
  <c r="X89" i="5"/>
  <c r="X97" i="5"/>
  <c r="X105" i="5"/>
  <c r="AO20" i="5"/>
  <c r="AD46" i="5"/>
  <c r="AD78" i="5"/>
  <c r="AD102" i="5"/>
  <c r="AR25" i="5"/>
  <c r="AR49" i="5"/>
  <c r="AR81" i="5"/>
  <c r="AR105" i="5"/>
  <c r="AE22" i="5"/>
  <c r="AE46" i="5"/>
  <c r="AE70" i="5"/>
  <c r="AE94" i="5"/>
  <c r="X18" i="5"/>
  <c r="X42" i="5"/>
  <c r="X58" i="5"/>
  <c r="X82" i="5"/>
  <c r="AO107" i="5"/>
  <c r="AO99" i="5"/>
  <c r="AO91" i="5"/>
  <c r="AO83" i="5"/>
  <c r="AO75" i="5"/>
  <c r="AO67" i="5"/>
  <c r="AO59" i="5"/>
  <c r="AO51" i="5"/>
  <c r="AO43" i="5"/>
  <c r="AO35" i="5"/>
  <c r="AO27" i="5"/>
  <c r="AO19" i="5"/>
  <c r="AD15" i="5"/>
  <c r="AD23" i="5"/>
  <c r="AD31" i="5"/>
  <c r="AD39" i="5"/>
  <c r="AD47" i="5"/>
  <c r="AD55" i="5"/>
  <c r="AD63" i="5"/>
  <c r="AD71" i="5"/>
  <c r="AD79" i="5"/>
  <c r="AD87" i="5"/>
  <c r="AD95" i="5"/>
  <c r="AD103" i="5"/>
  <c r="AD111" i="5"/>
  <c r="AR18" i="5"/>
  <c r="AR26" i="5"/>
  <c r="AR34" i="5"/>
  <c r="AR42" i="5"/>
  <c r="AR50" i="5"/>
  <c r="AR58" i="5"/>
  <c r="AR66" i="5"/>
  <c r="AR74" i="5"/>
  <c r="AR82" i="5"/>
  <c r="AR90" i="5"/>
  <c r="AR98" i="5"/>
  <c r="AR106" i="5"/>
  <c r="AE15" i="5"/>
  <c r="AE23" i="5"/>
  <c r="AE31" i="5"/>
  <c r="AE39" i="5"/>
  <c r="AE47" i="5"/>
  <c r="AE55" i="5"/>
  <c r="AE63" i="5"/>
  <c r="AE71" i="5"/>
  <c r="AE79" i="5"/>
  <c r="AE87" i="5"/>
  <c r="AE95" i="5"/>
  <c r="AE103" i="5"/>
  <c r="AE111" i="5"/>
  <c r="X19" i="5"/>
  <c r="X27" i="5"/>
  <c r="X35" i="5"/>
  <c r="X43" i="5"/>
  <c r="X51" i="5"/>
  <c r="X59" i="5"/>
  <c r="X67" i="5"/>
  <c r="X75" i="5"/>
  <c r="X83" i="5"/>
  <c r="X91" i="5"/>
  <c r="X99" i="5"/>
  <c r="X107" i="5"/>
  <c r="AO106" i="5"/>
  <c r="AO98" i="5"/>
  <c r="AO90" i="5"/>
  <c r="AO82" i="5"/>
  <c r="AO74" i="5"/>
  <c r="AO66" i="5"/>
  <c r="AO58" i="5"/>
  <c r="AO50" i="5"/>
  <c r="AO42" i="5"/>
  <c r="X60" i="5"/>
  <c r="AR99" i="5"/>
  <c r="AD104" i="5"/>
  <c r="AO65" i="5"/>
  <c r="X85" i="5"/>
  <c r="X21" i="5"/>
  <c r="AE25" i="5"/>
  <c r="AR28" i="5"/>
  <c r="X108" i="5"/>
  <c r="X84" i="5"/>
  <c r="X52" i="5"/>
  <c r="X20" i="5"/>
  <c r="AE88" i="5"/>
  <c r="AE56" i="5"/>
  <c r="AE24" i="5"/>
  <c r="AR91" i="5"/>
  <c r="AR59" i="5"/>
  <c r="AR27" i="5"/>
  <c r="AD96" i="5"/>
  <c r="AD64" i="5"/>
  <c r="AD32" i="5"/>
  <c r="AO26" i="5"/>
  <c r="AO81" i="5"/>
  <c r="X68" i="5"/>
  <c r="AE40" i="5"/>
  <c r="AD112" i="5"/>
  <c r="X61" i="5"/>
  <c r="AE33" i="5"/>
  <c r="AO17" i="5"/>
  <c r="AE64" i="5"/>
  <c r="AD40" i="5"/>
  <c r="AE13" i="5"/>
  <c r="AE49" i="5"/>
  <c r="AE17" i="5"/>
  <c r="AR84" i="5"/>
  <c r="AR52" i="5"/>
  <c r="AR20" i="5"/>
  <c r="AD89" i="5"/>
  <c r="AD57" i="5"/>
  <c r="AD25" i="5"/>
  <c r="AO33" i="5"/>
  <c r="AO89" i="5"/>
  <c r="X36" i="5"/>
  <c r="AR75" i="5"/>
  <c r="AD80" i="5"/>
  <c r="X93" i="5"/>
  <c r="AE65" i="5"/>
  <c r="AR36" i="5"/>
  <c r="AD73" i="5"/>
  <c r="AE96" i="5"/>
  <c r="AD72" i="5"/>
  <c r="AE57" i="5"/>
  <c r="X45" i="5"/>
  <c r="X76" i="5"/>
  <c r="X44" i="5"/>
  <c r="AE112" i="5"/>
  <c r="AE80" i="5"/>
  <c r="AE48" i="5"/>
  <c r="AE16" i="5"/>
  <c r="AR83" i="5"/>
  <c r="AR51" i="5"/>
  <c r="AR19" i="5"/>
  <c r="AD88" i="5"/>
  <c r="AD56" i="5"/>
  <c r="AD24" i="5"/>
  <c r="AO34" i="5"/>
  <c r="AO97" i="5"/>
  <c r="AE104" i="5"/>
  <c r="AE72" i="5"/>
  <c r="AR43" i="5"/>
  <c r="AD48" i="5"/>
  <c r="AO49" i="5"/>
  <c r="AE97" i="5"/>
  <c r="AR100" i="5"/>
  <c r="AD105" i="5"/>
  <c r="AO57" i="5"/>
  <c r="X28" i="5"/>
  <c r="AE32" i="5"/>
  <c r="AR35" i="5"/>
  <c r="AO18" i="5"/>
  <c r="X109" i="5"/>
  <c r="X53" i="5"/>
  <c r="X106" i="5"/>
  <c r="X77" i="5"/>
  <c r="AE81" i="5"/>
  <c r="X101" i="5"/>
  <c r="X100" i="5"/>
  <c r="X69" i="5"/>
  <c r="X37" i="5"/>
  <c r="AE105" i="5"/>
  <c r="AE73" i="5"/>
  <c r="AE41" i="5"/>
  <c r="AR108" i="5"/>
  <c r="AR76" i="5"/>
  <c r="AR44" i="5"/>
  <c r="AD13" i="5"/>
  <c r="AD81" i="5"/>
  <c r="AD49" i="5"/>
  <c r="AD17" i="5"/>
  <c r="AO41" i="5"/>
  <c r="AO105" i="5"/>
  <c r="AB13" i="13" a="1"/>
  <c r="AD11" i="13"/>
  <c r="AG13" i="13" a="1"/>
  <c r="AH13" i="13" a="1"/>
  <c r="C11" i="9" l="1" a="1"/>
  <c r="C11" i="9" s="1"/>
  <c r="P10" i="16"/>
  <c r="C7" i="16"/>
  <c r="AH13" i="13"/>
  <c r="AB13" i="13"/>
  <c r="AG13" i="13"/>
  <c r="T10" i="5"/>
  <c r="Q2" i="2" a="1"/>
  <c r="Q2" i="2" s="1"/>
  <c r="A1" i="5"/>
  <c r="U35" i="5"/>
  <c r="U33" i="5"/>
  <c r="U21" i="5" a="1"/>
  <c r="U21" i="5" s="1"/>
  <c r="U20" i="5"/>
  <c r="U32" i="5"/>
  <c r="AK13" i="13" l="1" a="1"/>
  <c r="AK13" i="13" s="1"/>
  <c r="AJ13" i="13" a="1"/>
  <c r="AJ13" i="13" s="1"/>
  <c r="B14" i="13" s="1" a="1"/>
  <c r="B14" i="13" s="1"/>
  <c r="AI13" i="13" a="1"/>
  <c r="AI13" i="13" s="1"/>
  <c r="U17" i="5"/>
  <c r="B13" i="13" a="1"/>
  <c r="AK12" i="13" a="1"/>
  <c r="AA1" i="13" a="1"/>
  <c r="AK12" i="13" l="1"/>
  <c r="B13" i="13"/>
  <c r="AA1" i="13"/>
  <c r="U28" i="3"/>
  <c r="C5" i="9"/>
  <c r="U35" i="3"/>
  <c r="P2" i="2" a="1"/>
  <c r="P2" i="2" s="1"/>
  <c r="F3" i="9"/>
  <c r="O2" i="2" l="1" a="1"/>
  <c r="O2" i="2" s="1"/>
  <c r="C10" i="7" a="1"/>
  <c r="C10" i="7" s="1"/>
  <c r="G3" i="7"/>
  <c r="G3" i="14" l="1"/>
  <c r="G4" i="14"/>
  <c r="G5" i="14"/>
  <c r="K2" i="2" a="1"/>
  <c r="K2" i="2" s="1"/>
  <c r="C16" i="16" l="1" a="1"/>
  <c r="C16" i="16" s="1"/>
  <c r="C7" i="9"/>
  <c r="S13" i="13" a="1"/>
  <c r="T10" i="3"/>
  <c r="N2" i="2" a="1"/>
  <c r="N2" i="2" s="1"/>
  <c r="M2" i="2" a="1"/>
  <c r="M2" i="2" s="1"/>
  <c r="L2" i="2" a="1"/>
  <c r="L2" i="2" s="1"/>
  <c r="U32" i="3"/>
  <c r="U31" i="3"/>
  <c r="U30" i="3"/>
  <c r="U29" i="3"/>
  <c r="U20" i="3"/>
  <c r="U19" i="3"/>
  <c r="U18" i="3"/>
  <c r="T13" i="3" a="1"/>
  <c r="T13" i="3" s="1"/>
  <c r="Y13" i="3"/>
  <c r="AO10" i="16" l="1"/>
  <c r="AC10" i="16"/>
  <c r="T10" i="16"/>
  <c r="AN10" i="16"/>
  <c r="AB10" i="16"/>
  <c r="S10" i="16"/>
  <c r="AK10" i="16"/>
  <c r="AA10" i="16"/>
  <c r="R10" i="16"/>
  <c r="Z10" i="16"/>
  <c r="Q10" i="16"/>
  <c r="AH10" i="16"/>
  <c r="Y10" i="16"/>
  <c r="AF10" i="16"/>
  <c r="X10" i="16"/>
  <c r="AE10" i="16"/>
  <c r="V10" i="16"/>
  <c r="AD10" i="16"/>
  <c r="U10" i="16"/>
  <c r="U9" i="16"/>
  <c r="V9" i="16"/>
  <c r="AC9" i="16"/>
  <c r="AA9" i="16"/>
  <c r="R9" i="16"/>
  <c r="Z9" i="16"/>
  <c r="X9" i="16"/>
  <c r="S9" i="16"/>
  <c r="AD9" i="16"/>
  <c r="Q9" i="16"/>
  <c r="Y9" i="16"/>
  <c r="AH9" i="16"/>
  <c r="T9" i="16"/>
  <c r="AB9" i="16"/>
  <c r="S13" i="13"/>
  <c r="U15" i="13"/>
  <c r="U22" i="13"/>
  <c r="U23" i="13"/>
  <c r="U16" i="13"/>
  <c r="U25" i="13"/>
  <c r="U34" i="13"/>
  <c r="U26" i="13"/>
  <c r="U24" i="13"/>
  <c r="U21" i="13"/>
  <c r="U36" i="13"/>
  <c r="U27" i="13"/>
  <c r="U17" i="13"/>
  <c r="U14" i="13"/>
  <c r="Z11" i="3"/>
  <c r="Y33" i="3"/>
  <c r="Y32" i="3"/>
  <c r="Y30" i="3"/>
  <c r="Y29" i="3"/>
  <c r="Y28" i="3"/>
  <c r="Y26" i="3"/>
  <c r="Y25" i="3"/>
  <c r="Y24" i="3"/>
  <c r="Y23" i="3"/>
  <c r="Y22" i="3"/>
  <c r="Y21" i="3"/>
  <c r="Y19" i="3"/>
  <c r="Y18" i="3"/>
  <c r="Y16" i="3"/>
  <c r="Y15" i="3"/>
  <c r="Y14" i="3"/>
  <c r="AE11" i="3"/>
  <c r="G3" i="3"/>
  <c r="U33" i="3" s="1"/>
  <c r="M15" i="16" l="1"/>
  <c r="AB13" i="3" a="1"/>
  <c r="S2" i="2" a="1"/>
  <c r="S2" i="2" s="1"/>
  <c r="T2" i="2" s="1" a="1"/>
  <c r="T2" i="2" s="1"/>
  <c r="AD11" i="3"/>
  <c r="AG13" i="3" a="1"/>
  <c r="AH13" i="3" a="1"/>
  <c r="U2" i="2" l="1" a="1"/>
  <c r="U2" i="2" s="1"/>
  <c r="AG13" i="3"/>
  <c r="AH13" i="3"/>
  <c r="AB13" i="3"/>
  <c r="AK13" i="3" l="1" a="1"/>
  <c r="AK13" i="3" s="1"/>
  <c r="AJ13" i="3" a="1"/>
  <c r="AJ13" i="3" s="1"/>
  <c r="AI13" i="3" a="1"/>
  <c r="AI13" i="3" s="1"/>
  <c r="B13" i="3" a="1"/>
  <c r="AA1" i="3" a="1"/>
  <c r="AK12" i="3" a="1"/>
  <c r="AA1" i="3" l="1"/>
  <c r="B13" i="3"/>
  <c r="AK12" i="3"/>
  <c r="A1" i="3"/>
  <c r="H7" i="3" s="1"/>
  <c r="G4" i="3" a="1"/>
  <c r="G4" i="3" s="1"/>
  <c r="U13" i="3" s="1"/>
  <c r="C6" i="3" a="1"/>
  <c r="C6" i="3" s="1"/>
  <c r="B14" i="3" a="1"/>
  <c r="B14" i="3" s="1"/>
  <c r="C7" i="3" a="1"/>
  <c r="C7" i="3" s="1"/>
  <c r="C11" i="7" l="1" a="1"/>
  <c r="C11" i="7" s="1"/>
  <c r="C7" i="7" s="1"/>
  <c r="S13" i="3" a="1"/>
  <c r="U36" i="3" s="1"/>
  <c r="U23" i="3" l="1"/>
  <c r="U16" i="3"/>
  <c r="U14" i="3"/>
  <c r="U27" i="3"/>
  <c r="U22" i="3"/>
  <c r="U21" i="3"/>
  <c r="U34" i="3"/>
  <c r="U24" i="3"/>
  <c r="U15" i="3"/>
  <c r="U25" i="3"/>
  <c r="S13" i="3"/>
  <c r="U26" i="3"/>
  <c r="U17"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<sst xmlns="http://schemas.openxmlformats.org/spreadsheetml/2006/main" count="11525" uniqueCount="2750">
  <si>
    <t>EDIT ONLY CELLS IN YELLOW</t>
  </si>
  <si>
    <t>Back to Menu</t>
  </si>
  <si>
    <t>Today's date</t>
  </si>
  <si>
    <t>Set Defaults</t>
  </si>
  <si>
    <t>Select Season</t>
  </si>
  <si>
    <t>Parameter</t>
  </si>
  <si>
    <t>Value</t>
  </si>
  <si>
    <t>Select Status</t>
  </si>
  <si>
    <t>Default Season</t>
  </si>
  <si>
    <t>Old Status</t>
  </si>
  <si>
    <t>Default Action</t>
  </si>
  <si>
    <t>Mail approach</t>
  </si>
  <si>
    <t>Type of Contact</t>
  </si>
  <si>
    <t>Default Assignee</t>
  </si>
  <si>
    <t>Marco Vigato</t>
  </si>
  <si>
    <t># of candidates</t>
  </si>
  <si>
    <t>Select cell with candidate name and click update button to edit</t>
  </si>
  <si>
    <t>Default Comment</t>
  </si>
  <si>
    <t>..</t>
  </si>
  <si>
    <t>Default Status</t>
  </si>
  <si>
    <t>Spammed</t>
  </si>
  <si>
    <t>Working Data</t>
  </si>
  <si>
    <t>Full Name</t>
  </si>
  <si>
    <t>Season</t>
  </si>
  <si>
    <t>Assigned to</t>
  </si>
  <si>
    <t>Updated by</t>
  </si>
  <si>
    <t>Action needed</t>
  </si>
  <si>
    <t>Comments</t>
  </si>
  <si>
    <t>Recycled</t>
  </si>
  <si>
    <t>Sequence</t>
  </si>
  <si>
    <t>First Name</t>
  </si>
  <si>
    <t>Last Name</t>
  </si>
  <si>
    <t>Name Descriptor</t>
  </si>
  <si>
    <t>Contactor</t>
  </si>
  <si>
    <t>Contact Date</t>
  </si>
  <si>
    <t>E-mail</t>
  </si>
  <si>
    <t>Phone</t>
  </si>
  <si>
    <t>Current Location</t>
  </si>
  <si>
    <t xml:space="preserve">Position </t>
  </si>
  <si>
    <t>Position Location</t>
  </si>
  <si>
    <t>McK Alum Status</t>
  </si>
  <si>
    <t>Current Org</t>
  </si>
  <si>
    <t>Contact Notes</t>
  </si>
  <si>
    <t>Recommendation</t>
  </si>
  <si>
    <t>Status</t>
  </si>
  <si>
    <t>Final Decision</t>
  </si>
  <si>
    <t>Update Date</t>
  </si>
  <si>
    <t>Asssigned</t>
  </si>
  <si>
    <t>Latest</t>
  </si>
  <si>
    <t>1_Waitlist/Sent/Answered</t>
  </si>
  <si>
    <t>Candidate already exists for current season</t>
  </si>
  <si>
    <t>Working parameters</t>
  </si>
  <si>
    <t>MY FILTERED CANDIDATES</t>
  </si>
  <si>
    <t>Currentrow</t>
  </si>
  <si>
    <t>Type of contact</t>
  </si>
  <si>
    <t>Old Comments</t>
  </si>
  <si>
    <t>Check candidate</t>
  </si>
  <si>
    <t>Check record</t>
  </si>
  <si>
    <t>Max year</t>
  </si>
  <si>
    <t>Old record offset</t>
  </si>
  <si>
    <t>Decision</t>
  </si>
  <si>
    <t>Location</t>
  </si>
  <si>
    <t>Name</t>
  </si>
  <si>
    <t>Surname</t>
  </si>
  <si>
    <t>Full Name ALL</t>
  </si>
  <si>
    <t>Uploaded</t>
  </si>
  <si>
    <t>email</t>
  </si>
  <si>
    <t>McK Alumni link</t>
  </si>
  <si>
    <t>Notes</t>
  </si>
  <si>
    <t>Spammer</t>
  </si>
  <si>
    <t>Waitlist</t>
  </si>
  <si>
    <t>Answer</t>
  </si>
  <si>
    <t>Who and How to close</t>
  </si>
  <si>
    <t>2020 1st Phone screener</t>
  </si>
  <si>
    <t>2020 1st Phone Screen feedback</t>
  </si>
  <si>
    <t>2020 2nd Phone screener</t>
  </si>
  <si>
    <t>2020 2nd Phone Screen feedback</t>
  </si>
  <si>
    <t>2020 3rd phone screener</t>
  </si>
  <si>
    <t>2020 3rd Phone Screen feedback</t>
  </si>
  <si>
    <t>2020 4th Phone Screener</t>
  </si>
  <si>
    <t>2020 4th Phone Screen Feedback</t>
  </si>
  <si>
    <t>2020 3rd Phone Screen feedback2</t>
  </si>
  <si>
    <t>2019 1st Phone screener2</t>
  </si>
  <si>
    <t>2019 1st Phone Screen feedback32</t>
  </si>
  <si>
    <t>2019 2nd Phone screener4</t>
  </si>
  <si>
    <t>2019 2nd Phone Screen feedback5</t>
  </si>
  <si>
    <t>2019 3rd phone screen6</t>
  </si>
  <si>
    <t>Closed?</t>
  </si>
  <si>
    <t> The limits are 50/day, 100/week, or 200/month</t>
  </si>
  <si>
    <t>Screen</t>
  </si>
  <si>
    <t>Shenzhen</t>
  </si>
  <si>
    <t>Kuldeep</t>
  </si>
  <si>
    <t>Kumar</t>
  </si>
  <si>
    <t>Kuldeep_Kumar_Upadhyay@mckinsey.com; kdlakehomes@gmail.com</t>
  </si>
  <si>
    <t>Started in 2019. Joined Salesforce in Feb2020</t>
  </si>
  <si>
    <t>Miguel</t>
  </si>
  <si>
    <t>Answered</t>
  </si>
  <si>
    <t>Applied</t>
  </si>
  <si>
    <t>Richeek</t>
  </si>
  <si>
    <t>Good business acumen, good executive presence (would rank higher than Asad on this parameter), generalist without direct sourcing expereince but track record of probelm sovimng and moving things to results, seems willing to do the work, need to test how far willing to do the dirty work</t>
  </si>
  <si>
    <t>Marco</t>
  </si>
  <si>
    <t xml:space="preserve">Overall: Excellent first personal impression, would rank him just slightly below Asad in terms of leadership presence. Good mix of strategy/ business development and operational experience. Clear and articulate communication. Showed strong interest in the role and our team. Did his homework in terms of researching our business model and how Walmart operates. Listened attentively and asked very meaningful and pertinent questions. Relocation not an issue (preferably US, but open to other locations as well). 
Additional notes:
•	Already spoken to Richeek, Sumeet
•	Joined Salesforce recently, leading the Industry team, mostly focused on strategy and business development
•	Previously at IBM and McKinsey implementation – Changed his role at McK to move into the Expert track, helped set up B2B service line in India, mostly serving manufacturing clients
•	Passionate about retail innovation and business development, new services
•	Location preference: Flexible about relocating, would prefer to be in US but open to other locations as well
</t>
  </si>
  <si>
    <t>Sumeet</t>
  </si>
  <si>
    <t>1. Not very relavant past experience (M&amp;S, Product management) 2. Good profile otherwise. Just finished search period</t>
  </si>
  <si>
    <t>Need additional screen</t>
  </si>
  <si>
    <t>Bentonville</t>
  </si>
  <si>
    <t>Kanika</t>
  </si>
  <si>
    <t>Pasricha</t>
  </si>
  <si>
    <t>kanika1091@gmail.com</t>
  </si>
  <si>
    <t>+1-647-641-2847</t>
  </si>
  <si>
    <t>Toronto based, probably can't make it</t>
  </si>
  <si>
    <t xml:space="preserve">Leaning towards no but recommend another screen specifically for this candidate. Seemed early tenure, Did not do too well in initial structuring but showed ability to get into detail and do the grunt work. Need additional read on structuring, senior client management in second screen
</t>
  </si>
  <si>
    <t>Stop</t>
  </si>
  <si>
    <t>Hong Kong</t>
  </si>
  <si>
    <t>Anurag</t>
  </si>
  <si>
    <t>Thakwani</t>
  </si>
  <si>
    <t>athakwani2007@email.iimcal.ac.in</t>
  </si>
  <si>
    <t>+65-85183969</t>
  </si>
  <si>
    <t>Potential fit - recommend more interaction with team members 
Mature professional with varied corporate expereince and challenges handled
Deliberate thinking process with remants of McK structuring (e.g., 3 reasons)
Good presence (calm and deliberate as opposed to animated and energetic)
Varied experience (Ops transformation, Lean, Digital and Data)
Willing to get hands dirty (wrote down algorithms for teams to code and execute)</t>
  </si>
  <si>
    <t>Sumit</t>
  </si>
  <si>
    <t>Not a culture fit for the team</t>
  </si>
  <si>
    <t>High potential - Cultivate</t>
  </si>
  <si>
    <t>Cultivate</t>
  </si>
  <si>
    <t>Pakistan</t>
  </si>
  <si>
    <t>Muhammad Hasan</t>
  </si>
  <si>
    <t>Shakil</t>
  </si>
  <si>
    <t>hasanshakil1@gmail.com</t>
  </si>
  <si>
    <t>+92-3343311214</t>
  </si>
  <si>
    <t>(Another Asad) Good fit for both strategy and PMO role
Good maturity, high energy and passion, has worked 70% of firm engaements on large transformations and PMO
Early EM level structuring; good top down communication
Lotsof expereince in stakeholder mgmt including doctors, administrators, bureaucrats and ministers
Exploring options outside as it is difficult to move out of PK office with McK
Looking for exposure to other geographies</t>
  </si>
  <si>
    <t>Rashmi</t>
  </si>
  <si>
    <t>Patil</t>
  </si>
  <si>
    <t>rashmi1patil@gmail.com</t>
  </si>
  <si>
    <t>+1 (716) 675-4253</t>
  </si>
  <si>
    <t>Reached out</t>
  </si>
  <si>
    <t>Ryan</t>
  </si>
  <si>
    <t>Good knowledge about retail and analytics and good experience of combining AMZN and consulting. Analytics-focused at Accenture and similar in more narrow area at Mck. Prefers US but open to internatinal locations. A few more specific points:
1. Has good &amp; humble personality and would fit in with people at Walmart
2. Sounded logital about past moves and wanting to move back into the industry. Want to own initiatives and constant team to grow with
3. Not very concise and less strong on problem solving</t>
  </si>
  <si>
    <t>Varun</t>
  </si>
  <si>
    <t>Kaushik</t>
  </si>
  <si>
    <t>varunkaushik.kellogg@gmail.com</t>
  </si>
  <si>
    <t>+1 305 542 8304</t>
  </si>
  <si>
    <t>https://www.mckinsey.com/alumni/candidate/500123501</t>
  </si>
  <si>
    <t>Started in 2019</t>
  </si>
  <si>
    <t>Stop. Do not check again</t>
  </si>
  <si>
    <t>ShenZhen</t>
  </si>
  <si>
    <t>Ajay</t>
  </si>
  <si>
    <t>Nair</t>
  </si>
  <si>
    <t xml:space="preserve">ajaynair.22@gmail.com </t>
  </si>
  <si>
    <t>Applied through McK link</t>
  </si>
  <si>
    <t>Started in 2019 https://www.linkedin.com/in/ajay-n-74aa8814a/</t>
  </si>
  <si>
    <t>Interested, screen for SZ</t>
  </si>
  <si>
    <t>Sumeet screened him, got negative feedback from India office (basically that he managed staffing conversations and placed PTO so he worked in no engagement for his last 12 months and was CTLd</t>
  </si>
  <si>
    <t>Reasonable profile and interview. Not very good intel input from Mck India office</t>
  </si>
  <si>
    <t>Offer Accepted</t>
  </si>
  <si>
    <t>Offer</t>
  </si>
  <si>
    <t>Pranav</t>
  </si>
  <si>
    <t>Potbhare</t>
  </si>
  <si>
    <t>pranavpotbhare@gmail.com</t>
  </si>
  <si>
    <t>+91-84476-99683</t>
  </si>
  <si>
    <t>https://www.mckinsey.com/alumni/candidate/500151159</t>
  </si>
  <si>
    <t>Interested</t>
  </si>
  <si>
    <t>Good profile. Nice attitude. Strong impact orientation. Heavy infra background although with reasonable signs of being able to do other things from first principles. 
Wants to move on from his current job at OYO since the company isnt doing so well. Says current role is strategy &amp; execution hussle. Wants to do more strategy</t>
  </si>
  <si>
    <t xml:space="preserve">On par with Sumit Narang, Recommend Miguel talking to him, longer EM expereince at KPMG and McK, has been part of implementation wave of McK project and spoke about influencing without direct authority, current startup is slowing down due to Covid and Investore change of direction , wears 2 hats strategy and revenue, enjoys his product and strategy role better than sales role, </t>
  </si>
  <si>
    <t>Great candidate. Has long consulting experience in different firms, has all the right instincts when asked complex questions, humble, manages well under stress, accepts own responsibility on failure, impact driven (a bit too heavy on quantitative vs qualitative, room to develop more charisma). He will fit great and should do a good job. Was on partner track (the old expert AP path) but industry was not moving well and path to partner become uphill. Wants to leave company because COVID is basically shutting them down. Has not figured out future career path but India and China are hot, retail is hot, and we're a great place to postpone the decision while developing useful skills</t>
  </si>
  <si>
    <t>Overall: Excellent mix of consulting and hands-on/ implementation experience. Good presence, structured and articulate. Trust he has all the EM consulting toolkit, plus the hands-on experience of managing a P&amp;L and sales team. Willing to get his hands dirty and roll-up his sleeves, not just a blue-sky thinker. Flexible in terms of location and excited about the role and joining a global company like Walmart.
Additional notes:
•	Electronic engineer
•	2.5 years at PwC, then 7 years at KPMG (Associate Director, based in Dubai focus on transportation and utilities, leading a team of 7-8 people. Work involved anything from strategy, operational improvement and org. Little retail and tourism and hospitality)
•	Moved back to India in 2016 to McK – Capital projects and infrastructure team. Focus on urban infrastructure and mobility, city development. Involved in few large CapEx projects and greenfield plant set up. 
•	Practice expert at McK – EM equivalent
•	1.5 years ago moved to the industry (OYO – Soft bank for startups) – Leading strategy for one of their subsidiary. Also acting as head of revenue and sales. Leading individual projects to deliver their plans, go-to-market, implementation, execution and roll-out. Coordinates a sales team of 300 people across 35 teams. Also leads business development and partner relationships, growing network with partners and ensuring partner expectations are met. 
•	Why move? Get more hands-on experience, see long-term impact of decisions; enjoys implementation and execution piece, not afraid to roll-up his sleeves
•	Location? Comparatively mobile, no kids yet (just him and his wife), very interested in China but open to other locations as well – India, US</t>
  </si>
  <si>
    <t>India</t>
  </si>
  <si>
    <t xml:space="preserve">Sumit </t>
  </si>
  <si>
    <t>Narang</t>
  </si>
  <si>
    <t>narangsumit@gmail.com</t>
  </si>
  <si>
    <t>91-99675-90217</t>
  </si>
  <si>
    <t>https://www.mckinsey.com/alumni/candidate/500056387</t>
  </si>
  <si>
    <t>Started in 2019. Seems too tenured</t>
  </si>
  <si>
    <t>Comes across as very good profile: Sells himself very well. Thinks on his feet. Good communication. Good at connecting with people quickly. Has a lot of variety in his background (will be useful as we throw variety of problems at him). Will join in India but wants to move out at some stage (after pandemic settles). 
Is looking at moving since he has been with CK Birla group for 7 years. Says he has done a lot at his company and now there are not too many big things left to do. Is interested to get into a global company. Looks at mobility positively. Wants to go to US at some stage in future. Wife is not working currently. Wont be able to get work easity if moves to China. Says that is not an issue and is keen on mobility</t>
  </si>
  <si>
    <t>Extremely good. Long tenure, diversified, not too long at McK and definitely not late EM experience managing groups but he has the right intrinsics and consulting tools, attitude would fit with the team culture (push the business to transform, get the spotlight on the client, do what they need, etc.). Good balance of IQ and EQ, room to polishment for US executive path</t>
  </si>
  <si>
    <t>Marco/ Richeek</t>
  </si>
  <si>
    <t xml:space="preserve">Overall: Great candidate. Good presence, attitude and personality fit. Brings more industry experience than other candidates as he left McK almost 8 years ago. Very entrepreneurial mindset and highly energetic, seemingly passionate about making transition to a more global workplace and taking on a broader set of challenges. Understands importance of rolling up one’s sleeves and focus on implementation/ execution and change management – not just “blue-sky” thinking. Recommend we move to final round. 
Additional notes: 
•	Works for Billasoft, one of India’s top corporates and a diversified conglomerate, heading Strategy and M&amp;A
•	Oversaw merger integration and set up strategy office at Billasoft 2 years ago. Prior to that was in Chairman’s office doing strategy, Private Equity (2 Years) and McKinsey (left in 2012)
•	Experience in strategy, business development, M&amp;A, investment decisions, deal sourcing for PE, value chain decisions
•	At McKinsey from 2007 to 2012, Mumbai office, worked globally
•	Why interested in opportunity? More global role, at scale – taking it to the next level, brand name of Walmart (Fortune-1), global mobility opportunities, interested in the challenge. 
•	What drives him to Retail and sourcing? Pace of change, has helped build businesses in the retail space in the past. Has experience in driving cost efficiency for many years – sourcing efficiencies are a key part of that. Brings B2B experience
•	Very flexible to move across roles and cultures – transitioned from McK to PE to corporate strategy office for a portfolio company and now heading strategy and M&amp;A
•	How does he think about change management? Drive transformation through people. Understands complexity of changing a company’s culture and building trust with people. Create a “case for change” to drive hearts and minds
•	Understands need to roll-up one’s sleeves, get down and execute – not only “blue sky” thinking
•	Interested in how we collaborate globally, asked meaningful and pertinent questions
</t>
  </si>
  <si>
    <t>Potential final round</t>
  </si>
  <si>
    <t>Keep in top priority group if Vineet recruitment fails</t>
  </si>
  <si>
    <t>Ghanshyam</t>
  </si>
  <si>
    <t>Devnani</t>
  </si>
  <si>
    <t>ghanshu@gmail.com</t>
  </si>
  <si>
    <t>+91 9886627554</t>
  </si>
  <si>
    <t xml:space="preserve">Started for CoO in 2019. Was considered for SD, but D salary and scope, </t>
  </si>
  <si>
    <t>High talent, great knowledge, very adaptable, smart, willingness to do a high quality job, motivated to move to implementation and keep learning.
Demonstrated capability for leading CoO, do PMO, solve roadblocks, influence stakeholders etc. Ghanshyam was able to not just more or less cover what we are planning to do but actually bring fresh angles after a couple of minutes, and we could go into a depth discussing scenario planning that I have not experienced in Walmart yet. His answers were on point, well structured, effective and efficient. Negative point is that Ghanshyam will naturally try to align all into an overall top-quality approach integrated with processes and tech.
Ghanshyam is composed but seems to have low EQ. He is not very energetic and will win trust slowly. He failed the pre-officer leadership test.
Ghanshyam reason to join is the typical consultant who takes the last train into the industry.
Knowledge (India, other CoO, retail, SC, PSM, Apparel, GM): Ghanshyam is distinctive. His understanding of supply chain, E2E value chain, network design, total cost of ownership etc. would be top tier at MIT, McK or any place I’ve worked in. He got top marks on capability test. He might be too much of an expert and might transition to a position on those fields within Walmart in a couple of years.
Delivery, performance under stress, structured thinking: I walked him through a fictional case study and I pushed hard (changing goals and objectives in the middle of it, roleplaying external noise, etc.). Guanshyam was quick to understand, to reevaluate his approach, he withstood pressure and produced quality insights, it was energizing to explore possibilities with him and I can see him expanding quality of current frameworks and thinking and maybe making it a disruptive advantage.</t>
  </si>
  <si>
    <t>Echo MIguel's observations; I did test him on the people aspect, empathy,  has empathy but he relies on his technical and logical approach more heavily which is understandable. Solid candidate for cnsideration</t>
  </si>
  <si>
    <t>Potential next round (Sr Mgr)</t>
  </si>
  <si>
    <t>Both</t>
  </si>
  <si>
    <t>Muhammad</t>
  </si>
  <si>
    <t>Arslan</t>
  </si>
  <si>
    <t>marslanm891@gmail.com</t>
  </si>
  <si>
    <t>(+92) 311 5998943</t>
  </si>
  <si>
    <t>Sent</t>
  </si>
  <si>
    <t xml:space="preserve">Overall: Could be a good candidate for a Sr. Manager role, perhaps not quite ready for Director. Showed interest without being overly enthusiastic about the opportunity. Couldn’t read much of the non-verbal cues as his video was not working. His communication style was clear and quite articulate, but without much presence or charisma. 
Additional notes: 
•	Graduated 6 years ago
o	First 4 years in Operations at Coca Cola and Philip Morris – Focus on CapEx, maintenance and sustainability
o	Last 2.5 Years at McKinsey, joined as Senior Fellow and was designated Associate a few months ago. Most work focus on Procurement excellence and cost transformation, category spend optimization. Also done Org design and leadership academy development. 
•	Asked pertinent questions about how we work with Markets and interact with Sourcing organization
•	Why interested in role? Wants a more E2E approach and more interaction with stakeholders in the business, be more involved in the long-term and implementation. Pakistan office has lots of small/ medium clients (lots of 001 studies), mostly focused on cost optimization, can get repetitive. Looking for lifestyle improvement and more flexible schedule. Very interested in the Retail space in the long-term. Passionate about sustainability and making an impact on sustainable sourcing. 
•	Location: Flexible 
</t>
  </si>
  <si>
    <t>Bright and articulate person
Wants to get into operating organization Probably not thinking it through as he is abut to complete pre-Associate program and become AssociateNeeds a bit more finishing - one for the future not now</t>
  </si>
  <si>
    <t>?</t>
  </si>
  <si>
    <t>Manu</t>
  </si>
  <si>
    <t>Lakshmanan</t>
  </si>
  <si>
    <t>mnL27@cornell.edu</t>
  </si>
  <si>
    <t xml:space="preserve">Overall: Not a good fit. Very operational profile, trying to make a transition outside of a place where he doesn’t see much growth opportunities. No real strategy experience, mostly focused on process optimization/ efficiency and continuous improvement. Didn’t come out as particularly excited about the opportunity either, other than as a way of getting unstuck from a job that offers him little future prospects for growth. 
All of his questions were on the more operational side of sourcing, which made me question his understanding of what an internal strategy team does.  
Additional Notes: 
•	Interested in the retail space – Attracted by pace of change, particularly logistics/ supply chain innovation
•	More interested in the operational side of sourcing, procurement, logistics/ supply chain, operational improvement (Asked numerous and quite detailed questions about our sourcing organization, supply chain and logistics setup)
•	Looking to transition outside of Diageo – Last few months have been heavily focused on six-sigma and process/ operational improvement, afraid of getting stuck in too much of an operational role
•	Interested in moving into a more leadership type of role with larger mandate and greater variety of challenges
•	Based in Dallas, could be willing to relocate to Bentonville but would otherwise prefer to stay in Dallas and commute on a weekly/ bi-weekly basis
</t>
  </si>
  <si>
    <t>Suneet</t>
  </si>
  <si>
    <t>Khanna</t>
  </si>
  <si>
    <t>suneet.khanna@gmail.com</t>
  </si>
  <si>
    <t>https://www.mckinsey.com/alumni/candidate/150894</t>
  </si>
  <si>
    <t>Started in 2019. Knowledge Center</t>
  </si>
  <si>
    <t>Yes to SZ/HK</t>
  </si>
  <si>
    <t>1. Meets the requirement on supply chain &amp; consulting background. Very deep in analytics and product management. Not too deep in corporate strategy (blue sky type). 
2. Would prefer US. Has some visa situation with may push him out of US in which case might consider SZ/HK with vision to move back to US after some time</t>
  </si>
  <si>
    <t>Calm demeanor, very good communicator in everything except succintness. Long experience in McK starting as knowledge analyst in several geographies (Japan, India, Singapore). Excited about transformation.Company got change of ownership and he wants out. He has L1, H1 from last year that might happen next month. If that holds he's a great candidate for US</t>
  </si>
  <si>
    <t>Richeek: Good calm and reassuring presence, red flag on PS - did not lay out an issue tree before diving into approach and solutions, was very general and did not attempt to get into content; would place slightly lower than Asad on PS but higher than Asad on presence and gravitas</t>
  </si>
  <si>
    <t>Next round ONLY if we need hire for SM level</t>
  </si>
  <si>
    <t>Aakash</t>
  </si>
  <si>
    <t>Jhaveri</t>
  </si>
  <si>
    <t>jhaveri.aakash@gmail.com</t>
  </si>
  <si>
    <t>+91 98331 89878</t>
  </si>
  <si>
    <t>https://www.mckinsey.com/alumni/candidate/500115480</t>
  </si>
  <si>
    <t>Yes to SZ/HK/US. 2020 Just started work in an Indian D2C company</t>
  </si>
  <si>
    <t>1. Good experience &amp; learning mindset
2. Left McK at BA tenure. Needs more time and exposure for 'Director' hire</t>
  </si>
  <si>
    <t>Hold</t>
  </si>
  <si>
    <t>Recheck for development last year. ONLY if talent pool is poor</t>
  </si>
  <si>
    <t>Harish</t>
  </si>
  <si>
    <t>Yadav</t>
  </si>
  <si>
    <t>harishyadav81@gmail.com</t>
  </si>
  <si>
    <t>+1 (214) 809-6466</t>
  </si>
  <si>
    <t>https://www.linkedin.com/in/tpakozdi/</t>
  </si>
  <si>
    <t>Worked with him in the past. Sourcing specialist. Low gravitas. Applied for US Director role in 2018. Took a job in insurance. Reached out from McK website</t>
  </si>
  <si>
    <t>Subhronil</t>
  </si>
  <si>
    <t>Ghosh</t>
  </si>
  <si>
    <t>subhronilghosh@gmail.com</t>
  </si>
  <si>
    <t>https://www.mckinsey.com/alumni/candidate/500174838</t>
  </si>
  <si>
    <t>Started in 2019. Just joined a Pharma MNC in Singapore for Head of APAC strategic projects (mid-EM equivalent), the way he enphasized it makes it look like he is extremely proud of that, so possibly not really at mid-EM level</t>
  </si>
  <si>
    <t>Interested in SZ/HK</t>
  </si>
  <si>
    <t>1. Repeats clarification on what has already been shared. 2. Moved to India in recent few months for family reasons. Need for being closer to India could be a constraint in future as well. 3. Has changed so many jobs and is currently out of work for last few months. Is a risk candidate.. might be hiding some weakness4. Might be a stretch for Director (probably SM2 is a better fit)..5. Good in his ability to grab/ understand what we do. Okay to take to next round for just in case we have fewer candidates.</t>
  </si>
  <si>
    <t>Qianqian</t>
  </si>
  <si>
    <t>Zhao</t>
  </si>
  <si>
    <t>qianqian.zhao@walmart.com</t>
  </si>
  <si>
    <t>Started in 2019. Internal, already a Director</t>
  </si>
  <si>
    <t>Background in data, analytics, and real estate. All her experience in WM is real estate and its shrinking so she wants horizontal move.
She seems smart. Is willing to work in US or in China, own biz P&amp;L in the future. Due diligence came bad on peer group relationships, but that might be noise. Definitely no strategy or consulting background. Might be doable if someone would coach her but we're not physically co-located at this point. First kid will be born in April. Husband would need to find a job too in China if she was to move.</t>
  </si>
  <si>
    <t>She came across as okay – for someone with no consulting background. Was quite keen and started sharing some of her slides later saying wants to show what she has worked on in past. Asked for my slides to get flavor of what we do</t>
  </si>
  <si>
    <t>Check in 2022+</t>
  </si>
  <si>
    <t>Komal</t>
  </si>
  <si>
    <t>Agarwal</t>
  </si>
  <si>
    <t>komal.m.agarwal@gmail.com</t>
  </si>
  <si>
    <t>https://www.mckinsey.com/alumni/profile/500190458-Komal-Agarwal</t>
  </si>
  <si>
    <t>https://www.linkedin.com/in/komalmagarwal/ Reached out</t>
  </si>
  <si>
    <t>On good learning trajectory. Asks insightful questions. Not fully mature yet e.g., conversation tactics, positioning etc.,. Will be a good candidate after 2 more years at McK. Right now SM level (that too a stretch). Has done mostly financial services
Was in McK US for 1 year. Moved to Dubai because of visa issue. Is not frustrated since Dubai office is not letting her go back to US. Is not an EM yet. Most of her background is in Financial services. Desperately looking for a job for way out of McK</t>
  </si>
  <si>
    <t>Extremely immature, entitled, afraid, angry. She might be a great candidate in a few years. Associate under two years, albeit with a lot of due dilligences. Feels cheated out of the US, office is not "letting her go back" which usually means she was kicked out to a lower tier ofice due to low performance after the first year review, and now her performance is still poor so she won't be transfered back. Nowhere near making EM this cycle. Extremely nervous and broke down while talking about Dubai office which might mean she's been CTLd. In her resume she claims a scholarship my wife also got, UChicago MPP gives is automatically to any women in that program -when asked about it she claimed it was a performance scholarship awarded to top female student in the class. I gave her advice on how to land a job that would get her back to the US in other companies, but she was not really paying attention and at the end said she just wanted to be one of us. When I told her that she most likely wouldn't pass the first cut, since she was not an EM yet, and we had strong fit late EM/early AP levels, she claimed "it is not fair, I have done my due dilligence and looked at company 10k, and asked my MBA friends who work at walmart, and reached out to Sumeet in your team, I have worked a lot for this".</t>
  </si>
  <si>
    <t>Hold in reserve</t>
  </si>
  <si>
    <t>Amit</t>
  </si>
  <si>
    <t>Garg</t>
  </si>
  <si>
    <t>amitgarg.mbm@gmail.com</t>
  </si>
  <si>
    <t>https://www.mckinsey.com/alumni/candidate/500162539</t>
  </si>
  <si>
    <t>Interested, applied in the tool</t>
  </si>
  <si>
    <t>Positives: Solid &amp; long background. Reasonable in communication. Humble. Structured
Negatives: Long energy experience. May have become too comfortable in that
*know him from McK time as well</t>
  </si>
  <si>
    <t>Deep expertise in energy sector, long strategy consulting experience, calm and pleasant presence and will be able to develop trust with our leaders, has enterpreneural experience (selling on flipkart, amazon - business failed) - not very convincing why he wants to abandon consierable experience and move into something totally new - ideally he should be pushing into renewables, or technology transforamtion int he energy space - could be a defensive move
Additional info : energy sector in decline in INdia, corruption etc - wants to leave, retial is attractive</t>
  </si>
  <si>
    <t>Has the toolkit, able to structure, thrive on uncertainty, etc. Passionate and articulate, not succint -he'll structure his answer in 3 points but then incorporate new unconnected thinking that doesn't build on the previous or toward the next, and just ramble for 20 mins if unchecked.
Did prepare for the interviews thoroughly, readying Sam Walton's biography, books on retail, etc. (that sadly only makes it evident that he doesn't know the stuff yet as his comments are naive, so why join if he thinks sector expertise is so relevant) Doesnt get along with new CEO, very traditional approach and he was brought to introduce modern ways so wants out
Wants resilient business due to covid and crisis
Wants global exposure
Still has the mindset that knowledge expertise is king and will switch out to renewables, hybrid vehicles, etc. eventually (which is not really an issue)
He does not meet the bar. I think he would if he was more succint and followed on initial structure.</t>
  </si>
  <si>
    <t>Potential SM level candidate</t>
  </si>
  <si>
    <t>Jing</t>
  </si>
  <si>
    <t>Wang</t>
  </si>
  <si>
    <t>mwangjing@outlook.com</t>
  </si>
  <si>
    <t xml:space="preserve">Has the intellect, energy and unfortunately presence of a BA / junior associate not an EM
Not ready for director position - could be considered for Sr Mgr position
Would need to test problem solving in more deoth if considering further (no red flag - but I did not have time to go into)
</t>
  </si>
  <si>
    <t>Let him express interest</t>
  </si>
  <si>
    <t>Puneet</t>
  </si>
  <si>
    <t>Jain</t>
  </si>
  <si>
    <t>j.puneet@gmail.com</t>
  </si>
  <si>
    <t>+971 55 306 3473</t>
  </si>
  <si>
    <t>Good solid varied background. Okay energy. Calm. Has done merchandise manufacturing. Has also done merchandising for a tiny eCom business for some time. Can be a good talent for growing into other functions in longer term. He is also keen on that kind of path. Interested in US since that's HQ (wants to be close to most senior stakeholders and wider Walmart ecosystem, also wants language and family settling comfort). Is currently in Dubai for Henkel. For Shenzhen, visa will be an issue just like Vineet. And most likely wont move to India due to payband issue.
Will come back to be in 1 - 2 days if he is keen on the oppurtunity</t>
  </si>
  <si>
    <t>TBD</t>
  </si>
  <si>
    <t>Hold for now. May merit another round incase fewer options</t>
  </si>
  <si>
    <t>Retake if pool is low quality</t>
  </si>
  <si>
    <t>Kinshuk</t>
  </si>
  <si>
    <t>Kocher</t>
  </si>
  <si>
    <t>kinshukkocher@hotmail.com</t>
  </si>
  <si>
    <t/>
  </si>
  <si>
    <t>https://www.mckinsey.com/alumni/candidate/429294</t>
  </si>
  <si>
    <t>Holding 2 months to discover himself. Interested</t>
  </si>
  <si>
    <t>Positives: Varied background. Good energy. Street smart
Negetives: Strong stratup urge. Most likely looking for this job as a filler till pandemic goes and he gets some new venture. Not very clear why he wants this job. Does not answer this particular question clearly (goes round &amp; round). Strong in research. Probably not so much tested on softer aspects of change management, &amp; stakeholder management</t>
  </si>
  <si>
    <t>Ben</t>
  </si>
  <si>
    <t>Sun</t>
  </si>
  <si>
    <t>bbday830@yahoo.com</t>
  </si>
  <si>
    <t xml:space="preserve">+65 9777 2955 </t>
  </si>
  <si>
    <t>https://www.mckinsey.com/alumni/candidate/500085463</t>
  </si>
  <si>
    <t>Started in 2019. Marketing, sales, tech, in Singapore, speaks chinese</t>
  </si>
  <si>
    <t>Good first impression. Insightful questions. Okay communication. Good attitude
Lives in Singapore and wants to move to China since wife is from China. Has done two years at VC and now wants to get back into strategy. Heavy analytics, &amp; tech solutions type profile. Heavy M&amp;S background. Knows Mandarin
Things to check in next round: (1) Comes from McK solutions. May not have done too many pure play strategy. Good to check on blue sky strategy case (situations more abstract with paucity of data). Even better if the case is more on supply chain (instead of M&amp;S) (2) Why is he really leaving his VC job?</t>
  </si>
  <si>
    <t xml:space="preserve">Overall: Good presence and communication, made very good first impression. Listened attentively and asked meaningful questions showing good understanding. However, case raised questions on problem solving and analytical thinking  - very generic answers and not much structure to them. Also unclear as to why he would be seeking to switch careers at this point. 
Interview notes:
•	Based in Singapore
•	Consulting background, worked at McKinsey across multiple geographies in Asia, US, Europe. Rotated and gained exposure to a broad range of industries and functions: Started in finance and performance management, then moved to Marketing &amp; Sales. Has experience in B2B/ B2C and supply chain. Focus on technology and implementation. 
•	Looking to move to the industry – Attracted to Walmart by size of business, pace of change and disruption in retail and opportunity to grow
•	Could not get a clear reading as to why he would be looking for a career change, tone seemed mostly exploratory
•	His wife is Chinese, may be part of why he is looking to relocate to mainland China?
•	Asked him a case on how to increase DI penetration. Answers were very vague and generally lacked structure. Mentioned price/ cost and quality but missed surety of supply and assortment. Didn’t seem to have a clear grasp of sourcing and procurement. Most of the things he mentioned were either not relevant to the problem or didn’t show much depth of insight when asked probing questions. 
</t>
  </si>
  <si>
    <t>Nikhil</t>
  </si>
  <si>
    <t>Menon</t>
  </si>
  <si>
    <t>menon.nikhil.08@gmail.com</t>
  </si>
  <si>
    <t>https://www.mckinsey.com/alumni/candidate/413424</t>
  </si>
  <si>
    <t>Very bad in top down communication. Came into current job just 9 months back. No clear reasoning / intent shared on why wants this job. Was with Myntra (Walmart) till 1 year ago. Lacks comprehenssion - answered to a different question, than what was asked, 3 times</t>
  </si>
  <si>
    <t>Asad Abdul</t>
  </si>
  <si>
    <t>Asad_Abdul_Muhammad@mckinsey.com</t>
  </si>
  <si>
    <t>+92-341-2786917</t>
  </si>
  <si>
    <t>Yes to US - should ask about HK/SZ</t>
  </si>
  <si>
    <t>We were considering to risk it on January and he has 10 more months of Eming so it's pretty derisked now. He wants to stay in Karachi if possible. Seems a sweet spot of maturiy, humility, and willingness to learn</t>
  </si>
  <si>
    <t xml:space="preserve">Overall: Great first personal impression, good presence and communication paired with calm and humble demeanor. Listened very attentively throughout the entire call, picking up on details and verbal cues. Asked meaningful questions showing personal drive and strong interest in Walmart and the position offered. Think he would be an excellent fit for our team – Recommend move to final round. 
Additional notes: 
•	Has been with McKinsey for 5 years, recently designated as an Engagement Manager
•	Worked across a broad variety of topics, both within and outside of Pakistan across the Middle East
•	Prior to joining McKinsey was at a chemical company working in business development
•	MBA and Business background
•	Feels like he is ready to make a transition outside of generalist consulting to take on an industry role to develop specific expertise, wants to have more E2E ownerships/ responsibility and see the long-term impact of decisions and execution
•	Interested in this role as a very good transition opportunity from Consulting into the industry, still within a familiar internal consulting-type of role
•	What drives him to this role? Scale of Walmart, global presence, network – something that is missing from his experience in Pakistan
•	Location preference: Shenzhen or US/ North America, but flexible in terms of location
</t>
  </si>
  <si>
    <t>Strong Yes, Good structure, communication and presence, Open to Shenzhen, Suggesting a conversation with Sumeet to comvince further, MIguel should also try to screen in parallel</t>
  </si>
  <si>
    <t>Solid background. First kid to be born in February. Prefers US but would be H1B so maybe better to try SZ/HK. Should talk with Sumeet and then we figure it out</t>
  </si>
  <si>
    <t xml:space="preserve">Sumeet: 
1. Good grasp, experience, &amp; communication
2. Super interested in the role
3. Better fit for SMII - Just made EM &amp; overall has only 5-6 years experience (including Mck)
4. Would like to do a case study to test PS skills </t>
  </si>
  <si>
    <t>Regional conflict</t>
  </si>
  <si>
    <t>Vineet</t>
  </si>
  <si>
    <t>Singh</t>
  </si>
  <si>
    <t>vineet.raina81@gmail.com</t>
  </si>
  <si>
    <t>+971564001651</t>
  </si>
  <si>
    <t>Started in 2019, Dubai</t>
  </si>
  <si>
    <t>Exploring remote work</t>
  </si>
  <si>
    <t>1. Good fit background
2. Good fit demeaner
3. Strong case for move at this stage</t>
  </si>
  <si>
    <t xml:space="preserve">Family of 4, in Dubai. Relocation is easy as kids are small and wife is not working. He wants US long term but can do HK right now. Good questions, "street smart" insights, very excited about the team and being encouraged to find more value in his own way while working with high performer non-assholes, sumeet bought him completely, driven to impact_x000D_
</t>
  </si>
  <si>
    <t>Richeek: Spoke to Vineet after Sumeet, Read - Yes for next round</t>
  </si>
  <si>
    <t>Check again</t>
  </si>
  <si>
    <t>Mahendru</t>
  </si>
  <si>
    <t>mahendru.amit@gmail.com</t>
  </si>
  <si>
    <t>+91-9891094323</t>
  </si>
  <si>
    <t>1. Good mix of background
2. Exposure in mostly non Industrials domain but can be moulded to Industrials and sourcing in some time
3. Relatively junior but promising for runway to Director in 2 - 3 years</t>
  </si>
  <si>
    <t>Murtaza</t>
  </si>
  <si>
    <t>Jafri</t>
  </si>
  <si>
    <t>Murtaza.ali.jafri@gmail.com</t>
  </si>
  <si>
    <t>+92 300 2532906</t>
  </si>
  <si>
    <t>https://www.mckinsey.com/alumni/candidate/500139498</t>
  </si>
  <si>
    <t>1. Eager, Good communication, Mix of experience. Comes across as someone with deep understanding
2. Needs more datapoints for clear view on candidature (net connection during my call wasn't very good)
3. Looking at CV, is more like a SM level candidate because not much tenure at firm and because only a portion of his experience matches functional depth</t>
  </si>
  <si>
    <t>Abhinav</t>
  </si>
  <si>
    <t>Bhalla</t>
  </si>
  <si>
    <t>abhinavbhalla06@gmail.com</t>
  </si>
  <si>
    <t>https://www.mckinsey.com/alumni/candidate/7588154</t>
  </si>
  <si>
    <t>Abhiroop</t>
  </si>
  <si>
    <t>Medhekar</t>
  </si>
  <si>
    <t>abhiroop@gmail.com</t>
  </si>
  <si>
    <t>+91 96191 25357</t>
  </si>
  <si>
    <t>https://www.mckinsey.com/alumni/candidate/21204</t>
  </si>
  <si>
    <t>Abhishek</t>
  </si>
  <si>
    <t>Aggrawal</t>
  </si>
  <si>
    <t>abhishek057@gmail.com</t>
  </si>
  <si>
    <t>https://www.mckinsey.com/alumni/candidate/433054</t>
  </si>
  <si>
    <t>Aman</t>
  </si>
  <si>
    <t>Sethi</t>
  </si>
  <si>
    <t>aman.sethi@gmail.com</t>
  </si>
  <si>
    <t>+65 9188 8043</t>
  </si>
  <si>
    <t>https://www.mckinsey.com/alumni/candidate/41634</t>
  </si>
  <si>
    <t>Andrew</t>
  </si>
  <si>
    <t>Tang</t>
  </si>
  <si>
    <t>andrew.zl.tang@gmail.com</t>
  </si>
  <si>
    <t>+852 9442 1046</t>
  </si>
  <si>
    <t>https://www.mckinsey.com/alumni/candidate/500049160</t>
  </si>
  <si>
    <t>Aparna</t>
  </si>
  <si>
    <t>Kaushal</t>
  </si>
  <si>
    <t>aparnakaushal01@gmail.com</t>
  </si>
  <si>
    <t>+91 98196 72932</t>
  </si>
  <si>
    <t>https://www.mckinsey.com/alumni/candidate/500144797</t>
  </si>
  <si>
    <t>Arjun</t>
  </si>
  <si>
    <t>Gobinath</t>
  </si>
  <si>
    <t>arjun.gobinath@gmail.com</t>
  </si>
  <si>
    <t>+91 99307 24912</t>
  </si>
  <si>
    <t>https://www.mckinsey.com/alumni/candidate/34934</t>
  </si>
  <si>
    <t>Arno</t>
  </si>
  <si>
    <t>Alarcon</t>
  </si>
  <si>
    <t>arno.alarcon@gmail.com</t>
  </si>
  <si>
    <t>https://www.mckinsey.com/alumni/candidate/400914</t>
  </si>
  <si>
    <t>Hai-Linh</t>
  </si>
  <si>
    <t>Nguyen</t>
  </si>
  <si>
    <t>bienthieng@gmail.com</t>
  </si>
  <si>
    <t>https://www.mckinsey.com/alumni/candidate/419514</t>
  </si>
  <si>
    <t xml:space="preserve">Gurmukh </t>
  </si>
  <si>
    <t>Chhabra</t>
  </si>
  <si>
    <t>chhabra.gurmukh@gmail.com</t>
  </si>
  <si>
    <t>+65 8589 5971</t>
  </si>
  <si>
    <t>https://www.mckinsey.com/alumni/candidate/413324</t>
  </si>
  <si>
    <t xml:space="preserve">Jyoti Prakash </t>
  </si>
  <si>
    <t>Datta</t>
  </si>
  <si>
    <t>datta.jyoti@gmail.com</t>
  </si>
  <si>
    <t>https://www.mckinsey.com/alumni/candidate/70894</t>
  </si>
  <si>
    <t>Dhavanthi</t>
  </si>
  <si>
    <t>Hariharan</t>
  </si>
  <si>
    <t>dhavanthihariharan@gmail.com</t>
  </si>
  <si>
    <t>+61 413 301 607</t>
  </si>
  <si>
    <t>https://www.mckinsey.com/alumni/candidate/500112853</t>
  </si>
  <si>
    <t>Fern</t>
  </si>
  <si>
    <t>Sharma</t>
  </si>
  <si>
    <t>fern.sharma@gmail.com</t>
  </si>
  <si>
    <t>https://www.mckinsey.com/alumni/candidate/500129292</t>
  </si>
  <si>
    <t>Gaurav</t>
  </si>
  <si>
    <t>gauravk.agrawal@gmail.com</t>
  </si>
  <si>
    <t>https://www.mckinsey.com/alumni/candidate/53414</t>
  </si>
  <si>
    <t>Guruprasad</t>
  </si>
  <si>
    <t>Sankaranarayan</t>
  </si>
  <si>
    <t>guruprasad.sankar@gmail.com</t>
  </si>
  <si>
    <t>+91 96194 78355</t>
  </si>
  <si>
    <t>https://www.mckinsey.com/alumni/candidate/7669724</t>
  </si>
  <si>
    <t>Hammad</t>
  </si>
  <si>
    <t>Rahman</t>
  </si>
  <si>
    <t>hammad.rahman@gmail.com</t>
  </si>
  <si>
    <t>+971 50 425 0679</t>
  </si>
  <si>
    <t>https://www.mckinsey.com/alumni/candidate/90314</t>
  </si>
  <si>
    <t>Harsh</t>
  </si>
  <si>
    <t>Goyal</t>
  </si>
  <si>
    <t>harsh_goyal@yahoo.com</t>
  </si>
  <si>
    <t>+91 95828 93201</t>
  </si>
  <si>
    <t>https://www.mckinsey.com/alumni/candidate/6264</t>
  </si>
  <si>
    <t>Ian</t>
  </si>
  <si>
    <t>St-Maurice</t>
  </si>
  <si>
    <t>ian.stmaurice@gmail.com</t>
  </si>
  <si>
    <t>+65 9235 5979</t>
  </si>
  <si>
    <t>https://www.mckinsey.com/alumni/candidate/396834</t>
  </si>
  <si>
    <t>Jin</t>
  </si>
  <si>
    <t>Tao</t>
  </si>
  <si>
    <t>Jinctao2010@gmail.com</t>
  </si>
  <si>
    <t>https://www.mckinsey.com/alumni/candidate/500097217</t>
  </si>
  <si>
    <t>JOshep</t>
  </si>
  <si>
    <t>LIm</t>
  </si>
  <si>
    <t>joseph.albert.lim@gmail.com</t>
  </si>
  <si>
    <t>https://www.mckinsey.com/alumni/candidate/500118896</t>
  </si>
  <si>
    <t>Junko</t>
  </si>
  <si>
    <t>Tashiro</t>
  </si>
  <si>
    <t>junko.tashiro@gmail.com</t>
  </si>
  <si>
    <t>https://www.mckinsey.com/alumni/candidate/88724</t>
  </si>
  <si>
    <t>Kamille</t>
  </si>
  <si>
    <t>Palanca</t>
  </si>
  <si>
    <t>kamilleocruz@gmail.com</t>
  </si>
  <si>
    <t>+63 917 871 5293</t>
  </si>
  <si>
    <t>https://www.mckinsey.com/alumni/candidate/7591504</t>
  </si>
  <si>
    <t>Singal</t>
  </si>
  <si>
    <t>kanika2501@gmail.com</t>
  </si>
  <si>
    <t>+91 98117 85008</t>
  </si>
  <si>
    <t>https://www.mckinsey.com/alumni/candidate/500058958</t>
  </si>
  <si>
    <t>Karan</t>
  </si>
  <si>
    <t>Malhotra</t>
  </si>
  <si>
    <t>karanmalhotra30@gmail.com</t>
  </si>
  <si>
    <t>https://www.mckinsey.com/alumni/candidate/500055292</t>
  </si>
  <si>
    <t xml:space="preserve">Kathleen </t>
  </si>
  <si>
    <t>Wong</t>
  </si>
  <si>
    <t>kathleenc.wong@gmail.com</t>
  </si>
  <si>
    <t>https://www.mckinsey.com/alumni/candidate/500173431</t>
  </si>
  <si>
    <t>KUldeep  Kumar</t>
  </si>
  <si>
    <t>Upadhaya</t>
  </si>
  <si>
    <t>kdlakehomes@gmail.com</t>
  </si>
  <si>
    <t>https://www.mckinsey.com/alumni/candidate/500134700</t>
  </si>
  <si>
    <t xml:space="preserve">Kemal </t>
  </si>
  <si>
    <t>Nasser</t>
  </si>
  <si>
    <t>kemal.nasser@yahoo.com</t>
  </si>
  <si>
    <t>+62 812 8738 5089</t>
  </si>
  <si>
    <t>https://www.mckinsey.com/alumni/candidate/500179393</t>
  </si>
  <si>
    <t>Lance</t>
  </si>
  <si>
    <t>Li</t>
  </si>
  <si>
    <t>lanceli2015ca@outlook.com</t>
  </si>
  <si>
    <t xml:space="preserve">+86 138 1787 8576 </t>
  </si>
  <si>
    <t>https://www.mckinsey.com/alumni/candidate/500058406</t>
  </si>
  <si>
    <t>Tingting</t>
  </si>
  <si>
    <t>Xu</t>
  </si>
  <si>
    <t>cloisonne@gmail.com</t>
  </si>
  <si>
    <t>https://www.mckinsey.com/alumni/candidate/137044</t>
  </si>
  <si>
    <t>Manuj</t>
  </si>
  <si>
    <t>manuj.jain@gmail.com</t>
  </si>
  <si>
    <t>https://www.mckinsey.com/alumni/candidate/500170263</t>
  </si>
  <si>
    <t>Marie Sophie</t>
  </si>
  <si>
    <t>Jaroni</t>
  </si>
  <si>
    <t>marie.jaroni@gmail.com</t>
  </si>
  <si>
    <t>+49 1590 1463510</t>
  </si>
  <si>
    <t>https://www.mckinsey.com/alumni/candidate/7619174</t>
  </si>
  <si>
    <t>Milan</t>
  </si>
  <si>
    <t>Patel</t>
  </si>
  <si>
    <t>milanpatel92@gmail.com</t>
  </si>
  <si>
    <t>https://www.mckinsey.com/alumni/candidate/500105196</t>
  </si>
  <si>
    <t>Leo</t>
  </si>
  <si>
    <t>Kim</t>
  </si>
  <si>
    <t>mleokim@gmail.com</t>
  </si>
  <si>
    <t>https://www.mckinsey.com/alumni/candidate/417204</t>
  </si>
  <si>
    <t>Michael Xu</t>
  </si>
  <si>
    <t>Liu</t>
  </si>
  <si>
    <t>monsoon.liu@qq.com</t>
  </si>
  <si>
    <t>https://www.mckinsey.com/alumni/candidate/80594</t>
  </si>
  <si>
    <t>Nancy</t>
  </si>
  <si>
    <t>Chang</t>
  </si>
  <si>
    <t>nancy911chang@gmail.com</t>
  </si>
  <si>
    <t>https://www.mckinsey.com/alumni/candidate/51464</t>
  </si>
  <si>
    <t>Neeraj</t>
  </si>
  <si>
    <t>Gupta</t>
  </si>
  <si>
    <t>neeraj_gupta99@yahoo.com</t>
  </si>
  <si>
    <t>https://www.mckinsey.com/alumni/candidate/149994</t>
  </si>
  <si>
    <t>nikks.dce@gmail.com</t>
  </si>
  <si>
    <t>+91 70323 52481</t>
  </si>
  <si>
    <t>https://www.mckinsey.com/alumni/candidate/500055147</t>
  </si>
  <si>
    <t>Parag</t>
  </si>
  <si>
    <t>Gandhi</t>
  </si>
  <si>
    <t>paraggandhi14@gmail.com</t>
  </si>
  <si>
    <t>+971 50 900 2675</t>
  </si>
  <si>
    <t>https://www.mckinsey.com/alumni/candidate/7599064</t>
  </si>
  <si>
    <t>Prachi</t>
  </si>
  <si>
    <t>Tiwari</t>
  </si>
  <si>
    <t>prachitiwari963@gmail.com</t>
  </si>
  <si>
    <t>+91 11 7421 013</t>
  </si>
  <si>
    <t>https://www.mckinsey.com/alumni/candidate/500081047</t>
  </si>
  <si>
    <t>Prashant</t>
  </si>
  <si>
    <t>prashant.kumar.mck@gmail.com</t>
  </si>
  <si>
    <t>+1 917 324 9542</t>
  </si>
  <si>
    <t>https://www.mckinsey.com/alumni/candidate/500123604</t>
  </si>
  <si>
    <t>Priyadarshini</t>
  </si>
  <si>
    <t>Routh</t>
  </si>
  <si>
    <t>priyadarshini.routh@gmail.com</t>
  </si>
  <si>
    <t>https://www.mckinsey.com/alumni/candidate/118014</t>
  </si>
  <si>
    <t>Suyeon</t>
  </si>
  <si>
    <t>Yoo</t>
  </si>
  <si>
    <t>rachelyoo1024@gmail.com</t>
  </si>
  <si>
    <t>https://www.mckinsey.com/alumni/candidate/7594774</t>
  </si>
  <si>
    <t>Rahul</t>
  </si>
  <si>
    <t>Shinde</t>
  </si>
  <si>
    <t>rahulshinde@gmail.com</t>
  </si>
  <si>
    <t>https://www.mckinsey.com/alumni/candidate/133074</t>
  </si>
  <si>
    <t>Ramit</t>
  </si>
  <si>
    <t>Bhatnagar</t>
  </si>
  <si>
    <t>ramit.bhatnagar@gmail.com</t>
  </si>
  <si>
    <t xml:space="preserve">+91 99999 00001 </t>
  </si>
  <si>
    <t>https://www.mckinsey.com/alumni/candidate/3314</t>
  </si>
  <si>
    <t>Rangga</t>
  </si>
  <si>
    <t>Maharga</t>
  </si>
  <si>
    <t>rangga.maharga@gmail.com</t>
  </si>
  <si>
    <t>+852 9047 8505</t>
  </si>
  <si>
    <t>https://www.mckinsey.com/alumni/candidate/7684614</t>
  </si>
  <si>
    <t>Ravneet</t>
  </si>
  <si>
    <t>Uberoi</t>
  </si>
  <si>
    <t>ravneet.uberoi@gmail.com</t>
  </si>
  <si>
    <t>https://www.mckinsey.com/alumni/candidate/7674124</t>
  </si>
  <si>
    <t>Ritoban</t>
  </si>
  <si>
    <t>Banerjee</t>
  </si>
  <si>
    <t>ritoban.banerjee@gmail.com</t>
  </si>
  <si>
    <t>https://www.mckinsey.com/alumni/candidate/86094</t>
  </si>
  <si>
    <t>Roawin</t>
  </si>
  <si>
    <t>Luo</t>
  </si>
  <si>
    <t>rl.law09@gmail.com</t>
  </si>
  <si>
    <t>https://www.mckinsey.com/alumni/candidate/500121403</t>
  </si>
  <si>
    <t>Sandeep</t>
  </si>
  <si>
    <t>Kulkarni</t>
  </si>
  <si>
    <t>sandeep_t_kulkarni@yahoo.com</t>
  </si>
  <si>
    <t>https://www.mckinsey.com/alumni/candidate/342774</t>
  </si>
  <si>
    <t>Satyajit</t>
  </si>
  <si>
    <t>Ghosh Dastidar</t>
  </si>
  <si>
    <t>satyajitgd@gmail.com</t>
  </si>
  <si>
    <t>https://www.mckinsey.com/alumni/candidate/500184728</t>
  </si>
  <si>
    <t>Hirokazu</t>
  </si>
  <si>
    <t>Seki</t>
  </si>
  <si>
    <t>seki.hirokazu@gmail.com</t>
  </si>
  <si>
    <t>+81 80 5643 7441</t>
  </si>
  <si>
    <t>https://www.mckinsey.com/alumni/candidate/247054</t>
  </si>
  <si>
    <t>Sharad</t>
  </si>
  <si>
    <t>sharad_gupta90@yahoo.com</t>
  </si>
  <si>
    <t>+65 9862 6347</t>
  </si>
  <si>
    <t>https://www.mckinsey.com/alumni/candidate/106454</t>
  </si>
  <si>
    <t>Feng Li</t>
  </si>
  <si>
    <t>Sheng</t>
  </si>
  <si>
    <t>shengfengli@yahoo.co.uk</t>
  </si>
  <si>
    <t>+86 139 1660 8776 G76</t>
  </si>
  <si>
    <t>https://www.mckinsey.com/alumni/candidate/370014</t>
  </si>
  <si>
    <t>Daniel</t>
  </si>
  <si>
    <t>Shen</t>
  </si>
  <si>
    <t>Shenxf@yahoo.com</t>
  </si>
  <si>
    <t>https://www.mckinsey.com/alumni/candidate/90774</t>
  </si>
  <si>
    <t>Shirley</t>
  </si>
  <si>
    <t>Tran</t>
  </si>
  <si>
    <t>shirley.tran.au@gmail.com</t>
  </si>
  <si>
    <t>+44 7840 217847</t>
  </si>
  <si>
    <t>https://www.mckinsey.com/alumni/candidate/500025024</t>
  </si>
  <si>
    <t xml:space="preserve">Shreya </t>
  </si>
  <si>
    <t>Bahri</t>
  </si>
  <si>
    <t>shreyabahri@gmail.com</t>
  </si>
  <si>
    <t>https://www.mckinsey.com/alumni/candidate/500109361</t>
  </si>
  <si>
    <t>Shuyin</t>
  </si>
  <si>
    <t>Sim</t>
  </si>
  <si>
    <t>shuyin@alum.mit.edu</t>
  </si>
  <si>
    <t xml:space="preserve">+65 9230 3067 </t>
  </si>
  <si>
    <t>https://www.mckinsey.com/alumni/candidate/399834</t>
  </si>
  <si>
    <t>Simranjeet</t>
  </si>
  <si>
    <t>simmygarg@gmail.com</t>
  </si>
  <si>
    <t>+91 97114 75547</t>
  </si>
  <si>
    <t>https://www.mckinsey.com/alumni/candidate/500156142</t>
  </si>
  <si>
    <t>Yingzi</t>
  </si>
  <si>
    <t>Tian</t>
  </si>
  <si>
    <t>skyrockettian@gmail.com</t>
  </si>
  <si>
    <t>https://www.mckinsey.com/alumni/candidate/500130498</t>
  </si>
  <si>
    <t>Sushant</t>
  </si>
  <si>
    <t>sugupta@mba2019.hbs.edu</t>
  </si>
  <si>
    <t>https://www.mckinsey.com/alumni/candidate/7603674</t>
  </si>
  <si>
    <t>Sumin</t>
  </si>
  <si>
    <t>Koo</t>
  </si>
  <si>
    <t>sumin.koo@gmail.com</t>
  </si>
  <si>
    <t>https://www.mckinsey.com/alumni/candidate/17534</t>
  </si>
  <si>
    <t>Susan</t>
  </si>
  <si>
    <t>Ahn</t>
  </si>
  <si>
    <t>susanjihae@gmail.com</t>
  </si>
  <si>
    <t>https://www.mckinsey.com/alumni/candidate/500144119</t>
  </si>
  <si>
    <t>Taegyun</t>
  </si>
  <si>
    <t>Moon</t>
  </si>
  <si>
    <t>taegyun.moon@gmail.com</t>
  </si>
  <si>
    <t>+82 10 3644 3026</t>
  </si>
  <si>
    <t>https://www.mckinsey.com/alumni/candidate/8764</t>
  </si>
  <si>
    <t>Taejin</t>
  </si>
  <si>
    <t>Kang</t>
  </si>
  <si>
    <t>taejinkang@daum.net</t>
  </si>
  <si>
    <t>+82 10 3337 3123</t>
  </si>
  <si>
    <t>https://www.mckinsey.com/alumni/candidate/379824</t>
  </si>
  <si>
    <t>Thea</t>
  </si>
  <si>
    <t>Tan</t>
  </si>
  <si>
    <t>theatankh@gmail.com</t>
  </si>
  <si>
    <t>https://www.mckinsey.com/alumni/candidate/500129827</t>
  </si>
  <si>
    <t>Tiffany</t>
  </si>
  <si>
    <t>Lin</t>
  </si>
  <si>
    <t>tifflin194@gmail.com</t>
  </si>
  <si>
    <t>+1 650 213 6549</t>
  </si>
  <si>
    <t>https://www.mckinsey.com/alumni/candidate/30124</t>
  </si>
  <si>
    <t>Toan</t>
  </si>
  <si>
    <t>Tran-Phu</t>
  </si>
  <si>
    <t>toan@alum.mit.edu</t>
  </si>
  <si>
    <t>+66 92 298 5195</t>
  </si>
  <si>
    <t>https://www.mckinsey.com/alumni/candidate/17344</t>
  </si>
  <si>
    <t>Roelofse</t>
  </si>
  <si>
    <t>troelofse.mba2020@london.edu</t>
  </si>
  <si>
    <t>https://www.mckinsey.com/alumni/candidate/500097904</t>
  </si>
  <si>
    <t xml:space="preserve">Vivek </t>
  </si>
  <si>
    <t>viveksinghiet@gmail.com</t>
  </si>
  <si>
    <t>https://www.mckinsey.com/alumni/candidate/7600714</t>
  </si>
  <si>
    <t>Shivesh</t>
  </si>
  <si>
    <t>Verma</t>
  </si>
  <si>
    <t>vshivesh@gmail.com</t>
  </si>
  <si>
    <t>+91 91678 85572</t>
  </si>
  <si>
    <t>https://www.mckinsey.com/alumni/candidate/500102524</t>
  </si>
  <si>
    <t>Wendy</t>
  </si>
  <si>
    <t>wendywki@gmail.com</t>
  </si>
  <si>
    <t>https://www.mckinsey.com/alumni/candidate/92594</t>
  </si>
  <si>
    <t>Willie</t>
  </si>
  <si>
    <t>Tin</t>
  </si>
  <si>
    <t>willietin@gmail.com</t>
  </si>
  <si>
    <t>+852 9457 0037</t>
  </si>
  <si>
    <t>https://www.mckinsey.com/alumni/candidate/47494</t>
  </si>
  <si>
    <t>Winston</t>
  </si>
  <si>
    <t>winston.wang1010@gmail.com</t>
  </si>
  <si>
    <t xml:space="preserve">+1 415 260 0845 </t>
  </si>
  <si>
    <t>https://www.mckinsey.com/alumni/candidate/500113957</t>
  </si>
  <si>
    <t>Tibor</t>
  </si>
  <si>
    <t>Pakozdi</t>
  </si>
  <si>
    <t>Tibor_Pakozdi@hms.harvard.edu</t>
  </si>
  <si>
    <t>Was under the impression from our JD that this was a talent managment role. We decided to not continue down the path</t>
  </si>
  <si>
    <t>Share with officers</t>
  </si>
  <si>
    <t>Meagan</t>
  </si>
  <si>
    <t>Dietz</t>
  </si>
  <si>
    <t>meagan.dietz@gmail.com</t>
  </si>
  <si>
    <t>Looking for a higher role, too tenured. Very knowledgeable on China retail, foreign brands into China</t>
  </si>
  <si>
    <t>Mohsan</t>
  </si>
  <si>
    <t>Elahi</t>
  </si>
  <si>
    <t>mohsan@elahi.pk</t>
  </si>
  <si>
    <t>https://www.mckinsey.com/alumni/candidate/500105315</t>
  </si>
  <si>
    <t>No, referred a friend</t>
  </si>
  <si>
    <t>Final Round</t>
  </si>
  <si>
    <t>Su</t>
  </si>
  <si>
    <t>suliu0@gmail.com</t>
  </si>
  <si>
    <t>+1 404 630 9767</t>
  </si>
  <si>
    <t>https://www.mckinsey.com/alumni/candidate/500143058</t>
  </si>
  <si>
    <t>Started in 2019 Personal acquaintance. Interested.</t>
  </si>
  <si>
    <t>David. Was EM here, know him and he's strong. Good personality fit to walmart strategy. Sadly he has 300k in vesting stock in June, so can't move until then. 11/2020 Interested</t>
  </si>
  <si>
    <t>Too much stock unvested, we couldn't match it.</t>
  </si>
  <si>
    <t>Saad</t>
  </si>
  <si>
    <t>Khawaja</t>
  </si>
  <si>
    <t>saadkh@gmail.com</t>
  </si>
  <si>
    <t>+971 50 5545108</t>
  </si>
  <si>
    <t>https://www.mckinsey.com/alumni/candidate/39334</t>
  </si>
  <si>
    <t>Yes to US/HK. JD for network</t>
  </si>
  <si>
    <t>Heavy Fin services &amp; Risk background. Has transformation experience. Used to have a family business for textile to serve customers like Nike, Adidas etc., in US/ Europe but otherwise not so much industrials background. Demeaner wise good fit. 
More interested in US (not particularly baised but in 2-3 year time frame want to be in US)</t>
  </si>
  <si>
    <t>Junaid</t>
  </si>
  <si>
    <t>Mohiuddin</t>
  </si>
  <si>
    <t>jgmohiuddin@gmail.com</t>
  </si>
  <si>
    <t>https://www.mckinsey.com/alumni/candidate/95814</t>
  </si>
  <si>
    <t>Too tenured, looking for Sr2/VP. Sillicon Valley, interested in startups</t>
  </si>
  <si>
    <t>No</t>
  </si>
  <si>
    <t>Valerie</t>
  </si>
  <si>
    <t>valtan.yn@gmail.com</t>
  </si>
  <si>
    <t>https://www.mckinsey.com/alumni/candidate/500074984</t>
  </si>
  <si>
    <t>New role</t>
  </si>
  <si>
    <t>Raman</t>
  </si>
  <si>
    <t>Baijal</t>
  </si>
  <si>
    <t>ramanbaijal@gmail.com</t>
  </si>
  <si>
    <t>+91 9845148642</t>
  </si>
  <si>
    <t>https://www.mckinsey.com/alumni/candidate/500059058</t>
  </si>
  <si>
    <t>Yes to SZ/HK. Will share with network</t>
  </si>
  <si>
    <t>1. Wants to hold on the process for now till COVID-19 situation is clear
2. Seems like good candidate from communication skills, &amp; structure pov
3. Most of his experience is on market side e.g., go to market instead of supply chain side. But given that he has had lot of experience, has potential to quickly learn upstream. Also can bring in cross learnings &amp; different skill mix into the team</t>
  </si>
  <si>
    <t>US Final Round backup</t>
  </si>
  <si>
    <t>Hold for future</t>
  </si>
  <si>
    <t>Chee Hoong</t>
  </si>
  <si>
    <t>Chung</t>
  </si>
  <si>
    <t>chungcheehoong@yahoo.co.uk</t>
  </si>
  <si>
    <t>https://www.mckinsey.com/alumni/candidate/118534</t>
  </si>
  <si>
    <t>Yes, based in Malaysia/AU</t>
  </si>
  <si>
    <t>Miguel, Email</t>
  </si>
  <si>
    <t>Strategy background as McK EM, though 10 years since he left McK. Done mostly operational/ Middle management roles since then. Interested in BTV location, but may require attractive package to move with family. Also considering other job offers in Australia.</t>
  </si>
  <si>
    <t xml:space="preserve">Very long tenure. Malay. Interested in agribusiness. Solid experience in digital transformation, helping people embrace change. Lifelong learner, more hands on than long term strategy, considerably less gravitas than he should have at his tenure. Great demeanor, humble and good listener, would win trust quickly and fit with our team's culture._x000D_
Daughter has medical issue that won't be helped by staying in Indonesia, hence planning to move to AUS. Would accept paycut and lateral move to be in the States so daughter can be in a better environment._x000D_
</t>
  </si>
  <si>
    <t>Yes</t>
  </si>
  <si>
    <t>Eugene</t>
  </si>
  <si>
    <t>Romakin</t>
  </si>
  <si>
    <t xml:space="preserve">eugene.romakine@gmail.com </t>
  </si>
  <si>
    <t xml:space="preserve"> (602) 820-4577</t>
  </si>
  <si>
    <t>Strong PSM, analytical capability, no strategy exp, coachable and willing, good back up option</t>
  </si>
  <si>
    <t>Good analytical, good synthesis, good PSM experience in improving sourcing processes and interacting with sourcing users, good Amazon procurement experience. Customer centric attitude. Would be a great improver/executer, excelled at problem solving live in how to approach and structure complex problems. Lacking in polish but really solid candidate.</t>
  </si>
  <si>
    <t>Laura</t>
  </si>
  <si>
    <t>Stonikas</t>
  </si>
  <si>
    <t>stonikas@gmail.com</t>
  </si>
  <si>
    <t>https://www.mckinsey.com/alumni/candidate/500157424</t>
  </si>
  <si>
    <t>Interested in Asia and US (passing to Sumeet)</t>
  </si>
  <si>
    <r>
      <t xml:space="preserve">1. Good communicator
2. Most likely has consulting toolkit in place
3. Keen to move to HK and Keen to learn new stuff
</t>
    </r>
    <r>
      <rPr>
        <sz val="11"/>
        <color rgb="FFFF0000"/>
        <rFont val="Calibri"/>
        <family val="2"/>
        <scheme val="minor"/>
      </rPr>
      <t>4. Almost no experience in SCM and very limited strategy experience. Will for sure have a much longer learning curve</t>
    </r>
    <r>
      <rPr>
        <sz val="11"/>
        <color theme="1"/>
        <rFont val="Calibri"/>
        <family val="2"/>
        <scheme val="minor"/>
      </rPr>
      <t xml:space="preserve">
Would like to test on case study incase we proceed to next round</t>
    </r>
  </si>
  <si>
    <t>Finance background, lots of implementation consulting, but no operational/sourcing/corp.strategy experience. Humble, open to relocating anywhere. Great attitude and verbal communication. Good quality change management experience in Finance. Might want to check with Karen Johnson in Chicago or do a 1-hour battery of just the structuring part of case studies to check. Motivation for move is hitting the ceiling in his current company and eagerness to learn new things</t>
  </si>
  <si>
    <t>Florin</t>
  </si>
  <si>
    <t>Pustea</t>
  </si>
  <si>
    <t>Pustea@gmail.com</t>
  </si>
  <si>
    <t>+852.8191.2099</t>
  </si>
  <si>
    <t>Not firm alum</t>
  </si>
  <si>
    <t>Through GS HR</t>
  </si>
  <si>
    <t>Yes to SZ</t>
  </si>
  <si>
    <t>1. Solid Data analytics / engineering background 2. Long small consulting background 3. Lot of supply chain and optimisation projects in past 4. Nice &amp; structured approach to sharing background 4. Insightful questions 5. Potentially good hands in dealing with leaders 6. Good fit for some of our horizontal leadersWatchout for: Real committment to this role (is currently out of job), hands off (given tenure/ seniority), Slide skills</t>
  </si>
  <si>
    <t>Very high level work for valuation, VCs, solving issues through technology and then selling those solutions. Fact and data based. Very good gravitas, mid is structured, smart, sharp, and quick to adapt. Wants to do implementation and see the real impact as he's always done consulting lately.
Not good at time management, makes Marc seem crisp (although the articulation is good and the content is engaging).Out of job since June 2019. Not concerned initially and took a relaxed approach but now he is running angsty. He sent an email asking for feedback to make it better in future interviews just 24h after our call.
Personal doubts on willingness to learn new things when he already mastered so many valuable ones, willingness to get a pay cut and demotion, willingness to roll his sleeves and do unglamorous support work (take notes, slides, etc.) with no direct reports to cover them.</t>
  </si>
  <si>
    <t>Miguel Not crispy, wants to be heard fully and be rightVery smart, very insightful in case-type structuring questions, but very bad at structuring, zooms in too quickly in specific avenue of answers, goes deep. Doesn't go into steps/process to solve an issue even when prompted specifically to do so, goes into how to solve, what to look for, very insightful though (population density, product quality)Mature, humble, can let the spotlight be on others. He rated himself 8-9/10 in excel and actually understood indirect and matrix functions so he's more humble than braggingHis ppt is not very advanced but not horrible either</t>
  </si>
  <si>
    <t>Sam</t>
  </si>
  <si>
    <t>Ng</t>
  </si>
  <si>
    <t>Sam.Ng@walmart.com</t>
  </si>
  <si>
    <t>+86 13823673387</t>
  </si>
  <si>
    <t xml:space="preserve">Although doesn’t come with MBB, was mostly good! He is reasonably structured in his thinking, good! in demeanor/ communication style, nice curiosity, &amp; ofcourse has good understanding of retail &amp; Walmart (from merchandizing side). I did a mini case as well with him (on CoO diversification), which he did fine. Would like to get your screening on him.
He know KQ as well. And believes that she vouches for him as good! talent.
</t>
  </si>
  <si>
    <t xml:space="preserve">Sharp, ambitious, commited. Good experience from SAM's China (opposite to SZ GS, entrepreneurial instead of entrenched corp). Worked with BAIN and wants to acquire the toolkit. Can't operate independently but coachable to a fair level in a year or so. Great customer and solution oriented mindset, understands stakeholder management in walmart. </t>
  </si>
  <si>
    <t>Next round ONLY if first round candidates decline</t>
  </si>
  <si>
    <t>andrew.kt.wong@gmail.com</t>
  </si>
  <si>
    <t xml:space="preserve">+1 312 532 1120 </t>
  </si>
  <si>
    <t>https://www.mckinsey.com/alumni/candidate/500098237</t>
  </si>
  <si>
    <t>Has the standard toolkit, interested in ShenZhen or BVL, recommedn talking to Sumeet before Miguel</t>
  </si>
  <si>
    <t>1. Should be sorted from toolkit and relevant experience POV. Reason/ Motivation for shift isn’t very clear
2. Communication okay although sounds bit reserved. Needs more engagement to form clear opinion</t>
  </si>
  <si>
    <t>Next round ONLY if we need for US or Pharma. Visa for US (?)</t>
  </si>
  <si>
    <t>Vishy</t>
  </si>
  <si>
    <t>Swarup</t>
  </si>
  <si>
    <t>vishwanathswarup@hotmail.com</t>
  </si>
  <si>
    <t>+91 96540 62111</t>
  </si>
  <si>
    <t>https://www.mckinsey.com/alumni/candidate/426564</t>
  </si>
  <si>
    <t>1. More interested in US than SZ. Just 3 months in current job (Dr Reddy). Not convincing on why needs change in 3 months (not disclosed the move to DRL on CV). 
2. Better fit for scope that is related to Pharma (will always look to create that bridge if hired in other areas)
3. Dir strategy (as IC) could be a step down for him but he is still keen to pursue the oppurtunity. Not very clear why</t>
  </si>
  <si>
    <t>Abhilash</t>
  </si>
  <si>
    <t>Bhat</t>
  </si>
  <si>
    <t>abhi15491@gmail.com</t>
  </si>
  <si>
    <t>https://www.mckinsey.com/alumni/candidate/500157159</t>
  </si>
  <si>
    <t>Corp strategy at Wework</t>
  </si>
  <si>
    <t>Yes, Interested to explore</t>
  </si>
  <si>
    <t>1. Left McK early but has good basics/ intrinsics. Also seems extremely willing to learn
2. BA / JA type candidate that we can take in as SM1/ SM2 and nurture for future (3 - 4 years runway)</t>
  </si>
  <si>
    <t>Waiting for Phone Screen</t>
  </si>
  <si>
    <t>Maybe</t>
  </si>
  <si>
    <t>Dileep</t>
  </si>
  <si>
    <t>Sathyanarayana</t>
  </si>
  <si>
    <t>dileep4@gmail.com</t>
  </si>
  <si>
    <t>https://www.mckinsey.com/alumni/candidate/500154639</t>
  </si>
  <si>
    <t>Yes to US</t>
  </si>
  <si>
    <t>No answer after 1 wk from intro e-mail</t>
  </si>
  <si>
    <t>Jung Min</t>
  </si>
  <si>
    <t>Jung_Min_Ahn@mckinsey.com</t>
  </si>
  <si>
    <t>Tons of experience, soft skills, high pay, old</t>
  </si>
  <si>
    <t>3- Tons of experience, soft skills, high pay</t>
  </si>
  <si>
    <t>Rebecca</t>
  </si>
  <si>
    <t>Mathew</t>
  </si>
  <si>
    <t>mathewrebecca@gmail.com</t>
  </si>
  <si>
    <t>https://www.mckinsey.com/alumni/candidate/500102157</t>
  </si>
  <si>
    <t>Analyst periscope etc. 6 years</t>
  </si>
  <si>
    <t>Maybe, Very delivery focused experience, has not used or been trained on the strategy toolkit (e.g., Lead I and II), does have retail expereince, pricing and assortment and can slot into serving the service models, articulate and energetic, would not like to move to SZ as she has just got her Green card and needs to stay in the US to keep it going</t>
  </si>
  <si>
    <t>On search. Started as assistant buyer in Metro Cash &amp; Carry when they opened operations in India. A lot of experience implementing product solutions and technology, developing and then selling and scaling up solutions. Extreme energy</t>
  </si>
  <si>
    <t>Raza</t>
  </si>
  <si>
    <t>Gill</t>
  </si>
  <si>
    <t>raza.gill@insead.edu</t>
  </si>
  <si>
    <t>Amazon, interested but too much money in vesting stock</t>
  </si>
  <si>
    <t>Wait 1 year for stocks</t>
  </si>
  <si>
    <t>Jimmy</t>
  </si>
  <si>
    <t>Zhang</t>
  </si>
  <si>
    <t>zhangj41@gmail.com</t>
  </si>
  <si>
    <t>https://www.mckinsey.com/alumni/candidate/500192058</t>
  </si>
  <si>
    <t>BA</t>
  </si>
  <si>
    <t>1. Has just left the firm at BA tenure. Not suitable for our team openings. Can be considered for other potisions that come up in future (although with Due diligence)</t>
  </si>
  <si>
    <t>Samantha</t>
  </si>
  <si>
    <t>Kaiser</t>
  </si>
  <si>
    <t xml:space="preserve"> kaisersn@yahoo.</t>
  </si>
  <si>
    <t xml:space="preserve">(214) 733-9266 </t>
  </si>
  <si>
    <t>Strong sourcing experience, passionate about sourcing, could be good for GS roles not necessaily Strategy</t>
  </si>
  <si>
    <t>Great attitude, humble, honest, team player, competitive in a good way. Wants out as JCPenny has surrendered and Walmart is still trying to win. Solid sourcing background, a bit of strategy mainly helping business units implement change. Would be an excellent program manager. Not enough strategy background to support an officer by herself but might grow into it</t>
  </si>
  <si>
    <t>Stop - good fit for product management roles</t>
  </si>
  <si>
    <t>Priyank</t>
  </si>
  <si>
    <t>priyank_agg@yahoo.com</t>
  </si>
  <si>
    <t>+91 97113 99040</t>
  </si>
  <si>
    <t>https://www.mckinsey.com/alumni/candidate/412674</t>
  </si>
  <si>
    <t>1. Entirely product managent &amp; program management experience. No SCM or industrials experience. No strategy experience
2. Good fit for product management roles</t>
  </si>
  <si>
    <t>Divya</t>
  </si>
  <si>
    <t>agarwal.div@gmail.com</t>
  </si>
  <si>
    <t>https://www.mckinsey.com/alumni/candidate/7673284</t>
  </si>
  <si>
    <t>Not open to relocation</t>
  </si>
  <si>
    <t>Akhilesh</t>
  </si>
  <si>
    <t>Chauhan</t>
  </si>
  <si>
    <t>akhilesh.chauhan8@gmail.com</t>
  </si>
  <si>
    <t>https://www.mckinsey.com/alumni/candidate/500133439</t>
  </si>
  <si>
    <t>No, new job</t>
  </si>
  <si>
    <t>Aihua</t>
  </si>
  <si>
    <t>Kralovic</t>
  </si>
  <si>
    <t>akralovic@gmail.com</t>
  </si>
  <si>
    <t>+1 312 216 7591</t>
  </si>
  <si>
    <t>https://www.mckinsey.com/alumni/candidate/500110497</t>
  </si>
  <si>
    <t>Not a fit</t>
  </si>
  <si>
    <t>Geoff</t>
  </si>
  <si>
    <t>Allen</t>
  </si>
  <si>
    <t>allengj7@gmail.com</t>
  </si>
  <si>
    <t>+1 703 944 4288</t>
  </si>
  <si>
    <t>https://www.mckinsey.com/alumni/candidate/7667614</t>
  </si>
  <si>
    <t>Only interested in Sr. Director</t>
  </si>
  <si>
    <t>Ashley</t>
  </si>
  <si>
    <t>Dreier</t>
  </si>
  <si>
    <t>ashley.dreier@gmail.com</t>
  </si>
  <si>
    <t xml:space="preserve">+1 216 408 5563 </t>
  </si>
  <si>
    <t>https://www.mckinsey.com/alumni/candidate/410664</t>
  </si>
  <si>
    <t>Gonce</t>
  </si>
  <si>
    <t>awgonce@gmail.com</t>
  </si>
  <si>
    <t>+1 984 202 6025</t>
  </si>
  <si>
    <t>https://www.mckinsey.com/alumni/candidate/136084</t>
  </si>
  <si>
    <t>Reach back next year</t>
  </si>
  <si>
    <t>Subbu</t>
  </si>
  <si>
    <t>Subbu Chidambaran</t>
  </si>
  <si>
    <t>bcsubbu@gmail.com</t>
  </si>
  <si>
    <t>https://www.mckinsey.com/alumni/candidate/436324</t>
  </si>
  <si>
    <t>No except in Singapore/Malaysia</t>
  </si>
  <si>
    <t>Brian</t>
  </si>
  <si>
    <t>Lo</t>
  </si>
  <si>
    <t>brian.lkc@gmail.com</t>
  </si>
  <si>
    <t>+85262927757</t>
  </si>
  <si>
    <t>https://www.mckinsey.com/alumni/candidate/7599004</t>
  </si>
  <si>
    <t>Chao</t>
  </si>
  <si>
    <t>c.chao.xu@gmail.com</t>
  </si>
  <si>
    <t>https://www.mckinsey.com/alumni/candidate/500139806</t>
  </si>
  <si>
    <t>In McK, previously in Accenture and KPMG</t>
  </si>
  <si>
    <t>No, only Bay Area</t>
  </si>
  <si>
    <t>Yen Pin</t>
  </si>
  <si>
    <t>Cheong</t>
  </si>
  <si>
    <t>cheongyp@gmail.com</t>
  </si>
  <si>
    <t>https://www.mckinsey.com/alumni/candidate/385564</t>
  </si>
  <si>
    <t>David</t>
  </si>
  <si>
    <t>Yin</t>
  </si>
  <si>
    <t>david.jy.yin@gmail.com</t>
  </si>
  <si>
    <t>https://www.mckinsey.com/alumni/candidate/500131919</t>
  </si>
  <si>
    <t>Founded Fintech company 8 months ago</t>
  </si>
  <si>
    <t>No and stay in touch after 1 year</t>
  </si>
  <si>
    <t>Chintan</t>
  </si>
  <si>
    <t>Dhebar</t>
  </si>
  <si>
    <t>dhebarc@gmail.com</t>
  </si>
  <si>
    <t>https://www.mckinsey.com/alumni/candidate/138884</t>
  </si>
  <si>
    <t>Amazon EA</t>
  </si>
  <si>
    <t>No except in Dubai</t>
  </si>
  <si>
    <t>Dongwook</t>
  </si>
  <si>
    <t>Choi</t>
  </si>
  <si>
    <t>dwchoi99@gmail.com</t>
  </si>
  <si>
    <t>+82 10 2391 2442</t>
  </si>
  <si>
    <t>https://www.mckinsey.com/alumni/candidate/204264</t>
  </si>
  <si>
    <t>Forward external link once we have it</t>
  </si>
  <si>
    <t>Emily</t>
  </si>
  <si>
    <t>Osborne</t>
  </si>
  <si>
    <t>emily.e.pickett@gmail.com</t>
  </si>
  <si>
    <t>https://www.mckinsey.com/alumni/candidate/500124923</t>
  </si>
  <si>
    <t>Investment, researcher, interesting but all life in Boston</t>
  </si>
  <si>
    <t>No, only Boston</t>
  </si>
  <si>
    <t>Felix</t>
  </si>
  <si>
    <t>Oliha</t>
  </si>
  <si>
    <t>felix.oliha@gmail.com</t>
  </si>
  <si>
    <t>+1 678 584 3215</t>
  </si>
  <si>
    <t>https://www.mckinsey.com/alumni/candidate/183274</t>
  </si>
  <si>
    <t>Six Sigma</t>
  </si>
  <si>
    <t>Not now</t>
  </si>
  <si>
    <t>Shah</t>
  </si>
  <si>
    <t>gauravshah4@gmail.com</t>
  </si>
  <si>
    <t>https://www.mckinsey.com/alumni/candidate/52984</t>
  </si>
  <si>
    <t>No in SZ/HK</t>
  </si>
  <si>
    <t>Tina</t>
  </si>
  <si>
    <t>hi.tinashah@gmail.com</t>
  </si>
  <si>
    <t>https://www.mckinsey.com/alumni/candidate/417804</t>
  </si>
  <si>
    <t>No except in LA</t>
  </si>
  <si>
    <t>Wai-Hoong</t>
  </si>
  <si>
    <t>Leung</t>
  </si>
  <si>
    <t>huaixiong@gmail.com</t>
  </si>
  <si>
    <t xml:space="preserve">+86 139 1833 6070 </t>
  </si>
  <si>
    <t>https://www.mckinsey.com/alumni/candidate/275194</t>
  </si>
  <si>
    <t>No except in Singapore</t>
  </si>
  <si>
    <t>Kate</t>
  </si>
  <si>
    <t>Augustine</t>
  </si>
  <si>
    <t>iamkateaugustine@gmail.com</t>
  </si>
  <si>
    <t>https://www.mckinsey.com/alumni/candidate/500070342</t>
  </si>
  <si>
    <t>No except in comm/PR</t>
  </si>
  <si>
    <t>Mombru</t>
  </si>
  <si>
    <t>ian.mombru@echo-box.com</t>
  </si>
  <si>
    <t xml:space="preserve">+852 6080 8771 </t>
  </si>
  <si>
    <t>https://www.mckinsey.com/alumni/candidate/349704</t>
  </si>
  <si>
    <t>Jack</t>
  </si>
  <si>
    <t>Baer</t>
  </si>
  <si>
    <t>jack.baer12@gmail.com</t>
  </si>
  <si>
    <t xml:space="preserve">+1 612 281 5188 </t>
  </si>
  <si>
    <t>https://www.mckinsey.com/alumni/candidate/500144238</t>
  </si>
  <si>
    <t>No except in Portland, OR</t>
  </si>
  <si>
    <t>Jared</t>
  </si>
  <si>
    <t>Leopold</t>
  </si>
  <si>
    <t>jaredpleopold@yahoo.com</t>
  </si>
  <si>
    <t>+1 515 720 9048</t>
  </si>
  <si>
    <t>https://www.mckinsey.com/alumni/candidate/136074</t>
  </si>
  <si>
    <t>WMInt wants to get rid of him</t>
  </si>
  <si>
    <t>Jason</t>
  </si>
  <si>
    <t>jzli37@gmail.com</t>
  </si>
  <si>
    <t>https://www.mckinsey.com/alumni/candidate/414644</t>
  </si>
  <si>
    <t>No except in Bay Area</t>
  </si>
  <si>
    <t>karangandhi@gmail.com</t>
  </si>
  <si>
    <t>+1 404 542 7275</t>
  </si>
  <si>
    <t>https://www.mckinsey.com/alumni/candidate/34464</t>
  </si>
  <si>
    <t>Katie</t>
  </si>
  <si>
    <t>Straub</t>
  </si>
  <si>
    <t>kcstraub1185@gmail.com</t>
  </si>
  <si>
    <t>https://www.mckinsey.com/alumni/candidate/500195425</t>
  </si>
  <si>
    <t>Failed BA</t>
  </si>
  <si>
    <t>Kristin</t>
  </si>
  <si>
    <t>Sahyouni</t>
  </si>
  <si>
    <t>Kristin.sahyouni@gmail.com</t>
  </si>
  <si>
    <t>+1 626 898 3701</t>
  </si>
  <si>
    <t>https://www.mckinsey.com/alumni/candidate/30944</t>
  </si>
  <si>
    <t>APD</t>
  </si>
  <si>
    <t>Gonçalves da Camara</t>
  </si>
  <si>
    <t>laura.goncalves.dc@gmail.com</t>
  </si>
  <si>
    <t>https://www.mckinsey.com/alumni/candidate/500099282</t>
  </si>
  <si>
    <t>Amazon AU</t>
  </si>
  <si>
    <t>Luis</t>
  </si>
  <si>
    <t>Escobedo</t>
  </si>
  <si>
    <t>lucho.escobedo@gmail.com</t>
  </si>
  <si>
    <t>+1 217 819 8060</t>
  </si>
  <si>
    <t>https://www.mckinsey.com/alumni/candidate/500175822</t>
  </si>
  <si>
    <t>Data scientist - SrMII, in a sabbatical?</t>
  </si>
  <si>
    <t>Matthew</t>
  </si>
  <si>
    <t>Rosenberg</t>
  </si>
  <si>
    <t>m6rosenberg@gmail.com</t>
  </si>
  <si>
    <t xml:space="preserve">+1 925 494 1474 </t>
  </si>
  <si>
    <t>https://www.mckinsey.com/alumni/candidate/423424</t>
  </si>
  <si>
    <t>No, forward external link once we have it</t>
  </si>
  <si>
    <t>Meghana</t>
  </si>
  <si>
    <t>Rajeshwar</t>
  </si>
  <si>
    <t>meghana.rajeshwar@gmail.com</t>
  </si>
  <si>
    <t>+91 94810 01508</t>
  </si>
  <si>
    <t>https://www.mckinsey.com/alumni/candidate/7658804</t>
  </si>
  <si>
    <t>Michael</t>
  </si>
  <si>
    <t>Tayter</t>
  </si>
  <si>
    <t>mtayter@gmail.com</t>
  </si>
  <si>
    <t>+1 734 484 2159</t>
  </si>
  <si>
    <t>https://www.mckinsey.com/alumni/candidate/131574</t>
  </si>
  <si>
    <t>Punit</t>
  </si>
  <si>
    <t>punitshah@post.harvard.edu</t>
  </si>
  <si>
    <t>https://www.mckinsey.com/alumni/candidate/7670634</t>
  </si>
  <si>
    <t>Radhika</t>
  </si>
  <si>
    <t>Aggarwal</t>
  </si>
  <si>
    <t>radhi.aggarwal@gmail.com</t>
  </si>
  <si>
    <t>https://www.mckinsey.com/alumni/candidate/500113678</t>
  </si>
  <si>
    <t>Ramandeep</t>
  </si>
  <si>
    <t>Chawla</t>
  </si>
  <si>
    <t>raman_icfai@yahoo.com</t>
  </si>
  <si>
    <t>+91 95605 08554</t>
  </si>
  <si>
    <t>https://www.mckinsey.com/alumni/candidate/89334</t>
  </si>
  <si>
    <t>No, wants the JD link for his non-McK network</t>
  </si>
  <si>
    <t>Dev</t>
  </si>
  <si>
    <t>Ramchandani</t>
  </si>
  <si>
    <t>ramchandanidev@gmail.com</t>
  </si>
  <si>
    <t>https://www.mckinsey.com/alumni/candidate/62454</t>
  </si>
  <si>
    <t>Price</t>
  </si>
  <si>
    <t>rhynopricer@gmail.com</t>
  </si>
  <si>
    <t>https://www.mckinsey.com/alumni/candidate/500127597</t>
  </si>
  <si>
    <t>In McK, all jobs &lt;2y in energy &amp; gas</t>
  </si>
  <si>
    <t>No, only Houston</t>
  </si>
  <si>
    <t>Roger</t>
  </si>
  <si>
    <t>Roger.Luo@Hotmail.com</t>
  </si>
  <si>
    <t>https://www.mckinsey.com/alumni/candidate/374904</t>
  </si>
  <si>
    <t>No except in GA</t>
  </si>
  <si>
    <t>Roberto</t>
  </si>
  <si>
    <t>Sanchez Garvin</t>
  </si>
  <si>
    <t>sanchez.garvin@gmail.com</t>
  </si>
  <si>
    <t>+34 650 64 98 02</t>
  </si>
  <si>
    <t>https://www.mckinsey.com/alumni/candidate/76234</t>
  </si>
  <si>
    <t xml:space="preserve">Sanjeev Ranjan </t>
  </si>
  <si>
    <t>sanjeevranjan@hotmail.com</t>
  </si>
  <si>
    <t>https://www.mckinsey.com/alumni/candidate/500153461</t>
  </si>
  <si>
    <t>Joined new role a year ago. IT/Data/Analytics</t>
  </si>
  <si>
    <t>Interested but not a good fit -hold, IT</t>
  </si>
  <si>
    <t>Saurabh</t>
  </si>
  <si>
    <t>saurabhmha@gmail.com</t>
  </si>
  <si>
    <t>+91 97170 02256</t>
  </si>
  <si>
    <t>https://www.mckinsey.com/alumni/candidate/500111140</t>
  </si>
  <si>
    <t>Simha</t>
  </si>
  <si>
    <t>simha.kumar@gmail.com</t>
  </si>
  <si>
    <t>+1 917 453 1211</t>
  </si>
  <si>
    <t>https://www.mckinsey.com/alumni/candidate/250644</t>
  </si>
  <si>
    <t>No, Detroit</t>
  </si>
  <si>
    <t>Susanna</t>
  </si>
  <si>
    <t>Freer Epstein</t>
  </si>
  <si>
    <t>susanna1epstein@gmail.com</t>
  </si>
  <si>
    <t>https://www.mckinsey.com/alumni/candidate/382854</t>
  </si>
  <si>
    <t>Taek</t>
  </si>
  <si>
    <t>taek.chung@stanfordalumni.org</t>
  </si>
  <si>
    <t>+1 650 996 8677</t>
  </si>
  <si>
    <t>https://www.mckinsey.com/alumni/candidate/74494</t>
  </si>
  <si>
    <t>Annie</t>
  </si>
  <si>
    <t>tangyichen.annie@gmail.com</t>
  </si>
  <si>
    <t>+1 312 929 9385</t>
  </si>
  <si>
    <t>https://www.mckinsey.com/alumni/candidate/128474</t>
  </si>
  <si>
    <t>Tanuj</t>
  </si>
  <si>
    <t>Mittal</t>
  </si>
  <si>
    <t>tanujmittal@gmail.com</t>
  </si>
  <si>
    <t>https://www.mckinsey.com/alumni/candidate/71364</t>
  </si>
  <si>
    <t>HP</t>
  </si>
  <si>
    <t>Tarra</t>
  </si>
  <si>
    <t>Sharp</t>
  </si>
  <si>
    <t>tarraesharp@gmail.com</t>
  </si>
  <si>
    <t>+1 214 315 7732</t>
  </si>
  <si>
    <t>https://www.mckinsey.com/alumni/candidate/7712974</t>
  </si>
  <si>
    <t>Teresa</t>
  </si>
  <si>
    <t>Nick</t>
  </si>
  <si>
    <t>teresa.nick@me.com</t>
  </si>
  <si>
    <t xml:space="preserve">+1 612 384 0421 </t>
  </si>
  <si>
    <t>https://www.mckinsey.com/alumni/candidate/500166967</t>
  </si>
  <si>
    <t>No except in IT</t>
  </si>
  <si>
    <t>Tom</t>
  </si>
  <si>
    <t>Hamilton</t>
  </si>
  <si>
    <t>thomas.g.hamilton@gmail.com</t>
  </si>
  <si>
    <t>https://www.mckinsey.com/alumni/candidate/7661184</t>
  </si>
  <si>
    <t>Search finished in Sep 19, probably has a job, great profile</t>
  </si>
  <si>
    <t>Thomas</t>
  </si>
  <si>
    <t>Koskella</t>
  </si>
  <si>
    <t>thomas.koskella@gmail.com</t>
  </si>
  <si>
    <t>https://www.mckinsey.com/alumni/candidate/7726804</t>
  </si>
  <si>
    <t>No, interested in late-AP</t>
  </si>
  <si>
    <t>Udayan</t>
  </si>
  <si>
    <t>udayan.mittal@gmail.com</t>
  </si>
  <si>
    <t>+9733373885</t>
  </si>
  <si>
    <t>Wife IB in LA, no kids, interested but not moving</t>
  </si>
  <si>
    <t>No except in West Coast</t>
  </si>
  <si>
    <t>Kelly</t>
  </si>
  <si>
    <t>Wagner</t>
  </si>
  <si>
    <t>https://www.mckinsey.com/alumni/candidate/65824</t>
  </si>
  <si>
    <t>No contact information</t>
  </si>
  <si>
    <t>Rajesh</t>
  </si>
  <si>
    <t>S</t>
  </si>
  <si>
    <t>rajesh_s@sloan.mit.edu</t>
  </si>
  <si>
    <t>https://www.mckinsey.com/alumni/candidate/150754</t>
  </si>
  <si>
    <t>https://www.linkedin.com/in/rajeshsrinivasaraghavan/</t>
  </si>
  <si>
    <t>Krupal</t>
  </si>
  <si>
    <t xml:space="preserve"> Parchure</t>
  </si>
  <si>
    <t>krupalparchure@gmail.com</t>
  </si>
  <si>
    <t>https://www.mckinsey.com/alumni/candidate/500176908</t>
  </si>
  <si>
    <t>Yes, based in Mumbai</t>
  </si>
  <si>
    <t>Ahmed</t>
  </si>
  <si>
    <t>Rashad</t>
  </si>
  <si>
    <t>a.rashad1019@gmail.com</t>
  </si>
  <si>
    <t xml:space="preserve">+1 469 432 7882 </t>
  </si>
  <si>
    <t>https://www.mckinsey.com/alumni/candidate/500097821</t>
  </si>
  <si>
    <t>Abby</t>
  </si>
  <si>
    <t>Braiman</t>
  </si>
  <si>
    <t>abigail.braiman@gmail.com</t>
  </si>
  <si>
    <t>https://www.mckinsey.com/alumni/candidate/500121098</t>
  </si>
  <si>
    <t>MBA Candidate 2021</t>
  </si>
  <si>
    <t>NOT SENT</t>
  </si>
  <si>
    <t>abigail.chao@gmail.com</t>
  </si>
  <si>
    <t>https://www.mckinsey.com/alumni/candidate/500099723</t>
  </si>
  <si>
    <t>Stanford MBA 21</t>
  </si>
  <si>
    <t>Adam</t>
  </si>
  <si>
    <t>Brown</t>
  </si>
  <si>
    <t>adambrown07@gmail.com</t>
  </si>
  <si>
    <t>https://www.mckinsey.com/alumni/candidate/500122505</t>
  </si>
  <si>
    <t>Angelique</t>
  </si>
  <si>
    <t>adkemail@gmail.com</t>
  </si>
  <si>
    <t>https://www.mckinsey.com/alumni/candidate/311524</t>
  </si>
  <si>
    <t>Target, Walmart, Food</t>
  </si>
  <si>
    <t>Afraaz</t>
  </si>
  <si>
    <t>Irani</t>
  </si>
  <si>
    <t>afraaz.irani@gmail.com</t>
  </si>
  <si>
    <t>https://www.mckinsey.com/alumni/candidate/500120418</t>
  </si>
  <si>
    <t>Albert</t>
  </si>
  <si>
    <t>albertchang611@gmail.com</t>
  </si>
  <si>
    <t>https://www.mckinsey.com/alumni/candidate/500152598</t>
  </si>
  <si>
    <t>Firm Member</t>
  </si>
  <si>
    <t>Alison</t>
  </si>
  <si>
    <t>Nichols</t>
  </si>
  <si>
    <t>alisonmnichols@gmail.com</t>
  </si>
  <si>
    <t>https://www.mckinsey.com/alumni/candidate/500096859</t>
  </si>
  <si>
    <t>Allyson</t>
  </si>
  <si>
    <t>Pritchett</t>
  </si>
  <si>
    <t>allyson.pritchett@gmail.com</t>
  </si>
  <si>
    <t>+1 828 552 0431</t>
  </si>
  <si>
    <t>https://www.mckinsey.com/alumni/candidate/106644</t>
  </si>
  <si>
    <t>Amanda</t>
  </si>
  <si>
    <t>Needham</t>
  </si>
  <si>
    <t>alneedham@gmail.com</t>
  </si>
  <si>
    <t>https://www.mckinsey.com/alumni/candidate/500092678</t>
  </si>
  <si>
    <t>Bayagich Short</t>
  </si>
  <si>
    <t>amanda.bayagich@gmail.com</t>
  </si>
  <si>
    <t>https://www.mckinsey.com/alumni/candidate/500143112</t>
  </si>
  <si>
    <t>Aaron</t>
  </si>
  <si>
    <t>Montgomery</t>
  </si>
  <si>
    <t>amontgom1@gmail.com</t>
  </si>
  <si>
    <t>https://www.mckinsey.com/alumni/candidate/23584</t>
  </si>
  <si>
    <t>Startup</t>
  </si>
  <si>
    <t>Amy</t>
  </si>
  <si>
    <t>amywang25@gmail.com</t>
  </si>
  <si>
    <t>https://www.mckinsey.com/alumni/candidate/500189900</t>
  </si>
  <si>
    <t>ANanth</t>
  </si>
  <si>
    <t>Lalithakumar</t>
  </si>
  <si>
    <t>ananth.lalithakumar@gmail.com</t>
  </si>
  <si>
    <t>https://www.mckinsey.com/alumni/candidate/66154</t>
  </si>
  <si>
    <t>Send Network Tap note</t>
  </si>
  <si>
    <t>Andre</t>
  </si>
  <si>
    <t>Soldo</t>
  </si>
  <si>
    <t>andresoldo@gmail.com</t>
  </si>
  <si>
    <t>+65 9177 2645</t>
  </si>
  <si>
    <t>https://www.mckinsey.com/alumni/candidate/259584</t>
  </si>
  <si>
    <t>Angela</t>
  </si>
  <si>
    <t>Hung Byers Byers</t>
  </si>
  <si>
    <t>angela.hung.byers@gmail.com</t>
  </si>
  <si>
    <t>+1 425 306 2751</t>
  </si>
  <si>
    <t>https://www.mckinsey.com/alumni/candidate/249904</t>
  </si>
  <si>
    <t>Ani</t>
  </si>
  <si>
    <t>Mukkavilli</t>
  </si>
  <si>
    <t>anirudh.mukkavilli@gmail.com</t>
  </si>
  <si>
    <t>https://www.mckinsey.com/alumni/candidate/7601684</t>
  </si>
  <si>
    <t>EM at MCK Sydney</t>
  </si>
  <si>
    <t>Anita</t>
  </si>
  <si>
    <t>Ngai</t>
  </si>
  <si>
    <t>anita178@gmail.com</t>
  </si>
  <si>
    <t>https://www.mckinsey.com/alumni/candidate/109044</t>
  </si>
  <si>
    <t>Network tap</t>
  </si>
  <si>
    <t>Anju</t>
  </si>
  <si>
    <t>Khetan</t>
  </si>
  <si>
    <t>anju.khetan@gmail.com</t>
  </si>
  <si>
    <t>https://www.mckinsey.com/alumni/candidate/421134</t>
  </si>
  <si>
    <t>Anna</t>
  </si>
  <si>
    <t>Chen</t>
  </si>
  <si>
    <t>annachen5115@gmail.com</t>
  </si>
  <si>
    <t>https://www.mckinsey.com/alumni/candidate/500187523</t>
  </si>
  <si>
    <t>Anthony</t>
  </si>
  <si>
    <t>LaVita</t>
  </si>
  <si>
    <t>anthony.lavita@gmail.com</t>
  </si>
  <si>
    <t>https://www.mckinsey.com/alumni/candidate/500156781</t>
  </si>
  <si>
    <t>HARDCORE FINANCE</t>
  </si>
  <si>
    <t>Anubhuti</t>
  </si>
  <si>
    <t>Gautam</t>
  </si>
  <si>
    <t>anubhuti.gautam@stern.nyu.edu</t>
  </si>
  <si>
    <t>https://www.mckinsey.com/alumni/candidate/7591884</t>
  </si>
  <si>
    <t>April</t>
  </si>
  <si>
    <t>Yang</t>
  </si>
  <si>
    <t>apryang@gmail.com</t>
  </si>
  <si>
    <t>https://www.mckinsey.com/alumni/candidate/500121886</t>
  </si>
  <si>
    <t xml:space="preserve">Arjun </t>
  </si>
  <si>
    <t>KOchar</t>
  </si>
  <si>
    <t>arjunkochhar5@gmail.com</t>
  </si>
  <si>
    <t>https://www.mckinsey.com/alumni/candidate/500180001</t>
  </si>
  <si>
    <t>Was product manager at Flipkart - Sr Mgr II profile did not contact</t>
  </si>
  <si>
    <t>Asha</t>
  </si>
  <si>
    <t>Rangaraj</t>
  </si>
  <si>
    <t>asha.rangaraj@gmail.com</t>
  </si>
  <si>
    <t>https://www.mckinsey.com/alumni/candidate/42994</t>
  </si>
  <si>
    <t>Zhou</t>
  </si>
  <si>
    <t>ashleyz.mun@gmail.com</t>
  </si>
  <si>
    <t>https://www.mckinsey.com/alumni/candidate/500176512</t>
  </si>
  <si>
    <t>Adrian</t>
  </si>
  <si>
    <t>Soriano</t>
  </si>
  <si>
    <t>asoriano03@gsb.columbia.edu</t>
  </si>
  <si>
    <t>+1 646 719 0250</t>
  </si>
  <si>
    <t>https://www.mckinsey.com/alumni/candidate/238864</t>
  </si>
  <si>
    <t>Asuka</t>
  </si>
  <si>
    <t>Qin</t>
  </si>
  <si>
    <t>asukaqin@gmail.com</t>
  </si>
  <si>
    <t>https://www.mckinsey.com/alumni/candidate/500128646</t>
  </si>
  <si>
    <t>Google</t>
  </si>
  <si>
    <t>BAdri</t>
  </si>
  <si>
    <t>Rengarajan</t>
  </si>
  <si>
    <t>badri@aya.yale.edu</t>
  </si>
  <si>
    <t>+1 415 577 8998</t>
  </si>
  <si>
    <t>https://www.mckinsey.com/alumni/candidate/330934</t>
  </si>
  <si>
    <t>Deeply into Healthcare - sent network tapping email</t>
  </si>
  <si>
    <t>Bern</t>
  </si>
  <si>
    <t>Ebersole</t>
  </si>
  <si>
    <t>bern.ebersole@gmail.com</t>
  </si>
  <si>
    <t>https://www.mckinsey.com/alumni/candidate/500093585</t>
  </si>
  <si>
    <t>Search ended in April 19, probably got a job</t>
  </si>
  <si>
    <t>Betsy</t>
  </si>
  <si>
    <t>Masiello</t>
  </si>
  <si>
    <t>betsy.masiello@gmail.com</t>
  </si>
  <si>
    <t>https://www.mckinsey.com/alumni/candidate/121574</t>
  </si>
  <si>
    <t>Brenna</t>
  </si>
  <si>
    <t>Benson</t>
  </si>
  <si>
    <t>brenna.benson@gmail.com</t>
  </si>
  <si>
    <t xml:space="preserve">+1 504 352 3391 </t>
  </si>
  <si>
    <t>https://www.mckinsey.com/alumni/candidate/115194</t>
  </si>
  <si>
    <t>Bruna</t>
  </si>
  <si>
    <t>Macedo Porto</t>
  </si>
  <si>
    <t>brunamporto@gmail.com</t>
  </si>
  <si>
    <t>https://www.mckinsey.com/alumni/candidate/500176185</t>
  </si>
  <si>
    <t>McK chicago</t>
  </si>
  <si>
    <t>Alex</t>
  </si>
  <si>
    <t>Bryant</t>
  </si>
  <si>
    <t>bryant.alex.w@gmail.com</t>
  </si>
  <si>
    <t xml:space="preserve">+1 714 822 9929 </t>
  </si>
  <si>
    <t>https://www.mckinsey.com/alumni/candidate/500187529</t>
  </si>
  <si>
    <t>APD. In McK, &lt;2y</t>
  </si>
  <si>
    <t>Brad</t>
  </si>
  <si>
    <t>Sostack</t>
  </si>
  <si>
    <t>bsostack@gmail.com</t>
  </si>
  <si>
    <t>https://www.mckinsey.com/alumni/candidate/500133818</t>
  </si>
  <si>
    <t>Submarine officers</t>
  </si>
  <si>
    <t>Candice</t>
  </si>
  <si>
    <t>Kenny</t>
  </si>
  <si>
    <t>candicekenney606@gmail.com</t>
  </si>
  <si>
    <t>https://www.mckinsey.com/alumni/candidate/58394</t>
  </si>
  <si>
    <t>Elena</t>
  </si>
  <si>
    <t>Cant</t>
  </si>
  <si>
    <t>cant.elena@gmail.com</t>
  </si>
  <si>
    <t>+1 224 300 9386</t>
  </si>
  <si>
    <t>https://www.mckinsey.com/alumni/candidate/137384</t>
  </si>
  <si>
    <t>Caroline</t>
  </si>
  <si>
    <t>Taich</t>
  </si>
  <si>
    <t>caroline.taich@gmail.com</t>
  </si>
  <si>
    <t>https://www.mckinsey.com/alumni/candidate/374204</t>
  </si>
  <si>
    <t>Cassie</t>
  </si>
  <si>
    <t>cassie.weijia.zhang@gmail.com</t>
  </si>
  <si>
    <t xml:space="preserve">+1 312 292 6195 </t>
  </si>
  <si>
    <t>https://www.mckinsey.com/alumni/candidate/500105485</t>
  </si>
  <si>
    <t>catherine.j.yang@gmail.com</t>
  </si>
  <si>
    <t>+61 413 301 809</t>
  </si>
  <si>
    <t>https://www.mckinsey.com/alumni/candidate/500106157</t>
  </si>
  <si>
    <t>Australia, Medicine</t>
  </si>
  <si>
    <t>Chloe</t>
  </si>
  <si>
    <t>Shapiro</t>
  </si>
  <si>
    <t>chloeshap@gmail.com</t>
  </si>
  <si>
    <t>https://www.mckinsey.com/alumni/candidate/7651764</t>
  </si>
  <si>
    <t>Chris</t>
  </si>
  <si>
    <t>Bailey</t>
  </si>
  <si>
    <t>chrisbailey@alumni.nd.edu</t>
  </si>
  <si>
    <t>+1 248 495 5019</t>
  </si>
  <si>
    <t>https://www.mckinsey.com/alumni/candidate/61234</t>
  </si>
  <si>
    <t>Personal acquaintance</t>
  </si>
  <si>
    <t>Christoph</t>
  </si>
  <si>
    <t>Sandler</t>
  </si>
  <si>
    <t>christoph.sandler@gmail.com</t>
  </si>
  <si>
    <t>https://www.mckinsey.com/alumni/candidate/500025094</t>
  </si>
  <si>
    <t>Firm member - AP Tokyo</t>
  </si>
  <si>
    <t>Cindy</t>
  </si>
  <si>
    <t>Luong</t>
  </si>
  <si>
    <t>cindy_luong100@hotmail.com</t>
  </si>
  <si>
    <t>https://www.mckinsey.com/alumni/candidate/500064857</t>
  </si>
  <si>
    <t>Claudio</t>
  </si>
  <si>
    <t>Innocente</t>
  </si>
  <si>
    <t>claudio.innocente70@gmail.com</t>
  </si>
  <si>
    <t>https://www.mckinsey.com/alumni/candidate/146714</t>
  </si>
  <si>
    <t>Claire</t>
  </si>
  <si>
    <t>Tramm</t>
  </si>
  <si>
    <t>ctramm@wharton.upenn.edu</t>
  </si>
  <si>
    <t>https://www.mckinsey.com/alumni/candidate/77014</t>
  </si>
  <si>
    <t>email not valid, reached trhough LinkedIn</t>
  </si>
  <si>
    <t>Daria</t>
  </si>
  <si>
    <t>Makhoukova</t>
  </si>
  <si>
    <t>dariamakhoukova@gmail.com</t>
  </si>
  <si>
    <t>+1 404 242 3517</t>
  </si>
  <si>
    <t>https://www.mckinsey.com/alumni/candidate/500025159</t>
  </si>
  <si>
    <t xml:space="preserve">Darien </t>
  </si>
  <si>
    <t>Lee</t>
  </si>
  <si>
    <t>darien.jr.lee@gmail.com</t>
  </si>
  <si>
    <t>https://www.mckinsey.com/alumni/candidate/500141644</t>
  </si>
  <si>
    <t>BA profile - sent Sr Mgr II BVL</t>
  </si>
  <si>
    <t>Deepali</t>
  </si>
  <si>
    <t>Narula</t>
  </si>
  <si>
    <t>deepali.narula@gmail.com</t>
  </si>
  <si>
    <t>https://www.mckinsey.com/alumni/candidate/414024</t>
  </si>
  <si>
    <t>Danielle</t>
  </si>
  <si>
    <t>Fisher</t>
  </si>
  <si>
    <t>dlevyfisher@gmail.com</t>
  </si>
  <si>
    <t>+1 646 250 5327</t>
  </si>
  <si>
    <t>https://www.mckinsey.com/alumni/candidate/27184</t>
  </si>
  <si>
    <t>Cissy</t>
  </si>
  <si>
    <t>Dong</t>
  </si>
  <si>
    <t>dongxincissy@hotmail.com</t>
  </si>
  <si>
    <t>https://www.mckinsey.com/alumni/candidate/500105980</t>
  </si>
  <si>
    <t>Yusmananda</t>
  </si>
  <si>
    <t>dyusmananda@gmail.com</t>
  </si>
  <si>
    <t>+62 818 765 188</t>
  </si>
  <si>
    <t>https://www.mckinsey.com/alumni/candidate/390274</t>
  </si>
  <si>
    <t xml:space="preserve">Sent netwotk tap </t>
  </si>
  <si>
    <t>Ebony</t>
  </si>
  <si>
    <t>Blue</t>
  </si>
  <si>
    <t>ebony.n.blue@gmail.com</t>
  </si>
  <si>
    <t>+1 347 512 3303</t>
  </si>
  <si>
    <t>https://www.mckinsey.com/alumni/candidate/500099769</t>
  </si>
  <si>
    <t>Efren</t>
  </si>
  <si>
    <t>Bonner</t>
  </si>
  <si>
    <t>efren.bonner@gmail.com</t>
  </si>
  <si>
    <t>https://www.mckinsey.com/alumni/candidate/500129001</t>
  </si>
  <si>
    <t>APD Law</t>
  </si>
  <si>
    <t>Mixon</t>
  </si>
  <si>
    <t>elena.mixon@gmail.com</t>
  </si>
  <si>
    <t>+1 917 371 5214 (</t>
  </si>
  <si>
    <t>https://www.mckinsey.com/alumni/candidate/243614</t>
  </si>
  <si>
    <t>Elissa</t>
  </si>
  <si>
    <t>Ashwood</t>
  </si>
  <si>
    <t>elissaashwood@me.com</t>
  </si>
  <si>
    <t>https://www.mckinsey.com/alumni/candidate/69814</t>
  </si>
  <si>
    <t>Send Networ tap</t>
  </si>
  <si>
    <t>Eric</t>
  </si>
  <si>
    <t>Marnandus</t>
  </si>
  <si>
    <t>Emarnand@gmail.com</t>
  </si>
  <si>
    <t>+62 811 8822 668</t>
  </si>
  <si>
    <t>https://www.mckinsey.com/alumni/candidate/19124</t>
  </si>
  <si>
    <t>Private equity partner</t>
  </si>
  <si>
    <t>Enrique</t>
  </si>
  <si>
    <t>Ruiz</t>
  </si>
  <si>
    <t>enrique.ruiz@chicagobooth.edu</t>
  </si>
  <si>
    <t xml:space="preserve">+1 650 457 9595 </t>
  </si>
  <si>
    <t>https://www.mckinsey.com/alumni/candidate/500024758</t>
  </si>
  <si>
    <t>Spanish, French speaker</t>
  </si>
  <si>
    <t>Ellen</t>
  </si>
  <si>
    <t>Badger</t>
  </si>
  <si>
    <t>esbadger@gmail.com</t>
  </si>
  <si>
    <t>https://www.mckinsey.com/alumni/candidate/127054</t>
  </si>
  <si>
    <t>Firm Member - sent network tap mail</t>
  </si>
  <si>
    <t>Francesco</t>
  </si>
  <si>
    <t>Abate</t>
  </si>
  <si>
    <t>francesco.abate@gmail.com</t>
  </si>
  <si>
    <t>https://www.mckinsey.com/alumni/candidate/500175040</t>
  </si>
  <si>
    <t>Search ended Nov 2019, probably got a job. Politecnico de Torino. APD</t>
  </si>
  <si>
    <t>Frank</t>
  </si>
  <si>
    <t>Mora</t>
  </si>
  <si>
    <t>frmora@gmail.com</t>
  </si>
  <si>
    <t xml:space="preserve">+1 214 577 9745 </t>
  </si>
  <si>
    <t>https://www.mckinsey.com/alumni/candidate/79154</t>
  </si>
  <si>
    <t>Jose</t>
  </si>
  <si>
    <t>Garza Estrada</t>
  </si>
  <si>
    <t>garzajose@gmail.com</t>
  </si>
  <si>
    <t>+1 617 820 6724</t>
  </si>
  <si>
    <t>https://www.mckinsey.com/alumni/candidate/37974</t>
  </si>
  <si>
    <t>MIT SCM, Spanish speaker, knowledge center</t>
  </si>
  <si>
    <t>Ginny</t>
  </si>
  <si>
    <t>Too</t>
  </si>
  <si>
    <t>ginnytoo@gmail.com</t>
  </si>
  <si>
    <t>https://www.mckinsey.com/alumni/candidate/7294</t>
  </si>
  <si>
    <t>Maheswari</t>
  </si>
  <si>
    <t>Govindaraju</t>
  </si>
  <si>
    <t>gmaheswari@gmail.com</t>
  </si>
  <si>
    <t xml:space="preserve">+1 312 919 0513 </t>
  </si>
  <si>
    <t>https://www.mckinsey.com/alumni/candidate/7661174</t>
  </si>
  <si>
    <t>Wayfair failed AP equivalent</t>
  </si>
  <si>
    <t>Grace-Ann</t>
  </si>
  <si>
    <t>Baker</t>
  </si>
  <si>
    <t>graceannbaker@yahoo.com</t>
  </si>
  <si>
    <t>+1 650 387 8483</t>
  </si>
  <si>
    <t>https://www.mckinsey.com/alumni/candidate/320854</t>
  </si>
  <si>
    <t>Hung</t>
  </si>
  <si>
    <t>hcnguyen@gmail.com</t>
  </si>
  <si>
    <t>https://www.mckinsey.com/alumni/candidate/26264</t>
  </si>
  <si>
    <t>Himanshu</t>
  </si>
  <si>
    <t>Arora</t>
  </si>
  <si>
    <t>himanshuarora9@gmail.com</t>
  </si>
  <si>
    <t>https://www.mckinsey.com/alumni/candidate/500053355</t>
  </si>
  <si>
    <t>Startup guy</t>
  </si>
  <si>
    <t xml:space="preserve">Hong </t>
  </si>
  <si>
    <t>hongadeleli@hotmail.com</t>
  </si>
  <si>
    <t>+86 138 0179 3231</t>
  </si>
  <si>
    <t>https://www.mckinsey.com/alumni/candidate/386174</t>
  </si>
  <si>
    <t>A</t>
  </si>
  <si>
    <t>Hannah</t>
  </si>
  <si>
    <t>Yan</t>
  </si>
  <si>
    <t>huayan@umich.edu</t>
  </si>
  <si>
    <t>https://www.mckinsey.com/alumni/candidate/500143004</t>
  </si>
  <si>
    <t>Anisa</t>
  </si>
  <si>
    <t>Nwachuku</t>
  </si>
  <si>
    <t>international.development@gmail.com</t>
  </si>
  <si>
    <t>https://www.mckinsey.com/alumni/candidate/15204</t>
  </si>
  <si>
    <t>Jackie</t>
  </si>
  <si>
    <t>BAss</t>
  </si>
  <si>
    <t>jackiebass5@gmail.com</t>
  </si>
  <si>
    <t>https://www.mckinsey.com/alumni/candidate/500129199</t>
  </si>
  <si>
    <t>Jacqueline</t>
  </si>
  <si>
    <t>Wingfield</t>
  </si>
  <si>
    <t>jacqueline.wingfield@gmail.com</t>
  </si>
  <si>
    <t>https://www.mckinsey.com/alumni/candidate/500129281</t>
  </si>
  <si>
    <t>Janet</t>
  </si>
  <si>
    <t>Gao</t>
  </si>
  <si>
    <t>janetgao8@hotmail.com</t>
  </si>
  <si>
    <t>https://www.mckinsey.com/alumni/candidate/386144</t>
  </si>
  <si>
    <t>Janice</t>
  </si>
  <si>
    <t>Pai</t>
  </si>
  <si>
    <t>janice.pai@gmail.com</t>
  </si>
  <si>
    <t>https://www.mckinsey.com/alumni/candidate/245184</t>
  </si>
  <si>
    <t>Barnett</t>
  </si>
  <si>
    <t>jaredvbarnett@gmail.com</t>
  </si>
  <si>
    <t>https://www.mckinsey.com/alumni/candidate/72284</t>
  </si>
  <si>
    <t>Jayoon</t>
  </si>
  <si>
    <t>Yi</t>
  </si>
  <si>
    <t>Jayoon.yi@gmail.com</t>
  </si>
  <si>
    <t>https://www.mckinsey.com/alumni/candidate/500105570</t>
  </si>
  <si>
    <t>Jean</t>
  </si>
  <si>
    <t>Park</t>
  </si>
  <si>
    <t>jean.park@mac.com</t>
  </si>
  <si>
    <t>https://www.mckinsey.com/alumni/candidate/331354</t>
  </si>
  <si>
    <t>Jeannice</t>
  </si>
  <si>
    <t>Tse</t>
  </si>
  <si>
    <t>jeannicektse@gmail.com</t>
  </si>
  <si>
    <t>https://www.mckinsey.com/alumni/candidate/500119698</t>
  </si>
  <si>
    <t>Jen</t>
  </si>
  <si>
    <t>Warner</t>
  </si>
  <si>
    <t>jen_warner@mckinsey.com</t>
  </si>
  <si>
    <t>https://www.mckinsey.com/alumni/candidate/500127782</t>
  </si>
  <si>
    <t>Jenna</t>
  </si>
  <si>
    <t>jenna.kelly.belisle@gmail.com</t>
  </si>
  <si>
    <t xml:space="preserve">+1 781 820 3299 </t>
  </si>
  <si>
    <t>https://www.mckinsey.com/alumni/candidate/500110137</t>
  </si>
  <si>
    <t>Zerker</t>
  </si>
  <si>
    <t>jennazerker@gmail.com</t>
  </si>
  <si>
    <t>+1 603 667 3081</t>
  </si>
  <si>
    <t>https://www.mckinsey.com/alumni/candidate/500094380</t>
  </si>
  <si>
    <t>Jessica</t>
  </si>
  <si>
    <t xml:space="preserve">Li </t>
  </si>
  <si>
    <t>jessica.quan.li@gmail.com</t>
  </si>
  <si>
    <t>https://www.mckinsey.com/alumni/candidate/500141625</t>
  </si>
  <si>
    <t>JIngyi</t>
  </si>
  <si>
    <t>jingyizhangjy@gmail.com</t>
  </si>
  <si>
    <t>+86 186 1616 4528</t>
  </si>
  <si>
    <t>https://www.mckinsey.com/alumni/candidate/7684254</t>
  </si>
  <si>
    <t>Rajeev</t>
  </si>
  <si>
    <t>jivesmenon@yahoo.com</t>
  </si>
  <si>
    <t>+91 90089 77339</t>
  </si>
  <si>
    <t>https://www.mckinsey.com/alumni/candidate/128804</t>
  </si>
  <si>
    <t>7 years as head of strategy at 3M India Sent tap network email</t>
  </si>
  <si>
    <t>Joanna</t>
  </si>
  <si>
    <t>Maryewska</t>
  </si>
  <si>
    <t>joanna.m@alumni.gsb.stanford.edu</t>
  </si>
  <si>
    <t>https://www.mckinsey.com/alumni/candidate/500086061</t>
  </si>
  <si>
    <t>Joseph</t>
  </si>
  <si>
    <t>Owens</t>
  </si>
  <si>
    <t>joerowens@gmail.com</t>
  </si>
  <si>
    <t>https://www.mckinsey.com/alumni/candidate/500093636</t>
  </si>
  <si>
    <t>John</t>
  </si>
  <si>
    <t>Wu</t>
  </si>
  <si>
    <t>johndwu@alumni.stanford.edu</t>
  </si>
  <si>
    <t>https://www.mckinsey.com/alumni/candidate/500105314</t>
  </si>
  <si>
    <t>Julia</t>
  </si>
  <si>
    <t>Barclay</t>
  </si>
  <si>
    <t>juliabbarclay@gmail.com</t>
  </si>
  <si>
    <t>https://www.mckinsey.com/alumni/candidate/7704164</t>
  </si>
  <si>
    <t>Juliana</t>
  </si>
  <si>
    <t>McLain</t>
  </si>
  <si>
    <t>julianamclain@gmail.com</t>
  </si>
  <si>
    <t>https://www.mckinsey.com/alumni/candidate/500098316</t>
  </si>
  <si>
    <t>Facebook</t>
  </si>
  <si>
    <t>Juliette</t>
  </si>
  <si>
    <t>Han</t>
  </si>
  <si>
    <t>juliettehan@gmail.com</t>
  </si>
  <si>
    <t>https://www.mckinsey.com/alumni/candidate/7639184</t>
  </si>
  <si>
    <t>Ashish</t>
  </si>
  <si>
    <t>Juneja</t>
  </si>
  <si>
    <t>junejaash@gmail.com</t>
  </si>
  <si>
    <t xml:space="preserve">+1 312 375 7046 </t>
  </si>
  <si>
    <t>https://www.mckinsey.com/alumni/candidate/143004</t>
  </si>
  <si>
    <t>Jan</t>
  </si>
  <si>
    <t>Wilk</t>
  </si>
  <si>
    <t>jw.jan.wilk@gmail.com</t>
  </si>
  <si>
    <t>https://www.mckinsey.com/alumni/candidate/500111507</t>
  </si>
  <si>
    <t>Tik Tok User growth</t>
  </si>
  <si>
    <t>Kandice</t>
  </si>
  <si>
    <t>Lord</t>
  </si>
  <si>
    <t>kandicelord@gmail.com</t>
  </si>
  <si>
    <t>https://www.mckinsey.com/alumni/candidate/500139419</t>
  </si>
  <si>
    <t>Karen</t>
  </si>
  <si>
    <t>karenchen16@gmail.com</t>
  </si>
  <si>
    <t>https://www.mckinsey.com/alumni/candidate/500097789</t>
  </si>
  <si>
    <t>Katharina</t>
  </si>
  <si>
    <t>Petrasch</t>
  </si>
  <si>
    <t>katharina.petrasch@gmail.com</t>
  </si>
  <si>
    <t xml:space="preserve">+1 646 925 9463 </t>
  </si>
  <si>
    <t>https://www.mckinsey.com/alumni/candidate/90694</t>
  </si>
  <si>
    <t>Lowry</t>
  </si>
  <si>
    <t>katherine.j.lowry@gmail.com</t>
  </si>
  <si>
    <t>https://www.mckinsey.com/alumni/candidate/500123682</t>
  </si>
  <si>
    <t>VSR</t>
  </si>
  <si>
    <t>kaushik.viswanadha@insead.edu</t>
  </si>
  <si>
    <t>+65 8248 7919</t>
  </si>
  <si>
    <t>https://www.mckinsey.com/alumni/candidate/7605094</t>
  </si>
  <si>
    <t>MCK Knowledge center for 5 years</t>
  </si>
  <si>
    <t>Kay</t>
  </si>
  <si>
    <t>Teo</t>
  </si>
  <si>
    <t>kayteo@gmail.com</t>
  </si>
  <si>
    <t>https://www.mckinsey.com/alumni/candidate/500148178</t>
  </si>
  <si>
    <t>Just taken new position</t>
  </si>
  <si>
    <t>Kevin</t>
  </si>
  <si>
    <t>Opoku</t>
  </si>
  <si>
    <t>kevin.opoku@gmail.com</t>
  </si>
  <si>
    <t>https://www.mckinsey.com/alumni/candidate/500128679</t>
  </si>
  <si>
    <t>Keith</t>
  </si>
  <si>
    <t>Green</t>
  </si>
  <si>
    <t>kgreen318@gmail.com</t>
  </si>
  <si>
    <t>+1 571 499 8176</t>
  </si>
  <si>
    <t>https://www.mckinsey.com/alumni/candidate/366564</t>
  </si>
  <si>
    <t>Shirin</t>
  </si>
  <si>
    <t>Krall</t>
  </si>
  <si>
    <t>krall.shirin@gmail.com</t>
  </si>
  <si>
    <t>https://www.mckinsey.com/alumni/candidate/500093758</t>
  </si>
  <si>
    <t>Krisrten</t>
  </si>
  <si>
    <t>La Mont</t>
  </si>
  <si>
    <t>kristen.lamont@post.harvard.edu</t>
  </si>
  <si>
    <t>https://www.mckinsey.com/alumni/candidate/47664</t>
  </si>
  <si>
    <t>Samsung Seoul</t>
  </si>
  <si>
    <t>Keily</t>
  </si>
  <si>
    <t>Miller</t>
  </si>
  <si>
    <t>ksmiller42@gmail.com</t>
  </si>
  <si>
    <t>https://www.mckinsey.com/alumni/candidate/500109279</t>
  </si>
  <si>
    <t>Chaney</t>
  </si>
  <si>
    <t>ktlchaney@gmail.com</t>
  </si>
  <si>
    <t>https://www.mckinsey.com/alumni/candidate/500098497</t>
  </si>
  <si>
    <t>Booth Allen</t>
  </si>
  <si>
    <t xml:space="preserve">Anand </t>
  </si>
  <si>
    <t>Ramachandran</t>
  </si>
  <si>
    <t>laranand@gmail.com</t>
  </si>
  <si>
    <t>https://www.mckinsey.com/alumni/candidate/424074</t>
  </si>
  <si>
    <t>Recently started at udaan.com</t>
  </si>
  <si>
    <t>Sztejnberg</t>
  </si>
  <si>
    <t>laurieszt@gmail.com</t>
  </si>
  <si>
    <t xml:space="preserve">+1 201 665 4951 </t>
  </si>
  <si>
    <t>https://www.mckinsey.com/alumni/candidate/414354</t>
  </si>
  <si>
    <t>Reid</t>
  </si>
  <si>
    <t>lihongming@msn.com</t>
  </si>
  <si>
    <t>+86 139 1728 4033</t>
  </si>
  <si>
    <t>https://www.mckinsey.com/alumni/candidate/500072485</t>
  </si>
  <si>
    <t>CIO - TEch guy</t>
  </si>
  <si>
    <t>Lily</t>
  </si>
  <si>
    <t>Perez</t>
  </si>
  <si>
    <t>lilyrubin@gmail.com</t>
  </si>
  <si>
    <t>https://www.mckinsey.com/alumni/candidate/117514</t>
  </si>
  <si>
    <t>lintina111@gmail.com</t>
  </si>
  <si>
    <t>+1 267 481 3288</t>
  </si>
  <si>
    <t>https://www.mckinsey.com/alumni/candidate/7690044</t>
  </si>
  <si>
    <t>Liz</t>
  </si>
  <si>
    <t>Jenkins</t>
  </si>
  <si>
    <t>lizjenkins0101@gmail.com</t>
  </si>
  <si>
    <t>+1 617 669 0819</t>
  </si>
  <si>
    <t>https://www.mckinsey.com/alumni/candidate/263394</t>
  </si>
  <si>
    <t>Michelle</t>
  </si>
  <si>
    <t>Bai</t>
  </si>
  <si>
    <t>lolingcat@gmail.com</t>
  </si>
  <si>
    <t>https://www.mckinsey.com/alumni/candidate/401024</t>
  </si>
  <si>
    <t>Luise</t>
  </si>
  <si>
    <t>Hampl</t>
  </si>
  <si>
    <t>luisehampl@gmail.com</t>
  </si>
  <si>
    <t>https://www.mckinsey.com/alumni/candidate/500147278</t>
  </si>
  <si>
    <t xml:space="preserve">Jenny </t>
  </si>
  <si>
    <t>Lu</t>
  </si>
  <si>
    <t>lujennyj@gmail.com</t>
  </si>
  <si>
    <t>https://www.mckinsey.com/alumni/candidate/26034</t>
  </si>
  <si>
    <t>Madhu</t>
  </si>
  <si>
    <t>Srinivasan</t>
  </si>
  <si>
    <t>madhushree.srinivasan@gmail.com</t>
  </si>
  <si>
    <t>https://www.mckinsey.com/alumni/candidate/7706594</t>
  </si>
  <si>
    <t>Los Angeles Media - not a fit</t>
  </si>
  <si>
    <t>Dilly</t>
  </si>
  <si>
    <t>Soemantri</t>
  </si>
  <si>
    <t>mailto:dilly.soemantri@gmail.com</t>
  </si>
  <si>
    <t>https://www.mckinsey.com/alumni/candidate/500168129</t>
  </si>
  <si>
    <t>Oil and Gas guy</t>
  </si>
  <si>
    <t>Enric</t>
  </si>
  <si>
    <t>Casals</t>
  </si>
  <si>
    <t>mailto:enric.casals@gmail.com</t>
  </si>
  <si>
    <t>https://www.mckinsey.com/alumni/candidate/80264</t>
  </si>
  <si>
    <t>Country Head at Google Asia Pacific</t>
  </si>
  <si>
    <t>Feng</t>
  </si>
  <si>
    <t>mailto:fchenustc@gmail.com</t>
  </si>
  <si>
    <t>https://www.mckinsey.com/alumni/candidate/64504</t>
  </si>
  <si>
    <t>Bio chem guy with PhD</t>
  </si>
  <si>
    <t xml:space="preserve">Chinmay </t>
  </si>
  <si>
    <t>mailto:jn.chinmay@gmail.com</t>
  </si>
  <si>
    <t>https://www.mckinsey.com/alumni/candidate/49624</t>
  </si>
  <si>
    <t>Product Manager at Waymo</t>
  </si>
  <si>
    <t>mailto:pranav24@gmail.com</t>
  </si>
  <si>
    <t>https://www.mckinsey.com/alumni/candidate/53374</t>
  </si>
  <si>
    <t>Investment banking and PE guy</t>
  </si>
  <si>
    <t xml:space="preserve">Tim </t>
  </si>
  <si>
    <t>Ye</t>
  </si>
  <si>
    <t>mailto:zijia.ye@gmail.com</t>
  </si>
  <si>
    <t>https://www.mckinsey.com/alumni/candidate/11514</t>
  </si>
  <si>
    <t>Works for GLG now</t>
  </si>
  <si>
    <t>MArcia</t>
  </si>
  <si>
    <t>NUffer</t>
  </si>
  <si>
    <t>marcia@blueshor.com</t>
  </si>
  <si>
    <t>+1 404 386 5283</t>
  </si>
  <si>
    <t>https://www.mckinsey.com/alumni/candidate/355414</t>
  </si>
  <si>
    <t>Maggie</t>
  </si>
  <si>
    <t>Hsu</t>
  </si>
  <si>
    <t>margaret.k.hsu@gmail.com</t>
  </si>
  <si>
    <t>https://www.mckinsey.com/alumni/candidate/68824</t>
  </si>
  <si>
    <t>Maria Luisa</t>
  </si>
  <si>
    <t>Grossi</t>
  </si>
  <si>
    <t>marialuisa.grossi@gmail.com</t>
  </si>
  <si>
    <t>https://www.mckinsey.com/alumni/candidate/425074</t>
  </si>
  <si>
    <t>Marissa</t>
  </si>
  <si>
    <t>Brittenham</t>
  </si>
  <si>
    <t>marissa.brittenham@gmail.com</t>
  </si>
  <si>
    <t xml:space="preserve">+1 646 204 6685 </t>
  </si>
  <si>
    <t>https://www.mckinsey.com/alumni/candidate/89354</t>
  </si>
  <si>
    <t>Marleen</t>
  </si>
  <si>
    <t>Relling</t>
  </si>
  <si>
    <t>marleen.relling@gmail.com</t>
  </si>
  <si>
    <t>https://www.mckinsey.com/alumni/candidate/500114320</t>
  </si>
  <si>
    <t>Germany</t>
  </si>
  <si>
    <t>Maureen</t>
  </si>
  <si>
    <t>Mueller</t>
  </si>
  <si>
    <t>maureen.mueller@comcast.net</t>
  </si>
  <si>
    <t>+1 724 554 4718</t>
  </si>
  <si>
    <t>https://www.mckinsey.com/alumni/candidate/283774</t>
  </si>
  <si>
    <t>Mary</t>
  </si>
  <si>
    <t>Brinig</t>
  </si>
  <si>
    <t>mbrinig@gmail.com</t>
  </si>
  <si>
    <t>https://www.mckinsey.com/alumni/candidate/500025023</t>
  </si>
  <si>
    <t>Megan</t>
  </si>
  <si>
    <t>McGill</t>
  </si>
  <si>
    <t>mcgill.megan@gmail.com</t>
  </si>
  <si>
    <t>https://www.mckinsey.com/alumni/candidate/500142899</t>
  </si>
  <si>
    <t>McIntosh</t>
  </si>
  <si>
    <t>mcintosh.adam86@gmail.com</t>
  </si>
  <si>
    <t>https://www.mckinsey.com/alumni/candidate/500121156</t>
  </si>
  <si>
    <t>In McK, MD</t>
  </si>
  <si>
    <t>Miao</t>
  </si>
  <si>
    <t>miaoli_99@hotmail.com</t>
  </si>
  <si>
    <t>+1 608 358 6861</t>
  </si>
  <si>
    <t>https://www.mckinsey.com/alumni/candidate/283404</t>
  </si>
  <si>
    <t>Michele</t>
  </si>
  <si>
    <t>micheleschang@gmail.com</t>
  </si>
  <si>
    <t>https://www.mckinsey.com/alumni/candidate/110264</t>
  </si>
  <si>
    <t>Prevost</t>
  </si>
  <si>
    <t>michelle.prevost@gmail.com</t>
  </si>
  <si>
    <t>+1 781 392 7233</t>
  </si>
  <si>
    <t>https://www.mckinsey.com/alumni/candidate/500112878</t>
  </si>
  <si>
    <t>Knowledge Center</t>
  </si>
  <si>
    <t>Mieko</t>
  </si>
  <si>
    <t>Kikuchi</t>
  </si>
  <si>
    <t>mieko.kikuchi@gmail.com</t>
  </si>
  <si>
    <t>+1 972 342 1818</t>
  </si>
  <si>
    <t>https://www.mckinsey.com/alumni/candidate/420124</t>
  </si>
  <si>
    <t>Mila</t>
  </si>
  <si>
    <t>Adamova</t>
  </si>
  <si>
    <t>mila.adamova@gmail.com</t>
  </si>
  <si>
    <t>+1 202 294 5092</t>
  </si>
  <si>
    <t>https://www.mckinsey.com/alumni/candidate/500098674</t>
  </si>
  <si>
    <t>Mili</t>
  </si>
  <si>
    <t>Seoni</t>
  </si>
  <si>
    <t>mili.seoni@gmail.com</t>
  </si>
  <si>
    <t>https://www.mckinsey.com/alumni/candidate/500099768</t>
  </si>
  <si>
    <t>Morales</t>
  </si>
  <si>
    <t>moralesd@gmail.com</t>
  </si>
  <si>
    <t>https://www.mckinsey.com/alumni/candidate/7660584</t>
  </si>
  <si>
    <t>Lorcan</t>
  </si>
  <si>
    <t>Murphy</t>
  </si>
  <si>
    <t>murphylorcan1@gmail.com</t>
  </si>
  <si>
    <t xml:space="preserve">+1 617 223 7227 </t>
  </si>
  <si>
    <t>https://www.mckinsey.com/alumni/candidate/500148376</t>
  </si>
  <si>
    <t>LGO, Course 1, exNike. Following my path :)</t>
  </si>
  <si>
    <t>Natalie</t>
  </si>
  <si>
    <t>natalieann.perez@gmail.com</t>
  </si>
  <si>
    <t>https://www.mckinsey.com/alumni/candidate/500105306</t>
  </si>
  <si>
    <t>Nathalie</t>
  </si>
  <si>
    <t>Rivest</t>
  </si>
  <si>
    <t>nathalie.rivest@gmail.com</t>
  </si>
  <si>
    <t>https://www.mckinsey.com/alumni/candidate/500099420</t>
  </si>
  <si>
    <t>Neha</t>
  </si>
  <si>
    <t>Zope</t>
  </si>
  <si>
    <t>nehazope@gmail.com</t>
  </si>
  <si>
    <t>https://www.mckinsey.com/alumni/candidate/500094332</t>
  </si>
  <si>
    <t>Nicole</t>
  </si>
  <si>
    <t>Kruijs</t>
  </si>
  <si>
    <t>nkruijs@mba2021.hbs.edu</t>
  </si>
  <si>
    <t>https://www.mckinsey.com/alumni/candidate/500122773</t>
  </si>
  <si>
    <t>Sola</t>
  </si>
  <si>
    <t>Bright</t>
  </si>
  <si>
    <t>oluwasolaolaniyan@gmail.com</t>
  </si>
  <si>
    <t>https://www.mckinsey.com/alumni/candidate/419544</t>
  </si>
  <si>
    <t>Paige</t>
  </si>
  <si>
    <t>Turbeville</t>
  </si>
  <si>
    <t>Paigeturbeville@gmail.com</t>
  </si>
  <si>
    <t>https://www.mckinsey.com/alumni/candidate/7633644</t>
  </si>
  <si>
    <t>Pamela</t>
  </si>
  <si>
    <t>Habib</t>
  </si>
  <si>
    <t>pamelahabib@hotmail.com</t>
  </si>
  <si>
    <t>+1 614 638 1231</t>
  </si>
  <si>
    <t>https://www.mckinsey.com/alumni/candidate/500105201</t>
  </si>
  <si>
    <t>Well</t>
  </si>
  <si>
    <t>Smittinet</t>
  </si>
  <si>
    <t>paramee.w.s@gmail.com</t>
  </si>
  <si>
    <t>+65 9066 1057</t>
  </si>
  <si>
    <t>https://www.mckinsey.com/alumni/candidate/416464</t>
  </si>
  <si>
    <t>Patty</t>
  </si>
  <si>
    <t>Seifert</t>
  </si>
  <si>
    <t>patty_seifert@yahoo.com</t>
  </si>
  <si>
    <t>v</t>
  </si>
  <si>
    <t>https://www.mckinsey.com/alumni/candidate/161844</t>
  </si>
  <si>
    <t>Paula</t>
  </si>
  <si>
    <t>Fernandez</t>
  </si>
  <si>
    <t>paula_holcomb@yahoo.com</t>
  </si>
  <si>
    <t>https://www.mckinsey.com/alumni/candidate/374304</t>
  </si>
  <si>
    <t>Peeyusj</t>
  </si>
  <si>
    <t>peeyush.a@gmail.com</t>
  </si>
  <si>
    <t xml:space="preserve">+65 8799 0023 </t>
  </si>
  <si>
    <t>https://www.mckinsey.com/alumni/candidate/50534</t>
  </si>
  <si>
    <t>Google Singapore</t>
  </si>
  <si>
    <t>Pegah</t>
  </si>
  <si>
    <t>Soltani</t>
  </si>
  <si>
    <t>pegah.soltani@gmail.com</t>
  </si>
  <si>
    <t xml:space="preserve">+44 7583 381155 </t>
  </si>
  <si>
    <t>https://www.mckinsey.com/alumni/candidate/500097685</t>
  </si>
  <si>
    <t>Peter</t>
  </si>
  <si>
    <t>Zhu</t>
  </si>
  <si>
    <t>peterfzhu@gmail.com</t>
  </si>
  <si>
    <t>https://www.mckinsey.com/alumni/candidate/412544</t>
  </si>
  <si>
    <t>Spl PRojects at Appe</t>
  </si>
  <si>
    <t xml:space="preserve">Anna </t>
  </si>
  <si>
    <t>Pikovsky Auerbach</t>
  </si>
  <si>
    <t>pikovsky@gmail.com</t>
  </si>
  <si>
    <t>https://www.mckinsey.com/alumni/candidate/135024</t>
  </si>
  <si>
    <t>Kashyap</t>
  </si>
  <si>
    <t>pranavkashyap@gmail.com</t>
  </si>
  <si>
    <t>https://www.mckinsey.com/alumni/candidate/28784</t>
  </si>
  <si>
    <t>Silicon Valley - Tech - not a fit</t>
  </si>
  <si>
    <t>Rachel</t>
  </si>
  <si>
    <t>Reddy</t>
  </si>
  <si>
    <t>rachel.reddy@gmail.com</t>
  </si>
  <si>
    <t>https://www.mckinsey.com/alumni/candidate/28264</t>
  </si>
  <si>
    <t>Rajamayyoor</t>
  </si>
  <si>
    <t>rajamayyoor@gmail.com</t>
  </si>
  <si>
    <t>https://www.mckinsey.com/alumni/candidate/500052339</t>
  </si>
  <si>
    <t>Tata</t>
  </si>
  <si>
    <t xml:space="preserve">Rajen </t>
  </si>
  <si>
    <t>Makhijani</t>
  </si>
  <si>
    <t>rajen.makhijani@gmail.com</t>
  </si>
  <si>
    <t>+91 98204 08787</t>
  </si>
  <si>
    <t>https://www.mckinsey.com/alumni/candidate/75914</t>
  </si>
  <si>
    <t>Non Profit founder, also worked at Heidrick and Struggles  sent network tap</t>
  </si>
  <si>
    <t>Ranjeetha</t>
  </si>
  <si>
    <t>Bharath</t>
  </si>
  <si>
    <t>ranjeetha1701@gmail.com</t>
  </si>
  <si>
    <t>https://www.mckinsey.com/alumni/candidate/500120785</t>
  </si>
  <si>
    <t>Rohit</t>
  </si>
  <si>
    <t>Razdan</t>
  </si>
  <si>
    <t>razdanrohit@gmail.com</t>
  </si>
  <si>
    <t>+91 97692 16192 (Mobile)</t>
  </si>
  <si>
    <t>https://www.mckinsey.com/alumni/candidate/80974</t>
  </si>
  <si>
    <t>Private equity guy - sent netwrk tap email</t>
  </si>
  <si>
    <t>Ruchi</t>
  </si>
  <si>
    <t>Bansal</t>
  </si>
  <si>
    <t>rbansal26@gmail.com</t>
  </si>
  <si>
    <t>https://www.mckinsey.com/alumni/candidate/123534</t>
  </si>
  <si>
    <t>Gaffney</t>
  </si>
  <si>
    <t>rebecca.gaffney@gmail.com</t>
  </si>
  <si>
    <t>+1 617 510 0094</t>
  </si>
  <si>
    <t>https://www.mckinsey.com/alumni/candidate/199224</t>
  </si>
  <si>
    <t>Robert</t>
  </si>
  <si>
    <t>robert.s.lee@gmail.com</t>
  </si>
  <si>
    <t>https://www.mckinsey.com/alumni/candidate/152634</t>
  </si>
  <si>
    <t>Rocio</t>
  </si>
  <si>
    <t>García Villaverde</t>
  </si>
  <si>
    <t>rociogvillaverde@gmail.com</t>
  </si>
  <si>
    <t>+1 617 784 9396</t>
  </si>
  <si>
    <t>https://www.mckinsey.com/alumni/candidate/500129939</t>
  </si>
  <si>
    <t>Saha</t>
  </si>
  <si>
    <t>ruchira.saha@gmail.com</t>
  </si>
  <si>
    <t>https://www.mckinsey.com/alumni/candidate/407474</t>
  </si>
  <si>
    <t>Rui</t>
  </si>
  <si>
    <t>Bao</t>
  </si>
  <si>
    <t>rui.bao27@gmail.com</t>
  </si>
  <si>
    <t>https://www.mckinsey.com/alumni/candidate/417534</t>
  </si>
  <si>
    <t>Rutika</t>
  </si>
  <si>
    <t>Muchhala</t>
  </si>
  <si>
    <t>rutika.muchhala@gmail.com</t>
  </si>
  <si>
    <t>https://www.mckinsey.com/alumni/candidate/5534</t>
  </si>
  <si>
    <t>Ryohei</t>
  </si>
  <si>
    <t>Takao</t>
  </si>
  <si>
    <t>ryohei32@gmail.com</t>
  </si>
  <si>
    <t>https://www.mckinsey.com/alumni/candidate/139984</t>
  </si>
  <si>
    <t>Netherlands</t>
  </si>
  <si>
    <t>Sesh</t>
  </si>
  <si>
    <t>Addanki</t>
  </si>
  <si>
    <t>saddanki@gmail.com</t>
  </si>
  <si>
    <t>https://www.mckinsey.com/alumni/candidate/500134108</t>
  </si>
  <si>
    <t>Samura</t>
  </si>
  <si>
    <t>Atallah</t>
  </si>
  <si>
    <t>samura.h.atallah@gmail.com</t>
  </si>
  <si>
    <t>https://www.mckinsey.com/alumni/candidate/500142100</t>
  </si>
  <si>
    <t>Sargam</t>
  </si>
  <si>
    <t>Mehta</t>
  </si>
  <si>
    <t>sargam486@gmail.com</t>
  </si>
  <si>
    <t>https://www.mckinsey.com/alumni/candidate/7661534</t>
  </si>
  <si>
    <t>Stephanie</t>
  </si>
  <si>
    <t>sbrowndc@gmail.com</t>
  </si>
  <si>
    <t>https://www.mckinsey.com/alumni/candidate/500099771</t>
  </si>
  <si>
    <t>Sonia</t>
  </si>
  <si>
    <t>Vora</t>
  </si>
  <si>
    <t>sdv9@georgetown.edu</t>
  </si>
  <si>
    <t>https://www.mckinsey.com/alumni/candidate/500122734</t>
  </si>
  <si>
    <t>Sebastien</t>
  </si>
  <si>
    <t>Jakob</t>
  </si>
  <si>
    <t>sebastianwjakob@gmail.com</t>
  </si>
  <si>
    <t>https://www.mckinsey.com/alumni/candidate/7728004</t>
  </si>
  <si>
    <t>Sara</t>
  </si>
  <si>
    <t>Enright</t>
  </si>
  <si>
    <t>sgenright@gmail.com</t>
  </si>
  <si>
    <t>https://www.mckinsey.com/alumni/candidate/76794</t>
  </si>
  <si>
    <t>Shelley</t>
  </si>
  <si>
    <t>Cao</t>
  </si>
  <si>
    <t>Shell.cao@gmail.com</t>
  </si>
  <si>
    <t>https://www.mckinsey.com/alumni/candidate/16864</t>
  </si>
  <si>
    <t>Ho</t>
  </si>
  <si>
    <t>shinn.jean.ho@gmail.com</t>
  </si>
  <si>
    <t>https://www.mckinsey.com/alumni/candidate/48834</t>
  </si>
  <si>
    <t>Shreya</t>
  </si>
  <si>
    <t>shreya_agarwal@hks16.harvard.edu</t>
  </si>
  <si>
    <t>https://www.mckinsey.com/alumni/candidate/500144538</t>
  </si>
  <si>
    <t>Prateek</t>
  </si>
  <si>
    <t>Singhal</t>
  </si>
  <si>
    <t>singhal.prateek@gmail.com</t>
  </si>
  <si>
    <t>+1 415 342 4001</t>
  </si>
  <si>
    <t>https://www.mckinsey.com/alumni/candidate/83784</t>
  </si>
  <si>
    <t>Soo Jean</t>
  </si>
  <si>
    <t>soojean@gmail.com</t>
  </si>
  <si>
    <t>+1 201 400 1456</t>
  </si>
  <si>
    <t>https://www.mckinsey.com/alumni/candidate/7703584</t>
  </si>
  <si>
    <t>Sridatta</t>
  </si>
  <si>
    <t>sridatta07@gmail.com</t>
  </si>
  <si>
    <t>https://www.mckinsey.com/alumni/candidate/500121938</t>
  </si>
  <si>
    <t>Shweta</t>
  </si>
  <si>
    <t>Srikanth</t>
  </si>
  <si>
    <t>srikanth.shweta@gmail.com</t>
  </si>
  <si>
    <t>+1 973 573 2443</t>
  </si>
  <si>
    <t>https://www.mckinsey.com/alumni/candidate/7694784</t>
  </si>
  <si>
    <t>srinivasan.shreya@gmail.com</t>
  </si>
  <si>
    <t>https://www.mckinsey.com/alumni/candidate/500130437</t>
  </si>
  <si>
    <t>Shantnu</t>
  </si>
  <si>
    <t>ssharma@sloan.mit.edu</t>
  </si>
  <si>
    <t>https://www.mckinsey.com/alumni/candidate/87984</t>
  </si>
  <si>
    <t>Yu</t>
  </si>
  <si>
    <t>stephanie.e.yu@gmail.com</t>
  </si>
  <si>
    <t>https://www.mckinsey.com/alumni/candidate/500111397</t>
  </si>
  <si>
    <t>Cheung</t>
  </si>
  <si>
    <t>stephie.cheung@gmail.com</t>
  </si>
  <si>
    <t>https://www.mckinsey.com/alumni/candidate/7615884</t>
  </si>
  <si>
    <t xml:space="preserve">Su  </t>
  </si>
  <si>
    <t>su.david@hotmail.com</t>
  </si>
  <si>
    <t>https://www.mckinsey.com/alumni/candidate/7378984</t>
  </si>
  <si>
    <t>Firm Member - NBA leave</t>
  </si>
  <si>
    <t>Sue</t>
  </si>
  <si>
    <t>sueyang2010@gmail.com</t>
  </si>
  <si>
    <t>https://www.mckinsey.com/alumni/candidate/13834</t>
  </si>
  <si>
    <t>NY - PE not a fit</t>
  </si>
  <si>
    <t>sunico10@gmail.com</t>
  </si>
  <si>
    <t>+1 682 238 7292</t>
  </si>
  <si>
    <t>https://www.mckinsey.com/alumni/candidate/158004</t>
  </si>
  <si>
    <t>VArun</t>
  </si>
  <si>
    <t>Sankar</t>
  </si>
  <si>
    <t>svar2020@gmail.com</t>
  </si>
  <si>
    <t>+91 95919 85310</t>
  </si>
  <si>
    <t>https://www.mckinsey.com/alumni/candidate/500146626</t>
  </si>
  <si>
    <t xml:space="preserve">Amazon INdia </t>
  </si>
  <si>
    <t>LaRue</t>
  </si>
  <si>
    <t>SYLaRue@gmail.com</t>
  </si>
  <si>
    <t>https://www.mckinsey.com/alumni/candidate/7669234</t>
  </si>
  <si>
    <t>Shannon</t>
  </si>
  <si>
    <t>Sawyer</t>
  </si>
  <si>
    <t>szsawyer@gmail.com</t>
  </si>
  <si>
    <t>+1 646 630 3324</t>
  </si>
  <si>
    <t>https://www.mckinsey.com/alumni/candidate/500101836</t>
  </si>
  <si>
    <t>Tammy</t>
  </si>
  <si>
    <t>tammyliu@outlook.com</t>
  </si>
  <si>
    <t>+1 781 996 1583</t>
  </si>
  <si>
    <t>https://www.mckinsey.com/alumni/candidate/500087342</t>
  </si>
  <si>
    <t>Client capability hub</t>
  </si>
  <si>
    <t>tina561@gmail.com</t>
  </si>
  <si>
    <t>https://www.mckinsey.com/alumni/candidate/500127642</t>
  </si>
  <si>
    <t>Previous consulting experience. In WeWork looking for a job :)</t>
  </si>
  <si>
    <t>Tumi</t>
  </si>
  <si>
    <t>Mosuro</t>
  </si>
  <si>
    <t>tmosuro@gmail.com</t>
  </si>
  <si>
    <t>https://www.mckinsey.com/alumni/candidate/500125220</t>
  </si>
  <si>
    <t>tokevinkim@gmail.com</t>
  </si>
  <si>
    <t>https://www.mckinsey.com/alumni/candidate/500127993</t>
  </si>
  <si>
    <t>Taylor</t>
  </si>
  <si>
    <t>Rose</t>
  </si>
  <si>
    <t>TROSE311@GMAIL.COM</t>
  </si>
  <si>
    <t>https://www.mckinsey.com/alumni/candidate/500141611</t>
  </si>
  <si>
    <t>Umang</t>
  </si>
  <si>
    <t>umang.arora910@gmail.com</t>
  </si>
  <si>
    <t>https://www.mckinsey.com/alumni/candidate/500177933</t>
  </si>
  <si>
    <t>Ross MBA 21</t>
  </si>
  <si>
    <t>Valentine</t>
  </si>
  <si>
    <t>valentine.jacqueline@gmail.com</t>
  </si>
  <si>
    <t>https://www.mckinsey.com/alumni/candidate/30274</t>
  </si>
  <si>
    <t>Sharanya</t>
  </si>
  <si>
    <t>Venkat</t>
  </si>
  <si>
    <t>venkat.sharanya@gmail.com</t>
  </si>
  <si>
    <t>https://www.mckinsey.com/alumni/candidate/500139317</t>
  </si>
  <si>
    <t>Widman</t>
  </si>
  <si>
    <t>wendy.widman@gmail.com</t>
  </si>
  <si>
    <t>+1 973 202 8649</t>
  </si>
  <si>
    <t>https://www.mckinsey.com/alumni/candidate/115864</t>
  </si>
  <si>
    <t>Wes</t>
  </si>
  <si>
    <t>Whitaker</t>
  </si>
  <si>
    <t>wes.whitaker@gmail.com</t>
  </si>
  <si>
    <t>https://www.mckinsey.com/alumni/candidate/7684024</t>
  </si>
  <si>
    <t>Ximena</t>
  </si>
  <si>
    <t>Jimenez</t>
  </si>
  <si>
    <t>Ximena.jimenez@litup.cl</t>
  </si>
  <si>
    <t>+1 646 330 3735</t>
  </si>
  <si>
    <t>https://www.mckinsey.com/alumni/candidate/309294</t>
  </si>
  <si>
    <t>Yasmine</t>
  </si>
  <si>
    <t>Nassar</t>
  </si>
  <si>
    <t>y_nassar@aucegypt.edu</t>
  </si>
  <si>
    <t>https://www.mckinsey.com/alumni/candidate/15174</t>
  </si>
  <si>
    <t>Egypt</t>
  </si>
  <si>
    <t>yang.christy.li@gmail.com</t>
  </si>
  <si>
    <t>https://www.mckinsey.com/alumni/candidate/500144599</t>
  </si>
  <si>
    <t>New job july 2019</t>
  </si>
  <si>
    <t>Lynn</t>
  </si>
  <si>
    <t>Tu</t>
  </si>
  <si>
    <t>yltlynn@gmail.com</t>
  </si>
  <si>
    <t>+44 7583 023535</t>
  </si>
  <si>
    <t>https://www.mckinsey.com/alumni/candidate/500052083</t>
  </si>
  <si>
    <t>London - Google</t>
  </si>
  <si>
    <t>Yuan-Ping</t>
  </si>
  <si>
    <t>Huan</t>
  </si>
  <si>
    <t>yuanping.huang0525@gmail.com</t>
  </si>
  <si>
    <t>https://www.mckinsey.com/alumni/candidate/500104058</t>
  </si>
  <si>
    <t xml:space="preserve">Yubing </t>
  </si>
  <si>
    <t>JI</t>
  </si>
  <si>
    <t>yubingji88@gmail.com</t>
  </si>
  <si>
    <t>https://www.mckinsey.com/alumni/candidate/500095236</t>
  </si>
  <si>
    <t>HARDCORE TECH</t>
  </si>
  <si>
    <t>Yun</t>
  </si>
  <si>
    <t>yunw@alum.mit.edu</t>
  </si>
  <si>
    <t>https://www.mckinsey.com/alumni/candidate/500106205</t>
  </si>
  <si>
    <t>Atalie</t>
  </si>
  <si>
    <t>Porter</t>
  </si>
  <si>
    <t>https://www.mckinsey.com/alumni/candidate/500097825</t>
  </si>
  <si>
    <t>Founder - Entrepreneur</t>
  </si>
  <si>
    <t>Conduct Initial Screening</t>
  </si>
  <si>
    <t>STOP - Do not move forward</t>
  </si>
  <si>
    <t>GUillermo</t>
  </si>
  <si>
    <t>Garcia</t>
  </si>
  <si>
    <t xml:space="preserve">ggquin69@yahoo.com </t>
  </si>
  <si>
    <t>Applied through Job posting</t>
  </si>
  <si>
    <t>Ex-Walmart ISD, last worked JB Hunt in Business Continuity Planning, LEft in Feb (not laid off)</t>
  </si>
  <si>
    <t>Does not have PS toolkit, approach not structured, not clear why he left JB Hunt in Feb when it was not a layoff</t>
  </si>
  <si>
    <t>Desai</t>
  </si>
  <si>
    <t>amit8desai@gmail.com</t>
  </si>
  <si>
    <t>https://www.mckinsey.com/alumni/candidate/500099350</t>
  </si>
  <si>
    <t>Pursuing MBA at Kelogg</t>
  </si>
  <si>
    <t>Wanted to understand Walmart roes and culture, stay in touch for later</t>
  </si>
  <si>
    <t>Marguerite</t>
  </si>
  <si>
    <t>margueritebenson13@gmail.com</t>
  </si>
  <si>
    <t>https://www.mckinsey.com/alumni/candidate/500181281</t>
  </si>
  <si>
    <t>Interested in Asia position, passed to Sumeet</t>
  </si>
  <si>
    <t>She declined. Pursuing some other oppurtunity</t>
  </si>
  <si>
    <t>Ming</t>
  </si>
  <si>
    <t>Ruan</t>
  </si>
  <si>
    <t>mingruan99@gmail.com</t>
  </si>
  <si>
    <t xml:space="preserve">+86 131 2205 1605 </t>
  </si>
  <si>
    <t>https://www.mckinsey.com/alumni/candidate/7687674</t>
  </si>
  <si>
    <t>1. Not relavant experience
2. Not enough time at McK (only 1.5 years)</t>
  </si>
  <si>
    <t>Singhi</t>
  </si>
  <si>
    <t>prateekdsinghi@gmail.com</t>
  </si>
  <si>
    <t xml:space="preserve">+91 88864 47609 </t>
  </si>
  <si>
    <t>https://www.mckinsey.com/alumni/candidate/500126016</t>
  </si>
  <si>
    <t>1. Not good in synthesis &amp; top-down communication. No strategy experience. Lot of BFSI experience and limited supply chain &amp; limited Industrials experience
2. Okay for SM level where we can still benefit from consulting toolkit and nurture him into sector &amp; strategy
3. Is leaving current job because the role might be getting shelved</t>
  </si>
  <si>
    <t>prateekj@hotmail.com</t>
  </si>
  <si>
    <t>Referral</t>
  </si>
  <si>
    <t>Sr Asc Dubai</t>
  </si>
  <si>
    <t>NA</t>
  </si>
  <si>
    <t>Yes - Interested / SZ</t>
  </si>
  <si>
    <t>1. Not relavant experience (very long O&amp;G project managemnt &amp; very little Mck)</t>
  </si>
  <si>
    <t>Rinkey</t>
  </si>
  <si>
    <t>rinkey.singh@walmart.com</t>
  </si>
  <si>
    <t>Internal reach out. Probably wants a promotion to Director</t>
  </si>
  <si>
    <t>Sanjeev</t>
  </si>
  <si>
    <t>sanjeevaggarwal@hotmail.com</t>
  </si>
  <si>
    <t>https://www.mckinsey.com/alumni/candidate/500132198</t>
  </si>
  <si>
    <t>Yes to all</t>
  </si>
  <si>
    <t>1. Responded on mail that interested only in US. Then did not repond when we wrote that we also have roles in US</t>
  </si>
  <si>
    <t>Natt</t>
  </si>
  <si>
    <t>Wuttiprapai</t>
  </si>
  <si>
    <t>wuttinat@gmail.com</t>
  </si>
  <si>
    <t>+65 9638 3530</t>
  </si>
  <si>
    <t>https://www.mckinsey.com/alumni/candidate/500119197</t>
  </si>
  <si>
    <t>Yes to SZ/HK/US</t>
  </si>
  <si>
    <t>1. Reason for change not very clear (has recently started new role)
2. Not a lot of relavant experience
3. Execution type profile (vs Strategy)</t>
  </si>
  <si>
    <t>Stop and send note</t>
  </si>
  <si>
    <t>Luis Wu</t>
  </si>
  <si>
    <t>Cuan</t>
  </si>
  <si>
    <t>lwucuan@hotmail.com</t>
  </si>
  <si>
    <t>https://www.mckinsey.com/alumni/candidate/500085401</t>
  </si>
  <si>
    <t>Mck Implementation - 21 years exp</t>
  </si>
  <si>
    <t>Very Ops Excellence focussed, has no EM expereince, McK Implementation, Potentially low Exec Presence, Prefers BVL, Not actively looking, Do not move ahead</t>
  </si>
  <si>
    <t>gauravjain.gj@gmail.com</t>
  </si>
  <si>
    <t>https://www.mckinsey.com/alumni/candidate/403934</t>
  </si>
  <si>
    <t>Mck KNowledge center and Bain as Project leader</t>
  </si>
  <si>
    <t>Interested - handing over to Sumeet</t>
  </si>
  <si>
    <t>Lot more into progam management. Not too much strategy experience. Can consider for SM type roles in PM in future.</t>
  </si>
  <si>
    <t>Angel</t>
  </si>
  <si>
    <t>a.tsai22@gmail.com</t>
  </si>
  <si>
    <t>https://www.mckinsey.com/alumni/candidate/500181247</t>
  </si>
  <si>
    <t>No, will pass along to network</t>
  </si>
  <si>
    <t>Blachman</t>
  </si>
  <si>
    <t>anna.blachman@gmail.com</t>
  </si>
  <si>
    <t>https://www.mckinsey.com/alumni/candidate/500166900</t>
  </si>
  <si>
    <t>No, Will pass along to others</t>
  </si>
  <si>
    <t>Apoorv</t>
  </si>
  <si>
    <t>apoorvb03@gmail.com</t>
  </si>
  <si>
    <t>+62 811 8464 949</t>
  </si>
  <si>
    <t>https://www.mckinsey.com/alumni/candidate/500122936</t>
  </si>
  <si>
    <t>No - will refer</t>
  </si>
  <si>
    <t>Deeksha</t>
  </si>
  <si>
    <t>Hebbar</t>
  </si>
  <si>
    <t>deeksha.hebbar@gmail.com</t>
  </si>
  <si>
    <t>+1 646 203 1133</t>
  </si>
  <si>
    <t>https://www.mckinsey.com/alumni/candidate/130624</t>
  </si>
  <si>
    <t>Not looking for change now</t>
  </si>
  <si>
    <t>Philipp</t>
  </si>
  <si>
    <t>Mengeringhaus</t>
  </si>
  <si>
    <t>JanPhilipp.Mengeringhaus@gmail.com</t>
  </si>
  <si>
    <t xml:space="preserve">+1 650 546 9392 </t>
  </si>
  <si>
    <t>https://www.mckinsey.com/alumni/candidate/107294</t>
  </si>
  <si>
    <t>Not interested, stay in touch</t>
  </si>
  <si>
    <t>Jeremy</t>
  </si>
  <si>
    <t>jeremy.zhang@gatech.edu</t>
  </si>
  <si>
    <t>https://www.mckinsey.com/alumni/candidate/114994</t>
  </si>
  <si>
    <t>Will help spread the word</t>
  </si>
  <si>
    <t xml:space="preserve">Nikhilesh </t>
  </si>
  <si>
    <t>Chaudhary</t>
  </si>
  <si>
    <t>mail.nikhilesh@gmail.com</t>
  </si>
  <si>
    <t>+65 9100 7250</t>
  </si>
  <si>
    <t>https://www.mckinsey.com/alumni/candidate/500025207</t>
  </si>
  <si>
    <t>Business Dev guy at Paypal</t>
  </si>
  <si>
    <t>Not intrested and introduced Pratik</t>
  </si>
  <si>
    <t>Yujun</t>
  </si>
  <si>
    <t>mailto:yujoonk@gmail.com</t>
  </si>
  <si>
    <t>https://www.mckinsey.com/alumni/candidate/500113366</t>
  </si>
  <si>
    <t>Was an Ops Expert in PSM at Mckinsey - Partner at EY right now</t>
  </si>
  <si>
    <t>Interested but probably too tenured</t>
  </si>
  <si>
    <t>He declined. Pursuing some other oppurtunity</t>
  </si>
  <si>
    <t>Mohan</t>
  </si>
  <si>
    <t>Rajagopalan</t>
  </si>
  <si>
    <t>mohan.rajagopalan@gmail.com</t>
  </si>
  <si>
    <t>https://www.mckinsey.com/alumni/candidate/427824</t>
  </si>
  <si>
    <t>Hardcore TEch GUy</t>
  </si>
  <si>
    <t>Bhatia</t>
  </si>
  <si>
    <t>p_bhatia@msn.com</t>
  </si>
  <si>
    <t>https://www.mckinsey.com/alumni/candidate/168164</t>
  </si>
  <si>
    <t>Only interested in Seattle</t>
  </si>
  <si>
    <t>Stacy</t>
  </si>
  <si>
    <t>Stutz</t>
  </si>
  <si>
    <t>stacy.stutz@comcast.net</t>
  </si>
  <si>
    <t>https://www.mckinsey.com/alumni/candidate/500168819</t>
  </si>
  <si>
    <t>No, not willing to relocate</t>
  </si>
  <si>
    <t>sumeet.g0187@gmail.com</t>
  </si>
  <si>
    <t>Interested, in Shenzhen</t>
  </si>
  <si>
    <t>Not clear what he wants to do. Exploring this oppurtunity due to CTL situation in firm
Not sufficiently deep strategy or supply chain experience.</t>
  </si>
  <si>
    <t>Parmar</t>
  </si>
  <si>
    <t>susanparmar11@gmail.com</t>
  </si>
  <si>
    <t>+1 812 204 8099</t>
  </si>
  <si>
    <t>https://www.mckinsey.com/alumni/candidate/500177645</t>
  </si>
  <si>
    <t>Looking for INternship</t>
  </si>
  <si>
    <t>Yue</t>
  </si>
  <si>
    <t>Dai</t>
  </si>
  <si>
    <t>yue.jessica.dai@gmail.com</t>
  </si>
  <si>
    <t>https://www.mckinsey.com/alumni/candidate/500095382</t>
  </si>
  <si>
    <t>Olga</t>
  </si>
  <si>
    <t>Perkovic</t>
  </si>
  <si>
    <t>https://www.mckinsey.com/alumni/candidate/364024</t>
  </si>
  <si>
    <t>Deceased</t>
  </si>
  <si>
    <t xml:space="preserve">Ashish </t>
  </si>
  <si>
    <t>Srivastava</t>
  </si>
  <si>
    <t>https://www.mckinsey.com/alumni/candidate/50814</t>
  </si>
  <si>
    <t>NO CONTACT INFO PROVIDED IN PROFILE</t>
  </si>
  <si>
    <t>a</t>
  </si>
  <si>
    <t xml:space="preserve">Lei </t>
  </si>
  <si>
    <t>https://www.mckinsey.com/alumni/candidate/7708524</t>
  </si>
  <si>
    <t>Key Formula</t>
  </si>
  <si>
    <t>=FILTER(INDEX(Contact[#Data],SEQUENCE(ROWS(Contact[#Data])),{5,6,16,17,18,8}),(Contact[Season]=$C$3)*(Contact[Latest]=TRUE)*(Contact[Asssigned]=$C$6))</t>
  </si>
  <si>
    <t>Select season for which you want to see tasks</t>
  </si>
  <si>
    <t>Current date</t>
  </si>
  <si>
    <t>Assignee</t>
  </si>
  <si>
    <t>Miguel Sanchez</t>
  </si>
  <si>
    <t>Select name of assignee</t>
  </si>
  <si>
    <t># of tasks</t>
  </si>
  <si>
    <t>Select cell with candidate name and click to edit</t>
  </si>
  <si>
    <t>Select cell with candidate name and click update button to see full history</t>
  </si>
  <si>
    <t>MY PENDING TASKS</t>
  </si>
  <si>
    <t>Last Contact Notes</t>
  </si>
  <si>
    <t>Next Action</t>
  </si>
  <si>
    <t>Last Contact Date</t>
  </si>
  <si>
    <t>Last Contactor</t>
  </si>
  <si>
    <t>Active</t>
  </si>
  <si>
    <t>Active Flag</t>
  </si>
  <si>
    <t>Jan Wilk</t>
  </si>
  <si>
    <t>Gage Interest</t>
  </si>
  <si>
    <t>(blank)</t>
  </si>
  <si>
    <t>Director Global Sourcing Strategy</t>
  </si>
  <si>
    <t>Alum</t>
  </si>
  <si>
    <t>XLOOKUP([@[Final Decision]],Table3[Final Decision],Table3[Active],FALSE)</t>
  </si>
  <si>
    <t>April Yang</t>
  </si>
  <si>
    <t>Sun Kim</t>
  </si>
  <si>
    <t>Aakash Jhaveri</t>
  </si>
  <si>
    <t>Phone Screen</t>
  </si>
  <si>
    <t>Aaron Montgomery</t>
  </si>
  <si>
    <t>Abby Braiman</t>
  </si>
  <si>
    <t>Abby Chao</t>
  </si>
  <si>
    <t>Abhilash Bhat</t>
  </si>
  <si>
    <t>Abhinav Bhalla</t>
  </si>
  <si>
    <t>Abhiroop Medhekar</t>
  </si>
  <si>
    <t>Abhishek Aggrawal</t>
  </si>
  <si>
    <t>Adam Brown</t>
  </si>
  <si>
    <t>Adam McIntosh</t>
  </si>
  <si>
    <t>Adrian Soriano</t>
  </si>
  <si>
    <t>Afraaz Irani</t>
  </si>
  <si>
    <t>Ahmed Rashad</t>
  </si>
  <si>
    <t>Aihua Kralovic</t>
  </si>
  <si>
    <t>Ajay Nair</t>
  </si>
  <si>
    <t>Akhilesh Chauhan</t>
  </si>
  <si>
    <t>Albert Chang</t>
  </si>
  <si>
    <t>Alex Bryant</t>
  </si>
  <si>
    <t>Alison Nichols</t>
  </si>
  <si>
    <t>Allyson Pritchett</t>
  </si>
  <si>
    <t>Aman Sethi</t>
  </si>
  <si>
    <t>Amanda Bayagich Short</t>
  </si>
  <si>
    <t>Amanda Needham</t>
  </si>
  <si>
    <t>Amit Desai</t>
  </si>
  <si>
    <t>Amit Garg</t>
  </si>
  <si>
    <t>Amit Mahendru</t>
  </si>
  <si>
    <t>1. Good mix of background
2. Exposure in mostly non Industrials domain but can be moulded to Industrials and sourcing in some time
3. Relatively junior but promising for runway to Director in 2 - 3 years
Yes to SZ/HK</t>
  </si>
  <si>
    <t>Pending</t>
  </si>
  <si>
    <t>Amy Wang</t>
  </si>
  <si>
    <t>Anand  Ramachandran</t>
  </si>
  <si>
    <t>ANanth Lalithakumar</t>
  </si>
  <si>
    <t>Andre Soldo</t>
  </si>
  <si>
    <t>Andrew Gonce</t>
  </si>
  <si>
    <t>Andrew Tang</t>
  </si>
  <si>
    <t>Andrew Wong</t>
  </si>
  <si>
    <t>Angel Lin</t>
  </si>
  <si>
    <t>Angela Hung Byers Byers</t>
  </si>
  <si>
    <t>Angelique Chao</t>
  </si>
  <si>
    <t>Ani Mukkavilli</t>
  </si>
  <si>
    <t>Anisa Nwachuku</t>
  </si>
  <si>
    <t>Anita Ngai</t>
  </si>
  <si>
    <t>Anju Khetan</t>
  </si>
  <si>
    <t>Anna Blachman</t>
  </si>
  <si>
    <t>Anna Chen</t>
  </si>
  <si>
    <t>Anna  Pikovsky Auerbach</t>
  </si>
  <si>
    <t>Annie Tang</t>
  </si>
  <si>
    <t>Anthony LaVita</t>
  </si>
  <si>
    <t>Anubhuti Gautam</t>
  </si>
  <si>
    <t>Aparna Kaushal</t>
  </si>
  <si>
    <t>Apoorv Bhatnagar</t>
  </si>
  <si>
    <t>Arjun Gobinath</t>
  </si>
  <si>
    <t>Arjun  KOchar</t>
  </si>
  <si>
    <t>Arno Alarcon</t>
  </si>
  <si>
    <t>Asad Abdul Muhammad</t>
  </si>
  <si>
    <t>Asha Rangaraj</t>
  </si>
  <si>
    <t>Ashish Juneja</t>
  </si>
  <si>
    <t>Ashish  Srivastava</t>
  </si>
  <si>
    <t>Ashley Dreier</t>
  </si>
  <si>
    <t>Ashley Zhou</t>
  </si>
  <si>
    <t>Asuka Qin</t>
  </si>
  <si>
    <t>Atalie Porter</t>
  </si>
  <si>
    <t>BAdri Rengarajan</t>
  </si>
  <si>
    <t>Ben Sun</t>
  </si>
  <si>
    <t>Bern Ebersole</t>
  </si>
  <si>
    <t>Betsy Masiello</t>
  </si>
  <si>
    <t>Brad Sostack</t>
  </si>
  <si>
    <t>Brenna Benson</t>
  </si>
  <si>
    <t>Brian Lo</t>
  </si>
  <si>
    <t>Bruna Macedo Porto</t>
  </si>
  <si>
    <t>Candice Kenny</t>
  </si>
  <si>
    <t>Caroline Taich</t>
  </si>
  <si>
    <t>Cassie Zhang</t>
  </si>
  <si>
    <t>Chao Xu</t>
  </si>
  <si>
    <t>Chee Hoong Chung</t>
  </si>
  <si>
    <t>Chinmay  Jain</t>
  </si>
  <si>
    <t>Chintan Dhebar</t>
  </si>
  <si>
    <t>Chloe Shapiro</t>
  </si>
  <si>
    <t>Chris Bailey</t>
  </si>
  <si>
    <t>Christoph Sandler</t>
  </si>
  <si>
    <t>Cindy Luong</t>
  </si>
  <si>
    <t>Cissy Dong</t>
  </si>
  <si>
    <t>Claire Tramm</t>
  </si>
  <si>
    <t>Claudio Innocente</t>
  </si>
  <si>
    <t>Daniel Morales</t>
  </si>
  <si>
    <t>Daniel Shen</t>
  </si>
  <si>
    <t>Danielle Fisher</t>
  </si>
  <si>
    <t>Daria Makhoukova</t>
  </si>
  <si>
    <t>Darien  Lee</t>
  </si>
  <si>
    <t xml:space="preserve">David Su  </t>
  </si>
  <si>
    <t>David Yin</t>
  </si>
  <si>
    <t>Deeksha Hebbar</t>
  </si>
  <si>
    <t>Deepali Narula</t>
  </si>
  <si>
    <t>Dev Ramchandani</t>
  </si>
  <si>
    <t>Dev Yusmananda</t>
  </si>
  <si>
    <t>Dhavanthi Hariharan</t>
  </si>
  <si>
    <t>Dileep Sathyanarayana</t>
  </si>
  <si>
    <t>Dilly Soemantri</t>
  </si>
  <si>
    <t>Divya Agarwal</t>
  </si>
  <si>
    <t>Dongwook Choi</t>
  </si>
  <si>
    <t>Ebony Blue</t>
  </si>
  <si>
    <t>Efren Bonner</t>
  </si>
  <si>
    <t>Elena Cant</t>
  </si>
  <si>
    <t>Elena Mixon</t>
  </si>
  <si>
    <t>Elissa Ashwood</t>
  </si>
  <si>
    <t>Ellen Badger</t>
  </si>
  <si>
    <t>Emily Osborne</t>
  </si>
  <si>
    <t>Enric Casals</t>
  </si>
  <si>
    <t>Enrique Ruiz</t>
  </si>
  <si>
    <t>Eric Marnandus</t>
  </si>
  <si>
    <t>Eugene Romakin</t>
  </si>
  <si>
    <t>Felix Oliha</t>
  </si>
  <si>
    <t>Feng Chen</t>
  </si>
  <si>
    <t>Feng Li Sheng</t>
  </si>
  <si>
    <t>Fern Sharma</t>
  </si>
  <si>
    <t>Florin Pustea</t>
  </si>
  <si>
    <t>Francesco Abate</t>
  </si>
  <si>
    <t>Frank Mora</t>
  </si>
  <si>
    <t>Gaurav Agarwal</t>
  </si>
  <si>
    <t>Gaurav Jain</t>
  </si>
  <si>
    <t>Gaurav Shah</t>
  </si>
  <si>
    <t>Geoff Allen</t>
  </si>
  <si>
    <t>Ghanshyam Devnani</t>
  </si>
  <si>
    <t>Ginny Too</t>
  </si>
  <si>
    <t>Grace-Ann Baker</t>
  </si>
  <si>
    <t>GUillermo Garcia</t>
  </si>
  <si>
    <t>Gurmukh  Chhabra</t>
  </si>
  <si>
    <t>Guruprasad Sankaranarayan</t>
  </si>
  <si>
    <t>Hai-Linh Nguyen</t>
  </si>
  <si>
    <t>Hammad Rahman</t>
  </si>
  <si>
    <t>Hannah Yan</t>
  </si>
  <si>
    <t>Harish Yadav</t>
  </si>
  <si>
    <t>Harsh Goyal</t>
  </si>
  <si>
    <t>Himanshu Arora</t>
  </si>
  <si>
    <t>Hirokazu Seki</t>
  </si>
  <si>
    <t>Hong  Li</t>
  </si>
  <si>
    <t>Hung Nguyen</t>
  </si>
  <si>
    <t>Ian Mombru</t>
  </si>
  <si>
    <t>Ian St-Maurice</t>
  </si>
  <si>
    <t>Jack Baer</t>
  </si>
  <si>
    <t>Jackie BAss</t>
  </si>
  <si>
    <t>Jackie Valentine</t>
  </si>
  <si>
    <t>Jacqueline Wingfield</t>
  </si>
  <si>
    <t>Janet Gao</t>
  </si>
  <si>
    <t>Janice Pai</t>
  </si>
  <si>
    <t>Jared Barnett</t>
  </si>
  <si>
    <t>Jared Leopold</t>
  </si>
  <si>
    <t>Jason Li</t>
  </si>
  <si>
    <t>Jayoon Yi</t>
  </si>
  <si>
    <t>Jean Ho</t>
  </si>
  <si>
    <t>Jean Park</t>
  </si>
  <si>
    <t>Jeannice Tse</t>
  </si>
  <si>
    <t>Jen Warner</t>
  </si>
  <si>
    <t>Jenna Kelly</t>
  </si>
  <si>
    <t>Jenna Zerker</t>
  </si>
  <si>
    <t>Jenny  Lu</t>
  </si>
  <si>
    <t>Jeremy Zhang</t>
  </si>
  <si>
    <t xml:space="preserve">Jessica Li </t>
  </si>
  <si>
    <t>Jimmy Zhang</t>
  </si>
  <si>
    <t>Jin Tao</t>
  </si>
  <si>
    <t>Jing Wang</t>
  </si>
  <si>
    <t>JIngyi Zhang</t>
  </si>
  <si>
    <t>Joanna Maryewska</t>
  </si>
  <si>
    <t>John Wu</t>
  </si>
  <si>
    <t>Jose Garza Estrada</t>
  </si>
  <si>
    <t>Joseph Owens</t>
  </si>
  <si>
    <t>JOshep LIm</t>
  </si>
  <si>
    <t>Julia Barclay</t>
  </si>
  <si>
    <t>Juliana McLain</t>
  </si>
  <si>
    <t>Juliette Han</t>
  </si>
  <si>
    <t>Junaid Mohiuddin</t>
  </si>
  <si>
    <t>Jung Min Ahn</t>
  </si>
  <si>
    <t>Junko Tashiro</t>
  </si>
  <si>
    <t>Jyoti Prakash  Datta</t>
  </si>
  <si>
    <t>Kamille Palanca</t>
  </si>
  <si>
    <t>Kandice Lord</t>
  </si>
  <si>
    <t>Kanika Singal</t>
  </si>
  <si>
    <t>Karan Gandhi</t>
  </si>
  <si>
    <t>Karan Malhotra</t>
  </si>
  <si>
    <t>Karen Chen</t>
  </si>
  <si>
    <t>Kate Augustine</t>
  </si>
  <si>
    <t>Kate Lowry</t>
  </si>
  <si>
    <t>Kate Yang</t>
  </si>
  <si>
    <t>Katharina Petrasch</t>
  </si>
  <si>
    <t>Kathleen  Wong</t>
  </si>
  <si>
    <t>Katie Straub</t>
  </si>
  <si>
    <t>Kaushik VSR</t>
  </si>
  <si>
    <t>Kay Teo</t>
  </si>
  <si>
    <t>Keily Miller</t>
  </si>
  <si>
    <t>Keith Chaney</t>
  </si>
  <si>
    <t>Keith Green</t>
  </si>
  <si>
    <t>Kelly Wagner</t>
  </si>
  <si>
    <t>Kemal  Nasser</t>
  </si>
  <si>
    <t>Kevin Kim</t>
  </si>
  <si>
    <t>Kevin Opoku</t>
  </si>
  <si>
    <t>Kinshuk Kocher</t>
  </si>
  <si>
    <t>Komal Agarwal</t>
  </si>
  <si>
    <t>Krisrten La Mont</t>
  </si>
  <si>
    <t>Kristin Sahyouni</t>
  </si>
  <si>
    <t>Krupal  Parchure</t>
  </si>
  <si>
    <t>Kuldeep Kumar</t>
  </si>
  <si>
    <t>KUldeep  Kumar Upadhaya</t>
  </si>
  <si>
    <t>Lance Li</t>
  </si>
  <si>
    <t>Laura Gonçalves da Camara</t>
  </si>
  <si>
    <t>Laura Stonikas</t>
  </si>
  <si>
    <t>1. Good communicator
2. Most likely has consulting toolkit in place
3. Keen to move to HK and Keen to learn new stuff
4. Almost no experience in SCM and very limited strategy experience. Will for sure have a much longer learning curve
Would like to test on case study incase we proceed to next round</t>
  </si>
  <si>
    <t>Laura Sztejnberg</t>
  </si>
  <si>
    <t>Lei  Liu</t>
  </si>
  <si>
    <t>Leo Kim</t>
  </si>
  <si>
    <t>Li Miao</t>
  </si>
  <si>
    <t>Lily Perez</t>
  </si>
  <si>
    <t>Liz Jenkins</t>
  </si>
  <si>
    <t>Lorcan Murphy</t>
  </si>
  <si>
    <t>Luis Escobedo</t>
  </si>
  <si>
    <t>Luis Wu Cuan</t>
  </si>
  <si>
    <t>Luise Hampl</t>
  </si>
  <si>
    <t>Lynn Tu</t>
  </si>
  <si>
    <t>Madhu Srinivasan</t>
  </si>
  <si>
    <t>Maggie Hsu</t>
  </si>
  <si>
    <t>Maheswari Govindaraju</t>
  </si>
  <si>
    <t>Manu Lakshmanan</t>
  </si>
  <si>
    <t>Manuj Jain</t>
  </si>
  <si>
    <t>MArcia NUffer</t>
  </si>
  <si>
    <t>Marguerite Benson</t>
  </si>
  <si>
    <t>Maria Luisa Grossi</t>
  </si>
  <si>
    <t>Marie Sophie Jaroni</t>
  </si>
  <si>
    <t>Marissa Brittenham</t>
  </si>
  <si>
    <t>Marleen Relling</t>
  </si>
  <si>
    <t>Mary Brinig</t>
  </si>
  <si>
    <t>Matthew Rosenberg</t>
  </si>
  <si>
    <t>Maureen Mueller</t>
  </si>
  <si>
    <t>Meagan Dietz</t>
  </si>
  <si>
    <t>Megan McGill</t>
  </si>
  <si>
    <t>Meghana Rajeshwar</t>
  </si>
  <si>
    <t>Michael Tayter</t>
  </si>
  <si>
    <t>Michael Xu Liu</t>
  </si>
  <si>
    <t>Michele Chang</t>
  </si>
  <si>
    <t>Michelle Bai</t>
  </si>
  <si>
    <t>Michelle Prevost</t>
  </si>
  <si>
    <t>Mieko Kikuchi</t>
  </si>
  <si>
    <t>Mila Adamova</t>
  </si>
  <si>
    <t>Milan Patel</t>
  </si>
  <si>
    <t>Mili Seoni</t>
  </si>
  <si>
    <t>Ming Ruan</t>
  </si>
  <si>
    <t>Mohan Rajagopalan</t>
  </si>
  <si>
    <t>Mohsan Elahi</t>
  </si>
  <si>
    <t>Muhammad Arslan</t>
  </si>
  <si>
    <t>Bright and articulate person
Wants to get into operating organization Probably not thinking it through as he is abut to complete pre-Associate program and become AssociateNeeds a bit more finishing - one for the future not now
Potential next round (Sr Mgr)</t>
  </si>
  <si>
    <t>Murtaza Jafri</t>
  </si>
  <si>
    <t>Nancy Chang</t>
  </si>
  <si>
    <t>Natalie Perez</t>
  </si>
  <si>
    <t>Nathalie Rivest</t>
  </si>
  <si>
    <t>Natt Wuttiprapai</t>
  </si>
  <si>
    <t>Neeraj Gupta</t>
  </si>
  <si>
    <t>Neha Zope</t>
  </si>
  <si>
    <t>Nicole Kruijs</t>
  </si>
  <si>
    <t>Nikhil Gupta</t>
  </si>
  <si>
    <t>Nikhil Menon</t>
  </si>
  <si>
    <t>Nikhilesh  Chaudhary</t>
  </si>
  <si>
    <t>Olga Perkovic</t>
  </si>
  <si>
    <t>Paige Turbeville</t>
  </si>
  <si>
    <t>Pamela Habib</t>
  </si>
  <si>
    <t>Parag Gandhi</t>
  </si>
  <si>
    <t>Patty Seifert</t>
  </si>
  <si>
    <t>Paula Fernandez</t>
  </si>
  <si>
    <t>Peeyusj Agarwal</t>
  </si>
  <si>
    <t>Pegah Soltani</t>
  </si>
  <si>
    <t>Peter Zhu</t>
  </si>
  <si>
    <t>Philipp Mengeringhaus</t>
  </si>
  <si>
    <t>Prachi Tiwari</t>
  </si>
  <si>
    <t>Pranav Kashyap</t>
  </si>
  <si>
    <t>Pranav Kumar</t>
  </si>
  <si>
    <t>Pranav Potbhare</t>
  </si>
  <si>
    <t>Prashant Bhatia</t>
  </si>
  <si>
    <t>Prashant Kumar</t>
  </si>
  <si>
    <t>Prateek Jain</t>
  </si>
  <si>
    <t>Prateek Singhal</t>
  </si>
  <si>
    <t>Prateek Singhi</t>
  </si>
  <si>
    <t>Priyadarshini Routh</t>
  </si>
  <si>
    <t>Priyank Agarwal</t>
  </si>
  <si>
    <t>Puneet Jain</t>
  </si>
  <si>
    <t>Punit Shah</t>
  </si>
  <si>
    <t>Qianqian Zhao</t>
  </si>
  <si>
    <t>Rachel Reddy</t>
  </si>
  <si>
    <t>Radhika Aggarwal</t>
  </si>
  <si>
    <t>Rahul Shinde</t>
  </si>
  <si>
    <t>Rajamayyoor Sharma</t>
  </si>
  <si>
    <t>Rajeev Menon</t>
  </si>
  <si>
    <t>Rajen  Makhijani</t>
  </si>
  <si>
    <t>Rajesh S</t>
  </si>
  <si>
    <t>Raman Baijal</t>
  </si>
  <si>
    <t>Ramandeep Chawla</t>
  </si>
  <si>
    <t>Ramit Bhatnagar</t>
  </si>
  <si>
    <t>Rangga Maharga</t>
  </si>
  <si>
    <t>Ranjeetha Bharath</t>
  </si>
  <si>
    <t>Rashmi Patil</t>
  </si>
  <si>
    <t>Good talent, no strategy or consulting toolkit</t>
  </si>
  <si>
    <t>Ravneet Uberoi</t>
  </si>
  <si>
    <t>Raza Gill</t>
  </si>
  <si>
    <t>Rebecca Gaffney</t>
  </si>
  <si>
    <t>Rebecca Mathew</t>
  </si>
  <si>
    <t>Reid Li</t>
  </si>
  <si>
    <t>Rinkey Singh</t>
  </si>
  <si>
    <t>Ritoban Banerjee</t>
  </si>
  <si>
    <t>Roawin Luo</t>
  </si>
  <si>
    <t>Robert Lee</t>
  </si>
  <si>
    <t>Roberto Sanchez Garvin</t>
  </si>
  <si>
    <t>Rocio García Villaverde</t>
  </si>
  <si>
    <t>Roger Luo</t>
  </si>
  <si>
    <t>Rohit Razdan</t>
  </si>
  <si>
    <t>Ruchi Bansal</t>
  </si>
  <si>
    <t>Ruchi Saha</t>
  </si>
  <si>
    <t>Rui Bao</t>
  </si>
  <si>
    <t>Rutika Muchhala</t>
  </si>
  <si>
    <t>Ryan Price</t>
  </si>
  <si>
    <t>Ryohei Takao</t>
  </si>
  <si>
    <t>Saad Khawaja</t>
  </si>
  <si>
    <t>Sam Ng</t>
  </si>
  <si>
    <t>Samantha Kaiser</t>
  </si>
  <si>
    <t>Samura Atallah</t>
  </si>
  <si>
    <t>Sandeep Kulkarni</t>
  </si>
  <si>
    <t>Sanjeev Aggarwal</t>
  </si>
  <si>
    <t>Sanjeev Ranjan  Singh</t>
  </si>
  <si>
    <t>Sara Enright</t>
  </si>
  <si>
    <t>Sargam Mehta</t>
  </si>
  <si>
    <t>Satyajit Ghosh Dastidar</t>
  </si>
  <si>
    <t>Saurabh Gupta</t>
  </si>
  <si>
    <t>Sebastien Jakob</t>
  </si>
  <si>
    <t>Sesh Addanki</t>
  </si>
  <si>
    <t>Shannon Sawyer</t>
  </si>
  <si>
    <t>Shantnu Sharma</t>
  </si>
  <si>
    <t>Sharad Gupta</t>
  </si>
  <si>
    <t>Sharanya Venkat</t>
  </si>
  <si>
    <t>Shelley Cao</t>
  </si>
  <si>
    <t>Shirin Krall</t>
  </si>
  <si>
    <t>Shirley Tran</t>
  </si>
  <si>
    <t>Shivesh Verma</t>
  </si>
  <si>
    <t>Shreya Agarwal</t>
  </si>
  <si>
    <t>Shreya Srinivasan</t>
  </si>
  <si>
    <t>Shreya  Bahri</t>
  </si>
  <si>
    <t>Shuyin Sim</t>
  </si>
  <si>
    <t>Shweta Srikanth</t>
  </si>
  <si>
    <t>Simha Kumar</t>
  </si>
  <si>
    <t>Simranjeet Singh</t>
  </si>
  <si>
    <t>Sola Bright</t>
  </si>
  <si>
    <t>Sonia Vora</t>
  </si>
  <si>
    <t>Soo Jean Kim</t>
  </si>
  <si>
    <t>Sridatta Singh</t>
  </si>
  <si>
    <t>Stacy Stutz</t>
  </si>
  <si>
    <t>Stephanie Brown</t>
  </si>
  <si>
    <t>Stephanie Cheung</t>
  </si>
  <si>
    <t>Stephanie LaRue</t>
  </si>
  <si>
    <t>Stephanie Yu</t>
  </si>
  <si>
    <t>Su Liu</t>
  </si>
  <si>
    <t>Subbu Subbu Chidambaran</t>
  </si>
  <si>
    <t>Subhronil Ghosh</t>
  </si>
  <si>
    <t>Sue Yang</t>
  </si>
  <si>
    <t>Sumeet Gupta</t>
  </si>
  <si>
    <t>Sumin Koo</t>
  </si>
  <si>
    <t>Sumit  Narang</t>
  </si>
  <si>
    <t>Suneet Khanna</t>
  </si>
  <si>
    <t>Susan Ahn</t>
  </si>
  <si>
    <t>Susan Parmar</t>
  </si>
  <si>
    <t>Susanna Freer Epstein</t>
  </si>
  <si>
    <t>Sushant Gupta</t>
  </si>
  <si>
    <t>Suyeon Yoo</t>
  </si>
  <si>
    <t>Taegyun Moon</t>
  </si>
  <si>
    <t>Taejin Kang</t>
  </si>
  <si>
    <t>Taek Chung</t>
  </si>
  <si>
    <t>Tammy Liu</t>
  </si>
  <si>
    <t>Tanuj Mittal</t>
  </si>
  <si>
    <t>Tarra Sharp</t>
  </si>
  <si>
    <t>Taylor Rose</t>
  </si>
  <si>
    <t>Teresa Nick</t>
  </si>
  <si>
    <t>Thea Tan</t>
  </si>
  <si>
    <t>Thomas Koskella</t>
  </si>
  <si>
    <t>Tian Roelofse</t>
  </si>
  <si>
    <t>Tibor Pakozdi</t>
  </si>
  <si>
    <t>Tiffany Lin</t>
  </si>
  <si>
    <t>Tim  Ye</t>
  </si>
  <si>
    <t>Tina Lee</t>
  </si>
  <si>
    <t>Tina Lin</t>
  </si>
  <si>
    <t>Tina Shah</t>
  </si>
  <si>
    <t>Tingting Xu</t>
  </si>
  <si>
    <t>Toan Tran-Phu</t>
  </si>
  <si>
    <t>Tom Hamilton</t>
  </si>
  <si>
    <t>Tumi Mosuro</t>
  </si>
  <si>
    <t>Udayan Mittal</t>
  </si>
  <si>
    <t>Umang Arora</t>
  </si>
  <si>
    <t>Valerie Tan</t>
  </si>
  <si>
    <t>Varun Kaushik</t>
  </si>
  <si>
    <t>Varun Sankar</t>
  </si>
  <si>
    <t>Vineet Singh</t>
  </si>
  <si>
    <t>Vishy Swarup</t>
  </si>
  <si>
    <t>Vivek  Singh</t>
  </si>
  <si>
    <t>Wai-Hoong Leung</t>
  </si>
  <si>
    <t>Well Smittinet</t>
  </si>
  <si>
    <t>Wendy Widman</t>
  </si>
  <si>
    <t>Wendy Wong</t>
  </si>
  <si>
    <t>Wes Whitaker</t>
  </si>
  <si>
    <t>Willie Tin</t>
  </si>
  <si>
    <t>Winston Wang</t>
  </si>
  <si>
    <t>Ximena Jimenez</t>
  </si>
  <si>
    <t>Yang Li</t>
  </si>
  <si>
    <t>Yasmine Nassar</t>
  </si>
  <si>
    <t>Yen Pin Cheong</t>
  </si>
  <si>
    <t>Yingzi Tian</t>
  </si>
  <si>
    <t>Yuan-Ping Huan</t>
  </si>
  <si>
    <t>Yubing  JI</t>
  </si>
  <si>
    <t>Yue Dai</t>
  </si>
  <si>
    <t>Yujun Kim</t>
  </si>
  <si>
    <t>Yun Wu</t>
  </si>
  <si>
    <t>Additional phone screen</t>
  </si>
  <si>
    <t>Overall: Could be a good candidate for a Sr. Manager role, perhaps not quite ready for Director. Showed interest without being overly enthusiastic about the opportunity. Couldn’t read much of the non-verbal cues as his video was not working. His communication style was clear and quite articulate, but without much presence or charisma. 
Additional notes: 
•	Graduated 6 years ago
o	First 4 years in Operations at Coca Cola and Philip Morris – Focus on CapEx, maintenance and sustainability
o	Last 2.5 Years at McKinsey, joined as Senior Fellow and was designated Associate a few months ago. Most work focus on Procurement excellence and cost transformation, category spend optimization. Also done Org design and leadership academy development. 
•	Asked pertinent questions about how we work with Markets and interact with Sourcing organization
•	Why interested in role? Wants a more E2E approach and more interaction with stakeholders in the business, be more involved in the long-term and implementation. Pakistan office has lots of small/ medium clients (lots of 001 studies), mostly focused on cost optimization, can get repetitive. Looking for lifestyle improvement and more flexible schedule. Very interested in the Retail space in the long-term. Passionate about sustainability and making an impact on sustainable sourcing. 
•	Location: Flexible 
Potential next round (Sr Mgr)</t>
  </si>
  <si>
    <t>Turn Down KIT</t>
  </si>
  <si>
    <t>Final Interview</t>
  </si>
  <si>
    <t xml:space="preserve"> +1-647-641-2847</t>
  </si>
  <si>
    <t>Toronto</t>
  </si>
  <si>
    <t>BCG</t>
  </si>
  <si>
    <t>Please conduct first phone screen</t>
  </si>
  <si>
    <t>In process</t>
  </si>
  <si>
    <t>Anurag Thakwani</t>
  </si>
  <si>
    <t>Setup</t>
  </si>
  <si>
    <t>Singpore</t>
  </si>
  <si>
    <t>Hilti Corporation</t>
  </si>
  <si>
    <t>Richeek Maitra</t>
  </si>
  <si>
    <t>Contacted to set up phone screen</t>
  </si>
  <si>
    <t>Hasan</t>
  </si>
  <si>
    <t>Karachi</t>
  </si>
  <si>
    <t>McKinsey</t>
  </si>
  <si>
    <t>Kanika Pasricha</t>
  </si>
  <si>
    <t>Seemed early tenure, Need additional read on structuring, senior client managent 
McK BA sponsored Business School, more fit for program execution 
Needed to move to Toronto for family commitments and accepted BCG offer
Worked on ops and bit of procurement (financial institutions) bit of Tech strategy
Interest now : Ops functional role, transformation, longer term than strategy projects
Post Covid - would not like to travel, Does not want to got through the AP phase as it is diffcult to get the right oppottunities after AP; Not declared search; Said she is Risk averse and would not like to have a time bound search</t>
  </si>
  <si>
    <t xml:space="preserve">Mature professional with varied corporate expereince and challenges handled
Deliberate thinking process with remants of McK structuring (e.g., 3 reasons)
Good presence (calm and deliberate as opposed to animated and energetic)
Varied experience (Ops transformation, Lean, Digital and Data)
Willing to get hands dirty (wrote down algorithms for teams to code and execute)
Recommend having additional conversations with team members to assess comfort and fit
NOtes
Worked at Maruti - Japan and learned lean
Moved to IT services (infosys and IBM) certified SCM SAP
Oil and Gas, Metals and mining, Cement - Ops transformation and procurement
Left firm due to lifestyle - Dubai bank transformation
Operational governance and change management - digital transformation
Hilti HQ in Singapore to set up Ops in Asia - streamline after market services
Why change? - becoming a BAU, nor as exciting as before
</t>
  </si>
  <si>
    <t>Jayant</t>
  </si>
  <si>
    <t>Sewak</t>
  </si>
  <si>
    <t>jayant.sewak@gmail.com _x000D_</t>
  </si>
  <si>
    <t>+1-312-477-1932</t>
  </si>
  <si>
    <t>Chicago</t>
  </si>
  <si>
    <t>Not found</t>
  </si>
  <si>
    <t>Muhammad Hasan Shakil</t>
  </si>
  <si>
    <t>Good fit for both strategy and PMO role
Good maturity, high energy and passion, has worked 70% of firm engaements on large transformations and PMO
Early EM level structuring; good top down communication
Lotsof expereince in stakeholder mgmt including doctors, administrators, bureaucrats and ministers
Exploring options outside as it is difficult to move out of PK office with McK
Looking for exposure to other geographies</t>
  </si>
  <si>
    <t>Debjit</t>
  </si>
  <si>
    <t>Das</t>
  </si>
  <si>
    <t>debjit.das@gmail.com</t>
  </si>
  <si>
    <t>Self Employed</t>
  </si>
  <si>
    <t>Debjit Das</t>
  </si>
  <si>
    <t>Set up call on Wednesday Sep 8th</t>
  </si>
  <si>
    <t>Not a good fit - too far from consulting, has the aura of a tenured Walmart guy
Focus on operations - OR, transportation (Purdue, MIT)
Involved with Peapod during Grad school, then McK
Verticals - Discrete Mfg, Food (McDonalds, Yum brands)
Security and Surveillance (Video) - selling to retail and banking, video analytics, video analysis
IoT with GE (1/3 of product role)
Startups - MObile Doorman - customer attrition (exited - success)
Growcool - community engagement platform</t>
  </si>
  <si>
    <t>Discontinue</t>
  </si>
  <si>
    <t>Complete</t>
  </si>
  <si>
    <t>Review and Decision</t>
  </si>
  <si>
    <t>Based on feedback redundancy from ex McK colleagues taking decision not to proceed</t>
  </si>
  <si>
    <t>Alessio</t>
  </si>
  <si>
    <t>Damato</t>
  </si>
  <si>
    <t>Delhi</t>
  </si>
  <si>
    <t>Sumit Narang</t>
  </si>
  <si>
    <t>Khalid Abdullah</t>
  </si>
  <si>
    <t>Quidwai</t>
  </si>
  <si>
    <t>Khalid Abdullah Quidwai</t>
  </si>
  <si>
    <t>Resume Screen</t>
  </si>
  <si>
    <t>khalidabdullah.iitkgp@gmail.com</t>
  </si>
  <si>
    <t>Dallas</t>
  </si>
  <si>
    <t>Director, Global Sourcing Commercial Strategy and Business Development</t>
  </si>
  <si>
    <t xml:space="preserve"> </t>
  </si>
  <si>
    <t>Phone Screen set up for Dec 15 1:30 PM CT</t>
  </si>
  <si>
    <t>Simin</t>
  </si>
  <si>
    <t>Sadeghi</t>
  </si>
  <si>
    <t>Simin Sadeghi</t>
  </si>
  <si>
    <t>s.siimin@gmail.com</t>
  </si>
  <si>
    <t>Houston</t>
  </si>
  <si>
    <t>VK_Dallas</t>
  </si>
  <si>
    <t>Resideo</t>
  </si>
  <si>
    <t>Very analytics and data focussed
Excited by cross functional 
Excited about using AI/ML in the solution 
Likes to create solutions rather than ppt (prefernce)
Worked on a lot of mergers (stressful situations)
Establishes trust by talking abut shared experiences (early tenure but mature)
Looking to make a switch in Jan 2022, talking to 2 tech companies
MOving to Dallas next yeaar and would like to be based there</t>
  </si>
  <si>
    <t>Conversation set up for Friday Dec 18 3:30 PM CT</t>
  </si>
  <si>
    <t>McK Associate for 2 years in the Houston office (focus on strategy, due diligence and RTS/ Turn-around); background in Energy and Oil &amp; Gas; Engineering PhD - analytics and statistics heavy. Seeking more stability/ Better work-life balance and stronger sense of ownership (managing projects E2E, seeing the results of recommendations implemented). 
Recommendation: Move to interview stage. 
Watch-outs: No previous experience in Retail or Sourcing; unclear why she would switch industries from energy to Retail or why Walmart.</t>
  </si>
  <si>
    <t>Invite for Interview</t>
  </si>
  <si>
    <t xml:space="preserve">Oil and Gas - design engineer
Lived in many countries, worked cross fucntionally
Kellogg 2011 (not full time)
Strategy work with McK and then RTS, PE DDs
Sonatics - IPP
ST/LT planning and execution - Resideo (Honeywell)
Wants to change because of location in Houston - remote
Excited by the scale of Walmart GS operations, breadth of exposure
Active offer - mid january deadline
In India till 24th Dec - travelling on 25th
</t>
  </si>
  <si>
    <t>Kush</t>
  </si>
  <si>
    <t>Shrimali</t>
  </si>
  <si>
    <t>Kush Shrimali</t>
  </si>
  <si>
    <t>kushshrimali@gmail.com</t>
  </si>
  <si>
    <t>+91-9810201845</t>
  </si>
  <si>
    <t>Gurgaon India</t>
  </si>
  <si>
    <t>BTV</t>
  </si>
  <si>
    <t>McK</t>
  </si>
  <si>
    <t>1. Overall – Can keep in shortlist, Worth evaluating further at junior end of Director level/ tenured Sr. Mgr. II 
a.Can be a good fit in team (decent experience, softer skills) 
b.However, has been in a backend (low risk) role for last 2.5 years (Nil client exposure) – executive presence needs to be evaluated further
c. Flexible on location (Bangalore, HK, BTV all ok) and joining (in no hurry to leave the Firm)
2. Professional background – Mostly McK (10 yrs), Started career in HP (~2 yrs.)
a. Started off in the Firm in McKC – worked his way up
b. Last client facing role was Expert (EM equivalent) – served mostly BFSI clients but also had exposure to Retail clients (US clients ~80%). More importantly, still delivering at EM level (though he got promoted to Senior Manager) 
c. Has been focused on Firm Transformation initiative (led by CFO – so, heavy Finance transformation angle) for the last 2.5 years
3. Exposure to senior management/ Org chart placement – Good within McKinsey (works with a NY based Partner), possible exposure to CFO 
4. Motivation to move to WMGS – 
a. Wants to move closer to execution – current role was also a step forward from traditional consulting 
b. Excited by WM GS brand &amp; the team
c. Not liking the focus of current work shift to Cloud migration from core transformation – which has been pushed back by 3-4 years due to IT transformation – which he does not find as exciting  
5. Constraints – Not much except Visa – does not have US H1 visa; L1 expired already (Has B1/B2 though for short visits)
6. Softer skills – Decent communication skills, opens-up easily</t>
  </si>
  <si>
    <t>Putting into Miguel's bucket for further decision and action based on Marco's recommendation - See phone screen notes below</t>
  </si>
  <si>
    <t>Patricia</t>
  </si>
  <si>
    <t>Fukuda O'Donnell</t>
  </si>
  <si>
    <t>Patricia Fukuda O'Donnell</t>
  </si>
  <si>
    <t>patriciafukuda5@gmail.com</t>
  </si>
  <si>
    <t>SF Bay Area</t>
  </si>
  <si>
    <t>Bxblue</t>
  </si>
  <si>
    <t>Set up phone screen on 1/14</t>
  </si>
  <si>
    <t>Accepted</t>
  </si>
  <si>
    <t>Started off in banking (Exposure to new industries as relationship/crdit mgr), MBA motivation to move out of banking, consulting mainly strategy and DD work, not very clear about why she would be interested in the role after I described it e.g., "seems like an intersting evolving role at a pivotal transformational time and I want to dive in and try it out" - good
Startup did not work out because it was not able to get traction from restaurants or funding
Was not able to get a positive read on structure and diligence or executive presence and planning 
Do not receommend further engagement</t>
  </si>
  <si>
    <t>Victor</t>
  </si>
  <si>
    <t>Pinto</t>
  </si>
  <si>
    <t>Victor Pinto</t>
  </si>
  <si>
    <t>victordspinto@gmail.com</t>
  </si>
  <si>
    <t>n/a</t>
  </si>
  <si>
    <t>Park City, Utah</t>
  </si>
  <si>
    <t xml:space="preserve">Originally from Brazil, joined McKinsey Brazil as a BA, then moved to NY in 2017 as an EM. HBS MBA 2018-2020 (Full scholarship). Rejoined McKinsey as an EM in the Salt Lake City office in 2020 and made AP in April of 2021. Focus on Transformation/ RTS, but knows about Procurement as well. 
Currently exploring alternative options in the industry outside of McKinsey after almost 1 year as AP. Not driven to any industry in particular, seems more interested in exploring what is out there. Seems like a strong candidate - Asked insightful questions and did his homework to learn about Walmart and the Retail industry. Clear, concise communication. Open to moving across the US. Recommendation: Pass to 2nd round interview - Understand expectations for role, location and salary. </t>
  </si>
  <si>
    <t>Sai Nithin</t>
  </si>
  <si>
    <t>Kantareddy</t>
  </si>
  <si>
    <t>Sai Nithin Kantareddy</t>
  </si>
  <si>
    <t>nithin@mit.edu</t>
  </si>
  <si>
    <t>Seattle</t>
  </si>
  <si>
    <t>Firm member</t>
  </si>
  <si>
    <t>Sent mail with potetnial dates for conversation
Mon Jan 24 between 3-5pm Central Time
Tue Jan 25 between 4-5pm Central Time
Wed Jan 26 between 2-5pm Central Time
Thu Jan 27 between 2-5pm Central Time</t>
  </si>
  <si>
    <t>Interview</t>
  </si>
  <si>
    <t>Decided to focus on FinTech</t>
  </si>
  <si>
    <t>No assignment</t>
  </si>
  <si>
    <t>Firm work in Tech Roadmap, Gen Strategy, PE in Advanced Industries mainly
Worked on RFID, IoT during PhD
Wants to develop expertise in a particular area and is interested in retail
Why not wait to make EM? Says that he awlays wated to do consulting for 2 years and never wanted to stay to make partner; added that EM role is less attractive now and they are suffering the most in the remote environment
He did not sound super excited about consulting work - would be good to push him on problem solving and gage a bit more about excitement for this role
Talked through expereinces of managing process, client relationship development, seems to be in the right place in terms of senior associate tenure; Not declared search yet and is in early phase of looking out
Based in Seattle and is open to long term relocation; recommend another screen with Marco pushing on problem solving and general excitement about the work that we do</t>
  </si>
  <si>
    <t>Eager to leave McK, permanent resident, willing to relocate, low salary. Just looking for a job with better lifestyle. Hints during the conversation that she's having a tough time, but she lasted 2 years so not a show stopper. Extremely low tenure in "real" jobs plus a PhD-legth resume without the papers which is a bad awareness signal. Interest in "operations" but not clear on what that means except not just strategy, too much talk on mathematical optimization in supply chain as a real engaging problem, but that could come from looking at my academic profile (doubt it). Not a good story flow on pitching her career (no reason to why leave McK just before making EM, long term wants to buy companies, improve them, sell them... but didn't connect that with supposed RTS work (where in my experience everyone is talking about that exit as in starting their own PE boutique) or typical join a big PE operations exit, nor have a real answer to why not pursue it through those avenues and come to WM instead.
She checks all the boxes for Diversity (Iranian, female, PhD, very different profile... I liked the conversation but she was the hardest read I've had in years). So I'd like to give her a chance, but I don't want her to fail here, and not being presential means our chance to coach her will be limited.
Need to probe at ability to play with others (frequent PhD issue), influence, gaining trust, and general consulting toolkit (low tenure and some projects seem either too long or just leveraging her PhD knowledge so risk she didn't get the learnings she deserved). Probably worth to do a case study just to check structure and behavioral/stories to check on "soft influencing" and implementation approach. Also probe at basic PMing as she did not make EM.</t>
  </si>
  <si>
    <t>Need to figure out if we could place him permanently in Houston. Because I doubt it and he would have a hard time meeting the bar anyway, I am holding until I have HR confirmation on permanent remote work.</t>
  </si>
  <si>
    <t>Reached out for time to talk
Need to probe at ability to play with others (frequent PhD issue), influence, gaining trust, and general consulting toolkit (low tenure and some projects seem either too long or just leveraging her PhD knowledge so risk she didn't get the learnings she deserved). Probably worth to do a case study just to check structure and behavioral/stories to check on "soft influencing" and implementation approach. Also probe at basic PMing as she did not make EM.</t>
  </si>
  <si>
    <t xml:space="preserve">Overall very intelligent, and driven and technically oriented - she stated that she wants to grow her technical expertise in a specific area - will probably use this role as a means to get to the longer goal
Covered situations to understand appraoch to working with others and influencing
Very data and technical led approach to influencing and storytelling
However, she did talk about a story of how a client exploded in a meeting and how she went 1-1 and had a frank conversation which started a relationship over several weeks that led to the client helping to outsource her own job 
She brought up the phrase "people are flesh and blood" and needs TLC sometimes
Asked her about storytelling and she gave example of doing top down with partners but talking to client engineers leading with evidence and then conclusion
The thing that made her seem different from the rest of us is tenure and experience - she has to develop that - Mck is essentially her first real job
Similar to Asad I would like to see her a couple of years later
</t>
  </si>
  <si>
    <t>Peter John</t>
  </si>
  <si>
    <t>Lasky</t>
  </si>
  <si>
    <t>PJL</t>
  </si>
  <si>
    <t>Peter John Lasky</t>
  </si>
  <si>
    <t>pjlaskyny@yahoo.com</t>
  </si>
  <si>
    <t>Unknown</t>
  </si>
  <si>
    <t>Independent Consultant</t>
  </si>
  <si>
    <t>Aman Mohan</t>
  </si>
  <si>
    <t>aman.mohan804@gmail.com</t>
  </si>
  <si>
    <t>1-832-322-7841</t>
  </si>
  <si>
    <t>Good impression. Seems humble, smooth and structured enough to fit. Very superficial knowledge of Walmart and retail but that's not an issue. Root cause for moving out of the Firm probably that he likes the problem solving part, not the sales part that will soon be 100% of his new life, and he understands he will not win the race against those who indeed like that part. Green card, able to relocate. Need to check on skillset fit and willingness to roll sleeves and work as an individual contributor.</t>
  </si>
  <si>
    <t>Would fit in the team very well. Skillset fit in 2 areas - procurement practice with expertise in chemicals, consulting and solution development skillset ; Willing to be hands on; objective to manage a large team and P&amp;L type role in future; he would like to explore whether Dir Level makes sense for him in relation to his current position/trajectory and compensation
Invite for interview and see if expectations can be worked out.</t>
  </si>
  <si>
    <t>Solera</t>
  </si>
  <si>
    <t>Miguel Solera</t>
  </si>
  <si>
    <t>msoleramartin@gmail.com</t>
  </si>
  <si>
    <t>Madrid</t>
  </si>
  <si>
    <t>Amazon</t>
  </si>
  <si>
    <t>Former McK Sr. BA in Madrid office, 3 years at Amazon (Marketplace and Acct. Management), seeking new challenges and more stimulating/ engaging work. Wants to stay in Retail or CPG space. Based in Madrid - Would ideally stay in Madrid (relocation would be complicated for his girlfriend), but open to consider moving to Bentonville for 1-2 years or until a Europe hub is setup. Seems a good mix of strategy and more hands-on implementation and execution experience. Recommend to move on to interview stage.</t>
  </si>
  <si>
    <t>Seemed very focused and driven. A bit intense from an American perspective but can see him evolving his style. 
Recommend moving ahead with interviewing if we can make it work from location and role availability</t>
  </si>
  <si>
    <t xml:space="preserve">Has been in corporate strategy and business develop all through. Mainly M&amp;A, Divestiture and traditional Growth Strategy in Telecom. Moved around with his manager from Lucent to Vodafone to Ooredoo. At Ooredoo he worked in contract mode doing consultative sales for Huawei equipment. Moved back to US in 2020 durng Covid without a plan - looking broadly for opportunities of interest. Walmart interesting because of scale and learning opportunity. Openly admitted that he is considering Dir level in WM due to his lack of expereince in the industry - in telecom he would be looking for VP level
Older guy with a Phd in Physics, was humble and realistic (for an American) - industry expereince is not relevant - however could bring a different perspective in a different role within GS  - he could be a great resource like Chris McSpaden or at the other end a Sunil Pandey. Would be good for Miguel to speak and see if he coud be directed to the right direction
</t>
  </si>
  <si>
    <t>Closing case to remove from active pending bucket</t>
  </si>
  <si>
    <t>Sumitaka</t>
  </si>
  <si>
    <t>Koga</t>
  </si>
  <si>
    <t>Sumitaka Koga</t>
  </si>
  <si>
    <t>sumitaka.koga@gmail.com</t>
  </si>
  <si>
    <t xml:space="preserve">(+1) 512-994-8806 </t>
  </si>
  <si>
    <t>Austin</t>
  </si>
  <si>
    <t>Dell</t>
  </si>
  <si>
    <t>Interesting profile. Could be a fit, seems very eager, flexible to learn new things not obsessed with leveraging current supply chain/technology experience. Very short tenure at McK but extensive corp strategy work afterwards. Would have to check toolkit if we decide to give him a chance. Could be good for other teams too.
Left McK after getting married. Move from Japan to Austin and joined Dell -liked the people, wanted the non-japanese experience. Motivated about impact, likes high tech, operations, strategic initiatives. No special pressure for quick promotion but earning it through building strong support.</t>
  </si>
  <si>
    <t>Could be a good fit for GS Strategy or other teams (Supply Chain, Technology). McKinsey BA in the Tokyo office, then corporate strategy experience (most recently at Dell) , focusing on transformational projects and supply chain strategy. Interested in using data-driven insights for decision support - Enjoys problem solving and analytics. 
Attracted by Walmart because of scale of impact, opportunity to solve complex problems and global nature of business. 
Based in Austin, but flexible location-wise (Would prefer to stay in US, but open to international locations as well).</t>
  </si>
  <si>
    <t>Good fit for the strategy role in its current description and future changes and scope additions we would think of - has strategy and recent line management expereince (40 people in supply chain analytics) - wants to step into a new role, organization and culture
Looking to move now after retirement of SVP of Supply chain and other people in current oragnization who were focused on strategic actions - current leadership is very good at and focused on execution - delayed his search with the start of pandemic due to birth of son in 2020</t>
  </si>
  <si>
    <t>As per Miguel's instruction, Sumit to set up time and talk to Sumitaka</t>
  </si>
  <si>
    <t xml:space="preserve">Sharp &amp; picks up things quickly. Should be able to navigate between multiple teams. Strong bent towards data driven approach to PS. In case of lack of reliable data, leans towards hypothesis driven approach but will require some handholding (not as strong). Strong on execution, willing to roll-up sleeves - will be good for PMO, driving on-ground progress. Comfortable in switching from a manager role back to IC role. Would prefer to transition to Tech in 2-3 years. 
3 key concern areas - 1.) Retaining him for long might be a challenge  (given his experience, ambition, WM WoW)?; 2.) Did not come across as self driven - seems to rely on direction being set (needs further evaluation); 3.) May need repolishing on Executive presence (unkempt apperance, call wearing a nightsuit). 
Overall - Can move forward. Not a slam dunk case but a very good option. Sharp &amp; good cultural fit for team. Will require handholding initially on finding his way. </t>
  </si>
  <si>
    <t>Suspend action and Unassign from Miguel for the moment</t>
  </si>
  <si>
    <t>Changing status based on Miguel previous discussion</t>
  </si>
  <si>
    <t>Assigned to Pranav as advised by Miguel</t>
  </si>
  <si>
    <t>Besides an overall understanding of the psat roles, checked via two mini-cases: 1. COO diversification at Dell, 2. setting category strategy for a 'difficult' GS VP. 
Strengths: 1. Reasonably good at structuring, picked up the right pillars / components in above mini-cases; 2. Good at common sense approach to relationship building with clients - "listening", "build on VP's measures", etc; 3. Great attitude, keen to take up new industry challenges; 
Unproven / gaps: 1. Agree with prev. feedback about past focus on projects vs. strategy. Not able to clearly highlight impact via core strategy vs. program initiatives in past roles; 2. Dell Data Gov. experience in working with multiple leaders as stakeholders on individual projects - however not owned the relationship with a leader consistently.  3. Might require support to 'own' a GS leader fully.
Summary: Entreprising candidate, great pedigree &amp; experience, EM toolkit not fully developed but we could help bridge gaps in a year to help him scale up.</t>
  </si>
  <si>
    <t>To MyTasks</t>
  </si>
  <si>
    <t>Show on page</t>
  </si>
  <si>
    <t>Final decision</t>
  </si>
  <si>
    <t>Named Ranges</t>
  </si>
  <si>
    <t>Do not show</t>
  </si>
  <si>
    <t>Hire</t>
  </si>
  <si>
    <t>ALLC</t>
  </si>
  <si>
    <t>=SORTBY(FILTER(INDEX(Contact[#Data],SEQUENCE(ROWS(Contact[#Data])),TRANSPOSE(AJ13#)),(Contact[Season]=$C$2),"Select valid name"),FILTER(Contact[Full Name],(Contact[Season]=$C$2)),-1,FILTER(Contact[Sequence],(Contact[Season]=$C$2)),-1)</t>
  </si>
  <si>
    <t>Leave blank to see all</t>
  </si>
  <si>
    <t>Turn Down</t>
  </si>
  <si>
    <t>ONEC</t>
  </si>
  <si>
    <t>=SORTBY(FILTER(INDEX(Contact[#Data],SEQUENCE(ROWS(Contact[#Data])),TRANSPOSE(AJ13#)),(Contact[Season]=$C$2)*(Contact[Full Name]=$C$3),"Select valid name"),FILTER(Contact[Full Name],(Contact[Season]=$C$2)*(Contact[Full Name]=$C$3)),-1,FILTER(Contact[Sequence],(Contact[Season]=$C$2)*(Contact[Full Name]=$C$3)),-1)</t>
  </si>
  <si>
    <t>Show</t>
  </si>
  <si>
    <t>=SORT(FILTER(INDEX(Contact[#Data],SEQUENCE(ROWS(Contact[#Data])),{1,5,6,7,15,16,17,18}),Contact[Full Name]=$C$3,"Not Found"),1,-1)</t>
  </si>
  <si>
    <t>Hold No Contact</t>
  </si>
  <si>
    <t>=SORT(FILTER(INDEX(Contact[#Data],SEQUENCE(ROWS(Contact[#Data])),TRANSPOSE(FILTER(Table2[Index],Table2[Include]=1))),Contact[Full Name]=$C$3,"Not Found"),1,-1)</t>
  </si>
  <si>
    <t>Clear filter on candidate</t>
  </si>
  <si>
    <t>Select cell with candidate from table below name and click</t>
  </si>
  <si>
    <t>First empty row in contact table</t>
  </si>
  <si>
    <t>SETUP SECTION</t>
  </si>
  <si>
    <t>AD13:AD</t>
  </si>
  <si>
    <t>AC13:AC</t>
  </si>
  <si>
    <t>AE13:AE</t>
  </si>
  <si>
    <t>AK13:AK</t>
  </si>
  <si>
    <t xml:space="preserve">CONTACT HISTORY </t>
  </si>
  <si>
    <t>Current Value</t>
  </si>
  <si>
    <t>Field</t>
  </si>
  <si>
    <t>Updated Value</t>
  </si>
  <si>
    <t>Index</t>
  </si>
  <si>
    <t>Include</t>
  </si>
  <si>
    <t>order</t>
  </si>
  <si>
    <t>Index Array</t>
  </si>
  <si>
    <t>Order Array</t>
  </si>
  <si>
    <t>Ordered Indices</t>
  </si>
  <si>
    <t>Filtered Indices</t>
  </si>
  <si>
    <t>pranavp@gmail.com</t>
  </si>
  <si>
    <t>+919830019870</t>
  </si>
  <si>
    <t>KPMG</t>
  </si>
  <si>
    <t>Mck Alum Status</t>
  </si>
  <si>
    <t>Position</t>
  </si>
  <si>
    <t>WL</t>
  </si>
  <si>
    <t>Names</t>
  </si>
  <si>
    <t>Name list</t>
  </si>
  <si>
    <t>None</t>
  </si>
  <si>
    <t>Ryan Yang</t>
  </si>
  <si>
    <t>Awaiting Response</t>
  </si>
  <si>
    <t>Extraction</t>
  </si>
  <si>
    <t>Extracted</t>
  </si>
  <si>
    <t>Type part of name to filter</t>
  </si>
  <si>
    <t># of contacts</t>
  </si>
  <si>
    <t>e-mail</t>
  </si>
  <si>
    <t>INTERACTION NOTES</t>
  </si>
  <si>
    <t>Assign to</t>
  </si>
  <si>
    <t xml:space="preserve">Working Notes </t>
  </si>
  <si>
    <t>CONTACT HISTORY</t>
  </si>
  <si>
    <t>Order</t>
  </si>
  <si>
    <t>Curretn location</t>
  </si>
  <si>
    <t>Position loaction</t>
  </si>
  <si>
    <t xml:space="preserve">Status </t>
  </si>
  <si>
    <t>Select status or leave blank to see all statuses</t>
  </si>
  <si>
    <t>Final Decision'</t>
  </si>
  <si>
    <t># of cases</t>
  </si>
  <si>
    <t>Contact notes</t>
  </si>
  <si>
    <t>All the notes with sequence in new columns, prevous person contacting</t>
  </si>
  <si>
    <t>ACTIVE CASES</t>
  </si>
  <si>
    <t>Mandatory Field</t>
  </si>
  <si>
    <t>SINGLE</t>
  </si>
  <si>
    <t>E-mail/ Link</t>
  </si>
  <si>
    <t>Asssigned to</t>
  </si>
  <si>
    <t>BULK</t>
  </si>
  <si>
    <t>Enter upto 100 records in the table below - Mandatory fields in Yellow Font</t>
  </si>
  <si>
    <t>New row number</t>
  </si>
  <si>
    <t>Bulk Rows</t>
  </si>
  <si>
    <t>Number of candidates</t>
  </si>
  <si>
    <t>E-mail/Link</t>
  </si>
  <si>
    <t>Fields</t>
  </si>
  <si>
    <t>Values</t>
  </si>
  <si>
    <t>Please open in desktop version of Excel to edit (see screenshot below to find option)</t>
  </si>
  <si>
    <t>Interface</t>
  </si>
  <si>
    <t>Description</t>
  </si>
  <si>
    <t>Update Contact Notes</t>
  </si>
  <si>
    <t>Update interaction notes, decisions and assign work</t>
  </si>
  <si>
    <t>Working</t>
  </si>
  <si>
    <t>SCREENSHOT</t>
  </si>
  <si>
    <t>My Tasks</t>
  </si>
  <si>
    <t>Filter tasks assigned to you</t>
  </si>
  <si>
    <t>Editing -&gt; Open in Desktop App</t>
  </si>
  <si>
    <t>Data</t>
  </si>
  <si>
    <t>Data table with all candidate and interaction data</t>
  </si>
  <si>
    <t>Settings</t>
  </si>
  <si>
    <t>Update drop down values</t>
  </si>
  <si>
    <t>To upload candidate/s data into tool</t>
  </si>
  <si>
    <t>Active Cases</t>
  </si>
  <si>
    <t>View and filter active cases with full history</t>
  </si>
  <si>
    <t>Review old cases</t>
  </si>
  <si>
    <t>View old candidates and recycle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</si>
</sst>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d\-mmm\-yy;@"/>
    <numFmt numFmtId="165" formatCode="[&lt;=9999999]###\-####;\(###\)\ ###\-####"/>
    <numFmt numFmtId="166" formatCode="[$-409]dd\-mmm\-yy;@"/>
    <numFmt numFmtId="167" formatCode="[$-409]m/d/yy\ h:mm\ AM/PM;@"/>
  </numFmts>
  <fonts count="20">
    <font>
      <sz val="11"/>
      <color theme="1"/>
      <name val="Calibri"/>
      <family val="2"/>
      <scheme val="minor"/>
    </font>
    <font>
      <b/>
      <sz val="11"/>
      <color theme="1"/>
      <name val="Calibri"/>
      <family val="2"/>
      <scheme val="minor"/>
    </font>
    <font>
      <u/>
      <sz val="11"/>
      <color theme="10"/>
      <name val="Calibri"/>
      <family val="2"/>
      <scheme val="minor"/>
    </font>
    <font>
      <b/>
      <i/>
      <sz val="11"/>
      <color theme="1"/>
      <name val="Calibri"/>
      <family val="2"/>
      <scheme val="minor"/>
    </font>
    <font>
      <b/>
      <sz val="11"/>
      <color theme="0"/>
      <name val="Calibri"/>
      <family val="2"/>
      <scheme val="minor"/>
    </font>
    <font>
      <i/>
      <sz val="11"/>
      <color theme="1"/>
      <name val="Calibri"/>
      <family val="2"/>
      <scheme val="minor"/>
    </font>
    <font>
      <sz val="8"/>
      <name val="Calibri"/>
      <family val="2"/>
      <scheme val="minor"/>
    </font>
    <font>
      <sz val="11"/>
      <color rgb="FFFF0000"/>
      <name val="Calibri"/>
      <family val="2"/>
      <scheme val="minor"/>
    </font>
    <font>
      <b/>
      <sz val="16"/>
      <color theme="1"/>
      <name val="Calibri"/>
      <family val="2"/>
      <scheme val="minor"/>
    </font>
    <font>
      <b/>
      <sz val="11"/>
      <color rgb="FFFF0000"/>
      <name val="Calibri"/>
      <family val="2"/>
      <scheme val="minor"/>
    </font>
    <font>
      <sz val="11"/>
      <color theme="0"/>
      <name val="Calibri"/>
      <family val="2"/>
      <scheme val="minor"/>
    </font>
    <font>
      <b/>
      <i/>
      <sz val="11"/>
      <color theme="0"/>
      <name val="Calibri"/>
      <family val="2"/>
      <scheme val="minor"/>
    </font>
    <font>
      <sz val="11"/>
      <color rgb="FFFFFF00"/>
      <name val="Calibri"/>
      <family val="2"/>
      <scheme val="minor"/>
    </font>
    <font>
      <b/>
      <sz val="20"/>
      <color theme="0"/>
      <name val="Calibri"/>
      <family val="2"/>
      <scheme val="minor"/>
    </font>
    <font>
      <b/>
      <sz val="14"/>
      <color theme="0"/>
      <name val="Calibri"/>
      <family val="2"/>
      <scheme val="minor"/>
    </font>
    <font>
      <sz val="12"/>
      <color rgb="FF222222"/>
      <name val="Arial"/>
      <family val="2"/>
    </font>
    <font>
      <sz val="11"/>
      <color theme="1"/>
      <name val="Arial"/>
      <family val="2"/>
    </font>
    <font>
      <sz val="11"/>
      <name val="Calibri"/>
      <family val="2"/>
      <scheme val="minor"/>
    </font>
    <font>
      <b/>
      <sz val="11"/>
      <name val="Calibri"/>
      <family val="2"/>
      <scheme val="minor"/>
    </font>
    <font>
      <sz val="12"/>
      <color rgb="FF000000"/>
      <name val="Calibri"/>
      <family val="2"/>
      <scheme val="minor"/>
    </font>
  </fonts>
  <fills count="19">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2"/>
        <bgColor indexed="64"/>
      </patternFill>
    </fill>
    <fill>
      <patternFill patternType="solid">
        <fgColor rgb="FF002060"/>
        <bgColor indexed="64"/>
      </patternFill>
    </fill>
    <fill>
      <patternFill patternType="solid">
        <fgColor theme="8" tint="0.79998168889431442"/>
        <bgColor indexed="64"/>
      </patternFill>
    </fill>
    <fill>
      <patternFill patternType="solid">
        <fgColor rgb="FFDDEBF7"/>
        <bgColor indexed="64"/>
      </patternFill>
    </fill>
    <fill>
      <patternFill patternType="solid">
        <fgColor rgb="FFFFFFFF"/>
        <bgColor indexed="64"/>
      </patternFill>
    </fill>
    <fill>
      <patternFill patternType="solid">
        <fgColor theme="1"/>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s>
  <borders count="35">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left>
      <right/>
      <top style="medium">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thin">
        <color indexed="64"/>
      </left>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theme="0"/>
      </left>
      <right/>
      <top style="medium">
        <color theme="0"/>
      </top>
      <bottom style="medium">
        <color theme="0"/>
      </bottom>
      <diagonal/>
    </border>
    <border>
      <left style="thin">
        <color indexed="64"/>
      </left>
      <right style="thin">
        <color indexed="64"/>
      </right>
      <top style="thin">
        <color auto="1"/>
      </top>
      <bottom style="medium">
        <color indexed="64"/>
      </bottom>
      <diagonal/>
    </border>
    <border>
      <left/>
      <right style="thick">
        <color theme="0"/>
      </right>
      <top/>
      <bottom/>
      <diagonal/>
    </border>
    <border>
      <left/>
      <right style="thin">
        <color theme="0"/>
      </right>
      <top style="thick">
        <color theme="0"/>
      </top>
      <bottom style="thick">
        <color theme="0"/>
      </bottom>
      <diagonal/>
    </border>
    <border>
      <left style="thick">
        <color theme="0"/>
      </left>
      <right style="thick">
        <color theme="0"/>
      </right>
      <top style="thick">
        <color theme="0"/>
      </top>
      <bottom style="thick">
        <color theme="0"/>
      </bottom>
      <diagonal/>
    </border>
    <border>
      <left style="thick">
        <color theme="0"/>
      </left>
      <right/>
      <top/>
      <bottom/>
      <diagonal/>
    </border>
    <border>
      <left style="medium">
        <color indexed="64"/>
      </left>
      <right/>
      <top style="thin">
        <color theme="4" tint="0.39997558519241921"/>
      </top>
      <bottom style="thin">
        <color theme="4" tint="0.39997558519241921"/>
      </bottom>
      <diagonal/>
    </border>
    <border>
      <left/>
      <right style="medium">
        <color indexed="64"/>
      </right>
      <top style="thin">
        <color theme="4" tint="0.39997558519241921"/>
      </top>
      <bottom style="thin">
        <color theme="4" tint="0.39997558519241921"/>
      </bottom>
      <diagonal/>
    </border>
    <border>
      <left/>
      <right style="medium">
        <color indexed="64"/>
      </right>
      <top style="thick">
        <color theme="0"/>
      </top>
      <bottom style="thick">
        <color theme="0"/>
      </bottom>
      <diagonal/>
    </border>
    <border>
      <left style="medium">
        <color indexed="64"/>
      </left>
      <right style="thin">
        <color theme="0"/>
      </right>
      <top style="thick">
        <color theme="0"/>
      </top>
      <bottom style="thick">
        <color theme="0"/>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144">
    <xf numFmtId="0" fontId="0" fillId="0" borderId="0" xfId="0"/>
    <xf numFmtId="0" fontId="2" fillId="0" borderId="0" xfId="1"/>
    <xf numFmtId="0" fontId="1" fillId="0" borderId="0" xfId="0" applyFont="1"/>
    <xf numFmtId="0" fontId="0" fillId="0" borderId="0" xfId="0" applyAlignment="1">
      <alignment vertical="center" wrapText="1"/>
    </xf>
    <xf numFmtId="0" fontId="0" fillId="0" borderId="0" xfId="0" applyAlignment="1">
      <alignment horizontal="center" vertical="center" wrapText="1"/>
    </xf>
    <xf numFmtId="0" fontId="0" fillId="0" borderId="0" xfId="0" quotePrefix="1"/>
    <xf numFmtId="0" fontId="4" fillId="5" borderId="6" xfId="0" applyFont="1" applyFill="1" applyBorder="1" applyAlignment="1">
      <alignment vertical="center" wrapText="1"/>
    </xf>
    <xf numFmtId="0" fontId="4" fillId="5" borderId="7" xfId="0" applyFont="1" applyFill="1" applyBorder="1" applyAlignment="1">
      <alignment vertical="center" wrapText="1"/>
    </xf>
    <xf numFmtId="0" fontId="4" fillId="5" borderId="8" xfId="0" applyFont="1" applyFill="1" applyBorder="1" applyAlignment="1">
      <alignment vertical="center" wrapText="1"/>
    </xf>
    <xf numFmtId="0" fontId="1" fillId="6" borderId="0" xfId="0" applyFont="1" applyFill="1" applyAlignment="1">
      <alignment vertical="center" wrapText="1"/>
    </xf>
    <xf numFmtId="0" fontId="0" fillId="7" borderId="0" xfId="0" applyFill="1" applyAlignment="1">
      <alignment vertical="center" wrapText="1"/>
    </xf>
    <xf numFmtId="0" fontId="0" fillId="3" borderId="0" xfId="0" applyFill="1" applyAlignment="1">
      <alignment vertical="center" wrapText="1"/>
    </xf>
    <xf numFmtId="0" fontId="1" fillId="4" borderId="0" xfId="0" applyFont="1" applyFill="1" applyAlignment="1">
      <alignment vertical="center"/>
    </xf>
    <xf numFmtId="164" fontId="0" fillId="0" borderId="0" xfId="0" applyNumberFormat="1" applyAlignment="1">
      <alignment vertical="center" wrapText="1"/>
    </xf>
    <xf numFmtId="0" fontId="0" fillId="0" borderId="0" xfId="0" applyAlignment="1">
      <alignment vertical="center"/>
    </xf>
    <xf numFmtId="0" fontId="1" fillId="8" borderId="0" xfId="0" applyFont="1" applyFill="1" applyAlignment="1">
      <alignment vertical="center" wrapText="1"/>
    </xf>
    <xf numFmtId="0" fontId="1" fillId="8" borderId="0" xfId="0" applyFont="1" applyFill="1" applyAlignment="1">
      <alignment vertical="center"/>
    </xf>
    <xf numFmtId="0" fontId="0" fillId="4" borderId="0" xfId="0" applyFill="1" applyAlignment="1">
      <alignment vertical="center"/>
    </xf>
    <xf numFmtId="14" fontId="0" fillId="4" borderId="0" xfId="0" applyNumberFormat="1" applyFill="1" applyAlignment="1">
      <alignment vertical="center"/>
    </xf>
    <xf numFmtId="22" fontId="0" fillId="4" borderId="0" xfId="0" applyNumberFormat="1" applyFill="1" applyAlignment="1">
      <alignment vertical="center"/>
    </xf>
    <xf numFmtId="0" fontId="0" fillId="9" borderId="0" xfId="0" applyFill="1" applyAlignment="1">
      <alignment vertical="center"/>
    </xf>
    <xf numFmtId="0" fontId="1" fillId="0" borderId="9" xfId="0" applyFont="1" applyBorder="1" applyAlignment="1">
      <alignment vertical="center" wrapText="1"/>
    </xf>
    <xf numFmtId="0" fontId="0" fillId="0" borderId="10" xfId="0" applyBorder="1" applyAlignment="1">
      <alignment vertical="center"/>
    </xf>
    <xf numFmtId="0" fontId="3" fillId="0" borderId="0" xfId="0" applyFont="1" applyAlignment="1">
      <alignment horizontal="right"/>
    </xf>
    <xf numFmtId="22" fontId="0" fillId="10" borderId="0" xfId="0" applyNumberFormat="1" applyFill="1"/>
    <xf numFmtId="0" fontId="5" fillId="10" borderId="0" xfId="0" applyFont="1" applyFill="1" applyAlignment="1">
      <alignment horizontal="right"/>
    </xf>
    <xf numFmtId="0" fontId="0" fillId="10" borderId="0" xfId="0" applyFill="1"/>
    <xf numFmtId="0" fontId="0" fillId="6" borderId="0" xfId="0" applyFill="1"/>
    <xf numFmtId="0" fontId="5" fillId="4" borderId="3" xfId="0" applyFont="1" applyFill="1" applyBorder="1"/>
    <xf numFmtId="0" fontId="7" fillId="2"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2" fillId="0" borderId="0" xfId="1" applyBorder="1"/>
    <xf numFmtId="14" fontId="0" fillId="0" borderId="0" xfId="0" applyNumberFormat="1"/>
    <xf numFmtId="0" fontId="0" fillId="0" borderId="5" xfId="0" applyBorder="1"/>
    <xf numFmtId="0" fontId="0" fillId="0" borderId="0" xfId="0" applyAlignment="1">
      <alignment horizontal="center" vertical="center"/>
    </xf>
    <xf numFmtId="0" fontId="0" fillId="0" borderId="0" xfId="0" applyAlignment="1">
      <alignment horizontal="left"/>
    </xf>
    <xf numFmtId="0" fontId="1" fillId="2" borderId="19" xfId="0" applyFont="1" applyFill="1" applyBorder="1" applyAlignment="1">
      <alignment vertical="center" wrapText="1"/>
    </xf>
    <xf numFmtId="0" fontId="1" fillId="2" borderId="20" xfId="0" applyFont="1" applyFill="1" applyBorder="1" applyAlignment="1">
      <alignment vertical="center" wrapText="1"/>
    </xf>
    <xf numFmtId="0" fontId="1" fillId="2" borderId="21" xfId="0" applyFont="1" applyFill="1" applyBorder="1" applyAlignment="1">
      <alignment vertical="center" wrapText="1"/>
    </xf>
    <xf numFmtId="14" fontId="0" fillId="0" borderId="16" xfId="0" applyNumberFormat="1" applyBorder="1" applyAlignment="1">
      <alignment vertical="center"/>
    </xf>
    <xf numFmtId="0" fontId="0" fillId="0" borderId="22" xfId="0" applyBorder="1" applyAlignment="1">
      <alignment vertical="center" wrapText="1"/>
    </xf>
    <xf numFmtId="0" fontId="0" fillId="0" borderId="22" xfId="0" applyBorder="1" applyAlignment="1">
      <alignment vertical="center"/>
    </xf>
    <xf numFmtId="0" fontId="0" fillId="0" borderId="23" xfId="0" applyBorder="1" applyAlignment="1">
      <alignment vertical="center"/>
    </xf>
    <xf numFmtId="0" fontId="0" fillId="0" borderId="0" xfId="0" applyAlignment="1">
      <alignment wrapText="1"/>
    </xf>
    <xf numFmtId="0" fontId="5" fillId="0" borderId="0" xfId="0" applyFont="1"/>
    <xf numFmtId="0" fontId="3" fillId="0" borderId="0" xfId="0" applyFont="1"/>
    <xf numFmtId="0" fontId="1" fillId="0" borderId="0" xfId="0" applyFont="1" applyAlignment="1">
      <alignment horizontal="right"/>
    </xf>
    <xf numFmtId="164" fontId="5" fillId="4" borderId="24" xfId="0" applyNumberFormat="1" applyFont="1" applyFill="1" applyBorder="1"/>
    <xf numFmtId="0" fontId="1" fillId="0" borderId="0" xfId="0" applyFont="1" applyAlignment="1">
      <alignment vertical="center" wrapText="1"/>
    </xf>
    <xf numFmtId="0" fontId="1" fillId="0" borderId="0" xfId="0" applyFont="1" applyAlignment="1">
      <alignment vertical="center"/>
    </xf>
    <xf numFmtId="0" fontId="0" fillId="0" borderId="17" xfId="0" applyBorder="1" applyAlignment="1">
      <alignment vertical="center" wrapText="1"/>
    </xf>
    <xf numFmtId="0" fontId="0" fillId="0" borderId="25" xfId="0" applyBorder="1" applyAlignment="1">
      <alignment vertical="center"/>
    </xf>
    <xf numFmtId="0" fontId="0" fillId="3" borderId="27" xfId="0" applyFill="1" applyBorder="1"/>
    <xf numFmtId="0" fontId="1" fillId="0" borderId="26" xfId="0" applyFont="1" applyBorder="1"/>
    <xf numFmtId="0" fontId="0" fillId="3" borderId="28" xfId="0" applyFill="1" applyBorder="1"/>
    <xf numFmtId="0" fontId="0" fillId="0" borderId="29" xfId="0" applyBorder="1"/>
    <xf numFmtId="0" fontId="5" fillId="4" borderId="28" xfId="0" applyFont="1" applyFill="1" applyBorder="1"/>
    <xf numFmtId="164" fontId="0" fillId="0" borderId="0" xfId="0" applyNumberFormat="1" applyAlignment="1">
      <alignment vertical="top" wrapText="1"/>
    </xf>
    <xf numFmtId="0" fontId="0" fillId="0" borderId="0" xfId="0" applyAlignment="1">
      <alignment vertical="top" wrapText="1"/>
    </xf>
    <xf numFmtId="165" fontId="0" fillId="0" borderId="0" xfId="0" applyNumberFormat="1"/>
    <xf numFmtId="0" fontId="4" fillId="5" borderId="30" xfId="0" applyFont="1" applyFill="1" applyBorder="1" applyAlignment="1">
      <alignment vertical="center" wrapText="1"/>
    </xf>
    <xf numFmtId="0" fontId="4" fillId="5" borderId="31" xfId="0" applyFont="1" applyFill="1" applyBorder="1" applyAlignment="1">
      <alignment vertical="center" wrapText="1"/>
    </xf>
    <xf numFmtId="0" fontId="0" fillId="3" borderId="32" xfId="0" applyFill="1" applyBorder="1"/>
    <xf numFmtId="0" fontId="0" fillId="12" borderId="16" xfId="0" applyFill="1" applyBorder="1"/>
    <xf numFmtId="0" fontId="0" fillId="12" borderId="17" xfId="0" applyFill="1" applyBorder="1"/>
    <xf numFmtId="0" fontId="0" fillId="12" borderId="18" xfId="0" applyFill="1" applyBorder="1"/>
    <xf numFmtId="0" fontId="1" fillId="12" borderId="11" xfId="0" applyFont="1" applyFill="1" applyBorder="1"/>
    <xf numFmtId="0" fontId="0" fillId="12" borderId="12" xfId="0" applyFill="1" applyBorder="1"/>
    <xf numFmtId="0" fontId="0" fillId="12" borderId="13" xfId="0" applyFill="1" applyBorder="1"/>
    <xf numFmtId="0" fontId="0" fillId="3" borderId="33" xfId="0" applyFill="1" applyBorder="1"/>
    <xf numFmtId="165" fontId="0" fillId="0" borderId="0" xfId="0" quotePrefix="1" applyNumberFormat="1"/>
    <xf numFmtId="0" fontId="1" fillId="13" borderId="0" xfId="0" applyFont="1" applyFill="1"/>
    <xf numFmtId="0" fontId="0" fillId="13" borderId="0" xfId="0" applyFill="1"/>
    <xf numFmtId="0" fontId="8" fillId="0" borderId="0" xfId="0" applyFont="1"/>
    <xf numFmtId="0" fontId="1" fillId="0" borderId="0" xfId="0" quotePrefix="1" applyFont="1"/>
    <xf numFmtId="0" fontId="0" fillId="0" borderId="0" xfId="0" applyAlignment="1">
      <alignment horizontal="left" vertical="center" wrapText="1"/>
    </xf>
    <xf numFmtId="0" fontId="2" fillId="3" borderId="27" xfId="1" applyFill="1" applyBorder="1"/>
    <xf numFmtId="0" fontId="4" fillId="11" borderId="0" xfId="0" applyFont="1" applyFill="1"/>
    <xf numFmtId="0" fontId="11" fillId="11" borderId="0" xfId="0" applyFont="1" applyFill="1"/>
    <xf numFmtId="0" fontId="10" fillId="11" borderId="0" xfId="0" applyFont="1" applyFill="1"/>
    <xf numFmtId="0" fontId="12" fillId="0" borderId="0" xfId="0" applyFont="1" applyAlignment="1">
      <alignment vertical="center" wrapText="1"/>
    </xf>
    <xf numFmtId="0" fontId="10" fillId="0" borderId="0" xfId="0" applyFont="1"/>
    <xf numFmtId="0" fontId="0" fillId="0" borderId="34" xfId="0" applyBorder="1" applyAlignment="1">
      <alignment vertical="center" wrapText="1"/>
    </xf>
    <xf numFmtId="0" fontId="13" fillId="11" borderId="0" xfId="0" applyFont="1" applyFill="1" applyAlignment="1">
      <alignment vertical="center"/>
    </xf>
    <xf numFmtId="0" fontId="10" fillId="11" borderId="0" xfId="0" applyFont="1" applyFill="1" applyAlignment="1">
      <alignment vertical="center" wrapText="1"/>
    </xf>
    <xf numFmtId="0" fontId="4" fillId="11" borderId="0" xfId="0" applyFont="1" applyFill="1" applyAlignment="1">
      <alignment vertical="center" wrapText="1"/>
    </xf>
    <xf numFmtId="0" fontId="3" fillId="0" borderId="0" xfId="0" applyFont="1" applyAlignment="1">
      <alignment horizontal="center" wrapText="1"/>
    </xf>
    <xf numFmtId="0" fontId="4" fillId="11" borderId="0" xfId="0" applyFont="1" applyFill="1" applyAlignment="1">
      <alignment vertical="center"/>
    </xf>
    <xf numFmtId="0" fontId="14" fillId="11" borderId="0" xfId="0" applyFont="1" applyFill="1" applyAlignment="1">
      <alignment vertical="center"/>
    </xf>
    <xf numFmtId="166" fontId="0" fillId="10" borderId="0" xfId="0" applyNumberFormat="1" applyFill="1"/>
    <xf numFmtId="167" fontId="0" fillId="0" borderId="0" xfId="0" applyNumberFormat="1"/>
    <xf numFmtId="0" fontId="3" fillId="0" borderId="0" xfId="0" applyFont="1" applyAlignment="1">
      <alignment horizontal="center"/>
    </xf>
    <xf numFmtId="0" fontId="15" fillId="0" borderId="0" xfId="0" applyFont="1"/>
    <xf numFmtId="0" fontId="0" fillId="7" borderId="0" xfId="0" applyFill="1"/>
    <xf numFmtId="0" fontId="2" fillId="0" borderId="0" xfId="1" applyFill="1" applyAlignment="1"/>
    <xf numFmtId="0" fontId="0" fillId="14" borderId="0" xfId="0" applyFill="1"/>
    <xf numFmtId="0" fontId="0" fillId="0" borderId="0" xfId="0" applyAlignment="1">
      <alignment vertical="top"/>
    </xf>
    <xf numFmtId="0" fontId="7" fillId="0" borderId="0" xfId="0" applyFont="1"/>
    <xf numFmtId="0" fontId="2" fillId="0" borderId="0" xfId="1" applyAlignment="1">
      <alignment horizontal="center" vertical="center"/>
    </xf>
    <xf numFmtId="0" fontId="16" fillId="0" borderId="0" xfId="0" quotePrefix="1" applyFont="1"/>
    <xf numFmtId="0" fontId="4" fillId="15" borderId="0" xfId="0" applyFont="1" applyFill="1"/>
    <xf numFmtId="0" fontId="17" fillId="7" borderId="0" xfId="0" applyFont="1" applyFill="1"/>
    <xf numFmtId="0" fontId="0" fillId="0" borderId="0" xfId="0" applyAlignment="1">
      <alignment horizontal="left" vertical="top"/>
    </xf>
    <xf numFmtId="0" fontId="2" fillId="0" borderId="0" xfId="1" quotePrefix="1" applyFill="1" applyAlignment="1"/>
    <xf numFmtId="0" fontId="18" fillId="16" borderId="0" xfId="0" applyFont="1" applyFill="1"/>
    <xf numFmtId="0" fontId="17" fillId="0" borderId="0" xfId="0" applyFont="1"/>
    <xf numFmtId="0" fontId="7" fillId="14" borderId="0" xfId="0" applyFont="1" applyFill="1"/>
    <xf numFmtId="0" fontId="2" fillId="0" borderId="0" xfId="1" applyAlignment="1"/>
    <xf numFmtId="0" fontId="18" fillId="17" borderId="0" xfId="0" applyFont="1" applyFill="1"/>
    <xf numFmtId="0" fontId="19" fillId="0" borderId="0" xfId="0" applyFont="1"/>
    <xf numFmtId="0" fontId="19" fillId="0" borderId="0" xfId="0" quotePrefix="1" applyFont="1"/>
    <xf numFmtId="0" fontId="0" fillId="0" borderId="0" xfId="0" applyAlignment="1">
      <alignment horizontal="left" vertical="center"/>
    </xf>
    <xf numFmtId="0" fontId="1" fillId="6" borderId="0" xfId="0" applyFont="1" applyFill="1" applyAlignment="1">
      <alignment vertical="center"/>
    </xf>
    <xf numFmtId="164" fontId="0" fillId="0" borderId="0" xfId="0" applyNumberFormat="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1" fillId="6" borderId="15" xfId="0" applyFont="1" applyFill="1"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7" fillId="18" borderId="0" xfId="0" applyFont="1" applyFill="1" applyAlignment="1">
      <alignment vertical="center"/>
    </xf>
    <xf numFmtId="164" fontId="7" fillId="18" borderId="0" xfId="0" applyNumberFormat="1" applyFont="1" applyFill="1" applyAlignment="1">
      <alignment vertical="center"/>
    </xf>
    <xf numFmtId="0" fontId="1" fillId="18" borderId="0" xfId="0" applyFont="1" applyFill="1"/>
    <xf numFmtId="0" fontId="10" fillId="0" borderId="17" xfId="0" applyFont="1" applyBorder="1" applyAlignment="1">
      <alignment horizontal="center" vertical="center"/>
    </xf>
    <xf numFmtId="0" fontId="0" fillId="3" borderId="4" xfId="0" applyFill="1" applyBorder="1" applyProtection="1">
      <protection locked="0"/>
    </xf>
    <xf numFmtId="0" fontId="0" fillId="0" borderId="0" xfId="0" applyAlignment="1" applyProtection="1">
      <alignment vertical="center"/>
      <protection locked="0"/>
    </xf>
    <xf numFmtId="19" fontId="0" fillId="18" borderId="0" xfId="0" applyNumberFormat="1" applyFill="1" applyAlignment="1" applyProtection="1">
      <alignment vertical="center"/>
      <protection locked="0"/>
    </xf>
    <xf numFmtId="0" fontId="0" fillId="0" borderId="0" xfId="0" applyAlignment="1">
      <alignment horizontal="left" wrapText="1"/>
    </xf>
    <xf numFmtId="0" fontId="0" fillId="3" borderId="0" xfId="0" applyFill="1"/>
    <xf numFmtId="0" fontId="3" fillId="0" borderId="0" xfId="0" applyFont="1" applyAlignment="1">
      <alignment horizontal="center" vertical="center" wrapText="1"/>
    </xf>
    <xf numFmtId="0" fontId="9" fillId="3" borderId="0" xfId="0" applyFont="1" applyFill="1" applyAlignment="1">
      <alignment horizontal="left" vertical="center" wrapText="1"/>
    </xf>
    <xf numFmtId="0" fontId="3" fillId="0" borderId="0" xfId="0" applyFont="1" applyAlignment="1">
      <alignment horizontal="center" vertical="center" wrapText="1"/>
    </xf>
    <xf numFmtId="0" fontId="3" fillId="0" borderId="0" xfId="0" applyFont="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4" fillId="11" borderId="0" xfId="0" applyFont="1" applyFill="1" applyAlignment="1">
      <alignment horizontal="left" vertical="center" wrapText="1"/>
    </xf>
  </cellXfs>
  <cellStyles count="2">
    <cellStyle name="Hyperlink" xfId="1" builtinId="8"/>
    <cellStyle name="Normal" xfId="0" builtinId="0"/>
  </cellStyles>
  <dxfs count="138">
    <dxf>
      <alignment horizontal="general" vertical="center" textRotation="0" wrapText="1" indent="0" justifyLastLine="0" shrinkToFit="0" readingOrder="0"/>
    </dxf>
    <dxf>
      <border>
        <bottom style="thin">
          <color auto="1"/>
        </bottom>
        <vertical/>
        <horizontal/>
      </border>
    </dxf>
    <dxf>
      <fill>
        <patternFill>
          <bgColor theme="4" tint="0.79998168889431442"/>
        </patternFill>
      </fill>
    </dxf>
    <dxf>
      <font>
        <color theme="0"/>
      </font>
      <fill>
        <patternFill>
          <bgColor theme="0"/>
        </patternFill>
      </fill>
    </dxf>
    <dxf>
      <border>
        <bottom style="thin">
          <color auto="1"/>
        </bottom>
        <vertical/>
        <horizontal/>
      </border>
    </dxf>
    <dxf>
      <font>
        <color theme="0"/>
      </font>
      <fill>
        <patternFill>
          <bgColor theme="0"/>
        </patternFill>
      </fill>
    </dxf>
    <dxf>
      <fill>
        <patternFill>
          <bgColor theme="4" tint="0.79998168889431442"/>
        </patternFill>
      </fill>
    </dxf>
    <dxf>
      <border>
        <bottom style="thin">
          <color auto="1"/>
        </bottom>
        <vertical/>
        <horizontal/>
      </border>
    </dxf>
    <dxf>
      <border>
        <bottom style="thin">
          <color auto="1"/>
        </bottom>
        <vertical/>
        <horizontal/>
      </border>
    </dxf>
    <dxf>
      <alignment horizontal="general" vertical="center" textRotation="0" wrapText="1" indent="0" justifyLastLine="0" shrinkToFit="0" readingOrder="0"/>
    </dxf>
    <dxf>
      <font>
        <b val="0"/>
        <i/>
        <strike val="0"/>
      </font>
    </dxf>
    <dxf>
      <border>
        <bottom style="thin">
          <color auto="1"/>
        </bottom>
        <vertical/>
        <horizontal/>
      </border>
    </dxf>
    <dxf>
      <font>
        <color theme="9"/>
      </font>
      <fill>
        <patternFill>
          <bgColor theme="9"/>
        </patternFill>
      </fill>
    </dxf>
    <dxf>
      <font>
        <color rgb="FFFF0000"/>
      </font>
      <fill>
        <patternFill>
          <bgColor rgb="FFFF0000"/>
        </patternFill>
      </fill>
    </dxf>
    <dxf>
      <font>
        <color theme="0"/>
      </font>
      <fill>
        <patternFill>
          <bgColor theme="0"/>
        </patternFill>
      </fill>
    </dxf>
    <dxf>
      <border>
        <bottom style="thin">
          <color auto="1"/>
        </bottom>
        <vertical/>
        <horizontal/>
      </border>
    </dxf>
    <dxf>
      <fill>
        <patternFill>
          <bgColor theme="4" tint="0.79998168889431442"/>
        </patternFill>
      </fill>
    </dxf>
    <dxf>
      <font>
        <b val="0"/>
        <i/>
        <strike val="0"/>
      </font>
    </dxf>
    <dxf>
      <font>
        <color theme="0"/>
      </font>
      <fill>
        <patternFill>
          <bgColor theme="0"/>
        </patternFill>
      </fill>
    </dxf>
    <dxf>
      <border>
        <bottom style="thin">
          <color auto="1"/>
        </bottom>
        <vertical/>
        <horizontal/>
      </border>
    </dxf>
    <dxf>
      <font>
        <color theme="0"/>
      </font>
      <fill>
        <patternFill>
          <bgColor theme="0"/>
        </patternFill>
      </fill>
    </dxf>
    <dxf>
      <fill>
        <patternFill>
          <bgColor theme="4" tint="0.79998168889431442"/>
        </patternFill>
      </fill>
    </dxf>
    <dxf>
      <border>
        <bottom style="thin">
          <color auto="1"/>
        </bottom>
        <vertical/>
        <horizontal/>
      </border>
    </dxf>
    <dxf>
      <border>
        <bottom style="thin">
          <color auto="1"/>
        </bottom>
        <vertical/>
        <horizontal/>
      </border>
    </dxf>
    <dxf>
      <font>
        <strike val="0"/>
        <outline val="0"/>
        <shadow val="0"/>
        <u val="none"/>
        <vertAlign val="baseline"/>
        <sz val="11"/>
        <color rgb="FFFF0000"/>
        <name val="Calibri"/>
        <family val="2"/>
        <scheme val="minor"/>
      </font>
      <fill>
        <patternFill patternType="solid">
          <fgColor indexed="64"/>
          <bgColor theme="4" tint="0.79998168889431442"/>
        </patternFill>
      </fill>
    </dxf>
    <dxf>
      <alignment horizontal="general" vertical="center" textRotation="0" wrapText="1" indent="0" justifyLastLine="0" shrinkToFit="0" readingOrder="0"/>
    </dxf>
    <dxf>
      <font>
        <color theme="0"/>
      </font>
      <fill>
        <patternFill>
          <bgColor theme="0"/>
        </patternFill>
      </fill>
    </dxf>
    <dxf>
      <border>
        <bottom style="thin">
          <color auto="1"/>
        </bottom>
        <vertical/>
        <horizontal/>
      </border>
    </dxf>
    <dxf>
      <border>
        <bottom style="thin">
          <color auto="1"/>
        </bottom>
        <vertical/>
        <horizontal/>
      </border>
    </dxf>
    <dxf>
      <font>
        <color theme="0"/>
      </font>
      <fill>
        <patternFill>
          <bgColor theme="0"/>
        </patternFill>
      </fill>
    </dxf>
    <dxf>
      <border>
        <bottom style="thin">
          <color auto="1"/>
        </bottom>
        <vertical/>
        <horizontal/>
      </border>
    </dxf>
    <dxf>
      <border>
        <bottom style="thin">
          <color auto="1"/>
        </bottom>
        <vertical/>
        <horizontal/>
      </border>
    </dxf>
    <dxf>
      <font>
        <b val="0"/>
        <i/>
        <strike val="0"/>
      </font>
    </dxf>
    <dxf>
      <border>
        <bottom style="thin">
          <color auto="1"/>
        </bottom>
        <vertical/>
        <horizontal/>
      </border>
    </dxf>
    <dxf>
      <font>
        <color theme="0"/>
      </font>
      <fill>
        <patternFill>
          <bgColor theme="0"/>
        </patternFill>
      </fill>
    </dxf>
    <dxf>
      <border>
        <bottom style="thin">
          <color auto="1"/>
        </bottom>
        <vertical/>
        <horizontal/>
      </border>
    </dxf>
    <dxf>
      <border>
        <bottom style="thin">
          <color auto="1"/>
        </bottom>
        <vertical/>
        <horizontal/>
      </border>
    </dxf>
    <dxf>
      <font>
        <color theme="0"/>
      </font>
      <fill>
        <patternFill>
          <bgColor theme="0"/>
        </patternFill>
      </fill>
    </dxf>
    <dxf>
      <border>
        <bottom style="thin">
          <color auto="1"/>
        </bottom>
        <vertical/>
        <horizontal/>
      </border>
    </dxf>
    <dxf>
      <border>
        <bottom style="thin">
          <color auto="1"/>
        </bottom>
        <vertical/>
        <horizontal/>
      </border>
    </dxf>
    <dxf>
      <font>
        <color theme="0"/>
      </font>
      <fill>
        <patternFill>
          <bgColor theme="0"/>
        </patternFill>
      </fill>
    </dxf>
    <dxf>
      <border>
        <bottom style="thin">
          <color auto="1"/>
        </bottom>
        <vertical/>
        <horizontal/>
      </border>
    </dxf>
    <dxf>
      <border>
        <bottom style="thin">
          <color auto="1"/>
        </bottom>
        <vertical/>
        <horizontal/>
      </border>
    </dxf>
    <dxf>
      <font>
        <b val="0"/>
        <i/>
        <strike val="0"/>
      </font>
    </dxf>
    <dxf>
      <border>
        <bottom style="thin">
          <color auto="1"/>
        </bottom>
        <vertical/>
        <horizontal/>
      </border>
    </dxf>
    <dxf>
      <font>
        <b val="0"/>
        <i/>
        <strike val="0"/>
      </font>
    </dxf>
    <dxf>
      <border>
        <bottom style="thin">
          <color auto="1"/>
        </bottom>
        <vertical/>
        <horizontal/>
      </border>
    </dxf>
    <dxf>
      <font>
        <color theme="0"/>
      </font>
      <fill>
        <patternFill>
          <bgColor theme="0"/>
        </patternFill>
      </fill>
    </dxf>
    <dxf>
      <border>
        <bottom style="thin">
          <color auto="1"/>
        </bottom>
        <vertical/>
        <horizontal/>
      </border>
    </dxf>
    <dxf>
      <font>
        <color theme="0"/>
      </font>
      <fill>
        <patternFill>
          <bgColor theme="0"/>
        </patternFill>
      </fill>
    </dxf>
    <dxf>
      <border>
        <bottom style="thin">
          <color auto="1"/>
        </bottom>
        <vertical/>
        <horizontal/>
      </border>
    </dxf>
    <dxf>
      <border>
        <bottom style="thin">
          <color auto="1"/>
        </bottom>
        <vertical/>
        <horizontal/>
      </border>
    </dxf>
    <dxf>
      <border>
        <bottom style="thin">
          <color auto="1"/>
        </bottom>
        <vertical/>
        <horizontal/>
      </border>
    </dxf>
    <dxf>
      <font>
        <b val="0"/>
        <i/>
        <strike val="0"/>
      </font>
    </dxf>
    <dxf>
      <border>
        <bottom style="thin">
          <color auto="1"/>
        </bottom>
        <vertical/>
        <horizontal/>
      </border>
    </dxf>
    <dxf>
      <font>
        <b val="0"/>
        <i/>
        <strike val="0"/>
      </font>
    </dxf>
    <dxf>
      <border>
        <bottom style="thin">
          <color auto="1"/>
        </bottom>
        <vertical/>
        <horizontal/>
      </border>
    </dxf>
    <dxf>
      <font>
        <color theme="0"/>
      </font>
      <fill>
        <patternFill>
          <bgColor theme="0"/>
        </patternFill>
      </fill>
    </dxf>
    <dxf>
      <border>
        <bottom style="thin">
          <color auto="1"/>
        </bottom>
        <vertical/>
        <horizontal/>
      </border>
    </dxf>
    <dxf>
      <fill>
        <patternFill>
          <bgColor theme="4" tint="0.79998168889431442"/>
        </patternFill>
      </fill>
    </dxf>
    <dxf>
      <font>
        <color theme="0"/>
      </font>
      <fill>
        <patternFill>
          <bgColor theme="0"/>
        </patternFill>
      </fill>
    </dxf>
    <dxf>
      <border>
        <bottom style="thin">
          <color auto="1"/>
        </bottom>
        <vertical/>
        <horizontal/>
      </border>
    </dxf>
    <dxf>
      <font>
        <color theme="0"/>
      </font>
      <fill>
        <patternFill>
          <bgColor theme="0"/>
        </patternFill>
      </fill>
    </dxf>
    <dxf>
      <fill>
        <patternFill>
          <bgColor theme="4" tint="0.79998168889431442"/>
        </patternFill>
      </fill>
    </dxf>
    <dxf>
      <border>
        <bottom style="thin">
          <color auto="1"/>
        </bottom>
        <vertical/>
        <horizontal/>
      </border>
    </dxf>
    <dxf>
      <border>
        <bottom style="thin">
          <color auto="1"/>
        </bottom>
        <vertical/>
        <horizontal/>
      </border>
    </dxf>
    <dxf>
      <numFmt numFmtId="0" formatCode="General"/>
    </dxf>
    <dxf>
      <numFmt numFmtId="0" formatCode="General"/>
    </dxf>
    <dxf>
      <numFmt numFmtId="0" formatCode="General"/>
    </dxf>
    <dxf>
      <numFmt numFmtId="0" formatCode="General"/>
    </dxf>
    <dxf>
      <numFmt numFmtId="0" formatCode="General"/>
    </dxf>
    <dxf>
      <numFmt numFmtId="167" formatCode="[$-409]m/d/yy\ h:mm\ AM/PM;@"/>
    </dxf>
    <dxf>
      <numFmt numFmtId="165" formatCode="[&lt;=9999999]###\-####;\(###\)\ ###\-####"/>
    </dxf>
    <dxf>
      <numFmt numFmtId="19" formatCode="m/d/yyyy"/>
    </dxf>
    <dxf>
      <font>
        <color theme="0"/>
      </font>
      <fill>
        <patternFill>
          <bgColor theme="0"/>
        </patternFill>
      </fill>
    </dxf>
    <dxf>
      <border>
        <bottom style="thin">
          <color auto="1"/>
        </bottom>
        <vertical/>
        <horizontal/>
      </border>
    </dxf>
    <dxf>
      <font>
        <color theme="0"/>
      </font>
      <fill>
        <patternFill>
          <bgColor theme="0"/>
        </patternFill>
      </fill>
    </dxf>
    <dxf>
      <border>
        <bottom style="thin">
          <color auto="1"/>
        </bottom>
        <vertical/>
        <horizontal/>
      </border>
    </dxf>
    <dxf>
      <font>
        <color theme="0"/>
      </font>
      <fill>
        <patternFill>
          <bgColor theme="0"/>
        </patternFill>
      </fill>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ont>
        <color theme="0"/>
      </font>
      <fill>
        <patternFill>
          <bgColor theme="0"/>
        </patternFill>
      </fill>
    </dxf>
    <dxf>
      <fill>
        <patternFill>
          <bgColor theme="4" tint="0.79998168889431442"/>
        </patternFill>
      </fill>
    </dxf>
    <dxf>
      <border>
        <bottom style="thin">
          <color auto="1"/>
        </bottom>
        <vertical/>
        <horizontal/>
      </border>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textRotation="0" wrapText="0" indent="0" justifyLastLine="0" shrinkToFit="0" readingOrder="0"/>
    </dxf>
    <dxf>
      <fill>
        <patternFill patternType="none">
          <fgColor indexed="64"/>
          <bgColor indexed="65"/>
        </patternFill>
      </fill>
      <alignment horizontal="general" textRotation="0" wrapText="0" indent="0" justifyLastLine="0" shrinkToFit="0" readingOrder="0"/>
    </dxf>
    <dxf>
      <fill>
        <patternFill patternType="none">
          <fgColor indexed="64"/>
          <bgColor indexed="65"/>
        </patternFill>
      </fill>
      <alignment horizontal="general" textRotation="0" wrapText="0" indent="0" justifyLastLine="0" shrinkToFit="0" readingOrder="0"/>
    </dxf>
    <dxf>
      <fill>
        <patternFill patternType="none">
          <fgColor indexed="64"/>
          <bgColor indexed="65"/>
        </patternFill>
      </fill>
      <alignment horizontal="general" textRotation="0" wrapText="0" indent="0" justifyLastLine="0" shrinkToFit="0" readingOrder="0"/>
    </dxf>
    <dxf>
      <fill>
        <patternFill patternType="none">
          <fgColor indexed="64"/>
          <bgColor indexed="65"/>
        </patternFill>
      </fill>
      <alignment horizontal="general"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indexed="65"/>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numFmt numFmtId="0" formatCode="General"/>
    </dxf>
    <dxf>
      <numFmt numFmtId="0" formatCode="General"/>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fill>
        <patternFill patternType="none">
          <fgColor indexed="64"/>
          <bgColor auto="1"/>
        </patternFill>
      </fill>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font>
        <b/>
        <i val="0"/>
        <strike val="0"/>
        <condense val="0"/>
        <extend val="0"/>
        <outline val="0"/>
        <shadow val="0"/>
        <u val="none"/>
        <vertAlign val="baseline"/>
        <sz val="11"/>
        <color theme="1"/>
        <name val="Calibri"/>
        <scheme val="minor"/>
      </font>
    </dxf>
    <dxf>
      <font>
        <b/>
        <i/>
        <color rgb="FFFF0000"/>
      </font>
    </dxf>
    <dxf>
      <fill>
        <patternFill>
          <bgColor theme="4" tint="0.79998168889431442"/>
        </patternFill>
      </fill>
    </dxf>
    <dxf>
      <font>
        <color rgb="FFFF0000"/>
      </font>
      <fill>
        <patternFill>
          <bgColor rgb="FFFF0000"/>
        </patternFill>
      </fill>
    </dxf>
    <dxf>
      <font>
        <color theme="9" tint="0.39994506668294322"/>
      </font>
      <fill>
        <patternFill>
          <bgColor theme="9" tint="0.599963377788628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0"/>
      </font>
      <fill>
        <patternFill>
          <bgColor theme="0"/>
        </patternFill>
      </fill>
    </dxf>
    <dxf>
      <fill>
        <patternFill>
          <bgColor theme="4" tint="0.79998168889431442"/>
        </patternFill>
      </fill>
    </dxf>
    <dxf>
      <border>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ustomXml" Target="../ink/ink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129540</xdr:colOff>
          <xdr:row>3</xdr:row>
          <xdr:rowOff>175260</xdr:rowOff>
        </xdr:from>
        <xdr:to>
          <xdr:col>6</xdr:col>
          <xdr:colOff>15240</xdr:colOff>
          <xdr:row>5</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243840</xdr:colOff>
          <xdr:row>3</xdr:row>
          <xdr:rowOff>175260</xdr:rowOff>
        </xdr:from>
        <xdr:to>
          <xdr:col>7</xdr:col>
          <xdr:colOff>213360</xdr:colOff>
          <xdr:row>5</xdr:row>
          <xdr:rowOff>91440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1272540</xdr:colOff>
          <xdr:row>3</xdr:row>
          <xdr:rowOff>152400</xdr:rowOff>
        </xdr:from>
        <xdr:to>
          <xdr:col>8</xdr:col>
          <xdr:colOff>2194560</xdr:colOff>
          <xdr:row>5</xdr:row>
          <xdr:rowOff>99060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129540</xdr:colOff>
          <xdr:row>4</xdr:row>
          <xdr:rowOff>129540</xdr:rowOff>
        </xdr:from>
        <xdr:to>
          <xdr:col>5</xdr:col>
          <xdr:colOff>1043940</xdr:colOff>
          <xdr:row>6</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2796540</xdr:colOff>
          <xdr:row>4</xdr:row>
          <xdr:rowOff>129540</xdr:rowOff>
        </xdr:from>
        <xdr:to>
          <xdr:col>4</xdr:col>
          <xdr:colOff>3710940</xdr:colOff>
          <xdr:row>6</xdr:row>
          <xdr:rowOff>53340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Assignee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4320540</xdr:colOff>
          <xdr:row>4</xdr:row>
          <xdr:rowOff>144780</xdr:rowOff>
        </xdr:from>
        <xdr:to>
          <xdr:col>4</xdr:col>
          <xdr:colOff>5234940</xdr:colOff>
          <xdr:row>6</xdr:row>
          <xdr:rowOff>68580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xdr:colOff>
          <xdr:row>4</xdr:row>
          <xdr:rowOff>137160</xdr:rowOff>
        </xdr:from>
        <xdr:to>
          <xdr:col>8</xdr:col>
          <xdr:colOff>708660</xdr:colOff>
          <xdr:row>6</xdr:row>
          <xdr:rowOff>60960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Candidate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320040</xdr:colOff>
          <xdr:row>8</xdr:row>
          <xdr:rowOff>60960</xdr:rowOff>
        </xdr:from>
        <xdr:to>
          <xdr:col>8</xdr:col>
          <xdr:colOff>1173480</xdr:colOff>
          <xdr:row>8</xdr:row>
          <xdr:rowOff>335280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Adjust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114300</xdr:colOff>
          <xdr:row>5</xdr:row>
          <xdr:rowOff>129540</xdr:rowOff>
        </xdr:from>
        <xdr:to>
          <xdr:col>6</xdr:col>
          <xdr:colOff>129540</xdr:colOff>
          <xdr:row>7</xdr:row>
          <xdr:rowOff>30480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259080</xdr:colOff>
          <xdr:row>5</xdr:row>
          <xdr:rowOff>129540</xdr:rowOff>
        </xdr:from>
        <xdr:to>
          <xdr:col>2</xdr:col>
          <xdr:colOff>1181100</xdr:colOff>
          <xdr:row>7</xdr:row>
          <xdr:rowOff>30480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213360</xdr:colOff>
          <xdr:row>5</xdr:row>
          <xdr:rowOff>99060</xdr:rowOff>
        </xdr:from>
        <xdr:to>
          <xdr:col>8</xdr:col>
          <xdr:colOff>1005840</xdr:colOff>
          <xdr:row>7</xdr:row>
          <xdr:rowOff>60960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Adjust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548640</xdr:colOff>
          <xdr:row>5</xdr:row>
          <xdr:rowOff>167640</xdr:rowOff>
        </xdr:from>
        <xdr:to>
          <xdr:col>6</xdr:col>
          <xdr:colOff>182880</xdr:colOff>
          <xdr:row>7</xdr:row>
          <xdr:rowOff>30480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xdr:row>
          <xdr:rowOff>167640</xdr:rowOff>
        </xdr:from>
        <xdr:to>
          <xdr:col>7</xdr:col>
          <xdr:colOff>0</xdr:colOff>
          <xdr:row>7</xdr:row>
          <xdr:rowOff>30480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411480</xdr:colOff>
          <xdr:row>2</xdr:row>
          <xdr:rowOff>167640</xdr:rowOff>
        </xdr:from>
        <xdr:to>
          <xdr:col>15</xdr:col>
          <xdr:colOff>510540</xdr:colOff>
          <xdr:row>4</xdr:row>
          <xdr:rowOff>68580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8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563880</xdr:colOff>
          <xdr:row>9</xdr:row>
          <xdr:rowOff>190500</xdr:rowOff>
        </xdr:from>
        <xdr:to>
          <xdr:col>12</xdr:col>
          <xdr:colOff>342900</xdr:colOff>
          <xdr:row>10</xdr:row>
          <xdr:rowOff>106680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8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22</xdr:row>
      <xdr:rowOff>60960</xdr:rowOff>
    </xdr:from>
    <xdr:to>
      <xdr:col>13</xdr:col>
      <xdr:colOff>554979</xdr:colOff>
      <xdr:row>33</xdr:row>
      <xdr:rowOff>171741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90500" y="4183380"/>
          <a:ext cx="12975579" cy="2114841"/>
        </a:xfrm>
        <a:prstGeom prst="rect">
          <a:avLst/>
        </a:prstGeom>
      </xdr:spPr>
    </xdr:pic>
    <xdr:clientData/>
  </xdr:twoCellAnchor>
  <xdr:twoCellAnchor editAs="oneCell">
    <xdr:from>
      <xdr:col>4</xdr:col>
      <xdr:colOff>3232245</xdr:colOff>
      <xdr:row>24</xdr:row>
      <xdr:rowOff>43770</xdr:rowOff>
    </xdr:from>
    <xdr:to>
      <xdr:col>8</xdr:col>
      <xdr:colOff>24855</xdr:colOff>
      <xdr:row>33</xdr:row>
      <xdr:rowOff>126315</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5" name="Ink 4">
              <a:extLst>
                <a:ext uri="{FF2B5EF4-FFF2-40B4-BE49-F238E27FC236}">
                  <a16:creationId xmlns:a16="http://schemas.microsoft.com/office/drawing/2014/main" id="{00000000-0008-0000-0900-000005000000}"/>
                </a:ext>
                <a:ext uri="{147F2762-F138-4A5C-976F-8EAC2B608ADB}">
                  <a16:predDERef xmlns:a16="http://schemas.microsoft.com/office/drawing/2014/main" pred="{00D0D9EA-195E-4533-B5EF-3326E3228BC7}"/>
                </a:ext>
              </a:extLst>
            </xdr14:cNvPr>
            <xdr14:cNvContentPartPr/>
          </xdr14:nvContentPartPr>
          <xdr14:nvPr macro=""/>
          <xdr14:xfrm>
            <a:off x="6766020" y="4491945"/>
            <a:ext cx="2644770" cy="1707510"/>
          </xdr14:xfrm>
        </xdr:contentPart>
      </mc:Choice>
      <mc:Fallback xmlns="">
        <xdr:pic>
          <xdr:nvPicPr>
            <xdr:cNvPr id="5" name="Ink 4">
              <a:extLst>
                <a:ext uri="{FF2B5EF4-FFF2-40B4-BE49-F238E27FC236}">
                  <a16:creationId xmlns:a16="http://schemas.microsoft.com/office/drawing/2014/main" id="{7BFBA91D-8ABB-4F2B-B937-42F90CC54F5D}"/>
                </a:ext>
              </a:extLst>
            </xdr:cNvPr>
            <xdr:cNvPicPr/>
          </xdr:nvPicPr>
          <xdr:blipFill>
            <a:blip xmlns:r="http://schemas.openxmlformats.org/officeDocument/2006/relationships" r:embed="rId3"/>
            <a:stretch>
              <a:fillRect/>
            </a:stretch>
          </xdr:blipFill>
          <xdr:spPr>
            <a:xfrm>
              <a:off x="6824580" y="4281900"/>
              <a:ext cx="2813760" cy="1762200"/>
            </a:xfrm>
            <a:prstGeom prst="rect">
              <a:avLst/>
            </a:prstGeom>
          </xdr:spPr>
        </xdr:pic>
      </mc:Fallback>
    </mc:AlternateContent>
    <xdr:clientData/>
  </xdr:twoCellAnchor>
  <xdr:twoCellAnchor>
    <xdr:from>
      <xdr:col>10</xdr:col>
      <xdr:colOff>182880</xdr:colOff>
      <xdr:row>11</xdr:row>
      <xdr:rowOff>76200</xdr:rowOff>
    </xdr:from>
    <xdr:to>
      <xdr:col>11</xdr:col>
      <xdr:colOff>57912</xdr:colOff>
      <xdr:row>16</xdr:row>
      <xdr:rowOff>140208</xdr:rowOff>
    </xdr:to>
    <xdr:sp macro="" textlink="">
      <xdr:nvSpPr>
        <xdr:cNvPr id="6" name="Arrow: Down 5">
          <a:extLst>
            <a:ext uri="{FF2B5EF4-FFF2-40B4-BE49-F238E27FC236}">
              <a16:creationId xmlns:a16="http://schemas.microsoft.com/office/drawing/2014/main" id="{00000000-0008-0000-0900-000006000000}"/>
            </a:ext>
          </a:extLst>
        </xdr:cNvPr>
        <xdr:cNvSpPr/>
      </xdr:nvSpPr>
      <xdr:spPr>
        <a:xfrm>
          <a:off x="10965180" y="2179320"/>
          <a:ext cx="484632" cy="978408"/>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1-12-29T01:42:40.736"/>
    </inkml:context>
    <inkml:brush xml:id="br0">
      <inkml:brushProperty name="width" value="0.1" units="cm"/>
      <inkml:brushProperty name="height" value="0.1" units="cm"/>
      <inkml:brushProperty name="color" value="#F6630D"/>
    </inkml:brush>
  </inkml:definitions>
  <inkml:trace contextRef="#ctx0" brushRef="#br0">2054 170 7410</inkml:trace>
  <inkml:trace contextRef="#ctx0" brushRef="#br0" timeOffset="2577.85">1886 172 12203,'-57'1'137,"-28"1"140,0 4 0,-139 27 0,-62 33-80,256-56-196,-4-2-1,5 5 1,-3 0 0,-27 17-1,-108 74 0,104-63 0,6-1-3,2 2 1,2 4-1,3 3 0,2-2 1,0 6-1,4 0 0,-72 119 1,80-113-1,3 2 0,3 1 1,1 4-1,5-2 0,3 4 1,2-2-1,3 2 0,3 1 1,-8 137-1,10-21-3,1-30 14,17 272-1,0-363-5,4-3 0,3 2-1,4-3 1,24 66 0,-9-44 8,5-5 0,67 112 0,-14-39 27,-54-79 27,5-6 1,4 1-1,62 73 1,-23-50-32,78 88-22,-142-154-9,98 118 220,-96-118-177,2-1 1,-1 0 0,45 28-1,-29-29-12,73 31-1,-82-40-19,16 4-3,-37-14-10,0 0 0,-2 3 0,1-3 0,1 1 0,-3 2 0,2-1 0,-1 2 0,0-1 0,0 0 0,8 9 0,-4-3 14,0 1 0,2-1-1,0-2 1,-1 1-1,3-1 1,-2 1-1,1-3 1,0-1 0,3 1-1,27 6 1,176 61 422,-184-64-344,0-2 0,73 8-1,-2-1 33,-87-12-67,1-1 0,31-1 0,18 1 25,-62-1-73,131 20 130,-138-19-137,4-2 5,2 1 1,0 1-1,-2 0 0,3-1 1,-3-1-1,3 0 1,13-1-1,1-2 6,-2 3-1,1 0 0,0 3 1,2-1-1,25 7 0,35 4 9,310 8 23,-171-9 6,-153-7-23,-2-1 1,81-7-1,-59-6-2,2-1-16,128 1 1,-72 9 156,168-19 0,129-31 488,-413 44-549,36-8 0,-3 0-46,42-2 12,117-3-1,-153 13 25,121-28-1,-4 1-8,137-16 165,-168 25-190,-57 5 3,-4-5-1,182-68 1,-233 72-49,-1 1 0,-2-3 0,0-1 1,-1-4-1,-1-1 0,-1 0 0,-1-6 1,-2 3-1,62-75 0,-27 24 50,-48 57-7,-1 3 1,-1-5-1,-1 0 0,-2-1 1,-1 1-1,19-41 0,-16 14 49,-2-3-1,-2-1 0,-3 0 0,6-61 0,-11 24 10,-7-172-1,-8 88-73,-17-219-17,16 323-25,-4 1-1,-3 3 1,-34-103-1,16 88 18,-87-163-1,93 198-10,-6 2-1,0 2 1,-3 1 0,-57-55 0,8 20-100,-169-125 1,190 162 21,-3 2-1,-2 3 1,-116-47-1,-245-60 45,1 0 11,-199-89-7,-16 66 5,475 130 18,117 26-19,-122-28-113,-218-22-1,201 48-9,-105-10 48,230 19 94,-1 3 0,2 3-1,-2 3 1,-82 13 0,92-3-6,-72 20 0,-48 13-129,-110-13-1415,99-23-2737,79-7 1010</inkml:trace>
</inkm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D3B62B6-10E7-4D87-A71D-2D3C80D642F4}" name="Table1" displayName="Table1" ref="A1:AE413" totalsRowShown="0" headerRowDxfId="118" dataDxfId="117">
  <autoFilter ref="A1:AE413" xr:uid="{00000000-0009-0000-0100-000001000000}"/>
  <tableColumns count="31">
    <tableColumn id="1" xr3:uid="{5E2EEDE1-8AD1-4B32-BA82-A169483322F7}" name="Status" dataDxfId="116"/>
    <tableColumn id="2" xr3:uid="{41EBAB6E-2F06-4CAC-88E6-518FC57C274A}" name="Decision" dataDxfId="115"/>
    <tableColumn id="3" xr3:uid="{9A58C2D4-B2F6-499B-BF95-8822D670EA76}" name="Location" dataDxfId="114"/>
    <tableColumn id="4" xr3:uid="{54A7A78D-AB6C-4DE5-8548-72F80E2543B2}" name="Name" dataDxfId="113"/>
    <tableColumn id="5" xr3:uid="{43783E7E-E6C7-49F4-B110-B4A1C85A2BCE}" name="Surname" dataDxfId="112"/>
    <tableColumn id="17" xr3:uid="{05BE8B6D-BE37-41D7-9C6E-6B1F92635653}" name="Full Name ALL" dataDxfId="111">
      <calculatedColumnFormula>D2&amp;" "&amp;E2</calculatedColumnFormula>
    </tableColumn>
    <tableColumn id="28" xr3:uid="{20F852E8-414E-4C85-A1A0-829883D6D5DE}" name="Uploaded" dataDxfId="110">
      <calculatedColumnFormula>_xlfn.XLOOKUP(Table1[[#This Row],[Full Name ALL]],Contact[Full Name],Contact[Sequence],"Not Found")</calculatedColumnFormula>
    </tableColumn>
    <tableColumn id="6" xr3:uid="{CA03C951-7E6F-4E56-974A-E06520D255CE}" name="email" dataDxfId="109" dataCellStyle="Hyperlink"/>
    <tableColumn id="7" xr3:uid="{401C5ED7-442F-4E73-ADE8-9A5727F4C4F3}" name="Phone" dataDxfId="108"/>
    <tableColumn id="8" xr3:uid="{53AAB699-E12D-458C-8AD6-436A339C9125}" name="McK Alumni link" dataDxfId="107"/>
    <tableColumn id="21" xr3:uid="{E721D8B1-0B71-4487-8022-4E7B200A7F5B}" name="Season" dataDxfId="106"/>
    <tableColumn id="9" xr3:uid="{E24BF92C-0582-4EEB-9D35-0FC02520AB77}" name="Notes" dataDxfId="105"/>
    <tableColumn id="10" xr3:uid="{B8B5CB38-7DB0-4132-BB99-B5185B61B586}" name="Spammer" dataDxfId="104"/>
    <tableColumn id="11" xr3:uid="{3653C0DD-7709-46C0-BFAC-CF5AAC218683}" name="Waitlist" dataDxfId="103"/>
    <tableColumn id="12" xr3:uid="{3DDE33D0-4B13-482E-9D6D-8B17E1B0F7D0}" name="Answer" dataDxfId="102"/>
    <tableColumn id="20" xr3:uid="{5B09C8AF-5FC0-42B2-BE68-1F2D37DFD947}" name="Who and How to close" dataDxfId="101" dataCellStyle="Hyperlink"/>
    <tableColumn id="22" xr3:uid="{E4EB4EAE-E156-41DF-B661-A2A471DE1D7B}" name="2020 1st Phone screener" dataDxfId="100"/>
    <tableColumn id="23" xr3:uid="{A24BB5D4-C5F5-44F1-A634-B40C0CE1E729}" name="2020 1st Phone Screen feedback" dataDxfId="99"/>
    <tableColumn id="24" xr3:uid="{61CB8F1A-C4B1-4D88-A8B6-D8C636CACE0C}" name="2020 2nd Phone screener" dataDxfId="98"/>
    <tableColumn id="25" xr3:uid="{F0CD7C5C-B166-473B-B95F-D204FEE983B0}" name="2020 2nd Phone Screen feedback" dataDxfId="97"/>
    <tableColumn id="26" xr3:uid="{8016EF52-D60D-49EA-900A-A4DD9EB551C6}" name="2020 3rd phone screener" dataDxfId="96"/>
    <tableColumn id="27" xr3:uid="{E59EDC47-5851-4F72-9CFD-205D3F720910}" name="2020 3rd Phone Screen feedback" dataDxfId="95"/>
    <tableColumn id="32" xr3:uid="{8E11D8FF-C3B7-4123-8533-1831DAFCD387}" name="2020 4th Phone Screener" dataDxfId="94"/>
    <tableColumn id="31" xr3:uid="{4B720F66-6E5A-4FBA-9A43-B0966EA0DAFB}" name="2020 4th Phone Screen Feedback" dataDxfId="93"/>
    <tableColumn id="30" xr3:uid="{16547443-6E37-4C45-AAE7-719CF6F4B146}" name="2020 3rd Phone Screen feedback2" dataDxfId="92"/>
    <tableColumn id="13" xr3:uid="{F9DB09A1-5AD4-4AEA-A935-2D5FDF6E9827}" name="2019 1st Phone screener2" dataDxfId="91"/>
    <tableColumn id="14" xr3:uid="{1B3BE6D3-87E0-4EA5-8A58-CD68E9FDCC98}" name="2019 1st Phone Screen feedback32" dataDxfId="90"/>
    <tableColumn id="15" xr3:uid="{369E1CE4-D8E8-4732-9A7A-713F28F55F79}" name="2019 2nd Phone screener4" dataDxfId="89"/>
    <tableColumn id="16" xr3:uid="{11205004-BA2E-4E67-826B-AFAE2D3774FE}" name="2019 2nd Phone Screen feedback5" dataDxfId="88"/>
    <tableColumn id="18" xr3:uid="{F1C3A91A-3865-40F4-94AC-572AC59A07C3}" name="2019 3rd phone screen6" dataDxfId="87"/>
    <tableColumn id="19" xr3:uid="{AF85F9C7-BB31-491D-9912-B84A571FF49A}" name="Closed?" dataDxfId="86"/>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5DAD29-D454-466C-B5F2-D49CB3E416AF}" name="Contact" displayName="Contact" ref="A1:AB515" totalsRowShown="0">
  <autoFilter ref="A1:AB515" xr:uid="{4E5DAD29-D454-466C-B5F2-D49CB3E416AF}"/>
  <tableColumns count="28">
    <tableColumn id="1" xr3:uid="{A9BD9952-C945-4FEB-9F38-E7539081232D}" name="Sequence"/>
    <tableColumn id="2" xr3:uid="{3C55EE4A-B102-43ED-ADF2-62AE24C221B1}" name="First Name"/>
    <tableColumn id="3" xr3:uid="{56A0A238-8C00-4D14-BBAE-54420740EEA8}" name="Last Name"/>
    <tableColumn id="4" xr3:uid="{41011951-2891-4DF1-9D2B-47CC1B06E5B2}" name="Name Descriptor"/>
    <tableColumn id="5" xr3:uid="{652F5476-6D01-43E2-86ED-4D528A60D6F8}" name="Full Name">
      <calculatedColumnFormula>B2&amp;" "&amp;C2</calculatedColumnFormula>
    </tableColumn>
    <tableColumn id="6" xr3:uid="{79268C58-0FFD-414F-9AAD-4DE0FBF64E10}" name="Contactor"/>
    <tableColumn id="7" xr3:uid="{66E54226-AF2A-4947-8E71-DED1D96B5546}" name="Type of Contact"/>
    <tableColumn id="22" xr3:uid="{71E53138-312E-4372-BF90-29B09F089D93}" name="Contact Date" dataDxfId="73"/>
    <tableColumn id="8" xr3:uid="{06538431-1253-4E4B-BE45-3514037384FA}" name="E-mail" dataCellStyle="Hyperlink"/>
    <tableColumn id="9" xr3:uid="{1C82675E-CAD6-40BE-8BE1-4F2C44CFA675}" name="Phone" dataDxfId="72"/>
    <tableColumn id="10" xr3:uid="{F26FFB8B-EEB4-46EE-93B3-A0558F4FE833}" name="Current Location"/>
    <tableColumn id="11" xr3:uid="{DDF0150E-BA86-40A5-8BEA-C632073DEB0A}" name="Position "/>
    <tableColumn id="12" xr3:uid="{FF601EDB-4B98-4CB7-9153-D48354857287}" name="Position Location"/>
    <tableColumn id="13" xr3:uid="{685004E8-5244-47C1-99D4-BEF24ECB41D3}" name="McK Alum Status"/>
    <tableColumn id="14" xr3:uid="{9A77141C-00C0-4F1F-9AB4-8C9E7B158F9A}" name="Current Org"/>
    <tableColumn id="15" xr3:uid="{2C7D6022-82F9-436E-A0E4-409DA3ECBDEC}" name="Contact Notes"/>
    <tableColumn id="16" xr3:uid="{77B93024-7B3D-400F-B038-B5CE14639AEF}" name="Recommendation"/>
    <tableColumn id="17" xr3:uid="{4AD9A5F0-A286-42C0-BD02-3390A37251B4}" name="Status"/>
    <tableColumn id="18" xr3:uid="{70510B25-C9A7-4479-BCDD-1E08D70326E5}" name="Final Decision"/>
    <tableColumn id="19" xr3:uid="{02598931-3CDA-4213-9E25-0FF74406A8DF}" name="Updated by"/>
    <tableColumn id="20" xr3:uid="{10458C47-AEBD-4734-92D8-B07757D604E7}" name="Update Date" dataDxfId="71"/>
    <tableColumn id="23" xr3:uid="{3651FD26-8F5E-401E-BC33-5CF996E70734}" name="Season"/>
    <tableColumn id="24" xr3:uid="{32C92703-1814-4B75-B4DE-9ED29EDE2BF6}" name="Asssigned"/>
    <tableColumn id="25" xr3:uid="{8E6318B0-F1B6-40BE-9884-139C8DD4725C}" name="Latest" dataDxfId="70">
      <calculatedColumnFormula>IF(_xlfn.MAXIFS(Contact[Sequence],Contact[Full Name],Contact[[#This Row],[Full Name]],Contact[Season],Contact[[#This Row],[Season]])=Contact[[#This Row],[Sequence]],TRUE,FALSE)</calculatedColumnFormula>
    </tableColumn>
    <tableColumn id="21" xr3:uid="{6FB41B78-6028-4C68-9076-4759F158D546}" name="1_Waitlist/Sent/Answered" dataDxfId="69"/>
    <tableColumn id="26" xr3:uid="{4F3E3EDA-E239-4A90-A1F2-B594F6389C86}" name="Comments" dataDxfId="68"/>
    <tableColumn id="27" xr3:uid="{555D66F9-6D58-4551-90E4-CDA643E4F87D}" name="Active" dataDxfId="67">
      <calculatedColumnFormula>IF(Contact[[#This Row],[Latest]]=TRUE,_xlfn.XLOOKUP(Contact[[#This Row],[Final Decision]],Table3[Final Decision],Table3[Active],0),0)</calculatedColumnFormula>
    </tableColumn>
    <tableColumn id="28" xr3:uid="{6BBEDD50-4A8C-4C0E-A49E-DFFB1793E04E}" name="Active Flag" dataDxfId="66">
      <calculatedColumnFormula>SUMIF(Contact[Full Name],Contact[[#This Row],[Full Name]],Contact[Active])</calculatedColumnFormula>
    </tableColumn>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3A111E-370F-492F-ADA5-07C39BADCB2A}" name="Table25" displayName="Table25" ref="W12:Z36" totalsRowShown="0" headerRowDxfId="25">
  <autoFilter ref="W12:Z36" xr:uid="{0C571C81-D12C-4CC0-A84F-1D76B02524B0}"/>
  <tableColumns count="4">
    <tableColumn id="1" xr3:uid="{8C5B3A5C-3F39-46DF-B79A-CCE7BAC2099C}" name="Field"/>
    <tableColumn id="2" xr3:uid="{C38DBEAB-0E22-432F-AE14-336019EBC171}" name="Index"/>
    <tableColumn id="3" xr3:uid="{8DC08841-99B3-4947-8D89-CCE0A13425BD}" name="Include"/>
    <tableColumn id="4" xr3:uid="{2F5ED3A8-B952-4D79-9A65-AA86A824B85F}" name="ord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E5B421-3348-45AD-9FB9-F7FC0DAC7BE8}" name="Table3" displayName="Table3" ref="A1:I10" totalsRowShown="0" headerRowDxfId="24">
  <autoFilter ref="A1:I10" xr:uid="{09E5B421-3348-45AD-9FB9-F7FC0DAC7BE8}"/>
  <tableColumns count="9">
    <tableColumn id="1" xr3:uid="{B828F950-521E-48FB-A470-DAB4008D2399}" name="Contactor"/>
    <tableColumn id="2" xr3:uid="{C069AD28-BDE3-4241-9ADE-D15856C823DA}" name="Type of Contact"/>
    <tableColumn id="3" xr3:uid="{FA1569A0-360E-4807-8B10-97C34CB16D2F}" name="Mck Alum Status"/>
    <tableColumn id="4" xr3:uid="{91D571EE-B784-469F-A258-79D41624D6B8}" name="Status"/>
    <tableColumn id="5" xr3:uid="{C8414466-A1D0-41D4-A818-B2104AB31254}" name="Next Action"/>
    <tableColumn id="6" xr3:uid="{9BC61F64-B4F6-417B-9246-E80B44CF0E1A}" name="Final Decision"/>
    <tableColumn id="7" xr3:uid="{D5D7BF40-0FF1-42F8-9EFE-96BE68685919}" name="Season"/>
    <tableColumn id="8" xr3:uid="{6C8EF97A-A5DB-4F36-BF88-861309B47971}" name="Position"/>
    <tableColumn id="9" xr3:uid="{57CF665D-53B2-4AA2-BBFF-AE9117E33183}"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571C81-D12C-4CC0-A84F-1D76B02524B0}" name="Table2" displayName="Table2" ref="W12:Z36" totalsRowShown="0" headerRowDxfId="9">
  <autoFilter ref="W12:Z36" xr:uid="{0C571C81-D12C-4CC0-A84F-1D76B02524B0}"/>
  <tableColumns count="4">
    <tableColumn id="1" xr3:uid="{B637F1F9-C79B-46B2-8205-0BBB3996763C}" name="Field"/>
    <tableColumn id="2" xr3:uid="{F93350DA-40D4-474A-ACEB-AEBCD63311A0}" name="Index"/>
    <tableColumn id="3" xr3:uid="{86BBF03B-7046-4BCE-B3EB-AD6D11E4B063}" name="Include"/>
    <tableColumn id="4" xr3:uid="{3BBDF140-5BAE-43CF-BCC8-4839B880DA21}" name="ord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24D21D-DDD1-44E1-9CF8-8C52BB875D9B}" name="Bulktable" displayName="Bulktable" ref="B10:K11" totalsRowShown="0" headerRowDxfId="0">
  <autoFilter ref="B10:K11" xr:uid="{E82D719A-A101-4BFD-ADF7-3D57E86F5A82}"/>
  <tableColumns count="10">
    <tableColumn id="1" xr3:uid="{AE33988C-9ABD-445B-84F7-43524C209AD5}" name="First Name"/>
    <tableColumn id="2" xr3:uid="{EB692708-B252-410E-8F8A-CDF579F5E283}" name="Last Name"/>
    <tableColumn id="3" xr3:uid="{B4581074-ECE0-4D35-9CD7-C18A87DF9DB0}" name="Name Descriptor"/>
    <tableColumn id="4" xr3:uid="{C012E722-E515-4513-8BDD-322AC3B95CBE}" name="Contactor"/>
    <tableColumn id="5" xr3:uid="{268ED21A-2425-4786-9266-BA3D3C1D2577}" name="E-mail/Link"/>
    <tableColumn id="7" xr3:uid="{3A2F734B-6147-4020-A9E7-6ECEE104EA75}" name="Current Location"/>
    <tableColumn id="8" xr3:uid="{6C5B189B-1720-4084-97CC-983208B7EE2B}" name="Position "/>
    <tableColumn id="9" xr3:uid="{5B2BA3E1-429F-4389-ACC5-D8CCB71D0826}" name="Position Location"/>
    <tableColumn id="13" xr3:uid="{82BFDCCA-D388-4F14-BE24-6FA84F216FF4}" name="Season"/>
    <tableColumn id="14" xr3:uid="{47D1D561-9D18-4231-9BB9-C97FF8D39782}" name="Asssigned t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linkedin.com/in/rajeshsrinivasaraghavan/" TargetMode="External"/><Relationship Id="rId21" Type="http://schemas.openxmlformats.org/officeDocument/2006/relationships/hyperlink" Target="mailto:jean.park@mac.com" TargetMode="External"/><Relationship Id="rId42" Type="http://schemas.openxmlformats.org/officeDocument/2006/relationships/hyperlink" Target="mailto:viveksinghiet@gmail.com" TargetMode="External"/><Relationship Id="rId63" Type="http://schemas.openxmlformats.org/officeDocument/2006/relationships/hyperlink" Target="mailto:yltlynn@gmail.com" TargetMode="External"/><Relationship Id="rId84" Type="http://schemas.openxmlformats.org/officeDocument/2006/relationships/hyperlink" Target="mailto:christoph.sandler@gmail.com" TargetMode="External"/><Relationship Id="rId138" Type="http://schemas.openxmlformats.org/officeDocument/2006/relationships/hyperlink" Target="mailto:caroline.taich@gmail.com" TargetMode="External"/><Relationship Id="rId159" Type="http://schemas.openxmlformats.org/officeDocument/2006/relationships/hyperlink" Target="mailto:sebastianwjakob@gmail.com" TargetMode="External"/><Relationship Id="rId170" Type="http://schemas.openxmlformats.org/officeDocument/2006/relationships/hyperlink" Target="mailto:sbrowndc@gmail.com" TargetMode="External"/><Relationship Id="rId191" Type="http://schemas.openxmlformats.org/officeDocument/2006/relationships/hyperlink" Target="mailto:ashleyz.mun@gmail.com" TargetMode="External"/><Relationship Id="rId205" Type="http://schemas.openxmlformats.org/officeDocument/2006/relationships/hyperlink" Target="https://www.mckinsey.com/alumni/candidate/412674" TargetMode="External"/><Relationship Id="rId226" Type="http://schemas.openxmlformats.org/officeDocument/2006/relationships/hyperlink" Target="mailto:mwangjing@outlook.com" TargetMode="External"/><Relationship Id="rId107" Type="http://schemas.openxmlformats.org/officeDocument/2006/relationships/hyperlink" Target="mailto:madhushree.srinivasan@gmail.com" TargetMode="External"/><Relationship Id="rId11" Type="http://schemas.openxmlformats.org/officeDocument/2006/relationships/hyperlink" Target="mailto:krupalparchure@gmail.com" TargetMode="External"/><Relationship Id="rId32" Type="http://schemas.openxmlformats.org/officeDocument/2006/relationships/hyperlink" Target="https://www.mckinsey.com/alumni/candidate/500112853" TargetMode="External"/><Relationship Id="rId53" Type="http://schemas.openxmlformats.org/officeDocument/2006/relationships/hyperlink" Target="mailto:marslanm891@gmail.com" TargetMode="External"/><Relationship Id="rId74" Type="http://schemas.openxmlformats.org/officeDocument/2006/relationships/hyperlink" Target="mailto:Emarnand@gmail.com" TargetMode="External"/><Relationship Id="rId128" Type="http://schemas.openxmlformats.org/officeDocument/2006/relationships/hyperlink" Target="mailto:robert.s.lee@gmail.com" TargetMode="External"/><Relationship Id="rId149" Type="http://schemas.openxmlformats.org/officeDocument/2006/relationships/hyperlink" Target="mailto:sridatta07@gmail.com" TargetMode="External"/><Relationship Id="rId5" Type="http://schemas.openxmlformats.org/officeDocument/2006/relationships/hyperlink" Target="https://www.mckinsey.com/alumni/candidate/500129001" TargetMode="External"/><Relationship Id="rId95" Type="http://schemas.openxmlformats.org/officeDocument/2006/relationships/hyperlink" Target="mailto:lwucuan@hotmail.com" TargetMode="External"/><Relationship Id="rId160" Type="http://schemas.openxmlformats.org/officeDocument/2006/relationships/hyperlink" Target="mailto:anju.khetan@gmail.com" TargetMode="External"/><Relationship Id="rId181" Type="http://schemas.openxmlformats.org/officeDocument/2006/relationships/hyperlink" Target="mailto:venkat.sharanya@gmail.com" TargetMode="External"/><Relationship Id="rId216" Type="http://schemas.openxmlformats.org/officeDocument/2006/relationships/hyperlink" Target="mailto:Kuldeep_Kumar_Upadhyay@mckinsey.com;%20kdlakehomes@gmail.com" TargetMode="External"/><Relationship Id="rId237" Type="http://schemas.openxmlformats.org/officeDocument/2006/relationships/hyperlink" Target="mailto:hasanshakil1@gmail.com" TargetMode="External"/><Relationship Id="rId22" Type="http://schemas.openxmlformats.org/officeDocument/2006/relationships/hyperlink" Target="mailto:patty_seifert@yahoo.com" TargetMode="External"/><Relationship Id="rId43" Type="http://schemas.openxmlformats.org/officeDocument/2006/relationships/hyperlink" Target="mailto:neeraj_gupta99@yahoo.com" TargetMode="External"/><Relationship Id="rId64" Type="http://schemas.openxmlformats.org/officeDocument/2006/relationships/hyperlink" Target="mailto:rajen.makhijani@gmail.com" TargetMode="External"/><Relationship Id="rId118" Type="http://schemas.openxmlformats.org/officeDocument/2006/relationships/hyperlink" Target="https://www.mckinsey.com/alumni/candidate/106644" TargetMode="External"/><Relationship Id="rId139" Type="http://schemas.openxmlformats.org/officeDocument/2006/relationships/hyperlink" Target="mailto:paula_holcomb@yahoo.com" TargetMode="External"/><Relationship Id="rId85" Type="http://schemas.openxmlformats.org/officeDocument/2006/relationships/hyperlink" Target="mailto:guruprasad.sankar@gmail.com" TargetMode="External"/><Relationship Id="rId150" Type="http://schemas.openxmlformats.org/officeDocument/2006/relationships/hyperlink" Target="mailto:sdv9@georgetown.edu" TargetMode="External"/><Relationship Id="rId171" Type="http://schemas.openxmlformats.org/officeDocument/2006/relationships/hyperlink" Target="mailto:yunw@alum.mit.edu" TargetMode="External"/><Relationship Id="rId192" Type="http://schemas.openxmlformats.org/officeDocument/2006/relationships/hyperlink" Target="mailto:a.tsai22@gmail.com" TargetMode="External"/><Relationship Id="rId206" Type="http://schemas.openxmlformats.org/officeDocument/2006/relationships/hyperlink" Target="mailto:mahendru.amit@gmail.com" TargetMode="External"/><Relationship Id="rId227" Type="http://schemas.openxmlformats.org/officeDocument/2006/relationships/hyperlink" Target="https://www.mckinsey.com/alumni/profile/500190458-Komal-Agarwal" TargetMode="External"/><Relationship Id="rId12" Type="http://schemas.openxmlformats.org/officeDocument/2006/relationships/hyperlink" Target="mailto:hammad.rahman@gmail.com" TargetMode="External"/><Relationship Id="rId33" Type="http://schemas.openxmlformats.org/officeDocument/2006/relationships/hyperlink" Target="mailto:darien.jr.lee@gmail.com" TargetMode="External"/><Relationship Id="rId108" Type="http://schemas.openxmlformats.org/officeDocument/2006/relationships/hyperlink" Target="mailto:sueyang2010@gmail.com" TargetMode="External"/><Relationship Id="rId129" Type="http://schemas.openxmlformats.org/officeDocument/2006/relationships/hyperlink" Target="mailto:Shell.cao@gmail.com" TargetMode="External"/><Relationship Id="rId54" Type="http://schemas.openxmlformats.org/officeDocument/2006/relationships/hyperlink" Target="mailto:badri@aya.yale.edu" TargetMode="External"/><Relationship Id="rId75" Type="http://schemas.openxmlformats.org/officeDocument/2006/relationships/hyperlink" Target="mailto:winston.wang1010@gmail.com" TargetMode="External"/><Relationship Id="rId96" Type="http://schemas.openxmlformats.org/officeDocument/2006/relationships/hyperlink" Target="mailto:arno.alarcon@gmail.com" TargetMode="External"/><Relationship Id="rId140" Type="http://schemas.openxmlformats.org/officeDocument/2006/relationships/hyperlink" Target="mailto:janetgao8@hotmail.com" TargetMode="External"/><Relationship Id="rId161" Type="http://schemas.openxmlformats.org/officeDocument/2006/relationships/hyperlink" Target="mailto:marialuisa.grossi@gmail.com" TargetMode="External"/><Relationship Id="rId182" Type="http://schemas.openxmlformats.org/officeDocument/2006/relationships/hyperlink" Target="mailto:kandicelord@gmail.com" TargetMode="External"/><Relationship Id="rId217" Type="http://schemas.openxmlformats.org/officeDocument/2006/relationships/hyperlink" Target="mailto:eugene.romakine@gmail.com" TargetMode="External"/><Relationship Id="rId6" Type="http://schemas.openxmlformats.org/officeDocument/2006/relationships/hyperlink" Target="https://www.mckinsey.com/alumni/candidate/500097217" TargetMode="External"/><Relationship Id="rId238" Type="http://schemas.openxmlformats.org/officeDocument/2006/relationships/printerSettings" Target="../printerSettings/printerSettings2.bin"/><Relationship Id="rId23" Type="http://schemas.openxmlformats.org/officeDocument/2006/relationships/hyperlink" Target="mailto:Asad_Abdul_Muhammad@mckinsey.com" TargetMode="External"/><Relationship Id="rId119" Type="http://schemas.openxmlformats.org/officeDocument/2006/relationships/hyperlink" Target="mailto:allyson.pritchett@gmail.com" TargetMode="External"/><Relationship Id="rId44" Type="http://schemas.openxmlformats.org/officeDocument/2006/relationships/hyperlink" Target="mailto:joseph.albert.lim@gmail.com" TargetMode="External"/><Relationship Id="rId65" Type="http://schemas.openxmlformats.org/officeDocument/2006/relationships/hyperlink" Target="mailto:kaushik.viswanadha@insead.edu" TargetMode="External"/><Relationship Id="rId86" Type="http://schemas.openxmlformats.org/officeDocument/2006/relationships/hyperlink" Target="mailto:ritoban.banerjee@gmail.com" TargetMode="External"/><Relationship Id="rId130" Type="http://schemas.openxmlformats.org/officeDocument/2006/relationships/hyperlink" Target="mailto:lizjenkins0101@gmail.com" TargetMode="External"/><Relationship Id="rId151" Type="http://schemas.openxmlformats.org/officeDocument/2006/relationships/hyperlink" Target="mailto:kevin.opoku@gmail.com" TargetMode="External"/><Relationship Id="rId172" Type="http://schemas.openxmlformats.org/officeDocument/2006/relationships/hyperlink" Target="mailto:ksmiller42@gmail.com" TargetMode="External"/><Relationship Id="rId193" Type="http://schemas.openxmlformats.org/officeDocument/2006/relationships/hyperlink" Target="mailto:ananth.lalithakumar@gmail.com" TargetMode="External"/><Relationship Id="rId207" Type="http://schemas.openxmlformats.org/officeDocument/2006/relationships/hyperlink" Target="mailto:sanjeevaggarwal@hotmail.com" TargetMode="External"/><Relationship Id="rId228" Type="http://schemas.openxmlformats.org/officeDocument/2006/relationships/hyperlink" Target="https://www.linkedin.com/in/komalmagarwal/%20Reached%20out" TargetMode="External"/><Relationship Id="rId13" Type="http://schemas.openxmlformats.org/officeDocument/2006/relationships/hyperlink" Target="mailto:shuyin@alum.mit.edu" TargetMode="External"/><Relationship Id="rId109" Type="http://schemas.openxmlformats.org/officeDocument/2006/relationships/hyperlink" Target="mailto:peterfzhu@gmail.com" TargetMode="External"/><Relationship Id="rId34" Type="http://schemas.openxmlformats.org/officeDocument/2006/relationships/hyperlink" Target="mailto:amitgarg.mbm@gmail.com" TargetMode="External"/><Relationship Id="rId55" Type="http://schemas.openxmlformats.org/officeDocument/2006/relationships/hyperlink" Target="mailto:mail.nikhilesh@gmail.com" TargetMode="External"/><Relationship Id="rId76" Type="http://schemas.openxmlformats.org/officeDocument/2006/relationships/hyperlink" Target="mailto:abhi15491@gmail.com" TargetMode="External"/><Relationship Id="rId97" Type="http://schemas.openxmlformats.org/officeDocument/2006/relationships/hyperlink" Target="mailto:sugupta@mba2019.hbs.edu" TargetMode="External"/><Relationship Id="rId120" Type="http://schemas.openxmlformats.org/officeDocument/2006/relationships/hyperlink" Target="mailto:JanPhilipp.Mengeringhaus@gmail.com" TargetMode="External"/><Relationship Id="rId141" Type="http://schemas.openxmlformats.org/officeDocument/2006/relationships/hyperlink" Target="mailto:lolingcat@gmail.com" TargetMode="External"/><Relationship Id="rId7" Type="http://schemas.openxmlformats.org/officeDocument/2006/relationships/hyperlink" Target="https://www.mckinsey.com/alumni/candidate/414024" TargetMode="External"/><Relationship Id="rId162" Type="http://schemas.openxmlformats.org/officeDocument/2006/relationships/hyperlink" Target="mailto:asha.rangaraj@gmail.com" TargetMode="External"/><Relationship Id="rId183" Type="http://schemas.openxmlformats.org/officeDocument/2006/relationships/hyperlink" Target="mailto:jessica.quan.li@gmail.com" TargetMode="External"/><Relationship Id="rId218" Type="http://schemas.openxmlformats.org/officeDocument/2006/relationships/hyperlink" Target="mailto:ggquin69@yahoo.com" TargetMode="External"/><Relationship Id="rId239" Type="http://schemas.openxmlformats.org/officeDocument/2006/relationships/table" Target="../tables/table1.xml"/><Relationship Id="rId24" Type="http://schemas.openxmlformats.org/officeDocument/2006/relationships/hyperlink" Target="https://www.mckinsey.com/alumni/candidate/500173431" TargetMode="External"/><Relationship Id="rId45" Type="http://schemas.openxmlformats.org/officeDocument/2006/relationships/hyperlink" Target="mailto:menon.nikhil.08@gmail.com" TargetMode="External"/><Relationship Id="rId66" Type="http://schemas.openxmlformats.org/officeDocument/2006/relationships/hyperlink" Target="mailto:taegyun.moon@gmail.com" TargetMode="External"/><Relationship Id="rId87" Type="http://schemas.openxmlformats.org/officeDocument/2006/relationships/hyperlink" Target="mailto:dhavanthihariharan@gmail.com" TargetMode="External"/><Relationship Id="rId110" Type="http://schemas.openxmlformats.org/officeDocument/2006/relationships/hyperlink" Target="mailto:lujennyj@gmail.com" TargetMode="External"/><Relationship Id="rId131" Type="http://schemas.openxmlformats.org/officeDocument/2006/relationships/hyperlink" Target="mailto:miaoli_99@hotmail.com" TargetMode="External"/><Relationship Id="rId152" Type="http://schemas.openxmlformats.org/officeDocument/2006/relationships/hyperlink" Target="mailto:jacqueline.wingfield@gmail.com" TargetMode="External"/><Relationship Id="rId173" Type="http://schemas.openxmlformats.org/officeDocument/2006/relationships/hyperlink" Target="mailto:stephanie.e.yu@gmail.com" TargetMode="External"/><Relationship Id="rId194" Type="http://schemas.openxmlformats.org/officeDocument/2006/relationships/hyperlink" Target="mailto:elissaashwood@me.com" TargetMode="External"/><Relationship Id="rId208" Type="http://schemas.openxmlformats.org/officeDocument/2006/relationships/hyperlink" Target="mailto:prateekj@hotmail.com" TargetMode="External"/><Relationship Id="rId229" Type="http://schemas.openxmlformats.org/officeDocument/2006/relationships/hyperlink" Target="https://www.mckinsey.com/alumni/candidate/500162539" TargetMode="External"/><Relationship Id="rId14" Type="http://schemas.openxmlformats.org/officeDocument/2006/relationships/hyperlink" Target="mailto:harsh_goyal@yahoo.com" TargetMode="External"/><Relationship Id="rId35" Type="http://schemas.openxmlformats.org/officeDocument/2006/relationships/hyperlink" Target="mailto:karanmalhotra30@gmail.com" TargetMode="External"/><Relationship Id="rId56" Type="http://schemas.openxmlformats.org/officeDocument/2006/relationships/hyperlink" Target="mailto:rangga.maharga@gmail.com" TargetMode="External"/><Relationship Id="rId77" Type="http://schemas.openxmlformats.org/officeDocument/2006/relationships/hyperlink" Target="mailto:apoorvb03@gmail.com" TargetMode="External"/><Relationship Id="rId100" Type="http://schemas.openxmlformats.org/officeDocument/2006/relationships/hyperlink" Target="mailto:cindy_luong100@hotmail.com" TargetMode="External"/><Relationship Id="rId8" Type="http://schemas.openxmlformats.org/officeDocument/2006/relationships/hyperlink" Target="https://www.mckinsey.com/alumni/candidate/500144599" TargetMode="External"/><Relationship Id="rId98" Type="http://schemas.openxmlformats.org/officeDocument/2006/relationships/hyperlink" Target="mailto:ravneet.uberoi@gmail.com" TargetMode="External"/><Relationship Id="rId121" Type="http://schemas.openxmlformats.org/officeDocument/2006/relationships/hyperlink" Target="mailto:micheleschang@gmail.com" TargetMode="External"/><Relationship Id="rId142" Type="http://schemas.openxmlformats.org/officeDocument/2006/relationships/hyperlink" Target="mailto:ruchira.saha@gmail.com" TargetMode="External"/><Relationship Id="rId163" Type="http://schemas.openxmlformats.org/officeDocument/2006/relationships/hyperlink" Target="mailto:mbrinig@gmail.com" TargetMode="External"/><Relationship Id="rId184" Type="http://schemas.openxmlformats.org/officeDocument/2006/relationships/hyperlink" Target="mailto:samura.h.atallah@gmail.com" TargetMode="External"/><Relationship Id="rId219" Type="http://schemas.openxmlformats.org/officeDocument/2006/relationships/hyperlink" Target="mailto:Pustea@gmail.com" TargetMode="External"/><Relationship Id="rId230" Type="http://schemas.openxmlformats.org/officeDocument/2006/relationships/hyperlink" Target="mailto:qianqian.zhao@walmart.com" TargetMode="External"/><Relationship Id="rId25" Type="http://schemas.openxmlformats.org/officeDocument/2006/relationships/hyperlink" Target="mailto:kathleenc.wong@gmail.com" TargetMode="External"/><Relationship Id="rId46" Type="http://schemas.openxmlformats.org/officeDocument/2006/relationships/hyperlink" Target="mailto:laranand@gmail.com" TargetMode="External"/><Relationship Id="rId67" Type="http://schemas.openxmlformats.org/officeDocument/2006/relationships/hyperlink" Target="mailto:catherine.j.yang@gmail.com" TargetMode="External"/><Relationship Id="rId88" Type="http://schemas.openxmlformats.org/officeDocument/2006/relationships/hyperlink" Target="mailto:prachitiwari963@gmail.com" TargetMode="External"/><Relationship Id="rId111" Type="http://schemas.openxmlformats.org/officeDocument/2006/relationships/hyperlink" Target="mailto:kayteo@gmail.com" TargetMode="External"/><Relationship Id="rId132" Type="http://schemas.openxmlformats.org/officeDocument/2006/relationships/hyperlink" Target="mailto:maureen.mueller@comcast.net" TargetMode="External"/><Relationship Id="rId153" Type="http://schemas.openxmlformats.org/officeDocument/2006/relationships/hyperlink" Target="mailto:TROSE311@GMAIL.COM" TargetMode="External"/><Relationship Id="rId174" Type="http://schemas.openxmlformats.org/officeDocument/2006/relationships/hyperlink" Target="mailto:jeannicektse@gmail.com" TargetMode="External"/><Relationship Id="rId195" Type="http://schemas.openxmlformats.org/officeDocument/2006/relationships/hyperlink" Target="mailto:jaredvbarnett@gmail.com" TargetMode="External"/><Relationship Id="rId209" Type="http://schemas.openxmlformats.org/officeDocument/2006/relationships/hyperlink" Target="mailto:stonikas@gmail.com" TargetMode="External"/><Relationship Id="rId190" Type="http://schemas.openxmlformats.org/officeDocument/2006/relationships/hyperlink" Target="mailto:stacy.stutz@comcast.net" TargetMode="External"/><Relationship Id="rId204" Type="http://schemas.openxmlformats.org/officeDocument/2006/relationships/hyperlink" Target="https://www.mckinsey.com/alumni/candidate/500192058" TargetMode="External"/><Relationship Id="rId220" Type="http://schemas.openxmlformats.org/officeDocument/2006/relationships/hyperlink" Target="mailto:Sam.Ng@walmart.com" TargetMode="External"/><Relationship Id="rId225" Type="http://schemas.openxmlformats.org/officeDocument/2006/relationships/hyperlink" Target="mailto:j.puneet@gmail.com" TargetMode="External"/><Relationship Id="rId15" Type="http://schemas.openxmlformats.org/officeDocument/2006/relationships/hyperlink" Target="mailto:tifflin194@gmail.com" TargetMode="External"/><Relationship Id="rId36" Type="http://schemas.openxmlformats.org/officeDocument/2006/relationships/hyperlink" Target="mailto:arjunkochhar5@gmail.com" TargetMode="External"/><Relationship Id="rId57" Type="http://schemas.openxmlformats.org/officeDocument/2006/relationships/hyperlink" Target="mailto:abhishek057@gmail.com" TargetMode="External"/><Relationship Id="rId106" Type="http://schemas.openxmlformats.org/officeDocument/2006/relationships/hyperlink" Target="https://www.mckinsey.com/alumni/candidate/7706594" TargetMode="External"/><Relationship Id="rId127" Type="http://schemas.openxmlformats.org/officeDocument/2006/relationships/hyperlink" Target="mailto:pikovsky@gmail.com" TargetMode="External"/><Relationship Id="rId10" Type="http://schemas.openxmlformats.org/officeDocument/2006/relationships/hyperlink" Target="mailto:johndwu@alumni.stanford.edu" TargetMode="External"/><Relationship Id="rId31" Type="http://schemas.openxmlformats.org/officeDocument/2006/relationships/hyperlink" Target="mailto:hongadeleli@hotmail.com" TargetMode="External"/><Relationship Id="rId52" Type="http://schemas.openxmlformats.org/officeDocument/2006/relationships/hyperlink" Target="mailto:enric.casals@gmail.com" TargetMode="External"/><Relationship Id="rId73" Type="http://schemas.openxmlformats.org/officeDocument/2006/relationships/hyperlink" Target="mailto:anirudh.mukkavilli@gmail.com" TargetMode="External"/><Relationship Id="rId78" Type="http://schemas.openxmlformats.org/officeDocument/2006/relationships/hyperlink" Target="mailto:aman.sethi@gmail.com" TargetMode="External"/><Relationship Id="rId94" Type="http://schemas.openxmlformats.org/officeDocument/2006/relationships/hyperlink" Target="mailto:mleokim@gmail.com" TargetMode="External"/><Relationship Id="rId99" Type="http://schemas.openxmlformats.org/officeDocument/2006/relationships/hyperlink" Target="mailto:ssharma@sloan.mit.edu" TargetMode="External"/><Relationship Id="rId101" Type="http://schemas.openxmlformats.org/officeDocument/2006/relationships/hyperlink" Target="mailto:jeremy.zhang@gatech.edu" TargetMode="External"/><Relationship Id="rId122" Type="http://schemas.openxmlformats.org/officeDocument/2006/relationships/hyperlink" Target="mailto:brenna.benson@gmail.com" TargetMode="External"/><Relationship Id="rId143" Type="http://schemas.openxmlformats.org/officeDocument/2006/relationships/hyperlink" Target="mailto:oluwasolaolaniyan@gmail.com" TargetMode="External"/><Relationship Id="rId148" Type="http://schemas.openxmlformats.org/officeDocument/2006/relationships/hyperlink" Target="mailto:mili.seoni@gmail.com" TargetMode="External"/><Relationship Id="rId164" Type="http://schemas.openxmlformats.org/officeDocument/2006/relationships/hyperlink" Target="mailto:alneedham@gmail.com" TargetMode="External"/><Relationship Id="rId169" Type="http://schemas.openxmlformats.org/officeDocument/2006/relationships/hyperlink" Target="mailto:karenchen16@gmail.com" TargetMode="External"/><Relationship Id="rId185" Type="http://schemas.openxmlformats.org/officeDocument/2006/relationships/hyperlink" Target="mailto:mcgill.megan@gmail.com" TargetMode="External"/><Relationship Id="rId4" Type="http://schemas.openxmlformats.org/officeDocument/2006/relationships/hyperlink" Target="https://www.mckinsey.com/alumni/candidate/500098316" TargetMode="External"/><Relationship Id="rId9" Type="http://schemas.openxmlformats.org/officeDocument/2006/relationships/hyperlink" Target="https://www.mckinsey.com/alumni/candidate/62454" TargetMode="External"/><Relationship Id="rId180" Type="http://schemas.openxmlformats.org/officeDocument/2006/relationships/hyperlink" Target="mailto:srinivasan.shreya@gmail.com" TargetMode="External"/><Relationship Id="rId210" Type="http://schemas.openxmlformats.org/officeDocument/2006/relationships/hyperlink" Target="mailto:margueritebenson13@gmail.com" TargetMode="External"/><Relationship Id="rId215" Type="http://schemas.openxmlformats.org/officeDocument/2006/relationships/hyperlink" Target="mailto:ajaynair.22@gmail.com" TargetMode="External"/><Relationship Id="rId236" Type="http://schemas.openxmlformats.org/officeDocument/2006/relationships/hyperlink" Target="mailto:athakwani2007@email.iimcal.ac.in" TargetMode="External"/><Relationship Id="rId26" Type="http://schemas.openxmlformats.org/officeDocument/2006/relationships/hyperlink" Target="mailto:narangsumit@gmail.com" TargetMode="External"/><Relationship Id="rId231" Type="http://schemas.openxmlformats.org/officeDocument/2006/relationships/hyperlink" Target="mailto:ghanshu@gmail.com" TargetMode="External"/><Relationship Id="rId47" Type="http://schemas.openxmlformats.org/officeDocument/2006/relationships/hyperlink" Target="mailto:dilly.soemantri@gmail.com" TargetMode="External"/><Relationship Id="rId68" Type="http://schemas.openxmlformats.org/officeDocument/2006/relationships/hyperlink" Target="mailto:svar2020@gmail.com" TargetMode="External"/><Relationship Id="rId89" Type="http://schemas.openxmlformats.org/officeDocument/2006/relationships/hyperlink" Target="mailto:andrew.kt.wong@gmail.com" TargetMode="External"/><Relationship Id="rId112" Type="http://schemas.openxmlformats.org/officeDocument/2006/relationships/hyperlink" Target="mailto:gauravk.agrawal@gmail.com" TargetMode="External"/><Relationship Id="rId133" Type="http://schemas.openxmlformats.org/officeDocument/2006/relationships/hyperlink" Target="mailto:valentine.jacqueline@gmail.com" TargetMode="External"/><Relationship Id="rId154" Type="http://schemas.openxmlformats.org/officeDocument/2006/relationships/hyperlink" Target="mailto:anna.blachman@gmail.com" TargetMode="External"/><Relationship Id="rId175" Type="http://schemas.openxmlformats.org/officeDocument/2006/relationships/hyperlink" Target="mailto:ranjeetha1701@gmail.com" TargetMode="External"/><Relationship Id="rId196" Type="http://schemas.openxmlformats.org/officeDocument/2006/relationships/hyperlink" Target="mailto:ginnytoo@gmail.com" TargetMode="External"/><Relationship Id="rId200" Type="http://schemas.openxmlformats.org/officeDocument/2006/relationships/hyperlink" Target="mailto:sargam486@gmail.com" TargetMode="External"/><Relationship Id="rId16" Type="http://schemas.openxmlformats.org/officeDocument/2006/relationships/hyperlink" Target="mailto:shengfengli@yahoo.co.uk" TargetMode="External"/><Relationship Id="rId221" Type="http://schemas.openxmlformats.org/officeDocument/2006/relationships/hyperlink" Target="mailto:harishyadav81@gmail.com" TargetMode="External"/><Relationship Id="rId37" Type="http://schemas.openxmlformats.org/officeDocument/2006/relationships/hyperlink" Target="mailto:sanjeevranjan@hotmail.com" TargetMode="External"/><Relationship Id="rId58" Type="http://schemas.openxmlformats.org/officeDocument/2006/relationships/hyperlink" Target="mailto:bienthieng@gmail.com" TargetMode="External"/><Relationship Id="rId79" Type="http://schemas.openxmlformats.org/officeDocument/2006/relationships/hyperlink" Target="mailto:skyrockettian@gmail.com" TargetMode="External"/><Relationship Id="rId102" Type="http://schemas.openxmlformats.org/officeDocument/2006/relationships/hyperlink" Target="mailto:shinn.jean.ho@gmail.com" TargetMode="External"/><Relationship Id="rId123" Type="http://schemas.openxmlformats.org/officeDocument/2006/relationships/hyperlink" Target="mailto:wendy.widman@gmail.com" TargetMode="External"/><Relationship Id="rId144" Type="http://schemas.openxmlformats.org/officeDocument/2006/relationships/hyperlink" Target="mailto:lilyrubin@gmail.com" TargetMode="External"/><Relationship Id="rId90" Type="http://schemas.openxmlformats.org/officeDocument/2006/relationships/hyperlink" Target="mailto:albertchang611@gmail.com" TargetMode="External"/><Relationship Id="rId165" Type="http://schemas.openxmlformats.org/officeDocument/2006/relationships/hyperlink" Target="mailto:nehazope@gmail.com" TargetMode="External"/><Relationship Id="rId186" Type="http://schemas.openxmlformats.org/officeDocument/2006/relationships/hyperlink" Target="mailto:huayan@umich.edu" TargetMode="External"/><Relationship Id="rId211" Type="http://schemas.openxmlformats.org/officeDocument/2006/relationships/hyperlink" Target="mailto:subhronilghosh@gmail.com" TargetMode="External"/><Relationship Id="rId232" Type="http://schemas.openxmlformats.org/officeDocument/2006/relationships/hyperlink" Target="mailto:rashmi1patil@gmail.com" TargetMode="External"/><Relationship Id="rId27" Type="http://schemas.openxmlformats.org/officeDocument/2006/relationships/hyperlink" Target="mailto:kdlakehomes@gmail.com" TargetMode="External"/><Relationship Id="rId48" Type="http://schemas.openxmlformats.org/officeDocument/2006/relationships/hyperlink" Target="mailto:zijia.ye@gmail.com" TargetMode="External"/><Relationship Id="rId69" Type="http://schemas.openxmlformats.org/officeDocument/2006/relationships/hyperlink" Target="mailto:himanshuarora9@gmail.com" TargetMode="External"/><Relationship Id="rId113" Type="http://schemas.openxmlformats.org/officeDocument/2006/relationships/hyperlink" Target="mailto:priyadarshini.routh@gmail.com" TargetMode="External"/><Relationship Id="rId134" Type="http://schemas.openxmlformats.org/officeDocument/2006/relationships/hyperlink" Target="mailto:adkemail@gmail.com" TargetMode="External"/><Relationship Id="rId80" Type="http://schemas.openxmlformats.org/officeDocument/2006/relationships/hyperlink" Target="mailto:dyusmananda@gmail.com" TargetMode="External"/><Relationship Id="rId155" Type="http://schemas.openxmlformats.org/officeDocument/2006/relationships/hyperlink" Target="mailto:annachen5115@gmail.com" TargetMode="External"/><Relationship Id="rId176" Type="http://schemas.openxmlformats.org/officeDocument/2006/relationships/hyperlink" Target="mailto:abigail.braiman@gmail.com" TargetMode="External"/><Relationship Id="rId197" Type="http://schemas.openxmlformats.org/officeDocument/2006/relationships/hyperlink" Target="mailto:Paigeturbeville@gmail.com" TargetMode="External"/><Relationship Id="rId201" Type="http://schemas.openxmlformats.org/officeDocument/2006/relationships/hyperlink" Target="mailto:SYLaRue@gmail.com" TargetMode="External"/><Relationship Id="rId222" Type="http://schemas.openxmlformats.org/officeDocument/2006/relationships/hyperlink" Target="mailto:Tibor_Pakozdi@hms.harvard.edu" TargetMode="External"/><Relationship Id="rId17" Type="http://schemas.openxmlformats.org/officeDocument/2006/relationships/hyperlink" Target="mailto:rinkey.singh@walmart.com" TargetMode="External"/><Relationship Id="rId38" Type="http://schemas.openxmlformats.org/officeDocument/2006/relationships/hyperlink" Target="mailto:kamilleocruz@gmail.com" TargetMode="External"/><Relationship Id="rId59" Type="http://schemas.openxmlformats.org/officeDocument/2006/relationships/hyperlink" Target="mailto:jivesmenon@yahoo.com" TargetMode="External"/><Relationship Id="rId103" Type="http://schemas.openxmlformats.org/officeDocument/2006/relationships/hyperlink" Target="mailto:claudio.innocente70@gmail.com" TargetMode="External"/><Relationship Id="rId124" Type="http://schemas.openxmlformats.org/officeDocument/2006/relationships/hyperlink" Target="mailto:betsy.masiello@gmail.com" TargetMode="External"/><Relationship Id="rId70" Type="http://schemas.openxmlformats.org/officeDocument/2006/relationships/hyperlink" Target="mailto:lihongming@msn.com" TargetMode="External"/><Relationship Id="rId91" Type="http://schemas.openxmlformats.org/officeDocument/2006/relationships/hyperlink" Target="mailto:susanjihae@gmail.com" TargetMode="External"/><Relationship Id="rId145" Type="http://schemas.openxmlformats.org/officeDocument/2006/relationships/hyperlink" Target="mailto:rbansal26@gmail.com" TargetMode="External"/><Relationship Id="rId166" Type="http://schemas.openxmlformats.org/officeDocument/2006/relationships/hyperlink" Target="mailto:yubingji88@gmail.com" TargetMode="External"/><Relationship Id="rId187" Type="http://schemas.openxmlformats.org/officeDocument/2006/relationships/hyperlink" Target="mailto:shreya_agarwal@hks16.harvard.edu" TargetMode="External"/><Relationship Id="rId1" Type="http://schemas.openxmlformats.org/officeDocument/2006/relationships/hyperlink" Target="https://www.mckinsey.com/alumni/candidate/23584" TargetMode="External"/><Relationship Id="rId212" Type="http://schemas.openxmlformats.org/officeDocument/2006/relationships/hyperlink" Target="mailto:yujoonk@gmail.com" TargetMode="External"/><Relationship Id="rId233" Type="http://schemas.openxmlformats.org/officeDocument/2006/relationships/hyperlink" Target="https://www.mckinsey.com/alumni/candidate/500151159" TargetMode="External"/><Relationship Id="rId28" Type="http://schemas.openxmlformats.org/officeDocument/2006/relationships/hyperlink" Target="mailto:valtan.yn@gmail.com" TargetMode="External"/><Relationship Id="rId49" Type="http://schemas.openxmlformats.org/officeDocument/2006/relationships/hyperlink" Target="mailto:fchenustc@gmail.com" TargetMode="External"/><Relationship Id="rId114" Type="http://schemas.openxmlformats.org/officeDocument/2006/relationships/hyperlink" Target="mailto:su.david@hotmail.com" TargetMode="External"/><Relationship Id="rId60" Type="http://schemas.openxmlformats.org/officeDocument/2006/relationships/hyperlink" Target="mailto:razdanrohit@gmail.com" TargetMode="External"/><Relationship Id="rId81" Type="http://schemas.openxmlformats.org/officeDocument/2006/relationships/hyperlink" Target="mailto:bbday830@yahoo.com" TargetMode="External"/><Relationship Id="rId135" Type="http://schemas.openxmlformats.org/officeDocument/2006/relationships/hyperlink" Target="mailto:graceannbaker@yahoo.com" TargetMode="External"/><Relationship Id="rId156" Type="http://schemas.openxmlformats.org/officeDocument/2006/relationships/hyperlink" Target="mailto:amywang25@gmail.com" TargetMode="External"/><Relationship Id="rId177" Type="http://schemas.openxmlformats.org/officeDocument/2006/relationships/hyperlink" Target="mailto:nkruijs@mba2021.hbs.edu" TargetMode="External"/><Relationship Id="rId198" Type="http://schemas.openxmlformats.org/officeDocument/2006/relationships/hyperlink" Target="mailto:juliettehan@gmail.com" TargetMode="External"/><Relationship Id="rId202" Type="http://schemas.openxmlformats.org/officeDocument/2006/relationships/hyperlink" Target="mailto:wes.whitaker@gmail.com" TargetMode="External"/><Relationship Id="rId223" Type="http://schemas.openxmlformats.org/officeDocument/2006/relationships/hyperlink" Target="mailto:mnL27@cornell.edu" TargetMode="External"/><Relationship Id="rId18" Type="http://schemas.openxmlformats.org/officeDocument/2006/relationships/hyperlink" Target="https://www.mckinsey.com/alumni/candidate/500123604" TargetMode="External"/><Relationship Id="rId39" Type="http://schemas.openxmlformats.org/officeDocument/2006/relationships/hyperlink" Target="https://www.linkedin.com/in/rajeshsrinivasaraghavan/" TargetMode="External"/><Relationship Id="rId50" Type="http://schemas.openxmlformats.org/officeDocument/2006/relationships/hyperlink" Target="mailto:pranav24@gmail.com" TargetMode="External"/><Relationship Id="rId104" Type="http://schemas.openxmlformats.org/officeDocument/2006/relationships/hyperlink" Target="mailto:anita178@gmail.com" TargetMode="External"/><Relationship Id="rId125" Type="http://schemas.openxmlformats.org/officeDocument/2006/relationships/hyperlink" Target="mailto:esbadger@gmail.com" TargetMode="External"/><Relationship Id="rId146" Type="http://schemas.openxmlformats.org/officeDocument/2006/relationships/hyperlink" Target="mailto:mohan.rajagopalan@gmail.com" TargetMode="External"/><Relationship Id="rId167" Type="http://schemas.openxmlformats.org/officeDocument/2006/relationships/hyperlink" Target="mailto:yue.jessica.dai@gmail.com" TargetMode="External"/><Relationship Id="rId188" Type="http://schemas.openxmlformats.org/officeDocument/2006/relationships/hyperlink" Target="mailto:luisehampl@gmail.com" TargetMode="External"/><Relationship Id="rId71" Type="http://schemas.openxmlformats.org/officeDocument/2006/relationships/hyperlink" Target="mailto:aparnakaushal01@gmail.com" TargetMode="External"/><Relationship Id="rId92" Type="http://schemas.openxmlformats.org/officeDocument/2006/relationships/hyperlink" Target="mailto:marie.jaroni@gmail.com" TargetMode="External"/><Relationship Id="rId213" Type="http://schemas.openxmlformats.org/officeDocument/2006/relationships/hyperlink" Target="mailto:gauravjain.gj@gmail.com" TargetMode="External"/><Relationship Id="rId234" Type="http://schemas.openxmlformats.org/officeDocument/2006/relationships/hyperlink" Target="mailto:jhaveri.aakash@gmail.com" TargetMode="External"/><Relationship Id="rId2" Type="http://schemas.openxmlformats.org/officeDocument/2006/relationships/hyperlink" Target="https://www.mckinsey.com/alumni/candidate/500099723" TargetMode="External"/><Relationship Id="rId29" Type="http://schemas.openxmlformats.org/officeDocument/2006/relationships/hyperlink" Target="mailto:kemal.nasser@yahoo.com" TargetMode="External"/><Relationship Id="rId40" Type="http://schemas.openxmlformats.org/officeDocument/2006/relationships/hyperlink" Target="mailto:rajesh_s@sloan.mit.edu" TargetMode="External"/><Relationship Id="rId115" Type="http://schemas.openxmlformats.org/officeDocument/2006/relationships/hyperlink" Target="https://www.mckinsey.com/alumni/candidate/47664" TargetMode="External"/><Relationship Id="rId136" Type="http://schemas.openxmlformats.org/officeDocument/2006/relationships/hyperlink" Target="mailto:marcia@blueshor.com" TargetMode="External"/><Relationship Id="rId157" Type="http://schemas.openxmlformats.org/officeDocument/2006/relationships/hyperlink" Target="mailto:candicekenney606@gmail.com" TargetMode="External"/><Relationship Id="rId178" Type="http://schemas.openxmlformats.org/officeDocument/2006/relationships/hyperlink" Target="mailto:tokevinkim@gmail.com" TargetMode="External"/><Relationship Id="rId61" Type="http://schemas.openxmlformats.org/officeDocument/2006/relationships/hyperlink" Target="mailto:peeyush.a@gmail.com" TargetMode="External"/><Relationship Id="rId82" Type="http://schemas.openxmlformats.org/officeDocument/2006/relationships/hyperlink" Target="mailto:toan@alum.mit.edu" TargetMode="External"/><Relationship Id="rId199" Type="http://schemas.openxmlformats.org/officeDocument/2006/relationships/hyperlink" Target="mailto:moralesd@gmail.com" TargetMode="External"/><Relationship Id="rId203" Type="http://schemas.openxmlformats.org/officeDocument/2006/relationships/hyperlink" Target="mailto:juliabbarclay@gmail.com" TargetMode="External"/><Relationship Id="rId19" Type="http://schemas.openxmlformats.org/officeDocument/2006/relationships/hyperlink" Target="https://www.mckinsey.com/alumni/candidate/500143112" TargetMode="External"/><Relationship Id="rId224" Type="http://schemas.openxmlformats.org/officeDocument/2006/relationships/hyperlink" Target="mailto:komal.m.agarwal@gmail.com" TargetMode="External"/><Relationship Id="rId30" Type="http://schemas.openxmlformats.org/officeDocument/2006/relationships/hyperlink" Target="mailto:jingyizhangjy@gmail.com" TargetMode="External"/><Relationship Id="rId105" Type="http://schemas.openxmlformats.org/officeDocument/2006/relationships/hyperlink" Target="mailto:pranavkashyap@gmail.com" TargetMode="External"/><Relationship Id="rId126" Type="http://schemas.openxmlformats.org/officeDocument/2006/relationships/hyperlink" Target="mailto:deeksha.hebbar@gmail.com" TargetMode="External"/><Relationship Id="rId147" Type="http://schemas.openxmlformats.org/officeDocument/2006/relationships/hyperlink" Target="mailto:krall.shirin@gmail.com" TargetMode="External"/><Relationship Id="rId168" Type="http://schemas.openxmlformats.org/officeDocument/2006/relationships/hyperlink" Target="mailto:alisonmnichols@gmail.com" TargetMode="External"/><Relationship Id="rId51" Type="http://schemas.openxmlformats.org/officeDocument/2006/relationships/hyperlink" Target="mailto:jn.chinmay@gmail.com" TargetMode="External"/><Relationship Id="rId72" Type="http://schemas.openxmlformats.org/officeDocument/2006/relationships/hyperlink" Target="mailto:chhabra.gurmukh@gmail.com" TargetMode="External"/><Relationship Id="rId93" Type="http://schemas.openxmlformats.org/officeDocument/2006/relationships/hyperlink" Target="mailto:susanparmar11@gmail.com" TargetMode="External"/><Relationship Id="rId189" Type="http://schemas.openxmlformats.org/officeDocument/2006/relationships/hyperlink" Target="mailto:anthony.lavita@gmail.com" TargetMode="External"/><Relationship Id="rId3" Type="http://schemas.openxmlformats.org/officeDocument/2006/relationships/hyperlink" Target="https://www.mckinsey.com/alumni/candidate/500098497" TargetMode="External"/><Relationship Id="rId214" Type="http://schemas.openxmlformats.org/officeDocument/2006/relationships/hyperlink" Target="mailto:sumeet.g0187@gmail.com" TargetMode="External"/><Relationship Id="rId235" Type="http://schemas.openxmlformats.org/officeDocument/2006/relationships/hyperlink" Target="mailto:kanika1091@gmail.com" TargetMode="External"/><Relationship Id="rId116" Type="http://schemas.openxmlformats.org/officeDocument/2006/relationships/hyperlink" Target="mailto:kristen.lamont@post.harvard.edu" TargetMode="External"/><Relationship Id="rId137" Type="http://schemas.openxmlformats.org/officeDocument/2006/relationships/hyperlink" Target="mailto:kgreen318@gmail.com" TargetMode="External"/><Relationship Id="rId158" Type="http://schemas.openxmlformats.org/officeDocument/2006/relationships/hyperlink" Target="mailto:chloeshap@gmail.com" TargetMode="External"/><Relationship Id="rId20" Type="http://schemas.openxmlformats.org/officeDocument/2006/relationships/hyperlink" Target="mailto:jack.baer12@gmail.com" TargetMode="External"/><Relationship Id="rId41" Type="http://schemas.openxmlformats.org/officeDocument/2006/relationships/hyperlink" Target="mailto:shreyabahri@gmail.com" TargetMode="External"/><Relationship Id="rId62" Type="http://schemas.openxmlformats.org/officeDocument/2006/relationships/hyperlink" Target="mailto:amit8desai@gmail.com" TargetMode="External"/><Relationship Id="rId83" Type="http://schemas.openxmlformats.org/officeDocument/2006/relationships/hyperlink" Target="mailto:wendywki@gmail.com" TargetMode="External"/><Relationship Id="rId179" Type="http://schemas.openxmlformats.org/officeDocument/2006/relationships/hyperlink" Target="mailto:jackiebass5@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hyperlink" Target="mailto:hasanshakil1@gmail.com" TargetMode="External"/><Relationship Id="rId2" Type="http://schemas.openxmlformats.org/officeDocument/2006/relationships/hyperlink" Target="mailto:jayant.sewak@gmail.com" TargetMode="External"/><Relationship Id="rId1" Type="http://schemas.openxmlformats.org/officeDocument/2006/relationships/hyperlink" Target="mailto:debjit.das@gmail.com" TargetMode="External"/><Relationship Id="rId6" Type="http://schemas.openxmlformats.org/officeDocument/2006/relationships/table" Target="../tables/table2.xml"/><Relationship Id="rId5" Type="http://schemas.openxmlformats.org/officeDocument/2006/relationships/printerSettings" Target="../printerSettings/printerSettings4.bin"/><Relationship Id="rId4" Type="http://schemas.openxmlformats.org/officeDocument/2006/relationships/hyperlink" Target="mailto:kanika1091@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AE290-4F10-41F4-90B5-CEE46EB63F42}">
  <sheetPr codeName="Sheet8"/>
  <dimension ref="A1:AO316"/>
  <sheetViews>
    <sheetView showGridLines="0" zoomScale="104" workbookViewId="0">
      <selection activeCell="D27" sqref="D27"/>
    </sheetView>
  </sheetViews>
  <sheetFormatPr defaultRowHeight="14.45"/>
  <cols>
    <col min="1" max="1" width="2.42578125" customWidth="1"/>
    <col min="2" max="2" width="14.42578125" customWidth="1"/>
    <col min="3" max="3" width="19.28515625" customWidth="1"/>
    <col min="4" max="4" width="12.42578125" customWidth="1"/>
    <col min="5" max="5" width="16" customWidth="1"/>
    <col min="6" max="6" width="15.5703125" customWidth="1"/>
    <col min="7" max="7" width="13.85546875" customWidth="1"/>
    <col min="8" max="8" width="15.140625" customWidth="1"/>
    <col min="9" max="9" width="43.7109375" customWidth="1"/>
    <col min="10" max="10" width="11.7109375" customWidth="1"/>
    <col min="11" max="11" width="13" customWidth="1"/>
    <col min="12" max="12" width="15.28515625" customWidth="1"/>
    <col min="13" max="13" width="17.28515625" customWidth="1"/>
  </cols>
  <sheetData>
    <row r="1" spans="1:41">
      <c r="A1" s="26" t="b">
        <f>IF(OR(C11="",D11="",E11="",F11="",I11=""),FALSE,TRUE)</f>
        <v>0</v>
      </c>
      <c r="C1" s="138" t="s">
        <v>0</v>
      </c>
      <c r="D1" s="138"/>
      <c r="F1" s="1" t="s">
        <v>1</v>
      </c>
      <c r="K1" s="3"/>
      <c r="L1" s="14"/>
    </row>
    <row r="2" spans="1:41" ht="15" thickBot="1">
      <c r="C2" s="52"/>
      <c r="D2" s="52"/>
      <c r="F2" s="2" t="s">
        <v>2</v>
      </c>
      <c r="L2" s="130" t="s">
        <v>3</v>
      </c>
      <c r="P2" s="5"/>
    </row>
    <row r="3" spans="1:41" ht="15" thickBot="1">
      <c r="B3" s="2" t="s">
        <v>4</v>
      </c>
      <c r="C3" s="132"/>
      <c r="D3" s="52"/>
      <c r="E3" s="53"/>
      <c r="F3" s="24">
        <f ca="1">NOW()</f>
        <v>44749.467283101854</v>
      </c>
      <c r="H3" s="54">
        <f ca="1">NOW()</f>
        <v>44749.467283101854</v>
      </c>
      <c r="L3" s="130" t="s">
        <v>5</v>
      </c>
      <c r="M3" s="130" t="s">
        <v>6</v>
      </c>
    </row>
    <row r="4" spans="1:41">
      <c r="B4" s="2" t="s">
        <v>7</v>
      </c>
      <c r="C4" s="132"/>
      <c r="L4" t="s">
        <v>8</v>
      </c>
      <c r="M4">
        <v>2022</v>
      </c>
    </row>
    <row r="5" spans="1:41">
      <c r="B5" s="2" t="s">
        <v>9</v>
      </c>
      <c r="C5" s="132"/>
      <c r="E5" s="2"/>
      <c r="L5" t="s">
        <v>10</v>
      </c>
      <c r="M5" t="s">
        <v>11</v>
      </c>
    </row>
    <row r="6" spans="1:41" ht="15" thickBot="1">
      <c r="B6" s="2" t="s">
        <v>12</v>
      </c>
      <c r="C6" s="132"/>
      <c r="D6" s="52"/>
      <c r="E6" s="2"/>
      <c r="L6" t="s">
        <v>13</v>
      </c>
      <c r="M6" t="s">
        <v>14</v>
      </c>
    </row>
    <row r="7" spans="1:41">
      <c r="B7" s="2" t="s">
        <v>15</v>
      </c>
      <c r="C7" s="28" t="str">
        <f>IF(P12="Select Assignee and Season", "Select candidate", ROWS(_xlfn.ANCHORARRAY(P12)))</f>
        <v>Select candidate</v>
      </c>
      <c r="E7" s="81"/>
      <c r="F7" s="98" t="s">
        <v>16</v>
      </c>
      <c r="L7" t="s">
        <v>17</v>
      </c>
      <c r="M7" t="s">
        <v>18</v>
      </c>
    </row>
    <row r="8" spans="1:41" ht="15" thickBot="1">
      <c r="B8" s="2"/>
      <c r="F8" s="93"/>
      <c r="L8" t="s">
        <v>19</v>
      </c>
      <c r="M8" t="s">
        <v>20</v>
      </c>
      <c r="P8" s="2" t="s">
        <v>21</v>
      </c>
    </row>
    <row r="9" spans="1:41" s="14" customFormat="1">
      <c r="B9" s="121"/>
      <c r="C9" s="122"/>
      <c r="D9" s="122"/>
      <c r="E9" s="122"/>
      <c r="F9" s="122"/>
      <c r="G9" s="122"/>
      <c r="H9" s="122"/>
      <c r="I9" s="122"/>
      <c r="J9" s="32"/>
      <c r="M9"/>
      <c r="P9" s="128">
        <v>1</v>
      </c>
      <c r="Q9" s="128">
        <f>Q12</f>
        <v>0</v>
      </c>
      <c r="R9" s="128">
        <f t="shared" ref="R9:AH9" si="0">R12</f>
        <v>0</v>
      </c>
      <c r="S9" s="128">
        <f t="shared" si="0"/>
        <v>0</v>
      </c>
      <c r="T9" s="128">
        <f t="shared" si="0"/>
        <v>0</v>
      </c>
      <c r="U9" s="128">
        <f t="shared" si="0"/>
        <v>0</v>
      </c>
      <c r="V9" s="128">
        <f t="shared" si="0"/>
        <v>0</v>
      </c>
      <c r="W9" s="129">
        <f ca="1">H3</f>
        <v>44749.467283101854</v>
      </c>
      <c r="X9" s="128">
        <f t="shared" si="0"/>
        <v>0</v>
      </c>
      <c r="Y9" s="128">
        <f t="shared" si="0"/>
        <v>0</v>
      </c>
      <c r="Z9" s="128">
        <f t="shared" si="0"/>
        <v>0</v>
      </c>
      <c r="AA9" s="128">
        <f t="shared" si="0"/>
        <v>0</v>
      </c>
      <c r="AB9" s="128">
        <f t="shared" si="0"/>
        <v>0</v>
      </c>
      <c r="AC9" s="128">
        <f t="shared" si="0"/>
        <v>0</v>
      </c>
      <c r="AD9" s="128">
        <f t="shared" si="0"/>
        <v>0</v>
      </c>
      <c r="AE9" s="128">
        <f>I11</f>
        <v>0</v>
      </c>
      <c r="AF9" s="128">
        <f>G11</f>
        <v>0</v>
      </c>
      <c r="AG9" s="128" t="str">
        <f>M8</f>
        <v>Spammed</v>
      </c>
      <c r="AH9" s="128">
        <f t="shared" si="0"/>
        <v>0</v>
      </c>
      <c r="AI9" s="128">
        <f>F11</f>
        <v>0</v>
      </c>
      <c r="AJ9" s="129">
        <f ca="1">H3</f>
        <v>44749.467283101854</v>
      </c>
      <c r="AK9" s="128">
        <f>D11</f>
        <v>0</v>
      </c>
      <c r="AL9" s="128">
        <f>E11</f>
        <v>0</v>
      </c>
      <c r="AM9" s="128"/>
      <c r="AN9" s="128"/>
      <c r="AO9" s="128"/>
    </row>
    <row r="10" spans="1:41" s="14" customFormat="1">
      <c r="B10" s="123"/>
      <c r="C10" s="9" t="s">
        <v>22</v>
      </c>
      <c r="D10" s="9" t="s">
        <v>23</v>
      </c>
      <c r="E10" s="9" t="s">
        <v>24</v>
      </c>
      <c r="F10" s="9" t="s">
        <v>25</v>
      </c>
      <c r="G10" s="9" t="s">
        <v>26</v>
      </c>
      <c r="I10" s="9" t="s">
        <v>27</v>
      </c>
      <c r="J10" s="34"/>
      <c r="M10"/>
      <c r="P10" s="14" t="str">
        <f>IF(ISNUMBER(P12),P12+1,"")</f>
        <v/>
      </c>
      <c r="Q10" s="14">
        <f>Q12</f>
        <v>0</v>
      </c>
      <c r="R10" s="14">
        <f t="shared" ref="R10:AF10" si="1">R12</f>
        <v>0</v>
      </c>
      <c r="S10" s="14">
        <f t="shared" si="1"/>
        <v>0</v>
      </c>
      <c r="T10" s="14">
        <f t="shared" si="1"/>
        <v>0</v>
      </c>
      <c r="U10" s="14">
        <f t="shared" si="1"/>
        <v>0</v>
      </c>
      <c r="V10" s="14">
        <f t="shared" si="1"/>
        <v>0</v>
      </c>
      <c r="W10" s="120">
        <f ca="1">H3</f>
        <v>44749.467283101854</v>
      </c>
      <c r="X10" s="14">
        <f t="shared" si="1"/>
        <v>0</v>
      </c>
      <c r="Y10" s="14">
        <f t="shared" si="1"/>
        <v>0</v>
      </c>
      <c r="Z10" s="14">
        <f t="shared" si="1"/>
        <v>0</v>
      </c>
      <c r="AA10" s="14">
        <f t="shared" si="1"/>
        <v>0</v>
      </c>
      <c r="AB10" s="14">
        <f t="shared" si="1"/>
        <v>0</v>
      </c>
      <c r="AC10" s="14">
        <f t="shared" si="1"/>
        <v>0</v>
      </c>
      <c r="AD10" s="14">
        <f t="shared" si="1"/>
        <v>0</v>
      </c>
      <c r="AE10" s="14">
        <f t="shared" si="1"/>
        <v>0</v>
      </c>
      <c r="AF10" s="14">
        <f t="shared" si="1"/>
        <v>0</v>
      </c>
      <c r="AG10" s="14" t="s">
        <v>28</v>
      </c>
      <c r="AH10" s="14">
        <f>AH12</f>
        <v>0</v>
      </c>
      <c r="AI10" s="14">
        <f>F11</f>
        <v>0</v>
      </c>
      <c r="AJ10" s="120">
        <f ca="1">H3</f>
        <v>44749.467283101854</v>
      </c>
      <c r="AK10" s="14">
        <f>AK12</f>
        <v>0</v>
      </c>
      <c r="AN10" s="14">
        <f>AN12</f>
        <v>0</v>
      </c>
      <c r="AO10" s="14">
        <f>AO12</f>
        <v>0</v>
      </c>
    </row>
    <row r="11" spans="1:41" s="14" customFormat="1">
      <c r="B11" s="123"/>
      <c r="C11" s="134"/>
      <c r="D11" s="132"/>
      <c r="E11" s="132"/>
      <c r="F11" s="132"/>
      <c r="G11" s="132"/>
      <c r="H11" s="133"/>
      <c r="I11" s="132"/>
      <c r="J11" s="124"/>
      <c r="K11" s="119"/>
      <c r="L11" s="119"/>
      <c r="M11" s="119"/>
      <c r="N11" s="119"/>
      <c r="O11" s="119"/>
      <c r="P11" s="119" t="s">
        <v>29</v>
      </c>
      <c r="Q11" s="119" t="s">
        <v>30</v>
      </c>
      <c r="R11" s="119" t="s">
        <v>31</v>
      </c>
      <c r="S11" s="119" t="s">
        <v>32</v>
      </c>
      <c r="T11" s="119" t="s">
        <v>22</v>
      </c>
      <c r="U11" s="119" t="s">
        <v>33</v>
      </c>
      <c r="V11" s="119" t="s">
        <v>12</v>
      </c>
      <c r="W11" s="119" t="s">
        <v>34</v>
      </c>
      <c r="X11" s="119" t="s">
        <v>35</v>
      </c>
      <c r="Y11" s="119" t="s">
        <v>36</v>
      </c>
      <c r="Z11" s="119" t="s">
        <v>37</v>
      </c>
      <c r="AA11" s="119" t="s">
        <v>38</v>
      </c>
      <c r="AB11" s="119" t="s">
        <v>39</v>
      </c>
      <c r="AC11" s="119" t="s">
        <v>40</v>
      </c>
      <c r="AD11" s="119" t="s">
        <v>41</v>
      </c>
      <c r="AE11" s="119" t="s">
        <v>42</v>
      </c>
      <c r="AF11" s="119" t="s">
        <v>43</v>
      </c>
      <c r="AG11" s="119" t="s">
        <v>44</v>
      </c>
      <c r="AH11" s="119" t="s">
        <v>45</v>
      </c>
      <c r="AI11" s="119" t="s">
        <v>25</v>
      </c>
      <c r="AJ11" s="119" t="s">
        <v>46</v>
      </c>
      <c r="AK11" s="119" t="s">
        <v>23</v>
      </c>
      <c r="AL11" s="119" t="s">
        <v>47</v>
      </c>
      <c r="AM11" s="119" t="s">
        <v>48</v>
      </c>
      <c r="AN11" s="119" t="s">
        <v>49</v>
      </c>
      <c r="AO11" s="119" t="s">
        <v>27</v>
      </c>
    </row>
    <row r="12" spans="1:41" s="14" customFormat="1" ht="15" thickBot="1">
      <c r="B12" s="125"/>
      <c r="C12" s="131" t="s">
        <v>50</v>
      </c>
      <c r="D12" s="126"/>
      <c r="E12" s="126"/>
      <c r="F12" s="126"/>
      <c r="G12" s="126"/>
      <c r="H12" s="126"/>
      <c r="I12" s="126"/>
      <c r="J12" s="127"/>
      <c r="P12" s="118" t="str" cm="1">
        <f t="array" ref="P12">_xlfn._xlws.FILTER(Contact[#Data],(Contact[Season]=$C$3)*(Contact[Latest]=TRUE)*(Contact[Type of Contact]=$C$6)*(Contact[1_Waitlist/Sent/Answered]=C5)*(Contact[Status]=C4)*(Contact[Full Name]=C11),"Select Assignee and Season")</f>
        <v>Select Assignee and Season</v>
      </c>
    </row>
    <row r="13" spans="1:41" s="14" customFormat="1" ht="15" thickBot="1">
      <c r="C13" s="118"/>
      <c r="D13" s="120"/>
      <c r="H13" s="120"/>
      <c r="I13" s="120"/>
      <c r="L13" s="56" t="s">
        <v>51</v>
      </c>
    </row>
    <row r="14" spans="1:41" s="3" customFormat="1" ht="18">
      <c r="C14" s="95" t="s">
        <v>52</v>
      </c>
      <c r="D14" s="94"/>
      <c r="E14" s="94"/>
      <c r="F14" s="94"/>
      <c r="G14" s="94"/>
      <c r="H14" s="94"/>
      <c r="I14" s="94"/>
      <c r="L14" s="30" t="s">
        <v>53</v>
      </c>
      <c r="M14" s="32">
        <f>ROWS(Contact[])+1</f>
        <v>515</v>
      </c>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row>
    <row r="15" spans="1:41" s="3" customFormat="1">
      <c r="C15" s="119" t="s">
        <v>22</v>
      </c>
      <c r="D15" s="119" t="s">
        <v>23</v>
      </c>
      <c r="E15" s="119" t="s">
        <v>44</v>
      </c>
      <c r="F15" s="119" t="s">
        <v>45</v>
      </c>
      <c r="G15" s="119" t="s">
        <v>54</v>
      </c>
      <c r="H15" s="119" t="s">
        <v>9</v>
      </c>
      <c r="I15" s="119" t="s">
        <v>55</v>
      </c>
      <c r="L15" s="33" t="s">
        <v>56</v>
      </c>
      <c r="M15" s="34" t="b">
        <f>IF(ISNUMBER(P12),TRUE,FALSE)</f>
        <v>0</v>
      </c>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row>
    <row r="16" spans="1:41" s="3" customFormat="1" ht="28.9">
      <c r="C16" s="3" t="str" cm="1">
        <f t="array" ref="C16">_xlfn._xlws.FILTER(INDEX(Contact[#Data],_xlfn.SEQUENCE(ROWS(Contact[#Data])),{5,22,18,19,7,25,26}),(Contact[Season]=$C$3)*(Contact[Latest]=TRUE)*(Contact[Type of Contact]=$C$6)*(Contact[1_Waitlist/Sent/Answered]=C5)*(Contact[Status]=C4),"Select Assignee and Season")</f>
        <v>Select Assignee and Season</v>
      </c>
      <c r="E16" s="65"/>
      <c r="H16" s="13"/>
      <c r="I16" s="13"/>
      <c r="L16" s="33" t="s">
        <v>57</v>
      </c>
      <c r="M16" s="34" t="e" vm="1">
        <f>M17=D11</f>
        <v>#VALUE!</v>
      </c>
      <c r="P16" s="14"/>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row>
    <row r="17" spans="3:15">
      <c r="C17" s="42"/>
      <c r="G17" s="3"/>
      <c r="H17" s="13"/>
      <c r="I17" s="13"/>
      <c r="L17" s="33" t="s">
        <v>58</v>
      </c>
      <c r="M17" s="34" t="e" cm="1" vm="2">
        <f t="array" ref="M17">MAX(_xlfn._xlws.FILTER(Contact[Season],Contact[Full Name]=C11))</f>
        <v>#VALUE!</v>
      </c>
      <c r="N17" s="3"/>
      <c r="O17" s="3"/>
    </row>
    <row r="18" spans="3:15" ht="15" thickBot="1">
      <c r="C18" s="42"/>
      <c r="I18" s="13"/>
      <c r="L18" s="35" t="s">
        <v>59</v>
      </c>
      <c r="M18" s="37" t="e" cm="1">
        <f t="array" ref="M18">MATCH(C11&amp;C3&amp;TRUE,Contact[Full Name]&amp;Contact[Season]&amp;Contact[Latest],0)+1</f>
        <v>#N/A</v>
      </c>
    </row>
    <row r="19" spans="3:15">
      <c r="C19" s="42"/>
      <c r="I19" s="13"/>
    </row>
    <row r="20" spans="3:15">
      <c r="C20" s="42"/>
      <c r="I20" s="13"/>
    </row>
    <row r="21" spans="3:15">
      <c r="C21" s="42"/>
      <c r="I21" s="13"/>
    </row>
    <row r="22" spans="3:15">
      <c r="C22" s="42"/>
      <c r="I22" s="13"/>
    </row>
    <row r="23" spans="3:15">
      <c r="C23" s="42"/>
      <c r="I23" s="13"/>
    </row>
    <row r="24" spans="3:15">
      <c r="C24" s="42"/>
      <c r="I24" s="13"/>
    </row>
    <row r="25" spans="3:15">
      <c r="C25" s="42"/>
      <c r="I25" s="13"/>
    </row>
    <row r="26" spans="3:15">
      <c r="C26" s="42"/>
      <c r="I26" s="13"/>
    </row>
    <row r="27" spans="3:15">
      <c r="C27" s="42"/>
      <c r="I27" s="13"/>
    </row>
    <row r="28" spans="3:15">
      <c r="C28" s="42"/>
      <c r="I28" s="13"/>
    </row>
    <row r="29" spans="3:15">
      <c r="C29" s="42"/>
      <c r="I29" s="13"/>
    </row>
    <row r="30" spans="3:15">
      <c r="C30" s="42"/>
      <c r="I30" s="13"/>
    </row>
    <row r="31" spans="3:15">
      <c r="C31" s="42"/>
      <c r="I31" s="13"/>
    </row>
    <row r="32" spans="3:15">
      <c r="C32" s="42"/>
      <c r="I32" s="13"/>
    </row>
    <row r="33" spans="3:9">
      <c r="C33" s="42"/>
      <c r="I33" s="13"/>
    </row>
    <row r="34" spans="3:9">
      <c r="C34" s="42"/>
      <c r="I34" s="13"/>
    </row>
    <row r="35" spans="3:9">
      <c r="C35" s="42"/>
      <c r="I35" s="13"/>
    </row>
    <row r="36" spans="3:9">
      <c r="C36" s="42"/>
      <c r="I36" s="13"/>
    </row>
    <row r="37" spans="3:9">
      <c r="C37" s="42"/>
      <c r="I37" s="13"/>
    </row>
    <row r="38" spans="3:9">
      <c r="C38" s="42"/>
      <c r="I38" s="13"/>
    </row>
    <row r="39" spans="3:9">
      <c r="C39" s="42"/>
      <c r="I39" s="13"/>
    </row>
    <row r="40" spans="3:9">
      <c r="C40" s="42"/>
      <c r="I40" s="13"/>
    </row>
    <row r="41" spans="3:9">
      <c r="C41" s="42"/>
      <c r="I41" s="13"/>
    </row>
    <row r="42" spans="3:9">
      <c r="C42" s="42"/>
      <c r="I42" s="13"/>
    </row>
    <row r="43" spans="3:9">
      <c r="C43" s="42"/>
      <c r="I43" s="13"/>
    </row>
    <row r="44" spans="3:9">
      <c r="C44" s="42"/>
      <c r="I44" s="13"/>
    </row>
    <row r="45" spans="3:9">
      <c r="C45" s="42"/>
      <c r="I45" s="13"/>
    </row>
    <row r="46" spans="3:9">
      <c r="C46" s="42"/>
      <c r="I46" s="13"/>
    </row>
    <row r="47" spans="3:9">
      <c r="C47" s="42"/>
      <c r="I47" s="13"/>
    </row>
    <row r="48" spans="3:9">
      <c r="C48" s="42"/>
      <c r="I48" s="13"/>
    </row>
    <row r="49" spans="3:9">
      <c r="C49" s="42"/>
      <c r="I49" s="13"/>
    </row>
    <row r="50" spans="3:9">
      <c r="C50" s="42"/>
      <c r="I50" s="13"/>
    </row>
    <row r="51" spans="3:9">
      <c r="C51" s="42"/>
      <c r="I51" s="13"/>
    </row>
    <row r="52" spans="3:9">
      <c r="C52" s="42"/>
      <c r="I52" s="13"/>
    </row>
    <row r="53" spans="3:9">
      <c r="C53" s="42"/>
      <c r="I53" s="13"/>
    </row>
    <row r="54" spans="3:9">
      <c r="C54" s="42"/>
      <c r="I54" s="13"/>
    </row>
    <row r="55" spans="3:9">
      <c r="C55" s="42"/>
      <c r="I55" s="13"/>
    </row>
    <row r="56" spans="3:9">
      <c r="C56" s="42"/>
      <c r="I56" s="13"/>
    </row>
    <row r="57" spans="3:9">
      <c r="C57" s="42"/>
      <c r="I57" s="13"/>
    </row>
    <row r="58" spans="3:9">
      <c r="C58" s="42"/>
      <c r="I58" s="13"/>
    </row>
    <row r="59" spans="3:9">
      <c r="C59" s="42"/>
      <c r="I59" s="13"/>
    </row>
    <row r="60" spans="3:9">
      <c r="C60" s="42"/>
      <c r="I60" s="13"/>
    </row>
    <row r="61" spans="3:9">
      <c r="C61" s="42"/>
      <c r="I61" s="13"/>
    </row>
    <row r="62" spans="3:9">
      <c r="C62" s="42"/>
      <c r="I62" s="13"/>
    </row>
    <row r="63" spans="3:9">
      <c r="C63" s="42"/>
      <c r="I63" s="13"/>
    </row>
    <row r="64" spans="3:9">
      <c r="C64" s="42"/>
      <c r="I64" s="13"/>
    </row>
    <row r="65" spans="3:9">
      <c r="C65" s="42"/>
      <c r="I65" s="13"/>
    </row>
    <row r="66" spans="3:9">
      <c r="C66" s="42"/>
      <c r="I66" s="13"/>
    </row>
    <row r="67" spans="3:9">
      <c r="C67" s="42"/>
      <c r="I67" s="13"/>
    </row>
    <row r="68" spans="3:9">
      <c r="C68" s="42"/>
      <c r="I68" s="13"/>
    </row>
    <row r="69" spans="3:9">
      <c r="C69" s="42"/>
      <c r="I69" s="13"/>
    </row>
    <row r="70" spans="3:9">
      <c r="C70" s="42"/>
      <c r="I70" s="13"/>
    </row>
    <row r="71" spans="3:9">
      <c r="C71" s="42"/>
      <c r="I71" s="13"/>
    </row>
    <row r="72" spans="3:9">
      <c r="C72" s="42"/>
      <c r="I72" s="13"/>
    </row>
    <row r="73" spans="3:9">
      <c r="C73" s="42"/>
      <c r="I73" s="13"/>
    </row>
    <row r="74" spans="3:9">
      <c r="C74" s="42"/>
      <c r="I74" s="13"/>
    </row>
    <row r="75" spans="3:9">
      <c r="C75" s="42"/>
      <c r="I75" s="13"/>
    </row>
    <row r="76" spans="3:9">
      <c r="C76" s="42"/>
      <c r="I76" s="13"/>
    </row>
    <row r="77" spans="3:9">
      <c r="C77" s="42"/>
      <c r="I77" s="13"/>
    </row>
    <row r="78" spans="3:9">
      <c r="C78" s="42"/>
      <c r="I78" s="13"/>
    </row>
    <row r="79" spans="3:9">
      <c r="C79" s="42"/>
      <c r="I79" s="13"/>
    </row>
    <row r="80" spans="3:9">
      <c r="C80" s="42"/>
      <c r="I80" s="13"/>
    </row>
    <row r="81" spans="3:9">
      <c r="C81" s="42"/>
      <c r="I81" s="13"/>
    </row>
    <row r="82" spans="3:9">
      <c r="C82" s="42"/>
      <c r="I82" s="13"/>
    </row>
    <row r="83" spans="3:9">
      <c r="C83" s="42"/>
      <c r="I83" s="13"/>
    </row>
    <row r="84" spans="3:9">
      <c r="C84" s="42"/>
      <c r="I84" s="13"/>
    </row>
    <row r="85" spans="3:9">
      <c r="C85" s="42"/>
      <c r="I85" s="13"/>
    </row>
    <row r="86" spans="3:9">
      <c r="C86" s="42"/>
      <c r="I86" s="13"/>
    </row>
    <row r="87" spans="3:9">
      <c r="C87" s="42"/>
      <c r="I87" s="13"/>
    </row>
    <row r="88" spans="3:9">
      <c r="C88" s="42"/>
      <c r="I88" s="13"/>
    </row>
    <row r="89" spans="3:9">
      <c r="C89" s="42"/>
      <c r="I89" s="13"/>
    </row>
    <row r="90" spans="3:9">
      <c r="C90" s="42"/>
      <c r="I90" s="13"/>
    </row>
    <row r="91" spans="3:9">
      <c r="C91" s="42"/>
      <c r="I91" s="13"/>
    </row>
    <row r="92" spans="3:9">
      <c r="C92" s="42"/>
      <c r="I92" s="13"/>
    </row>
    <row r="93" spans="3:9">
      <c r="C93" s="42"/>
      <c r="I93" s="13"/>
    </row>
    <row r="94" spans="3:9">
      <c r="C94" s="42"/>
      <c r="I94" s="13"/>
    </row>
    <row r="95" spans="3:9">
      <c r="C95" s="42"/>
      <c r="I95" s="13"/>
    </row>
    <row r="96" spans="3:9">
      <c r="C96" s="42"/>
      <c r="I96" s="13"/>
    </row>
    <row r="97" spans="3:9">
      <c r="C97" s="42"/>
      <c r="I97" s="13"/>
    </row>
    <row r="98" spans="3:9">
      <c r="C98" s="42"/>
      <c r="I98" s="13"/>
    </row>
    <row r="99" spans="3:9">
      <c r="C99" s="42"/>
      <c r="I99" s="13"/>
    </row>
    <row r="100" spans="3:9">
      <c r="C100" s="42"/>
      <c r="I100" s="13"/>
    </row>
    <row r="101" spans="3:9">
      <c r="C101" s="42"/>
      <c r="I101" s="13"/>
    </row>
    <row r="102" spans="3:9">
      <c r="C102" s="42"/>
      <c r="I102" s="13"/>
    </row>
    <row r="103" spans="3:9">
      <c r="C103" s="42"/>
      <c r="I103" s="13"/>
    </row>
    <row r="104" spans="3:9">
      <c r="C104" s="42"/>
      <c r="I104" s="13"/>
    </row>
    <row r="105" spans="3:9">
      <c r="C105" s="42"/>
      <c r="I105" s="13"/>
    </row>
    <row r="106" spans="3:9">
      <c r="C106" s="42"/>
      <c r="I106" s="13"/>
    </row>
    <row r="107" spans="3:9">
      <c r="C107" s="42"/>
      <c r="I107" s="13"/>
    </row>
    <row r="108" spans="3:9">
      <c r="C108" s="42"/>
      <c r="I108" s="13"/>
    </row>
    <row r="109" spans="3:9">
      <c r="C109" s="42"/>
      <c r="I109" s="13"/>
    </row>
    <row r="110" spans="3:9">
      <c r="C110" s="42"/>
      <c r="I110" s="13"/>
    </row>
    <row r="111" spans="3:9">
      <c r="C111" s="42"/>
      <c r="I111" s="13"/>
    </row>
    <row r="112" spans="3:9">
      <c r="C112" s="42"/>
      <c r="I112" s="13"/>
    </row>
    <row r="113" spans="3:9">
      <c r="C113" s="42"/>
      <c r="I113" s="13"/>
    </row>
    <row r="114" spans="3:9">
      <c r="C114" s="42"/>
      <c r="I114" s="13"/>
    </row>
    <row r="115" spans="3:9">
      <c r="C115" s="42"/>
      <c r="I115" s="13"/>
    </row>
    <row r="116" spans="3:9">
      <c r="C116" s="42"/>
      <c r="I116" s="13"/>
    </row>
    <row r="117" spans="3:9">
      <c r="C117" s="42"/>
      <c r="I117" s="13"/>
    </row>
    <row r="118" spans="3:9">
      <c r="C118" s="42"/>
      <c r="I118" s="13"/>
    </row>
    <row r="119" spans="3:9">
      <c r="C119" s="42"/>
      <c r="I119" s="13"/>
    </row>
    <row r="120" spans="3:9">
      <c r="C120" s="42"/>
      <c r="I120" s="13"/>
    </row>
    <row r="121" spans="3:9">
      <c r="C121" s="42"/>
      <c r="I121" s="13"/>
    </row>
    <row r="122" spans="3:9">
      <c r="C122" s="42"/>
      <c r="I122" s="13"/>
    </row>
    <row r="123" spans="3:9">
      <c r="C123" s="42"/>
      <c r="I123" s="13"/>
    </row>
    <row r="124" spans="3:9">
      <c r="C124" s="42"/>
      <c r="I124" s="13"/>
    </row>
    <row r="125" spans="3:9">
      <c r="C125" s="42"/>
      <c r="I125" s="13"/>
    </row>
    <row r="126" spans="3:9">
      <c r="C126" s="42"/>
      <c r="I126" s="13"/>
    </row>
    <row r="127" spans="3:9">
      <c r="C127" s="42"/>
      <c r="I127" s="13"/>
    </row>
    <row r="128" spans="3:9">
      <c r="C128" s="42"/>
      <c r="I128" s="13"/>
    </row>
    <row r="129" spans="3:9">
      <c r="C129" s="42"/>
      <c r="I129" s="13"/>
    </row>
    <row r="130" spans="3:9">
      <c r="C130" s="42"/>
      <c r="I130" s="13"/>
    </row>
    <row r="131" spans="3:9">
      <c r="C131" s="42"/>
      <c r="I131" s="13"/>
    </row>
    <row r="132" spans="3:9">
      <c r="C132" s="42"/>
      <c r="I132" s="13"/>
    </row>
    <row r="133" spans="3:9">
      <c r="C133" s="42"/>
      <c r="I133" s="13"/>
    </row>
    <row r="134" spans="3:9">
      <c r="C134" s="42"/>
      <c r="I134" s="13"/>
    </row>
    <row r="135" spans="3:9">
      <c r="C135" s="42"/>
      <c r="I135" s="13"/>
    </row>
    <row r="136" spans="3:9">
      <c r="C136" s="42"/>
      <c r="I136" s="13"/>
    </row>
    <row r="137" spans="3:9">
      <c r="C137" s="42"/>
      <c r="I137" s="13"/>
    </row>
    <row r="138" spans="3:9">
      <c r="C138" s="42"/>
      <c r="I138" s="13"/>
    </row>
    <row r="139" spans="3:9">
      <c r="C139" s="42"/>
      <c r="I139" s="13"/>
    </row>
    <row r="140" spans="3:9">
      <c r="C140" s="42"/>
      <c r="I140" s="13"/>
    </row>
    <row r="141" spans="3:9">
      <c r="C141" s="42"/>
      <c r="I141" s="13"/>
    </row>
    <row r="142" spans="3:9">
      <c r="C142" s="42"/>
      <c r="I142" s="13"/>
    </row>
    <row r="143" spans="3:9">
      <c r="C143" s="42"/>
      <c r="I143" s="13"/>
    </row>
    <row r="144" spans="3:9">
      <c r="C144" s="42"/>
      <c r="I144" s="13"/>
    </row>
    <row r="145" spans="3:9">
      <c r="C145" s="42"/>
      <c r="I145" s="13"/>
    </row>
    <row r="146" spans="3:9">
      <c r="C146" s="42"/>
      <c r="I146" s="13"/>
    </row>
    <row r="147" spans="3:9">
      <c r="C147" s="42"/>
      <c r="I147" s="13"/>
    </row>
    <row r="148" spans="3:9">
      <c r="C148" s="42"/>
      <c r="I148" s="13"/>
    </row>
    <row r="149" spans="3:9">
      <c r="C149" s="42"/>
      <c r="I149" s="13"/>
    </row>
    <row r="150" spans="3:9">
      <c r="C150" s="42"/>
      <c r="I150" s="13"/>
    </row>
    <row r="151" spans="3:9">
      <c r="C151" s="42"/>
      <c r="I151" s="13"/>
    </row>
    <row r="152" spans="3:9">
      <c r="C152" s="42"/>
      <c r="I152" s="13"/>
    </row>
    <row r="153" spans="3:9">
      <c r="C153" s="42"/>
      <c r="I153" s="13"/>
    </row>
    <row r="154" spans="3:9">
      <c r="C154" s="42"/>
      <c r="I154" s="13"/>
    </row>
    <row r="155" spans="3:9">
      <c r="C155" s="42"/>
      <c r="I155" s="13"/>
    </row>
    <row r="156" spans="3:9">
      <c r="C156" s="42"/>
      <c r="I156" s="13"/>
    </row>
    <row r="157" spans="3:9">
      <c r="C157" s="42"/>
      <c r="I157" s="13"/>
    </row>
    <row r="158" spans="3:9">
      <c r="C158" s="42"/>
      <c r="I158" s="13"/>
    </row>
    <row r="159" spans="3:9">
      <c r="C159" s="42"/>
      <c r="I159" s="13"/>
    </row>
    <row r="160" spans="3:9">
      <c r="C160" s="42"/>
      <c r="I160" s="13"/>
    </row>
    <row r="161" spans="3:9">
      <c r="C161" s="42"/>
      <c r="I161" s="13"/>
    </row>
    <row r="162" spans="3:9">
      <c r="C162" s="42"/>
      <c r="I162" s="13"/>
    </row>
    <row r="163" spans="3:9">
      <c r="C163" s="42"/>
      <c r="I163" s="13"/>
    </row>
    <row r="164" spans="3:9">
      <c r="C164" s="42"/>
      <c r="I164" s="13"/>
    </row>
    <row r="165" spans="3:9">
      <c r="C165" s="42"/>
      <c r="I165" s="13"/>
    </row>
    <row r="166" spans="3:9">
      <c r="C166" s="42"/>
      <c r="I166" s="13"/>
    </row>
    <row r="167" spans="3:9">
      <c r="C167" s="42"/>
      <c r="I167" s="13"/>
    </row>
    <row r="168" spans="3:9">
      <c r="C168" s="42"/>
      <c r="I168" s="13"/>
    </row>
    <row r="169" spans="3:9">
      <c r="C169" s="42"/>
      <c r="I169" s="13"/>
    </row>
    <row r="170" spans="3:9">
      <c r="C170" s="42"/>
      <c r="I170" s="13"/>
    </row>
    <row r="171" spans="3:9">
      <c r="C171" s="42"/>
      <c r="I171" s="13"/>
    </row>
    <row r="172" spans="3:9">
      <c r="C172" s="42"/>
      <c r="I172" s="13"/>
    </row>
    <row r="173" spans="3:9">
      <c r="C173" s="42"/>
      <c r="I173" s="13"/>
    </row>
    <row r="174" spans="3:9">
      <c r="C174" s="42"/>
      <c r="I174" s="13"/>
    </row>
    <row r="175" spans="3:9">
      <c r="C175" s="42"/>
      <c r="I175" s="13"/>
    </row>
    <row r="176" spans="3:9">
      <c r="C176" s="42"/>
      <c r="I176" s="13"/>
    </row>
    <row r="177" spans="3:9">
      <c r="C177" s="42"/>
      <c r="I177" s="13"/>
    </row>
    <row r="178" spans="3:9">
      <c r="C178" s="42"/>
      <c r="I178" s="13"/>
    </row>
    <row r="179" spans="3:9">
      <c r="C179" s="42"/>
      <c r="I179" s="13"/>
    </row>
    <row r="180" spans="3:9">
      <c r="C180" s="42"/>
      <c r="I180" s="13"/>
    </row>
    <row r="181" spans="3:9">
      <c r="C181" s="42"/>
      <c r="I181" s="13"/>
    </row>
    <row r="182" spans="3:9">
      <c r="C182" s="42"/>
      <c r="I182" s="13"/>
    </row>
    <row r="183" spans="3:9">
      <c r="C183" s="42"/>
      <c r="I183" s="13"/>
    </row>
    <row r="184" spans="3:9">
      <c r="C184" s="42"/>
      <c r="I184" s="13"/>
    </row>
    <row r="185" spans="3:9">
      <c r="C185" s="42"/>
      <c r="I185" s="13"/>
    </row>
    <row r="186" spans="3:9">
      <c r="C186" s="42"/>
      <c r="I186" s="13"/>
    </row>
    <row r="187" spans="3:9">
      <c r="C187" s="42"/>
      <c r="I187" s="13"/>
    </row>
    <row r="188" spans="3:9">
      <c r="C188" s="42"/>
      <c r="I188" s="13"/>
    </row>
    <row r="189" spans="3:9">
      <c r="C189" s="42"/>
      <c r="I189" s="13"/>
    </row>
    <row r="190" spans="3:9">
      <c r="C190" s="42"/>
      <c r="I190" s="13"/>
    </row>
    <row r="191" spans="3:9">
      <c r="C191" s="42"/>
      <c r="I191" s="13"/>
    </row>
    <row r="192" spans="3:9">
      <c r="C192" s="42"/>
      <c r="I192" s="13"/>
    </row>
    <row r="193" spans="3:9">
      <c r="C193" s="42"/>
      <c r="I193" s="13"/>
    </row>
    <row r="194" spans="3:9">
      <c r="C194" s="42"/>
      <c r="I194" s="13"/>
    </row>
    <row r="195" spans="3:9">
      <c r="C195" s="42"/>
      <c r="I195" s="13"/>
    </row>
    <row r="196" spans="3:9">
      <c r="C196" s="42"/>
      <c r="I196" s="13"/>
    </row>
    <row r="197" spans="3:9">
      <c r="C197" s="42"/>
      <c r="I197" s="13"/>
    </row>
    <row r="198" spans="3:9">
      <c r="C198" s="42"/>
      <c r="I198" s="13"/>
    </row>
    <row r="199" spans="3:9">
      <c r="C199" s="42"/>
      <c r="I199" s="13"/>
    </row>
    <row r="200" spans="3:9">
      <c r="C200" s="42"/>
      <c r="I200" s="13"/>
    </row>
    <row r="201" spans="3:9">
      <c r="C201" s="42"/>
      <c r="I201" s="13"/>
    </row>
    <row r="202" spans="3:9">
      <c r="C202" s="42"/>
      <c r="I202" s="13"/>
    </row>
    <row r="203" spans="3:9">
      <c r="C203" s="42"/>
      <c r="I203" s="13"/>
    </row>
    <row r="204" spans="3:9">
      <c r="C204" s="42"/>
      <c r="I204" s="13"/>
    </row>
    <row r="205" spans="3:9">
      <c r="C205" s="42"/>
      <c r="I205" s="13"/>
    </row>
    <row r="206" spans="3:9">
      <c r="C206" s="42"/>
      <c r="I206" s="13"/>
    </row>
    <row r="207" spans="3:9">
      <c r="C207" s="42"/>
      <c r="I207" s="13"/>
    </row>
    <row r="208" spans="3:9">
      <c r="C208" s="42"/>
      <c r="I208" s="13"/>
    </row>
    <row r="209" spans="3:9">
      <c r="C209" s="42"/>
      <c r="I209" s="13"/>
    </row>
    <row r="210" spans="3:9">
      <c r="C210" s="42"/>
      <c r="I210" s="13"/>
    </row>
    <row r="211" spans="3:9">
      <c r="C211" s="42"/>
      <c r="I211" s="13"/>
    </row>
    <row r="212" spans="3:9">
      <c r="C212" s="42"/>
      <c r="I212" s="13"/>
    </row>
    <row r="213" spans="3:9">
      <c r="C213" s="42"/>
      <c r="I213" s="13"/>
    </row>
    <row r="214" spans="3:9">
      <c r="C214" s="42"/>
      <c r="I214" s="13"/>
    </row>
    <row r="215" spans="3:9">
      <c r="C215" s="42"/>
      <c r="I215" s="13"/>
    </row>
    <row r="216" spans="3:9">
      <c r="C216" s="42"/>
      <c r="I216" s="13"/>
    </row>
    <row r="217" spans="3:9">
      <c r="C217" s="42"/>
      <c r="I217" s="13"/>
    </row>
    <row r="218" spans="3:9">
      <c r="C218" s="42"/>
      <c r="I218" s="13"/>
    </row>
    <row r="219" spans="3:9">
      <c r="C219" s="42"/>
      <c r="I219" s="13"/>
    </row>
    <row r="220" spans="3:9">
      <c r="C220" s="42"/>
      <c r="I220" s="13"/>
    </row>
    <row r="221" spans="3:9">
      <c r="C221" s="42"/>
      <c r="I221" s="13"/>
    </row>
    <row r="222" spans="3:9">
      <c r="C222" s="42"/>
      <c r="I222" s="13"/>
    </row>
    <row r="223" spans="3:9">
      <c r="C223" s="42"/>
      <c r="I223" s="13"/>
    </row>
    <row r="224" spans="3:9">
      <c r="C224" s="42"/>
      <c r="I224" s="13"/>
    </row>
    <row r="225" spans="3:9">
      <c r="C225" s="42"/>
      <c r="I225" s="13"/>
    </row>
    <row r="226" spans="3:9">
      <c r="C226" s="42"/>
      <c r="I226" s="13"/>
    </row>
    <row r="227" spans="3:9">
      <c r="C227" s="42"/>
      <c r="I227" s="13"/>
    </row>
    <row r="228" spans="3:9">
      <c r="C228" s="42"/>
      <c r="I228" s="13"/>
    </row>
    <row r="229" spans="3:9">
      <c r="C229" s="42"/>
      <c r="I229" s="13"/>
    </row>
    <row r="230" spans="3:9">
      <c r="C230" s="42"/>
      <c r="I230" s="13"/>
    </row>
    <row r="231" spans="3:9">
      <c r="C231" s="42"/>
    </row>
    <row r="232" spans="3:9">
      <c r="C232" s="42"/>
    </row>
    <row r="233" spans="3:9">
      <c r="C233" s="42"/>
    </row>
    <row r="234" spans="3:9">
      <c r="C234" s="42"/>
    </row>
    <row r="235" spans="3:9">
      <c r="C235" s="42"/>
    </row>
    <row r="236" spans="3:9">
      <c r="C236" s="42"/>
    </row>
    <row r="237" spans="3:9">
      <c r="C237" s="42"/>
    </row>
    <row r="238" spans="3:9">
      <c r="C238" s="42"/>
    </row>
    <row r="239" spans="3:9">
      <c r="C239" s="42"/>
    </row>
    <row r="240" spans="3:9">
      <c r="C240" s="42"/>
    </row>
    <row r="241" spans="3:3">
      <c r="C241" s="42"/>
    </row>
    <row r="242" spans="3:3">
      <c r="C242" s="42"/>
    </row>
    <row r="243" spans="3:3">
      <c r="C243" s="42"/>
    </row>
    <row r="244" spans="3:3">
      <c r="C244" s="42"/>
    </row>
    <row r="245" spans="3:3">
      <c r="C245" s="42"/>
    </row>
    <row r="246" spans="3:3">
      <c r="C246" s="42"/>
    </row>
    <row r="247" spans="3:3">
      <c r="C247" s="42"/>
    </row>
    <row r="248" spans="3:3">
      <c r="C248" s="42"/>
    </row>
    <row r="249" spans="3:3">
      <c r="C249" s="42"/>
    </row>
    <row r="250" spans="3:3">
      <c r="C250" s="42"/>
    </row>
    <row r="251" spans="3:3">
      <c r="C251" s="42"/>
    </row>
    <row r="252" spans="3:3">
      <c r="C252" s="42"/>
    </row>
    <row r="253" spans="3:3">
      <c r="C253" s="42"/>
    </row>
    <row r="254" spans="3:3">
      <c r="C254" s="42"/>
    </row>
    <row r="255" spans="3:3">
      <c r="C255" s="42"/>
    </row>
    <row r="256" spans="3:3">
      <c r="C256" s="42"/>
    </row>
    <row r="257" spans="3:3">
      <c r="C257" s="42"/>
    </row>
    <row r="258" spans="3:3">
      <c r="C258" s="42"/>
    </row>
    <row r="259" spans="3:3">
      <c r="C259" s="42"/>
    </row>
    <row r="260" spans="3:3">
      <c r="C260" s="42"/>
    </row>
    <row r="261" spans="3:3">
      <c r="C261" s="42"/>
    </row>
    <row r="262" spans="3:3">
      <c r="C262" s="42"/>
    </row>
    <row r="263" spans="3:3">
      <c r="C263" s="42"/>
    </row>
    <row r="264" spans="3:3">
      <c r="C264" s="42"/>
    </row>
    <row r="265" spans="3:3">
      <c r="C265" s="42"/>
    </row>
    <row r="266" spans="3:3">
      <c r="C266" s="42"/>
    </row>
    <row r="267" spans="3:3">
      <c r="C267" s="42"/>
    </row>
    <row r="268" spans="3:3">
      <c r="C268" s="42"/>
    </row>
    <row r="269" spans="3:3">
      <c r="C269" s="42"/>
    </row>
    <row r="270" spans="3:3">
      <c r="C270" s="42"/>
    </row>
    <row r="271" spans="3:3">
      <c r="C271" s="42"/>
    </row>
    <row r="272" spans="3:3">
      <c r="C272" s="42"/>
    </row>
    <row r="273" spans="3:3">
      <c r="C273" s="42"/>
    </row>
    <row r="274" spans="3:3">
      <c r="C274" s="42"/>
    </row>
    <row r="275" spans="3:3">
      <c r="C275" s="42"/>
    </row>
    <row r="276" spans="3:3">
      <c r="C276" s="42"/>
    </row>
    <row r="277" spans="3:3">
      <c r="C277" s="42"/>
    </row>
    <row r="278" spans="3:3">
      <c r="C278" s="42"/>
    </row>
    <row r="279" spans="3:3">
      <c r="C279" s="42"/>
    </row>
    <row r="280" spans="3:3">
      <c r="C280" s="42"/>
    </row>
    <row r="281" spans="3:3">
      <c r="C281" s="42"/>
    </row>
    <row r="282" spans="3:3">
      <c r="C282" s="42"/>
    </row>
    <row r="283" spans="3:3">
      <c r="C283" s="42"/>
    </row>
    <row r="284" spans="3:3">
      <c r="C284" s="42"/>
    </row>
    <row r="285" spans="3:3">
      <c r="C285" s="42"/>
    </row>
    <row r="286" spans="3:3">
      <c r="C286" s="42"/>
    </row>
    <row r="287" spans="3:3">
      <c r="C287" s="42"/>
    </row>
    <row r="288" spans="3:3">
      <c r="C288" s="42"/>
    </row>
    <row r="289" spans="3:3">
      <c r="C289" s="42"/>
    </row>
    <row r="290" spans="3:3">
      <c r="C290" s="42"/>
    </row>
    <row r="291" spans="3:3">
      <c r="C291" s="42"/>
    </row>
    <row r="292" spans="3:3">
      <c r="C292" s="42"/>
    </row>
    <row r="293" spans="3:3">
      <c r="C293" s="42"/>
    </row>
    <row r="294" spans="3:3">
      <c r="C294" s="42"/>
    </row>
    <row r="295" spans="3:3">
      <c r="C295" s="42"/>
    </row>
    <row r="296" spans="3:3">
      <c r="C296" s="42"/>
    </row>
    <row r="297" spans="3:3">
      <c r="C297" s="42"/>
    </row>
    <row r="298" spans="3:3">
      <c r="C298" s="42"/>
    </row>
    <row r="299" spans="3:3">
      <c r="C299" s="42"/>
    </row>
    <row r="300" spans="3:3">
      <c r="C300" s="42"/>
    </row>
    <row r="301" spans="3:3">
      <c r="C301" s="42"/>
    </row>
    <row r="302" spans="3:3">
      <c r="C302" s="42"/>
    </row>
    <row r="303" spans="3:3">
      <c r="C303" s="42"/>
    </row>
    <row r="304" spans="3:3">
      <c r="C304" s="42"/>
    </row>
    <row r="305" spans="3:3">
      <c r="C305" s="42"/>
    </row>
    <row r="306" spans="3:3">
      <c r="C306" s="42"/>
    </row>
    <row r="307" spans="3:3">
      <c r="C307" s="42"/>
    </row>
    <row r="308" spans="3:3">
      <c r="C308" s="42"/>
    </row>
    <row r="309" spans="3:3">
      <c r="C309" s="42"/>
    </row>
    <row r="310" spans="3:3">
      <c r="C310" s="42"/>
    </row>
    <row r="311" spans="3:3">
      <c r="C311" s="42"/>
    </row>
    <row r="312" spans="3:3">
      <c r="C312" s="42"/>
    </row>
    <row r="313" spans="3:3">
      <c r="C313" s="42"/>
    </row>
    <row r="314" spans="3:3">
      <c r="C314" s="42"/>
    </row>
    <row r="315" spans="3:3">
      <c r="C315" s="42"/>
    </row>
    <row r="316" spans="3:3">
      <c r="C316" s="42"/>
    </row>
  </sheetData>
  <sheetProtection sheet="1" objects="1" scenarios="1"/>
  <mergeCells count="1">
    <mergeCell ref="C1:D1"/>
  </mergeCells>
  <conditionalFormatting sqref="M12:O13 D16:F16 P12 G16:H17 I16:I230 C13:I13 J12 K1:L1 N14:O17">
    <cfRule type="notContainsBlanks" dxfId="137" priority="24">
      <formula>LEN(TRIM(C1))&gt;0</formula>
    </cfRule>
  </conditionalFormatting>
  <conditionalFormatting sqref="K11:L11 P11">
    <cfRule type="notContainsBlanks" dxfId="136" priority="23">
      <formula>LEN(TRIM(K11))&gt;0</formula>
    </cfRule>
  </conditionalFormatting>
  <conditionalFormatting sqref="D13 D16 G16:H17 G13:I13 I16:I230">
    <cfRule type="cellIs" dxfId="135" priority="22" operator="equal">
      <formula>0</formula>
    </cfRule>
  </conditionalFormatting>
  <conditionalFormatting sqref="M11:O11">
    <cfRule type="notContainsBlanks" dxfId="134" priority="21">
      <formula>LEN(TRIM(M11))&gt;0</formula>
    </cfRule>
  </conditionalFormatting>
  <conditionalFormatting sqref="J11">
    <cfRule type="notContainsBlanks" dxfId="133" priority="15">
      <formula>LEN(TRIM(J11))&gt;0</formula>
    </cfRule>
  </conditionalFormatting>
  <conditionalFormatting sqref="C15:D15 H15">
    <cfRule type="notContainsBlanks" dxfId="132" priority="14">
      <formula>LEN(TRIM(C15))&gt;0</formula>
    </cfRule>
  </conditionalFormatting>
  <conditionalFormatting sqref="E15:F15">
    <cfRule type="notContainsBlanks" dxfId="131" priority="13">
      <formula>LEN(TRIM(E15))&gt;0</formula>
    </cfRule>
  </conditionalFormatting>
  <conditionalFormatting sqref="I15">
    <cfRule type="notContainsBlanks" dxfId="130" priority="12">
      <formula>LEN(TRIM(I15))&gt;0</formula>
    </cfRule>
  </conditionalFormatting>
  <conditionalFormatting sqref="Q11:AO11">
    <cfRule type="notContainsBlanks" dxfId="129" priority="11">
      <formula>LEN(TRIM(Q11))&gt;0</formula>
    </cfRule>
  </conditionalFormatting>
  <conditionalFormatting sqref="D10">
    <cfRule type="notContainsBlanks" dxfId="128" priority="10">
      <formula>LEN(TRIM(D10))&gt;0</formula>
    </cfRule>
  </conditionalFormatting>
  <conditionalFormatting sqref="E10">
    <cfRule type="notContainsBlanks" dxfId="127" priority="9">
      <formula>LEN(TRIM(E10))&gt;0</formula>
    </cfRule>
  </conditionalFormatting>
  <conditionalFormatting sqref="I10">
    <cfRule type="notContainsBlanks" dxfId="126" priority="8">
      <formula>LEN(TRIM(I10))&gt;0</formula>
    </cfRule>
  </conditionalFormatting>
  <conditionalFormatting sqref="C10">
    <cfRule type="notContainsBlanks" dxfId="125" priority="7">
      <formula>LEN(TRIM(C10))&gt;0</formula>
    </cfRule>
  </conditionalFormatting>
  <conditionalFormatting sqref="F10">
    <cfRule type="notContainsBlanks" dxfId="124" priority="6">
      <formula>LEN(TRIM(F10))&gt;0</formula>
    </cfRule>
  </conditionalFormatting>
  <conditionalFormatting sqref="G15">
    <cfRule type="notContainsBlanks" dxfId="123" priority="5">
      <formula>LEN(TRIM(G15))&gt;0</formula>
    </cfRule>
  </conditionalFormatting>
  <conditionalFormatting sqref="A1">
    <cfRule type="cellIs" dxfId="122" priority="3" operator="equal">
      <formula>TRUE</formula>
    </cfRule>
    <cfRule type="cellIs" dxfId="121" priority="4" operator="equal">
      <formula>FALSE</formula>
    </cfRule>
  </conditionalFormatting>
  <conditionalFormatting sqref="G10">
    <cfRule type="notContainsBlanks" dxfId="120" priority="2">
      <formula>LEN(TRIM(G10))&gt;0</formula>
    </cfRule>
  </conditionalFormatting>
  <conditionalFormatting sqref="C12">
    <cfRule type="expression" dxfId="119" priority="1">
      <formula>$M$16=TRUE</formula>
    </cfRule>
  </conditionalFormatting>
  <hyperlinks>
    <hyperlink ref="F1" location="Menu!A1" display="Back to Menu" xr:uid="{3BBABAD6-8212-4918-82B2-3AF5B9C8B372}"/>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_Update_review">
                <anchor moveWithCells="1">
                  <from>
                    <xdr:col>5</xdr:col>
                    <xdr:colOff>129540</xdr:colOff>
                    <xdr:row>3</xdr:row>
                    <xdr:rowOff>175260</xdr:rowOff>
                  </from>
                  <to>
                    <xdr:col>6</xdr:col>
                    <xdr:colOff>15240</xdr:colOff>
                    <xdr:row>5</xdr:row>
                    <xdr:rowOff>76200</xdr:rowOff>
                  </to>
                </anchor>
              </controlPr>
            </control>
          </mc:Choice>
        </mc:AlternateContent>
        <mc:AlternateContent xmlns:mc="http://schemas.openxmlformats.org/markup-compatibility/2006">
          <mc:Choice Requires="x14">
            <control shapeId="16386" r:id="rId5" name="Button 2">
              <controlPr defaultSize="0" print="0" autoFill="0" autoPict="0" macro="[0]!Clear_review_old">
                <anchor moveWithCells="1">
                  <from>
                    <xdr:col>6</xdr:col>
                    <xdr:colOff>243840</xdr:colOff>
                    <xdr:row>3</xdr:row>
                    <xdr:rowOff>175260</xdr:rowOff>
                  </from>
                  <to>
                    <xdr:col>7</xdr:col>
                    <xdr:colOff>213360</xdr:colOff>
                    <xdr:row>5</xdr:row>
                    <xdr:rowOff>91440</xdr:rowOff>
                  </to>
                </anchor>
              </controlPr>
            </control>
          </mc:Choice>
        </mc:AlternateContent>
        <mc:AlternateContent xmlns:mc="http://schemas.openxmlformats.org/markup-compatibility/2006">
          <mc:Choice Requires="x14">
            <control shapeId="16387" r:id="rId6" name="Button 3">
              <controlPr defaultSize="0" print="0" autoFill="0" autoPict="0" macro="[0]!Update_Reviewed">
                <anchor moveWithCells="1">
                  <from>
                    <xdr:col>8</xdr:col>
                    <xdr:colOff>1272540</xdr:colOff>
                    <xdr:row>3</xdr:row>
                    <xdr:rowOff>152400</xdr:rowOff>
                  </from>
                  <to>
                    <xdr:col>8</xdr:col>
                    <xdr:colOff>2194560</xdr:colOff>
                    <xdr:row>5</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F2D2490A-4FC2-4B5C-B9B2-E58F665325DB}">
          <x14:formula1>
            <xm:f>_xlfn.ANCHORARRAY(Lookups!$N$2)</xm:f>
          </x14:formula1>
          <xm:sqref>C6</xm:sqref>
        </x14:dataValidation>
        <x14:dataValidation type="list" allowBlank="1" showInputMessage="1" showErrorMessage="1" xr:uid="{B80D96E3-8F25-4923-BF31-113C327382F3}">
          <x14:formula1>
            <xm:f>_xlfn.ANCHORARRAY(Lookups!$O$2)</xm:f>
          </x14:formula1>
          <xm:sqref>C3</xm:sqref>
        </x14:dataValidation>
        <x14:dataValidation type="list" allowBlank="1" showInputMessage="1" showErrorMessage="1" xr:uid="{65EC8531-D3E2-454C-A213-D2058F0CF114}">
          <x14:formula1>
            <xm:f>_xlfn.ANCHORARRAY(Lookups!$M$2)</xm:f>
          </x14:formula1>
          <xm:sqref>C4 M8</xm:sqref>
        </x14:dataValidation>
        <x14:dataValidation type="list" allowBlank="1" showInputMessage="1" showErrorMessage="1" xr:uid="{18442A1F-76DF-4122-88FF-4A411E16ECBA}">
          <x14:formula1>
            <xm:f>Lookups!$R$2:$R$9</xm:f>
          </x14:formula1>
          <xm:sqref>C5</xm:sqref>
        </x14:dataValidation>
        <x14:dataValidation type="list" allowBlank="1" showInputMessage="1" showErrorMessage="1" xr:uid="{C6AB297F-E3F8-4B05-8078-E36852E4C3E4}">
          <x14:formula1>
            <xm:f>_xlfn.ANCHORARRAY(Lookups!$P$2)</xm:f>
          </x14:formula1>
          <xm:sqref>E11 M6</xm:sqref>
        </x14:dataValidation>
        <x14:dataValidation type="list" allowBlank="1" showInputMessage="1" showErrorMessage="1" xr:uid="{852CD8B0-56FE-4109-9E6B-F982511E7DAC}">
          <x14:formula1>
            <xm:f>_xlfn.ANCHORARRAY(Lookups!$K$2)</xm:f>
          </x14:formula1>
          <xm:sqref>G11 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35349-2276-45C6-A144-C92CA329BA57}">
  <sheetPr codeName="Sheet9"/>
  <dimension ref="A1:AG413"/>
  <sheetViews>
    <sheetView workbookViewId="0">
      <pane ySplit="1" topLeftCell="A408" activePane="bottomLeft" state="frozen"/>
      <selection pane="bottomLeft" activeCell="D9" sqref="D9"/>
    </sheetView>
  </sheetViews>
  <sheetFormatPr defaultRowHeight="14.45"/>
  <cols>
    <col min="1" max="1" width="19.140625" customWidth="1"/>
    <col min="2" max="2" width="17.140625" customWidth="1"/>
    <col min="3" max="4" width="10.42578125" customWidth="1"/>
    <col min="5" max="5" width="10.5703125" customWidth="1"/>
    <col min="6" max="6" width="22.5703125" customWidth="1"/>
    <col min="7" max="7" width="5.5703125" customWidth="1"/>
    <col min="8" max="8" width="6.85546875" customWidth="1"/>
    <col min="9" max="9" width="7" customWidth="1"/>
    <col min="10" max="10" width="5.5703125" customWidth="1"/>
    <col min="11" max="11" width="10.42578125" customWidth="1"/>
    <col min="12" max="12" width="8.28515625" customWidth="1"/>
    <col min="13" max="13" width="10.85546875" customWidth="1"/>
    <col min="14" max="14" width="9.42578125" customWidth="1"/>
    <col min="16" max="16" width="7.85546875" customWidth="1"/>
    <col min="17" max="17" width="29.140625" customWidth="1"/>
    <col min="18" max="18" width="7.7109375" customWidth="1"/>
    <col min="19" max="19" width="30.85546875" customWidth="1"/>
    <col min="20" max="20" width="7.85546875" customWidth="1"/>
    <col min="21" max="21" width="55.140625" customWidth="1"/>
    <col min="22" max="22" width="7.85546875" customWidth="1"/>
    <col min="23" max="24" width="55.140625" customWidth="1"/>
    <col min="25" max="25" width="19.28515625" customWidth="1"/>
    <col min="26" max="26" width="26" customWidth="1"/>
    <col min="27" max="27" width="20" customWidth="1"/>
    <col min="28" max="28" width="26.7109375" customWidth="1"/>
  </cols>
  <sheetData>
    <row r="1" spans="1:33" ht="15.6">
      <c r="A1" s="2" t="s">
        <v>44</v>
      </c>
      <c r="B1" s="2" t="s">
        <v>60</v>
      </c>
      <c r="C1" s="2" t="s">
        <v>61</v>
      </c>
      <c r="D1" s="2" t="s">
        <v>62</v>
      </c>
      <c r="E1" s="2" t="s">
        <v>63</v>
      </c>
      <c r="F1" s="2" t="s">
        <v>64</v>
      </c>
      <c r="G1" s="2" t="s">
        <v>65</v>
      </c>
      <c r="H1" s="2" t="s">
        <v>66</v>
      </c>
      <c r="I1" s="2" t="s">
        <v>36</v>
      </c>
      <c r="J1" s="2" t="s">
        <v>67</v>
      </c>
      <c r="K1" s="2" t="s">
        <v>23</v>
      </c>
      <c r="L1" s="2" t="s">
        <v>68</v>
      </c>
      <c r="M1" s="2" t="s">
        <v>69</v>
      </c>
      <c r="N1" s="2" t="s">
        <v>70</v>
      </c>
      <c r="O1" s="2" t="s">
        <v>71</v>
      </c>
      <c r="P1" s="2" t="s">
        <v>72</v>
      </c>
      <c r="Q1" s="2" t="s">
        <v>73</v>
      </c>
      <c r="R1" s="2" t="s">
        <v>74</v>
      </c>
      <c r="S1" s="2" t="s">
        <v>75</v>
      </c>
      <c r="T1" s="2" t="s">
        <v>76</v>
      </c>
      <c r="U1" s="2" t="s">
        <v>77</v>
      </c>
      <c r="V1" s="2" t="s">
        <v>78</v>
      </c>
      <c r="W1" s="2" t="s">
        <v>79</v>
      </c>
      <c r="X1" s="2" t="s">
        <v>80</v>
      </c>
      <c r="Y1" s="2" t="s">
        <v>81</v>
      </c>
      <c r="Z1" s="2" t="s">
        <v>82</v>
      </c>
      <c r="AA1" s="2" t="s">
        <v>83</v>
      </c>
      <c r="AB1" s="2" t="s">
        <v>84</v>
      </c>
      <c r="AC1" s="2" t="s">
        <v>85</v>
      </c>
      <c r="AD1" s="2" t="s">
        <v>86</v>
      </c>
      <c r="AE1" s="2" t="s">
        <v>87</v>
      </c>
      <c r="AG1" s="99" t="s">
        <v>88</v>
      </c>
    </row>
    <row r="2" spans="1:33" ht="15.6">
      <c r="B2" s="100" t="s">
        <v>89</v>
      </c>
      <c r="C2" t="s">
        <v>90</v>
      </c>
      <c r="D2" t="s">
        <v>91</v>
      </c>
      <c r="E2" t="s">
        <v>92</v>
      </c>
      <c r="F2" t="str">
        <f t="shared" ref="F2:F65" si="0">D2&amp;" "&amp;E2</f>
        <v>Kuldeep Kumar</v>
      </c>
      <c r="G2">
        <f>_xlfn.XLOOKUP(Table1[[#This Row],[Full Name ALL]],Contact[Full Name],Contact[Sequence],"Not Found")</f>
        <v>1</v>
      </c>
      <c r="H2" s="101" t="s">
        <v>93</v>
      </c>
      <c r="I2" s="2"/>
      <c r="J2" s="2"/>
      <c r="K2">
        <v>2021</v>
      </c>
      <c r="L2" t="s">
        <v>94</v>
      </c>
      <c r="M2" t="s">
        <v>95</v>
      </c>
      <c r="N2" t="s">
        <v>96</v>
      </c>
      <c r="O2" t="s">
        <v>97</v>
      </c>
      <c r="P2" s="27" t="s">
        <v>98</v>
      </c>
      <c r="Q2" s="27" t="s">
        <v>98</v>
      </c>
      <c r="R2" t="s">
        <v>99</v>
      </c>
      <c r="S2" s="102" t="s">
        <v>100</v>
      </c>
      <c r="T2" s="103" t="s">
        <v>101</v>
      </c>
      <c r="Z2" t="s">
        <v>102</v>
      </c>
      <c r="AA2" t="s">
        <v>103</v>
      </c>
      <c r="AG2" s="99"/>
    </row>
    <row r="3" spans="1:33" ht="15.6">
      <c r="A3" s="100" t="s">
        <v>104</v>
      </c>
      <c r="B3" s="100" t="s">
        <v>89</v>
      </c>
      <c r="C3" t="s">
        <v>105</v>
      </c>
      <c r="D3" t="s">
        <v>106</v>
      </c>
      <c r="E3" t="s">
        <v>107</v>
      </c>
      <c r="F3" t="str">
        <f t="shared" si="0"/>
        <v>Kanika Pasricha</v>
      </c>
      <c r="G3">
        <f>_xlfn.XLOOKUP(Table1[[#This Row],[Full Name ALL]],Contact[Full Name],Contact[Sequence],"Not Found")</f>
        <v>1</v>
      </c>
      <c r="H3" s="1" t="s">
        <v>108</v>
      </c>
      <c r="I3" s="5" t="s">
        <v>109</v>
      </c>
      <c r="J3" s="2"/>
      <c r="K3" s="100">
        <v>2021</v>
      </c>
      <c r="L3" t="s">
        <v>110</v>
      </c>
      <c r="M3" t="s">
        <v>95</v>
      </c>
      <c r="O3" t="s">
        <v>97</v>
      </c>
      <c r="P3" t="s">
        <v>98</v>
      </c>
      <c r="Q3" t="s">
        <v>98</v>
      </c>
      <c r="R3" t="s">
        <v>111</v>
      </c>
      <c r="S3" s="2"/>
      <c r="T3" s="2"/>
      <c r="U3" s="2"/>
      <c r="V3" s="2"/>
      <c r="W3" s="2"/>
      <c r="X3" s="2"/>
      <c r="Y3" s="2"/>
      <c r="Z3" s="2"/>
      <c r="AA3" s="2"/>
      <c r="AB3" s="2"/>
      <c r="AC3" s="2"/>
      <c r="AD3" s="2"/>
      <c r="AE3" s="2"/>
      <c r="AG3" s="99"/>
    </row>
    <row r="4" spans="1:33" ht="15" customHeight="1">
      <c r="A4" s="104" t="s">
        <v>112</v>
      </c>
      <c r="B4" s="100" t="s">
        <v>89</v>
      </c>
      <c r="C4" t="s">
        <v>113</v>
      </c>
      <c r="D4" t="s">
        <v>114</v>
      </c>
      <c r="E4" t="s">
        <v>115</v>
      </c>
      <c r="F4" t="str">
        <f t="shared" si="0"/>
        <v>Anurag Thakwani</v>
      </c>
      <c r="G4">
        <f>_xlfn.XLOOKUP(Table1[[#This Row],[Full Name ALL]],Contact[Full Name],Contact[Sequence],"Not Found")</f>
        <v>1</v>
      </c>
      <c r="H4" s="105" t="s">
        <v>116</v>
      </c>
      <c r="I4" s="106" t="s">
        <v>117</v>
      </c>
      <c r="J4" s="2"/>
      <c r="K4" s="100">
        <v>2021</v>
      </c>
      <c r="M4" t="s">
        <v>95</v>
      </c>
      <c r="O4" t="s">
        <v>97</v>
      </c>
      <c r="P4" t="s">
        <v>98</v>
      </c>
      <c r="Q4" t="s">
        <v>98</v>
      </c>
      <c r="R4" t="s">
        <v>118</v>
      </c>
      <c r="S4" t="s">
        <v>119</v>
      </c>
      <c r="T4" t="s">
        <v>120</v>
      </c>
      <c r="U4" s="2"/>
      <c r="V4" s="2"/>
      <c r="W4" s="2"/>
      <c r="X4" s="2"/>
      <c r="Y4" s="2"/>
      <c r="Z4" s="2"/>
      <c r="AA4" s="2"/>
      <c r="AB4" s="2"/>
      <c r="AC4" s="2"/>
      <c r="AD4" s="2"/>
      <c r="AE4" s="2"/>
    </row>
    <row r="5" spans="1:33">
      <c r="A5" s="100" t="s">
        <v>121</v>
      </c>
      <c r="B5" s="100" t="s">
        <v>122</v>
      </c>
      <c r="C5" t="s">
        <v>123</v>
      </c>
      <c r="D5" t="s">
        <v>124</v>
      </c>
      <c r="E5" t="s">
        <v>125</v>
      </c>
      <c r="F5" t="str">
        <f t="shared" si="0"/>
        <v>Muhammad Hasan Shakil</v>
      </c>
      <c r="G5">
        <f>_xlfn.XLOOKUP(Table1[[#This Row],[Full Name ALL]],Contact[Full Name],Contact[Sequence],"Not Found")</f>
        <v>1</v>
      </c>
      <c r="H5" s="1" t="s">
        <v>126</v>
      </c>
      <c r="I5" s="5" t="s">
        <v>127</v>
      </c>
      <c r="J5" s="2"/>
      <c r="K5" s="100">
        <v>2021</v>
      </c>
      <c r="M5" t="s">
        <v>95</v>
      </c>
      <c r="O5" t="s">
        <v>97</v>
      </c>
      <c r="P5" t="s">
        <v>98</v>
      </c>
      <c r="Q5" t="s">
        <v>98</v>
      </c>
      <c r="R5" t="s">
        <v>128</v>
      </c>
      <c r="S5" s="2"/>
      <c r="T5" s="2"/>
      <c r="U5" s="2"/>
      <c r="V5" s="2"/>
      <c r="W5" s="2"/>
      <c r="X5" s="2"/>
      <c r="Y5" s="2"/>
      <c r="Z5" s="2"/>
      <c r="AA5" s="2"/>
      <c r="AB5" s="2"/>
      <c r="AC5" s="2"/>
      <c r="AD5" s="2"/>
      <c r="AE5" s="2"/>
    </row>
    <row r="6" spans="1:33">
      <c r="B6" s="100" t="s">
        <v>89</v>
      </c>
      <c r="C6" t="s">
        <v>105</v>
      </c>
      <c r="D6" t="s">
        <v>129</v>
      </c>
      <c r="E6" t="s">
        <v>130</v>
      </c>
      <c r="F6" t="str">
        <f t="shared" si="0"/>
        <v>Rashmi Patil</v>
      </c>
      <c r="G6">
        <f>_xlfn.XLOOKUP(Table1[[#This Row],[Full Name ALL]],Contact[Full Name],Contact[Sequence],"Not Found")</f>
        <v>1</v>
      </c>
      <c r="H6" s="101" t="s">
        <v>131</v>
      </c>
      <c r="I6" s="5" t="s">
        <v>132</v>
      </c>
      <c r="K6">
        <v>2021</v>
      </c>
      <c r="L6" t="s">
        <v>133</v>
      </c>
      <c r="M6" t="s">
        <v>95</v>
      </c>
      <c r="N6" t="s">
        <v>96</v>
      </c>
      <c r="O6" t="s">
        <v>97</v>
      </c>
      <c r="Q6" t="s">
        <v>134</v>
      </c>
      <c r="R6" t="s">
        <v>135</v>
      </c>
    </row>
    <row r="7" spans="1:33">
      <c r="B7" s="100" t="s">
        <v>89</v>
      </c>
      <c r="C7" t="s">
        <v>105</v>
      </c>
      <c r="D7" t="s">
        <v>136</v>
      </c>
      <c r="E7" t="s">
        <v>137</v>
      </c>
      <c r="F7" t="str">
        <f t="shared" si="0"/>
        <v>Varun Kaushik</v>
      </c>
      <c r="G7">
        <f>_xlfn.XLOOKUP(Table1[[#This Row],[Full Name ALL]],Contact[Full Name],Contact[Sequence],"Not Found")</f>
        <v>1</v>
      </c>
      <c r="H7" t="s">
        <v>138</v>
      </c>
      <c r="I7" s="5" t="s">
        <v>139</v>
      </c>
      <c r="J7" t="s">
        <v>140</v>
      </c>
      <c r="K7">
        <v>2021</v>
      </c>
      <c r="L7" t="s">
        <v>141</v>
      </c>
      <c r="M7" t="s">
        <v>95</v>
      </c>
      <c r="N7" t="s">
        <v>97</v>
      </c>
      <c r="P7" s="101"/>
    </row>
    <row r="8" spans="1:33" ht="14.45" customHeight="1">
      <c r="A8" s="104" t="s">
        <v>112</v>
      </c>
      <c r="B8" s="104" t="s">
        <v>142</v>
      </c>
      <c r="C8" t="s">
        <v>143</v>
      </c>
      <c r="D8" t="s">
        <v>144</v>
      </c>
      <c r="E8" t="s">
        <v>145</v>
      </c>
      <c r="F8" t="str">
        <f t="shared" si="0"/>
        <v>Ajay Nair</v>
      </c>
      <c r="G8">
        <f>_xlfn.XLOOKUP(Table1[[#This Row],[Full Name ALL]],Contact[Full Name],Contact[Sequence],"Not Found")</f>
        <v>1</v>
      </c>
      <c r="H8" s="101" t="s">
        <v>146</v>
      </c>
      <c r="J8" t="s">
        <v>147</v>
      </c>
      <c r="K8">
        <v>2021</v>
      </c>
      <c r="L8" t="s">
        <v>148</v>
      </c>
      <c r="N8" t="s">
        <v>97</v>
      </c>
      <c r="O8" t="s">
        <v>149</v>
      </c>
      <c r="R8" t="s">
        <v>150</v>
      </c>
      <c r="Z8" t="s">
        <v>102</v>
      </c>
      <c r="AA8" t="s">
        <v>151</v>
      </c>
    </row>
    <row r="9" spans="1:33" ht="15.75" customHeight="1">
      <c r="A9" s="107" t="s">
        <v>152</v>
      </c>
      <c r="B9" s="108" t="s">
        <v>153</v>
      </c>
      <c r="C9" t="s">
        <v>90</v>
      </c>
      <c r="D9" t="s">
        <v>154</v>
      </c>
      <c r="E9" t="s">
        <v>155</v>
      </c>
      <c r="F9" t="str">
        <f t="shared" si="0"/>
        <v>Pranav Potbhare</v>
      </c>
      <c r="G9">
        <f>_xlfn.XLOOKUP(Table1[[#This Row],[Full Name ALL]],Contact[Full Name],Contact[Sequence],"Not Found")</f>
        <v>1</v>
      </c>
      <c r="H9" t="s">
        <v>156</v>
      </c>
      <c r="I9" s="5" t="s">
        <v>157</v>
      </c>
      <c r="J9" s="101" t="s">
        <v>158</v>
      </c>
      <c r="K9">
        <v>2020</v>
      </c>
      <c r="L9" t="s">
        <v>141</v>
      </c>
      <c r="M9" t="s">
        <v>95</v>
      </c>
      <c r="N9" t="s">
        <v>96</v>
      </c>
      <c r="O9" t="s">
        <v>159</v>
      </c>
      <c r="P9" s="101"/>
      <c r="Q9" t="s">
        <v>102</v>
      </c>
      <c r="R9" t="s">
        <v>160</v>
      </c>
      <c r="S9" t="s">
        <v>98</v>
      </c>
      <c r="T9" t="s">
        <v>161</v>
      </c>
      <c r="U9" t="s">
        <v>95</v>
      </c>
      <c r="V9" t="s">
        <v>162</v>
      </c>
      <c r="W9" t="s">
        <v>100</v>
      </c>
      <c r="X9" s="109" t="s">
        <v>163</v>
      </c>
    </row>
    <row r="10" spans="1:33" ht="15" customHeight="1">
      <c r="A10" s="107" t="s">
        <v>152</v>
      </c>
      <c r="B10" s="108" t="s">
        <v>153</v>
      </c>
      <c r="C10" t="s">
        <v>164</v>
      </c>
      <c r="D10" t="s">
        <v>165</v>
      </c>
      <c r="E10" t="s">
        <v>166</v>
      </c>
      <c r="F10" t="str">
        <f t="shared" si="0"/>
        <v>Sumit  Narang</v>
      </c>
      <c r="G10">
        <f>_xlfn.XLOOKUP(Table1[[#This Row],[Full Name ALL]],Contact[Full Name],Contact[Sequence],"Not Found")</f>
        <v>1</v>
      </c>
      <c r="H10" s="101" t="s">
        <v>167</v>
      </c>
      <c r="I10" s="110" t="s">
        <v>168</v>
      </c>
      <c r="J10" t="s">
        <v>169</v>
      </c>
      <c r="K10">
        <v>2020</v>
      </c>
      <c r="L10" t="s">
        <v>170</v>
      </c>
      <c r="M10" t="s">
        <v>95</v>
      </c>
      <c r="N10" t="s">
        <v>96</v>
      </c>
      <c r="O10" t="s">
        <v>159</v>
      </c>
      <c r="P10" s="101"/>
      <c r="Q10" t="s">
        <v>102</v>
      </c>
      <c r="R10" t="s">
        <v>171</v>
      </c>
      <c r="S10" t="s">
        <v>95</v>
      </c>
      <c r="T10" t="s">
        <v>172</v>
      </c>
      <c r="U10" s="102" t="s">
        <v>173</v>
      </c>
      <c r="V10" s="103" t="s">
        <v>174</v>
      </c>
      <c r="W10" s="103"/>
      <c r="X10" s="103"/>
      <c r="Y10" s="103"/>
    </row>
    <row r="11" spans="1:33">
      <c r="A11" s="111" t="s">
        <v>175</v>
      </c>
      <c r="B11" s="112" t="s">
        <v>176</v>
      </c>
      <c r="C11" t="s">
        <v>164</v>
      </c>
      <c r="D11" t="s">
        <v>177</v>
      </c>
      <c r="E11" t="s">
        <v>178</v>
      </c>
      <c r="F11" t="str">
        <f t="shared" si="0"/>
        <v>Ghanshyam Devnani</v>
      </c>
      <c r="G11">
        <f>_xlfn.XLOOKUP(Table1[[#This Row],[Full Name ALL]],Contact[Full Name],Contact[Sequence],"Not Found")</f>
        <v>1</v>
      </c>
      <c r="H11" s="101" t="s">
        <v>179</v>
      </c>
      <c r="I11" s="5" t="s">
        <v>180</v>
      </c>
      <c r="K11">
        <v>2020</v>
      </c>
      <c r="L11" t="s">
        <v>181</v>
      </c>
      <c r="M11" t="s">
        <v>95</v>
      </c>
      <c r="N11" t="s">
        <v>96</v>
      </c>
      <c r="P11" s="101"/>
      <c r="Q11" s="112" t="s">
        <v>95</v>
      </c>
      <c r="R11" t="s">
        <v>182</v>
      </c>
      <c r="S11" t="s">
        <v>98</v>
      </c>
      <c r="T11" t="s">
        <v>183</v>
      </c>
    </row>
    <row r="12" spans="1:33" ht="15" customHeight="1">
      <c r="A12" s="104" t="s">
        <v>112</v>
      </c>
      <c r="B12" s="112" t="s">
        <v>184</v>
      </c>
      <c r="C12" t="s">
        <v>185</v>
      </c>
      <c r="D12" t="s">
        <v>186</v>
      </c>
      <c r="E12" t="s">
        <v>187</v>
      </c>
      <c r="F12" t="str">
        <f t="shared" si="0"/>
        <v>Muhammad Arslan</v>
      </c>
      <c r="G12">
        <f>_xlfn.XLOOKUP(Table1[[#This Row],[Full Name ALL]],Contact[Full Name],Contact[Sequence],"Not Found")</f>
        <v>1</v>
      </c>
      <c r="H12" s="101" t="s">
        <v>188</v>
      </c>
      <c r="I12" s="5" t="s">
        <v>189</v>
      </c>
      <c r="K12">
        <v>2020</v>
      </c>
      <c r="L12" t="s">
        <v>141</v>
      </c>
      <c r="M12" t="s">
        <v>95</v>
      </c>
      <c r="N12" t="s">
        <v>190</v>
      </c>
      <c r="O12" t="s">
        <v>159</v>
      </c>
      <c r="P12" t="s">
        <v>100</v>
      </c>
      <c r="Q12" s="102" t="s">
        <v>100</v>
      </c>
      <c r="R12" s="103" t="s">
        <v>191</v>
      </c>
      <c r="Z12" t="s">
        <v>98</v>
      </c>
      <c r="AA12" t="s">
        <v>192</v>
      </c>
    </row>
    <row r="13" spans="1:33">
      <c r="A13" s="113" t="s">
        <v>112</v>
      </c>
      <c r="B13" s="112"/>
      <c r="C13" t="s">
        <v>193</v>
      </c>
      <c r="D13" t="s">
        <v>194</v>
      </c>
      <c r="E13" t="s">
        <v>195</v>
      </c>
      <c r="F13" t="str">
        <f t="shared" si="0"/>
        <v>Manu Lakshmanan</v>
      </c>
      <c r="G13">
        <f>_xlfn.XLOOKUP(Table1[[#This Row],[Full Name ALL]],Contact[Full Name],Contact[Sequence],"Not Found")</f>
        <v>1</v>
      </c>
      <c r="H13" s="114" t="s">
        <v>196</v>
      </c>
      <c r="I13" s="5"/>
      <c r="K13">
        <v>2020</v>
      </c>
      <c r="L13" t="s">
        <v>133</v>
      </c>
      <c r="M13" t="s">
        <v>95</v>
      </c>
      <c r="N13" t="s">
        <v>96</v>
      </c>
      <c r="O13" t="s">
        <v>159</v>
      </c>
      <c r="P13" t="s">
        <v>100</v>
      </c>
      <c r="Q13" s="102" t="s">
        <v>100</v>
      </c>
      <c r="R13" s="103" t="s">
        <v>197</v>
      </c>
    </row>
    <row r="14" spans="1:33">
      <c r="A14" s="104" t="s">
        <v>112</v>
      </c>
      <c r="B14" s="112" t="s">
        <v>175</v>
      </c>
      <c r="C14" t="s">
        <v>185</v>
      </c>
      <c r="D14" t="s">
        <v>198</v>
      </c>
      <c r="E14" t="s">
        <v>199</v>
      </c>
      <c r="F14" t="str">
        <f t="shared" si="0"/>
        <v>Suneet Khanna</v>
      </c>
      <c r="G14">
        <f>_xlfn.XLOOKUP(Table1[[#This Row],[Full Name ALL]],Contact[Full Name],Contact[Sequence],"Not Found")</f>
        <v>1</v>
      </c>
      <c r="H14" t="s">
        <v>200</v>
      </c>
      <c r="J14" t="s">
        <v>201</v>
      </c>
      <c r="K14">
        <v>2020</v>
      </c>
      <c r="L14" t="s">
        <v>202</v>
      </c>
      <c r="M14" t="s">
        <v>95</v>
      </c>
      <c r="N14" t="s">
        <v>96</v>
      </c>
      <c r="O14" t="s">
        <v>203</v>
      </c>
      <c r="P14" t="s">
        <v>100</v>
      </c>
      <c r="Q14" t="s">
        <v>100</v>
      </c>
      <c r="Z14" t="s">
        <v>102</v>
      </c>
      <c r="AA14" t="s">
        <v>204</v>
      </c>
      <c r="AB14" t="s">
        <v>95</v>
      </c>
      <c r="AC14" t="s">
        <v>205</v>
      </c>
      <c r="AD14" t="s">
        <v>206</v>
      </c>
    </row>
    <row r="15" spans="1:33">
      <c r="A15" s="104" t="s">
        <v>112</v>
      </c>
      <c r="B15" t="s">
        <v>207</v>
      </c>
      <c r="C15" t="s">
        <v>185</v>
      </c>
      <c r="D15" t="s">
        <v>208</v>
      </c>
      <c r="E15" t="s">
        <v>209</v>
      </c>
      <c r="F15" t="str">
        <f t="shared" si="0"/>
        <v>Aakash Jhaveri</v>
      </c>
      <c r="G15">
        <f>_xlfn.XLOOKUP(Table1[[#This Row],[Full Name ALL]],Contact[Full Name],Contact[Sequence],"Not Found")</f>
        <v>1</v>
      </c>
      <c r="H15" s="101" t="s">
        <v>210</v>
      </c>
      <c r="I15" s="5" t="s">
        <v>211</v>
      </c>
      <c r="J15" t="s">
        <v>212</v>
      </c>
      <c r="K15">
        <v>2020</v>
      </c>
      <c r="L15" t="s">
        <v>141</v>
      </c>
      <c r="M15" t="s">
        <v>95</v>
      </c>
      <c r="N15" t="s">
        <v>96</v>
      </c>
      <c r="O15" t="s">
        <v>213</v>
      </c>
      <c r="P15" t="s">
        <v>100</v>
      </c>
      <c r="Z15" t="s">
        <v>102</v>
      </c>
      <c r="AA15" t="s">
        <v>214</v>
      </c>
    </row>
    <row r="16" spans="1:33">
      <c r="A16" s="115" t="s">
        <v>215</v>
      </c>
      <c r="B16" s="112" t="s">
        <v>216</v>
      </c>
      <c r="C16" t="s">
        <v>105</v>
      </c>
      <c r="D16" t="s">
        <v>217</v>
      </c>
      <c r="E16" t="s">
        <v>218</v>
      </c>
      <c r="F16" t="str">
        <f t="shared" si="0"/>
        <v>Harish Yadav</v>
      </c>
      <c r="G16">
        <f>_xlfn.XLOOKUP(Table1[[#This Row],[Full Name ALL]],Contact[Full Name],Contact[Sequence],"Not Found")</f>
        <v>1</v>
      </c>
      <c r="H16" s="101" t="s">
        <v>219</v>
      </c>
      <c r="I16" s="5" t="s">
        <v>220</v>
      </c>
      <c r="J16" t="s">
        <v>221</v>
      </c>
      <c r="K16">
        <v>2020</v>
      </c>
      <c r="L16" t="s">
        <v>222</v>
      </c>
      <c r="M16" t="s">
        <v>95</v>
      </c>
      <c r="N16" t="s">
        <v>96</v>
      </c>
      <c r="P16" s="100" t="s">
        <v>95</v>
      </c>
    </row>
    <row r="17" spans="1:30">
      <c r="A17" s="115" t="s">
        <v>215</v>
      </c>
      <c r="B17" s="112" t="s">
        <v>216</v>
      </c>
      <c r="C17" t="s">
        <v>90</v>
      </c>
      <c r="D17" t="s">
        <v>223</v>
      </c>
      <c r="E17" t="s">
        <v>224</v>
      </c>
      <c r="F17" t="str">
        <f t="shared" si="0"/>
        <v>Subhronil Ghosh</v>
      </c>
      <c r="G17">
        <f>_xlfn.XLOOKUP(Table1[[#This Row],[Full Name ALL]],Contact[Full Name],Contact[Sequence],"Not Found")</f>
        <v>1</v>
      </c>
      <c r="H17" s="101" t="s">
        <v>225</v>
      </c>
      <c r="I17" s="101"/>
      <c r="J17" t="s">
        <v>226</v>
      </c>
      <c r="K17">
        <v>2020</v>
      </c>
      <c r="L17" t="s">
        <v>227</v>
      </c>
      <c r="M17" t="s">
        <v>95</v>
      </c>
      <c r="N17" t="s">
        <v>96</v>
      </c>
      <c r="O17" t="s">
        <v>228</v>
      </c>
      <c r="P17" s="100" t="s">
        <v>95</v>
      </c>
      <c r="Z17" t="s">
        <v>102</v>
      </c>
      <c r="AA17" t="s">
        <v>229</v>
      </c>
    </row>
    <row r="18" spans="1:30">
      <c r="A18" s="104" t="s">
        <v>112</v>
      </c>
      <c r="B18" s="112"/>
      <c r="C18" t="s">
        <v>105</v>
      </c>
      <c r="D18" t="s">
        <v>230</v>
      </c>
      <c r="E18" t="s">
        <v>231</v>
      </c>
      <c r="F18" t="str">
        <f t="shared" si="0"/>
        <v>Qianqian Zhao</v>
      </c>
      <c r="G18">
        <f>_xlfn.XLOOKUP(Table1[[#This Row],[Full Name ALL]],Contact[Full Name],Contact[Sequence],"Not Found")</f>
        <v>1</v>
      </c>
      <c r="H18" s="101" t="s">
        <v>232</v>
      </c>
      <c r="I18" s="5"/>
      <c r="K18">
        <v>2020</v>
      </c>
      <c r="L18" t="s">
        <v>233</v>
      </c>
      <c r="M18" t="s">
        <v>95</v>
      </c>
      <c r="N18" t="s">
        <v>96</v>
      </c>
      <c r="O18" t="s">
        <v>159</v>
      </c>
      <c r="P18" s="100" t="s">
        <v>95</v>
      </c>
      <c r="Q18" t="s">
        <v>95</v>
      </c>
      <c r="R18" t="s">
        <v>234</v>
      </c>
      <c r="Z18" t="s">
        <v>102</v>
      </c>
      <c r="AA18" t="s">
        <v>235</v>
      </c>
    </row>
    <row r="19" spans="1:30">
      <c r="A19" s="104" t="s">
        <v>112</v>
      </c>
      <c r="B19" s="112" t="s">
        <v>236</v>
      </c>
      <c r="C19" t="s">
        <v>164</v>
      </c>
      <c r="D19" t="s">
        <v>237</v>
      </c>
      <c r="E19" t="s">
        <v>238</v>
      </c>
      <c r="F19" t="str">
        <f t="shared" si="0"/>
        <v>Komal Agarwal</v>
      </c>
      <c r="G19">
        <f>_xlfn.XLOOKUP(Table1[[#This Row],[Full Name ALL]],Contact[Full Name],Contact[Sequence],"Not Found")</f>
        <v>1</v>
      </c>
      <c r="H19" s="101" t="s">
        <v>239</v>
      </c>
      <c r="I19" s="5"/>
      <c r="J19" s="101" t="s">
        <v>240</v>
      </c>
      <c r="K19">
        <v>2020</v>
      </c>
      <c r="L19" s="101" t="s">
        <v>241</v>
      </c>
      <c r="M19" t="s">
        <v>95</v>
      </c>
      <c r="N19" t="s">
        <v>96</v>
      </c>
      <c r="O19" t="s">
        <v>159</v>
      </c>
      <c r="P19" s="100" t="s">
        <v>95</v>
      </c>
      <c r="Q19" t="s">
        <v>102</v>
      </c>
      <c r="R19" t="s">
        <v>242</v>
      </c>
      <c r="S19" t="s">
        <v>95</v>
      </c>
      <c r="T19" t="s">
        <v>243</v>
      </c>
    </row>
    <row r="20" spans="1:30">
      <c r="A20" s="115" t="s">
        <v>215</v>
      </c>
      <c r="B20" t="s">
        <v>244</v>
      </c>
      <c r="C20" t="s">
        <v>90</v>
      </c>
      <c r="D20" t="s">
        <v>245</v>
      </c>
      <c r="E20" t="s">
        <v>246</v>
      </c>
      <c r="F20" t="str">
        <f t="shared" si="0"/>
        <v>Amit Garg</v>
      </c>
      <c r="G20">
        <f>_xlfn.XLOOKUP(Table1[[#This Row],[Full Name ALL]],Contact[Full Name],Contact[Sequence],"Not Found")</f>
        <v>1</v>
      </c>
      <c r="H20" s="101" t="s">
        <v>247</v>
      </c>
      <c r="I20" s="101"/>
      <c r="J20" s="101" t="s">
        <v>248</v>
      </c>
      <c r="K20">
        <v>2020</v>
      </c>
      <c r="L20" t="s">
        <v>141</v>
      </c>
      <c r="M20" t="s">
        <v>95</v>
      </c>
      <c r="N20" t="s">
        <v>96</v>
      </c>
      <c r="O20" t="s">
        <v>249</v>
      </c>
      <c r="P20" s="100" t="s">
        <v>98</v>
      </c>
      <c r="Q20" t="s">
        <v>102</v>
      </c>
      <c r="R20" t="s">
        <v>250</v>
      </c>
      <c r="S20" t="s">
        <v>98</v>
      </c>
      <c r="T20" t="s">
        <v>251</v>
      </c>
      <c r="U20" t="s">
        <v>95</v>
      </c>
      <c r="V20" t="s">
        <v>252</v>
      </c>
    </row>
    <row r="21" spans="1:30">
      <c r="A21" s="104" t="s">
        <v>112</v>
      </c>
      <c r="B21" t="s">
        <v>253</v>
      </c>
      <c r="C21" t="s">
        <v>185</v>
      </c>
      <c r="D21" t="s">
        <v>254</v>
      </c>
      <c r="E21" t="s">
        <v>255</v>
      </c>
      <c r="F21" t="str">
        <f t="shared" si="0"/>
        <v>Jing Wang</v>
      </c>
      <c r="G21">
        <f>_xlfn.XLOOKUP(Table1[[#This Row],[Full Name ALL]],Contact[Full Name],Contact[Sequence],"Not Found")</f>
        <v>1</v>
      </c>
      <c r="H21" s="101" t="s">
        <v>256</v>
      </c>
      <c r="I21" s="5"/>
      <c r="K21">
        <v>2020</v>
      </c>
      <c r="L21" t="s">
        <v>133</v>
      </c>
      <c r="M21" t="s">
        <v>95</v>
      </c>
      <c r="N21" t="s">
        <v>96</v>
      </c>
      <c r="O21" t="s">
        <v>159</v>
      </c>
      <c r="P21" s="100" t="s">
        <v>98</v>
      </c>
      <c r="Q21" t="s">
        <v>98</v>
      </c>
      <c r="R21" t="s">
        <v>257</v>
      </c>
    </row>
    <row r="22" spans="1:30">
      <c r="A22" s="115" t="s">
        <v>215</v>
      </c>
      <c r="B22" t="s">
        <v>258</v>
      </c>
      <c r="C22" t="s">
        <v>193</v>
      </c>
      <c r="D22" t="s">
        <v>259</v>
      </c>
      <c r="E22" t="s">
        <v>260</v>
      </c>
      <c r="F22" t="str">
        <f t="shared" si="0"/>
        <v>Puneet Jain</v>
      </c>
      <c r="G22">
        <f>_xlfn.XLOOKUP(Table1[[#This Row],[Full Name ALL]],Contact[Full Name],Contact[Sequence],"Not Found")</f>
        <v>1</v>
      </c>
      <c r="H22" s="101" t="s">
        <v>261</v>
      </c>
      <c r="I22" s="110" t="s">
        <v>262</v>
      </c>
      <c r="K22">
        <v>2020</v>
      </c>
      <c r="L22" t="s">
        <v>133</v>
      </c>
      <c r="M22" t="s">
        <v>95</v>
      </c>
      <c r="N22" t="s">
        <v>96</v>
      </c>
      <c r="O22" t="s">
        <v>159</v>
      </c>
      <c r="P22" s="100" t="s">
        <v>102</v>
      </c>
      <c r="Q22" t="s">
        <v>102</v>
      </c>
      <c r="R22" t="s">
        <v>263</v>
      </c>
      <c r="S22" t="s">
        <v>264</v>
      </c>
    </row>
    <row r="23" spans="1:30">
      <c r="A23" s="115" t="s">
        <v>265</v>
      </c>
      <c r="B23" t="s">
        <v>266</v>
      </c>
      <c r="C23" t="s">
        <v>90</v>
      </c>
      <c r="D23" t="s">
        <v>267</v>
      </c>
      <c r="E23" t="s">
        <v>268</v>
      </c>
      <c r="F23" t="str">
        <f t="shared" si="0"/>
        <v>Kinshuk Kocher</v>
      </c>
      <c r="G23">
        <f>_xlfn.XLOOKUP(Table1[[#This Row],[Full Name ALL]],Contact[Full Name],Contact[Sequence],"Not Found")</f>
        <v>1</v>
      </c>
      <c r="H23" t="s">
        <v>269</v>
      </c>
      <c r="I23" s="5" t="s">
        <v>270</v>
      </c>
      <c r="J23" t="s">
        <v>271</v>
      </c>
      <c r="K23">
        <v>2020</v>
      </c>
      <c r="L23" t="s">
        <v>141</v>
      </c>
      <c r="M23" t="s">
        <v>95</v>
      </c>
      <c r="N23" t="s">
        <v>96</v>
      </c>
      <c r="O23" t="s">
        <v>272</v>
      </c>
      <c r="P23" s="100" t="s">
        <v>102</v>
      </c>
      <c r="Q23" t="s">
        <v>102</v>
      </c>
      <c r="R23" t="s">
        <v>273</v>
      </c>
    </row>
    <row r="24" spans="1:30">
      <c r="A24" s="104" t="s">
        <v>112</v>
      </c>
      <c r="C24" t="s">
        <v>90</v>
      </c>
      <c r="D24" t="s">
        <v>274</v>
      </c>
      <c r="E24" t="s">
        <v>275</v>
      </c>
      <c r="F24" t="str">
        <f t="shared" si="0"/>
        <v>Ben Sun</v>
      </c>
      <c r="G24">
        <f>_xlfn.XLOOKUP(Table1[[#This Row],[Full Name ALL]],Contact[Full Name],Contact[Sequence],"Not Found")</f>
        <v>1</v>
      </c>
      <c r="H24" s="101" t="s">
        <v>276</v>
      </c>
      <c r="I24" t="s">
        <v>277</v>
      </c>
      <c r="J24" t="s">
        <v>278</v>
      </c>
      <c r="K24">
        <v>2020</v>
      </c>
      <c r="L24" t="s">
        <v>279</v>
      </c>
      <c r="M24" t="s">
        <v>95</v>
      </c>
      <c r="N24" t="s">
        <v>96</v>
      </c>
      <c r="O24" t="s">
        <v>159</v>
      </c>
      <c r="P24" s="100" t="s">
        <v>102</v>
      </c>
      <c r="Q24" t="s">
        <v>102</v>
      </c>
      <c r="R24" t="s">
        <v>280</v>
      </c>
      <c r="S24" s="102" t="s">
        <v>100</v>
      </c>
      <c r="T24" t="s">
        <v>281</v>
      </c>
    </row>
    <row r="25" spans="1:30">
      <c r="A25" s="104" t="s">
        <v>112</v>
      </c>
      <c r="C25" t="s">
        <v>90</v>
      </c>
      <c r="D25" t="s">
        <v>282</v>
      </c>
      <c r="E25" t="s">
        <v>283</v>
      </c>
      <c r="F25" t="str">
        <f t="shared" si="0"/>
        <v>Nikhil Menon</v>
      </c>
      <c r="G25">
        <f>_xlfn.XLOOKUP(Table1[[#This Row],[Full Name ALL]],Contact[Full Name],Contact[Sequence],"Not Found")</f>
        <v>1</v>
      </c>
      <c r="H25" s="101" t="s">
        <v>284</v>
      </c>
      <c r="I25" s="101"/>
      <c r="J25" t="s">
        <v>285</v>
      </c>
      <c r="K25">
        <v>2020</v>
      </c>
      <c r="L25" t="s">
        <v>141</v>
      </c>
      <c r="M25" t="s">
        <v>95</v>
      </c>
      <c r="N25" t="s">
        <v>96</v>
      </c>
      <c r="O25" t="s">
        <v>159</v>
      </c>
      <c r="P25" s="100" t="s">
        <v>102</v>
      </c>
      <c r="Q25" t="s">
        <v>102</v>
      </c>
      <c r="R25" t="s">
        <v>286</v>
      </c>
    </row>
    <row r="26" spans="1:30">
      <c r="A26" s="104" t="s">
        <v>112</v>
      </c>
      <c r="B26" s="108" t="s">
        <v>153</v>
      </c>
      <c r="C26" t="s">
        <v>123</v>
      </c>
      <c r="D26" t="s">
        <v>287</v>
      </c>
      <c r="E26" t="s">
        <v>186</v>
      </c>
      <c r="F26" t="str">
        <f t="shared" si="0"/>
        <v>Asad Abdul Muhammad</v>
      </c>
      <c r="G26">
        <f>_xlfn.XLOOKUP(Table1[[#This Row],[Full Name ALL]],Contact[Full Name],Contact[Sequence],"Not Found")</f>
        <v>1</v>
      </c>
      <c r="H26" s="101" t="s">
        <v>288</v>
      </c>
      <c r="I26" s="5" t="s">
        <v>289</v>
      </c>
      <c r="J26" s="2"/>
      <c r="K26">
        <v>2020</v>
      </c>
      <c r="L26" t="s">
        <v>141</v>
      </c>
      <c r="M26" t="s">
        <v>95</v>
      </c>
      <c r="N26" t="s">
        <v>96</v>
      </c>
      <c r="O26" t="s">
        <v>290</v>
      </c>
      <c r="P26" s="101"/>
      <c r="Q26" s="112" t="s">
        <v>95</v>
      </c>
      <c r="R26" t="s">
        <v>291</v>
      </c>
      <c r="S26" t="s">
        <v>100</v>
      </c>
      <c r="T26" s="103" t="s">
        <v>292</v>
      </c>
      <c r="Z26" t="s">
        <v>98</v>
      </c>
      <c r="AA26" t="s">
        <v>293</v>
      </c>
      <c r="AB26" t="s">
        <v>95</v>
      </c>
      <c r="AC26" t="s">
        <v>294</v>
      </c>
      <c r="AD26" t="s">
        <v>295</v>
      </c>
    </row>
    <row r="27" spans="1:30">
      <c r="A27" s="104" t="s">
        <v>112</v>
      </c>
      <c r="B27" s="100" t="s">
        <v>296</v>
      </c>
      <c r="C27" t="s">
        <v>90</v>
      </c>
      <c r="D27" t="s">
        <v>297</v>
      </c>
      <c r="E27" t="s">
        <v>298</v>
      </c>
      <c r="F27" t="str">
        <f t="shared" si="0"/>
        <v>Vineet Singh</v>
      </c>
      <c r="G27">
        <f>_xlfn.XLOOKUP(Table1[[#This Row],[Full Name ALL]],Contact[Full Name],Contact[Sequence],"Not Found")</f>
        <v>1</v>
      </c>
      <c r="H27" t="s">
        <v>299</v>
      </c>
      <c r="I27" s="5" t="s">
        <v>300</v>
      </c>
      <c r="J27" s="2"/>
      <c r="K27">
        <v>2020</v>
      </c>
      <c r="L27" t="s">
        <v>301</v>
      </c>
      <c r="M27" t="s">
        <v>95</v>
      </c>
      <c r="N27" s="112" t="s">
        <v>96</v>
      </c>
      <c r="O27" t="s">
        <v>203</v>
      </c>
      <c r="P27" s="101"/>
      <c r="Q27" t="s">
        <v>95</v>
      </c>
      <c r="R27" t="s">
        <v>302</v>
      </c>
      <c r="Z27" t="s">
        <v>102</v>
      </c>
      <c r="AA27" t="s">
        <v>303</v>
      </c>
      <c r="AB27" t="s">
        <v>95</v>
      </c>
      <c r="AC27" t="s">
        <v>304</v>
      </c>
      <c r="AD27" t="s">
        <v>305</v>
      </c>
    </row>
    <row r="28" spans="1:30" ht="15.6">
      <c r="A28" t="s">
        <v>207</v>
      </c>
      <c r="B28" s="112" t="s">
        <v>306</v>
      </c>
      <c r="C28" t="s">
        <v>90</v>
      </c>
      <c r="D28" t="s">
        <v>245</v>
      </c>
      <c r="E28" t="s">
        <v>307</v>
      </c>
      <c r="F28" t="str">
        <f t="shared" si="0"/>
        <v>Amit Mahendru</v>
      </c>
      <c r="G28">
        <f>_xlfn.XLOOKUP(Table1[[#This Row],[Full Name ALL]],Contact[Full Name],Contact[Sequence],"Not Found")</f>
        <v>1</v>
      </c>
      <c r="H28" s="101" t="s">
        <v>308</v>
      </c>
      <c r="I28" s="5" t="s">
        <v>309</v>
      </c>
      <c r="J28" s="2"/>
      <c r="K28">
        <v>2020</v>
      </c>
      <c r="L28" t="s">
        <v>141</v>
      </c>
      <c r="M28" t="s">
        <v>95</v>
      </c>
      <c r="N28" t="s">
        <v>190</v>
      </c>
      <c r="O28" t="s">
        <v>203</v>
      </c>
      <c r="P28" s="101"/>
      <c r="Z28" t="s">
        <v>102</v>
      </c>
      <c r="AA28" t="s">
        <v>310</v>
      </c>
      <c r="AB28" s="99"/>
    </row>
    <row r="29" spans="1:30">
      <c r="A29" t="s">
        <v>112</v>
      </c>
      <c r="B29" s="112" t="s">
        <v>306</v>
      </c>
      <c r="C29" t="s">
        <v>90</v>
      </c>
      <c r="D29" t="s">
        <v>311</v>
      </c>
      <c r="E29" t="s">
        <v>312</v>
      </c>
      <c r="F29" t="str">
        <f t="shared" si="0"/>
        <v>Murtaza Jafri</v>
      </c>
      <c r="G29">
        <f>_xlfn.XLOOKUP(Table1[[#This Row],[Full Name ALL]],Contact[Full Name],Contact[Sequence],"Not Found")</f>
        <v>1</v>
      </c>
      <c r="H29" t="s">
        <v>313</v>
      </c>
      <c r="I29" s="5" t="s">
        <v>314</v>
      </c>
      <c r="J29" t="s">
        <v>315</v>
      </c>
      <c r="K29">
        <v>2020</v>
      </c>
      <c r="L29" t="s">
        <v>141</v>
      </c>
      <c r="M29" t="s">
        <v>95</v>
      </c>
      <c r="N29" t="s">
        <v>190</v>
      </c>
      <c r="O29" t="s">
        <v>203</v>
      </c>
      <c r="P29" s="101"/>
      <c r="Z29" t="s">
        <v>102</v>
      </c>
      <c r="AA29" t="s">
        <v>316</v>
      </c>
    </row>
    <row r="30" spans="1:30">
      <c r="A30" s="112"/>
      <c r="B30" s="112"/>
      <c r="C30" t="s">
        <v>90</v>
      </c>
      <c r="D30" t="s">
        <v>317</v>
      </c>
      <c r="E30" t="s">
        <v>318</v>
      </c>
      <c r="F30" t="str">
        <f t="shared" si="0"/>
        <v>Abhinav Bhalla</v>
      </c>
      <c r="G30">
        <f>_xlfn.XLOOKUP(Table1[[#This Row],[Full Name ALL]],Contact[Full Name],Contact[Sequence],"Not Found")</f>
        <v>1</v>
      </c>
      <c r="H30" t="s">
        <v>319</v>
      </c>
      <c r="J30" t="s">
        <v>320</v>
      </c>
      <c r="K30">
        <v>2020</v>
      </c>
      <c r="L30" t="s">
        <v>141</v>
      </c>
      <c r="M30" t="s">
        <v>95</v>
      </c>
      <c r="N30" t="s">
        <v>190</v>
      </c>
      <c r="P30" s="101"/>
    </row>
    <row r="31" spans="1:30">
      <c r="C31" t="s">
        <v>90</v>
      </c>
      <c r="D31" t="s">
        <v>321</v>
      </c>
      <c r="E31" t="s">
        <v>322</v>
      </c>
      <c r="F31" t="str">
        <f t="shared" si="0"/>
        <v>Abhiroop Medhekar</v>
      </c>
      <c r="G31">
        <f>_xlfn.XLOOKUP(Table1[[#This Row],[Full Name ALL]],Contact[Full Name],Contact[Sequence],"Not Found")</f>
        <v>1</v>
      </c>
      <c r="H31" t="s">
        <v>323</v>
      </c>
      <c r="I31" s="5" t="s">
        <v>324</v>
      </c>
      <c r="J31" t="s">
        <v>325</v>
      </c>
      <c r="K31">
        <v>2020</v>
      </c>
      <c r="L31" t="s">
        <v>141</v>
      </c>
      <c r="M31" t="s">
        <v>95</v>
      </c>
      <c r="N31" t="s">
        <v>190</v>
      </c>
      <c r="P31" s="101"/>
    </row>
    <row r="32" spans="1:30">
      <c r="C32" t="s">
        <v>90</v>
      </c>
      <c r="D32" t="s">
        <v>326</v>
      </c>
      <c r="E32" t="s">
        <v>327</v>
      </c>
      <c r="F32" t="str">
        <f t="shared" si="0"/>
        <v>Abhishek Aggrawal</v>
      </c>
      <c r="G32">
        <f>_xlfn.XLOOKUP(Table1[[#This Row],[Full Name ALL]],Contact[Full Name],Contact[Sequence],"Not Found")</f>
        <v>1</v>
      </c>
      <c r="H32" s="101" t="s">
        <v>328</v>
      </c>
      <c r="J32" t="s">
        <v>329</v>
      </c>
      <c r="K32">
        <v>2020</v>
      </c>
      <c r="L32" t="s">
        <v>141</v>
      </c>
      <c r="M32" t="s">
        <v>95</v>
      </c>
      <c r="N32" t="s">
        <v>190</v>
      </c>
      <c r="P32" s="101"/>
    </row>
    <row r="33" spans="3:20">
      <c r="C33" t="s">
        <v>90</v>
      </c>
      <c r="D33" t="s">
        <v>330</v>
      </c>
      <c r="E33" t="s">
        <v>331</v>
      </c>
      <c r="F33" t="str">
        <f t="shared" si="0"/>
        <v>Aman Sethi</v>
      </c>
      <c r="G33">
        <f>_xlfn.XLOOKUP(Table1[[#This Row],[Full Name ALL]],Contact[Full Name],Contact[Sequence],"Not Found")</f>
        <v>1</v>
      </c>
      <c r="H33" s="101" t="s">
        <v>332</v>
      </c>
      <c r="I33" t="s">
        <v>333</v>
      </c>
      <c r="J33" t="s">
        <v>334</v>
      </c>
      <c r="K33">
        <v>2020</v>
      </c>
      <c r="L33" t="s">
        <v>141</v>
      </c>
      <c r="M33" t="s">
        <v>95</v>
      </c>
      <c r="N33" t="s">
        <v>190</v>
      </c>
      <c r="P33" s="101"/>
    </row>
    <row r="34" spans="3:20">
      <c r="C34" t="s">
        <v>90</v>
      </c>
      <c r="D34" t="s">
        <v>335</v>
      </c>
      <c r="E34" t="s">
        <v>336</v>
      </c>
      <c r="F34" t="str">
        <f t="shared" si="0"/>
        <v>Andrew Tang</v>
      </c>
      <c r="G34">
        <f>_xlfn.XLOOKUP(Table1[[#This Row],[Full Name ALL]],Contact[Full Name],Contact[Sequence],"Not Found")</f>
        <v>1</v>
      </c>
      <c r="H34" t="s">
        <v>337</v>
      </c>
      <c r="I34" s="5" t="s">
        <v>338</v>
      </c>
      <c r="J34" t="s">
        <v>339</v>
      </c>
      <c r="K34">
        <v>2020</v>
      </c>
      <c r="L34" t="s">
        <v>141</v>
      </c>
      <c r="M34" t="s">
        <v>95</v>
      </c>
      <c r="N34" t="s">
        <v>190</v>
      </c>
      <c r="P34" s="101"/>
    </row>
    <row r="35" spans="3:20">
      <c r="C35" t="s">
        <v>90</v>
      </c>
      <c r="D35" t="s">
        <v>340</v>
      </c>
      <c r="E35" t="s">
        <v>341</v>
      </c>
      <c r="F35" t="str">
        <f t="shared" si="0"/>
        <v>Aparna Kaushal</v>
      </c>
      <c r="G35">
        <f>_xlfn.XLOOKUP(Table1[[#This Row],[Full Name ALL]],Contact[Full Name],Contact[Sequence],"Not Found")</f>
        <v>1</v>
      </c>
      <c r="H35" s="101" t="s">
        <v>342</v>
      </c>
      <c r="I35" t="s">
        <v>343</v>
      </c>
      <c r="J35" t="s">
        <v>344</v>
      </c>
      <c r="K35">
        <v>2020</v>
      </c>
      <c r="L35" t="s">
        <v>141</v>
      </c>
      <c r="M35" t="s">
        <v>95</v>
      </c>
      <c r="N35" t="s">
        <v>190</v>
      </c>
      <c r="P35" s="101"/>
      <c r="T35" s="2"/>
    </row>
    <row r="36" spans="3:20">
      <c r="C36" t="s">
        <v>90</v>
      </c>
      <c r="D36" t="s">
        <v>345</v>
      </c>
      <c r="E36" t="s">
        <v>346</v>
      </c>
      <c r="F36" t="str">
        <f t="shared" si="0"/>
        <v>Arjun Gobinath</v>
      </c>
      <c r="G36">
        <f>_xlfn.XLOOKUP(Table1[[#This Row],[Full Name ALL]],Contact[Full Name],Contact[Sequence],"Not Found")</f>
        <v>1</v>
      </c>
      <c r="H36" t="s">
        <v>347</v>
      </c>
      <c r="I36" s="5" t="s">
        <v>348</v>
      </c>
      <c r="J36" t="s">
        <v>349</v>
      </c>
      <c r="K36">
        <v>2020</v>
      </c>
      <c r="L36" t="s">
        <v>141</v>
      </c>
      <c r="M36" t="s">
        <v>95</v>
      </c>
      <c r="N36" t="s">
        <v>190</v>
      </c>
      <c r="P36" s="101"/>
    </row>
    <row r="37" spans="3:20">
      <c r="C37" t="s">
        <v>185</v>
      </c>
      <c r="D37" t="s">
        <v>350</v>
      </c>
      <c r="E37" t="s">
        <v>351</v>
      </c>
      <c r="F37" t="str">
        <f t="shared" si="0"/>
        <v>Arno Alarcon</v>
      </c>
      <c r="G37">
        <f>_xlfn.XLOOKUP(Table1[[#This Row],[Full Name ALL]],Contact[Full Name],Contact[Sequence],"Not Found")</f>
        <v>1</v>
      </c>
      <c r="H37" s="101" t="s">
        <v>352</v>
      </c>
      <c r="J37" t="s">
        <v>353</v>
      </c>
      <c r="K37">
        <v>2020</v>
      </c>
      <c r="L37" t="s">
        <v>141</v>
      </c>
      <c r="M37" t="s">
        <v>95</v>
      </c>
      <c r="N37" t="s">
        <v>190</v>
      </c>
      <c r="P37" s="101"/>
    </row>
    <row r="38" spans="3:20">
      <c r="C38" t="s">
        <v>90</v>
      </c>
      <c r="D38" t="s">
        <v>354</v>
      </c>
      <c r="E38" t="s">
        <v>355</v>
      </c>
      <c r="F38" t="str">
        <f t="shared" si="0"/>
        <v>Hai-Linh Nguyen</v>
      </c>
      <c r="G38">
        <f>_xlfn.XLOOKUP(Table1[[#This Row],[Full Name ALL]],Contact[Full Name],Contact[Sequence],"Not Found")</f>
        <v>1</v>
      </c>
      <c r="H38" s="101" t="s">
        <v>356</v>
      </c>
      <c r="J38" t="s">
        <v>357</v>
      </c>
      <c r="K38">
        <v>2020</v>
      </c>
      <c r="L38" t="s">
        <v>141</v>
      </c>
      <c r="M38" t="s">
        <v>95</v>
      </c>
      <c r="N38" t="s">
        <v>190</v>
      </c>
      <c r="P38" s="101"/>
    </row>
    <row r="39" spans="3:20">
      <c r="C39" t="s">
        <v>90</v>
      </c>
      <c r="D39" t="s">
        <v>358</v>
      </c>
      <c r="E39" t="s">
        <v>359</v>
      </c>
      <c r="F39" t="str">
        <f t="shared" si="0"/>
        <v>Gurmukh  Chhabra</v>
      </c>
      <c r="G39">
        <f>_xlfn.XLOOKUP(Table1[[#This Row],[Full Name ALL]],Contact[Full Name],Contact[Sequence],"Not Found")</f>
        <v>1</v>
      </c>
      <c r="H39" s="101" t="s">
        <v>360</v>
      </c>
      <c r="I39" t="s">
        <v>361</v>
      </c>
      <c r="J39" t="s">
        <v>362</v>
      </c>
      <c r="K39">
        <v>2020</v>
      </c>
      <c r="L39" t="s">
        <v>141</v>
      </c>
      <c r="M39" t="s">
        <v>95</v>
      </c>
      <c r="N39" t="s">
        <v>190</v>
      </c>
      <c r="P39" s="101"/>
    </row>
    <row r="40" spans="3:20">
      <c r="C40" t="s">
        <v>90</v>
      </c>
      <c r="D40" t="s">
        <v>363</v>
      </c>
      <c r="E40" t="s">
        <v>364</v>
      </c>
      <c r="F40" t="str">
        <f t="shared" si="0"/>
        <v>Jyoti Prakash  Datta</v>
      </c>
      <c r="G40">
        <f>_xlfn.XLOOKUP(Table1[[#This Row],[Full Name ALL]],Contact[Full Name],Contact[Sequence],"Not Found")</f>
        <v>1</v>
      </c>
      <c r="H40" t="s">
        <v>365</v>
      </c>
      <c r="I40" s="5" t="s">
        <v>270</v>
      </c>
      <c r="J40" t="s">
        <v>366</v>
      </c>
      <c r="K40">
        <v>2020</v>
      </c>
      <c r="L40" t="s">
        <v>141</v>
      </c>
      <c r="M40" t="s">
        <v>95</v>
      </c>
      <c r="N40" t="s">
        <v>190</v>
      </c>
      <c r="P40" s="101"/>
    </row>
    <row r="41" spans="3:20">
      <c r="C41" t="s">
        <v>90</v>
      </c>
      <c r="D41" t="s">
        <v>367</v>
      </c>
      <c r="E41" t="s">
        <v>368</v>
      </c>
      <c r="F41" t="str">
        <f t="shared" si="0"/>
        <v>Dhavanthi Hariharan</v>
      </c>
      <c r="G41">
        <f>_xlfn.XLOOKUP(Table1[[#This Row],[Full Name ALL]],Contact[Full Name],Contact[Sequence],"Not Found")</f>
        <v>1</v>
      </c>
      <c r="H41" s="101" t="s">
        <v>369</v>
      </c>
      <c r="I41" t="s">
        <v>370</v>
      </c>
      <c r="J41" s="101" t="s">
        <v>371</v>
      </c>
      <c r="K41">
        <v>2020</v>
      </c>
      <c r="L41" t="s">
        <v>141</v>
      </c>
      <c r="M41" t="s">
        <v>95</v>
      </c>
      <c r="N41" t="s">
        <v>190</v>
      </c>
      <c r="P41" s="101"/>
    </row>
    <row r="42" spans="3:20">
      <c r="C42" t="s">
        <v>90</v>
      </c>
      <c r="D42" t="s">
        <v>372</v>
      </c>
      <c r="E42" t="s">
        <v>373</v>
      </c>
      <c r="F42" t="str">
        <f t="shared" si="0"/>
        <v>Fern Sharma</v>
      </c>
      <c r="G42">
        <f>_xlfn.XLOOKUP(Table1[[#This Row],[Full Name ALL]],Contact[Full Name],Contact[Sequence],"Not Found")</f>
        <v>1</v>
      </c>
      <c r="H42" t="s">
        <v>374</v>
      </c>
      <c r="I42" s="5" t="s">
        <v>270</v>
      </c>
      <c r="J42" t="s">
        <v>375</v>
      </c>
      <c r="K42">
        <v>2020</v>
      </c>
      <c r="L42" t="s">
        <v>141</v>
      </c>
      <c r="M42" t="s">
        <v>95</v>
      </c>
      <c r="N42" t="s">
        <v>190</v>
      </c>
      <c r="P42" s="101"/>
    </row>
    <row r="43" spans="3:20">
      <c r="C43" t="s">
        <v>185</v>
      </c>
      <c r="D43" t="s">
        <v>376</v>
      </c>
      <c r="E43" t="s">
        <v>238</v>
      </c>
      <c r="F43" t="str">
        <f t="shared" si="0"/>
        <v>Gaurav Agarwal</v>
      </c>
      <c r="G43">
        <f>_xlfn.XLOOKUP(Table1[[#This Row],[Full Name ALL]],Contact[Full Name],Contact[Sequence],"Not Found")</f>
        <v>1</v>
      </c>
      <c r="H43" s="101" t="s">
        <v>377</v>
      </c>
      <c r="J43" t="s">
        <v>378</v>
      </c>
      <c r="K43">
        <v>2020</v>
      </c>
      <c r="L43" t="s">
        <v>141</v>
      </c>
      <c r="M43" t="s">
        <v>95</v>
      </c>
      <c r="N43" t="s">
        <v>190</v>
      </c>
      <c r="P43" s="101"/>
    </row>
    <row r="44" spans="3:20">
      <c r="C44" t="s">
        <v>90</v>
      </c>
      <c r="D44" t="s">
        <v>379</v>
      </c>
      <c r="E44" t="s">
        <v>380</v>
      </c>
      <c r="F44" t="str">
        <f t="shared" si="0"/>
        <v>Guruprasad Sankaranarayan</v>
      </c>
      <c r="G44">
        <f>_xlfn.XLOOKUP(Table1[[#This Row],[Full Name ALL]],Contact[Full Name],Contact[Sequence],"Not Found")</f>
        <v>1</v>
      </c>
      <c r="H44" s="101" t="s">
        <v>381</v>
      </c>
      <c r="I44" t="s">
        <v>382</v>
      </c>
      <c r="J44" t="s">
        <v>383</v>
      </c>
      <c r="K44">
        <v>2020</v>
      </c>
      <c r="L44" t="s">
        <v>141</v>
      </c>
      <c r="M44" t="s">
        <v>95</v>
      </c>
      <c r="N44" t="s">
        <v>190</v>
      </c>
      <c r="P44" s="101"/>
    </row>
    <row r="45" spans="3:20">
      <c r="C45" t="s">
        <v>90</v>
      </c>
      <c r="D45" t="s">
        <v>384</v>
      </c>
      <c r="E45" t="s">
        <v>385</v>
      </c>
      <c r="F45" t="str">
        <f t="shared" si="0"/>
        <v>Hammad Rahman</v>
      </c>
      <c r="G45">
        <f>_xlfn.XLOOKUP(Table1[[#This Row],[Full Name ALL]],Contact[Full Name],Contact[Sequence],"Not Found")</f>
        <v>1</v>
      </c>
      <c r="H45" s="101" t="s">
        <v>386</v>
      </c>
      <c r="I45" s="5" t="s">
        <v>387</v>
      </c>
      <c r="J45" t="s">
        <v>388</v>
      </c>
      <c r="K45">
        <v>2020</v>
      </c>
      <c r="L45" t="s">
        <v>141</v>
      </c>
      <c r="M45" t="s">
        <v>95</v>
      </c>
      <c r="N45" t="s">
        <v>190</v>
      </c>
      <c r="P45" s="101"/>
    </row>
    <row r="46" spans="3:20">
      <c r="C46" t="s">
        <v>90</v>
      </c>
      <c r="D46" t="s">
        <v>389</v>
      </c>
      <c r="E46" t="s">
        <v>390</v>
      </c>
      <c r="F46" t="str">
        <f t="shared" si="0"/>
        <v>Harsh Goyal</v>
      </c>
      <c r="G46">
        <f>_xlfn.XLOOKUP(Table1[[#This Row],[Full Name ALL]],Contact[Full Name],Contact[Sequence],"Not Found")</f>
        <v>1</v>
      </c>
      <c r="H46" s="101" t="s">
        <v>391</v>
      </c>
      <c r="I46" s="5" t="s">
        <v>392</v>
      </c>
      <c r="J46" t="s">
        <v>393</v>
      </c>
      <c r="K46">
        <v>2020</v>
      </c>
      <c r="L46" t="s">
        <v>141</v>
      </c>
      <c r="M46" t="s">
        <v>95</v>
      </c>
      <c r="N46" t="s">
        <v>190</v>
      </c>
      <c r="P46" s="101"/>
    </row>
    <row r="47" spans="3:20">
      <c r="C47" t="s">
        <v>90</v>
      </c>
      <c r="D47" t="s">
        <v>394</v>
      </c>
      <c r="E47" t="s">
        <v>395</v>
      </c>
      <c r="F47" t="str">
        <f t="shared" si="0"/>
        <v>Ian St-Maurice</v>
      </c>
      <c r="G47">
        <f>_xlfn.XLOOKUP(Table1[[#This Row],[Full Name ALL]],Contact[Full Name],Contact[Sequence],"Not Found")</f>
        <v>1</v>
      </c>
      <c r="H47" t="s">
        <v>396</v>
      </c>
      <c r="I47" s="5" t="s">
        <v>397</v>
      </c>
      <c r="J47" t="s">
        <v>398</v>
      </c>
      <c r="K47">
        <v>2020</v>
      </c>
      <c r="L47" t="s">
        <v>141</v>
      </c>
      <c r="M47" t="s">
        <v>95</v>
      </c>
      <c r="N47" t="s">
        <v>190</v>
      </c>
      <c r="P47" s="101"/>
    </row>
    <row r="48" spans="3:20">
      <c r="C48" t="s">
        <v>185</v>
      </c>
      <c r="D48" t="s">
        <v>399</v>
      </c>
      <c r="E48" t="s">
        <v>400</v>
      </c>
      <c r="F48" t="str">
        <f t="shared" si="0"/>
        <v>Jin Tao</v>
      </c>
      <c r="G48">
        <f>_xlfn.XLOOKUP(Table1[[#This Row],[Full Name ALL]],Contact[Full Name],Contact[Sequence],"Not Found")</f>
        <v>1</v>
      </c>
      <c r="H48" t="s">
        <v>401</v>
      </c>
      <c r="J48" s="101" t="s">
        <v>402</v>
      </c>
      <c r="K48">
        <v>2020</v>
      </c>
      <c r="L48" t="s">
        <v>141</v>
      </c>
      <c r="M48" t="s">
        <v>95</v>
      </c>
      <c r="N48" t="s">
        <v>190</v>
      </c>
      <c r="P48" s="101"/>
    </row>
    <row r="49" spans="3:33">
      <c r="C49" t="s">
        <v>90</v>
      </c>
      <c r="D49" t="s">
        <v>403</v>
      </c>
      <c r="E49" t="s">
        <v>404</v>
      </c>
      <c r="F49" t="str">
        <f t="shared" si="0"/>
        <v>JOshep LIm</v>
      </c>
      <c r="G49">
        <f>_xlfn.XLOOKUP(Table1[[#This Row],[Full Name ALL]],Contact[Full Name],Contact[Sequence],"Not Found")</f>
        <v>1</v>
      </c>
      <c r="H49" s="101" t="s">
        <v>405</v>
      </c>
      <c r="I49" s="101"/>
      <c r="J49" t="s">
        <v>406</v>
      </c>
      <c r="K49">
        <v>2020</v>
      </c>
      <c r="L49" t="s">
        <v>141</v>
      </c>
      <c r="M49" t="s">
        <v>95</v>
      </c>
      <c r="N49" t="s">
        <v>190</v>
      </c>
      <c r="P49" s="101"/>
    </row>
    <row r="50" spans="3:33">
      <c r="C50" t="s">
        <v>90</v>
      </c>
      <c r="D50" t="s">
        <v>407</v>
      </c>
      <c r="E50" t="s">
        <v>408</v>
      </c>
      <c r="F50" t="str">
        <f t="shared" si="0"/>
        <v>Junko Tashiro</v>
      </c>
      <c r="G50">
        <f>_xlfn.XLOOKUP(Table1[[#This Row],[Full Name ALL]],Contact[Full Name],Contact[Sequence],"Not Found")</f>
        <v>1</v>
      </c>
      <c r="H50" t="s">
        <v>409</v>
      </c>
      <c r="J50" t="s">
        <v>410</v>
      </c>
      <c r="K50">
        <v>2020</v>
      </c>
      <c r="L50" t="s">
        <v>141</v>
      </c>
      <c r="M50" t="s">
        <v>95</v>
      </c>
      <c r="N50" t="s">
        <v>190</v>
      </c>
      <c r="P50" s="101"/>
    </row>
    <row r="51" spans="3:33">
      <c r="C51" t="s">
        <v>90</v>
      </c>
      <c r="D51" t="s">
        <v>411</v>
      </c>
      <c r="E51" t="s">
        <v>412</v>
      </c>
      <c r="F51" t="str">
        <f t="shared" si="0"/>
        <v>Kamille Palanca</v>
      </c>
      <c r="G51">
        <f>_xlfn.XLOOKUP(Table1[[#This Row],[Full Name ALL]],Contact[Full Name],Contact[Sequence],"Not Found")</f>
        <v>1</v>
      </c>
      <c r="H51" s="101" t="s">
        <v>413</v>
      </c>
      <c r="I51" t="s">
        <v>414</v>
      </c>
      <c r="J51" t="s">
        <v>415</v>
      </c>
      <c r="K51">
        <v>2020</v>
      </c>
      <c r="L51" t="s">
        <v>141</v>
      </c>
      <c r="M51" t="s">
        <v>95</v>
      </c>
      <c r="N51" t="s">
        <v>190</v>
      </c>
      <c r="P51" s="101"/>
    </row>
    <row r="52" spans="3:33">
      <c r="C52" t="s">
        <v>90</v>
      </c>
      <c r="D52" t="s">
        <v>106</v>
      </c>
      <c r="E52" t="s">
        <v>416</v>
      </c>
      <c r="F52" t="str">
        <f t="shared" si="0"/>
        <v>Kanika Singal</v>
      </c>
      <c r="G52">
        <f>_xlfn.XLOOKUP(Table1[[#This Row],[Full Name ALL]],Contact[Full Name],Contact[Sequence],"Not Found")</f>
        <v>1</v>
      </c>
      <c r="H52" t="s">
        <v>417</v>
      </c>
      <c r="I52" s="5" t="s">
        <v>418</v>
      </c>
      <c r="J52" t="s">
        <v>419</v>
      </c>
      <c r="K52">
        <v>2020</v>
      </c>
      <c r="L52" t="s">
        <v>141</v>
      </c>
      <c r="M52" t="s">
        <v>95</v>
      </c>
      <c r="N52" t="s">
        <v>190</v>
      </c>
      <c r="P52" s="101"/>
    </row>
    <row r="53" spans="3:33">
      <c r="C53" t="s">
        <v>90</v>
      </c>
      <c r="D53" t="s">
        <v>420</v>
      </c>
      <c r="E53" t="s">
        <v>421</v>
      </c>
      <c r="F53" t="str">
        <f t="shared" si="0"/>
        <v>Karan Malhotra</v>
      </c>
      <c r="G53">
        <f>_xlfn.XLOOKUP(Table1[[#This Row],[Full Name ALL]],Contact[Full Name],Contact[Sequence],"Not Found")</f>
        <v>1</v>
      </c>
      <c r="H53" s="101" t="s">
        <v>422</v>
      </c>
      <c r="I53" s="101"/>
      <c r="J53" t="s">
        <v>423</v>
      </c>
      <c r="K53">
        <v>2020</v>
      </c>
      <c r="L53" t="s">
        <v>141</v>
      </c>
      <c r="M53" t="s">
        <v>95</v>
      </c>
      <c r="N53" t="s">
        <v>190</v>
      </c>
      <c r="P53" s="101"/>
    </row>
    <row r="54" spans="3:33">
      <c r="C54" t="s">
        <v>90</v>
      </c>
      <c r="D54" t="s">
        <v>424</v>
      </c>
      <c r="E54" t="s">
        <v>425</v>
      </c>
      <c r="F54" t="str">
        <f t="shared" si="0"/>
        <v>Kathleen  Wong</v>
      </c>
      <c r="G54">
        <f>_xlfn.XLOOKUP(Table1[[#This Row],[Full Name ALL]],Contact[Full Name],Contact[Sequence],"Not Found")</f>
        <v>1</v>
      </c>
      <c r="H54" s="101" t="s">
        <v>426</v>
      </c>
      <c r="I54" s="101"/>
      <c r="J54" s="101" t="s">
        <v>427</v>
      </c>
      <c r="K54">
        <v>2020</v>
      </c>
      <c r="L54" t="s">
        <v>141</v>
      </c>
      <c r="M54" t="s">
        <v>95</v>
      </c>
      <c r="N54" t="s">
        <v>190</v>
      </c>
      <c r="P54" s="101"/>
    </row>
    <row r="55" spans="3:33">
      <c r="C55" t="s">
        <v>90</v>
      </c>
      <c r="D55" t="s">
        <v>428</v>
      </c>
      <c r="E55" t="s">
        <v>429</v>
      </c>
      <c r="F55" t="str">
        <f t="shared" si="0"/>
        <v>KUldeep  Kumar Upadhaya</v>
      </c>
      <c r="G55">
        <f>_xlfn.XLOOKUP(Table1[[#This Row],[Full Name ALL]],Contact[Full Name],Contact[Sequence],"Not Found")</f>
        <v>1</v>
      </c>
      <c r="H55" s="101" t="s">
        <v>430</v>
      </c>
      <c r="I55" s="101"/>
      <c r="J55" t="s">
        <v>431</v>
      </c>
      <c r="K55">
        <v>2020</v>
      </c>
      <c r="L55" t="s">
        <v>141</v>
      </c>
      <c r="M55" t="s">
        <v>95</v>
      </c>
      <c r="N55" t="s">
        <v>190</v>
      </c>
      <c r="P55" s="101"/>
    </row>
    <row r="56" spans="3:33">
      <c r="C56" t="s">
        <v>90</v>
      </c>
      <c r="D56" t="s">
        <v>432</v>
      </c>
      <c r="E56" t="s">
        <v>433</v>
      </c>
      <c r="F56" t="str">
        <f t="shared" si="0"/>
        <v>Kemal  Nasser</v>
      </c>
      <c r="G56">
        <f>_xlfn.XLOOKUP(Table1[[#This Row],[Full Name ALL]],Contact[Full Name],Contact[Sequence],"Not Found")</f>
        <v>1</v>
      </c>
      <c r="H56" s="101" t="s">
        <v>434</v>
      </c>
      <c r="I56" t="s">
        <v>435</v>
      </c>
      <c r="J56" t="s">
        <v>436</v>
      </c>
      <c r="K56">
        <v>2020</v>
      </c>
      <c r="L56" t="s">
        <v>141</v>
      </c>
      <c r="M56" t="s">
        <v>95</v>
      </c>
      <c r="N56" t="s">
        <v>190</v>
      </c>
      <c r="P56" s="101"/>
    </row>
    <row r="57" spans="3:33">
      <c r="C57" t="s">
        <v>90</v>
      </c>
      <c r="D57" t="s">
        <v>437</v>
      </c>
      <c r="E57" t="s">
        <v>438</v>
      </c>
      <c r="F57" t="str">
        <f t="shared" si="0"/>
        <v>Lance Li</v>
      </c>
      <c r="G57">
        <f>_xlfn.XLOOKUP(Table1[[#This Row],[Full Name ALL]],Contact[Full Name],Contact[Sequence],"Not Found")</f>
        <v>1</v>
      </c>
      <c r="H57" t="s">
        <v>439</v>
      </c>
      <c r="I57" s="5" t="s">
        <v>440</v>
      </c>
      <c r="J57" t="s">
        <v>441</v>
      </c>
      <c r="K57">
        <v>2020</v>
      </c>
      <c r="L57" t="s">
        <v>141</v>
      </c>
      <c r="M57" t="s">
        <v>95</v>
      </c>
      <c r="N57" t="s">
        <v>190</v>
      </c>
      <c r="P57" s="101"/>
    </row>
    <row r="58" spans="3:33">
      <c r="C58" t="s">
        <v>90</v>
      </c>
      <c r="D58" t="s">
        <v>442</v>
      </c>
      <c r="E58" t="s">
        <v>443</v>
      </c>
      <c r="F58" t="str">
        <f t="shared" si="0"/>
        <v>Tingting Xu</v>
      </c>
      <c r="G58">
        <f>_xlfn.XLOOKUP(Table1[[#This Row],[Full Name ALL]],Contact[Full Name],Contact[Sequence],"Not Found")</f>
        <v>1</v>
      </c>
      <c r="H58" s="101" t="s">
        <v>444</v>
      </c>
      <c r="I58" s="101"/>
      <c r="J58" t="s">
        <v>445</v>
      </c>
      <c r="K58">
        <v>2020</v>
      </c>
      <c r="L58" t="s">
        <v>141</v>
      </c>
      <c r="M58" t="s">
        <v>95</v>
      </c>
      <c r="N58" t="s">
        <v>190</v>
      </c>
      <c r="P58" s="101"/>
    </row>
    <row r="59" spans="3:33">
      <c r="C59" t="s">
        <v>90</v>
      </c>
      <c r="D59" t="s">
        <v>446</v>
      </c>
      <c r="E59" t="s">
        <v>260</v>
      </c>
      <c r="F59" t="str">
        <f t="shared" si="0"/>
        <v>Manuj Jain</v>
      </c>
      <c r="G59">
        <f>_xlfn.XLOOKUP(Table1[[#This Row],[Full Name ALL]],Contact[Full Name],Contact[Sequence],"Not Found")</f>
        <v>1</v>
      </c>
      <c r="H59" t="s">
        <v>447</v>
      </c>
      <c r="J59" t="s">
        <v>448</v>
      </c>
      <c r="K59">
        <v>2020</v>
      </c>
      <c r="L59" t="s">
        <v>141</v>
      </c>
      <c r="M59" t="s">
        <v>95</v>
      </c>
      <c r="N59" t="s">
        <v>190</v>
      </c>
      <c r="P59" s="101"/>
    </row>
    <row r="60" spans="3:33">
      <c r="C60" t="s">
        <v>185</v>
      </c>
      <c r="D60" t="s">
        <v>449</v>
      </c>
      <c r="E60" t="s">
        <v>450</v>
      </c>
      <c r="F60" t="str">
        <f t="shared" si="0"/>
        <v>Marie Sophie Jaroni</v>
      </c>
      <c r="G60">
        <f>_xlfn.XLOOKUP(Table1[[#This Row],[Full Name ALL]],Contact[Full Name],Contact[Sequence],"Not Found")</f>
        <v>1</v>
      </c>
      <c r="H60" s="101" t="s">
        <v>451</v>
      </c>
      <c r="I60" t="s">
        <v>452</v>
      </c>
      <c r="J60" t="s">
        <v>453</v>
      </c>
      <c r="K60">
        <v>2020</v>
      </c>
      <c r="L60" t="s">
        <v>141</v>
      </c>
      <c r="M60" t="s">
        <v>95</v>
      </c>
      <c r="N60" t="s">
        <v>190</v>
      </c>
      <c r="P60" s="101"/>
    </row>
    <row r="61" spans="3:33">
      <c r="C61" t="s">
        <v>185</v>
      </c>
      <c r="D61" t="s">
        <v>454</v>
      </c>
      <c r="E61" t="s">
        <v>455</v>
      </c>
      <c r="F61" t="str">
        <f t="shared" si="0"/>
        <v>Milan Patel</v>
      </c>
      <c r="G61">
        <f>_xlfn.XLOOKUP(Table1[[#This Row],[Full Name ALL]],Contact[Full Name],Contact[Sequence],"Not Found")</f>
        <v>1</v>
      </c>
      <c r="H61" t="s">
        <v>456</v>
      </c>
      <c r="J61" t="s">
        <v>457</v>
      </c>
      <c r="K61">
        <v>2020</v>
      </c>
      <c r="L61" t="s">
        <v>141</v>
      </c>
      <c r="M61" t="s">
        <v>95</v>
      </c>
      <c r="N61" t="s">
        <v>190</v>
      </c>
      <c r="P61" s="101"/>
    </row>
    <row r="62" spans="3:33">
      <c r="C62" t="s">
        <v>185</v>
      </c>
      <c r="D62" t="s">
        <v>458</v>
      </c>
      <c r="E62" t="s">
        <v>459</v>
      </c>
      <c r="F62" t="str">
        <f t="shared" si="0"/>
        <v>Leo Kim</v>
      </c>
      <c r="G62">
        <f>_xlfn.XLOOKUP(Table1[[#This Row],[Full Name ALL]],Contact[Full Name],Contact[Sequence],"Not Found")</f>
        <v>1</v>
      </c>
      <c r="H62" s="101" t="s">
        <v>460</v>
      </c>
      <c r="J62" t="s">
        <v>461</v>
      </c>
      <c r="K62">
        <v>2020</v>
      </c>
      <c r="L62" t="s">
        <v>141</v>
      </c>
      <c r="M62" t="s">
        <v>95</v>
      </c>
      <c r="N62" t="s">
        <v>190</v>
      </c>
      <c r="P62" s="101"/>
    </row>
    <row r="63" spans="3:33">
      <c r="C63" t="s">
        <v>90</v>
      </c>
      <c r="D63" t="s">
        <v>462</v>
      </c>
      <c r="E63" t="s">
        <v>463</v>
      </c>
      <c r="F63" t="str">
        <f t="shared" si="0"/>
        <v>Michael Xu Liu</v>
      </c>
      <c r="G63">
        <f>_xlfn.XLOOKUP(Table1[[#This Row],[Full Name ALL]],Contact[Full Name],Contact[Sequence],"Not Found")</f>
        <v>1</v>
      </c>
      <c r="H63" t="s">
        <v>464</v>
      </c>
      <c r="J63" t="s">
        <v>465</v>
      </c>
      <c r="K63">
        <v>2020</v>
      </c>
      <c r="L63" t="s">
        <v>141</v>
      </c>
      <c r="M63" t="s">
        <v>95</v>
      </c>
      <c r="N63" t="s">
        <v>190</v>
      </c>
      <c r="P63" s="101"/>
      <c r="AG63" s="1"/>
    </row>
    <row r="64" spans="3:33">
      <c r="C64" t="s">
        <v>185</v>
      </c>
      <c r="D64" t="s">
        <v>466</v>
      </c>
      <c r="E64" t="s">
        <v>467</v>
      </c>
      <c r="F64" t="str">
        <f t="shared" si="0"/>
        <v>Nancy Chang</v>
      </c>
      <c r="G64">
        <f>_xlfn.XLOOKUP(Table1[[#This Row],[Full Name ALL]],Contact[Full Name],Contact[Sequence],"Not Found")</f>
        <v>1</v>
      </c>
      <c r="H64" t="s">
        <v>468</v>
      </c>
      <c r="J64" t="s">
        <v>469</v>
      </c>
      <c r="K64">
        <v>2020</v>
      </c>
      <c r="L64" t="s">
        <v>141</v>
      </c>
      <c r="M64" t="s">
        <v>95</v>
      </c>
      <c r="N64" t="s">
        <v>190</v>
      </c>
      <c r="P64" s="101"/>
      <c r="AG64" s="1"/>
    </row>
    <row r="65" spans="3:33">
      <c r="C65" t="s">
        <v>90</v>
      </c>
      <c r="D65" t="s">
        <v>470</v>
      </c>
      <c r="E65" t="s">
        <v>471</v>
      </c>
      <c r="F65" t="str">
        <f t="shared" si="0"/>
        <v>Neeraj Gupta</v>
      </c>
      <c r="G65">
        <f>_xlfn.XLOOKUP(Table1[[#This Row],[Full Name ALL]],Contact[Full Name],Contact[Sequence],"Not Found")</f>
        <v>1</v>
      </c>
      <c r="H65" s="101" t="s">
        <v>472</v>
      </c>
      <c r="I65" s="101"/>
      <c r="J65" t="s">
        <v>473</v>
      </c>
      <c r="K65">
        <v>2020</v>
      </c>
      <c r="L65" t="s">
        <v>141</v>
      </c>
      <c r="M65" t="s">
        <v>95</v>
      </c>
      <c r="N65" t="s">
        <v>190</v>
      </c>
      <c r="P65" s="101"/>
      <c r="AG65" s="1"/>
    </row>
    <row r="66" spans="3:33">
      <c r="C66" t="s">
        <v>90</v>
      </c>
      <c r="D66" t="s">
        <v>282</v>
      </c>
      <c r="E66" t="s">
        <v>471</v>
      </c>
      <c r="F66" t="str">
        <f t="shared" ref="F66:F129" si="1">D66&amp;" "&amp;E66</f>
        <v>Nikhil Gupta</v>
      </c>
      <c r="G66">
        <f>_xlfn.XLOOKUP(Table1[[#This Row],[Full Name ALL]],Contact[Full Name],Contact[Sequence],"Not Found")</f>
        <v>1</v>
      </c>
      <c r="H66" t="s">
        <v>474</v>
      </c>
      <c r="I66" s="5" t="s">
        <v>475</v>
      </c>
      <c r="J66" t="s">
        <v>476</v>
      </c>
      <c r="K66">
        <v>2020</v>
      </c>
      <c r="L66" t="s">
        <v>141</v>
      </c>
      <c r="M66" t="s">
        <v>95</v>
      </c>
      <c r="N66" t="s">
        <v>190</v>
      </c>
      <c r="P66" s="101"/>
      <c r="AG66" s="1"/>
    </row>
    <row r="67" spans="3:33">
      <c r="C67" t="s">
        <v>90</v>
      </c>
      <c r="D67" t="s">
        <v>477</v>
      </c>
      <c r="E67" t="s">
        <v>478</v>
      </c>
      <c r="F67" t="str">
        <f t="shared" si="1"/>
        <v>Parag Gandhi</v>
      </c>
      <c r="G67">
        <f>_xlfn.XLOOKUP(Table1[[#This Row],[Full Name ALL]],Contact[Full Name],Contact[Sequence],"Not Found")</f>
        <v>1</v>
      </c>
      <c r="H67" t="s">
        <v>479</v>
      </c>
      <c r="I67" s="5" t="s">
        <v>480</v>
      </c>
      <c r="J67" t="s">
        <v>481</v>
      </c>
      <c r="K67">
        <v>2020</v>
      </c>
      <c r="L67" t="s">
        <v>141</v>
      </c>
      <c r="M67" t="s">
        <v>95</v>
      </c>
      <c r="N67" t="s">
        <v>190</v>
      </c>
      <c r="P67" s="101"/>
      <c r="AG67" s="1"/>
    </row>
    <row r="68" spans="3:33">
      <c r="C68" t="s">
        <v>90</v>
      </c>
      <c r="D68" t="s">
        <v>482</v>
      </c>
      <c r="E68" t="s">
        <v>483</v>
      </c>
      <c r="F68" t="str">
        <f t="shared" si="1"/>
        <v>Prachi Tiwari</v>
      </c>
      <c r="G68">
        <f>_xlfn.XLOOKUP(Table1[[#This Row],[Full Name ALL]],Contact[Full Name],Contact[Sequence],"Not Found")</f>
        <v>1</v>
      </c>
      <c r="H68" s="101" t="s">
        <v>484</v>
      </c>
      <c r="I68" t="s">
        <v>485</v>
      </c>
      <c r="J68" t="s">
        <v>486</v>
      </c>
      <c r="K68">
        <v>2020</v>
      </c>
      <c r="L68" t="s">
        <v>141</v>
      </c>
      <c r="M68" t="s">
        <v>95</v>
      </c>
      <c r="N68" t="s">
        <v>190</v>
      </c>
      <c r="P68" s="101"/>
      <c r="AG68" s="1"/>
    </row>
    <row r="69" spans="3:33">
      <c r="C69" t="s">
        <v>185</v>
      </c>
      <c r="D69" t="s">
        <v>487</v>
      </c>
      <c r="E69" t="s">
        <v>92</v>
      </c>
      <c r="F69" t="str">
        <f t="shared" si="1"/>
        <v>Prashant Kumar</v>
      </c>
      <c r="G69">
        <f>_xlfn.XLOOKUP(Table1[[#This Row],[Full Name ALL]],Contact[Full Name],Contact[Sequence],"Not Found")</f>
        <v>1</v>
      </c>
      <c r="H69" t="s">
        <v>488</v>
      </c>
      <c r="I69" s="5" t="s">
        <v>489</v>
      </c>
      <c r="J69" s="101" t="s">
        <v>490</v>
      </c>
      <c r="K69">
        <v>2020</v>
      </c>
      <c r="L69" t="s">
        <v>141</v>
      </c>
      <c r="M69" t="s">
        <v>95</v>
      </c>
      <c r="N69" t="s">
        <v>190</v>
      </c>
      <c r="P69" s="101"/>
      <c r="AG69" s="1"/>
    </row>
    <row r="70" spans="3:33">
      <c r="C70" t="s">
        <v>185</v>
      </c>
      <c r="D70" t="s">
        <v>491</v>
      </c>
      <c r="E70" t="s">
        <v>492</v>
      </c>
      <c r="F70" t="str">
        <f t="shared" si="1"/>
        <v>Priyadarshini Routh</v>
      </c>
      <c r="G70">
        <f>_xlfn.XLOOKUP(Table1[[#This Row],[Full Name ALL]],Contact[Full Name],Contact[Sequence],"Not Found")</f>
        <v>1</v>
      </c>
      <c r="H70" s="101" t="s">
        <v>493</v>
      </c>
      <c r="J70" t="s">
        <v>494</v>
      </c>
      <c r="K70">
        <v>2020</v>
      </c>
      <c r="L70" t="s">
        <v>141</v>
      </c>
      <c r="M70" t="s">
        <v>95</v>
      </c>
      <c r="N70" t="s">
        <v>190</v>
      </c>
      <c r="P70" s="101"/>
      <c r="AG70" s="1"/>
    </row>
    <row r="71" spans="3:33">
      <c r="C71" t="s">
        <v>90</v>
      </c>
      <c r="D71" t="s">
        <v>495</v>
      </c>
      <c r="E71" t="s">
        <v>496</v>
      </c>
      <c r="F71" t="str">
        <f t="shared" si="1"/>
        <v>Suyeon Yoo</v>
      </c>
      <c r="G71">
        <f>_xlfn.XLOOKUP(Table1[[#This Row],[Full Name ALL]],Contact[Full Name],Contact[Sequence],"Not Found")</f>
        <v>1</v>
      </c>
      <c r="H71" t="s">
        <v>497</v>
      </c>
      <c r="I71" s="5" t="s">
        <v>270</v>
      </c>
      <c r="J71" t="s">
        <v>498</v>
      </c>
      <c r="K71">
        <v>2020</v>
      </c>
      <c r="L71" t="s">
        <v>141</v>
      </c>
      <c r="M71" t="s">
        <v>95</v>
      </c>
      <c r="N71" t="s">
        <v>190</v>
      </c>
      <c r="P71" s="101"/>
      <c r="AG71" s="1"/>
    </row>
    <row r="72" spans="3:33">
      <c r="C72" t="s">
        <v>90</v>
      </c>
      <c r="D72" t="s">
        <v>499</v>
      </c>
      <c r="E72" t="s">
        <v>500</v>
      </c>
      <c r="F72" t="str">
        <f t="shared" si="1"/>
        <v>Rahul Shinde</v>
      </c>
      <c r="G72">
        <f>_xlfn.XLOOKUP(Table1[[#This Row],[Full Name ALL]],Contact[Full Name],Contact[Sequence],"Not Found")</f>
        <v>1</v>
      </c>
      <c r="H72" t="s">
        <v>501</v>
      </c>
      <c r="I72" s="5" t="s">
        <v>270</v>
      </c>
      <c r="J72" t="s">
        <v>502</v>
      </c>
      <c r="K72">
        <v>2020</v>
      </c>
      <c r="L72" t="s">
        <v>141</v>
      </c>
      <c r="M72" t="s">
        <v>95</v>
      </c>
      <c r="N72" t="s">
        <v>190</v>
      </c>
      <c r="P72" s="101"/>
      <c r="AG72" s="1"/>
    </row>
    <row r="73" spans="3:33">
      <c r="C73" t="s">
        <v>90</v>
      </c>
      <c r="D73" t="s">
        <v>503</v>
      </c>
      <c r="E73" t="s">
        <v>504</v>
      </c>
      <c r="F73" t="str">
        <f t="shared" si="1"/>
        <v>Ramit Bhatnagar</v>
      </c>
      <c r="G73">
        <f>_xlfn.XLOOKUP(Table1[[#This Row],[Full Name ALL]],Contact[Full Name],Contact[Sequence],"Not Found")</f>
        <v>1</v>
      </c>
      <c r="H73" t="s">
        <v>505</v>
      </c>
      <c r="I73" s="5" t="s">
        <v>506</v>
      </c>
      <c r="J73" t="s">
        <v>507</v>
      </c>
      <c r="K73">
        <v>2020</v>
      </c>
      <c r="L73" t="s">
        <v>141</v>
      </c>
      <c r="M73" t="s">
        <v>95</v>
      </c>
      <c r="N73" t="s">
        <v>190</v>
      </c>
      <c r="P73" s="101"/>
      <c r="AG73" s="1"/>
    </row>
    <row r="74" spans="3:33">
      <c r="C74" t="s">
        <v>90</v>
      </c>
      <c r="D74" t="s">
        <v>508</v>
      </c>
      <c r="E74" t="s">
        <v>509</v>
      </c>
      <c r="F74" t="str">
        <f t="shared" si="1"/>
        <v>Rangga Maharga</v>
      </c>
      <c r="G74">
        <f>_xlfn.XLOOKUP(Table1[[#This Row],[Full Name ALL]],Contact[Full Name],Contact[Sequence],"Not Found")</f>
        <v>1</v>
      </c>
      <c r="H74" s="101" t="s">
        <v>510</v>
      </c>
      <c r="I74" t="s">
        <v>511</v>
      </c>
      <c r="J74" t="s">
        <v>512</v>
      </c>
      <c r="K74">
        <v>2020</v>
      </c>
      <c r="L74" t="s">
        <v>141</v>
      </c>
      <c r="M74" t="s">
        <v>95</v>
      </c>
      <c r="N74" t="s">
        <v>190</v>
      </c>
      <c r="P74" s="101"/>
      <c r="AG74" s="1"/>
    </row>
    <row r="75" spans="3:33">
      <c r="C75" t="s">
        <v>185</v>
      </c>
      <c r="D75" t="s">
        <v>513</v>
      </c>
      <c r="E75" t="s">
        <v>514</v>
      </c>
      <c r="F75" t="str">
        <f t="shared" si="1"/>
        <v>Ravneet Uberoi</v>
      </c>
      <c r="G75">
        <f>_xlfn.XLOOKUP(Table1[[#This Row],[Full Name ALL]],Contact[Full Name],Contact[Sequence],"Not Found")</f>
        <v>1</v>
      </c>
      <c r="H75" s="101" t="s">
        <v>515</v>
      </c>
      <c r="J75" t="s">
        <v>516</v>
      </c>
      <c r="K75">
        <v>2020</v>
      </c>
      <c r="L75" t="s">
        <v>141</v>
      </c>
      <c r="M75" t="s">
        <v>95</v>
      </c>
      <c r="N75" t="s">
        <v>190</v>
      </c>
      <c r="P75" s="101"/>
      <c r="AG75" s="1"/>
    </row>
    <row r="76" spans="3:33">
      <c r="C76" t="s">
        <v>90</v>
      </c>
      <c r="D76" t="s">
        <v>517</v>
      </c>
      <c r="E76" t="s">
        <v>518</v>
      </c>
      <c r="F76" t="str">
        <f t="shared" si="1"/>
        <v>Ritoban Banerjee</v>
      </c>
      <c r="G76">
        <f>_xlfn.XLOOKUP(Table1[[#This Row],[Full Name ALL]],Contact[Full Name],Contact[Sequence],"Not Found")</f>
        <v>1</v>
      </c>
      <c r="H76" s="101" t="s">
        <v>519</v>
      </c>
      <c r="J76" t="s">
        <v>520</v>
      </c>
      <c r="K76">
        <v>2020</v>
      </c>
      <c r="L76" t="s">
        <v>141</v>
      </c>
      <c r="M76" t="s">
        <v>95</v>
      </c>
      <c r="N76" t="s">
        <v>190</v>
      </c>
      <c r="P76" s="101"/>
    </row>
    <row r="77" spans="3:33">
      <c r="C77" t="s">
        <v>185</v>
      </c>
      <c r="D77" t="s">
        <v>521</v>
      </c>
      <c r="E77" t="s">
        <v>522</v>
      </c>
      <c r="F77" t="str">
        <f t="shared" si="1"/>
        <v>Roawin Luo</v>
      </c>
      <c r="G77">
        <f>_xlfn.XLOOKUP(Table1[[#This Row],[Full Name ALL]],Contact[Full Name],Contact[Sequence],"Not Found")</f>
        <v>1</v>
      </c>
      <c r="H77" t="s">
        <v>523</v>
      </c>
      <c r="J77" t="s">
        <v>524</v>
      </c>
      <c r="K77">
        <v>2020</v>
      </c>
      <c r="L77" t="s">
        <v>141</v>
      </c>
      <c r="M77" t="s">
        <v>95</v>
      </c>
      <c r="N77" t="s">
        <v>190</v>
      </c>
      <c r="P77" s="101"/>
    </row>
    <row r="78" spans="3:33">
      <c r="C78" t="s">
        <v>185</v>
      </c>
      <c r="D78" t="s">
        <v>525</v>
      </c>
      <c r="E78" t="s">
        <v>526</v>
      </c>
      <c r="F78" t="str">
        <f t="shared" si="1"/>
        <v>Sandeep Kulkarni</v>
      </c>
      <c r="G78">
        <f>_xlfn.XLOOKUP(Table1[[#This Row],[Full Name ALL]],Contact[Full Name],Contact[Sequence],"Not Found")</f>
        <v>1</v>
      </c>
      <c r="H78" t="s">
        <v>527</v>
      </c>
      <c r="J78" t="s">
        <v>528</v>
      </c>
      <c r="K78">
        <v>2020</v>
      </c>
      <c r="L78" t="s">
        <v>141</v>
      </c>
      <c r="M78" t="s">
        <v>95</v>
      </c>
      <c r="N78" t="s">
        <v>190</v>
      </c>
      <c r="P78" s="101"/>
    </row>
    <row r="79" spans="3:33">
      <c r="C79" t="s">
        <v>185</v>
      </c>
      <c r="D79" t="s">
        <v>529</v>
      </c>
      <c r="E79" t="s">
        <v>530</v>
      </c>
      <c r="F79" t="str">
        <f t="shared" si="1"/>
        <v>Satyajit Ghosh Dastidar</v>
      </c>
      <c r="G79">
        <f>_xlfn.XLOOKUP(Table1[[#This Row],[Full Name ALL]],Contact[Full Name],Contact[Sequence],"Not Found")</f>
        <v>1</v>
      </c>
      <c r="H79" t="s">
        <v>531</v>
      </c>
      <c r="J79" t="s">
        <v>532</v>
      </c>
      <c r="K79">
        <v>2020</v>
      </c>
      <c r="L79" t="s">
        <v>141</v>
      </c>
      <c r="M79" t="s">
        <v>95</v>
      </c>
      <c r="N79" t="s">
        <v>190</v>
      </c>
      <c r="P79" s="101"/>
    </row>
    <row r="80" spans="3:33">
      <c r="C80" t="s">
        <v>90</v>
      </c>
      <c r="D80" t="s">
        <v>533</v>
      </c>
      <c r="E80" t="s">
        <v>534</v>
      </c>
      <c r="F80" t="str">
        <f t="shared" si="1"/>
        <v>Hirokazu Seki</v>
      </c>
      <c r="G80">
        <f>_xlfn.XLOOKUP(Table1[[#This Row],[Full Name ALL]],Contact[Full Name],Contact[Sequence],"Not Found")</f>
        <v>1</v>
      </c>
      <c r="H80" t="s">
        <v>535</v>
      </c>
      <c r="I80" s="5" t="s">
        <v>536</v>
      </c>
      <c r="J80" t="s">
        <v>537</v>
      </c>
      <c r="K80">
        <v>2020</v>
      </c>
      <c r="L80" t="s">
        <v>141</v>
      </c>
      <c r="M80" t="s">
        <v>95</v>
      </c>
      <c r="N80" t="s">
        <v>190</v>
      </c>
      <c r="P80" s="101"/>
    </row>
    <row r="81" spans="3:16">
      <c r="C81" t="s">
        <v>90</v>
      </c>
      <c r="D81" t="s">
        <v>538</v>
      </c>
      <c r="E81" t="s">
        <v>471</v>
      </c>
      <c r="F81" t="str">
        <f t="shared" si="1"/>
        <v>Sharad Gupta</v>
      </c>
      <c r="G81">
        <f>_xlfn.XLOOKUP(Table1[[#This Row],[Full Name ALL]],Contact[Full Name],Contact[Sequence],"Not Found")</f>
        <v>1</v>
      </c>
      <c r="H81" t="s">
        <v>539</v>
      </c>
      <c r="I81" s="5" t="s">
        <v>540</v>
      </c>
      <c r="J81" t="s">
        <v>541</v>
      </c>
      <c r="K81">
        <v>2020</v>
      </c>
      <c r="L81" t="s">
        <v>141</v>
      </c>
      <c r="M81" t="s">
        <v>95</v>
      </c>
      <c r="N81" t="s">
        <v>190</v>
      </c>
      <c r="P81" s="101"/>
    </row>
    <row r="82" spans="3:16">
      <c r="C82" t="s">
        <v>90</v>
      </c>
      <c r="D82" t="s">
        <v>542</v>
      </c>
      <c r="E82" t="s">
        <v>543</v>
      </c>
      <c r="F82" t="str">
        <f t="shared" si="1"/>
        <v>Feng Li Sheng</v>
      </c>
      <c r="G82">
        <f>_xlfn.XLOOKUP(Table1[[#This Row],[Full Name ALL]],Contact[Full Name],Contact[Sequence],"Not Found")</f>
        <v>1</v>
      </c>
      <c r="H82" s="101" t="s">
        <v>544</v>
      </c>
      <c r="I82" s="5" t="s">
        <v>545</v>
      </c>
      <c r="J82" t="s">
        <v>546</v>
      </c>
      <c r="K82">
        <v>2020</v>
      </c>
      <c r="L82" t="s">
        <v>141</v>
      </c>
      <c r="M82" t="s">
        <v>95</v>
      </c>
      <c r="N82" t="s">
        <v>190</v>
      </c>
      <c r="P82" s="101"/>
    </row>
    <row r="83" spans="3:16">
      <c r="C83" t="s">
        <v>90</v>
      </c>
      <c r="D83" t="s">
        <v>547</v>
      </c>
      <c r="E83" t="s">
        <v>548</v>
      </c>
      <c r="F83" t="str">
        <f t="shared" si="1"/>
        <v>Daniel Shen</v>
      </c>
      <c r="G83">
        <f>_xlfn.XLOOKUP(Table1[[#This Row],[Full Name ALL]],Contact[Full Name],Contact[Sequence],"Not Found")</f>
        <v>1</v>
      </c>
      <c r="H83" t="s">
        <v>549</v>
      </c>
      <c r="J83" t="s">
        <v>550</v>
      </c>
      <c r="K83">
        <v>2020</v>
      </c>
      <c r="L83" t="s">
        <v>141</v>
      </c>
      <c r="M83" t="s">
        <v>95</v>
      </c>
      <c r="N83" t="s">
        <v>190</v>
      </c>
      <c r="P83" s="101"/>
    </row>
    <row r="84" spans="3:16">
      <c r="C84" t="s">
        <v>90</v>
      </c>
      <c r="D84" t="s">
        <v>551</v>
      </c>
      <c r="E84" t="s">
        <v>552</v>
      </c>
      <c r="F84" t="str">
        <f t="shared" si="1"/>
        <v>Shirley Tran</v>
      </c>
      <c r="G84">
        <f>_xlfn.XLOOKUP(Table1[[#This Row],[Full Name ALL]],Contact[Full Name],Contact[Sequence],"Not Found")</f>
        <v>1</v>
      </c>
      <c r="H84" t="s">
        <v>553</v>
      </c>
      <c r="I84" s="5" t="s">
        <v>554</v>
      </c>
      <c r="J84" t="s">
        <v>555</v>
      </c>
      <c r="K84">
        <v>2020</v>
      </c>
      <c r="L84" t="s">
        <v>141</v>
      </c>
      <c r="M84" t="s">
        <v>95</v>
      </c>
      <c r="N84" t="s">
        <v>190</v>
      </c>
      <c r="P84" s="101"/>
    </row>
    <row r="85" spans="3:16">
      <c r="C85" t="s">
        <v>90</v>
      </c>
      <c r="D85" t="s">
        <v>556</v>
      </c>
      <c r="E85" t="s">
        <v>557</v>
      </c>
      <c r="F85" t="str">
        <f t="shared" si="1"/>
        <v>Shreya  Bahri</v>
      </c>
      <c r="G85">
        <f>_xlfn.XLOOKUP(Table1[[#This Row],[Full Name ALL]],Contact[Full Name],Contact[Sequence],"Not Found")</f>
        <v>1</v>
      </c>
      <c r="H85" s="101" t="s">
        <v>558</v>
      </c>
      <c r="I85" s="101"/>
      <c r="J85" t="s">
        <v>559</v>
      </c>
      <c r="K85">
        <v>2020</v>
      </c>
      <c r="L85" t="s">
        <v>141</v>
      </c>
      <c r="M85" t="s">
        <v>95</v>
      </c>
      <c r="N85" t="s">
        <v>190</v>
      </c>
      <c r="P85" s="101"/>
    </row>
    <row r="86" spans="3:16">
      <c r="C86" t="s">
        <v>90</v>
      </c>
      <c r="D86" t="s">
        <v>560</v>
      </c>
      <c r="E86" t="s">
        <v>561</v>
      </c>
      <c r="F86" t="str">
        <f t="shared" si="1"/>
        <v>Shuyin Sim</v>
      </c>
      <c r="G86">
        <f>_xlfn.XLOOKUP(Table1[[#This Row],[Full Name ALL]],Contact[Full Name],Contact[Sequence],"Not Found")</f>
        <v>1</v>
      </c>
      <c r="H86" s="101" t="s">
        <v>562</v>
      </c>
      <c r="I86" s="5" t="s">
        <v>563</v>
      </c>
      <c r="J86" t="s">
        <v>564</v>
      </c>
      <c r="K86">
        <v>2020</v>
      </c>
      <c r="L86" t="s">
        <v>141</v>
      </c>
      <c r="M86" t="s">
        <v>95</v>
      </c>
      <c r="N86" t="s">
        <v>190</v>
      </c>
      <c r="P86" s="101"/>
    </row>
    <row r="87" spans="3:16">
      <c r="C87" t="s">
        <v>90</v>
      </c>
      <c r="D87" t="s">
        <v>565</v>
      </c>
      <c r="E87" t="s">
        <v>298</v>
      </c>
      <c r="F87" t="str">
        <f t="shared" si="1"/>
        <v>Simranjeet Singh</v>
      </c>
      <c r="G87">
        <f>_xlfn.XLOOKUP(Table1[[#This Row],[Full Name ALL]],Contact[Full Name],Contact[Sequence],"Not Found")</f>
        <v>1</v>
      </c>
      <c r="H87" t="s">
        <v>566</v>
      </c>
      <c r="I87" s="5" t="s">
        <v>567</v>
      </c>
      <c r="J87" t="s">
        <v>568</v>
      </c>
      <c r="K87">
        <v>2020</v>
      </c>
      <c r="L87" t="s">
        <v>141</v>
      </c>
      <c r="M87" t="s">
        <v>95</v>
      </c>
      <c r="N87" t="s">
        <v>190</v>
      </c>
      <c r="P87" s="101"/>
    </row>
    <row r="88" spans="3:16">
      <c r="C88" t="s">
        <v>90</v>
      </c>
      <c r="D88" t="s">
        <v>569</v>
      </c>
      <c r="E88" t="s">
        <v>570</v>
      </c>
      <c r="F88" t="str">
        <f t="shared" si="1"/>
        <v>Yingzi Tian</v>
      </c>
      <c r="G88">
        <f>_xlfn.XLOOKUP(Table1[[#This Row],[Full Name ALL]],Contact[Full Name],Contact[Sequence],"Not Found")</f>
        <v>1</v>
      </c>
      <c r="H88" s="101" t="s">
        <v>571</v>
      </c>
      <c r="J88" t="s">
        <v>572</v>
      </c>
      <c r="K88">
        <v>2020</v>
      </c>
      <c r="L88" t="s">
        <v>141</v>
      </c>
      <c r="M88" t="s">
        <v>95</v>
      </c>
      <c r="N88" t="s">
        <v>190</v>
      </c>
      <c r="P88" s="101"/>
    </row>
    <row r="89" spans="3:16">
      <c r="C89" t="s">
        <v>185</v>
      </c>
      <c r="D89" t="s">
        <v>573</v>
      </c>
      <c r="E89" t="s">
        <v>471</v>
      </c>
      <c r="F89" t="str">
        <f t="shared" si="1"/>
        <v>Sushant Gupta</v>
      </c>
      <c r="G89">
        <f>_xlfn.XLOOKUP(Table1[[#This Row],[Full Name ALL]],Contact[Full Name],Contact[Sequence],"Not Found")</f>
        <v>1</v>
      </c>
      <c r="H89" s="101" t="s">
        <v>574</v>
      </c>
      <c r="J89" t="s">
        <v>575</v>
      </c>
      <c r="K89">
        <v>2020</v>
      </c>
      <c r="L89" t="s">
        <v>141</v>
      </c>
      <c r="M89" t="s">
        <v>95</v>
      </c>
      <c r="N89" t="s">
        <v>190</v>
      </c>
      <c r="P89" s="101"/>
    </row>
    <row r="90" spans="3:16">
      <c r="C90" t="s">
        <v>185</v>
      </c>
      <c r="D90" t="s">
        <v>576</v>
      </c>
      <c r="E90" t="s">
        <v>577</v>
      </c>
      <c r="F90" t="str">
        <f t="shared" si="1"/>
        <v>Sumin Koo</v>
      </c>
      <c r="G90">
        <f>_xlfn.XLOOKUP(Table1[[#This Row],[Full Name ALL]],Contact[Full Name],Contact[Sequence],"Not Found")</f>
        <v>1</v>
      </c>
      <c r="H90" t="s">
        <v>578</v>
      </c>
      <c r="J90" t="s">
        <v>579</v>
      </c>
      <c r="K90">
        <v>2020</v>
      </c>
      <c r="L90" t="s">
        <v>141</v>
      </c>
      <c r="M90" t="s">
        <v>95</v>
      </c>
      <c r="N90" t="s">
        <v>190</v>
      </c>
      <c r="P90" s="101"/>
    </row>
    <row r="91" spans="3:16">
      <c r="C91" t="s">
        <v>185</v>
      </c>
      <c r="D91" t="s">
        <v>580</v>
      </c>
      <c r="E91" t="s">
        <v>581</v>
      </c>
      <c r="F91" t="str">
        <f t="shared" si="1"/>
        <v>Susan Ahn</v>
      </c>
      <c r="G91">
        <f>_xlfn.XLOOKUP(Table1[[#This Row],[Full Name ALL]],Contact[Full Name],Contact[Sequence],"Not Found")</f>
        <v>1</v>
      </c>
      <c r="H91" s="101" t="s">
        <v>582</v>
      </c>
      <c r="J91" t="s">
        <v>583</v>
      </c>
      <c r="K91">
        <v>2020</v>
      </c>
      <c r="L91" t="s">
        <v>141</v>
      </c>
      <c r="M91" t="s">
        <v>95</v>
      </c>
      <c r="N91" t="s">
        <v>190</v>
      </c>
      <c r="P91" s="101"/>
    </row>
    <row r="92" spans="3:16">
      <c r="C92" t="s">
        <v>90</v>
      </c>
      <c r="D92" t="s">
        <v>584</v>
      </c>
      <c r="E92" t="s">
        <v>585</v>
      </c>
      <c r="F92" t="str">
        <f t="shared" si="1"/>
        <v>Taegyun Moon</v>
      </c>
      <c r="G92">
        <f>_xlfn.XLOOKUP(Table1[[#This Row],[Full Name ALL]],Contact[Full Name],Contact[Sequence],"Not Found")</f>
        <v>1</v>
      </c>
      <c r="H92" s="101" t="s">
        <v>586</v>
      </c>
      <c r="I92" t="s">
        <v>587</v>
      </c>
      <c r="J92" t="s">
        <v>588</v>
      </c>
      <c r="K92">
        <v>2020</v>
      </c>
      <c r="L92" t="s">
        <v>141</v>
      </c>
      <c r="M92" t="s">
        <v>95</v>
      </c>
      <c r="N92" t="s">
        <v>190</v>
      </c>
      <c r="P92" s="101"/>
    </row>
    <row r="93" spans="3:16">
      <c r="C93" t="s">
        <v>90</v>
      </c>
      <c r="D93" t="s">
        <v>589</v>
      </c>
      <c r="E93" t="s">
        <v>590</v>
      </c>
      <c r="F93" t="str">
        <f t="shared" si="1"/>
        <v>Taejin Kang</v>
      </c>
      <c r="G93">
        <f>_xlfn.XLOOKUP(Table1[[#This Row],[Full Name ALL]],Contact[Full Name],Contact[Sequence],"Not Found")</f>
        <v>1</v>
      </c>
      <c r="H93" t="s">
        <v>591</v>
      </c>
      <c r="I93" s="5" t="s">
        <v>592</v>
      </c>
      <c r="J93" t="s">
        <v>593</v>
      </c>
      <c r="K93">
        <v>2020</v>
      </c>
      <c r="L93" t="s">
        <v>141</v>
      </c>
      <c r="M93" t="s">
        <v>95</v>
      </c>
      <c r="N93" t="s">
        <v>190</v>
      </c>
      <c r="P93" s="101"/>
    </row>
    <row r="94" spans="3:16">
      <c r="C94" t="s">
        <v>90</v>
      </c>
      <c r="D94" t="s">
        <v>594</v>
      </c>
      <c r="E94" t="s">
        <v>595</v>
      </c>
      <c r="F94" t="str">
        <f t="shared" si="1"/>
        <v>Thea Tan</v>
      </c>
      <c r="G94">
        <f>_xlfn.XLOOKUP(Table1[[#This Row],[Full Name ALL]],Contact[Full Name],Contact[Sequence],"Not Found")</f>
        <v>1</v>
      </c>
      <c r="H94" s="101" t="s">
        <v>596</v>
      </c>
      <c r="I94" s="5" t="s">
        <v>270</v>
      </c>
      <c r="J94" t="s">
        <v>597</v>
      </c>
      <c r="K94">
        <v>2020</v>
      </c>
      <c r="L94" t="s">
        <v>141</v>
      </c>
      <c r="M94" t="s">
        <v>95</v>
      </c>
      <c r="N94" t="s">
        <v>190</v>
      </c>
      <c r="P94" s="101"/>
    </row>
    <row r="95" spans="3:16">
      <c r="C95" t="s">
        <v>90</v>
      </c>
      <c r="D95" t="s">
        <v>598</v>
      </c>
      <c r="E95" t="s">
        <v>599</v>
      </c>
      <c r="F95" t="str">
        <f t="shared" si="1"/>
        <v>Tiffany Lin</v>
      </c>
      <c r="G95">
        <f>_xlfn.XLOOKUP(Table1[[#This Row],[Full Name ALL]],Contact[Full Name],Contact[Sequence],"Not Found")</f>
        <v>1</v>
      </c>
      <c r="H95" s="101" t="s">
        <v>600</v>
      </c>
      <c r="I95" s="5" t="s">
        <v>601</v>
      </c>
      <c r="J95" t="s">
        <v>602</v>
      </c>
      <c r="K95">
        <v>2020</v>
      </c>
      <c r="L95" t="s">
        <v>141</v>
      </c>
      <c r="M95" t="s">
        <v>95</v>
      </c>
      <c r="N95" t="s">
        <v>190</v>
      </c>
      <c r="P95" s="101"/>
    </row>
    <row r="96" spans="3:16">
      <c r="C96" t="s">
        <v>90</v>
      </c>
      <c r="D96" t="s">
        <v>603</v>
      </c>
      <c r="E96" t="s">
        <v>604</v>
      </c>
      <c r="F96" t="str">
        <f t="shared" si="1"/>
        <v>Toan Tran-Phu</v>
      </c>
      <c r="G96">
        <f>_xlfn.XLOOKUP(Table1[[#This Row],[Full Name ALL]],Contact[Full Name],Contact[Sequence],"Not Found")</f>
        <v>1</v>
      </c>
      <c r="H96" s="101" t="s">
        <v>605</v>
      </c>
      <c r="I96" t="s">
        <v>606</v>
      </c>
      <c r="J96" t="s">
        <v>607</v>
      </c>
      <c r="K96">
        <v>2020</v>
      </c>
      <c r="L96" t="s">
        <v>141</v>
      </c>
      <c r="M96" t="s">
        <v>95</v>
      </c>
      <c r="N96" t="s">
        <v>190</v>
      </c>
      <c r="P96" s="101"/>
    </row>
    <row r="97" spans="1:31">
      <c r="C97" t="s">
        <v>90</v>
      </c>
      <c r="D97" t="s">
        <v>570</v>
      </c>
      <c r="E97" t="s">
        <v>608</v>
      </c>
      <c r="F97" t="str">
        <f t="shared" si="1"/>
        <v>Tian Roelofse</v>
      </c>
      <c r="G97">
        <f>_xlfn.XLOOKUP(Table1[[#This Row],[Full Name ALL]],Contact[Full Name],Contact[Sequence],"Not Found")</f>
        <v>1</v>
      </c>
      <c r="H97" t="s">
        <v>609</v>
      </c>
      <c r="I97" s="5" t="s">
        <v>270</v>
      </c>
      <c r="J97" t="s">
        <v>610</v>
      </c>
      <c r="K97">
        <v>2020</v>
      </c>
      <c r="L97" t="s">
        <v>141</v>
      </c>
      <c r="M97" t="s">
        <v>95</v>
      </c>
      <c r="N97" t="s">
        <v>190</v>
      </c>
      <c r="P97" s="101"/>
    </row>
    <row r="98" spans="1:31">
      <c r="C98" t="s">
        <v>90</v>
      </c>
      <c r="D98" t="s">
        <v>611</v>
      </c>
      <c r="E98" t="s">
        <v>298</v>
      </c>
      <c r="F98" t="str">
        <f t="shared" si="1"/>
        <v>Vivek  Singh</v>
      </c>
      <c r="G98">
        <f>_xlfn.XLOOKUP(Table1[[#This Row],[Full Name ALL]],Contact[Full Name],Contact[Sequence],"Not Found")</f>
        <v>1</v>
      </c>
      <c r="H98" s="101" t="s">
        <v>612</v>
      </c>
      <c r="I98" s="101"/>
      <c r="J98" t="s">
        <v>613</v>
      </c>
      <c r="K98">
        <v>2020</v>
      </c>
      <c r="L98" t="s">
        <v>141</v>
      </c>
      <c r="M98" t="s">
        <v>95</v>
      </c>
      <c r="N98" t="s">
        <v>190</v>
      </c>
      <c r="P98" s="101"/>
    </row>
    <row r="99" spans="1:31">
      <c r="C99" t="s">
        <v>90</v>
      </c>
      <c r="D99" t="s">
        <v>614</v>
      </c>
      <c r="E99" t="s">
        <v>615</v>
      </c>
      <c r="F99" t="str">
        <f t="shared" si="1"/>
        <v>Shivesh Verma</v>
      </c>
      <c r="G99">
        <f>_xlfn.XLOOKUP(Table1[[#This Row],[Full Name ALL]],Contact[Full Name],Contact[Sequence],"Not Found")</f>
        <v>1</v>
      </c>
      <c r="H99" t="s">
        <v>616</v>
      </c>
      <c r="I99" s="5" t="s">
        <v>617</v>
      </c>
      <c r="J99" t="s">
        <v>618</v>
      </c>
      <c r="K99">
        <v>2020</v>
      </c>
      <c r="L99" t="s">
        <v>141</v>
      </c>
      <c r="M99" t="s">
        <v>95</v>
      </c>
      <c r="N99" t="s">
        <v>190</v>
      </c>
      <c r="P99" s="101"/>
    </row>
    <row r="100" spans="1:31">
      <c r="C100" t="s">
        <v>90</v>
      </c>
      <c r="D100" t="s">
        <v>619</v>
      </c>
      <c r="E100" t="s">
        <v>425</v>
      </c>
      <c r="F100" t="str">
        <f t="shared" si="1"/>
        <v>Wendy Wong</v>
      </c>
      <c r="G100">
        <f>_xlfn.XLOOKUP(Table1[[#This Row],[Full Name ALL]],Contact[Full Name],Contact[Sequence],"Not Found")</f>
        <v>1</v>
      </c>
      <c r="H100" s="101" t="s">
        <v>620</v>
      </c>
      <c r="J100" t="s">
        <v>621</v>
      </c>
      <c r="K100">
        <v>2020</v>
      </c>
      <c r="L100" t="s">
        <v>141</v>
      </c>
      <c r="M100" t="s">
        <v>95</v>
      </c>
      <c r="N100" t="s">
        <v>190</v>
      </c>
      <c r="P100" s="101"/>
    </row>
    <row r="101" spans="1:31">
      <c r="C101" t="s">
        <v>90</v>
      </c>
      <c r="D101" t="s">
        <v>622</v>
      </c>
      <c r="E101" t="s">
        <v>623</v>
      </c>
      <c r="F101" t="str">
        <f t="shared" si="1"/>
        <v>Willie Tin</v>
      </c>
      <c r="G101">
        <f>_xlfn.XLOOKUP(Table1[[#This Row],[Full Name ALL]],Contact[Full Name],Contact[Sequence],"Not Found")</f>
        <v>1</v>
      </c>
      <c r="H101" t="s">
        <v>624</v>
      </c>
      <c r="I101" s="5" t="s">
        <v>625</v>
      </c>
      <c r="J101" t="s">
        <v>626</v>
      </c>
      <c r="K101">
        <v>2020</v>
      </c>
      <c r="L101" t="s">
        <v>141</v>
      </c>
      <c r="M101" t="s">
        <v>95</v>
      </c>
      <c r="N101" t="s">
        <v>190</v>
      </c>
      <c r="P101" s="101"/>
    </row>
    <row r="102" spans="1:31">
      <c r="C102" t="s">
        <v>90</v>
      </c>
      <c r="D102" t="s">
        <v>627</v>
      </c>
      <c r="E102" t="s">
        <v>255</v>
      </c>
      <c r="F102" t="str">
        <f t="shared" si="1"/>
        <v>Winston Wang</v>
      </c>
      <c r="G102">
        <f>_xlfn.XLOOKUP(Table1[[#This Row],[Full Name ALL]],Contact[Full Name],Contact[Sequence],"Not Found")</f>
        <v>1</v>
      </c>
      <c r="H102" s="101" t="s">
        <v>628</v>
      </c>
      <c r="I102" t="s">
        <v>629</v>
      </c>
      <c r="J102" t="s">
        <v>630</v>
      </c>
      <c r="K102">
        <v>2020</v>
      </c>
      <c r="L102" t="s">
        <v>141</v>
      </c>
      <c r="M102" t="s">
        <v>95</v>
      </c>
      <c r="N102" t="s">
        <v>190</v>
      </c>
      <c r="P102" s="101"/>
    </row>
    <row r="103" spans="1:31">
      <c r="A103" s="104" t="s">
        <v>112</v>
      </c>
      <c r="B103" s="112"/>
      <c r="C103" t="s">
        <v>193</v>
      </c>
      <c r="D103" t="s">
        <v>631</v>
      </c>
      <c r="E103" t="s">
        <v>632</v>
      </c>
      <c r="F103" t="str">
        <f t="shared" si="1"/>
        <v>Tibor Pakozdi</v>
      </c>
      <c r="G103">
        <f>_xlfn.XLOOKUP(Table1[[#This Row],[Full Name ALL]],Contact[Full Name],Contact[Sequence],"Not Found")</f>
        <v>1</v>
      </c>
      <c r="H103" s="101" t="s">
        <v>633</v>
      </c>
      <c r="I103" s="5"/>
      <c r="K103">
        <v>2020</v>
      </c>
      <c r="L103" t="s">
        <v>133</v>
      </c>
      <c r="M103" t="s">
        <v>95</v>
      </c>
      <c r="N103" t="s">
        <v>96</v>
      </c>
      <c r="O103" t="s">
        <v>159</v>
      </c>
      <c r="P103" s="101"/>
      <c r="Q103" t="s">
        <v>98</v>
      </c>
      <c r="R103" t="s">
        <v>634</v>
      </c>
    </row>
    <row r="104" spans="1:31">
      <c r="A104" s="104" t="s">
        <v>112</v>
      </c>
      <c r="B104" s="112" t="s">
        <v>635</v>
      </c>
      <c r="C104" t="s">
        <v>90</v>
      </c>
      <c r="D104" t="s">
        <v>636</v>
      </c>
      <c r="E104" t="s">
        <v>637</v>
      </c>
      <c r="F104" t="str">
        <f t="shared" si="1"/>
        <v>Meagan Dietz</v>
      </c>
      <c r="G104">
        <f>_xlfn.XLOOKUP(Table1[[#This Row],[Full Name ALL]],Contact[Full Name],Contact[Sequence],"Not Found")</f>
        <v>1</v>
      </c>
      <c r="H104" s="101" t="s">
        <v>638</v>
      </c>
      <c r="I104" s="5"/>
      <c r="K104">
        <v>2020</v>
      </c>
      <c r="L104" t="s">
        <v>133</v>
      </c>
      <c r="M104" t="s">
        <v>95</v>
      </c>
      <c r="N104" t="s">
        <v>96</v>
      </c>
      <c r="O104" t="s">
        <v>203</v>
      </c>
      <c r="P104" s="101"/>
      <c r="Q104" t="s">
        <v>95</v>
      </c>
      <c r="R104" t="s">
        <v>639</v>
      </c>
    </row>
    <row r="105" spans="1:31">
      <c r="A105" s="104" t="s">
        <v>112</v>
      </c>
      <c r="C105" t="s">
        <v>185</v>
      </c>
      <c r="D105" t="s">
        <v>640</v>
      </c>
      <c r="E105" t="s">
        <v>641</v>
      </c>
      <c r="F105" t="str">
        <f t="shared" si="1"/>
        <v>Mohsan Elahi</v>
      </c>
      <c r="G105">
        <f>_xlfn.XLOOKUP(Table1[[#This Row],[Full Name ALL]],Contact[Full Name],Contact[Sequence],"Not Found")</f>
        <v>1</v>
      </c>
      <c r="H105" t="s">
        <v>642</v>
      </c>
      <c r="J105" t="s">
        <v>643</v>
      </c>
      <c r="K105">
        <v>2020</v>
      </c>
      <c r="L105" t="s">
        <v>141</v>
      </c>
      <c r="M105" t="s">
        <v>95</v>
      </c>
      <c r="N105" s="104" t="s">
        <v>96</v>
      </c>
      <c r="O105" t="s">
        <v>644</v>
      </c>
      <c r="P105" s="101"/>
    </row>
    <row r="106" spans="1:31">
      <c r="A106" s="104" t="s">
        <v>112</v>
      </c>
      <c r="B106" s="112" t="s">
        <v>645</v>
      </c>
      <c r="C106" t="s">
        <v>105</v>
      </c>
      <c r="D106" t="s">
        <v>646</v>
      </c>
      <c r="E106" t="s">
        <v>463</v>
      </c>
      <c r="F106" t="str">
        <f t="shared" si="1"/>
        <v>Su Liu</v>
      </c>
      <c r="G106">
        <f>_xlfn.XLOOKUP(Table1[[#This Row],[Full Name ALL]],Contact[Full Name],Contact[Sequence],"Not Found")</f>
        <v>1</v>
      </c>
      <c r="H106" t="s">
        <v>647</v>
      </c>
      <c r="I106" s="5" t="s">
        <v>648</v>
      </c>
      <c r="J106" t="s">
        <v>649</v>
      </c>
      <c r="K106">
        <v>2020</v>
      </c>
      <c r="L106" t="s">
        <v>650</v>
      </c>
      <c r="M106" t="s">
        <v>95</v>
      </c>
      <c r="N106" t="s">
        <v>96</v>
      </c>
      <c r="O106" t="s">
        <v>651</v>
      </c>
      <c r="P106" s="101"/>
      <c r="Q106" t="s">
        <v>95</v>
      </c>
      <c r="R106" t="s">
        <v>652</v>
      </c>
    </row>
    <row r="107" spans="1:31">
      <c r="A107" s="104" t="s">
        <v>112</v>
      </c>
      <c r="B107" t="s">
        <v>306</v>
      </c>
      <c r="C107" t="s">
        <v>185</v>
      </c>
      <c r="D107" t="s">
        <v>653</v>
      </c>
      <c r="E107" t="s">
        <v>654</v>
      </c>
      <c r="F107" t="str">
        <f t="shared" si="1"/>
        <v>Saad Khawaja</v>
      </c>
      <c r="G107">
        <f>_xlfn.XLOOKUP(Table1[[#This Row],[Full Name ALL]],Contact[Full Name],Contact[Sequence],"Not Found")</f>
        <v>1</v>
      </c>
      <c r="H107" t="s">
        <v>655</v>
      </c>
      <c r="I107" s="5" t="s">
        <v>656</v>
      </c>
      <c r="J107" t="s">
        <v>657</v>
      </c>
      <c r="K107">
        <v>2020</v>
      </c>
      <c r="L107" t="s">
        <v>141</v>
      </c>
      <c r="M107" t="s">
        <v>95</v>
      </c>
      <c r="N107" s="104" t="s">
        <v>96</v>
      </c>
      <c r="O107" t="s">
        <v>658</v>
      </c>
      <c r="P107" s="101"/>
      <c r="Z107" t="s">
        <v>102</v>
      </c>
      <c r="AA107" t="s">
        <v>659</v>
      </c>
    </row>
    <row r="108" spans="1:31">
      <c r="A108" s="104" t="s">
        <v>112</v>
      </c>
      <c r="C108" t="s">
        <v>185</v>
      </c>
      <c r="D108" t="s">
        <v>660</v>
      </c>
      <c r="E108" t="s">
        <v>661</v>
      </c>
      <c r="F108" t="str">
        <f t="shared" si="1"/>
        <v>Junaid Mohiuddin</v>
      </c>
      <c r="G108">
        <f>_xlfn.XLOOKUP(Table1[[#This Row],[Full Name ALL]],Contact[Full Name],Contact[Sequence],"Not Found")</f>
        <v>1</v>
      </c>
      <c r="H108" t="s">
        <v>662</v>
      </c>
      <c r="J108" t="s">
        <v>663</v>
      </c>
      <c r="K108">
        <v>2020</v>
      </c>
      <c r="L108" t="s">
        <v>664</v>
      </c>
      <c r="M108" t="s">
        <v>95</v>
      </c>
      <c r="N108" s="104" t="s">
        <v>96</v>
      </c>
      <c r="O108" t="s">
        <v>665</v>
      </c>
      <c r="P108" s="101"/>
    </row>
    <row r="109" spans="1:31">
      <c r="A109" s="104" t="s">
        <v>112</v>
      </c>
      <c r="C109" t="s">
        <v>90</v>
      </c>
      <c r="D109" t="s">
        <v>666</v>
      </c>
      <c r="E109" t="s">
        <v>595</v>
      </c>
      <c r="F109" t="str">
        <f t="shared" si="1"/>
        <v>Valerie Tan</v>
      </c>
      <c r="G109">
        <f>_xlfn.XLOOKUP(Table1[[#This Row],[Full Name ALL]],Contact[Full Name],Contact[Sequence],"Not Found")</f>
        <v>1</v>
      </c>
      <c r="H109" s="101" t="s">
        <v>667</v>
      </c>
      <c r="I109" s="101"/>
      <c r="J109" t="s">
        <v>668</v>
      </c>
      <c r="K109">
        <v>2020</v>
      </c>
      <c r="L109" t="s">
        <v>141</v>
      </c>
      <c r="M109" t="s">
        <v>95</v>
      </c>
      <c r="N109" s="104" t="s">
        <v>96</v>
      </c>
      <c r="O109" t="s">
        <v>669</v>
      </c>
      <c r="P109" s="101"/>
    </row>
    <row r="110" spans="1:31">
      <c r="A110" s="104" t="s">
        <v>112</v>
      </c>
      <c r="C110" t="s">
        <v>90</v>
      </c>
      <c r="D110" t="s">
        <v>670</v>
      </c>
      <c r="E110" t="s">
        <v>671</v>
      </c>
      <c r="F110" t="str">
        <f t="shared" si="1"/>
        <v>Raman Baijal</v>
      </c>
      <c r="G110">
        <f>_xlfn.XLOOKUP(Table1[[#This Row],[Full Name ALL]],Contact[Full Name],Contact[Sequence],"Not Found")</f>
        <v>1</v>
      </c>
      <c r="H110" t="s">
        <v>672</v>
      </c>
      <c r="I110" s="5" t="s">
        <v>673</v>
      </c>
      <c r="J110" t="s">
        <v>674</v>
      </c>
      <c r="K110">
        <v>2020</v>
      </c>
      <c r="L110" t="s">
        <v>141</v>
      </c>
      <c r="M110" t="s">
        <v>95</v>
      </c>
      <c r="N110" s="104" t="s">
        <v>96</v>
      </c>
      <c r="O110" t="s">
        <v>675</v>
      </c>
      <c r="P110" s="101"/>
      <c r="Z110" t="s">
        <v>102</v>
      </c>
      <c r="AA110" t="s">
        <v>676</v>
      </c>
      <c r="AB110" t="s">
        <v>95</v>
      </c>
    </row>
    <row r="111" spans="1:31">
      <c r="A111" s="2" t="s">
        <v>677</v>
      </c>
      <c r="B111" s="108" t="s">
        <v>678</v>
      </c>
      <c r="C111" t="s">
        <v>105</v>
      </c>
      <c r="D111" t="s">
        <v>679</v>
      </c>
      <c r="E111" t="s">
        <v>680</v>
      </c>
      <c r="F111" t="str">
        <f t="shared" si="1"/>
        <v>Chee Hoong Chung</v>
      </c>
      <c r="G111">
        <f>_xlfn.XLOOKUP(Table1[[#This Row],[Full Name ALL]],Contact[Full Name],Contact[Sequence],"Not Found")</f>
        <v>1</v>
      </c>
      <c r="H111" t="s">
        <v>681</v>
      </c>
      <c r="J111" t="s">
        <v>682</v>
      </c>
      <c r="K111">
        <v>2019</v>
      </c>
      <c r="M111" t="s">
        <v>95</v>
      </c>
      <c r="N111" t="s">
        <v>96</v>
      </c>
      <c r="O111" t="s">
        <v>683</v>
      </c>
      <c r="P111" t="s">
        <v>684</v>
      </c>
      <c r="Z111" t="s">
        <v>100</v>
      </c>
      <c r="AA111" t="s">
        <v>685</v>
      </c>
      <c r="AB111" t="s">
        <v>95</v>
      </c>
      <c r="AC111" t="s">
        <v>686</v>
      </c>
      <c r="AE111" t="s">
        <v>687</v>
      </c>
    </row>
    <row r="112" spans="1:31">
      <c r="A112" s="2" t="s">
        <v>677</v>
      </c>
      <c r="B112" s="108" t="s">
        <v>678</v>
      </c>
      <c r="C112" t="s">
        <v>105</v>
      </c>
      <c r="D112" t="s">
        <v>688</v>
      </c>
      <c r="E112" t="s">
        <v>689</v>
      </c>
      <c r="F112" t="str">
        <f t="shared" si="1"/>
        <v>Eugene Romakin</v>
      </c>
      <c r="G112">
        <f>_xlfn.XLOOKUP(Table1[[#This Row],[Full Name ALL]],Contact[Full Name],Contact[Sequence],"Not Found")</f>
        <v>1</v>
      </c>
      <c r="H112" s="101" t="s">
        <v>690</v>
      </c>
      <c r="I112" t="s">
        <v>691</v>
      </c>
      <c r="K112">
        <v>2019</v>
      </c>
      <c r="N112" t="s">
        <v>96</v>
      </c>
      <c r="O112" t="s">
        <v>159</v>
      </c>
      <c r="Z112" t="s">
        <v>98</v>
      </c>
      <c r="AA112" t="s">
        <v>692</v>
      </c>
      <c r="AB112" t="s">
        <v>95</v>
      </c>
      <c r="AC112" t="s">
        <v>693</v>
      </c>
    </row>
    <row r="113" spans="1:30">
      <c r="A113" s="2" t="s">
        <v>677</v>
      </c>
      <c r="B113" s="108" t="s">
        <v>678</v>
      </c>
      <c r="C113" t="s">
        <v>105</v>
      </c>
      <c r="D113" t="s">
        <v>694</v>
      </c>
      <c r="E113" t="s">
        <v>695</v>
      </c>
      <c r="F113" t="str">
        <f t="shared" si="1"/>
        <v>Laura Stonikas</v>
      </c>
      <c r="G113">
        <f>_xlfn.XLOOKUP(Table1[[#This Row],[Full Name ALL]],Contact[Full Name],Contact[Sequence],"Not Found")</f>
        <v>1</v>
      </c>
      <c r="H113" s="101" t="s">
        <v>696</v>
      </c>
      <c r="J113" t="s">
        <v>697</v>
      </c>
      <c r="K113">
        <v>2019</v>
      </c>
      <c r="M113" t="s">
        <v>98</v>
      </c>
      <c r="N113" t="s">
        <v>96</v>
      </c>
      <c r="O113" t="s">
        <v>698</v>
      </c>
      <c r="P113" s="101"/>
      <c r="Z113" t="s">
        <v>102</v>
      </c>
      <c r="AA113" t="s">
        <v>699</v>
      </c>
      <c r="AB113" t="s">
        <v>95</v>
      </c>
      <c r="AC113" t="s">
        <v>700</v>
      </c>
    </row>
    <row r="114" spans="1:30">
      <c r="A114" s="2" t="s">
        <v>175</v>
      </c>
      <c r="B114" s="108" t="s">
        <v>678</v>
      </c>
      <c r="C114" t="s">
        <v>90</v>
      </c>
      <c r="D114" t="s">
        <v>701</v>
      </c>
      <c r="E114" t="s">
        <v>702</v>
      </c>
      <c r="F114" t="str">
        <f t="shared" si="1"/>
        <v>Florin Pustea</v>
      </c>
      <c r="G114">
        <f>_xlfn.XLOOKUP(Table1[[#This Row],[Full Name ALL]],Contact[Full Name],Contact[Sequence],"Not Found")</f>
        <v>1</v>
      </c>
      <c r="H114" s="101" t="s">
        <v>703</v>
      </c>
      <c r="I114" t="s">
        <v>704</v>
      </c>
      <c r="J114" t="s">
        <v>705</v>
      </c>
      <c r="K114">
        <v>2019</v>
      </c>
      <c r="L114" t="s">
        <v>706</v>
      </c>
      <c r="M114" t="s">
        <v>706</v>
      </c>
      <c r="N114" t="s">
        <v>96</v>
      </c>
      <c r="O114" t="s">
        <v>707</v>
      </c>
      <c r="P114" s="101"/>
      <c r="Z114" t="s">
        <v>102</v>
      </c>
      <c r="AA114" t="s">
        <v>708</v>
      </c>
      <c r="AB114" t="s">
        <v>95</v>
      </c>
      <c r="AC114" t="s">
        <v>709</v>
      </c>
      <c r="AD114" t="s">
        <v>710</v>
      </c>
    </row>
    <row r="115" spans="1:30">
      <c r="A115" s="2" t="s">
        <v>175</v>
      </c>
      <c r="B115" s="108" t="s">
        <v>678</v>
      </c>
      <c r="C115" t="s">
        <v>90</v>
      </c>
      <c r="D115" t="s">
        <v>711</v>
      </c>
      <c r="E115" t="s">
        <v>712</v>
      </c>
      <c r="F115" t="str">
        <f t="shared" si="1"/>
        <v>Sam Ng</v>
      </c>
      <c r="G115">
        <f>_xlfn.XLOOKUP(Table1[[#This Row],[Full Name ALL]],Contact[Full Name],Contact[Sequence],"Not Found")</f>
        <v>1</v>
      </c>
      <c r="H115" s="101" t="s">
        <v>713</v>
      </c>
      <c r="J115" t="s">
        <v>714</v>
      </c>
      <c r="K115">
        <v>2019</v>
      </c>
      <c r="L115" t="s">
        <v>706</v>
      </c>
      <c r="M115" t="s">
        <v>706</v>
      </c>
      <c r="N115" t="s">
        <v>96</v>
      </c>
      <c r="O115" t="s">
        <v>707</v>
      </c>
      <c r="P115" s="101"/>
      <c r="Z115" t="s">
        <v>102</v>
      </c>
      <c r="AA115" t="s">
        <v>715</v>
      </c>
      <c r="AB115" t="s">
        <v>95</v>
      </c>
      <c r="AC115" t="s">
        <v>716</v>
      </c>
    </row>
    <row r="116" spans="1:30">
      <c r="A116" t="s">
        <v>717</v>
      </c>
      <c r="B116" s="108" t="s">
        <v>678</v>
      </c>
      <c r="C116" t="s">
        <v>105</v>
      </c>
      <c r="D116" t="s">
        <v>335</v>
      </c>
      <c r="E116" t="s">
        <v>425</v>
      </c>
      <c r="F116" t="str">
        <f t="shared" si="1"/>
        <v>Andrew Wong</v>
      </c>
      <c r="G116">
        <f>_xlfn.XLOOKUP(Table1[[#This Row],[Full Name ALL]],Contact[Full Name],Contact[Sequence],"Not Found")</f>
        <v>1</v>
      </c>
      <c r="H116" s="101" t="s">
        <v>718</v>
      </c>
      <c r="I116" s="5" t="s">
        <v>719</v>
      </c>
      <c r="J116" t="s">
        <v>720</v>
      </c>
      <c r="K116">
        <v>2019</v>
      </c>
      <c r="M116" t="s">
        <v>95</v>
      </c>
      <c r="N116" t="s">
        <v>96</v>
      </c>
      <c r="O116" t="s">
        <v>159</v>
      </c>
      <c r="P116" s="101"/>
      <c r="Z116" t="s">
        <v>98</v>
      </c>
      <c r="AA116" t="s">
        <v>721</v>
      </c>
      <c r="AB116" t="s">
        <v>102</v>
      </c>
      <c r="AC116" t="s">
        <v>722</v>
      </c>
    </row>
    <row r="117" spans="1:30">
      <c r="A117" t="s">
        <v>723</v>
      </c>
      <c r="B117" s="108" t="s">
        <v>678</v>
      </c>
      <c r="C117" t="s">
        <v>90</v>
      </c>
      <c r="D117" t="s">
        <v>724</v>
      </c>
      <c r="E117" t="s">
        <v>725</v>
      </c>
      <c r="F117" t="str">
        <f t="shared" si="1"/>
        <v>Vishy Swarup</v>
      </c>
      <c r="G117">
        <f>_xlfn.XLOOKUP(Table1[[#This Row],[Full Name ALL]],Contact[Full Name],Contact[Sequence],"Not Found")</f>
        <v>1</v>
      </c>
      <c r="H117" t="s">
        <v>726</v>
      </c>
      <c r="I117" s="5" t="s">
        <v>727</v>
      </c>
      <c r="J117" t="s">
        <v>728</v>
      </c>
      <c r="K117">
        <v>2019</v>
      </c>
      <c r="M117" t="s">
        <v>95</v>
      </c>
      <c r="N117" t="s">
        <v>96</v>
      </c>
      <c r="O117" t="s">
        <v>203</v>
      </c>
      <c r="P117" s="101"/>
      <c r="Z117" t="s">
        <v>102</v>
      </c>
      <c r="AA117" t="s">
        <v>729</v>
      </c>
    </row>
    <row r="118" spans="1:30">
      <c r="A118" t="s">
        <v>207</v>
      </c>
      <c r="B118" s="108" t="s">
        <v>306</v>
      </c>
      <c r="C118" t="s">
        <v>90</v>
      </c>
      <c r="D118" t="s">
        <v>730</v>
      </c>
      <c r="E118" t="s">
        <v>731</v>
      </c>
      <c r="F118" t="str">
        <f t="shared" si="1"/>
        <v>Abhilash Bhat</v>
      </c>
      <c r="G118">
        <f>_xlfn.XLOOKUP(Table1[[#This Row],[Full Name ALL]],Contact[Full Name],Contact[Sequence],"Not Found")</f>
        <v>1</v>
      </c>
      <c r="H118" s="101" t="s">
        <v>732</v>
      </c>
      <c r="I118">
        <v>918592070804</v>
      </c>
      <c r="J118" t="s">
        <v>733</v>
      </c>
      <c r="K118">
        <v>2019</v>
      </c>
      <c r="L118" t="s">
        <v>734</v>
      </c>
      <c r="M118" t="s">
        <v>98</v>
      </c>
      <c r="N118" t="s">
        <v>96</v>
      </c>
      <c r="O118" t="s">
        <v>735</v>
      </c>
      <c r="P118" s="101"/>
      <c r="Z118" t="s">
        <v>102</v>
      </c>
      <c r="AA118" t="s">
        <v>736</v>
      </c>
    </row>
    <row r="119" spans="1:30">
      <c r="A119" t="s">
        <v>737</v>
      </c>
      <c r="B119" s="100" t="s">
        <v>738</v>
      </c>
      <c r="C119" t="s">
        <v>105</v>
      </c>
      <c r="D119" t="s">
        <v>739</v>
      </c>
      <c r="E119" t="s">
        <v>740</v>
      </c>
      <c r="F119" t="str">
        <f t="shared" si="1"/>
        <v>Dileep Sathyanarayana</v>
      </c>
      <c r="G119">
        <f>_xlfn.XLOOKUP(Table1[[#This Row],[Full Name ALL]],Contact[Full Name],Contact[Sequence],"Not Found")</f>
        <v>1</v>
      </c>
      <c r="H119" t="s">
        <v>741</v>
      </c>
      <c r="J119" t="s">
        <v>742</v>
      </c>
      <c r="K119">
        <v>2019</v>
      </c>
      <c r="M119" t="s">
        <v>95</v>
      </c>
      <c r="N119" t="s">
        <v>96</v>
      </c>
      <c r="O119" t="s">
        <v>743</v>
      </c>
      <c r="P119" s="101"/>
      <c r="Z119" t="s">
        <v>100</v>
      </c>
      <c r="AA119" t="s">
        <v>744</v>
      </c>
    </row>
    <row r="120" spans="1:30">
      <c r="A120" t="s">
        <v>737</v>
      </c>
      <c r="B120" s="100" t="s">
        <v>738</v>
      </c>
      <c r="C120" t="s">
        <v>105</v>
      </c>
      <c r="D120" t="s">
        <v>745</v>
      </c>
      <c r="E120" t="s">
        <v>581</v>
      </c>
      <c r="F120" t="str">
        <f t="shared" si="1"/>
        <v>Jung Min Ahn</v>
      </c>
      <c r="G120">
        <f>_xlfn.XLOOKUP(Table1[[#This Row],[Full Name ALL]],Contact[Full Name],Contact[Sequence],"Not Found")</f>
        <v>1</v>
      </c>
      <c r="H120" t="s">
        <v>746</v>
      </c>
      <c r="I120" s="2"/>
      <c r="J120" s="2"/>
      <c r="K120">
        <v>2019</v>
      </c>
      <c r="L120" t="s">
        <v>747</v>
      </c>
      <c r="M120" t="s">
        <v>95</v>
      </c>
      <c r="N120" t="s">
        <v>96</v>
      </c>
      <c r="O120" t="s">
        <v>743</v>
      </c>
      <c r="P120" s="101"/>
      <c r="Z120" t="s">
        <v>95</v>
      </c>
      <c r="AA120" t="s">
        <v>748</v>
      </c>
    </row>
    <row r="121" spans="1:30">
      <c r="A121" s="104" t="s">
        <v>112</v>
      </c>
      <c r="B121" s="100" t="s">
        <v>635</v>
      </c>
      <c r="C121" t="s">
        <v>105</v>
      </c>
      <c r="D121" t="s">
        <v>749</v>
      </c>
      <c r="E121" t="s">
        <v>750</v>
      </c>
      <c r="F121" t="str">
        <f t="shared" si="1"/>
        <v>Rebecca Mathew</v>
      </c>
      <c r="G121">
        <f>_xlfn.XLOOKUP(Table1[[#This Row],[Full Name ALL]],Contact[Full Name],Contact[Sequence],"Not Found")</f>
        <v>1</v>
      </c>
      <c r="H121" t="s">
        <v>751</v>
      </c>
      <c r="I121" s="5" t="s">
        <v>270</v>
      </c>
      <c r="J121" t="s">
        <v>752</v>
      </c>
      <c r="K121">
        <v>2019</v>
      </c>
      <c r="L121" t="s">
        <v>753</v>
      </c>
      <c r="M121" t="s">
        <v>95</v>
      </c>
      <c r="N121" t="s">
        <v>96</v>
      </c>
      <c r="O121" t="s">
        <v>687</v>
      </c>
      <c r="P121" s="101"/>
      <c r="Z121" t="s">
        <v>98</v>
      </c>
      <c r="AA121" t="s">
        <v>754</v>
      </c>
      <c r="AB121" t="s">
        <v>95</v>
      </c>
      <c r="AC121" t="s">
        <v>755</v>
      </c>
    </row>
    <row r="122" spans="1:30">
      <c r="A122" s="104" t="s">
        <v>112</v>
      </c>
      <c r="B122" s="100" t="s">
        <v>678</v>
      </c>
      <c r="C122" t="s">
        <v>105</v>
      </c>
      <c r="D122" t="s">
        <v>756</v>
      </c>
      <c r="E122" t="s">
        <v>757</v>
      </c>
      <c r="F122" t="str">
        <f t="shared" si="1"/>
        <v>Raza Gill</v>
      </c>
      <c r="G122">
        <f>_xlfn.XLOOKUP(Table1[[#This Row],[Full Name ALL]],Contact[Full Name],Contact[Sequence],"Not Found")</f>
        <v>1</v>
      </c>
      <c r="H122" t="s">
        <v>758</v>
      </c>
      <c r="I122" s="2"/>
      <c r="J122" s="2"/>
      <c r="K122">
        <v>2019</v>
      </c>
      <c r="L122" t="s">
        <v>759</v>
      </c>
      <c r="M122" t="s">
        <v>95</v>
      </c>
      <c r="N122" s="104" t="s">
        <v>96</v>
      </c>
      <c r="O122" t="s">
        <v>760</v>
      </c>
      <c r="P122" s="101"/>
    </row>
    <row r="123" spans="1:30">
      <c r="A123" s="104" t="s">
        <v>112</v>
      </c>
      <c r="B123" s="100" t="s">
        <v>678</v>
      </c>
      <c r="C123" t="s">
        <v>90</v>
      </c>
      <c r="D123" t="s">
        <v>761</v>
      </c>
      <c r="E123" t="s">
        <v>762</v>
      </c>
      <c r="F123" t="str">
        <f t="shared" si="1"/>
        <v>Jimmy Zhang</v>
      </c>
      <c r="G123">
        <f>_xlfn.XLOOKUP(Table1[[#This Row],[Full Name ALL]],Contact[Full Name],Contact[Sequence],"Not Found")</f>
        <v>1</v>
      </c>
      <c r="H123" t="s">
        <v>763</v>
      </c>
      <c r="J123" s="101" t="s">
        <v>764</v>
      </c>
      <c r="K123">
        <v>2019</v>
      </c>
      <c r="L123" t="s">
        <v>765</v>
      </c>
      <c r="M123" t="s">
        <v>95</v>
      </c>
      <c r="N123" t="s">
        <v>96</v>
      </c>
      <c r="O123" t="s">
        <v>203</v>
      </c>
      <c r="P123" s="101"/>
      <c r="Z123" t="s">
        <v>102</v>
      </c>
      <c r="AA123" t="s">
        <v>766</v>
      </c>
    </row>
    <row r="124" spans="1:30">
      <c r="A124" s="104" t="s">
        <v>112</v>
      </c>
      <c r="B124" s="100" t="s">
        <v>635</v>
      </c>
      <c r="C124" t="s">
        <v>105</v>
      </c>
      <c r="D124" t="s">
        <v>767</v>
      </c>
      <c r="E124" t="s">
        <v>768</v>
      </c>
      <c r="F124" t="str">
        <f t="shared" si="1"/>
        <v>Samantha Kaiser</v>
      </c>
      <c r="G124">
        <f>_xlfn.XLOOKUP(Table1[[#This Row],[Full Name ALL]],Contact[Full Name],Contact[Sequence],"Not Found")</f>
        <v>1</v>
      </c>
      <c r="H124" s="101" t="s">
        <v>769</v>
      </c>
      <c r="I124" t="s">
        <v>770</v>
      </c>
      <c r="K124">
        <v>2019</v>
      </c>
      <c r="Z124" t="s">
        <v>98</v>
      </c>
      <c r="AA124" t="s">
        <v>771</v>
      </c>
      <c r="AB124" t="s">
        <v>95</v>
      </c>
      <c r="AC124" t="s">
        <v>772</v>
      </c>
    </row>
    <row r="125" spans="1:30">
      <c r="A125" s="104" t="s">
        <v>773</v>
      </c>
      <c r="B125" s="100" t="s">
        <v>635</v>
      </c>
      <c r="C125" t="s">
        <v>90</v>
      </c>
      <c r="D125" t="s">
        <v>774</v>
      </c>
      <c r="E125" t="s">
        <v>238</v>
      </c>
      <c r="F125" t="str">
        <f t="shared" si="1"/>
        <v>Priyank Agarwal</v>
      </c>
      <c r="G125">
        <f>_xlfn.XLOOKUP(Table1[[#This Row],[Full Name ALL]],Contact[Full Name],Contact[Sequence],"Not Found")</f>
        <v>1</v>
      </c>
      <c r="H125" t="s">
        <v>775</v>
      </c>
      <c r="I125" s="5" t="s">
        <v>776</v>
      </c>
      <c r="J125" s="101" t="s">
        <v>777</v>
      </c>
      <c r="K125">
        <v>2019</v>
      </c>
      <c r="M125" t="s">
        <v>95</v>
      </c>
      <c r="N125" t="s">
        <v>96</v>
      </c>
      <c r="O125" t="s">
        <v>203</v>
      </c>
      <c r="P125" s="101"/>
      <c r="Z125" t="s">
        <v>102</v>
      </c>
      <c r="AA125" t="s">
        <v>778</v>
      </c>
    </row>
    <row r="126" spans="1:30">
      <c r="A126" s="104" t="s">
        <v>112</v>
      </c>
      <c r="B126" s="104"/>
      <c r="C126" t="s">
        <v>105</v>
      </c>
      <c r="D126" t="s">
        <v>779</v>
      </c>
      <c r="E126" t="s">
        <v>238</v>
      </c>
      <c r="F126" t="str">
        <f t="shared" si="1"/>
        <v>Divya Agarwal</v>
      </c>
      <c r="G126">
        <f>_xlfn.XLOOKUP(Table1[[#This Row],[Full Name ALL]],Contact[Full Name],Contact[Sequence],"Not Found")</f>
        <v>1</v>
      </c>
      <c r="H126" t="s">
        <v>780</v>
      </c>
      <c r="I126" s="5" t="s">
        <v>270</v>
      </c>
      <c r="J126" t="s">
        <v>781</v>
      </c>
      <c r="K126">
        <v>2019</v>
      </c>
      <c r="M126" t="s">
        <v>95</v>
      </c>
      <c r="N126" s="104" t="s">
        <v>96</v>
      </c>
      <c r="O126" t="s">
        <v>782</v>
      </c>
      <c r="P126" s="101"/>
    </row>
    <row r="127" spans="1:30">
      <c r="A127" s="104" t="s">
        <v>112</v>
      </c>
      <c r="B127" s="104"/>
      <c r="C127" t="s">
        <v>90</v>
      </c>
      <c r="D127" t="s">
        <v>783</v>
      </c>
      <c r="E127" t="s">
        <v>784</v>
      </c>
      <c r="F127" t="str">
        <f t="shared" si="1"/>
        <v>Akhilesh Chauhan</v>
      </c>
      <c r="G127">
        <f>_xlfn.XLOOKUP(Table1[[#This Row],[Full Name ALL]],Contact[Full Name],Contact[Sequence],"Not Found")</f>
        <v>1</v>
      </c>
      <c r="H127" t="s">
        <v>785</v>
      </c>
      <c r="J127" t="s">
        <v>786</v>
      </c>
      <c r="K127">
        <v>2019</v>
      </c>
      <c r="M127" t="s">
        <v>95</v>
      </c>
      <c r="N127" s="104" t="s">
        <v>96</v>
      </c>
      <c r="O127" t="s">
        <v>787</v>
      </c>
      <c r="P127" s="101"/>
    </row>
    <row r="128" spans="1:30">
      <c r="A128" s="104" t="s">
        <v>112</v>
      </c>
      <c r="B128" s="104"/>
      <c r="C128" t="s">
        <v>105</v>
      </c>
      <c r="D128" t="s">
        <v>788</v>
      </c>
      <c r="E128" t="s">
        <v>789</v>
      </c>
      <c r="F128" t="str">
        <f t="shared" si="1"/>
        <v>Aihua Kralovic</v>
      </c>
      <c r="G128">
        <f>_xlfn.XLOOKUP(Table1[[#This Row],[Full Name ALL]],Contact[Full Name],Contact[Sequence],"Not Found")</f>
        <v>1</v>
      </c>
      <c r="H128" t="s">
        <v>790</v>
      </c>
      <c r="I128" s="5" t="s">
        <v>791</v>
      </c>
      <c r="J128" t="s">
        <v>792</v>
      </c>
      <c r="K128">
        <v>2019</v>
      </c>
      <c r="L128" t="s">
        <v>793</v>
      </c>
      <c r="M128" t="s">
        <v>95</v>
      </c>
      <c r="N128" s="104" t="s">
        <v>96</v>
      </c>
      <c r="O128" t="s">
        <v>787</v>
      </c>
      <c r="P128" s="101"/>
    </row>
    <row r="129" spans="1:16">
      <c r="A129" s="104" t="s">
        <v>112</v>
      </c>
      <c r="B129" s="104"/>
      <c r="C129" t="s">
        <v>105</v>
      </c>
      <c r="D129" t="s">
        <v>794</v>
      </c>
      <c r="E129" t="s">
        <v>795</v>
      </c>
      <c r="F129" t="str">
        <f t="shared" si="1"/>
        <v>Geoff Allen</v>
      </c>
      <c r="G129">
        <f>_xlfn.XLOOKUP(Table1[[#This Row],[Full Name ALL]],Contact[Full Name],Contact[Sequence],"Not Found")</f>
        <v>1</v>
      </c>
      <c r="H129" t="s">
        <v>796</v>
      </c>
      <c r="I129" s="5" t="s">
        <v>797</v>
      </c>
      <c r="J129" t="s">
        <v>798</v>
      </c>
      <c r="K129">
        <v>2019</v>
      </c>
      <c r="M129" t="s">
        <v>95</v>
      </c>
      <c r="N129" s="104" t="s">
        <v>96</v>
      </c>
      <c r="O129" t="s">
        <v>799</v>
      </c>
      <c r="P129" s="101"/>
    </row>
    <row r="130" spans="1:16">
      <c r="A130" s="104" t="s">
        <v>112</v>
      </c>
      <c r="B130" s="104"/>
      <c r="C130" t="s">
        <v>105</v>
      </c>
      <c r="D130" t="s">
        <v>800</v>
      </c>
      <c r="E130" t="s">
        <v>801</v>
      </c>
      <c r="F130" t="str">
        <f t="shared" ref="F130:F193" si="2">D130&amp;" "&amp;E130</f>
        <v>Ashley Dreier</v>
      </c>
      <c r="G130">
        <f>_xlfn.XLOOKUP(Table1[[#This Row],[Full Name ALL]],Contact[Full Name],Contact[Sequence],"Not Found")</f>
        <v>1</v>
      </c>
      <c r="H130" t="s">
        <v>802</v>
      </c>
      <c r="I130" s="5" t="s">
        <v>803</v>
      </c>
      <c r="J130" t="s">
        <v>804</v>
      </c>
      <c r="K130">
        <v>2019</v>
      </c>
      <c r="M130" t="s">
        <v>95</v>
      </c>
      <c r="N130" s="104" t="s">
        <v>96</v>
      </c>
      <c r="O130" t="s">
        <v>665</v>
      </c>
      <c r="P130" s="101"/>
    </row>
    <row r="131" spans="1:16">
      <c r="A131" s="104" t="s">
        <v>112</v>
      </c>
      <c r="B131" s="104"/>
      <c r="C131" t="s">
        <v>105</v>
      </c>
      <c r="D131" t="s">
        <v>335</v>
      </c>
      <c r="E131" t="s">
        <v>805</v>
      </c>
      <c r="F131" t="str">
        <f t="shared" si="2"/>
        <v>Andrew Gonce</v>
      </c>
      <c r="G131">
        <f>_xlfn.XLOOKUP(Table1[[#This Row],[Full Name ALL]],Contact[Full Name],Contact[Sequence],"Not Found")</f>
        <v>1</v>
      </c>
      <c r="H131" t="s">
        <v>806</v>
      </c>
      <c r="I131" s="5" t="s">
        <v>807</v>
      </c>
      <c r="J131" t="s">
        <v>808</v>
      </c>
      <c r="K131">
        <v>2019</v>
      </c>
      <c r="L131" t="s">
        <v>793</v>
      </c>
      <c r="M131" t="s">
        <v>95</v>
      </c>
      <c r="N131" s="104" t="s">
        <v>96</v>
      </c>
      <c r="O131" t="s">
        <v>809</v>
      </c>
      <c r="P131" s="101"/>
    </row>
    <row r="132" spans="1:16">
      <c r="A132" s="104" t="s">
        <v>112</v>
      </c>
      <c r="B132" s="104"/>
      <c r="C132" t="s">
        <v>90</v>
      </c>
      <c r="D132" t="s">
        <v>810</v>
      </c>
      <c r="E132" t="s">
        <v>811</v>
      </c>
      <c r="F132" t="str">
        <f t="shared" si="2"/>
        <v>Subbu Subbu Chidambaran</v>
      </c>
      <c r="G132">
        <f>_xlfn.XLOOKUP(Table1[[#This Row],[Full Name ALL]],Contact[Full Name],Contact[Sequence],"Not Found")</f>
        <v>1</v>
      </c>
      <c r="H132" t="s">
        <v>812</v>
      </c>
      <c r="J132" t="s">
        <v>813</v>
      </c>
      <c r="K132">
        <v>2019</v>
      </c>
      <c r="M132" t="s">
        <v>95</v>
      </c>
      <c r="N132" s="104" t="s">
        <v>96</v>
      </c>
      <c r="O132" t="s">
        <v>814</v>
      </c>
      <c r="P132" s="101"/>
    </row>
    <row r="133" spans="1:16">
      <c r="A133" s="104" t="s">
        <v>112</v>
      </c>
      <c r="B133" s="104"/>
      <c r="C133" t="s">
        <v>90</v>
      </c>
      <c r="D133" t="s">
        <v>815</v>
      </c>
      <c r="E133" t="s">
        <v>816</v>
      </c>
      <c r="F133" t="str">
        <f t="shared" si="2"/>
        <v>Brian Lo</v>
      </c>
      <c r="G133">
        <f>_xlfn.XLOOKUP(Table1[[#This Row],[Full Name ALL]],Contact[Full Name],Contact[Sequence],"Not Found")</f>
        <v>1</v>
      </c>
      <c r="H133" t="s">
        <v>817</v>
      </c>
      <c r="I133" s="5" t="s">
        <v>818</v>
      </c>
      <c r="J133" t="s">
        <v>819</v>
      </c>
      <c r="K133">
        <v>2019</v>
      </c>
      <c r="M133" t="s">
        <v>95</v>
      </c>
      <c r="N133" s="104" t="s">
        <v>96</v>
      </c>
      <c r="O133" t="s">
        <v>665</v>
      </c>
      <c r="P133" s="101"/>
    </row>
    <row r="134" spans="1:16">
      <c r="A134" s="104" t="s">
        <v>112</v>
      </c>
      <c r="B134" s="104"/>
      <c r="C134" t="s">
        <v>105</v>
      </c>
      <c r="D134" t="s">
        <v>820</v>
      </c>
      <c r="E134" t="s">
        <v>443</v>
      </c>
      <c r="F134" t="str">
        <f t="shared" si="2"/>
        <v>Chao Xu</v>
      </c>
      <c r="G134">
        <f>_xlfn.XLOOKUP(Table1[[#This Row],[Full Name ALL]],Contact[Full Name],Contact[Sequence],"Not Found")</f>
        <v>1</v>
      </c>
      <c r="H134" t="s">
        <v>821</v>
      </c>
      <c r="I134" s="5" t="s">
        <v>270</v>
      </c>
      <c r="J134" t="s">
        <v>822</v>
      </c>
      <c r="K134">
        <v>2019</v>
      </c>
      <c r="L134" t="s">
        <v>823</v>
      </c>
      <c r="M134" t="s">
        <v>95</v>
      </c>
      <c r="N134" s="104" t="s">
        <v>96</v>
      </c>
      <c r="O134" t="s">
        <v>824</v>
      </c>
      <c r="P134" s="101"/>
    </row>
    <row r="135" spans="1:16">
      <c r="A135" s="104" t="s">
        <v>112</v>
      </c>
      <c r="B135" s="104"/>
      <c r="C135" t="s">
        <v>90</v>
      </c>
      <c r="D135" t="s">
        <v>825</v>
      </c>
      <c r="E135" t="s">
        <v>826</v>
      </c>
      <c r="F135" t="str">
        <f t="shared" si="2"/>
        <v>Yen Pin Cheong</v>
      </c>
      <c r="G135">
        <f>_xlfn.XLOOKUP(Table1[[#This Row],[Full Name ALL]],Contact[Full Name],Contact[Sequence],"Not Found")</f>
        <v>1</v>
      </c>
      <c r="H135" t="s">
        <v>827</v>
      </c>
      <c r="J135" t="s">
        <v>828</v>
      </c>
      <c r="K135">
        <v>2019</v>
      </c>
      <c r="M135" t="s">
        <v>95</v>
      </c>
      <c r="N135" s="104" t="s">
        <v>96</v>
      </c>
      <c r="O135" t="s">
        <v>787</v>
      </c>
      <c r="P135" s="101"/>
    </row>
    <row r="136" spans="1:16">
      <c r="A136" s="104" t="s">
        <v>112</v>
      </c>
      <c r="B136" s="104"/>
      <c r="C136" t="s">
        <v>90</v>
      </c>
      <c r="D136" t="s">
        <v>829</v>
      </c>
      <c r="E136" t="s">
        <v>830</v>
      </c>
      <c r="F136" t="str">
        <f t="shared" si="2"/>
        <v>David Yin</v>
      </c>
      <c r="G136">
        <f>_xlfn.XLOOKUP(Table1[[#This Row],[Full Name ALL]],Contact[Full Name],Contact[Sequence],"Not Found")</f>
        <v>1</v>
      </c>
      <c r="H136" t="s">
        <v>831</v>
      </c>
      <c r="J136" t="s">
        <v>832</v>
      </c>
      <c r="K136">
        <v>2019</v>
      </c>
      <c r="L136" t="s">
        <v>833</v>
      </c>
      <c r="M136" t="s">
        <v>98</v>
      </c>
      <c r="N136" s="104" t="s">
        <v>96</v>
      </c>
      <c r="O136" t="s">
        <v>834</v>
      </c>
      <c r="P136" s="101"/>
    </row>
    <row r="137" spans="1:16">
      <c r="A137" s="104" t="s">
        <v>112</v>
      </c>
      <c r="B137" s="104"/>
      <c r="C137" t="s">
        <v>90</v>
      </c>
      <c r="D137" t="s">
        <v>835</v>
      </c>
      <c r="E137" t="s">
        <v>836</v>
      </c>
      <c r="F137" t="str">
        <f t="shared" si="2"/>
        <v>Chintan Dhebar</v>
      </c>
      <c r="G137">
        <f>_xlfn.XLOOKUP(Table1[[#This Row],[Full Name ALL]],Contact[Full Name],Contact[Sequence],"Not Found")</f>
        <v>1</v>
      </c>
      <c r="H137" t="s">
        <v>837</v>
      </c>
      <c r="J137" t="s">
        <v>838</v>
      </c>
      <c r="K137">
        <v>2019</v>
      </c>
      <c r="L137" t="s">
        <v>839</v>
      </c>
      <c r="M137" t="s">
        <v>95</v>
      </c>
      <c r="N137" s="104" t="s">
        <v>96</v>
      </c>
      <c r="O137" t="s">
        <v>840</v>
      </c>
      <c r="P137" s="101"/>
    </row>
    <row r="138" spans="1:16">
      <c r="A138" s="104" t="s">
        <v>112</v>
      </c>
      <c r="B138" s="104"/>
      <c r="C138" t="s">
        <v>90</v>
      </c>
      <c r="D138" t="s">
        <v>841</v>
      </c>
      <c r="E138" t="s">
        <v>842</v>
      </c>
      <c r="F138" t="str">
        <f t="shared" si="2"/>
        <v>Dongwook Choi</v>
      </c>
      <c r="G138">
        <f>_xlfn.XLOOKUP(Table1[[#This Row],[Full Name ALL]],Contact[Full Name],Contact[Sequence],"Not Found")</f>
        <v>1</v>
      </c>
      <c r="H138" t="s">
        <v>843</v>
      </c>
      <c r="I138" s="5" t="s">
        <v>844</v>
      </c>
      <c r="J138" t="s">
        <v>845</v>
      </c>
      <c r="K138">
        <v>2019</v>
      </c>
      <c r="M138" t="s">
        <v>95</v>
      </c>
      <c r="N138" s="104" t="s">
        <v>96</v>
      </c>
      <c r="O138" t="s">
        <v>846</v>
      </c>
      <c r="P138" s="101"/>
    </row>
    <row r="139" spans="1:16">
      <c r="A139" s="104" t="s">
        <v>112</v>
      </c>
      <c r="B139" s="104"/>
      <c r="C139" t="s">
        <v>105</v>
      </c>
      <c r="D139" t="s">
        <v>847</v>
      </c>
      <c r="E139" t="s">
        <v>848</v>
      </c>
      <c r="F139" t="str">
        <f t="shared" si="2"/>
        <v>Emily Osborne</v>
      </c>
      <c r="G139">
        <f>_xlfn.XLOOKUP(Table1[[#This Row],[Full Name ALL]],Contact[Full Name],Contact[Sequence],"Not Found")</f>
        <v>1</v>
      </c>
      <c r="H139" t="s">
        <v>849</v>
      </c>
      <c r="I139" s="5" t="s">
        <v>270</v>
      </c>
      <c r="J139" t="s">
        <v>850</v>
      </c>
      <c r="K139">
        <v>2019</v>
      </c>
      <c r="L139" t="s">
        <v>851</v>
      </c>
      <c r="M139" t="s">
        <v>95</v>
      </c>
      <c r="N139" s="104" t="s">
        <v>96</v>
      </c>
      <c r="O139" t="s">
        <v>852</v>
      </c>
      <c r="P139" s="101"/>
    </row>
    <row r="140" spans="1:16">
      <c r="A140" s="104" t="s">
        <v>112</v>
      </c>
      <c r="B140" s="104"/>
      <c r="C140" t="s">
        <v>105</v>
      </c>
      <c r="D140" t="s">
        <v>853</v>
      </c>
      <c r="E140" t="s">
        <v>854</v>
      </c>
      <c r="F140" t="str">
        <f t="shared" si="2"/>
        <v>Felix Oliha</v>
      </c>
      <c r="G140">
        <f>_xlfn.XLOOKUP(Table1[[#This Row],[Full Name ALL]],Contact[Full Name],Contact[Sequence],"Not Found")</f>
        <v>1</v>
      </c>
      <c r="H140" t="s">
        <v>855</v>
      </c>
      <c r="I140" s="5" t="s">
        <v>856</v>
      </c>
      <c r="J140" t="s">
        <v>857</v>
      </c>
      <c r="K140">
        <v>2019</v>
      </c>
      <c r="L140" t="s">
        <v>858</v>
      </c>
      <c r="M140" t="s">
        <v>95</v>
      </c>
      <c r="N140" s="104" t="s">
        <v>96</v>
      </c>
      <c r="O140" t="s">
        <v>859</v>
      </c>
      <c r="P140" s="101"/>
    </row>
    <row r="141" spans="1:16">
      <c r="A141" s="104" t="s">
        <v>112</v>
      </c>
      <c r="B141" s="104"/>
      <c r="C141" t="s">
        <v>90</v>
      </c>
      <c r="D141" t="s">
        <v>376</v>
      </c>
      <c r="E141" t="s">
        <v>860</v>
      </c>
      <c r="F141" t="str">
        <f t="shared" si="2"/>
        <v>Gaurav Shah</v>
      </c>
      <c r="G141">
        <f>_xlfn.XLOOKUP(Table1[[#This Row],[Full Name ALL]],Contact[Full Name],Contact[Sequence],"Not Found")</f>
        <v>1</v>
      </c>
      <c r="H141" t="s">
        <v>861</v>
      </c>
      <c r="J141" t="s">
        <v>862</v>
      </c>
      <c r="K141">
        <v>2019</v>
      </c>
      <c r="M141" t="s">
        <v>95</v>
      </c>
      <c r="N141" s="104" t="s">
        <v>96</v>
      </c>
      <c r="O141" t="s">
        <v>863</v>
      </c>
      <c r="P141" s="101"/>
    </row>
    <row r="142" spans="1:16">
      <c r="A142" s="104" t="s">
        <v>112</v>
      </c>
      <c r="B142" s="104"/>
      <c r="C142" t="s">
        <v>105</v>
      </c>
      <c r="D142" t="s">
        <v>864</v>
      </c>
      <c r="E142" t="s">
        <v>860</v>
      </c>
      <c r="F142" t="str">
        <f t="shared" si="2"/>
        <v>Tina Shah</v>
      </c>
      <c r="G142">
        <f>_xlfn.XLOOKUP(Table1[[#This Row],[Full Name ALL]],Contact[Full Name],Contact[Sequence],"Not Found")</f>
        <v>1</v>
      </c>
      <c r="H142" t="s">
        <v>865</v>
      </c>
      <c r="I142" s="5" t="s">
        <v>270</v>
      </c>
      <c r="J142" t="s">
        <v>866</v>
      </c>
      <c r="K142">
        <v>2019</v>
      </c>
      <c r="L142" t="s">
        <v>793</v>
      </c>
      <c r="M142" t="s">
        <v>95</v>
      </c>
      <c r="N142" s="104" t="s">
        <v>96</v>
      </c>
      <c r="O142" t="s">
        <v>867</v>
      </c>
      <c r="P142" s="101"/>
    </row>
    <row r="143" spans="1:16">
      <c r="A143" s="104" t="s">
        <v>112</v>
      </c>
      <c r="B143" s="104"/>
      <c r="C143" t="s">
        <v>90</v>
      </c>
      <c r="D143" t="s">
        <v>868</v>
      </c>
      <c r="E143" t="s">
        <v>869</v>
      </c>
      <c r="F143" t="str">
        <f t="shared" si="2"/>
        <v>Wai-Hoong Leung</v>
      </c>
      <c r="G143">
        <f>_xlfn.XLOOKUP(Table1[[#This Row],[Full Name ALL]],Contact[Full Name],Contact[Sequence],"Not Found")</f>
        <v>1</v>
      </c>
      <c r="H143" t="s">
        <v>870</v>
      </c>
      <c r="I143" s="5" t="s">
        <v>871</v>
      </c>
      <c r="J143" t="s">
        <v>872</v>
      </c>
      <c r="K143">
        <v>2019</v>
      </c>
      <c r="M143" t="s">
        <v>95</v>
      </c>
      <c r="N143" s="104" t="s">
        <v>96</v>
      </c>
      <c r="O143" t="s">
        <v>873</v>
      </c>
      <c r="P143" s="101"/>
    </row>
    <row r="144" spans="1:16">
      <c r="A144" s="104" t="s">
        <v>112</v>
      </c>
      <c r="B144" s="104"/>
      <c r="C144" t="s">
        <v>105</v>
      </c>
      <c r="D144" t="s">
        <v>874</v>
      </c>
      <c r="E144" t="s">
        <v>875</v>
      </c>
      <c r="F144" t="str">
        <f t="shared" si="2"/>
        <v>Kate Augustine</v>
      </c>
      <c r="G144">
        <f>_xlfn.XLOOKUP(Table1[[#This Row],[Full Name ALL]],Contact[Full Name],Contact[Sequence],"Not Found")</f>
        <v>1</v>
      </c>
      <c r="H144" t="s">
        <v>876</v>
      </c>
      <c r="I144" s="5" t="s">
        <v>270</v>
      </c>
      <c r="J144" t="s">
        <v>877</v>
      </c>
      <c r="K144">
        <v>2019</v>
      </c>
      <c r="M144" t="s">
        <v>95</v>
      </c>
      <c r="N144" s="104" t="s">
        <v>96</v>
      </c>
      <c r="O144" t="s">
        <v>878</v>
      </c>
      <c r="P144" s="101"/>
    </row>
    <row r="145" spans="1:16">
      <c r="A145" s="104" t="s">
        <v>112</v>
      </c>
      <c r="B145" s="104"/>
      <c r="C145" t="s">
        <v>90</v>
      </c>
      <c r="D145" t="s">
        <v>394</v>
      </c>
      <c r="E145" t="s">
        <v>879</v>
      </c>
      <c r="F145" t="str">
        <f t="shared" si="2"/>
        <v>Ian Mombru</v>
      </c>
      <c r="G145">
        <f>_xlfn.XLOOKUP(Table1[[#This Row],[Full Name ALL]],Contact[Full Name],Contact[Sequence],"Not Found")</f>
        <v>1</v>
      </c>
      <c r="H145" t="s">
        <v>880</v>
      </c>
      <c r="I145" s="5" t="s">
        <v>881</v>
      </c>
      <c r="J145" t="s">
        <v>882</v>
      </c>
      <c r="K145">
        <v>2019</v>
      </c>
      <c r="M145" t="s">
        <v>95</v>
      </c>
      <c r="N145" s="104" t="s">
        <v>96</v>
      </c>
      <c r="O145" t="s">
        <v>846</v>
      </c>
      <c r="P145" s="101"/>
    </row>
    <row r="146" spans="1:16">
      <c r="A146" s="104" t="s">
        <v>112</v>
      </c>
      <c r="B146" s="104"/>
      <c r="C146" t="s">
        <v>105</v>
      </c>
      <c r="D146" t="s">
        <v>883</v>
      </c>
      <c r="E146" t="s">
        <v>884</v>
      </c>
      <c r="F146" t="str">
        <f t="shared" si="2"/>
        <v>Jack Baer</v>
      </c>
      <c r="G146">
        <f>_xlfn.XLOOKUP(Table1[[#This Row],[Full Name ALL]],Contact[Full Name],Contact[Sequence],"Not Found")</f>
        <v>1</v>
      </c>
      <c r="H146" s="101" t="s">
        <v>885</v>
      </c>
      <c r="I146" s="5" t="s">
        <v>886</v>
      </c>
      <c r="J146" t="s">
        <v>887</v>
      </c>
      <c r="K146">
        <v>2019</v>
      </c>
      <c r="M146" t="s">
        <v>95</v>
      </c>
      <c r="N146" s="104" t="s">
        <v>96</v>
      </c>
      <c r="O146" t="s">
        <v>888</v>
      </c>
      <c r="P146" s="101"/>
    </row>
    <row r="147" spans="1:16">
      <c r="A147" s="104" t="s">
        <v>112</v>
      </c>
      <c r="B147" s="104"/>
      <c r="C147" t="s">
        <v>105</v>
      </c>
      <c r="D147" t="s">
        <v>889</v>
      </c>
      <c r="E147" t="s">
        <v>890</v>
      </c>
      <c r="F147" t="str">
        <f t="shared" si="2"/>
        <v>Jared Leopold</v>
      </c>
      <c r="G147">
        <f>_xlfn.XLOOKUP(Table1[[#This Row],[Full Name ALL]],Contact[Full Name],Contact[Sequence],"Not Found")</f>
        <v>1</v>
      </c>
      <c r="H147" t="s">
        <v>891</v>
      </c>
      <c r="I147" s="5" t="s">
        <v>892</v>
      </c>
      <c r="J147" t="s">
        <v>893</v>
      </c>
      <c r="K147">
        <v>2019</v>
      </c>
      <c r="L147" t="s">
        <v>894</v>
      </c>
      <c r="M147" t="s">
        <v>193</v>
      </c>
      <c r="N147" s="104" t="s">
        <v>70</v>
      </c>
      <c r="P147" s="101"/>
    </row>
    <row r="148" spans="1:16">
      <c r="A148" s="104" t="s">
        <v>112</v>
      </c>
      <c r="B148" s="104"/>
      <c r="C148" t="s">
        <v>105</v>
      </c>
      <c r="D148" t="s">
        <v>895</v>
      </c>
      <c r="E148" t="s">
        <v>438</v>
      </c>
      <c r="F148" t="str">
        <f t="shared" si="2"/>
        <v>Jason Li</v>
      </c>
      <c r="G148">
        <f>_xlfn.XLOOKUP(Table1[[#This Row],[Full Name ALL]],Contact[Full Name],Contact[Sequence],"Not Found")</f>
        <v>1</v>
      </c>
      <c r="H148" t="s">
        <v>896</v>
      </c>
      <c r="I148" s="5" t="s">
        <v>270</v>
      </c>
      <c r="J148" t="s">
        <v>897</v>
      </c>
      <c r="K148">
        <v>2019</v>
      </c>
      <c r="M148" t="s">
        <v>95</v>
      </c>
      <c r="N148" s="104" t="s">
        <v>96</v>
      </c>
      <c r="O148" t="s">
        <v>898</v>
      </c>
      <c r="P148" s="101"/>
    </row>
    <row r="149" spans="1:16">
      <c r="A149" s="104" t="s">
        <v>112</v>
      </c>
      <c r="B149" s="104"/>
      <c r="C149" t="s">
        <v>90</v>
      </c>
      <c r="D149" t="s">
        <v>420</v>
      </c>
      <c r="E149" t="s">
        <v>478</v>
      </c>
      <c r="F149" t="str">
        <f t="shared" si="2"/>
        <v>Karan Gandhi</v>
      </c>
      <c r="G149">
        <f>_xlfn.XLOOKUP(Table1[[#This Row],[Full Name ALL]],Contact[Full Name],Contact[Sequence],"Not Found")</f>
        <v>1</v>
      </c>
      <c r="H149" t="s">
        <v>899</v>
      </c>
      <c r="I149" s="5" t="s">
        <v>900</v>
      </c>
      <c r="J149" t="s">
        <v>901</v>
      </c>
      <c r="K149">
        <v>2019</v>
      </c>
      <c r="M149" t="s">
        <v>95</v>
      </c>
      <c r="N149" s="104" t="s">
        <v>96</v>
      </c>
      <c r="O149" t="s">
        <v>665</v>
      </c>
      <c r="P149" s="101"/>
    </row>
    <row r="150" spans="1:16">
      <c r="A150" s="104" t="s">
        <v>112</v>
      </c>
      <c r="B150" s="104"/>
      <c r="C150" t="s">
        <v>105</v>
      </c>
      <c r="D150" t="s">
        <v>902</v>
      </c>
      <c r="E150" t="s">
        <v>903</v>
      </c>
      <c r="F150" t="str">
        <f t="shared" si="2"/>
        <v>Katie Straub</v>
      </c>
      <c r="G150">
        <f>_xlfn.XLOOKUP(Table1[[#This Row],[Full Name ALL]],Contact[Full Name],Contact[Sequence],"Not Found")</f>
        <v>1</v>
      </c>
      <c r="H150" t="s">
        <v>904</v>
      </c>
      <c r="I150" s="5" t="s">
        <v>270</v>
      </c>
      <c r="J150" t="s">
        <v>905</v>
      </c>
      <c r="K150">
        <v>2019</v>
      </c>
      <c r="L150" t="s">
        <v>906</v>
      </c>
      <c r="M150" t="s">
        <v>95</v>
      </c>
      <c r="N150" s="104" t="s">
        <v>70</v>
      </c>
      <c r="P150" s="101"/>
    </row>
    <row r="151" spans="1:16">
      <c r="A151" s="104" t="s">
        <v>112</v>
      </c>
      <c r="B151" s="104"/>
      <c r="C151" t="s">
        <v>105</v>
      </c>
      <c r="D151" t="s">
        <v>907</v>
      </c>
      <c r="E151" t="s">
        <v>908</v>
      </c>
      <c r="F151" t="str">
        <f t="shared" si="2"/>
        <v>Kristin Sahyouni</v>
      </c>
      <c r="G151">
        <f>_xlfn.XLOOKUP(Table1[[#This Row],[Full Name ALL]],Contact[Full Name],Contact[Sequence],"Not Found")</f>
        <v>1</v>
      </c>
      <c r="H151" t="s">
        <v>909</v>
      </c>
      <c r="I151" s="5" t="s">
        <v>910</v>
      </c>
      <c r="J151" t="s">
        <v>911</v>
      </c>
      <c r="K151">
        <v>2019</v>
      </c>
      <c r="L151" t="s">
        <v>912</v>
      </c>
      <c r="M151" t="s">
        <v>95</v>
      </c>
      <c r="N151" s="104" t="s">
        <v>96</v>
      </c>
      <c r="O151" t="s">
        <v>859</v>
      </c>
      <c r="P151" s="101"/>
    </row>
    <row r="152" spans="1:16">
      <c r="A152" s="104" t="s">
        <v>112</v>
      </c>
      <c r="B152" s="104"/>
      <c r="C152" t="s">
        <v>185</v>
      </c>
      <c r="D152" t="s">
        <v>694</v>
      </c>
      <c r="E152" t="s">
        <v>913</v>
      </c>
      <c r="F152" t="str">
        <f t="shared" si="2"/>
        <v>Laura Gonçalves da Camara</v>
      </c>
      <c r="G152">
        <f>_xlfn.XLOOKUP(Table1[[#This Row],[Full Name ALL]],Contact[Full Name],Contact[Sequence],"Not Found")</f>
        <v>1</v>
      </c>
      <c r="H152" t="s">
        <v>914</v>
      </c>
      <c r="J152" t="s">
        <v>915</v>
      </c>
      <c r="K152">
        <v>2019</v>
      </c>
      <c r="L152" t="s">
        <v>916</v>
      </c>
      <c r="M152" t="s">
        <v>95</v>
      </c>
      <c r="N152" s="104" t="s">
        <v>96</v>
      </c>
      <c r="O152" t="s">
        <v>787</v>
      </c>
      <c r="P152" s="101"/>
    </row>
    <row r="153" spans="1:16">
      <c r="A153" s="104" t="s">
        <v>112</v>
      </c>
      <c r="B153" s="104"/>
      <c r="C153" t="s">
        <v>105</v>
      </c>
      <c r="D153" t="s">
        <v>917</v>
      </c>
      <c r="E153" t="s">
        <v>918</v>
      </c>
      <c r="F153" t="str">
        <f t="shared" si="2"/>
        <v>Luis Escobedo</v>
      </c>
      <c r="G153">
        <f>_xlfn.XLOOKUP(Table1[[#This Row],[Full Name ALL]],Contact[Full Name],Contact[Sequence],"Not Found")</f>
        <v>1</v>
      </c>
      <c r="H153" t="s">
        <v>919</v>
      </c>
      <c r="I153" s="5" t="s">
        <v>920</v>
      </c>
      <c r="J153" t="s">
        <v>921</v>
      </c>
      <c r="K153">
        <v>2019</v>
      </c>
      <c r="L153" t="s">
        <v>922</v>
      </c>
      <c r="M153" t="s">
        <v>95</v>
      </c>
      <c r="N153" s="104" t="s">
        <v>70</v>
      </c>
      <c r="P153" s="101"/>
    </row>
    <row r="154" spans="1:16">
      <c r="A154" s="104" t="s">
        <v>112</v>
      </c>
      <c r="B154" s="104"/>
      <c r="C154" t="s">
        <v>105</v>
      </c>
      <c r="D154" t="s">
        <v>923</v>
      </c>
      <c r="E154" t="s">
        <v>924</v>
      </c>
      <c r="F154" t="str">
        <f t="shared" si="2"/>
        <v>Matthew Rosenberg</v>
      </c>
      <c r="G154">
        <f>_xlfn.XLOOKUP(Table1[[#This Row],[Full Name ALL]],Contact[Full Name],Contact[Sequence],"Not Found")</f>
        <v>1</v>
      </c>
      <c r="H154" t="s">
        <v>925</v>
      </c>
      <c r="I154" s="5" t="s">
        <v>926</v>
      </c>
      <c r="J154" t="s">
        <v>927</v>
      </c>
      <c r="K154">
        <v>2019</v>
      </c>
      <c r="M154" t="s">
        <v>95</v>
      </c>
      <c r="N154" s="104" t="s">
        <v>96</v>
      </c>
      <c r="O154" t="s">
        <v>928</v>
      </c>
      <c r="P154" s="101"/>
    </row>
    <row r="155" spans="1:16">
      <c r="A155" s="104" t="s">
        <v>112</v>
      </c>
      <c r="B155" s="104"/>
      <c r="C155" t="s">
        <v>90</v>
      </c>
      <c r="D155" t="s">
        <v>929</v>
      </c>
      <c r="E155" t="s">
        <v>930</v>
      </c>
      <c r="F155" t="str">
        <f t="shared" si="2"/>
        <v>Meghana Rajeshwar</v>
      </c>
      <c r="G155">
        <f>_xlfn.XLOOKUP(Table1[[#This Row],[Full Name ALL]],Contact[Full Name],Contact[Sequence],"Not Found")</f>
        <v>1</v>
      </c>
      <c r="H155" t="s">
        <v>931</v>
      </c>
      <c r="I155" s="5" t="s">
        <v>932</v>
      </c>
      <c r="J155" t="s">
        <v>933</v>
      </c>
      <c r="K155">
        <v>2019</v>
      </c>
      <c r="M155" t="s">
        <v>95</v>
      </c>
      <c r="N155" s="104" t="s">
        <v>96</v>
      </c>
      <c r="O155" t="s">
        <v>665</v>
      </c>
      <c r="P155" s="101"/>
    </row>
    <row r="156" spans="1:16">
      <c r="A156" s="104" t="s">
        <v>112</v>
      </c>
      <c r="B156" s="104"/>
      <c r="C156" t="s">
        <v>105</v>
      </c>
      <c r="D156" t="s">
        <v>934</v>
      </c>
      <c r="E156" t="s">
        <v>935</v>
      </c>
      <c r="F156" t="str">
        <f t="shared" si="2"/>
        <v>Michael Tayter</v>
      </c>
      <c r="G156">
        <f>_xlfn.XLOOKUP(Table1[[#This Row],[Full Name ALL]],Contact[Full Name],Contact[Sequence],"Not Found")</f>
        <v>1</v>
      </c>
      <c r="H156" t="s">
        <v>936</v>
      </c>
      <c r="I156" s="5" t="s">
        <v>937</v>
      </c>
      <c r="J156" t="s">
        <v>938</v>
      </c>
      <c r="K156">
        <v>2019</v>
      </c>
      <c r="L156" t="s">
        <v>793</v>
      </c>
      <c r="M156" t="s">
        <v>95</v>
      </c>
      <c r="N156" s="104" t="s">
        <v>96</v>
      </c>
      <c r="O156" t="s">
        <v>665</v>
      </c>
      <c r="P156" s="101"/>
    </row>
    <row r="157" spans="1:16">
      <c r="A157" s="104" t="s">
        <v>112</v>
      </c>
      <c r="B157" s="104"/>
      <c r="C157" t="s">
        <v>185</v>
      </c>
      <c r="D157" t="s">
        <v>939</v>
      </c>
      <c r="E157" t="s">
        <v>860</v>
      </c>
      <c r="F157" t="str">
        <f t="shared" si="2"/>
        <v>Punit Shah</v>
      </c>
      <c r="G157">
        <f>_xlfn.XLOOKUP(Table1[[#This Row],[Full Name ALL]],Contact[Full Name],Contact[Sequence],"Not Found")</f>
        <v>1</v>
      </c>
      <c r="H157" t="s">
        <v>940</v>
      </c>
      <c r="J157" t="s">
        <v>941</v>
      </c>
      <c r="K157">
        <v>2019</v>
      </c>
      <c r="M157" t="s">
        <v>95</v>
      </c>
      <c r="N157" s="104" t="s">
        <v>96</v>
      </c>
      <c r="O157" t="s">
        <v>665</v>
      </c>
      <c r="P157" s="101"/>
    </row>
    <row r="158" spans="1:16">
      <c r="A158" s="104" t="s">
        <v>112</v>
      </c>
      <c r="B158" s="104"/>
      <c r="C158" t="s">
        <v>90</v>
      </c>
      <c r="D158" t="s">
        <v>942</v>
      </c>
      <c r="E158" t="s">
        <v>943</v>
      </c>
      <c r="F158" t="str">
        <f t="shared" si="2"/>
        <v>Radhika Aggarwal</v>
      </c>
      <c r="G158">
        <f>_xlfn.XLOOKUP(Table1[[#This Row],[Full Name ALL]],Contact[Full Name],Contact[Sequence],"Not Found")</f>
        <v>1</v>
      </c>
      <c r="H158" t="s">
        <v>944</v>
      </c>
      <c r="J158" t="s">
        <v>945</v>
      </c>
      <c r="K158">
        <v>2019</v>
      </c>
      <c r="M158" t="s">
        <v>95</v>
      </c>
      <c r="N158" s="104" t="s">
        <v>96</v>
      </c>
      <c r="O158" t="s">
        <v>665</v>
      </c>
      <c r="P158" s="101"/>
    </row>
    <row r="159" spans="1:16">
      <c r="A159" s="104" t="s">
        <v>112</v>
      </c>
      <c r="B159" s="104"/>
      <c r="C159" t="s">
        <v>90</v>
      </c>
      <c r="D159" t="s">
        <v>946</v>
      </c>
      <c r="E159" t="s">
        <v>947</v>
      </c>
      <c r="F159" t="str">
        <f t="shared" si="2"/>
        <v>Ramandeep Chawla</v>
      </c>
      <c r="G159">
        <f>_xlfn.XLOOKUP(Table1[[#This Row],[Full Name ALL]],Contact[Full Name],Contact[Sequence],"Not Found")</f>
        <v>1</v>
      </c>
      <c r="H159" t="s">
        <v>948</v>
      </c>
      <c r="I159" s="5" t="s">
        <v>949</v>
      </c>
      <c r="J159" t="s">
        <v>950</v>
      </c>
      <c r="K159">
        <v>2019</v>
      </c>
      <c r="M159" t="s">
        <v>95</v>
      </c>
      <c r="N159" s="104" t="s">
        <v>96</v>
      </c>
      <c r="O159" t="s">
        <v>951</v>
      </c>
      <c r="P159" s="101"/>
    </row>
    <row r="160" spans="1:16">
      <c r="A160" s="104" t="s">
        <v>112</v>
      </c>
      <c r="B160" s="104"/>
      <c r="C160" t="s">
        <v>90</v>
      </c>
      <c r="D160" t="s">
        <v>952</v>
      </c>
      <c r="E160" t="s">
        <v>953</v>
      </c>
      <c r="F160" t="str">
        <f t="shared" si="2"/>
        <v>Dev Ramchandani</v>
      </c>
      <c r="G160">
        <f>_xlfn.XLOOKUP(Table1[[#This Row],[Full Name ALL]],Contact[Full Name],Contact[Sequence],"Not Found")</f>
        <v>1</v>
      </c>
      <c r="H160" t="s">
        <v>954</v>
      </c>
      <c r="J160" s="101" t="s">
        <v>955</v>
      </c>
      <c r="K160">
        <v>2019</v>
      </c>
      <c r="M160" t="s">
        <v>95</v>
      </c>
      <c r="N160" s="104" t="s">
        <v>96</v>
      </c>
      <c r="O160" t="s">
        <v>665</v>
      </c>
      <c r="P160" s="101"/>
    </row>
    <row r="161" spans="1:16">
      <c r="A161" s="104" t="s">
        <v>112</v>
      </c>
      <c r="B161" s="104"/>
      <c r="C161" t="s">
        <v>105</v>
      </c>
      <c r="D161" t="s">
        <v>134</v>
      </c>
      <c r="E161" t="s">
        <v>956</v>
      </c>
      <c r="F161" t="str">
        <f t="shared" si="2"/>
        <v>Ryan Price</v>
      </c>
      <c r="G161">
        <f>_xlfn.XLOOKUP(Table1[[#This Row],[Full Name ALL]],Contact[Full Name],Contact[Sequence],"Not Found")</f>
        <v>1</v>
      </c>
      <c r="H161" t="s">
        <v>957</v>
      </c>
      <c r="I161" s="5" t="s">
        <v>270</v>
      </c>
      <c r="J161" t="s">
        <v>958</v>
      </c>
      <c r="K161">
        <v>2019</v>
      </c>
      <c r="L161" t="s">
        <v>959</v>
      </c>
      <c r="M161" t="s">
        <v>95</v>
      </c>
      <c r="N161" s="104" t="s">
        <v>96</v>
      </c>
      <c r="O161" t="s">
        <v>960</v>
      </c>
      <c r="P161" s="101"/>
    </row>
    <row r="162" spans="1:16">
      <c r="A162" s="104" t="s">
        <v>112</v>
      </c>
      <c r="B162" s="104"/>
      <c r="C162" t="s">
        <v>105</v>
      </c>
      <c r="D162" t="s">
        <v>961</v>
      </c>
      <c r="E162" t="s">
        <v>522</v>
      </c>
      <c r="F162" t="str">
        <f t="shared" si="2"/>
        <v>Roger Luo</v>
      </c>
      <c r="G162">
        <f>_xlfn.XLOOKUP(Table1[[#This Row],[Full Name ALL]],Contact[Full Name],Contact[Sequence],"Not Found")</f>
        <v>1</v>
      </c>
      <c r="H162" t="s">
        <v>962</v>
      </c>
      <c r="I162" s="5" t="s">
        <v>270</v>
      </c>
      <c r="J162" t="s">
        <v>963</v>
      </c>
      <c r="K162">
        <v>2019</v>
      </c>
      <c r="M162" t="s">
        <v>95</v>
      </c>
      <c r="N162" s="104" t="s">
        <v>96</v>
      </c>
      <c r="O162" t="s">
        <v>964</v>
      </c>
      <c r="P162" s="101"/>
    </row>
    <row r="163" spans="1:16">
      <c r="A163" s="104" t="s">
        <v>112</v>
      </c>
      <c r="B163" s="104"/>
      <c r="C163" t="s">
        <v>105</v>
      </c>
      <c r="D163" t="s">
        <v>965</v>
      </c>
      <c r="E163" t="s">
        <v>966</v>
      </c>
      <c r="F163" t="str">
        <f t="shared" si="2"/>
        <v>Roberto Sanchez Garvin</v>
      </c>
      <c r="G163">
        <f>_xlfn.XLOOKUP(Table1[[#This Row],[Full Name ALL]],Contact[Full Name],Contact[Sequence],"Not Found")</f>
        <v>1</v>
      </c>
      <c r="H163" t="s">
        <v>967</v>
      </c>
      <c r="I163" s="5" t="s">
        <v>968</v>
      </c>
      <c r="J163" t="s">
        <v>969</v>
      </c>
      <c r="K163">
        <v>2019</v>
      </c>
      <c r="L163" t="s">
        <v>793</v>
      </c>
      <c r="M163" t="s">
        <v>95</v>
      </c>
      <c r="N163" s="104" t="s">
        <v>96</v>
      </c>
      <c r="O163" t="s">
        <v>665</v>
      </c>
      <c r="P163" s="101"/>
    </row>
    <row r="164" spans="1:16">
      <c r="A164" s="104" t="s">
        <v>112</v>
      </c>
      <c r="B164" s="104"/>
      <c r="C164" t="s">
        <v>90</v>
      </c>
      <c r="D164" t="s">
        <v>970</v>
      </c>
      <c r="E164" t="s">
        <v>298</v>
      </c>
      <c r="F164" t="str">
        <f t="shared" si="2"/>
        <v>Sanjeev Ranjan  Singh</v>
      </c>
      <c r="G164">
        <f>_xlfn.XLOOKUP(Table1[[#This Row],[Full Name ALL]],Contact[Full Name],Contact[Sequence],"Not Found")</f>
        <v>1</v>
      </c>
      <c r="H164" s="101" t="s">
        <v>971</v>
      </c>
      <c r="I164" s="101"/>
      <c r="J164" t="s">
        <v>972</v>
      </c>
      <c r="K164">
        <v>2019</v>
      </c>
      <c r="L164" t="s">
        <v>973</v>
      </c>
      <c r="M164" t="s">
        <v>98</v>
      </c>
      <c r="N164" s="104" t="s">
        <v>96</v>
      </c>
      <c r="O164" t="s">
        <v>974</v>
      </c>
      <c r="P164" s="101"/>
    </row>
    <row r="165" spans="1:16">
      <c r="A165" s="104" t="s">
        <v>112</v>
      </c>
      <c r="B165" s="104"/>
      <c r="C165" t="s">
        <v>90</v>
      </c>
      <c r="D165" t="s">
        <v>975</v>
      </c>
      <c r="E165" t="s">
        <v>471</v>
      </c>
      <c r="F165" t="str">
        <f t="shared" si="2"/>
        <v>Saurabh Gupta</v>
      </c>
      <c r="G165">
        <f>_xlfn.XLOOKUP(Table1[[#This Row],[Full Name ALL]],Contact[Full Name],Contact[Sequence],"Not Found")</f>
        <v>1</v>
      </c>
      <c r="H165" t="s">
        <v>976</v>
      </c>
      <c r="I165" s="5" t="s">
        <v>977</v>
      </c>
      <c r="J165" t="s">
        <v>978</v>
      </c>
      <c r="K165">
        <v>2019</v>
      </c>
      <c r="M165" t="s">
        <v>95</v>
      </c>
      <c r="N165" s="104" t="s">
        <v>96</v>
      </c>
      <c r="O165" t="s">
        <v>951</v>
      </c>
      <c r="P165" s="101"/>
    </row>
    <row r="166" spans="1:16">
      <c r="A166" s="104" t="s">
        <v>112</v>
      </c>
      <c r="B166" s="104"/>
      <c r="C166" t="s">
        <v>105</v>
      </c>
      <c r="D166" t="s">
        <v>979</v>
      </c>
      <c r="E166" t="s">
        <v>92</v>
      </c>
      <c r="F166" t="str">
        <f t="shared" si="2"/>
        <v>Simha Kumar</v>
      </c>
      <c r="G166">
        <f>_xlfn.XLOOKUP(Table1[[#This Row],[Full Name ALL]],Contact[Full Name],Contact[Sequence],"Not Found")</f>
        <v>1</v>
      </c>
      <c r="H166" t="s">
        <v>980</v>
      </c>
      <c r="I166" s="5" t="s">
        <v>981</v>
      </c>
      <c r="J166" t="s">
        <v>982</v>
      </c>
      <c r="K166">
        <v>2019</v>
      </c>
      <c r="L166" t="s">
        <v>793</v>
      </c>
      <c r="M166" t="s">
        <v>95</v>
      </c>
      <c r="N166" s="104" t="s">
        <v>96</v>
      </c>
      <c r="O166" t="s">
        <v>983</v>
      </c>
      <c r="P166" s="101"/>
    </row>
    <row r="167" spans="1:16">
      <c r="A167" s="104" t="s">
        <v>112</v>
      </c>
      <c r="B167" s="104"/>
      <c r="C167" t="s">
        <v>105</v>
      </c>
      <c r="D167" t="s">
        <v>984</v>
      </c>
      <c r="E167" t="s">
        <v>985</v>
      </c>
      <c r="F167" t="str">
        <f t="shared" si="2"/>
        <v>Susanna Freer Epstein</v>
      </c>
      <c r="G167">
        <f>_xlfn.XLOOKUP(Table1[[#This Row],[Full Name ALL]],Contact[Full Name],Contact[Sequence],"Not Found")</f>
        <v>1</v>
      </c>
      <c r="H167" t="s">
        <v>986</v>
      </c>
      <c r="I167" s="5" t="s">
        <v>270</v>
      </c>
      <c r="J167" t="s">
        <v>987</v>
      </c>
      <c r="K167">
        <v>2019</v>
      </c>
      <c r="L167" t="s">
        <v>793</v>
      </c>
      <c r="M167" t="s">
        <v>95</v>
      </c>
      <c r="N167" s="104" t="s">
        <v>96</v>
      </c>
      <c r="O167" t="s">
        <v>665</v>
      </c>
      <c r="P167" s="101"/>
    </row>
    <row r="168" spans="1:16">
      <c r="A168" s="104" t="s">
        <v>112</v>
      </c>
      <c r="B168" s="104"/>
      <c r="C168" t="s">
        <v>90</v>
      </c>
      <c r="D168" t="s">
        <v>988</v>
      </c>
      <c r="E168" t="s">
        <v>680</v>
      </c>
      <c r="F168" t="str">
        <f t="shared" si="2"/>
        <v>Taek Chung</v>
      </c>
      <c r="G168">
        <f>_xlfn.XLOOKUP(Table1[[#This Row],[Full Name ALL]],Contact[Full Name],Contact[Sequence],"Not Found")</f>
        <v>1</v>
      </c>
      <c r="H168" t="s">
        <v>989</v>
      </c>
      <c r="I168" s="5" t="s">
        <v>990</v>
      </c>
      <c r="J168" t="s">
        <v>991</v>
      </c>
      <c r="K168">
        <v>2019</v>
      </c>
      <c r="M168" t="s">
        <v>95</v>
      </c>
      <c r="N168" s="104" t="s">
        <v>96</v>
      </c>
      <c r="O168" t="s">
        <v>951</v>
      </c>
      <c r="P168" s="101"/>
    </row>
    <row r="169" spans="1:16">
      <c r="A169" s="104" t="s">
        <v>112</v>
      </c>
      <c r="B169" s="104"/>
      <c r="C169" t="s">
        <v>105</v>
      </c>
      <c r="D169" t="s">
        <v>992</v>
      </c>
      <c r="E169" t="s">
        <v>336</v>
      </c>
      <c r="F169" t="str">
        <f t="shared" si="2"/>
        <v>Annie Tang</v>
      </c>
      <c r="G169">
        <f>_xlfn.XLOOKUP(Table1[[#This Row],[Full Name ALL]],Contact[Full Name],Contact[Sequence],"Not Found")</f>
        <v>1</v>
      </c>
      <c r="H169" t="s">
        <v>993</v>
      </c>
      <c r="I169" s="5" t="s">
        <v>994</v>
      </c>
      <c r="J169" t="s">
        <v>995</v>
      </c>
      <c r="K169">
        <v>2019</v>
      </c>
      <c r="L169" t="s">
        <v>793</v>
      </c>
      <c r="M169" t="s">
        <v>95</v>
      </c>
      <c r="N169" s="104" t="s">
        <v>96</v>
      </c>
      <c r="O169" t="s">
        <v>951</v>
      </c>
      <c r="P169" s="101"/>
    </row>
    <row r="170" spans="1:16">
      <c r="A170" s="104" t="s">
        <v>112</v>
      </c>
      <c r="B170" s="104"/>
      <c r="C170" t="s">
        <v>185</v>
      </c>
      <c r="D170" t="s">
        <v>996</v>
      </c>
      <c r="E170" t="s">
        <v>997</v>
      </c>
      <c r="F170" t="str">
        <f t="shared" si="2"/>
        <v>Tanuj Mittal</v>
      </c>
      <c r="G170">
        <f>_xlfn.XLOOKUP(Table1[[#This Row],[Full Name ALL]],Contact[Full Name],Contact[Sequence],"Not Found")</f>
        <v>1</v>
      </c>
      <c r="H170" t="s">
        <v>998</v>
      </c>
      <c r="J170" t="s">
        <v>999</v>
      </c>
      <c r="K170">
        <v>2019</v>
      </c>
      <c r="L170" t="s">
        <v>1000</v>
      </c>
      <c r="M170" t="s">
        <v>95</v>
      </c>
      <c r="N170" s="104" t="s">
        <v>96</v>
      </c>
      <c r="O170" t="s">
        <v>898</v>
      </c>
      <c r="P170" s="101"/>
    </row>
    <row r="171" spans="1:16">
      <c r="A171" s="104" t="s">
        <v>112</v>
      </c>
      <c r="B171" s="104"/>
      <c r="C171" t="s">
        <v>105</v>
      </c>
      <c r="D171" t="s">
        <v>1001</v>
      </c>
      <c r="E171" t="s">
        <v>1002</v>
      </c>
      <c r="F171" t="str">
        <f t="shared" si="2"/>
        <v>Tarra Sharp</v>
      </c>
      <c r="G171">
        <f>_xlfn.XLOOKUP(Table1[[#This Row],[Full Name ALL]],Contact[Full Name],Contact[Sequence],"Not Found")</f>
        <v>1</v>
      </c>
      <c r="H171" t="s">
        <v>1003</v>
      </c>
      <c r="I171" s="5" t="s">
        <v>1004</v>
      </c>
      <c r="J171" t="s">
        <v>1005</v>
      </c>
      <c r="K171">
        <v>2019</v>
      </c>
      <c r="M171" t="s">
        <v>95</v>
      </c>
      <c r="N171" s="104" t="s">
        <v>96</v>
      </c>
      <c r="O171" t="s">
        <v>665</v>
      </c>
      <c r="P171" s="101"/>
    </row>
    <row r="172" spans="1:16">
      <c r="A172" s="104" t="s">
        <v>112</v>
      </c>
      <c r="B172" s="104"/>
      <c r="C172" t="s">
        <v>105</v>
      </c>
      <c r="D172" t="s">
        <v>1006</v>
      </c>
      <c r="E172" t="s">
        <v>1007</v>
      </c>
      <c r="F172" t="str">
        <f t="shared" si="2"/>
        <v>Teresa Nick</v>
      </c>
      <c r="G172">
        <f>_xlfn.XLOOKUP(Table1[[#This Row],[Full Name ALL]],Contact[Full Name],Contact[Sequence],"Not Found")</f>
        <v>1</v>
      </c>
      <c r="H172" t="s">
        <v>1008</v>
      </c>
      <c r="I172" s="5" t="s">
        <v>1009</v>
      </c>
      <c r="J172" t="s">
        <v>1010</v>
      </c>
      <c r="K172">
        <v>2019</v>
      </c>
      <c r="M172" t="s">
        <v>95</v>
      </c>
      <c r="N172" s="104" t="s">
        <v>96</v>
      </c>
      <c r="O172" t="s">
        <v>1011</v>
      </c>
      <c r="P172" s="101"/>
    </row>
    <row r="173" spans="1:16">
      <c r="A173" s="104" t="s">
        <v>112</v>
      </c>
      <c r="B173" s="104"/>
      <c r="C173" t="s">
        <v>105</v>
      </c>
      <c r="D173" t="s">
        <v>1012</v>
      </c>
      <c r="E173" t="s">
        <v>1013</v>
      </c>
      <c r="F173" t="str">
        <f t="shared" si="2"/>
        <v>Tom Hamilton</v>
      </c>
      <c r="G173">
        <f>_xlfn.XLOOKUP(Table1[[#This Row],[Full Name ALL]],Contact[Full Name],Contact[Sequence],"Not Found")</f>
        <v>1</v>
      </c>
      <c r="H173" t="s">
        <v>1014</v>
      </c>
      <c r="I173" s="5" t="s">
        <v>270</v>
      </c>
      <c r="J173" t="s">
        <v>1015</v>
      </c>
      <c r="K173">
        <v>2019</v>
      </c>
      <c r="L173" t="s">
        <v>1016</v>
      </c>
      <c r="M173" t="s">
        <v>95</v>
      </c>
      <c r="N173" s="104" t="s">
        <v>96</v>
      </c>
      <c r="O173" t="s">
        <v>787</v>
      </c>
      <c r="P173" s="101"/>
    </row>
    <row r="174" spans="1:16">
      <c r="A174" s="104" t="s">
        <v>112</v>
      </c>
      <c r="B174" s="104"/>
      <c r="C174" t="s">
        <v>90</v>
      </c>
      <c r="D174" t="s">
        <v>1017</v>
      </c>
      <c r="E174" t="s">
        <v>1018</v>
      </c>
      <c r="F174" t="str">
        <f t="shared" si="2"/>
        <v>Thomas Koskella</v>
      </c>
      <c r="G174">
        <f>_xlfn.XLOOKUP(Table1[[#This Row],[Full Name ALL]],Contact[Full Name],Contact[Sequence],"Not Found")</f>
        <v>1</v>
      </c>
      <c r="H174" t="s">
        <v>1019</v>
      </c>
      <c r="I174" s="5" t="s">
        <v>270</v>
      </c>
      <c r="J174" t="s">
        <v>1020</v>
      </c>
      <c r="K174">
        <v>2019</v>
      </c>
      <c r="L174" t="s">
        <v>793</v>
      </c>
      <c r="M174" t="s">
        <v>95</v>
      </c>
      <c r="N174" s="104" t="s">
        <v>96</v>
      </c>
      <c r="O174" t="s">
        <v>1021</v>
      </c>
      <c r="P174" s="101"/>
    </row>
    <row r="175" spans="1:16">
      <c r="A175" s="104" t="s">
        <v>112</v>
      </c>
      <c r="B175" s="104"/>
      <c r="C175" t="s">
        <v>105</v>
      </c>
      <c r="D175" t="s">
        <v>1022</v>
      </c>
      <c r="E175" t="s">
        <v>997</v>
      </c>
      <c r="F175" t="str">
        <f t="shared" si="2"/>
        <v>Udayan Mittal</v>
      </c>
      <c r="G175">
        <f>_xlfn.XLOOKUP(Table1[[#This Row],[Full Name ALL]],Contact[Full Name],Contact[Sequence],"Not Found")</f>
        <v>1</v>
      </c>
      <c r="H175" t="s">
        <v>1023</v>
      </c>
      <c r="I175" s="5" t="s">
        <v>1024</v>
      </c>
      <c r="J175" s="2"/>
      <c r="K175">
        <v>2019</v>
      </c>
      <c r="L175" t="s">
        <v>1025</v>
      </c>
      <c r="M175" t="s">
        <v>95</v>
      </c>
      <c r="N175" s="104" t="s">
        <v>96</v>
      </c>
      <c r="O175" t="s">
        <v>1026</v>
      </c>
      <c r="P175" s="101"/>
    </row>
    <row r="176" spans="1:16">
      <c r="A176" s="104" t="s">
        <v>112</v>
      </c>
      <c r="B176" s="104"/>
      <c r="C176" t="s">
        <v>105</v>
      </c>
      <c r="D176" t="s">
        <v>1027</v>
      </c>
      <c r="E176" t="s">
        <v>1028</v>
      </c>
      <c r="F176" t="str">
        <f t="shared" si="2"/>
        <v>Kelly Wagner</v>
      </c>
      <c r="G176">
        <f>_xlfn.XLOOKUP(Table1[[#This Row],[Full Name ALL]],Contact[Full Name],Contact[Sequence],"Not Found")</f>
        <v>1</v>
      </c>
      <c r="I176" s="5" t="s">
        <v>270</v>
      </c>
      <c r="J176" t="s">
        <v>1029</v>
      </c>
      <c r="K176">
        <v>2019</v>
      </c>
      <c r="L176" t="s">
        <v>1030</v>
      </c>
      <c r="M176" t="s">
        <v>95</v>
      </c>
      <c r="N176" s="104" t="s">
        <v>70</v>
      </c>
    </row>
    <row r="177" spans="1:27">
      <c r="A177" s="114"/>
      <c r="B177" s="114"/>
      <c r="C177" t="s">
        <v>90</v>
      </c>
      <c r="D177" t="s">
        <v>1031</v>
      </c>
      <c r="E177" t="s">
        <v>1032</v>
      </c>
      <c r="F177" t="str">
        <f t="shared" si="2"/>
        <v>Rajesh S</v>
      </c>
      <c r="G177">
        <f>_xlfn.XLOOKUP(Table1[[#This Row],[Full Name ALL]],Contact[Full Name],Contact[Sequence],"Not Found")</f>
        <v>1</v>
      </c>
      <c r="H177" s="101" t="s">
        <v>1033</v>
      </c>
      <c r="I177" s="101"/>
      <c r="J177" t="s">
        <v>1034</v>
      </c>
      <c r="K177">
        <v>2019</v>
      </c>
      <c r="L177" s="101" t="s">
        <v>1035</v>
      </c>
      <c r="M177" t="s">
        <v>98</v>
      </c>
      <c r="N177" t="s">
        <v>190</v>
      </c>
      <c r="O177" s="101" t="s">
        <v>1035</v>
      </c>
      <c r="P177" s="101"/>
      <c r="Q177" s="101"/>
      <c r="R177" s="101"/>
      <c r="S177" s="101"/>
      <c r="T177" s="101"/>
      <c r="U177" s="101"/>
      <c r="V177" s="101"/>
      <c r="W177" s="101"/>
      <c r="X177" s="101"/>
      <c r="Y177" s="101"/>
    </row>
    <row r="178" spans="1:27">
      <c r="A178" t="s">
        <v>737</v>
      </c>
      <c r="B178" t="s">
        <v>665</v>
      </c>
      <c r="C178" t="s">
        <v>105</v>
      </c>
      <c r="D178" t="s">
        <v>1036</v>
      </c>
      <c r="E178" t="s">
        <v>1037</v>
      </c>
      <c r="F178" t="str">
        <f t="shared" si="2"/>
        <v>Krupal  Parchure</v>
      </c>
      <c r="G178">
        <f>_xlfn.XLOOKUP(Table1[[#This Row],[Full Name ALL]],Contact[Full Name],Contact[Sequence],"Not Found")</f>
        <v>1</v>
      </c>
      <c r="H178" s="101" t="s">
        <v>1038</v>
      </c>
      <c r="J178" t="s">
        <v>1039</v>
      </c>
      <c r="K178">
        <v>2019</v>
      </c>
      <c r="M178" t="s">
        <v>95</v>
      </c>
      <c r="N178" t="s">
        <v>96</v>
      </c>
      <c r="O178" t="s">
        <v>1040</v>
      </c>
      <c r="P178" s="101"/>
      <c r="Z178" t="s">
        <v>100</v>
      </c>
      <c r="AA178" t="s">
        <v>744</v>
      </c>
    </row>
    <row r="179" spans="1:27">
      <c r="C179" t="s">
        <v>105</v>
      </c>
      <c r="D179" t="s">
        <v>1041</v>
      </c>
      <c r="E179" t="s">
        <v>1042</v>
      </c>
      <c r="F179" t="str">
        <f t="shared" si="2"/>
        <v>Ahmed Rashad</v>
      </c>
      <c r="G179">
        <f>_xlfn.XLOOKUP(Table1[[#This Row],[Full Name ALL]],Contact[Full Name],Contact[Sequence],"Not Found")</f>
        <v>1</v>
      </c>
      <c r="H179" t="s">
        <v>1043</v>
      </c>
      <c r="I179" s="5" t="s">
        <v>1044</v>
      </c>
      <c r="J179" t="s">
        <v>1045</v>
      </c>
      <c r="K179">
        <v>2019</v>
      </c>
      <c r="L179" t="s">
        <v>793</v>
      </c>
      <c r="M179" t="s">
        <v>95</v>
      </c>
      <c r="N179" t="s">
        <v>190</v>
      </c>
      <c r="P179" s="101"/>
    </row>
    <row r="180" spans="1:27">
      <c r="C180" t="s">
        <v>105</v>
      </c>
      <c r="D180" t="s">
        <v>1046</v>
      </c>
      <c r="E180" t="s">
        <v>1047</v>
      </c>
      <c r="F180" t="str">
        <f t="shared" si="2"/>
        <v>Abby Braiman</v>
      </c>
      <c r="G180">
        <f>_xlfn.XLOOKUP(Table1[[#This Row],[Full Name ALL]],Contact[Full Name],Contact[Sequence],"Not Found")</f>
        <v>1</v>
      </c>
      <c r="H180" s="101" t="s">
        <v>1048</v>
      </c>
      <c r="J180" t="s">
        <v>1049</v>
      </c>
      <c r="K180">
        <v>2019</v>
      </c>
      <c r="L180" t="s">
        <v>1050</v>
      </c>
      <c r="M180" t="s">
        <v>98</v>
      </c>
      <c r="N180" t="s">
        <v>1051</v>
      </c>
      <c r="P180" s="101"/>
    </row>
    <row r="181" spans="1:27">
      <c r="C181" t="s">
        <v>105</v>
      </c>
      <c r="D181" t="s">
        <v>1046</v>
      </c>
      <c r="E181" t="s">
        <v>820</v>
      </c>
      <c r="F181" t="str">
        <f t="shared" si="2"/>
        <v>Abby Chao</v>
      </c>
      <c r="G181">
        <f>_xlfn.XLOOKUP(Table1[[#This Row],[Full Name ALL]],Contact[Full Name],Contact[Sequence],"Not Found")</f>
        <v>1</v>
      </c>
      <c r="H181" t="s">
        <v>1052</v>
      </c>
      <c r="J181" s="101" t="s">
        <v>1053</v>
      </c>
      <c r="K181">
        <v>2019</v>
      </c>
      <c r="L181" t="s">
        <v>1054</v>
      </c>
      <c r="M181" t="s">
        <v>95</v>
      </c>
      <c r="N181" t="s">
        <v>190</v>
      </c>
      <c r="P181" s="101"/>
    </row>
    <row r="182" spans="1:27">
      <c r="C182" t="s">
        <v>105</v>
      </c>
      <c r="D182" t="s">
        <v>1055</v>
      </c>
      <c r="E182" t="s">
        <v>1056</v>
      </c>
      <c r="F182" t="str">
        <f t="shared" si="2"/>
        <v>Adam Brown</v>
      </c>
      <c r="G182">
        <f>_xlfn.XLOOKUP(Table1[[#This Row],[Full Name ALL]],Contact[Full Name],Contact[Sequence],"Not Found")</f>
        <v>1</v>
      </c>
      <c r="H182" t="s">
        <v>1057</v>
      </c>
      <c r="I182" s="5" t="s">
        <v>270</v>
      </c>
      <c r="J182" t="s">
        <v>1058</v>
      </c>
      <c r="K182">
        <v>2019</v>
      </c>
      <c r="M182" t="s">
        <v>95</v>
      </c>
      <c r="N182" t="s">
        <v>190</v>
      </c>
      <c r="P182" s="101"/>
    </row>
    <row r="183" spans="1:27">
      <c r="C183" t="s">
        <v>105</v>
      </c>
      <c r="D183" t="s">
        <v>1059</v>
      </c>
      <c r="E183" t="s">
        <v>820</v>
      </c>
      <c r="F183" t="str">
        <f t="shared" si="2"/>
        <v>Angelique Chao</v>
      </c>
      <c r="G183">
        <f>_xlfn.XLOOKUP(Table1[[#This Row],[Full Name ALL]],Contact[Full Name],Contact[Sequence],"Not Found")</f>
        <v>1</v>
      </c>
      <c r="H183" s="101" t="s">
        <v>1060</v>
      </c>
      <c r="J183" t="s">
        <v>1061</v>
      </c>
      <c r="K183">
        <v>2019</v>
      </c>
      <c r="L183" t="s">
        <v>1062</v>
      </c>
      <c r="M183" t="s">
        <v>98</v>
      </c>
      <c r="N183" t="s">
        <v>190</v>
      </c>
      <c r="P183" s="101"/>
    </row>
    <row r="184" spans="1:27">
      <c r="C184" t="s">
        <v>185</v>
      </c>
      <c r="D184" t="s">
        <v>1063</v>
      </c>
      <c r="E184" t="s">
        <v>1064</v>
      </c>
      <c r="F184" t="str">
        <f t="shared" si="2"/>
        <v>Afraaz Irani</v>
      </c>
      <c r="G184">
        <f>_xlfn.XLOOKUP(Table1[[#This Row],[Full Name ALL]],Contact[Full Name],Contact[Sequence],"Not Found")</f>
        <v>1</v>
      </c>
      <c r="H184" t="s">
        <v>1065</v>
      </c>
      <c r="J184" t="s">
        <v>1066</v>
      </c>
      <c r="K184">
        <v>2019</v>
      </c>
      <c r="L184" t="s">
        <v>912</v>
      </c>
      <c r="M184" t="s">
        <v>95</v>
      </c>
      <c r="N184" t="s">
        <v>190</v>
      </c>
      <c r="P184" s="101"/>
    </row>
    <row r="185" spans="1:27">
      <c r="C185" t="s">
        <v>185</v>
      </c>
      <c r="D185" t="s">
        <v>1067</v>
      </c>
      <c r="E185" t="s">
        <v>467</v>
      </c>
      <c r="F185" t="str">
        <f t="shared" si="2"/>
        <v>Albert Chang</v>
      </c>
      <c r="G185">
        <f>_xlfn.XLOOKUP(Table1[[#This Row],[Full Name ALL]],Contact[Full Name],Contact[Sequence],"Not Found")</f>
        <v>1</v>
      </c>
      <c r="H185" s="101" t="s">
        <v>1068</v>
      </c>
      <c r="J185" t="s">
        <v>1069</v>
      </c>
      <c r="K185">
        <v>2019</v>
      </c>
      <c r="L185" t="s">
        <v>1070</v>
      </c>
      <c r="M185" t="s">
        <v>98</v>
      </c>
      <c r="N185" t="s">
        <v>190</v>
      </c>
      <c r="P185" s="101"/>
    </row>
    <row r="186" spans="1:27">
      <c r="C186" t="s">
        <v>105</v>
      </c>
      <c r="D186" t="s">
        <v>1071</v>
      </c>
      <c r="E186" t="s">
        <v>1072</v>
      </c>
      <c r="F186" t="str">
        <f t="shared" si="2"/>
        <v>Alison Nichols</v>
      </c>
      <c r="G186">
        <f>_xlfn.XLOOKUP(Table1[[#This Row],[Full Name ALL]],Contact[Full Name],Contact[Sequence],"Not Found")</f>
        <v>1</v>
      </c>
      <c r="H186" s="101" t="s">
        <v>1073</v>
      </c>
      <c r="J186" t="s">
        <v>1074</v>
      </c>
      <c r="K186">
        <v>2019</v>
      </c>
      <c r="M186" t="s">
        <v>98</v>
      </c>
      <c r="N186" t="s">
        <v>190</v>
      </c>
      <c r="P186" s="101"/>
    </row>
    <row r="187" spans="1:27">
      <c r="C187" t="s">
        <v>105</v>
      </c>
      <c r="D187" t="s">
        <v>1075</v>
      </c>
      <c r="E187" t="s">
        <v>1076</v>
      </c>
      <c r="F187" t="str">
        <f t="shared" si="2"/>
        <v>Allyson Pritchett</v>
      </c>
      <c r="G187">
        <f>_xlfn.XLOOKUP(Table1[[#This Row],[Full Name ALL]],Contact[Full Name],Contact[Sequence],"Not Found")</f>
        <v>1</v>
      </c>
      <c r="H187" s="101" t="s">
        <v>1077</v>
      </c>
      <c r="I187" t="s">
        <v>1078</v>
      </c>
      <c r="J187" s="101" t="s">
        <v>1079</v>
      </c>
      <c r="K187">
        <v>2019</v>
      </c>
      <c r="M187" t="s">
        <v>98</v>
      </c>
      <c r="N187" t="s">
        <v>190</v>
      </c>
      <c r="P187" s="101"/>
    </row>
    <row r="188" spans="1:27">
      <c r="C188" t="s">
        <v>105</v>
      </c>
      <c r="D188" t="s">
        <v>1080</v>
      </c>
      <c r="E188" t="s">
        <v>1081</v>
      </c>
      <c r="F188" t="str">
        <f t="shared" si="2"/>
        <v>Amanda Needham</v>
      </c>
      <c r="G188">
        <f>_xlfn.XLOOKUP(Table1[[#This Row],[Full Name ALL]],Contact[Full Name],Contact[Sequence],"Not Found")</f>
        <v>1</v>
      </c>
      <c r="H188" s="101" t="s">
        <v>1082</v>
      </c>
      <c r="J188" t="s">
        <v>1083</v>
      </c>
      <c r="K188">
        <v>2019</v>
      </c>
      <c r="M188" t="s">
        <v>98</v>
      </c>
      <c r="N188" t="s">
        <v>190</v>
      </c>
      <c r="P188" s="101"/>
    </row>
    <row r="189" spans="1:27">
      <c r="C189" t="s">
        <v>105</v>
      </c>
      <c r="D189" t="s">
        <v>1080</v>
      </c>
      <c r="E189" t="s">
        <v>1084</v>
      </c>
      <c r="F189" t="str">
        <f t="shared" si="2"/>
        <v>Amanda Bayagich Short</v>
      </c>
      <c r="G189">
        <f>_xlfn.XLOOKUP(Table1[[#This Row],[Full Name ALL]],Contact[Full Name],Contact[Sequence],"Not Found")</f>
        <v>1</v>
      </c>
      <c r="H189" t="s">
        <v>1085</v>
      </c>
      <c r="I189" s="5" t="s">
        <v>270</v>
      </c>
      <c r="J189" s="101" t="s">
        <v>1086</v>
      </c>
      <c r="K189">
        <v>2019</v>
      </c>
      <c r="M189" t="s">
        <v>95</v>
      </c>
      <c r="N189" t="s">
        <v>190</v>
      </c>
      <c r="P189" s="101"/>
    </row>
    <row r="190" spans="1:27">
      <c r="C190" t="s">
        <v>105</v>
      </c>
      <c r="D190" t="s">
        <v>1087</v>
      </c>
      <c r="E190" t="s">
        <v>1088</v>
      </c>
      <c r="F190" t="str">
        <f t="shared" si="2"/>
        <v>Aaron Montgomery</v>
      </c>
      <c r="G190">
        <f>_xlfn.XLOOKUP(Table1[[#This Row],[Full Name ALL]],Contact[Full Name],Contact[Sequence],"Not Found")</f>
        <v>1</v>
      </c>
      <c r="H190" t="s">
        <v>1089</v>
      </c>
      <c r="J190" s="101" t="s">
        <v>1090</v>
      </c>
      <c r="K190">
        <v>2019</v>
      </c>
      <c r="L190" t="s">
        <v>1091</v>
      </c>
      <c r="M190" t="s">
        <v>95</v>
      </c>
      <c r="N190" t="s">
        <v>190</v>
      </c>
      <c r="P190" s="101"/>
    </row>
    <row r="191" spans="1:27">
      <c r="C191" t="s">
        <v>105</v>
      </c>
      <c r="D191" t="s">
        <v>1092</v>
      </c>
      <c r="E191" t="s">
        <v>255</v>
      </c>
      <c r="F191" t="str">
        <f t="shared" si="2"/>
        <v>Amy Wang</v>
      </c>
      <c r="G191">
        <f>_xlfn.XLOOKUP(Table1[[#This Row],[Full Name ALL]],Contact[Full Name],Contact[Sequence],"Not Found")</f>
        <v>1</v>
      </c>
      <c r="H191" s="101" t="s">
        <v>1093</v>
      </c>
      <c r="J191" t="s">
        <v>1094</v>
      </c>
      <c r="K191">
        <v>2019</v>
      </c>
      <c r="M191" t="s">
        <v>98</v>
      </c>
      <c r="N191" t="s">
        <v>190</v>
      </c>
      <c r="P191" s="101"/>
    </row>
    <row r="192" spans="1:27">
      <c r="C192" t="s">
        <v>105</v>
      </c>
      <c r="D192" t="s">
        <v>1095</v>
      </c>
      <c r="E192" t="s">
        <v>1096</v>
      </c>
      <c r="F192" t="str">
        <f t="shared" si="2"/>
        <v>ANanth Lalithakumar</v>
      </c>
      <c r="G192">
        <f>_xlfn.XLOOKUP(Table1[[#This Row],[Full Name ALL]],Contact[Full Name],Contact[Sequence],"Not Found")</f>
        <v>1</v>
      </c>
      <c r="H192" s="101" t="s">
        <v>1097</v>
      </c>
      <c r="J192" t="s">
        <v>1098</v>
      </c>
      <c r="K192">
        <v>2019</v>
      </c>
      <c r="L192" t="s">
        <v>1099</v>
      </c>
      <c r="M192" t="s">
        <v>98</v>
      </c>
      <c r="N192" t="s">
        <v>190</v>
      </c>
      <c r="P192" s="101"/>
    </row>
    <row r="193" spans="3:16">
      <c r="C193" t="s">
        <v>105</v>
      </c>
      <c r="D193" t="s">
        <v>1100</v>
      </c>
      <c r="E193" t="s">
        <v>1101</v>
      </c>
      <c r="F193" t="str">
        <f t="shared" si="2"/>
        <v>Andre Soldo</v>
      </c>
      <c r="G193">
        <f>_xlfn.XLOOKUP(Table1[[#This Row],[Full Name ALL]],Contact[Full Name],Contact[Sequence],"Not Found")</f>
        <v>1</v>
      </c>
      <c r="H193" t="s">
        <v>1102</v>
      </c>
      <c r="I193" s="5" t="s">
        <v>1103</v>
      </c>
      <c r="J193" t="s">
        <v>1104</v>
      </c>
      <c r="K193">
        <v>2019</v>
      </c>
      <c r="L193" t="s">
        <v>793</v>
      </c>
      <c r="M193" t="s">
        <v>95</v>
      </c>
      <c r="N193" t="s">
        <v>190</v>
      </c>
      <c r="P193" s="101"/>
    </row>
    <row r="194" spans="3:16">
      <c r="C194" t="s">
        <v>105</v>
      </c>
      <c r="D194" t="s">
        <v>1105</v>
      </c>
      <c r="E194" t="s">
        <v>1106</v>
      </c>
      <c r="F194" t="str">
        <f t="shared" ref="F194:F257" si="3">D194&amp;" "&amp;E194</f>
        <v>Angela Hung Byers Byers</v>
      </c>
      <c r="G194">
        <f>_xlfn.XLOOKUP(Table1[[#This Row],[Full Name ALL]],Contact[Full Name],Contact[Sequence],"Not Found")</f>
        <v>1</v>
      </c>
      <c r="H194" t="s">
        <v>1107</v>
      </c>
      <c r="I194" s="5" t="s">
        <v>1108</v>
      </c>
      <c r="J194" t="s">
        <v>1109</v>
      </c>
      <c r="K194">
        <v>2019</v>
      </c>
      <c r="L194" t="s">
        <v>793</v>
      </c>
      <c r="M194" t="s">
        <v>95</v>
      </c>
      <c r="N194" t="s">
        <v>190</v>
      </c>
      <c r="P194" s="101"/>
    </row>
    <row r="195" spans="3:16">
      <c r="C195" t="s">
        <v>90</v>
      </c>
      <c r="D195" t="s">
        <v>1110</v>
      </c>
      <c r="E195" t="s">
        <v>1111</v>
      </c>
      <c r="F195" t="str">
        <f t="shared" si="3"/>
        <v>Ani Mukkavilli</v>
      </c>
      <c r="G195">
        <f>_xlfn.XLOOKUP(Table1[[#This Row],[Full Name ALL]],Contact[Full Name],Contact[Sequence],"Not Found")</f>
        <v>1</v>
      </c>
      <c r="H195" s="101" t="s">
        <v>1112</v>
      </c>
      <c r="J195" t="s">
        <v>1113</v>
      </c>
      <c r="K195">
        <v>2019</v>
      </c>
      <c r="L195" t="s">
        <v>1114</v>
      </c>
      <c r="M195" t="s">
        <v>98</v>
      </c>
      <c r="N195" t="s">
        <v>190</v>
      </c>
      <c r="P195" s="101"/>
    </row>
    <row r="196" spans="3:16">
      <c r="C196" t="s">
        <v>185</v>
      </c>
      <c r="D196" t="s">
        <v>1115</v>
      </c>
      <c r="E196" t="s">
        <v>1116</v>
      </c>
      <c r="F196" t="str">
        <f t="shared" si="3"/>
        <v>Anita Ngai</v>
      </c>
      <c r="G196">
        <f>_xlfn.XLOOKUP(Table1[[#This Row],[Full Name ALL]],Contact[Full Name],Contact[Sequence],"Not Found")</f>
        <v>1</v>
      </c>
      <c r="H196" s="101" t="s">
        <v>1117</v>
      </c>
      <c r="J196" t="s">
        <v>1118</v>
      </c>
      <c r="K196">
        <v>2019</v>
      </c>
      <c r="L196" t="s">
        <v>1119</v>
      </c>
      <c r="M196" t="s">
        <v>98</v>
      </c>
      <c r="N196" t="s">
        <v>190</v>
      </c>
      <c r="P196" s="101"/>
    </row>
    <row r="197" spans="3:16">
      <c r="C197" t="s">
        <v>105</v>
      </c>
      <c r="D197" t="s">
        <v>1120</v>
      </c>
      <c r="E197" t="s">
        <v>1121</v>
      </c>
      <c r="F197" t="str">
        <f t="shared" si="3"/>
        <v>Anju Khetan</v>
      </c>
      <c r="G197">
        <f>_xlfn.XLOOKUP(Table1[[#This Row],[Full Name ALL]],Contact[Full Name],Contact[Sequence],"Not Found")</f>
        <v>1</v>
      </c>
      <c r="H197" s="101" t="s">
        <v>1122</v>
      </c>
      <c r="J197" t="s">
        <v>1123</v>
      </c>
      <c r="K197">
        <v>2019</v>
      </c>
      <c r="M197" t="s">
        <v>98</v>
      </c>
      <c r="N197" t="s">
        <v>190</v>
      </c>
      <c r="P197" s="101"/>
    </row>
    <row r="198" spans="3:16">
      <c r="C198" t="s">
        <v>105</v>
      </c>
      <c r="D198" t="s">
        <v>1124</v>
      </c>
      <c r="E198" t="s">
        <v>1125</v>
      </c>
      <c r="F198" t="str">
        <f t="shared" si="3"/>
        <v>Anna Chen</v>
      </c>
      <c r="G198">
        <f>_xlfn.XLOOKUP(Table1[[#This Row],[Full Name ALL]],Contact[Full Name],Contact[Sequence],"Not Found")</f>
        <v>1</v>
      </c>
      <c r="H198" s="101" t="s">
        <v>1126</v>
      </c>
      <c r="J198" t="s">
        <v>1127</v>
      </c>
      <c r="K198">
        <v>2019</v>
      </c>
      <c r="M198" t="s">
        <v>98</v>
      </c>
      <c r="N198" t="s">
        <v>190</v>
      </c>
      <c r="P198" s="101"/>
    </row>
    <row r="199" spans="3:16">
      <c r="C199" t="s">
        <v>105</v>
      </c>
      <c r="D199" t="s">
        <v>1128</v>
      </c>
      <c r="E199" t="s">
        <v>1129</v>
      </c>
      <c r="F199" t="str">
        <f t="shared" si="3"/>
        <v>Anthony LaVita</v>
      </c>
      <c r="G199">
        <f>_xlfn.XLOOKUP(Table1[[#This Row],[Full Name ALL]],Contact[Full Name],Contact[Sequence],"Not Found")</f>
        <v>1</v>
      </c>
      <c r="H199" s="101" t="s">
        <v>1130</v>
      </c>
      <c r="J199" t="s">
        <v>1131</v>
      </c>
      <c r="K199">
        <v>2019</v>
      </c>
      <c r="L199" t="s">
        <v>1132</v>
      </c>
      <c r="M199" t="s">
        <v>98</v>
      </c>
      <c r="N199" t="s">
        <v>1051</v>
      </c>
      <c r="P199" s="101"/>
    </row>
    <row r="200" spans="3:16">
      <c r="C200" t="s">
        <v>105</v>
      </c>
      <c r="D200" t="s">
        <v>1133</v>
      </c>
      <c r="E200" t="s">
        <v>1134</v>
      </c>
      <c r="F200" t="str">
        <f t="shared" si="3"/>
        <v>Anubhuti Gautam</v>
      </c>
      <c r="G200">
        <f>_xlfn.XLOOKUP(Table1[[#This Row],[Full Name ALL]],Contact[Full Name],Contact[Sequence],"Not Found")</f>
        <v>1</v>
      </c>
      <c r="H200" t="s">
        <v>1135</v>
      </c>
      <c r="I200" s="5" t="s">
        <v>270</v>
      </c>
      <c r="J200" t="s">
        <v>1136</v>
      </c>
      <c r="K200">
        <v>2019</v>
      </c>
      <c r="M200" t="s">
        <v>95</v>
      </c>
      <c r="N200" t="s">
        <v>190</v>
      </c>
      <c r="P200" s="101"/>
    </row>
    <row r="201" spans="3:16">
      <c r="C201" t="s">
        <v>185</v>
      </c>
      <c r="D201" t="s">
        <v>1137</v>
      </c>
      <c r="E201" t="s">
        <v>1138</v>
      </c>
      <c r="F201" t="str">
        <f t="shared" si="3"/>
        <v>April Yang</v>
      </c>
      <c r="G201">
        <f>_xlfn.XLOOKUP(Table1[[#This Row],[Full Name ALL]],Contact[Full Name],Contact[Sequence],"Not Found")</f>
        <v>1</v>
      </c>
      <c r="H201" t="s">
        <v>1139</v>
      </c>
      <c r="J201" t="s">
        <v>1140</v>
      </c>
      <c r="K201">
        <v>2019</v>
      </c>
      <c r="L201" t="s">
        <v>1091</v>
      </c>
      <c r="M201" t="s">
        <v>95</v>
      </c>
      <c r="N201" t="s">
        <v>190</v>
      </c>
      <c r="P201" s="101"/>
    </row>
    <row r="202" spans="3:16">
      <c r="C202" t="s">
        <v>90</v>
      </c>
      <c r="D202" t="s">
        <v>1141</v>
      </c>
      <c r="E202" t="s">
        <v>1142</v>
      </c>
      <c r="F202" t="str">
        <f t="shared" si="3"/>
        <v>Arjun  KOchar</v>
      </c>
      <c r="G202">
        <f>_xlfn.XLOOKUP(Table1[[#This Row],[Full Name ALL]],Contact[Full Name],Contact[Sequence],"Not Found")</f>
        <v>1</v>
      </c>
      <c r="H202" s="101" t="s">
        <v>1143</v>
      </c>
      <c r="I202" s="101"/>
      <c r="J202" t="s">
        <v>1144</v>
      </c>
      <c r="K202">
        <v>2019</v>
      </c>
      <c r="L202" t="s">
        <v>1145</v>
      </c>
      <c r="M202" t="s">
        <v>98</v>
      </c>
      <c r="N202" t="s">
        <v>190</v>
      </c>
      <c r="P202" s="101"/>
    </row>
    <row r="203" spans="3:16">
      <c r="C203" t="s">
        <v>105</v>
      </c>
      <c r="D203" t="s">
        <v>1146</v>
      </c>
      <c r="E203" t="s">
        <v>1147</v>
      </c>
      <c r="F203" t="str">
        <f t="shared" si="3"/>
        <v>Asha Rangaraj</v>
      </c>
      <c r="G203">
        <f>_xlfn.XLOOKUP(Table1[[#This Row],[Full Name ALL]],Contact[Full Name],Contact[Sequence],"Not Found")</f>
        <v>1</v>
      </c>
      <c r="H203" s="101" t="s">
        <v>1148</v>
      </c>
      <c r="J203" t="s">
        <v>1149</v>
      </c>
      <c r="K203">
        <v>2019</v>
      </c>
      <c r="M203" t="s">
        <v>98</v>
      </c>
      <c r="N203" t="s">
        <v>190</v>
      </c>
      <c r="P203" s="101"/>
    </row>
    <row r="204" spans="3:16">
      <c r="C204" t="s">
        <v>105</v>
      </c>
      <c r="D204" t="s">
        <v>800</v>
      </c>
      <c r="E204" t="s">
        <v>1150</v>
      </c>
      <c r="F204" t="str">
        <f t="shared" si="3"/>
        <v>Ashley Zhou</v>
      </c>
      <c r="G204">
        <f>_xlfn.XLOOKUP(Table1[[#This Row],[Full Name ALL]],Contact[Full Name],Contact[Sequence],"Not Found")</f>
        <v>1</v>
      </c>
      <c r="H204" s="101" t="s">
        <v>1151</v>
      </c>
      <c r="J204" t="s">
        <v>1152</v>
      </c>
      <c r="K204">
        <v>2019</v>
      </c>
      <c r="M204" t="s">
        <v>98</v>
      </c>
      <c r="N204" t="s">
        <v>190</v>
      </c>
      <c r="P204" s="101"/>
    </row>
    <row r="205" spans="3:16">
      <c r="C205" t="s">
        <v>105</v>
      </c>
      <c r="D205" t="s">
        <v>1153</v>
      </c>
      <c r="E205" t="s">
        <v>1154</v>
      </c>
      <c r="F205" t="str">
        <f t="shared" si="3"/>
        <v>Adrian Soriano</v>
      </c>
      <c r="G205">
        <f>_xlfn.XLOOKUP(Table1[[#This Row],[Full Name ALL]],Contact[Full Name],Contact[Sequence],"Not Found")</f>
        <v>1</v>
      </c>
      <c r="H205" t="s">
        <v>1155</v>
      </c>
      <c r="I205" s="5" t="s">
        <v>1156</v>
      </c>
      <c r="J205" t="s">
        <v>1157</v>
      </c>
      <c r="K205">
        <v>2019</v>
      </c>
      <c r="M205" t="s">
        <v>95</v>
      </c>
      <c r="N205" t="s">
        <v>190</v>
      </c>
      <c r="P205" s="101"/>
    </row>
    <row r="206" spans="3:16">
      <c r="C206" t="s">
        <v>185</v>
      </c>
      <c r="D206" t="s">
        <v>1158</v>
      </c>
      <c r="E206" t="s">
        <v>1159</v>
      </c>
      <c r="F206" t="str">
        <f t="shared" si="3"/>
        <v>Asuka Qin</v>
      </c>
      <c r="G206">
        <f>_xlfn.XLOOKUP(Table1[[#This Row],[Full Name ALL]],Contact[Full Name],Contact[Sequence],"Not Found")</f>
        <v>1</v>
      </c>
      <c r="H206" t="s">
        <v>1160</v>
      </c>
      <c r="J206" t="s">
        <v>1161</v>
      </c>
      <c r="K206">
        <v>2019</v>
      </c>
      <c r="L206" t="s">
        <v>1162</v>
      </c>
      <c r="M206" t="s">
        <v>95</v>
      </c>
      <c r="N206" t="s">
        <v>190</v>
      </c>
      <c r="P206" s="101"/>
    </row>
    <row r="207" spans="3:16">
      <c r="C207" t="s">
        <v>90</v>
      </c>
      <c r="D207" t="s">
        <v>1163</v>
      </c>
      <c r="E207" t="s">
        <v>1164</v>
      </c>
      <c r="F207" t="str">
        <f t="shared" si="3"/>
        <v>BAdri Rengarajan</v>
      </c>
      <c r="G207">
        <f>_xlfn.XLOOKUP(Table1[[#This Row],[Full Name ALL]],Contact[Full Name],Contact[Sequence],"Not Found")</f>
        <v>1</v>
      </c>
      <c r="H207" s="101" t="s">
        <v>1165</v>
      </c>
      <c r="I207" t="s">
        <v>1166</v>
      </c>
      <c r="J207" t="s">
        <v>1167</v>
      </c>
      <c r="K207">
        <v>2019</v>
      </c>
      <c r="L207" t="s">
        <v>1168</v>
      </c>
      <c r="M207" t="s">
        <v>98</v>
      </c>
      <c r="N207" t="s">
        <v>190</v>
      </c>
      <c r="P207" s="101"/>
    </row>
    <row r="208" spans="3:16">
      <c r="C208" t="s">
        <v>105</v>
      </c>
      <c r="D208" t="s">
        <v>1169</v>
      </c>
      <c r="E208" t="s">
        <v>1170</v>
      </c>
      <c r="F208" t="str">
        <f t="shared" si="3"/>
        <v>Bern Ebersole</v>
      </c>
      <c r="G208">
        <f>_xlfn.XLOOKUP(Table1[[#This Row],[Full Name ALL]],Contact[Full Name],Contact[Sequence],"Not Found")</f>
        <v>1</v>
      </c>
      <c r="H208" t="s">
        <v>1171</v>
      </c>
      <c r="I208" s="5" t="s">
        <v>270</v>
      </c>
      <c r="J208" t="s">
        <v>1172</v>
      </c>
      <c r="K208">
        <v>2019</v>
      </c>
      <c r="L208" t="s">
        <v>1173</v>
      </c>
      <c r="M208" t="s">
        <v>95</v>
      </c>
      <c r="N208" t="s">
        <v>190</v>
      </c>
      <c r="P208" s="101"/>
    </row>
    <row r="209" spans="3:16">
      <c r="C209" t="s">
        <v>105</v>
      </c>
      <c r="D209" t="s">
        <v>1174</v>
      </c>
      <c r="E209" t="s">
        <v>1175</v>
      </c>
      <c r="F209" t="str">
        <f t="shared" si="3"/>
        <v>Betsy Masiello</v>
      </c>
      <c r="G209">
        <f>_xlfn.XLOOKUP(Table1[[#This Row],[Full Name ALL]],Contact[Full Name],Contact[Sequence],"Not Found")</f>
        <v>1</v>
      </c>
      <c r="H209" s="101" t="s">
        <v>1176</v>
      </c>
      <c r="J209" t="s">
        <v>1177</v>
      </c>
      <c r="K209">
        <v>2019</v>
      </c>
      <c r="M209" t="s">
        <v>98</v>
      </c>
      <c r="N209" t="s">
        <v>190</v>
      </c>
      <c r="P209" s="101"/>
    </row>
    <row r="210" spans="3:16">
      <c r="C210" t="s">
        <v>105</v>
      </c>
      <c r="D210" t="s">
        <v>1178</v>
      </c>
      <c r="E210" t="s">
        <v>1179</v>
      </c>
      <c r="F210" t="str">
        <f t="shared" si="3"/>
        <v>Brenna Benson</v>
      </c>
      <c r="G210">
        <f>_xlfn.XLOOKUP(Table1[[#This Row],[Full Name ALL]],Contact[Full Name],Contact[Sequence],"Not Found")</f>
        <v>1</v>
      </c>
      <c r="H210" s="101" t="s">
        <v>1180</v>
      </c>
      <c r="I210" t="s">
        <v>1181</v>
      </c>
      <c r="J210" t="s">
        <v>1182</v>
      </c>
      <c r="K210">
        <v>2019</v>
      </c>
      <c r="M210" t="s">
        <v>98</v>
      </c>
      <c r="N210" t="s">
        <v>190</v>
      </c>
      <c r="P210" s="101"/>
    </row>
    <row r="211" spans="3:16">
      <c r="C211" t="s">
        <v>105</v>
      </c>
      <c r="D211" t="s">
        <v>1183</v>
      </c>
      <c r="E211" t="s">
        <v>1184</v>
      </c>
      <c r="F211" t="str">
        <f t="shared" si="3"/>
        <v>Bruna Macedo Porto</v>
      </c>
      <c r="G211">
        <f>_xlfn.XLOOKUP(Table1[[#This Row],[Full Name ALL]],Contact[Full Name],Contact[Sequence],"Not Found")</f>
        <v>1</v>
      </c>
      <c r="H211" t="s">
        <v>1185</v>
      </c>
      <c r="I211" s="5" t="s">
        <v>270</v>
      </c>
      <c r="J211" t="s">
        <v>1186</v>
      </c>
      <c r="K211">
        <v>2019</v>
      </c>
      <c r="L211" t="s">
        <v>1187</v>
      </c>
      <c r="M211" t="s">
        <v>95</v>
      </c>
      <c r="N211" t="s">
        <v>190</v>
      </c>
      <c r="P211" s="101"/>
    </row>
    <row r="212" spans="3:16">
      <c r="C212" t="s">
        <v>105</v>
      </c>
      <c r="D212" t="s">
        <v>1188</v>
      </c>
      <c r="E212" t="s">
        <v>1189</v>
      </c>
      <c r="F212" t="str">
        <f t="shared" si="3"/>
        <v>Alex Bryant</v>
      </c>
      <c r="G212">
        <f>_xlfn.XLOOKUP(Table1[[#This Row],[Full Name ALL]],Contact[Full Name],Contact[Sequence],"Not Found")</f>
        <v>1</v>
      </c>
      <c r="H212" t="s">
        <v>1190</v>
      </c>
      <c r="I212" s="5" t="s">
        <v>1191</v>
      </c>
      <c r="J212" t="s">
        <v>1192</v>
      </c>
      <c r="K212">
        <v>2019</v>
      </c>
      <c r="L212" t="s">
        <v>1193</v>
      </c>
      <c r="M212" t="s">
        <v>95</v>
      </c>
      <c r="N212" t="s">
        <v>190</v>
      </c>
      <c r="P212" s="101"/>
    </row>
    <row r="213" spans="3:16">
      <c r="C213" t="s">
        <v>105</v>
      </c>
      <c r="D213" t="s">
        <v>1194</v>
      </c>
      <c r="E213" t="s">
        <v>1195</v>
      </c>
      <c r="F213" t="str">
        <f t="shared" si="3"/>
        <v>Brad Sostack</v>
      </c>
      <c r="G213">
        <f>_xlfn.XLOOKUP(Table1[[#This Row],[Full Name ALL]],Contact[Full Name],Contact[Sequence],"Not Found")</f>
        <v>1</v>
      </c>
      <c r="H213" t="s">
        <v>1196</v>
      </c>
      <c r="I213" s="5" t="s">
        <v>270</v>
      </c>
      <c r="J213" t="s">
        <v>1197</v>
      </c>
      <c r="K213">
        <v>2019</v>
      </c>
      <c r="L213" t="s">
        <v>1198</v>
      </c>
      <c r="M213" t="s">
        <v>95</v>
      </c>
      <c r="N213" t="s">
        <v>190</v>
      </c>
      <c r="P213" s="101"/>
    </row>
    <row r="214" spans="3:16">
      <c r="C214" t="s">
        <v>105</v>
      </c>
      <c r="D214" t="s">
        <v>1199</v>
      </c>
      <c r="E214" t="s">
        <v>1200</v>
      </c>
      <c r="F214" t="str">
        <f t="shared" si="3"/>
        <v>Candice Kenny</v>
      </c>
      <c r="G214">
        <f>_xlfn.XLOOKUP(Table1[[#This Row],[Full Name ALL]],Contact[Full Name],Contact[Sequence],"Not Found")</f>
        <v>1</v>
      </c>
      <c r="H214" s="101" t="s">
        <v>1201</v>
      </c>
      <c r="J214" t="s">
        <v>1202</v>
      </c>
      <c r="K214">
        <v>2019</v>
      </c>
      <c r="M214" t="s">
        <v>98</v>
      </c>
      <c r="N214" t="s">
        <v>190</v>
      </c>
      <c r="P214" s="101"/>
    </row>
    <row r="215" spans="3:16">
      <c r="C215" t="s">
        <v>105</v>
      </c>
      <c r="D215" t="s">
        <v>1203</v>
      </c>
      <c r="E215" t="s">
        <v>1204</v>
      </c>
      <c r="F215" t="str">
        <f t="shared" si="3"/>
        <v>Elena Cant</v>
      </c>
      <c r="G215">
        <f>_xlfn.XLOOKUP(Table1[[#This Row],[Full Name ALL]],Contact[Full Name],Contact[Sequence],"Not Found")</f>
        <v>1</v>
      </c>
      <c r="H215" t="s">
        <v>1205</v>
      </c>
      <c r="I215" s="5" t="s">
        <v>1206</v>
      </c>
      <c r="J215" t="s">
        <v>1207</v>
      </c>
      <c r="K215">
        <v>2019</v>
      </c>
      <c r="L215" t="s">
        <v>793</v>
      </c>
      <c r="M215" t="s">
        <v>95</v>
      </c>
      <c r="N215" t="s">
        <v>190</v>
      </c>
      <c r="P215" s="101"/>
    </row>
    <row r="216" spans="3:16">
      <c r="C216" t="s">
        <v>105</v>
      </c>
      <c r="D216" t="s">
        <v>1208</v>
      </c>
      <c r="E216" t="s">
        <v>1209</v>
      </c>
      <c r="F216" t="str">
        <f t="shared" si="3"/>
        <v>Caroline Taich</v>
      </c>
      <c r="G216">
        <f>_xlfn.XLOOKUP(Table1[[#This Row],[Full Name ALL]],Contact[Full Name],Contact[Sequence],"Not Found")</f>
        <v>1</v>
      </c>
      <c r="H216" s="101" t="s">
        <v>1210</v>
      </c>
      <c r="J216" t="s">
        <v>1211</v>
      </c>
      <c r="K216">
        <v>2019</v>
      </c>
      <c r="M216" t="s">
        <v>98</v>
      </c>
      <c r="N216" t="s">
        <v>190</v>
      </c>
      <c r="P216" s="101"/>
    </row>
    <row r="217" spans="3:16">
      <c r="C217" t="s">
        <v>105</v>
      </c>
      <c r="D217" t="s">
        <v>1212</v>
      </c>
      <c r="E217" t="s">
        <v>762</v>
      </c>
      <c r="F217" t="str">
        <f t="shared" si="3"/>
        <v>Cassie Zhang</v>
      </c>
      <c r="G217">
        <f>_xlfn.XLOOKUP(Table1[[#This Row],[Full Name ALL]],Contact[Full Name],Contact[Sequence],"Not Found")</f>
        <v>1</v>
      </c>
      <c r="H217" t="s">
        <v>1213</v>
      </c>
      <c r="I217" s="5" t="s">
        <v>1214</v>
      </c>
      <c r="J217" t="s">
        <v>1215</v>
      </c>
      <c r="K217">
        <v>2019</v>
      </c>
      <c r="M217" t="s">
        <v>95</v>
      </c>
      <c r="N217" t="s">
        <v>190</v>
      </c>
      <c r="P217" s="101"/>
    </row>
    <row r="218" spans="3:16">
      <c r="C218" t="s">
        <v>90</v>
      </c>
      <c r="D218" t="s">
        <v>874</v>
      </c>
      <c r="E218" t="s">
        <v>1138</v>
      </c>
      <c r="F218" t="str">
        <f t="shared" si="3"/>
        <v>Kate Yang</v>
      </c>
      <c r="G218">
        <f>_xlfn.XLOOKUP(Table1[[#This Row],[Full Name ALL]],Contact[Full Name],Contact[Sequence],"Not Found")</f>
        <v>1</v>
      </c>
      <c r="H218" s="101" t="s">
        <v>1216</v>
      </c>
      <c r="I218" t="s">
        <v>1217</v>
      </c>
      <c r="J218" t="s">
        <v>1218</v>
      </c>
      <c r="K218">
        <v>2019</v>
      </c>
      <c r="L218" t="s">
        <v>1219</v>
      </c>
      <c r="M218" t="s">
        <v>98</v>
      </c>
      <c r="N218" t="s">
        <v>190</v>
      </c>
      <c r="P218" s="101"/>
    </row>
    <row r="219" spans="3:16">
      <c r="C219" t="s">
        <v>105</v>
      </c>
      <c r="D219" t="s">
        <v>1220</v>
      </c>
      <c r="E219" t="s">
        <v>1221</v>
      </c>
      <c r="F219" t="str">
        <f t="shared" si="3"/>
        <v>Chloe Shapiro</v>
      </c>
      <c r="G219">
        <f>_xlfn.XLOOKUP(Table1[[#This Row],[Full Name ALL]],Contact[Full Name],Contact[Sequence],"Not Found")</f>
        <v>1</v>
      </c>
      <c r="H219" s="101" t="s">
        <v>1222</v>
      </c>
      <c r="J219" t="s">
        <v>1223</v>
      </c>
      <c r="K219">
        <v>2019</v>
      </c>
      <c r="M219" t="s">
        <v>98</v>
      </c>
      <c r="N219" t="s">
        <v>190</v>
      </c>
      <c r="P219" s="101"/>
    </row>
    <row r="220" spans="3:16">
      <c r="C220" t="s">
        <v>105</v>
      </c>
      <c r="D220" t="s">
        <v>1224</v>
      </c>
      <c r="E220" t="s">
        <v>1225</v>
      </c>
      <c r="F220" t="str">
        <f t="shared" si="3"/>
        <v>Chris Bailey</v>
      </c>
      <c r="G220">
        <f>_xlfn.XLOOKUP(Table1[[#This Row],[Full Name ALL]],Contact[Full Name],Contact[Sequence],"Not Found")</f>
        <v>1</v>
      </c>
      <c r="H220" t="s">
        <v>1226</v>
      </c>
      <c r="I220" s="5" t="s">
        <v>1227</v>
      </c>
      <c r="J220" t="s">
        <v>1228</v>
      </c>
      <c r="K220">
        <v>2019</v>
      </c>
      <c r="L220" t="s">
        <v>1229</v>
      </c>
      <c r="M220" t="s">
        <v>95</v>
      </c>
      <c r="N220" t="s">
        <v>190</v>
      </c>
      <c r="P220" s="101"/>
    </row>
    <row r="221" spans="3:16">
      <c r="C221" t="s">
        <v>90</v>
      </c>
      <c r="D221" t="s">
        <v>1230</v>
      </c>
      <c r="E221" t="s">
        <v>1231</v>
      </c>
      <c r="F221" t="str">
        <f t="shared" si="3"/>
        <v>Christoph Sandler</v>
      </c>
      <c r="G221">
        <f>_xlfn.XLOOKUP(Table1[[#This Row],[Full Name ALL]],Contact[Full Name],Contact[Sequence],"Not Found")</f>
        <v>1</v>
      </c>
      <c r="H221" s="101" t="s">
        <v>1232</v>
      </c>
      <c r="J221" t="s">
        <v>1233</v>
      </c>
      <c r="K221">
        <v>2019</v>
      </c>
      <c r="L221" t="s">
        <v>1234</v>
      </c>
      <c r="M221" t="s">
        <v>98</v>
      </c>
      <c r="N221" t="s">
        <v>190</v>
      </c>
      <c r="P221" s="101"/>
    </row>
    <row r="222" spans="3:16">
      <c r="C222" t="s">
        <v>185</v>
      </c>
      <c r="D222" t="s">
        <v>1235</v>
      </c>
      <c r="E222" t="s">
        <v>1236</v>
      </c>
      <c r="F222" t="str">
        <f t="shared" si="3"/>
        <v>Cindy Luong</v>
      </c>
      <c r="G222">
        <f>_xlfn.XLOOKUP(Table1[[#This Row],[Full Name ALL]],Contact[Full Name],Contact[Sequence],"Not Found")</f>
        <v>1</v>
      </c>
      <c r="H222" s="101" t="s">
        <v>1237</v>
      </c>
      <c r="J222" t="s">
        <v>1238</v>
      </c>
      <c r="K222">
        <v>2019</v>
      </c>
      <c r="L222" t="s">
        <v>1119</v>
      </c>
      <c r="M222" t="s">
        <v>98</v>
      </c>
      <c r="N222" t="s">
        <v>190</v>
      </c>
      <c r="P222" s="101"/>
    </row>
    <row r="223" spans="3:16">
      <c r="C223" t="s">
        <v>185</v>
      </c>
      <c r="D223" t="s">
        <v>1239</v>
      </c>
      <c r="E223" t="s">
        <v>1240</v>
      </c>
      <c r="F223" t="str">
        <f t="shared" si="3"/>
        <v>Claudio Innocente</v>
      </c>
      <c r="G223">
        <f>_xlfn.XLOOKUP(Table1[[#This Row],[Full Name ALL]],Contact[Full Name],Contact[Sequence],"Not Found")</f>
        <v>1</v>
      </c>
      <c r="H223" s="101" t="s">
        <v>1241</v>
      </c>
      <c r="J223" t="s">
        <v>1242</v>
      </c>
      <c r="K223">
        <v>2019</v>
      </c>
      <c r="L223" t="s">
        <v>1119</v>
      </c>
      <c r="M223" t="s">
        <v>98</v>
      </c>
      <c r="N223" t="s">
        <v>190</v>
      </c>
      <c r="P223" s="101"/>
    </row>
    <row r="224" spans="3:16">
      <c r="C224" t="s">
        <v>105</v>
      </c>
      <c r="D224" t="s">
        <v>1243</v>
      </c>
      <c r="E224" t="s">
        <v>1244</v>
      </c>
      <c r="F224" t="str">
        <f t="shared" si="3"/>
        <v>Claire Tramm</v>
      </c>
      <c r="G224">
        <f>_xlfn.XLOOKUP(Table1[[#This Row],[Full Name ALL]],Contact[Full Name],Contact[Sequence],"Not Found")</f>
        <v>1</v>
      </c>
      <c r="H224" t="s">
        <v>1245</v>
      </c>
      <c r="I224" s="5" t="s">
        <v>270</v>
      </c>
      <c r="J224" t="s">
        <v>1246</v>
      </c>
      <c r="K224">
        <v>2019</v>
      </c>
      <c r="L224" t="s">
        <v>1247</v>
      </c>
      <c r="M224" t="s">
        <v>95</v>
      </c>
      <c r="N224" t="s">
        <v>190</v>
      </c>
      <c r="P224" s="101"/>
    </row>
    <row r="225" spans="3:33">
      <c r="C225" t="s">
        <v>105</v>
      </c>
      <c r="D225" t="s">
        <v>1248</v>
      </c>
      <c r="E225" t="s">
        <v>1249</v>
      </c>
      <c r="F225" t="str">
        <f t="shared" si="3"/>
        <v>Daria Makhoukova</v>
      </c>
      <c r="G225">
        <f>_xlfn.XLOOKUP(Table1[[#This Row],[Full Name ALL]],Contact[Full Name],Contact[Sequence],"Not Found")</f>
        <v>1</v>
      </c>
      <c r="H225" t="s">
        <v>1250</v>
      </c>
      <c r="I225" s="5" t="s">
        <v>1251</v>
      </c>
      <c r="J225" t="s">
        <v>1252</v>
      </c>
      <c r="K225">
        <v>2019</v>
      </c>
      <c r="L225" t="s">
        <v>793</v>
      </c>
      <c r="M225" t="s">
        <v>95</v>
      </c>
      <c r="N225" t="s">
        <v>190</v>
      </c>
      <c r="P225" s="101"/>
    </row>
    <row r="226" spans="3:33">
      <c r="C226" t="s">
        <v>90</v>
      </c>
      <c r="D226" t="s">
        <v>1253</v>
      </c>
      <c r="E226" t="s">
        <v>1254</v>
      </c>
      <c r="F226" t="str">
        <f t="shared" si="3"/>
        <v>Darien  Lee</v>
      </c>
      <c r="G226">
        <f>_xlfn.XLOOKUP(Table1[[#This Row],[Full Name ALL]],Contact[Full Name],Contact[Sequence],"Not Found")</f>
        <v>1</v>
      </c>
      <c r="H226" s="101" t="s">
        <v>1255</v>
      </c>
      <c r="I226" s="101"/>
      <c r="J226" t="s">
        <v>1256</v>
      </c>
      <c r="K226">
        <v>2019</v>
      </c>
      <c r="L226" t="s">
        <v>1257</v>
      </c>
      <c r="M226" t="s">
        <v>98</v>
      </c>
      <c r="N226" t="s">
        <v>190</v>
      </c>
      <c r="P226" s="101"/>
    </row>
    <row r="227" spans="3:33">
      <c r="C227" t="s">
        <v>105</v>
      </c>
      <c r="D227" t="s">
        <v>1258</v>
      </c>
      <c r="E227" t="s">
        <v>1259</v>
      </c>
      <c r="F227" t="str">
        <f t="shared" si="3"/>
        <v>Deepali Narula</v>
      </c>
      <c r="G227">
        <f>_xlfn.XLOOKUP(Table1[[#This Row],[Full Name ALL]],Contact[Full Name],Contact[Sequence],"Not Found")</f>
        <v>1</v>
      </c>
      <c r="H227" t="s">
        <v>1260</v>
      </c>
      <c r="J227" s="101" t="s">
        <v>1261</v>
      </c>
      <c r="K227">
        <v>2019</v>
      </c>
      <c r="M227" t="s">
        <v>95</v>
      </c>
      <c r="N227" t="s">
        <v>190</v>
      </c>
      <c r="P227" s="101"/>
    </row>
    <row r="228" spans="3:33">
      <c r="C228" t="s">
        <v>105</v>
      </c>
      <c r="D228" t="s">
        <v>1262</v>
      </c>
      <c r="E228" t="s">
        <v>1263</v>
      </c>
      <c r="F228" t="str">
        <f t="shared" si="3"/>
        <v>Danielle Fisher</v>
      </c>
      <c r="G228">
        <f>_xlfn.XLOOKUP(Table1[[#This Row],[Full Name ALL]],Contact[Full Name],Contact[Sequence],"Not Found")</f>
        <v>1</v>
      </c>
      <c r="H228" t="s">
        <v>1264</v>
      </c>
      <c r="I228" s="5" t="s">
        <v>1265</v>
      </c>
      <c r="J228" t="s">
        <v>1266</v>
      </c>
      <c r="K228">
        <v>2019</v>
      </c>
      <c r="L228" t="s">
        <v>793</v>
      </c>
      <c r="M228" t="s">
        <v>95</v>
      </c>
      <c r="N228" t="s">
        <v>190</v>
      </c>
      <c r="P228" s="101"/>
    </row>
    <row r="229" spans="3:33">
      <c r="C229" t="s">
        <v>185</v>
      </c>
      <c r="D229" t="s">
        <v>1267</v>
      </c>
      <c r="E229" t="s">
        <v>1268</v>
      </c>
      <c r="F229" t="str">
        <f t="shared" si="3"/>
        <v>Cissy Dong</v>
      </c>
      <c r="G229">
        <f>_xlfn.XLOOKUP(Table1[[#This Row],[Full Name ALL]],Contact[Full Name],Contact[Sequence],"Not Found")</f>
        <v>1</v>
      </c>
      <c r="H229" t="s">
        <v>1269</v>
      </c>
      <c r="J229" t="s">
        <v>1270</v>
      </c>
      <c r="K229">
        <v>2019</v>
      </c>
      <c r="L229" t="s">
        <v>1162</v>
      </c>
      <c r="M229" t="s">
        <v>95</v>
      </c>
      <c r="N229" t="s">
        <v>190</v>
      </c>
      <c r="P229" s="101"/>
    </row>
    <row r="230" spans="3:33">
      <c r="C230" t="s">
        <v>90</v>
      </c>
      <c r="D230" t="s">
        <v>952</v>
      </c>
      <c r="E230" t="s">
        <v>1271</v>
      </c>
      <c r="F230" t="str">
        <f t="shared" si="3"/>
        <v>Dev Yusmananda</v>
      </c>
      <c r="G230">
        <f>_xlfn.XLOOKUP(Table1[[#This Row],[Full Name ALL]],Contact[Full Name],Contact[Sequence],"Not Found")</f>
        <v>1</v>
      </c>
      <c r="H230" s="101" t="s">
        <v>1272</v>
      </c>
      <c r="I230" t="s">
        <v>1273</v>
      </c>
      <c r="J230" t="s">
        <v>1274</v>
      </c>
      <c r="K230">
        <v>2019</v>
      </c>
      <c r="L230" t="s">
        <v>1275</v>
      </c>
      <c r="M230" t="s">
        <v>98</v>
      </c>
      <c r="N230" t="s">
        <v>190</v>
      </c>
      <c r="P230" s="101"/>
    </row>
    <row r="231" spans="3:33">
      <c r="C231" t="s">
        <v>105</v>
      </c>
      <c r="D231" t="s">
        <v>1276</v>
      </c>
      <c r="E231" t="s">
        <v>1277</v>
      </c>
      <c r="F231" t="str">
        <f t="shared" si="3"/>
        <v>Ebony Blue</v>
      </c>
      <c r="G231">
        <f>_xlfn.XLOOKUP(Table1[[#This Row],[Full Name ALL]],Contact[Full Name],Contact[Sequence],"Not Found")</f>
        <v>1</v>
      </c>
      <c r="H231" t="s">
        <v>1278</v>
      </c>
      <c r="I231" s="5" t="s">
        <v>1279</v>
      </c>
      <c r="J231" t="s">
        <v>1280</v>
      </c>
      <c r="K231">
        <v>2019</v>
      </c>
      <c r="M231" t="s">
        <v>95</v>
      </c>
      <c r="N231" t="s">
        <v>190</v>
      </c>
      <c r="P231" s="101"/>
    </row>
    <row r="232" spans="3:33">
      <c r="C232" t="s">
        <v>105</v>
      </c>
      <c r="D232" t="s">
        <v>1281</v>
      </c>
      <c r="E232" t="s">
        <v>1282</v>
      </c>
      <c r="F232" t="str">
        <f t="shared" si="3"/>
        <v>Efren Bonner</v>
      </c>
      <c r="G232">
        <f>_xlfn.XLOOKUP(Table1[[#This Row],[Full Name ALL]],Contact[Full Name],Contact[Sequence],"Not Found")</f>
        <v>1</v>
      </c>
      <c r="H232" t="s">
        <v>1283</v>
      </c>
      <c r="J232" s="101" t="s">
        <v>1284</v>
      </c>
      <c r="K232">
        <v>2019</v>
      </c>
      <c r="L232" t="s">
        <v>1285</v>
      </c>
      <c r="M232" t="s">
        <v>95</v>
      </c>
      <c r="N232" t="s">
        <v>190</v>
      </c>
      <c r="P232" s="101"/>
    </row>
    <row r="233" spans="3:33">
      <c r="C233" t="s">
        <v>105</v>
      </c>
      <c r="D233" t="s">
        <v>1203</v>
      </c>
      <c r="E233" t="s">
        <v>1286</v>
      </c>
      <c r="F233" t="str">
        <f t="shared" si="3"/>
        <v>Elena Mixon</v>
      </c>
      <c r="G233">
        <f>_xlfn.XLOOKUP(Table1[[#This Row],[Full Name ALL]],Contact[Full Name],Contact[Sequence],"Not Found")</f>
        <v>1</v>
      </c>
      <c r="H233" t="s">
        <v>1287</v>
      </c>
      <c r="I233" s="5" t="s">
        <v>1288</v>
      </c>
      <c r="J233" t="s">
        <v>1289</v>
      </c>
      <c r="K233">
        <v>2019</v>
      </c>
      <c r="L233" t="s">
        <v>793</v>
      </c>
      <c r="M233" t="s">
        <v>95</v>
      </c>
      <c r="N233" t="s">
        <v>190</v>
      </c>
      <c r="P233" s="101"/>
    </row>
    <row r="234" spans="3:33">
      <c r="C234" t="s">
        <v>105</v>
      </c>
      <c r="D234" t="s">
        <v>1290</v>
      </c>
      <c r="E234" t="s">
        <v>1291</v>
      </c>
      <c r="F234" t="str">
        <f t="shared" si="3"/>
        <v>Elissa Ashwood</v>
      </c>
      <c r="G234">
        <f>_xlfn.XLOOKUP(Table1[[#This Row],[Full Name ALL]],Contact[Full Name],Contact[Sequence],"Not Found")</f>
        <v>1</v>
      </c>
      <c r="H234" s="101" t="s">
        <v>1292</v>
      </c>
      <c r="J234" t="s">
        <v>1293</v>
      </c>
      <c r="K234">
        <v>2019</v>
      </c>
      <c r="L234" t="s">
        <v>1294</v>
      </c>
      <c r="M234" t="s">
        <v>98</v>
      </c>
      <c r="N234" t="s">
        <v>190</v>
      </c>
      <c r="P234" s="101"/>
    </row>
    <row r="235" spans="3:33">
      <c r="C235" t="s">
        <v>90</v>
      </c>
      <c r="D235" t="s">
        <v>1295</v>
      </c>
      <c r="E235" t="s">
        <v>1296</v>
      </c>
      <c r="F235" t="str">
        <f t="shared" si="3"/>
        <v>Eric Marnandus</v>
      </c>
      <c r="G235">
        <f>_xlfn.XLOOKUP(Table1[[#This Row],[Full Name ALL]],Contact[Full Name],Contact[Sequence],"Not Found")</f>
        <v>1</v>
      </c>
      <c r="H235" s="101" t="s">
        <v>1297</v>
      </c>
      <c r="I235" t="s">
        <v>1298</v>
      </c>
      <c r="J235" t="s">
        <v>1299</v>
      </c>
      <c r="K235">
        <v>2019</v>
      </c>
      <c r="L235" t="s">
        <v>1300</v>
      </c>
      <c r="M235" t="s">
        <v>98</v>
      </c>
      <c r="N235" t="s">
        <v>190</v>
      </c>
      <c r="P235" s="101"/>
    </row>
    <row r="236" spans="3:33">
      <c r="C236" t="s">
        <v>105</v>
      </c>
      <c r="D236" t="s">
        <v>1301</v>
      </c>
      <c r="E236" t="s">
        <v>1302</v>
      </c>
      <c r="F236" t="str">
        <f t="shared" si="3"/>
        <v>Enrique Ruiz</v>
      </c>
      <c r="G236">
        <f>_xlfn.XLOOKUP(Table1[[#This Row],[Full Name ALL]],Contact[Full Name],Contact[Sequence],"Not Found")</f>
        <v>1</v>
      </c>
      <c r="H236" t="s">
        <v>1303</v>
      </c>
      <c r="I236" s="5" t="s">
        <v>1304</v>
      </c>
      <c r="J236" t="s">
        <v>1305</v>
      </c>
      <c r="K236">
        <v>2019</v>
      </c>
      <c r="L236" t="s">
        <v>1306</v>
      </c>
      <c r="M236" t="s">
        <v>95</v>
      </c>
      <c r="N236" t="s">
        <v>190</v>
      </c>
      <c r="P236" s="101"/>
    </row>
    <row r="237" spans="3:33">
      <c r="C237" t="s">
        <v>105</v>
      </c>
      <c r="D237" t="s">
        <v>1307</v>
      </c>
      <c r="E237" t="s">
        <v>1308</v>
      </c>
      <c r="F237" t="str">
        <f t="shared" si="3"/>
        <v>Ellen Badger</v>
      </c>
      <c r="G237">
        <f>_xlfn.XLOOKUP(Table1[[#This Row],[Full Name ALL]],Contact[Full Name],Contact[Sequence],"Not Found")</f>
        <v>1</v>
      </c>
      <c r="H237" s="101" t="s">
        <v>1309</v>
      </c>
      <c r="J237" t="s">
        <v>1310</v>
      </c>
      <c r="K237">
        <v>2019</v>
      </c>
      <c r="L237" t="s">
        <v>1311</v>
      </c>
      <c r="M237" t="s">
        <v>98</v>
      </c>
      <c r="N237" t="s">
        <v>190</v>
      </c>
      <c r="P237" s="101"/>
    </row>
    <row r="238" spans="3:33">
      <c r="C238" t="s">
        <v>105</v>
      </c>
      <c r="D238" t="s">
        <v>1312</v>
      </c>
      <c r="E238" t="s">
        <v>1313</v>
      </c>
      <c r="F238" t="str">
        <f t="shared" si="3"/>
        <v>Francesco Abate</v>
      </c>
      <c r="G238">
        <f>_xlfn.XLOOKUP(Table1[[#This Row],[Full Name ALL]],Contact[Full Name],Contact[Sequence],"Not Found")</f>
        <v>1</v>
      </c>
      <c r="H238" t="s">
        <v>1314</v>
      </c>
      <c r="I238" s="5" t="s">
        <v>270</v>
      </c>
      <c r="J238" t="s">
        <v>1315</v>
      </c>
      <c r="K238">
        <v>2019</v>
      </c>
      <c r="L238" t="s">
        <v>1316</v>
      </c>
      <c r="M238" t="s">
        <v>95</v>
      </c>
      <c r="N238" t="s">
        <v>190</v>
      </c>
      <c r="P238" s="101"/>
    </row>
    <row r="239" spans="3:33">
      <c r="C239" t="s">
        <v>105</v>
      </c>
      <c r="D239" t="s">
        <v>1317</v>
      </c>
      <c r="E239" t="s">
        <v>1318</v>
      </c>
      <c r="F239" t="str">
        <f t="shared" si="3"/>
        <v>Frank Mora</v>
      </c>
      <c r="G239">
        <f>_xlfn.XLOOKUP(Table1[[#This Row],[Full Name ALL]],Contact[Full Name],Contact[Sequence],"Not Found")</f>
        <v>1</v>
      </c>
      <c r="H239" t="s">
        <v>1319</v>
      </c>
      <c r="I239" s="5" t="s">
        <v>1320</v>
      </c>
      <c r="J239" t="s">
        <v>1321</v>
      </c>
      <c r="K239">
        <v>2019</v>
      </c>
      <c r="M239" t="s">
        <v>95</v>
      </c>
      <c r="N239" t="s">
        <v>190</v>
      </c>
      <c r="P239" s="101"/>
    </row>
    <row r="240" spans="3:33">
      <c r="C240" t="s">
        <v>105</v>
      </c>
      <c r="D240" t="s">
        <v>1322</v>
      </c>
      <c r="E240" t="s">
        <v>1323</v>
      </c>
      <c r="F240" t="str">
        <f t="shared" si="3"/>
        <v>Jose Garza Estrada</v>
      </c>
      <c r="G240">
        <f>_xlfn.XLOOKUP(Table1[[#This Row],[Full Name ALL]],Contact[Full Name],Contact[Sequence],"Not Found")</f>
        <v>1</v>
      </c>
      <c r="H240" t="s">
        <v>1324</v>
      </c>
      <c r="I240" s="5" t="s">
        <v>1325</v>
      </c>
      <c r="J240" t="s">
        <v>1326</v>
      </c>
      <c r="K240">
        <v>2019</v>
      </c>
      <c r="L240" t="s">
        <v>1327</v>
      </c>
      <c r="M240" t="s">
        <v>95</v>
      </c>
      <c r="N240" t="s">
        <v>190</v>
      </c>
      <c r="P240" s="101"/>
      <c r="AG240" s="1"/>
    </row>
    <row r="241" spans="3:33">
      <c r="C241" t="s">
        <v>105</v>
      </c>
      <c r="D241" t="s">
        <v>1328</v>
      </c>
      <c r="E241" t="s">
        <v>1329</v>
      </c>
      <c r="F241" t="str">
        <f t="shared" si="3"/>
        <v>Ginny Too</v>
      </c>
      <c r="G241">
        <f>_xlfn.XLOOKUP(Table1[[#This Row],[Full Name ALL]],Contact[Full Name],Contact[Sequence],"Not Found")</f>
        <v>1</v>
      </c>
      <c r="H241" s="101" t="s">
        <v>1330</v>
      </c>
      <c r="J241" t="s">
        <v>1331</v>
      </c>
      <c r="K241">
        <v>2019</v>
      </c>
      <c r="M241" t="s">
        <v>98</v>
      </c>
      <c r="N241" t="s">
        <v>190</v>
      </c>
      <c r="P241" s="101"/>
      <c r="AG241" s="1"/>
    </row>
    <row r="242" spans="3:33">
      <c r="C242" t="s">
        <v>105</v>
      </c>
      <c r="D242" t="s">
        <v>1332</v>
      </c>
      <c r="E242" t="s">
        <v>1333</v>
      </c>
      <c r="F242" t="str">
        <f t="shared" si="3"/>
        <v>Maheswari Govindaraju</v>
      </c>
      <c r="G242">
        <f>_xlfn.XLOOKUP(Table1[[#This Row],[Full Name ALL]],Contact[Full Name],Contact[Sequence],"Not Found")</f>
        <v>1</v>
      </c>
      <c r="H242" t="s">
        <v>1334</v>
      </c>
      <c r="I242" s="5" t="s">
        <v>1335</v>
      </c>
      <c r="J242" t="s">
        <v>1336</v>
      </c>
      <c r="K242">
        <v>2019</v>
      </c>
      <c r="L242" t="s">
        <v>1337</v>
      </c>
      <c r="M242" t="s">
        <v>95</v>
      </c>
      <c r="N242" t="s">
        <v>190</v>
      </c>
      <c r="P242" s="101"/>
      <c r="AG242" s="1"/>
    </row>
    <row r="243" spans="3:33">
      <c r="C243" t="s">
        <v>105</v>
      </c>
      <c r="D243" t="s">
        <v>1338</v>
      </c>
      <c r="E243" t="s">
        <v>1339</v>
      </c>
      <c r="F243" t="str">
        <f t="shared" si="3"/>
        <v>Grace-Ann Baker</v>
      </c>
      <c r="G243">
        <f>_xlfn.XLOOKUP(Table1[[#This Row],[Full Name ALL]],Contact[Full Name],Contact[Sequence],"Not Found")</f>
        <v>1</v>
      </c>
      <c r="H243" s="101" t="s">
        <v>1340</v>
      </c>
      <c r="I243" t="s">
        <v>1341</v>
      </c>
      <c r="J243" t="s">
        <v>1342</v>
      </c>
      <c r="K243">
        <v>2019</v>
      </c>
      <c r="M243" t="s">
        <v>98</v>
      </c>
      <c r="N243" t="s">
        <v>190</v>
      </c>
      <c r="P243" s="101"/>
      <c r="AG243" s="1"/>
    </row>
    <row r="244" spans="3:33">
      <c r="C244" t="s">
        <v>105</v>
      </c>
      <c r="D244" t="s">
        <v>1343</v>
      </c>
      <c r="E244" t="s">
        <v>355</v>
      </c>
      <c r="F244" t="str">
        <f t="shared" si="3"/>
        <v>Hung Nguyen</v>
      </c>
      <c r="G244">
        <f>_xlfn.XLOOKUP(Table1[[#This Row],[Full Name ALL]],Contact[Full Name],Contact[Sequence],"Not Found")</f>
        <v>1</v>
      </c>
      <c r="H244" t="s">
        <v>1344</v>
      </c>
      <c r="I244" s="5" t="s">
        <v>270</v>
      </c>
      <c r="J244" t="s">
        <v>1345</v>
      </c>
      <c r="K244">
        <v>2019</v>
      </c>
      <c r="M244" t="s">
        <v>95</v>
      </c>
      <c r="N244" t="s">
        <v>190</v>
      </c>
      <c r="P244" s="101"/>
      <c r="AG244" s="1"/>
    </row>
    <row r="245" spans="3:33">
      <c r="C245" t="s">
        <v>90</v>
      </c>
      <c r="D245" t="s">
        <v>1346</v>
      </c>
      <c r="E245" t="s">
        <v>1347</v>
      </c>
      <c r="F245" t="str">
        <f t="shared" si="3"/>
        <v>Himanshu Arora</v>
      </c>
      <c r="G245">
        <f>_xlfn.XLOOKUP(Table1[[#This Row],[Full Name ALL]],Contact[Full Name],Contact[Sequence],"Not Found")</f>
        <v>1</v>
      </c>
      <c r="H245" s="101" t="s">
        <v>1348</v>
      </c>
      <c r="J245" t="s">
        <v>1349</v>
      </c>
      <c r="K245">
        <v>2019</v>
      </c>
      <c r="L245" t="s">
        <v>1350</v>
      </c>
      <c r="M245" t="s">
        <v>98</v>
      </c>
      <c r="N245" t="s">
        <v>190</v>
      </c>
      <c r="P245" s="101"/>
      <c r="AG245" s="1"/>
    </row>
    <row r="246" spans="3:33">
      <c r="C246" t="s">
        <v>90</v>
      </c>
      <c r="D246" t="s">
        <v>1351</v>
      </c>
      <c r="E246" t="s">
        <v>438</v>
      </c>
      <c r="F246" t="str">
        <f t="shared" si="3"/>
        <v>Hong  Li</v>
      </c>
      <c r="G246">
        <f>_xlfn.XLOOKUP(Table1[[#This Row],[Full Name ALL]],Contact[Full Name],Contact[Sequence],"Not Found")</f>
        <v>1</v>
      </c>
      <c r="H246" s="101" t="s">
        <v>1352</v>
      </c>
      <c r="I246" t="s">
        <v>1353</v>
      </c>
      <c r="J246" t="s">
        <v>1354</v>
      </c>
      <c r="K246">
        <v>2019</v>
      </c>
      <c r="L246" t="s">
        <v>1355</v>
      </c>
      <c r="M246" t="s">
        <v>98</v>
      </c>
      <c r="N246" t="s">
        <v>190</v>
      </c>
      <c r="P246" s="101"/>
      <c r="AG246" s="1"/>
    </row>
    <row r="247" spans="3:33">
      <c r="C247" t="s">
        <v>105</v>
      </c>
      <c r="D247" t="s">
        <v>1356</v>
      </c>
      <c r="E247" t="s">
        <v>1357</v>
      </c>
      <c r="F247" t="str">
        <f t="shared" si="3"/>
        <v>Hannah Yan</v>
      </c>
      <c r="G247">
        <f>_xlfn.XLOOKUP(Table1[[#This Row],[Full Name ALL]],Contact[Full Name],Contact[Sequence],"Not Found")</f>
        <v>1</v>
      </c>
      <c r="H247" s="101" t="s">
        <v>1358</v>
      </c>
      <c r="J247" t="s">
        <v>1359</v>
      </c>
      <c r="K247">
        <v>2019</v>
      </c>
      <c r="M247" t="s">
        <v>98</v>
      </c>
      <c r="N247" t="s">
        <v>190</v>
      </c>
      <c r="P247" s="101"/>
      <c r="AG247" s="1"/>
    </row>
    <row r="248" spans="3:33">
      <c r="C248" t="s">
        <v>90</v>
      </c>
      <c r="D248" t="s">
        <v>1360</v>
      </c>
      <c r="E248" t="s">
        <v>1361</v>
      </c>
      <c r="F248" t="str">
        <f t="shared" si="3"/>
        <v>Anisa Nwachuku</v>
      </c>
      <c r="G248">
        <f>_xlfn.XLOOKUP(Table1[[#This Row],[Full Name ALL]],Contact[Full Name],Contact[Sequence],"Not Found")</f>
        <v>1</v>
      </c>
      <c r="H248" t="s">
        <v>1362</v>
      </c>
      <c r="J248" t="s">
        <v>1363</v>
      </c>
      <c r="K248">
        <v>2019</v>
      </c>
      <c r="L248" t="s">
        <v>793</v>
      </c>
      <c r="M248" t="s">
        <v>95</v>
      </c>
      <c r="N248" t="s">
        <v>190</v>
      </c>
      <c r="P248" s="101"/>
      <c r="AG248" s="1"/>
    </row>
    <row r="249" spans="3:33">
      <c r="C249" t="s">
        <v>105</v>
      </c>
      <c r="D249" t="s">
        <v>1364</v>
      </c>
      <c r="E249" t="s">
        <v>1365</v>
      </c>
      <c r="F249" t="str">
        <f t="shared" si="3"/>
        <v>Jackie BAss</v>
      </c>
      <c r="G249">
        <f>_xlfn.XLOOKUP(Table1[[#This Row],[Full Name ALL]],Contact[Full Name],Contact[Sequence],"Not Found")</f>
        <v>1</v>
      </c>
      <c r="H249" s="101" t="s">
        <v>1366</v>
      </c>
      <c r="J249" t="s">
        <v>1367</v>
      </c>
      <c r="K249">
        <v>2019</v>
      </c>
      <c r="M249" t="s">
        <v>98</v>
      </c>
      <c r="N249" t="s">
        <v>190</v>
      </c>
      <c r="P249" s="101"/>
      <c r="AG249" s="1"/>
    </row>
    <row r="250" spans="3:33">
      <c r="C250" t="s">
        <v>105</v>
      </c>
      <c r="D250" t="s">
        <v>1368</v>
      </c>
      <c r="E250" t="s">
        <v>1369</v>
      </c>
      <c r="F250" t="str">
        <f t="shared" si="3"/>
        <v>Jacqueline Wingfield</v>
      </c>
      <c r="G250">
        <f>_xlfn.XLOOKUP(Table1[[#This Row],[Full Name ALL]],Contact[Full Name],Contact[Sequence],"Not Found")</f>
        <v>1</v>
      </c>
      <c r="H250" s="101" t="s">
        <v>1370</v>
      </c>
      <c r="J250" t="s">
        <v>1371</v>
      </c>
      <c r="K250">
        <v>2019</v>
      </c>
      <c r="M250" t="s">
        <v>98</v>
      </c>
      <c r="N250" t="s">
        <v>190</v>
      </c>
      <c r="P250" s="101"/>
      <c r="AG250" s="1"/>
    </row>
    <row r="251" spans="3:33">
      <c r="C251" t="s">
        <v>105</v>
      </c>
      <c r="D251" t="s">
        <v>1372</v>
      </c>
      <c r="E251" t="s">
        <v>1373</v>
      </c>
      <c r="F251" t="str">
        <f t="shared" si="3"/>
        <v>Janet Gao</v>
      </c>
      <c r="G251">
        <f>_xlfn.XLOOKUP(Table1[[#This Row],[Full Name ALL]],Contact[Full Name],Contact[Sequence],"Not Found")</f>
        <v>1</v>
      </c>
      <c r="H251" s="101" t="s">
        <v>1374</v>
      </c>
      <c r="J251" t="s">
        <v>1375</v>
      </c>
      <c r="K251">
        <v>2019</v>
      </c>
      <c r="M251" t="s">
        <v>98</v>
      </c>
      <c r="N251" t="s">
        <v>190</v>
      </c>
      <c r="P251" s="101"/>
      <c r="AG251" s="1"/>
    </row>
    <row r="252" spans="3:33">
      <c r="C252" t="s">
        <v>105</v>
      </c>
      <c r="D252" t="s">
        <v>1376</v>
      </c>
      <c r="E252" t="s">
        <v>1377</v>
      </c>
      <c r="F252" t="str">
        <f t="shared" si="3"/>
        <v>Janice Pai</v>
      </c>
      <c r="G252">
        <f>_xlfn.XLOOKUP(Table1[[#This Row],[Full Name ALL]],Contact[Full Name],Contact[Sequence],"Not Found")</f>
        <v>1</v>
      </c>
      <c r="H252" t="s">
        <v>1378</v>
      </c>
      <c r="I252" s="5" t="s">
        <v>270</v>
      </c>
      <c r="J252" t="s">
        <v>1379</v>
      </c>
      <c r="K252">
        <v>2019</v>
      </c>
      <c r="M252" t="s">
        <v>95</v>
      </c>
      <c r="N252" t="s">
        <v>190</v>
      </c>
      <c r="P252" s="101"/>
      <c r="AG252" s="1"/>
    </row>
    <row r="253" spans="3:33">
      <c r="C253" t="s">
        <v>105</v>
      </c>
      <c r="D253" t="s">
        <v>889</v>
      </c>
      <c r="E253" t="s">
        <v>1380</v>
      </c>
      <c r="F253" t="str">
        <f t="shared" si="3"/>
        <v>Jared Barnett</v>
      </c>
      <c r="G253">
        <f>_xlfn.XLOOKUP(Table1[[#This Row],[Full Name ALL]],Contact[Full Name],Contact[Sequence],"Not Found")</f>
        <v>1</v>
      </c>
      <c r="H253" s="101" t="s">
        <v>1381</v>
      </c>
      <c r="J253" t="s">
        <v>1382</v>
      </c>
      <c r="K253">
        <v>2019</v>
      </c>
      <c r="M253" t="s">
        <v>98</v>
      </c>
      <c r="N253" t="s">
        <v>190</v>
      </c>
      <c r="P253" s="101"/>
    </row>
    <row r="254" spans="3:33">
      <c r="C254" t="s">
        <v>105</v>
      </c>
      <c r="D254" t="s">
        <v>1383</v>
      </c>
      <c r="E254" t="s">
        <v>1384</v>
      </c>
      <c r="F254" t="str">
        <f t="shared" si="3"/>
        <v>Jayoon Yi</v>
      </c>
      <c r="G254">
        <f>_xlfn.XLOOKUP(Table1[[#This Row],[Full Name ALL]],Contact[Full Name],Contact[Sequence],"Not Found")</f>
        <v>1</v>
      </c>
      <c r="H254" t="s">
        <v>1385</v>
      </c>
      <c r="I254" s="5" t="s">
        <v>270</v>
      </c>
      <c r="J254" t="s">
        <v>1386</v>
      </c>
      <c r="K254">
        <v>2019</v>
      </c>
      <c r="M254" t="s">
        <v>95</v>
      </c>
      <c r="N254" t="s">
        <v>190</v>
      </c>
      <c r="P254" s="101"/>
    </row>
    <row r="255" spans="3:33">
      <c r="C255" t="s">
        <v>105</v>
      </c>
      <c r="D255" t="s">
        <v>1387</v>
      </c>
      <c r="E255" t="s">
        <v>1388</v>
      </c>
      <c r="F255" t="str">
        <f t="shared" si="3"/>
        <v>Jean Park</v>
      </c>
      <c r="G255">
        <f>_xlfn.XLOOKUP(Table1[[#This Row],[Full Name ALL]],Contact[Full Name],Contact[Sequence],"Not Found")</f>
        <v>1</v>
      </c>
      <c r="H255" s="101" t="s">
        <v>1389</v>
      </c>
      <c r="I255" s="5" t="s">
        <v>270</v>
      </c>
      <c r="J255" t="s">
        <v>1390</v>
      </c>
      <c r="K255">
        <v>2019</v>
      </c>
      <c r="L255" t="s">
        <v>793</v>
      </c>
      <c r="M255" t="s">
        <v>95</v>
      </c>
      <c r="N255" t="s">
        <v>190</v>
      </c>
      <c r="P255" s="101"/>
    </row>
    <row r="256" spans="3:33">
      <c r="C256" t="s">
        <v>105</v>
      </c>
      <c r="D256" t="s">
        <v>1391</v>
      </c>
      <c r="E256" t="s">
        <v>1392</v>
      </c>
      <c r="F256" t="str">
        <f t="shared" si="3"/>
        <v>Jeannice Tse</v>
      </c>
      <c r="G256">
        <f>_xlfn.XLOOKUP(Table1[[#This Row],[Full Name ALL]],Contact[Full Name],Contact[Sequence],"Not Found")</f>
        <v>1</v>
      </c>
      <c r="H256" s="101" t="s">
        <v>1393</v>
      </c>
      <c r="J256" t="s">
        <v>1394</v>
      </c>
      <c r="K256">
        <v>2019</v>
      </c>
      <c r="M256" t="s">
        <v>98</v>
      </c>
      <c r="N256" t="s">
        <v>190</v>
      </c>
      <c r="P256" s="101"/>
    </row>
    <row r="257" spans="3:16">
      <c r="C257" t="s">
        <v>105</v>
      </c>
      <c r="D257" t="s">
        <v>1395</v>
      </c>
      <c r="E257" t="s">
        <v>1396</v>
      </c>
      <c r="F257" t="str">
        <f t="shared" si="3"/>
        <v>Jen Warner</v>
      </c>
      <c r="G257">
        <f>_xlfn.XLOOKUP(Table1[[#This Row],[Full Name ALL]],Contact[Full Name],Contact[Sequence],"Not Found")</f>
        <v>1</v>
      </c>
      <c r="H257" t="s">
        <v>1397</v>
      </c>
      <c r="I257" s="5" t="s">
        <v>270</v>
      </c>
      <c r="J257" t="s">
        <v>1398</v>
      </c>
      <c r="K257">
        <v>2019</v>
      </c>
      <c r="M257" t="s">
        <v>95</v>
      </c>
      <c r="N257" t="s">
        <v>190</v>
      </c>
      <c r="P257" s="101"/>
    </row>
    <row r="258" spans="3:16">
      <c r="C258" t="s">
        <v>105</v>
      </c>
      <c r="D258" t="s">
        <v>1399</v>
      </c>
      <c r="E258" t="s">
        <v>1027</v>
      </c>
      <c r="F258" t="str">
        <f t="shared" ref="F258:F321" si="4">D258&amp;" "&amp;E258</f>
        <v>Jenna Kelly</v>
      </c>
      <c r="G258">
        <f>_xlfn.XLOOKUP(Table1[[#This Row],[Full Name ALL]],Contact[Full Name],Contact[Sequence],"Not Found")</f>
        <v>1</v>
      </c>
      <c r="H258" t="s">
        <v>1400</v>
      </c>
      <c r="I258" s="5" t="s">
        <v>1401</v>
      </c>
      <c r="J258" t="s">
        <v>1402</v>
      </c>
      <c r="K258">
        <v>2019</v>
      </c>
      <c r="M258" t="s">
        <v>95</v>
      </c>
      <c r="N258" t="s">
        <v>190</v>
      </c>
      <c r="P258" s="101"/>
    </row>
    <row r="259" spans="3:16">
      <c r="C259" t="s">
        <v>105</v>
      </c>
      <c r="D259" t="s">
        <v>1399</v>
      </c>
      <c r="E259" t="s">
        <v>1403</v>
      </c>
      <c r="F259" t="str">
        <f t="shared" si="4"/>
        <v>Jenna Zerker</v>
      </c>
      <c r="G259">
        <f>_xlfn.XLOOKUP(Table1[[#This Row],[Full Name ALL]],Contact[Full Name],Contact[Sequence],"Not Found")</f>
        <v>1</v>
      </c>
      <c r="H259" t="s">
        <v>1404</v>
      </c>
      <c r="I259" s="5" t="s">
        <v>1405</v>
      </c>
      <c r="J259" t="s">
        <v>1406</v>
      </c>
      <c r="K259">
        <v>2019</v>
      </c>
      <c r="L259" t="s">
        <v>793</v>
      </c>
      <c r="M259" t="s">
        <v>95</v>
      </c>
      <c r="N259" t="s">
        <v>190</v>
      </c>
      <c r="P259" s="101"/>
    </row>
    <row r="260" spans="3:16">
      <c r="C260" t="s">
        <v>105</v>
      </c>
      <c r="D260" t="s">
        <v>1407</v>
      </c>
      <c r="E260" t="s">
        <v>1408</v>
      </c>
      <c r="F260" t="str">
        <f t="shared" si="4"/>
        <v xml:space="preserve">Jessica Li </v>
      </c>
      <c r="G260">
        <f>_xlfn.XLOOKUP(Table1[[#This Row],[Full Name ALL]],Contact[Full Name],Contact[Sequence],"Not Found")</f>
        <v>1</v>
      </c>
      <c r="H260" s="101" t="s">
        <v>1409</v>
      </c>
      <c r="J260" t="s">
        <v>1410</v>
      </c>
      <c r="K260">
        <v>2019</v>
      </c>
      <c r="M260" t="s">
        <v>98</v>
      </c>
      <c r="N260" t="s">
        <v>190</v>
      </c>
      <c r="P260" s="101"/>
    </row>
    <row r="261" spans="3:16">
      <c r="C261" t="s">
        <v>90</v>
      </c>
      <c r="D261" t="s">
        <v>1411</v>
      </c>
      <c r="E261" t="s">
        <v>762</v>
      </c>
      <c r="F261" t="str">
        <f t="shared" si="4"/>
        <v>JIngyi Zhang</v>
      </c>
      <c r="G261">
        <f>_xlfn.XLOOKUP(Table1[[#This Row],[Full Name ALL]],Contact[Full Name],Contact[Sequence],"Not Found")</f>
        <v>1</v>
      </c>
      <c r="H261" s="101" t="s">
        <v>1412</v>
      </c>
      <c r="I261" t="s">
        <v>1413</v>
      </c>
      <c r="J261" t="s">
        <v>1414</v>
      </c>
      <c r="K261">
        <v>2019</v>
      </c>
      <c r="L261" t="s">
        <v>1355</v>
      </c>
      <c r="M261" t="s">
        <v>98</v>
      </c>
      <c r="N261" t="s">
        <v>190</v>
      </c>
      <c r="P261" s="101"/>
    </row>
    <row r="262" spans="3:16">
      <c r="C262" t="s">
        <v>90</v>
      </c>
      <c r="D262" t="s">
        <v>1415</v>
      </c>
      <c r="E262" t="s">
        <v>283</v>
      </c>
      <c r="F262" t="str">
        <f t="shared" si="4"/>
        <v>Rajeev Menon</v>
      </c>
      <c r="G262">
        <f>_xlfn.XLOOKUP(Table1[[#This Row],[Full Name ALL]],Contact[Full Name],Contact[Sequence],"Not Found")</f>
        <v>1</v>
      </c>
      <c r="H262" s="101" t="s">
        <v>1416</v>
      </c>
      <c r="I262" t="s">
        <v>1417</v>
      </c>
      <c r="J262" t="s">
        <v>1418</v>
      </c>
      <c r="K262">
        <v>2019</v>
      </c>
      <c r="L262" t="s">
        <v>1419</v>
      </c>
      <c r="M262" t="s">
        <v>98</v>
      </c>
      <c r="N262" t="s">
        <v>190</v>
      </c>
      <c r="P262" s="101"/>
    </row>
    <row r="263" spans="3:16">
      <c r="C263" t="s">
        <v>105</v>
      </c>
      <c r="D263" t="s">
        <v>1420</v>
      </c>
      <c r="E263" t="s">
        <v>1421</v>
      </c>
      <c r="F263" t="str">
        <f t="shared" si="4"/>
        <v>Joanna Maryewska</v>
      </c>
      <c r="G263">
        <f>_xlfn.XLOOKUP(Table1[[#This Row],[Full Name ALL]],Contact[Full Name],Contact[Sequence],"Not Found")</f>
        <v>1</v>
      </c>
      <c r="H263" t="s">
        <v>1422</v>
      </c>
      <c r="I263" s="5" t="s">
        <v>270</v>
      </c>
      <c r="J263" t="s">
        <v>1423</v>
      </c>
      <c r="K263">
        <v>2019</v>
      </c>
      <c r="M263" t="s">
        <v>95</v>
      </c>
      <c r="N263" t="s">
        <v>190</v>
      </c>
      <c r="P263" s="101"/>
    </row>
    <row r="264" spans="3:16">
      <c r="C264" t="s">
        <v>105</v>
      </c>
      <c r="D264" t="s">
        <v>1424</v>
      </c>
      <c r="E264" t="s">
        <v>1425</v>
      </c>
      <c r="F264" t="str">
        <f t="shared" si="4"/>
        <v>Joseph Owens</v>
      </c>
      <c r="G264">
        <f>_xlfn.XLOOKUP(Table1[[#This Row],[Full Name ALL]],Contact[Full Name],Contact[Sequence],"Not Found")</f>
        <v>1</v>
      </c>
      <c r="H264" t="s">
        <v>1426</v>
      </c>
      <c r="I264" s="5" t="s">
        <v>270</v>
      </c>
      <c r="J264" t="s">
        <v>1427</v>
      </c>
      <c r="K264">
        <v>2019</v>
      </c>
      <c r="L264" t="s">
        <v>793</v>
      </c>
      <c r="M264" t="s">
        <v>95</v>
      </c>
      <c r="N264" t="s">
        <v>190</v>
      </c>
      <c r="P264" s="101"/>
    </row>
    <row r="265" spans="3:16">
      <c r="C265" t="s">
        <v>185</v>
      </c>
      <c r="D265" t="s">
        <v>1428</v>
      </c>
      <c r="E265" t="s">
        <v>1429</v>
      </c>
      <c r="F265" t="str">
        <f t="shared" si="4"/>
        <v>John Wu</v>
      </c>
      <c r="G265">
        <f>_xlfn.XLOOKUP(Table1[[#This Row],[Full Name ALL]],Contact[Full Name],Contact[Sequence],"Not Found")</f>
        <v>1</v>
      </c>
      <c r="H265" s="101" t="s">
        <v>1430</v>
      </c>
      <c r="I265" s="101"/>
      <c r="J265" t="s">
        <v>1431</v>
      </c>
      <c r="K265">
        <v>2019</v>
      </c>
      <c r="L265" t="s">
        <v>1091</v>
      </c>
      <c r="M265" t="s">
        <v>95</v>
      </c>
      <c r="N265" t="s">
        <v>190</v>
      </c>
      <c r="P265" s="101"/>
    </row>
    <row r="266" spans="3:16">
      <c r="C266" t="s">
        <v>105</v>
      </c>
      <c r="D266" t="s">
        <v>1432</v>
      </c>
      <c r="E266" t="s">
        <v>1433</v>
      </c>
      <c r="F266" t="str">
        <f t="shared" si="4"/>
        <v>Julia Barclay</v>
      </c>
      <c r="G266">
        <f>_xlfn.XLOOKUP(Table1[[#This Row],[Full Name ALL]],Contact[Full Name],Contact[Sequence],"Not Found")</f>
        <v>1</v>
      </c>
      <c r="H266" s="101" t="s">
        <v>1434</v>
      </c>
      <c r="J266" t="s">
        <v>1435</v>
      </c>
      <c r="K266">
        <v>2019</v>
      </c>
      <c r="M266" t="s">
        <v>98</v>
      </c>
      <c r="N266" t="s">
        <v>190</v>
      </c>
      <c r="P266" s="101"/>
    </row>
    <row r="267" spans="3:16">
      <c r="C267" t="s">
        <v>105</v>
      </c>
      <c r="D267" t="s">
        <v>1436</v>
      </c>
      <c r="E267" t="s">
        <v>1437</v>
      </c>
      <c r="F267" t="str">
        <f t="shared" si="4"/>
        <v>Juliana McLain</v>
      </c>
      <c r="G267">
        <f>_xlfn.XLOOKUP(Table1[[#This Row],[Full Name ALL]],Contact[Full Name],Contact[Sequence],"Not Found")</f>
        <v>1</v>
      </c>
      <c r="H267" t="s">
        <v>1438</v>
      </c>
      <c r="J267" s="101" t="s">
        <v>1439</v>
      </c>
      <c r="K267">
        <v>2019</v>
      </c>
      <c r="L267" t="s">
        <v>1440</v>
      </c>
      <c r="M267" t="s">
        <v>95</v>
      </c>
      <c r="N267" t="s">
        <v>190</v>
      </c>
      <c r="P267" s="101"/>
    </row>
    <row r="268" spans="3:16">
      <c r="C268" t="s">
        <v>105</v>
      </c>
      <c r="D268" t="s">
        <v>1441</v>
      </c>
      <c r="E268" t="s">
        <v>1442</v>
      </c>
      <c r="F268" t="str">
        <f t="shared" si="4"/>
        <v>Juliette Han</v>
      </c>
      <c r="G268">
        <f>_xlfn.XLOOKUP(Table1[[#This Row],[Full Name ALL]],Contact[Full Name],Contact[Sequence],"Not Found")</f>
        <v>1</v>
      </c>
      <c r="H268" s="101" t="s">
        <v>1443</v>
      </c>
      <c r="J268" t="s">
        <v>1444</v>
      </c>
      <c r="K268">
        <v>2019</v>
      </c>
      <c r="M268" t="s">
        <v>98</v>
      </c>
      <c r="N268" t="s">
        <v>190</v>
      </c>
      <c r="P268" s="101"/>
    </row>
    <row r="269" spans="3:16">
      <c r="C269" t="s">
        <v>105</v>
      </c>
      <c r="D269" t="s">
        <v>1445</v>
      </c>
      <c r="E269" t="s">
        <v>1446</v>
      </c>
      <c r="F269" t="str">
        <f t="shared" si="4"/>
        <v>Ashish Juneja</v>
      </c>
      <c r="G269">
        <f>_xlfn.XLOOKUP(Table1[[#This Row],[Full Name ALL]],Contact[Full Name],Contact[Sequence],"Not Found")</f>
        <v>1</v>
      </c>
      <c r="H269" t="s">
        <v>1447</v>
      </c>
      <c r="I269" s="5" t="s">
        <v>1448</v>
      </c>
      <c r="J269" t="s">
        <v>1449</v>
      </c>
      <c r="K269">
        <v>2019</v>
      </c>
      <c r="L269" t="s">
        <v>1229</v>
      </c>
      <c r="M269" t="s">
        <v>95</v>
      </c>
      <c r="N269" t="s">
        <v>190</v>
      </c>
      <c r="P269" s="101"/>
    </row>
    <row r="270" spans="3:16">
      <c r="C270" t="s">
        <v>90</v>
      </c>
      <c r="D270" t="s">
        <v>1450</v>
      </c>
      <c r="E270" t="s">
        <v>1451</v>
      </c>
      <c r="F270" t="str">
        <f t="shared" si="4"/>
        <v>Jan Wilk</v>
      </c>
      <c r="G270">
        <f>_xlfn.XLOOKUP(Table1[[#This Row],[Full Name ALL]],Contact[Full Name],Contact[Sequence],"Not Found")</f>
        <v>1</v>
      </c>
      <c r="H270" t="s">
        <v>1452</v>
      </c>
      <c r="J270" t="s">
        <v>1453</v>
      </c>
      <c r="K270">
        <v>2019</v>
      </c>
      <c r="L270" t="s">
        <v>1454</v>
      </c>
      <c r="M270" t="s">
        <v>95</v>
      </c>
      <c r="N270" t="s">
        <v>190</v>
      </c>
      <c r="P270" s="101"/>
    </row>
    <row r="271" spans="3:16">
      <c r="C271" t="s">
        <v>105</v>
      </c>
      <c r="D271" t="s">
        <v>1455</v>
      </c>
      <c r="E271" t="s">
        <v>1456</v>
      </c>
      <c r="F271" t="str">
        <f t="shared" si="4"/>
        <v>Kandice Lord</v>
      </c>
      <c r="G271">
        <f>_xlfn.XLOOKUP(Table1[[#This Row],[Full Name ALL]],Contact[Full Name],Contact[Sequence],"Not Found")</f>
        <v>1</v>
      </c>
      <c r="H271" s="101" t="s">
        <v>1457</v>
      </c>
      <c r="J271" t="s">
        <v>1458</v>
      </c>
      <c r="K271">
        <v>2019</v>
      </c>
      <c r="M271" t="s">
        <v>98</v>
      </c>
      <c r="N271" t="s">
        <v>190</v>
      </c>
      <c r="P271" s="101"/>
    </row>
    <row r="272" spans="3:16">
      <c r="C272" t="s">
        <v>105</v>
      </c>
      <c r="D272" t="s">
        <v>1459</v>
      </c>
      <c r="E272" t="s">
        <v>1125</v>
      </c>
      <c r="F272" t="str">
        <f t="shared" si="4"/>
        <v>Karen Chen</v>
      </c>
      <c r="G272">
        <f>_xlfn.XLOOKUP(Table1[[#This Row],[Full Name ALL]],Contact[Full Name],Contact[Sequence],"Not Found")</f>
        <v>1</v>
      </c>
      <c r="H272" s="101" t="s">
        <v>1460</v>
      </c>
      <c r="J272" t="s">
        <v>1461</v>
      </c>
      <c r="K272">
        <v>2019</v>
      </c>
      <c r="M272" t="s">
        <v>98</v>
      </c>
      <c r="N272" t="s">
        <v>190</v>
      </c>
      <c r="P272" s="101"/>
    </row>
    <row r="273" spans="3:16">
      <c r="C273" t="s">
        <v>105</v>
      </c>
      <c r="D273" t="s">
        <v>1462</v>
      </c>
      <c r="E273" t="s">
        <v>1463</v>
      </c>
      <c r="F273" t="str">
        <f t="shared" si="4"/>
        <v>Katharina Petrasch</v>
      </c>
      <c r="G273">
        <f>_xlfn.XLOOKUP(Table1[[#This Row],[Full Name ALL]],Contact[Full Name],Contact[Sequence],"Not Found")</f>
        <v>1</v>
      </c>
      <c r="H273" t="s">
        <v>1464</v>
      </c>
      <c r="I273" s="5" t="s">
        <v>1465</v>
      </c>
      <c r="J273" t="s">
        <v>1466</v>
      </c>
      <c r="K273">
        <v>2019</v>
      </c>
      <c r="L273" t="s">
        <v>793</v>
      </c>
      <c r="M273" t="s">
        <v>95</v>
      </c>
      <c r="N273" t="s">
        <v>190</v>
      </c>
      <c r="P273" s="101"/>
    </row>
    <row r="274" spans="3:16">
      <c r="C274" t="s">
        <v>105</v>
      </c>
      <c r="D274" t="s">
        <v>874</v>
      </c>
      <c r="E274" t="s">
        <v>1467</v>
      </c>
      <c r="F274" t="str">
        <f t="shared" si="4"/>
        <v>Kate Lowry</v>
      </c>
      <c r="G274">
        <f>_xlfn.XLOOKUP(Table1[[#This Row],[Full Name ALL]],Contact[Full Name],Contact[Sequence],"Not Found")</f>
        <v>1</v>
      </c>
      <c r="H274" t="s">
        <v>1468</v>
      </c>
      <c r="I274" s="5" t="s">
        <v>270</v>
      </c>
      <c r="J274" t="s">
        <v>1469</v>
      </c>
      <c r="K274">
        <v>2019</v>
      </c>
      <c r="L274" t="s">
        <v>793</v>
      </c>
      <c r="M274" t="s">
        <v>95</v>
      </c>
      <c r="N274" t="s">
        <v>190</v>
      </c>
      <c r="P274" s="101"/>
    </row>
    <row r="275" spans="3:16">
      <c r="C275" t="s">
        <v>90</v>
      </c>
      <c r="D275" t="s">
        <v>137</v>
      </c>
      <c r="E275" t="s">
        <v>1470</v>
      </c>
      <c r="F275" t="str">
        <f t="shared" si="4"/>
        <v>Kaushik VSR</v>
      </c>
      <c r="G275">
        <f>_xlfn.XLOOKUP(Table1[[#This Row],[Full Name ALL]],Contact[Full Name],Contact[Sequence],"Not Found")</f>
        <v>1</v>
      </c>
      <c r="H275" s="101" t="s">
        <v>1471</v>
      </c>
      <c r="I275" t="s">
        <v>1472</v>
      </c>
      <c r="J275" t="s">
        <v>1473</v>
      </c>
      <c r="K275">
        <v>2019</v>
      </c>
      <c r="L275" t="s">
        <v>1474</v>
      </c>
      <c r="M275" t="s">
        <v>98</v>
      </c>
      <c r="N275" t="s">
        <v>190</v>
      </c>
      <c r="P275" s="101"/>
    </row>
    <row r="276" spans="3:16">
      <c r="C276" t="s">
        <v>185</v>
      </c>
      <c r="D276" t="s">
        <v>1475</v>
      </c>
      <c r="E276" t="s">
        <v>1476</v>
      </c>
      <c r="F276" t="str">
        <f t="shared" si="4"/>
        <v>Kay Teo</v>
      </c>
      <c r="G276">
        <f>_xlfn.XLOOKUP(Table1[[#This Row],[Full Name ALL]],Contact[Full Name],Contact[Sequence],"Not Found")</f>
        <v>1</v>
      </c>
      <c r="H276" s="101" t="s">
        <v>1477</v>
      </c>
      <c r="J276" t="s">
        <v>1478</v>
      </c>
      <c r="K276">
        <v>2019</v>
      </c>
      <c r="L276" t="s">
        <v>1479</v>
      </c>
      <c r="M276" t="s">
        <v>98</v>
      </c>
      <c r="N276" t="s">
        <v>190</v>
      </c>
      <c r="P276" s="101"/>
    </row>
    <row r="277" spans="3:16">
      <c r="C277" t="s">
        <v>105</v>
      </c>
      <c r="D277" t="s">
        <v>1480</v>
      </c>
      <c r="E277" t="s">
        <v>1481</v>
      </c>
      <c r="F277" t="str">
        <f t="shared" si="4"/>
        <v>Kevin Opoku</v>
      </c>
      <c r="G277">
        <f>_xlfn.XLOOKUP(Table1[[#This Row],[Full Name ALL]],Contact[Full Name],Contact[Sequence],"Not Found")</f>
        <v>1</v>
      </c>
      <c r="H277" s="101" t="s">
        <v>1482</v>
      </c>
      <c r="J277" t="s">
        <v>1483</v>
      </c>
      <c r="K277">
        <v>2019</v>
      </c>
      <c r="M277" t="s">
        <v>98</v>
      </c>
      <c r="N277" t="s">
        <v>190</v>
      </c>
      <c r="P277" s="101"/>
    </row>
    <row r="278" spans="3:16">
      <c r="C278" t="s">
        <v>105</v>
      </c>
      <c r="D278" t="s">
        <v>1484</v>
      </c>
      <c r="E278" t="s">
        <v>1485</v>
      </c>
      <c r="F278" t="str">
        <f t="shared" si="4"/>
        <v>Keith Green</v>
      </c>
      <c r="G278">
        <f>_xlfn.XLOOKUP(Table1[[#This Row],[Full Name ALL]],Contact[Full Name],Contact[Sequence],"Not Found")</f>
        <v>1</v>
      </c>
      <c r="H278" s="101" t="s">
        <v>1486</v>
      </c>
      <c r="I278" t="s">
        <v>1487</v>
      </c>
      <c r="J278" t="s">
        <v>1488</v>
      </c>
      <c r="K278">
        <v>2019</v>
      </c>
      <c r="L278" t="s">
        <v>1119</v>
      </c>
      <c r="M278" t="s">
        <v>98</v>
      </c>
      <c r="N278" t="s">
        <v>190</v>
      </c>
      <c r="P278" s="101"/>
    </row>
    <row r="279" spans="3:16">
      <c r="C279" t="s">
        <v>105</v>
      </c>
      <c r="D279" t="s">
        <v>1489</v>
      </c>
      <c r="E279" t="s">
        <v>1490</v>
      </c>
      <c r="F279" t="str">
        <f t="shared" si="4"/>
        <v>Shirin Krall</v>
      </c>
      <c r="G279">
        <f>_xlfn.XLOOKUP(Table1[[#This Row],[Full Name ALL]],Contact[Full Name],Contact[Sequence],"Not Found")</f>
        <v>1</v>
      </c>
      <c r="H279" s="101" t="s">
        <v>1491</v>
      </c>
      <c r="J279" t="s">
        <v>1492</v>
      </c>
      <c r="K279">
        <v>2019</v>
      </c>
      <c r="M279" t="s">
        <v>98</v>
      </c>
      <c r="N279" t="s">
        <v>190</v>
      </c>
      <c r="P279" s="101"/>
    </row>
    <row r="280" spans="3:16">
      <c r="C280" t="s">
        <v>90</v>
      </c>
      <c r="D280" t="s">
        <v>1493</v>
      </c>
      <c r="E280" t="s">
        <v>1494</v>
      </c>
      <c r="F280" t="str">
        <f t="shared" si="4"/>
        <v>Krisrten La Mont</v>
      </c>
      <c r="G280">
        <f>_xlfn.XLOOKUP(Table1[[#This Row],[Full Name ALL]],Contact[Full Name],Contact[Sequence],"Not Found")</f>
        <v>1</v>
      </c>
      <c r="H280" s="101" t="s">
        <v>1495</v>
      </c>
      <c r="J280" s="101" t="s">
        <v>1496</v>
      </c>
      <c r="K280">
        <v>2019</v>
      </c>
      <c r="L280" t="s">
        <v>1497</v>
      </c>
      <c r="M280" t="s">
        <v>98</v>
      </c>
      <c r="N280" t="s">
        <v>190</v>
      </c>
      <c r="P280" s="101"/>
    </row>
    <row r="281" spans="3:16">
      <c r="C281" t="s">
        <v>105</v>
      </c>
      <c r="D281" t="s">
        <v>1498</v>
      </c>
      <c r="E281" t="s">
        <v>1499</v>
      </c>
      <c r="F281" t="str">
        <f t="shared" si="4"/>
        <v>Keily Miller</v>
      </c>
      <c r="G281">
        <f>_xlfn.XLOOKUP(Table1[[#This Row],[Full Name ALL]],Contact[Full Name],Contact[Sequence],"Not Found")</f>
        <v>1</v>
      </c>
      <c r="H281" s="101" t="s">
        <v>1500</v>
      </c>
      <c r="J281" t="s">
        <v>1501</v>
      </c>
      <c r="K281">
        <v>2019</v>
      </c>
      <c r="M281" t="s">
        <v>98</v>
      </c>
      <c r="N281" t="s">
        <v>190</v>
      </c>
      <c r="P281" s="101"/>
    </row>
    <row r="282" spans="3:16">
      <c r="C282" t="s">
        <v>105</v>
      </c>
      <c r="D282" t="s">
        <v>1484</v>
      </c>
      <c r="E282" t="s">
        <v>1502</v>
      </c>
      <c r="F282" t="str">
        <f t="shared" si="4"/>
        <v>Keith Chaney</v>
      </c>
      <c r="G282">
        <f>_xlfn.XLOOKUP(Table1[[#This Row],[Full Name ALL]],Contact[Full Name],Contact[Sequence],"Not Found")</f>
        <v>1</v>
      </c>
      <c r="H282" t="s">
        <v>1503</v>
      </c>
      <c r="J282" s="101" t="s">
        <v>1504</v>
      </c>
      <c r="K282">
        <v>2019</v>
      </c>
      <c r="L282" t="s">
        <v>1505</v>
      </c>
      <c r="M282" t="s">
        <v>95</v>
      </c>
      <c r="N282" t="s">
        <v>190</v>
      </c>
      <c r="P282" s="101"/>
    </row>
    <row r="283" spans="3:16">
      <c r="C283" t="s">
        <v>90</v>
      </c>
      <c r="D283" t="s">
        <v>1506</v>
      </c>
      <c r="E283" t="s">
        <v>1507</v>
      </c>
      <c r="F283" t="str">
        <f t="shared" si="4"/>
        <v>Anand  Ramachandran</v>
      </c>
      <c r="G283">
        <f>_xlfn.XLOOKUP(Table1[[#This Row],[Full Name ALL]],Contact[Full Name],Contact[Sequence],"Not Found")</f>
        <v>1</v>
      </c>
      <c r="H283" s="101" t="s">
        <v>1508</v>
      </c>
      <c r="I283" s="101"/>
      <c r="J283" t="s">
        <v>1509</v>
      </c>
      <c r="K283">
        <v>2019</v>
      </c>
      <c r="L283" t="s">
        <v>1510</v>
      </c>
      <c r="M283" t="s">
        <v>98</v>
      </c>
      <c r="N283" t="s">
        <v>190</v>
      </c>
      <c r="P283" s="101"/>
    </row>
    <row r="284" spans="3:16">
      <c r="C284" t="s">
        <v>105</v>
      </c>
      <c r="D284" t="s">
        <v>694</v>
      </c>
      <c r="E284" t="s">
        <v>1511</v>
      </c>
      <c r="F284" t="str">
        <f t="shared" si="4"/>
        <v>Laura Sztejnberg</v>
      </c>
      <c r="G284">
        <f>_xlfn.XLOOKUP(Table1[[#This Row],[Full Name ALL]],Contact[Full Name],Contact[Sequence],"Not Found")</f>
        <v>1</v>
      </c>
      <c r="H284" t="s">
        <v>1512</v>
      </c>
      <c r="I284" s="5" t="s">
        <v>1513</v>
      </c>
      <c r="J284" t="s">
        <v>1514</v>
      </c>
      <c r="K284">
        <v>2019</v>
      </c>
      <c r="L284" t="s">
        <v>793</v>
      </c>
      <c r="M284" t="s">
        <v>95</v>
      </c>
      <c r="N284" t="s">
        <v>190</v>
      </c>
      <c r="P284" s="101"/>
    </row>
    <row r="285" spans="3:16">
      <c r="C285" t="s">
        <v>90</v>
      </c>
      <c r="D285" t="s">
        <v>1515</v>
      </c>
      <c r="E285" t="s">
        <v>438</v>
      </c>
      <c r="F285" t="str">
        <f t="shared" si="4"/>
        <v>Reid Li</v>
      </c>
      <c r="G285">
        <f>_xlfn.XLOOKUP(Table1[[#This Row],[Full Name ALL]],Contact[Full Name],Contact[Sequence],"Not Found")</f>
        <v>1</v>
      </c>
      <c r="H285" s="101" t="s">
        <v>1516</v>
      </c>
      <c r="I285" t="s">
        <v>1517</v>
      </c>
      <c r="J285" t="s">
        <v>1518</v>
      </c>
      <c r="K285">
        <v>2019</v>
      </c>
      <c r="L285" t="s">
        <v>1519</v>
      </c>
      <c r="M285" t="s">
        <v>98</v>
      </c>
      <c r="N285" t="s">
        <v>190</v>
      </c>
      <c r="P285" s="101"/>
    </row>
    <row r="286" spans="3:16">
      <c r="C286" t="s">
        <v>105</v>
      </c>
      <c r="D286" t="s">
        <v>1520</v>
      </c>
      <c r="E286" t="s">
        <v>1521</v>
      </c>
      <c r="F286" t="str">
        <f t="shared" si="4"/>
        <v>Lily Perez</v>
      </c>
      <c r="G286">
        <f>_xlfn.XLOOKUP(Table1[[#This Row],[Full Name ALL]],Contact[Full Name],Contact[Sequence],"Not Found")</f>
        <v>1</v>
      </c>
      <c r="H286" s="101" t="s">
        <v>1522</v>
      </c>
      <c r="J286" t="s">
        <v>1523</v>
      </c>
      <c r="K286">
        <v>2019</v>
      </c>
      <c r="M286" t="s">
        <v>98</v>
      </c>
      <c r="N286" t="s">
        <v>190</v>
      </c>
      <c r="P286" s="101"/>
    </row>
    <row r="287" spans="3:16">
      <c r="C287" t="s">
        <v>105</v>
      </c>
      <c r="D287" t="s">
        <v>864</v>
      </c>
      <c r="E287" t="s">
        <v>599</v>
      </c>
      <c r="F287" t="str">
        <f t="shared" si="4"/>
        <v>Tina Lin</v>
      </c>
      <c r="G287">
        <f>_xlfn.XLOOKUP(Table1[[#This Row],[Full Name ALL]],Contact[Full Name],Contact[Sequence],"Not Found")</f>
        <v>1</v>
      </c>
      <c r="H287" t="s">
        <v>1524</v>
      </c>
      <c r="I287" s="5" t="s">
        <v>1525</v>
      </c>
      <c r="J287" t="s">
        <v>1526</v>
      </c>
      <c r="K287">
        <v>2019</v>
      </c>
      <c r="L287" t="s">
        <v>912</v>
      </c>
      <c r="M287" t="s">
        <v>95</v>
      </c>
      <c r="N287" t="s">
        <v>190</v>
      </c>
      <c r="P287" s="101"/>
    </row>
    <row r="288" spans="3:16">
      <c r="C288" t="s">
        <v>105</v>
      </c>
      <c r="D288" t="s">
        <v>1527</v>
      </c>
      <c r="E288" t="s">
        <v>1528</v>
      </c>
      <c r="F288" t="str">
        <f t="shared" si="4"/>
        <v>Liz Jenkins</v>
      </c>
      <c r="G288">
        <f>_xlfn.XLOOKUP(Table1[[#This Row],[Full Name ALL]],Contact[Full Name],Contact[Sequence],"Not Found")</f>
        <v>1</v>
      </c>
      <c r="H288" s="101" t="s">
        <v>1529</v>
      </c>
      <c r="I288" t="s">
        <v>1530</v>
      </c>
      <c r="J288" t="s">
        <v>1531</v>
      </c>
      <c r="K288">
        <v>2019</v>
      </c>
      <c r="M288" t="s">
        <v>98</v>
      </c>
      <c r="N288" t="s">
        <v>190</v>
      </c>
      <c r="P288" s="101"/>
    </row>
    <row r="289" spans="3:16">
      <c r="C289" t="s">
        <v>105</v>
      </c>
      <c r="D289" t="s">
        <v>1532</v>
      </c>
      <c r="E289" t="s">
        <v>1533</v>
      </c>
      <c r="F289" t="str">
        <f t="shared" si="4"/>
        <v>Michelle Bai</v>
      </c>
      <c r="G289">
        <f>_xlfn.XLOOKUP(Table1[[#This Row],[Full Name ALL]],Contact[Full Name],Contact[Sequence],"Not Found")</f>
        <v>1</v>
      </c>
      <c r="H289" s="101" t="s">
        <v>1534</v>
      </c>
      <c r="J289" t="s">
        <v>1535</v>
      </c>
      <c r="K289">
        <v>2019</v>
      </c>
      <c r="M289" t="s">
        <v>98</v>
      </c>
      <c r="N289" t="s">
        <v>190</v>
      </c>
      <c r="P289" s="101"/>
    </row>
    <row r="290" spans="3:16">
      <c r="C290" t="s">
        <v>105</v>
      </c>
      <c r="D290" t="s">
        <v>1536</v>
      </c>
      <c r="E290" t="s">
        <v>1537</v>
      </c>
      <c r="F290" t="str">
        <f t="shared" si="4"/>
        <v>Luise Hampl</v>
      </c>
      <c r="G290">
        <f>_xlfn.XLOOKUP(Table1[[#This Row],[Full Name ALL]],Contact[Full Name],Contact[Sequence],"Not Found")</f>
        <v>1</v>
      </c>
      <c r="H290" s="101" t="s">
        <v>1538</v>
      </c>
      <c r="J290" t="s">
        <v>1539</v>
      </c>
      <c r="K290">
        <v>2019</v>
      </c>
      <c r="M290" t="s">
        <v>98</v>
      </c>
      <c r="N290" t="s">
        <v>190</v>
      </c>
      <c r="P290" s="101"/>
    </row>
    <row r="291" spans="3:16">
      <c r="C291" t="s">
        <v>185</v>
      </c>
      <c r="D291" t="s">
        <v>1540</v>
      </c>
      <c r="E291" t="s">
        <v>1541</v>
      </c>
      <c r="F291" t="str">
        <f t="shared" si="4"/>
        <v>Jenny  Lu</v>
      </c>
      <c r="G291">
        <f>_xlfn.XLOOKUP(Table1[[#This Row],[Full Name ALL]],Contact[Full Name],Contact[Sequence],"Not Found")</f>
        <v>1</v>
      </c>
      <c r="H291" s="101" t="s">
        <v>1542</v>
      </c>
      <c r="J291" t="s">
        <v>1543</v>
      </c>
      <c r="K291">
        <v>2019</v>
      </c>
      <c r="L291" t="s">
        <v>1070</v>
      </c>
      <c r="M291" t="s">
        <v>98</v>
      </c>
      <c r="N291" t="s">
        <v>190</v>
      </c>
      <c r="P291" s="101"/>
    </row>
    <row r="292" spans="3:16">
      <c r="C292" t="s">
        <v>185</v>
      </c>
      <c r="D292" t="s">
        <v>1544</v>
      </c>
      <c r="E292" t="s">
        <v>1545</v>
      </c>
      <c r="F292" t="str">
        <f t="shared" si="4"/>
        <v>Madhu Srinivasan</v>
      </c>
      <c r="G292">
        <f>_xlfn.XLOOKUP(Table1[[#This Row],[Full Name ALL]],Contact[Full Name],Contact[Sequence],"Not Found")</f>
        <v>1</v>
      </c>
      <c r="H292" s="101" t="s">
        <v>1546</v>
      </c>
      <c r="J292" s="101" t="s">
        <v>1547</v>
      </c>
      <c r="K292">
        <v>2019</v>
      </c>
      <c r="L292" t="s">
        <v>1548</v>
      </c>
      <c r="M292" t="s">
        <v>98</v>
      </c>
      <c r="N292" t="s">
        <v>190</v>
      </c>
      <c r="P292" s="101"/>
    </row>
    <row r="293" spans="3:16">
      <c r="C293" t="s">
        <v>90</v>
      </c>
      <c r="D293" t="s">
        <v>1549</v>
      </c>
      <c r="E293" t="s">
        <v>1550</v>
      </c>
      <c r="F293" t="str">
        <f t="shared" si="4"/>
        <v>Dilly Soemantri</v>
      </c>
      <c r="G293">
        <f>_xlfn.XLOOKUP(Table1[[#This Row],[Full Name ALL]],Contact[Full Name],Contact[Sequence],"Not Found")</f>
        <v>1</v>
      </c>
      <c r="H293" s="101" t="s">
        <v>1551</v>
      </c>
      <c r="I293" s="101"/>
      <c r="J293" t="s">
        <v>1552</v>
      </c>
      <c r="K293">
        <v>2019</v>
      </c>
      <c r="L293" t="s">
        <v>1553</v>
      </c>
      <c r="M293" t="s">
        <v>98</v>
      </c>
      <c r="N293" t="s">
        <v>190</v>
      </c>
      <c r="P293" s="101"/>
    </row>
    <row r="294" spans="3:16">
      <c r="C294" t="s">
        <v>90</v>
      </c>
      <c r="D294" t="s">
        <v>1554</v>
      </c>
      <c r="E294" t="s">
        <v>1555</v>
      </c>
      <c r="F294" t="str">
        <f t="shared" si="4"/>
        <v>Enric Casals</v>
      </c>
      <c r="G294">
        <f>_xlfn.XLOOKUP(Table1[[#This Row],[Full Name ALL]],Contact[Full Name],Contact[Sequence],"Not Found")</f>
        <v>1</v>
      </c>
      <c r="H294" s="101" t="s">
        <v>1556</v>
      </c>
      <c r="I294" s="101"/>
      <c r="J294" t="s">
        <v>1557</v>
      </c>
      <c r="K294">
        <v>2019</v>
      </c>
      <c r="L294" t="s">
        <v>1558</v>
      </c>
      <c r="M294" t="s">
        <v>98</v>
      </c>
      <c r="N294" t="s">
        <v>190</v>
      </c>
      <c r="P294" s="101"/>
    </row>
    <row r="295" spans="3:16">
      <c r="C295" t="s">
        <v>90</v>
      </c>
      <c r="D295" t="s">
        <v>1559</v>
      </c>
      <c r="E295" t="s">
        <v>1125</v>
      </c>
      <c r="F295" t="str">
        <f t="shared" si="4"/>
        <v>Feng Chen</v>
      </c>
      <c r="G295">
        <f>_xlfn.XLOOKUP(Table1[[#This Row],[Full Name ALL]],Contact[Full Name],Contact[Sequence],"Not Found")</f>
        <v>1</v>
      </c>
      <c r="H295" s="101" t="s">
        <v>1560</v>
      </c>
      <c r="I295" s="101"/>
      <c r="J295" t="s">
        <v>1561</v>
      </c>
      <c r="K295">
        <v>2019</v>
      </c>
      <c r="L295" t="s">
        <v>1562</v>
      </c>
      <c r="M295" t="s">
        <v>98</v>
      </c>
      <c r="N295" t="s">
        <v>190</v>
      </c>
      <c r="P295" s="101"/>
    </row>
    <row r="296" spans="3:16">
      <c r="C296" t="s">
        <v>90</v>
      </c>
      <c r="D296" t="s">
        <v>1563</v>
      </c>
      <c r="E296" t="s">
        <v>260</v>
      </c>
      <c r="F296" t="str">
        <f t="shared" si="4"/>
        <v>Chinmay  Jain</v>
      </c>
      <c r="G296">
        <f>_xlfn.XLOOKUP(Table1[[#This Row],[Full Name ALL]],Contact[Full Name],Contact[Sequence],"Not Found")</f>
        <v>1</v>
      </c>
      <c r="H296" s="101" t="s">
        <v>1564</v>
      </c>
      <c r="I296" s="101"/>
      <c r="J296" t="s">
        <v>1565</v>
      </c>
      <c r="K296">
        <v>2019</v>
      </c>
      <c r="L296" t="s">
        <v>1566</v>
      </c>
      <c r="M296" t="s">
        <v>98</v>
      </c>
      <c r="N296" t="s">
        <v>190</v>
      </c>
      <c r="P296" s="101"/>
    </row>
    <row r="297" spans="3:16">
      <c r="C297" t="s">
        <v>90</v>
      </c>
      <c r="D297" t="s">
        <v>154</v>
      </c>
      <c r="E297" t="s">
        <v>92</v>
      </c>
      <c r="F297" t="str">
        <f t="shared" si="4"/>
        <v>Pranav Kumar</v>
      </c>
      <c r="G297">
        <f>_xlfn.XLOOKUP(Table1[[#This Row],[Full Name ALL]],Contact[Full Name],Contact[Sequence],"Not Found")</f>
        <v>1</v>
      </c>
      <c r="H297" s="101" t="s">
        <v>1567</v>
      </c>
      <c r="I297" s="101"/>
      <c r="J297" t="s">
        <v>1568</v>
      </c>
      <c r="K297">
        <v>2019</v>
      </c>
      <c r="L297" t="s">
        <v>1569</v>
      </c>
      <c r="M297" t="s">
        <v>98</v>
      </c>
      <c r="N297" t="s">
        <v>190</v>
      </c>
      <c r="P297" s="101"/>
    </row>
    <row r="298" spans="3:16">
      <c r="C298" t="s">
        <v>90</v>
      </c>
      <c r="D298" t="s">
        <v>1570</v>
      </c>
      <c r="E298" t="s">
        <v>1571</v>
      </c>
      <c r="F298" t="str">
        <f t="shared" si="4"/>
        <v>Tim  Ye</v>
      </c>
      <c r="G298">
        <f>_xlfn.XLOOKUP(Table1[[#This Row],[Full Name ALL]],Contact[Full Name],Contact[Sequence],"Not Found")</f>
        <v>1</v>
      </c>
      <c r="H298" s="101" t="s">
        <v>1572</v>
      </c>
      <c r="I298" s="101"/>
      <c r="J298" t="s">
        <v>1573</v>
      </c>
      <c r="K298">
        <v>2019</v>
      </c>
      <c r="L298" t="s">
        <v>1574</v>
      </c>
      <c r="M298" t="s">
        <v>98</v>
      </c>
      <c r="N298" t="s">
        <v>190</v>
      </c>
      <c r="P298" s="101"/>
    </row>
    <row r="299" spans="3:16">
      <c r="C299" t="s">
        <v>105</v>
      </c>
      <c r="D299" t="s">
        <v>1575</v>
      </c>
      <c r="E299" t="s">
        <v>1576</v>
      </c>
      <c r="F299" t="str">
        <f t="shared" si="4"/>
        <v>MArcia NUffer</v>
      </c>
      <c r="G299">
        <f>_xlfn.XLOOKUP(Table1[[#This Row],[Full Name ALL]],Contact[Full Name],Contact[Sequence],"Not Found")</f>
        <v>1</v>
      </c>
      <c r="H299" s="101" t="s">
        <v>1577</v>
      </c>
      <c r="I299" t="s">
        <v>1578</v>
      </c>
      <c r="J299" t="s">
        <v>1579</v>
      </c>
      <c r="K299">
        <v>2019</v>
      </c>
      <c r="M299" t="s">
        <v>98</v>
      </c>
      <c r="N299" t="s">
        <v>190</v>
      </c>
      <c r="P299" s="101"/>
    </row>
    <row r="300" spans="3:16">
      <c r="C300" t="s">
        <v>185</v>
      </c>
      <c r="D300" t="s">
        <v>1580</v>
      </c>
      <c r="E300" t="s">
        <v>1581</v>
      </c>
      <c r="F300" t="str">
        <f t="shared" si="4"/>
        <v>Maggie Hsu</v>
      </c>
      <c r="G300">
        <f>_xlfn.XLOOKUP(Table1[[#This Row],[Full Name ALL]],Contact[Full Name],Contact[Sequence],"Not Found")</f>
        <v>1</v>
      </c>
      <c r="H300" t="s">
        <v>1582</v>
      </c>
      <c r="J300" t="s">
        <v>1583</v>
      </c>
      <c r="K300">
        <v>2019</v>
      </c>
      <c r="L300" t="s">
        <v>1091</v>
      </c>
      <c r="M300" t="s">
        <v>95</v>
      </c>
      <c r="N300" t="s">
        <v>190</v>
      </c>
      <c r="P300" s="101"/>
    </row>
    <row r="301" spans="3:16">
      <c r="C301" t="s">
        <v>105</v>
      </c>
      <c r="D301" t="s">
        <v>1584</v>
      </c>
      <c r="E301" t="s">
        <v>1585</v>
      </c>
      <c r="F301" t="str">
        <f t="shared" si="4"/>
        <v>Maria Luisa Grossi</v>
      </c>
      <c r="G301">
        <f>_xlfn.XLOOKUP(Table1[[#This Row],[Full Name ALL]],Contact[Full Name],Contact[Sequence],"Not Found")</f>
        <v>1</v>
      </c>
      <c r="H301" s="101" t="s">
        <v>1586</v>
      </c>
      <c r="J301" t="s">
        <v>1587</v>
      </c>
      <c r="K301">
        <v>2019</v>
      </c>
      <c r="M301" t="s">
        <v>98</v>
      </c>
      <c r="N301" t="s">
        <v>190</v>
      </c>
      <c r="P301" s="101"/>
    </row>
    <row r="302" spans="3:16">
      <c r="C302" t="s">
        <v>105</v>
      </c>
      <c r="D302" t="s">
        <v>1588</v>
      </c>
      <c r="E302" t="s">
        <v>1589</v>
      </c>
      <c r="F302" t="str">
        <f t="shared" si="4"/>
        <v>Marissa Brittenham</v>
      </c>
      <c r="G302">
        <f>_xlfn.XLOOKUP(Table1[[#This Row],[Full Name ALL]],Contact[Full Name],Contact[Sequence],"Not Found")</f>
        <v>1</v>
      </c>
      <c r="H302" t="s">
        <v>1590</v>
      </c>
      <c r="I302" s="5" t="s">
        <v>1591</v>
      </c>
      <c r="J302" t="s">
        <v>1592</v>
      </c>
      <c r="K302">
        <v>2019</v>
      </c>
      <c r="L302" t="s">
        <v>793</v>
      </c>
      <c r="M302" t="s">
        <v>95</v>
      </c>
      <c r="N302" t="s">
        <v>190</v>
      </c>
      <c r="P302" s="101"/>
    </row>
    <row r="303" spans="3:16">
      <c r="C303" t="s">
        <v>185</v>
      </c>
      <c r="D303" t="s">
        <v>1593</v>
      </c>
      <c r="E303" t="s">
        <v>1594</v>
      </c>
      <c r="F303" t="str">
        <f t="shared" si="4"/>
        <v>Marleen Relling</v>
      </c>
      <c r="G303">
        <f>_xlfn.XLOOKUP(Table1[[#This Row],[Full Name ALL]],Contact[Full Name],Contact[Sequence],"Not Found")</f>
        <v>1</v>
      </c>
      <c r="H303" t="s">
        <v>1595</v>
      </c>
      <c r="J303" t="s">
        <v>1596</v>
      </c>
      <c r="K303">
        <v>2019</v>
      </c>
      <c r="L303" t="s">
        <v>1597</v>
      </c>
      <c r="M303" t="s">
        <v>95</v>
      </c>
      <c r="N303" t="s">
        <v>190</v>
      </c>
      <c r="P303" s="101"/>
    </row>
    <row r="304" spans="3:16">
      <c r="C304" t="s">
        <v>105</v>
      </c>
      <c r="D304" t="s">
        <v>1598</v>
      </c>
      <c r="E304" t="s">
        <v>1599</v>
      </c>
      <c r="F304" t="str">
        <f t="shared" si="4"/>
        <v>Maureen Mueller</v>
      </c>
      <c r="G304">
        <f>_xlfn.XLOOKUP(Table1[[#This Row],[Full Name ALL]],Contact[Full Name],Contact[Sequence],"Not Found")</f>
        <v>1</v>
      </c>
      <c r="H304" s="101" t="s">
        <v>1600</v>
      </c>
      <c r="I304" t="s">
        <v>1601</v>
      </c>
      <c r="J304" t="s">
        <v>1602</v>
      </c>
      <c r="K304">
        <v>2019</v>
      </c>
      <c r="M304" t="s">
        <v>98</v>
      </c>
      <c r="N304" t="s">
        <v>190</v>
      </c>
      <c r="P304" s="101"/>
    </row>
    <row r="305" spans="3:16">
      <c r="C305" t="s">
        <v>105</v>
      </c>
      <c r="D305" t="s">
        <v>1603</v>
      </c>
      <c r="E305" t="s">
        <v>1604</v>
      </c>
      <c r="F305" t="str">
        <f t="shared" si="4"/>
        <v>Mary Brinig</v>
      </c>
      <c r="G305">
        <f>_xlfn.XLOOKUP(Table1[[#This Row],[Full Name ALL]],Contact[Full Name],Contact[Sequence],"Not Found")</f>
        <v>1</v>
      </c>
      <c r="H305" s="101" t="s">
        <v>1605</v>
      </c>
      <c r="J305" t="s">
        <v>1606</v>
      </c>
      <c r="K305">
        <v>2019</v>
      </c>
      <c r="M305" t="s">
        <v>98</v>
      </c>
      <c r="N305" t="s">
        <v>190</v>
      </c>
      <c r="P305" s="101"/>
    </row>
    <row r="306" spans="3:16">
      <c r="C306" t="s">
        <v>105</v>
      </c>
      <c r="D306" t="s">
        <v>1607</v>
      </c>
      <c r="E306" t="s">
        <v>1608</v>
      </c>
      <c r="F306" t="str">
        <f t="shared" si="4"/>
        <v>Megan McGill</v>
      </c>
      <c r="G306">
        <f>_xlfn.XLOOKUP(Table1[[#This Row],[Full Name ALL]],Contact[Full Name],Contact[Sequence],"Not Found")</f>
        <v>1</v>
      </c>
      <c r="H306" s="101" t="s">
        <v>1609</v>
      </c>
      <c r="J306" t="s">
        <v>1610</v>
      </c>
      <c r="K306">
        <v>2019</v>
      </c>
      <c r="M306" t="s">
        <v>98</v>
      </c>
      <c r="N306" t="s">
        <v>190</v>
      </c>
      <c r="P306" s="101"/>
    </row>
    <row r="307" spans="3:16">
      <c r="C307" t="s">
        <v>105</v>
      </c>
      <c r="D307" t="s">
        <v>1055</v>
      </c>
      <c r="E307" t="s">
        <v>1611</v>
      </c>
      <c r="F307" t="str">
        <f t="shared" si="4"/>
        <v>Adam McIntosh</v>
      </c>
      <c r="G307">
        <f>_xlfn.XLOOKUP(Table1[[#This Row],[Full Name ALL]],Contact[Full Name],Contact[Sequence],"Not Found")</f>
        <v>1</v>
      </c>
      <c r="H307" t="s">
        <v>1612</v>
      </c>
      <c r="I307" s="5" t="s">
        <v>270</v>
      </c>
      <c r="J307" t="s">
        <v>1613</v>
      </c>
      <c r="K307">
        <v>2019</v>
      </c>
      <c r="L307" t="s">
        <v>1614</v>
      </c>
      <c r="M307" t="s">
        <v>95</v>
      </c>
      <c r="N307" t="s">
        <v>190</v>
      </c>
      <c r="P307" s="101"/>
    </row>
    <row r="308" spans="3:16">
      <c r="C308" t="s">
        <v>105</v>
      </c>
      <c r="D308" t="s">
        <v>438</v>
      </c>
      <c r="E308" t="s">
        <v>1615</v>
      </c>
      <c r="F308" t="str">
        <f t="shared" si="4"/>
        <v>Li Miao</v>
      </c>
      <c r="G308">
        <f>_xlfn.XLOOKUP(Table1[[#This Row],[Full Name ALL]],Contact[Full Name],Contact[Sequence],"Not Found")</f>
        <v>1</v>
      </c>
      <c r="H308" s="101" t="s">
        <v>1616</v>
      </c>
      <c r="I308" t="s">
        <v>1617</v>
      </c>
      <c r="J308" t="s">
        <v>1618</v>
      </c>
      <c r="K308">
        <v>2019</v>
      </c>
      <c r="M308" t="s">
        <v>98</v>
      </c>
      <c r="N308" t="s">
        <v>190</v>
      </c>
      <c r="P308" s="101"/>
    </row>
    <row r="309" spans="3:16">
      <c r="C309" t="s">
        <v>105</v>
      </c>
      <c r="D309" t="s">
        <v>1619</v>
      </c>
      <c r="E309" t="s">
        <v>467</v>
      </c>
      <c r="F309" t="str">
        <f t="shared" si="4"/>
        <v>Michele Chang</v>
      </c>
      <c r="G309">
        <f>_xlfn.XLOOKUP(Table1[[#This Row],[Full Name ALL]],Contact[Full Name],Contact[Sequence],"Not Found")</f>
        <v>1</v>
      </c>
      <c r="H309" s="101" t="s">
        <v>1620</v>
      </c>
      <c r="J309" t="s">
        <v>1621</v>
      </c>
      <c r="K309">
        <v>2019</v>
      </c>
      <c r="M309" t="s">
        <v>98</v>
      </c>
      <c r="N309" t="s">
        <v>190</v>
      </c>
      <c r="P309" s="101"/>
    </row>
    <row r="310" spans="3:16">
      <c r="C310" t="s">
        <v>105</v>
      </c>
      <c r="D310" t="s">
        <v>1532</v>
      </c>
      <c r="E310" t="s">
        <v>1622</v>
      </c>
      <c r="F310" t="str">
        <f t="shared" si="4"/>
        <v>Michelle Prevost</v>
      </c>
      <c r="G310">
        <f>_xlfn.XLOOKUP(Table1[[#This Row],[Full Name ALL]],Contact[Full Name],Contact[Sequence],"Not Found")</f>
        <v>1</v>
      </c>
      <c r="H310" t="s">
        <v>1623</v>
      </c>
      <c r="I310" s="5" t="s">
        <v>1624</v>
      </c>
      <c r="J310" t="s">
        <v>1625</v>
      </c>
      <c r="K310">
        <v>2019</v>
      </c>
      <c r="L310" t="s">
        <v>1626</v>
      </c>
      <c r="M310" t="s">
        <v>95</v>
      </c>
      <c r="N310" t="s">
        <v>190</v>
      </c>
      <c r="P310" s="101"/>
    </row>
    <row r="311" spans="3:16">
      <c r="C311" t="s">
        <v>105</v>
      </c>
      <c r="D311" t="s">
        <v>1627</v>
      </c>
      <c r="E311" t="s">
        <v>1628</v>
      </c>
      <c r="F311" t="str">
        <f t="shared" si="4"/>
        <v>Mieko Kikuchi</v>
      </c>
      <c r="G311">
        <f>_xlfn.XLOOKUP(Table1[[#This Row],[Full Name ALL]],Contact[Full Name],Contact[Sequence],"Not Found")</f>
        <v>1</v>
      </c>
      <c r="H311" t="s">
        <v>1629</v>
      </c>
      <c r="I311" s="5" t="s">
        <v>1630</v>
      </c>
      <c r="J311" t="s">
        <v>1631</v>
      </c>
      <c r="K311">
        <v>2019</v>
      </c>
      <c r="M311" t="s">
        <v>95</v>
      </c>
      <c r="N311" t="s">
        <v>190</v>
      </c>
      <c r="P311" s="101"/>
    </row>
    <row r="312" spans="3:16" ht="15.6">
      <c r="C312" t="s">
        <v>105</v>
      </c>
      <c r="D312" t="s">
        <v>1632</v>
      </c>
      <c r="E312" t="s">
        <v>1633</v>
      </c>
      <c r="F312" t="str">
        <f t="shared" si="4"/>
        <v>Mila Adamova</v>
      </c>
      <c r="G312">
        <f>_xlfn.XLOOKUP(Table1[[#This Row],[Full Name ALL]],Contact[Full Name],Contact[Sequence],"Not Found")</f>
        <v>1</v>
      </c>
      <c r="H312" t="s">
        <v>1634</v>
      </c>
      <c r="I312" s="116" t="s">
        <v>1635</v>
      </c>
      <c r="J312" t="s">
        <v>1636</v>
      </c>
      <c r="K312">
        <v>2019</v>
      </c>
      <c r="L312" t="s">
        <v>793</v>
      </c>
      <c r="M312" t="s">
        <v>95</v>
      </c>
      <c r="N312" t="s">
        <v>190</v>
      </c>
      <c r="P312" s="101"/>
    </row>
    <row r="313" spans="3:16">
      <c r="C313" t="s">
        <v>105</v>
      </c>
      <c r="D313" t="s">
        <v>1637</v>
      </c>
      <c r="E313" t="s">
        <v>1638</v>
      </c>
      <c r="F313" t="str">
        <f t="shared" si="4"/>
        <v>Mili Seoni</v>
      </c>
      <c r="G313">
        <f>_xlfn.XLOOKUP(Table1[[#This Row],[Full Name ALL]],Contact[Full Name],Contact[Sequence],"Not Found")</f>
        <v>1</v>
      </c>
      <c r="H313" s="101" t="s">
        <v>1639</v>
      </c>
      <c r="J313" t="s">
        <v>1640</v>
      </c>
      <c r="K313">
        <v>2019</v>
      </c>
      <c r="M313" t="s">
        <v>98</v>
      </c>
      <c r="N313" t="s">
        <v>190</v>
      </c>
      <c r="P313" s="101"/>
    </row>
    <row r="314" spans="3:16">
      <c r="C314" t="s">
        <v>105</v>
      </c>
      <c r="D314" t="s">
        <v>547</v>
      </c>
      <c r="E314" t="s">
        <v>1641</v>
      </c>
      <c r="F314" t="str">
        <f t="shared" si="4"/>
        <v>Daniel Morales</v>
      </c>
      <c r="G314">
        <f>_xlfn.XLOOKUP(Table1[[#This Row],[Full Name ALL]],Contact[Full Name],Contact[Sequence],"Not Found")</f>
        <v>1</v>
      </c>
      <c r="H314" s="101" t="s">
        <v>1642</v>
      </c>
      <c r="J314" t="s">
        <v>1643</v>
      </c>
      <c r="K314">
        <v>2019</v>
      </c>
      <c r="M314" t="s">
        <v>98</v>
      </c>
      <c r="N314" t="s">
        <v>190</v>
      </c>
      <c r="P314" s="101"/>
    </row>
    <row r="315" spans="3:16">
      <c r="C315" t="s">
        <v>105</v>
      </c>
      <c r="D315" t="s">
        <v>1644</v>
      </c>
      <c r="E315" t="s">
        <v>1645</v>
      </c>
      <c r="F315" t="str">
        <f t="shared" si="4"/>
        <v>Lorcan Murphy</v>
      </c>
      <c r="G315">
        <f>_xlfn.XLOOKUP(Table1[[#This Row],[Full Name ALL]],Contact[Full Name],Contact[Sequence],"Not Found")</f>
        <v>1</v>
      </c>
      <c r="H315" t="s">
        <v>1646</v>
      </c>
      <c r="I315" s="5" t="s">
        <v>1647</v>
      </c>
      <c r="J315" t="s">
        <v>1648</v>
      </c>
      <c r="K315">
        <v>2019</v>
      </c>
      <c r="L315" t="s">
        <v>1649</v>
      </c>
      <c r="M315" t="s">
        <v>95</v>
      </c>
      <c r="N315" t="s">
        <v>190</v>
      </c>
      <c r="P315" s="101"/>
    </row>
    <row r="316" spans="3:16">
      <c r="C316" t="s">
        <v>105</v>
      </c>
      <c r="D316" t="s">
        <v>1650</v>
      </c>
      <c r="E316" t="s">
        <v>1521</v>
      </c>
      <c r="F316" t="str">
        <f t="shared" si="4"/>
        <v>Natalie Perez</v>
      </c>
      <c r="G316">
        <f>_xlfn.XLOOKUP(Table1[[#This Row],[Full Name ALL]],Contact[Full Name],Contact[Sequence],"Not Found")</f>
        <v>1</v>
      </c>
      <c r="H316" t="s">
        <v>1651</v>
      </c>
      <c r="I316" s="5" t="s">
        <v>270</v>
      </c>
      <c r="J316" t="s">
        <v>1652</v>
      </c>
      <c r="K316">
        <v>2019</v>
      </c>
      <c r="M316" t="s">
        <v>95</v>
      </c>
      <c r="N316" t="s">
        <v>190</v>
      </c>
      <c r="P316" s="101"/>
    </row>
    <row r="317" spans="3:16">
      <c r="C317" t="s">
        <v>105</v>
      </c>
      <c r="D317" t="s">
        <v>1653</v>
      </c>
      <c r="E317" t="s">
        <v>1654</v>
      </c>
      <c r="F317" t="str">
        <f t="shared" si="4"/>
        <v>Nathalie Rivest</v>
      </c>
      <c r="G317">
        <f>_xlfn.XLOOKUP(Table1[[#This Row],[Full Name ALL]],Contact[Full Name],Contact[Sequence],"Not Found")</f>
        <v>1</v>
      </c>
      <c r="H317" t="s">
        <v>1655</v>
      </c>
      <c r="I317" s="5" t="s">
        <v>270</v>
      </c>
      <c r="J317" t="s">
        <v>1656</v>
      </c>
      <c r="K317">
        <v>2019</v>
      </c>
      <c r="M317" t="s">
        <v>95</v>
      </c>
      <c r="N317" t="s">
        <v>190</v>
      </c>
      <c r="P317" s="101"/>
    </row>
    <row r="318" spans="3:16">
      <c r="C318" t="s">
        <v>105</v>
      </c>
      <c r="D318" t="s">
        <v>1657</v>
      </c>
      <c r="E318" t="s">
        <v>1658</v>
      </c>
      <c r="F318" t="str">
        <f t="shared" si="4"/>
        <v>Neha Zope</v>
      </c>
      <c r="G318">
        <f>_xlfn.XLOOKUP(Table1[[#This Row],[Full Name ALL]],Contact[Full Name],Contact[Sequence],"Not Found")</f>
        <v>1</v>
      </c>
      <c r="H318" s="101" t="s">
        <v>1659</v>
      </c>
      <c r="J318" t="s">
        <v>1660</v>
      </c>
      <c r="K318">
        <v>2019</v>
      </c>
      <c r="M318" t="s">
        <v>98</v>
      </c>
      <c r="N318" t="s">
        <v>190</v>
      </c>
      <c r="P318" s="101"/>
    </row>
    <row r="319" spans="3:16">
      <c r="C319" t="s">
        <v>105</v>
      </c>
      <c r="D319" t="s">
        <v>1661</v>
      </c>
      <c r="E319" t="s">
        <v>1662</v>
      </c>
      <c r="F319" t="str">
        <f t="shared" si="4"/>
        <v>Nicole Kruijs</v>
      </c>
      <c r="G319">
        <f>_xlfn.XLOOKUP(Table1[[#This Row],[Full Name ALL]],Contact[Full Name],Contact[Sequence],"Not Found")</f>
        <v>1</v>
      </c>
      <c r="H319" s="101" t="s">
        <v>1663</v>
      </c>
      <c r="J319" t="s">
        <v>1664</v>
      </c>
      <c r="K319">
        <v>2019</v>
      </c>
      <c r="L319" t="s">
        <v>1050</v>
      </c>
      <c r="M319" t="s">
        <v>98</v>
      </c>
      <c r="N319" t="s">
        <v>1051</v>
      </c>
      <c r="P319" s="101"/>
    </row>
    <row r="320" spans="3:16">
      <c r="C320" t="s">
        <v>105</v>
      </c>
      <c r="D320" t="s">
        <v>1665</v>
      </c>
      <c r="E320" t="s">
        <v>1666</v>
      </c>
      <c r="F320" t="str">
        <f t="shared" si="4"/>
        <v>Sola Bright</v>
      </c>
      <c r="G320">
        <f>_xlfn.XLOOKUP(Table1[[#This Row],[Full Name ALL]],Contact[Full Name],Contact[Sequence],"Not Found")</f>
        <v>1</v>
      </c>
      <c r="H320" s="101" t="s">
        <v>1667</v>
      </c>
      <c r="J320" t="s">
        <v>1668</v>
      </c>
      <c r="K320">
        <v>2019</v>
      </c>
      <c r="M320" t="s">
        <v>98</v>
      </c>
      <c r="N320" t="s">
        <v>190</v>
      </c>
      <c r="P320" s="101"/>
    </row>
    <row r="321" spans="3:16">
      <c r="C321" t="s">
        <v>105</v>
      </c>
      <c r="D321" t="s">
        <v>1669</v>
      </c>
      <c r="E321" t="s">
        <v>1670</v>
      </c>
      <c r="F321" t="str">
        <f t="shared" si="4"/>
        <v>Paige Turbeville</v>
      </c>
      <c r="G321">
        <f>_xlfn.XLOOKUP(Table1[[#This Row],[Full Name ALL]],Contact[Full Name],Contact[Sequence],"Not Found")</f>
        <v>1</v>
      </c>
      <c r="H321" s="101" t="s">
        <v>1671</v>
      </c>
      <c r="J321" t="s">
        <v>1672</v>
      </c>
      <c r="K321">
        <v>2019</v>
      </c>
      <c r="M321" t="s">
        <v>98</v>
      </c>
      <c r="N321" t="s">
        <v>190</v>
      </c>
      <c r="P321" s="101"/>
    </row>
    <row r="322" spans="3:16">
      <c r="C322" t="s">
        <v>105</v>
      </c>
      <c r="D322" t="s">
        <v>1673</v>
      </c>
      <c r="E322" t="s">
        <v>1674</v>
      </c>
      <c r="F322" t="str">
        <f t="shared" ref="F322:F385" si="5">D322&amp;" "&amp;E322</f>
        <v>Pamela Habib</v>
      </c>
      <c r="G322">
        <f>_xlfn.XLOOKUP(Table1[[#This Row],[Full Name ALL]],Contact[Full Name],Contact[Sequence],"Not Found")</f>
        <v>1</v>
      </c>
      <c r="H322" t="s">
        <v>1675</v>
      </c>
      <c r="I322" s="5" t="s">
        <v>1676</v>
      </c>
      <c r="J322" t="s">
        <v>1677</v>
      </c>
      <c r="K322">
        <v>2019</v>
      </c>
      <c r="M322" t="s">
        <v>95</v>
      </c>
      <c r="N322" t="s">
        <v>190</v>
      </c>
      <c r="P322" s="101"/>
    </row>
    <row r="323" spans="3:16">
      <c r="C323" t="s">
        <v>105</v>
      </c>
      <c r="D323" t="s">
        <v>1678</v>
      </c>
      <c r="E323" t="s">
        <v>1679</v>
      </c>
      <c r="F323" t="str">
        <f t="shared" si="5"/>
        <v>Well Smittinet</v>
      </c>
      <c r="G323">
        <f>_xlfn.XLOOKUP(Table1[[#This Row],[Full Name ALL]],Contact[Full Name],Contact[Sequence],"Not Found")</f>
        <v>1</v>
      </c>
      <c r="H323" t="s">
        <v>1680</v>
      </c>
      <c r="I323" s="5" t="s">
        <v>1681</v>
      </c>
      <c r="J323" t="s">
        <v>1682</v>
      </c>
      <c r="K323">
        <v>2019</v>
      </c>
      <c r="M323" t="s">
        <v>95</v>
      </c>
      <c r="N323" t="s">
        <v>190</v>
      </c>
      <c r="P323" s="101"/>
    </row>
    <row r="324" spans="3:16">
      <c r="C324" t="s">
        <v>105</v>
      </c>
      <c r="D324" t="s">
        <v>1683</v>
      </c>
      <c r="E324" t="s">
        <v>1684</v>
      </c>
      <c r="F324" t="str">
        <f t="shared" si="5"/>
        <v>Patty Seifert</v>
      </c>
      <c r="G324">
        <f>_xlfn.XLOOKUP(Table1[[#This Row],[Full Name ALL]],Contact[Full Name],Contact[Sequence],"Not Found")</f>
        <v>1</v>
      </c>
      <c r="H324" s="101" t="s">
        <v>1685</v>
      </c>
      <c r="I324" s="5" t="s">
        <v>1686</v>
      </c>
      <c r="J324" t="s">
        <v>1687</v>
      </c>
      <c r="K324">
        <v>2019</v>
      </c>
      <c r="L324" t="s">
        <v>793</v>
      </c>
      <c r="M324" t="s">
        <v>95</v>
      </c>
      <c r="N324" t="s">
        <v>190</v>
      </c>
      <c r="P324" s="101"/>
    </row>
    <row r="325" spans="3:16">
      <c r="C325" t="s">
        <v>105</v>
      </c>
      <c r="D325" t="s">
        <v>1688</v>
      </c>
      <c r="E325" t="s">
        <v>1689</v>
      </c>
      <c r="F325" t="str">
        <f t="shared" si="5"/>
        <v>Paula Fernandez</v>
      </c>
      <c r="G325">
        <f>_xlfn.XLOOKUP(Table1[[#This Row],[Full Name ALL]],Contact[Full Name],Contact[Sequence],"Not Found")</f>
        <v>1</v>
      </c>
      <c r="H325" s="101" t="s">
        <v>1690</v>
      </c>
      <c r="J325" t="s">
        <v>1691</v>
      </c>
      <c r="K325">
        <v>2019</v>
      </c>
      <c r="M325" t="s">
        <v>98</v>
      </c>
      <c r="N325" t="s">
        <v>190</v>
      </c>
      <c r="P325" s="101"/>
    </row>
    <row r="326" spans="3:16">
      <c r="C326" t="s">
        <v>90</v>
      </c>
      <c r="D326" t="s">
        <v>1692</v>
      </c>
      <c r="E326" t="s">
        <v>238</v>
      </c>
      <c r="F326" t="str">
        <f t="shared" si="5"/>
        <v>Peeyusj Agarwal</v>
      </c>
      <c r="G326">
        <f>_xlfn.XLOOKUP(Table1[[#This Row],[Full Name ALL]],Contact[Full Name],Contact[Sequence],"Not Found")</f>
        <v>1</v>
      </c>
      <c r="H326" s="101" t="s">
        <v>1693</v>
      </c>
      <c r="I326" t="s">
        <v>1694</v>
      </c>
      <c r="J326" t="s">
        <v>1695</v>
      </c>
      <c r="K326">
        <v>2019</v>
      </c>
      <c r="L326" t="s">
        <v>1696</v>
      </c>
      <c r="M326" t="s">
        <v>98</v>
      </c>
      <c r="N326" t="s">
        <v>190</v>
      </c>
      <c r="P326" s="101"/>
    </row>
    <row r="327" spans="3:16">
      <c r="C327" t="s">
        <v>105</v>
      </c>
      <c r="D327" t="s">
        <v>1697</v>
      </c>
      <c r="E327" t="s">
        <v>1698</v>
      </c>
      <c r="F327" t="str">
        <f t="shared" si="5"/>
        <v>Pegah Soltani</v>
      </c>
      <c r="G327">
        <f>_xlfn.XLOOKUP(Table1[[#This Row],[Full Name ALL]],Contact[Full Name],Contact[Sequence],"Not Found")</f>
        <v>1</v>
      </c>
      <c r="H327" t="s">
        <v>1699</v>
      </c>
      <c r="I327" s="5" t="s">
        <v>1700</v>
      </c>
      <c r="J327" t="s">
        <v>1701</v>
      </c>
      <c r="K327">
        <v>2019</v>
      </c>
      <c r="M327" t="s">
        <v>95</v>
      </c>
      <c r="N327" t="s">
        <v>190</v>
      </c>
      <c r="P327" s="101"/>
    </row>
    <row r="328" spans="3:16">
      <c r="C328" t="s">
        <v>185</v>
      </c>
      <c r="D328" t="s">
        <v>1702</v>
      </c>
      <c r="E328" t="s">
        <v>1703</v>
      </c>
      <c r="F328" t="str">
        <f t="shared" si="5"/>
        <v>Peter Zhu</v>
      </c>
      <c r="G328">
        <f>_xlfn.XLOOKUP(Table1[[#This Row],[Full Name ALL]],Contact[Full Name],Contact[Sequence],"Not Found")</f>
        <v>1</v>
      </c>
      <c r="H328" s="101" t="s">
        <v>1704</v>
      </c>
      <c r="J328" t="s">
        <v>1705</v>
      </c>
      <c r="K328">
        <v>2019</v>
      </c>
      <c r="L328" t="s">
        <v>1706</v>
      </c>
      <c r="M328" t="s">
        <v>98</v>
      </c>
      <c r="N328" t="s">
        <v>190</v>
      </c>
      <c r="P328" s="101"/>
    </row>
    <row r="329" spans="3:16">
      <c r="C329" t="s">
        <v>105</v>
      </c>
      <c r="D329" t="s">
        <v>1707</v>
      </c>
      <c r="E329" t="s">
        <v>1708</v>
      </c>
      <c r="F329" t="str">
        <f t="shared" si="5"/>
        <v>Anna  Pikovsky Auerbach</v>
      </c>
      <c r="G329">
        <f>_xlfn.XLOOKUP(Table1[[#This Row],[Full Name ALL]],Contact[Full Name],Contact[Sequence],"Not Found")</f>
        <v>1</v>
      </c>
      <c r="H329" s="101" t="s">
        <v>1709</v>
      </c>
      <c r="J329" t="s">
        <v>1710</v>
      </c>
      <c r="K329">
        <v>2019</v>
      </c>
      <c r="M329" t="s">
        <v>98</v>
      </c>
      <c r="N329" t="s">
        <v>190</v>
      </c>
      <c r="P329" s="101"/>
    </row>
    <row r="330" spans="3:16">
      <c r="C330" t="s">
        <v>185</v>
      </c>
      <c r="D330" t="s">
        <v>154</v>
      </c>
      <c r="E330" t="s">
        <v>1711</v>
      </c>
      <c r="F330" t="str">
        <f t="shared" si="5"/>
        <v>Pranav Kashyap</v>
      </c>
      <c r="G330">
        <f>_xlfn.XLOOKUP(Table1[[#This Row],[Full Name ALL]],Contact[Full Name],Contact[Sequence],"Not Found")</f>
        <v>1</v>
      </c>
      <c r="H330" s="101" t="s">
        <v>1712</v>
      </c>
      <c r="J330" t="s">
        <v>1713</v>
      </c>
      <c r="K330">
        <v>2019</v>
      </c>
      <c r="L330" t="s">
        <v>1714</v>
      </c>
      <c r="M330" t="s">
        <v>98</v>
      </c>
      <c r="N330" t="s">
        <v>190</v>
      </c>
      <c r="P330" s="101"/>
    </row>
    <row r="331" spans="3:16">
      <c r="C331" t="s">
        <v>105</v>
      </c>
      <c r="D331" t="s">
        <v>1715</v>
      </c>
      <c r="E331" t="s">
        <v>1716</v>
      </c>
      <c r="F331" t="str">
        <f t="shared" si="5"/>
        <v>Rachel Reddy</v>
      </c>
      <c r="G331">
        <f>_xlfn.XLOOKUP(Table1[[#This Row],[Full Name ALL]],Contact[Full Name],Contact[Sequence],"Not Found")</f>
        <v>1</v>
      </c>
      <c r="H331" t="s">
        <v>1717</v>
      </c>
      <c r="I331" s="5" t="s">
        <v>270</v>
      </c>
      <c r="J331" t="s">
        <v>1718</v>
      </c>
      <c r="K331">
        <v>2019</v>
      </c>
      <c r="M331" t="s">
        <v>95</v>
      </c>
      <c r="N331" t="s">
        <v>190</v>
      </c>
      <c r="P331" s="101"/>
    </row>
    <row r="332" spans="3:16">
      <c r="C332" t="s">
        <v>90</v>
      </c>
      <c r="D332" t="s">
        <v>1719</v>
      </c>
      <c r="E332" t="s">
        <v>373</v>
      </c>
      <c r="F332" t="str">
        <f t="shared" si="5"/>
        <v>Rajamayyoor Sharma</v>
      </c>
      <c r="G332">
        <f>_xlfn.XLOOKUP(Table1[[#This Row],[Full Name ALL]],Contact[Full Name],Contact[Sequence],"Not Found")</f>
        <v>1</v>
      </c>
      <c r="H332" t="s">
        <v>1720</v>
      </c>
      <c r="J332" t="s">
        <v>1721</v>
      </c>
      <c r="K332">
        <v>2019</v>
      </c>
      <c r="L332" t="s">
        <v>1722</v>
      </c>
      <c r="M332" t="s">
        <v>95</v>
      </c>
      <c r="N332" t="s">
        <v>190</v>
      </c>
      <c r="P332" s="101"/>
    </row>
    <row r="333" spans="3:16">
      <c r="C333" t="s">
        <v>90</v>
      </c>
      <c r="D333" t="s">
        <v>1723</v>
      </c>
      <c r="E333" t="s">
        <v>1724</v>
      </c>
      <c r="F333" t="str">
        <f t="shared" si="5"/>
        <v>Rajen  Makhijani</v>
      </c>
      <c r="G333">
        <f>_xlfn.XLOOKUP(Table1[[#This Row],[Full Name ALL]],Contact[Full Name],Contact[Sequence],"Not Found")</f>
        <v>1</v>
      </c>
      <c r="H333" s="101" t="s">
        <v>1725</v>
      </c>
      <c r="I333" t="s">
        <v>1726</v>
      </c>
      <c r="J333" t="s">
        <v>1727</v>
      </c>
      <c r="K333">
        <v>2019</v>
      </c>
      <c r="L333" t="s">
        <v>1728</v>
      </c>
      <c r="M333" t="s">
        <v>98</v>
      </c>
      <c r="N333" t="s">
        <v>190</v>
      </c>
      <c r="P333" s="101"/>
    </row>
    <row r="334" spans="3:16">
      <c r="C334" t="s">
        <v>105</v>
      </c>
      <c r="D334" t="s">
        <v>1729</v>
      </c>
      <c r="E334" t="s">
        <v>1730</v>
      </c>
      <c r="F334" t="str">
        <f t="shared" si="5"/>
        <v>Ranjeetha Bharath</v>
      </c>
      <c r="G334">
        <f>_xlfn.XLOOKUP(Table1[[#This Row],[Full Name ALL]],Contact[Full Name],Contact[Sequence],"Not Found")</f>
        <v>1</v>
      </c>
      <c r="H334" s="101" t="s">
        <v>1731</v>
      </c>
      <c r="J334" t="s">
        <v>1732</v>
      </c>
      <c r="K334">
        <v>2019</v>
      </c>
      <c r="M334" t="s">
        <v>98</v>
      </c>
      <c r="N334" t="s">
        <v>190</v>
      </c>
      <c r="P334" s="101"/>
    </row>
    <row r="335" spans="3:16">
      <c r="C335" t="s">
        <v>90</v>
      </c>
      <c r="D335" t="s">
        <v>1733</v>
      </c>
      <c r="E335" t="s">
        <v>1734</v>
      </c>
      <c r="F335" t="str">
        <f t="shared" si="5"/>
        <v>Rohit Razdan</v>
      </c>
      <c r="G335">
        <f>_xlfn.XLOOKUP(Table1[[#This Row],[Full Name ALL]],Contact[Full Name],Contact[Sequence],"Not Found")</f>
        <v>1</v>
      </c>
      <c r="H335" s="101" t="s">
        <v>1735</v>
      </c>
      <c r="I335" t="s">
        <v>1736</v>
      </c>
      <c r="J335" t="s">
        <v>1737</v>
      </c>
      <c r="K335">
        <v>2019</v>
      </c>
      <c r="L335" t="s">
        <v>1738</v>
      </c>
      <c r="M335" t="s">
        <v>98</v>
      </c>
      <c r="N335" t="s">
        <v>190</v>
      </c>
      <c r="P335" s="101"/>
    </row>
    <row r="336" spans="3:16">
      <c r="C336" t="s">
        <v>105</v>
      </c>
      <c r="D336" t="s">
        <v>1739</v>
      </c>
      <c r="E336" t="s">
        <v>1740</v>
      </c>
      <c r="F336" t="str">
        <f t="shared" si="5"/>
        <v>Ruchi Bansal</v>
      </c>
      <c r="G336">
        <f>_xlfn.XLOOKUP(Table1[[#This Row],[Full Name ALL]],Contact[Full Name],Contact[Sequence],"Not Found")</f>
        <v>1</v>
      </c>
      <c r="H336" s="101" t="s">
        <v>1741</v>
      </c>
      <c r="J336" t="s">
        <v>1742</v>
      </c>
      <c r="K336">
        <v>2019</v>
      </c>
      <c r="M336" t="s">
        <v>98</v>
      </c>
      <c r="N336" t="s">
        <v>190</v>
      </c>
      <c r="P336" s="101"/>
    </row>
    <row r="337" spans="3:16">
      <c r="C337" t="s">
        <v>105</v>
      </c>
      <c r="D337" t="s">
        <v>749</v>
      </c>
      <c r="E337" t="s">
        <v>1743</v>
      </c>
      <c r="F337" t="str">
        <f t="shared" si="5"/>
        <v>Rebecca Gaffney</v>
      </c>
      <c r="G337">
        <f>_xlfn.XLOOKUP(Table1[[#This Row],[Full Name ALL]],Contact[Full Name],Contact[Sequence],"Not Found")</f>
        <v>1</v>
      </c>
      <c r="H337" t="s">
        <v>1744</v>
      </c>
      <c r="I337" s="5" t="s">
        <v>1745</v>
      </c>
      <c r="J337" t="s">
        <v>1746</v>
      </c>
      <c r="K337">
        <v>2019</v>
      </c>
      <c r="L337" t="s">
        <v>793</v>
      </c>
      <c r="M337" t="s">
        <v>95</v>
      </c>
      <c r="N337" t="s">
        <v>190</v>
      </c>
      <c r="P337" s="101"/>
    </row>
    <row r="338" spans="3:16">
      <c r="C338" t="s">
        <v>105</v>
      </c>
      <c r="D338" t="s">
        <v>1747</v>
      </c>
      <c r="E338" t="s">
        <v>1254</v>
      </c>
      <c r="F338" t="str">
        <f t="shared" si="5"/>
        <v>Robert Lee</v>
      </c>
      <c r="G338">
        <f>_xlfn.XLOOKUP(Table1[[#This Row],[Full Name ALL]],Contact[Full Name],Contact[Sequence],"Not Found")</f>
        <v>1</v>
      </c>
      <c r="H338" s="101" t="s">
        <v>1748</v>
      </c>
      <c r="J338" t="s">
        <v>1749</v>
      </c>
      <c r="K338">
        <v>2019</v>
      </c>
      <c r="M338" t="s">
        <v>98</v>
      </c>
      <c r="N338" t="s">
        <v>190</v>
      </c>
      <c r="P338" s="101"/>
    </row>
    <row r="339" spans="3:16">
      <c r="C339" t="s">
        <v>105</v>
      </c>
      <c r="D339" t="s">
        <v>1750</v>
      </c>
      <c r="E339" t="s">
        <v>1751</v>
      </c>
      <c r="F339" t="str">
        <f t="shared" si="5"/>
        <v>Rocio García Villaverde</v>
      </c>
      <c r="G339">
        <f>_xlfn.XLOOKUP(Table1[[#This Row],[Full Name ALL]],Contact[Full Name],Contact[Sequence],"Not Found")</f>
        <v>1</v>
      </c>
      <c r="H339" t="s">
        <v>1752</v>
      </c>
      <c r="I339" s="5" t="s">
        <v>1753</v>
      </c>
      <c r="J339" t="s">
        <v>1754</v>
      </c>
      <c r="K339">
        <v>2019</v>
      </c>
      <c r="M339" t="s">
        <v>95</v>
      </c>
      <c r="N339" t="s">
        <v>190</v>
      </c>
      <c r="P339" s="101"/>
    </row>
    <row r="340" spans="3:16">
      <c r="C340" t="s">
        <v>105</v>
      </c>
      <c r="D340" t="s">
        <v>1739</v>
      </c>
      <c r="E340" t="s">
        <v>1755</v>
      </c>
      <c r="F340" t="str">
        <f t="shared" si="5"/>
        <v>Ruchi Saha</v>
      </c>
      <c r="G340">
        <f>_xlfn.XLOOKUP(Table1[[#This Row],[Full Name ALL]],Contact[Full Name],Contact[Sequence],"Not Found")</f>
        <v>1</v>
      </c>
      <c r="H340" s="101" t="s">
        <v>1756</v>
      </c>
      <c r="J340" t="s">
        <v>1757</v>
      </c>
      <c r="K340">
        <v>2019</v>
      </c>
      <c r="M340" t="s">
        <v>98</v>
      </c>
      <c r="N340" t="s">
        <v>190</v>
      </c>
      <c r="P340" s="101"/>
    </row>
    <row r="341" spans="3:16">
      <c r="C341" t="s">
        <v>105</v>
      </c>
      <c r="D341" t="s">
        <v>1758</v>
      </c>
      <c r="E341" t="s">
        <v>1759</v>
      </c>
      <c r="F341" t="str">
        <f t="shared" si="5"/>
        <v>Rui Bao</v>
      </c>
      <c r="G341">
        <f>_xlfn.XLOOKUP(Table1[[#This Row],[Full Name ALL]],Contact[Full Name],Contact[Sequence],"Not Found")</f>
        <v>1</v>
      </c>
      <c r="H341" t="s">
        <v>1760</v>
      </c>
      <c r="I341" s="5" t="s">
        <v>270</v>
      </c>
      <c r="J341" t="s">
        <v>1761</v>
      </c>
      <c r="K341">
        <v>2019</v>
      </c>
      <c r="M341" t="s">
        <v>95</v>
      </c>
      <c r="N341" t="s">
        <v>190</v>
      </c>
      <c r="P341" s="101"/>
    </row>
    <row r="342" spans="3:16">
      <c r="C342" t="s">
        <v>105</v>
      </c>
      <c r="D342" t="s">
        <v>1762</v>
      </c>
      <c r="E342" t="s">
        <v>1763</v>
      </c>
      <c r="F342" t="str">
        <f t="shared" si="5"/>
        <v>Rutika Muchhala</v>
      </c>
      <c r="G342">
        <f>_xlfn.XLOOKUP(Table1[[#This Row],[Full Name ALL]],Contact[Full Name],Contact[Sequence],"Not Found")</f>
        <v>1</v>
      </c>
      <c r="H342" t="s">
        <v>1764</v>
      </c>
      <c r="I342" s="5" t="s">
        <v>270</v>
      </c>
      <c r="J342" t="s">
        <v>1765</v>
      </c>
      <c r="K342">
        <v>2019</v>
      </c>
      <c r="M342" t="s">
        <v>95</v>
      </c>
      <c r="N342" t="s">
        <v>190</v>
      </c>
      <c r="P342" s="101"/>
    </row>
    <row r="343" spans="3:16">
      <c r="C343" t="s">
        <v>90</v>
      </c>
      <c r="D343" t="s">
        <v>1766</v>
      </c>
      <c r="E343" t="s">
        <v>1767</v>
      </c>
      <c r="F343" t="str">
        <f t="shared" si="5"/>
        <v>Ryohei Takao</v>
      </c>
      <c r="G343">
        <f>_xlfn.XLOOKUP(Table1[[#This Row],[Full Name ALL]],Contact[Full Name],Contact[Sequence],"Not Found")</f>
        <v>1</v>
      </c>
      <c r="H343" t="s">
        <v>1768</v>
      </c>
      <c r="J343" t="s">
        <v>1769</v>
      </c>
      <c r="K343">
        <v>2019</v>
      </c>
      <c r="L343" t="s">
        <v>1770</v>
      </c>
      <c r="M343" t="s">
        <v>95</v>
      </c>
      <c r="N343" t="s">
        <v>190</v>
      </c>
      <c r="P343" s="101"/>
    </row>
    <row r="344" spans="3:16">
      <c r="C344" t="s">
        <v>105</v>
      </c>
      <c r="D344" t="s">
        <v>1771</v>
      </c>
      <c r="E344" t="s">
        <v>1772</v>
      </c>
      <c r="F344" t="str">
        <f t="shared" si="5"/>
        <v>Sesh Addanki</v>
      </c>
      <c r="G344">
        <f>_xlfn.XLOOKUP(Table1[[#This Row],[Full Name ALL]],Contact[Full Name],Contact[Sequence],"Not Found")</f>
        <v>1</v>
      </c>
      <c r="H344" t="s">
        <v>1773</v>
      </c>
      <c r="I344" s="5" t="s">
        <v>270</v>
      </c>
      <c r="J344" t="s">
        <v>1774</v>
      </c>
      <c r="K344">
        <v>2019</v>
      </c>
      <c r="M344" t="s">
        <v>95</v>
      </c>
      <c r="N344" t="s">
        <v>190</v>
      </c>
      <c r="P344" s="101"/>
    </row>
    <row r="345" spans="3:16">
      <c r="C345" t="s">
        <v>105</v>
      </c>
      <c r="D345" t="s">
        <v>1775</v>
      </c>
      <c r="E345" t="s">
        <v>1776</v>
      </c>
      <c r="F345" t="str">
        <f t="shared" si="5"/>
        <v>Samura Atallah</v>
      </c>
      <c r="G345">
        <f>_xlfn.XLOOKUP(Table1[[#This Row],[Full Name ALL]],Contact[Full Name],Contact[Sequence],"Not Found")</f>
        <v>1</v>
      </c>
      <c r="H345" s="101" t="s">
        <v>1777</v>
      </c>
      <c r="J345" t="s">
        <v>1778</v>
      </c>
      <c r="K345">
        <v>2019</v>
      </c>
      <c r="M345" t="s">
        <v>98</v>
      </c>
      <c r="N345" t="s">
        <v>190</v>
      </c>
      <c r="P345" s="101"/>
    </row>
    <row r="346" spans="3:16">
      <c r="C346" t="s">
        <v>105</v>
      </c>
      <c r="D346" t="s">
        <v>1779</v>
      </c>
      <c r="E346" t="s">
        <v>1780</v>
      </c>
      <c r="F346" t="str">
        <f t="shared" si="5"/>
        <v>Sargam Mehta</v>
      </c>
      <c r="G346">
        <f>_xlfn.XLOOKUP(Table1[[#This Row],[Full Name ALL]],Contact[Full Name],Contact[Sequence],"Not Found")</f>
        <v>1</v>
      </c>
      <c r="H346" s="101" t="s">
        <v>1781</v>
      </c>
      <c r="J346" t="s">
        <v>1782</v>
      </c>
      <c r="K346">
        <v>2019</v>
      </c>
      <c r="M346" t="s">
        <v>98</v>
      </c>
      <c r="N346" t="s">
        <v>190</v>
      </c>
      <c r="P346" s="101"/>
    </row>
    <row r="347" spans="3:16">
      <c r="C347" t="s">
        <v>105</v>
      </c>
      <c r="D347" t="s">
        <v>1783</v>
      </c>
      <c r="E347" t="s">
        <v>1056</v>
      </c>
      <c r="F347" t="str">
        <f t="shared" si="5"/>
        <v>Stephanie Brown</v>
      </c>
      <c r="G347">
        <f>_xlfn.XLOOKUP(Table1[[#This Row],[Full Name ALL]],Contact[Full Name],Contact[Sequence],"Not Found")</f>
        <v>1</v>
      </c>
      <c r="H347" s="101" t="s">
        <v>1784</v>
      </c>
      <c r="J347" t="s">
        <v>1785</v>
      </c>
      <c r="K347">
        <v>2019</v>
      </c>
      <c r="M347" t="s">
        <v>98</v>
      </c>
      <c r="N347" t="s">
        <v>190</v>
      </c>
      <c r="P347" s="101"/>
    </row>
    <row r="348" spans="3:16">
      <c r="C348" t="s">
        <v>105</v>
      </c>
      <c r="D348" t="s">
        <v>1786</v>
      </c>
      <c r="E348" t="s">
        <v>1787</v>
      </c>
      <c r="F348" t="str">
        <f t="shared" si="5"/>
        <v>Sonia Vora</v>
      </c>
      <c r="G348">
        <f>_xlfn.XLOOKUP(Table1[[#This Row],[Full Name ALL]],Contact[Full Name],Contact[Sequence],"Not Found")</f>
        <v>1</v>
      </c>
      <c r="H348" s="101" t="s">
        <v>1788</v>
      </c>
      <c r="J348" t="s">
        <v>1789</v>
      </c>
      <c r="K348">
        <v>2019</v>
      </c>
      <c r="M348" t="s">
        <v>98</v>
      </c>
      <c r="N348" t="s">
        <v>190</v>
      </c>
      <c r="P348" s="101"/>
    </row>
    <row r="349" spans="3:16">
      <c r="C349" t="s">
        <v>105</v>
      </c>
      <c r="D349" t="s">
        <v>1790</v>
      </c>
      <c r="E349" t="s">
        <v>1791</v>
      </c>
      <c r="F349" t="str">
        <f t="shared" si="5"/>
        <v>Sebastien Jakob</v>
      </c>
      <c r="G349">
        <f>_xlfn.XLOOKUP(Table1[[#This Row],[Full Name ALL]],Contact[Full Name],Contact[Sequence],"Not Found")</f>
        <v>1</v>
      </c>
      <c r="H349" s="101" t="s">
        <v>1792</v>
      </c>
      <c r="J349" t="s">
        <v>1793</v>
      </c>
      <c r="K349">
        <v>2019</v>
      </c>
      <c r="M349" t="s">
        <v>98</v>
      </c>
      <c r="N349" t="s">
        <v>190</v>
      </c>
      <c r="P349" s="101"/>
    </row>
    <row r="350" spans="3:16">
      <c r="C350" t="s">
        <v>105</v>
      </c>
      <c r="D350" t="s">
        <v>1794</v>
      </c>
      <c r="E350" t="s">
        <v>1795</v>
      </c>
      <c r="F350" t="str">
        <f t="shared" si="5"/>
        <v>Sara Enright</v>
      </c>
      <c r="G350">
        <f>_xlfn.XLOOKUP(Table1[[#This Row],[Full Name ALL]],Contact[Full Name],Contact[Sequence],"Not Found")</f>
        <v>1</v>
      </c>
      <c r="H350" t="s">
        <v>1796</v>
      </c>
      <c r="I350" s="5" t="s">
        <v>270</v>
      </c>
      <c r="J350" t="s">
        <v>1797</v>
      </c>
      <c r="K350">
        <v>2019</v>
      </c>
      <c r="L350" t="s">
        <v>793</v>
      </c>
      <c r="M350" t="s">
        <v>95</v>
      </c>
      <c r="N350" t="s">
        <v>190</v>
      </c>
      <c r="P350" s="101"/>
    </row>
    <row r="351" spans="3:16">
      <c r="C351" t="s">
        <v>105</v>
      </c>
      <c r="D351" t="s">
        <v>1798</v>
      </c>
      <c r="E351" t="s">
        <v>1799</v>
      </c>
      <c r="F351" t="str">
        <f t="shared" si="5"/>
        <v>Shelley Cao</v>
      </c>
      <c r="G351">
        <f>_xlfn.XLOOKUP(Table1[[#This Row],[Full Name ALL]],Contact[Full Name],Contact[Sequence],"Not Found")</f>
        <v>1</v>
      </c>
      <c r="H351" s="101" t="s">
        <v>1800</v>
      </c>
      <c r="J351" t="s">
        <v>1801</v>
      </c>
      <c r="K351">
        <v>2019</v>
      </c>
      <c r="M351" t="s">
        <v>98</v>
      </c>
      <c r="N351" t="s">
        <v>190</v>
      </c>
      <c r="P351" s="101"/>
    </row>
    <row r="352" spans="3:16">
      <c r="C352" t="s">
        <v>185</v>
      </c>
      <c r="D352" t="s">
        <v>1387</v>
      </c>
      <c r="E352" t="s">
        <v>1802</v>
      </c>
      <c r="F352" t="str">
        <f t="shared" si="5"/>
        <v>Jean Ho</v>
      </c>
      <c r="G352">
        <f>_xlfn.XLOOKUP(Table1[[#This Row],[Full Name ALL]],Contact[Full Name],Contact[Sequence],"Not Found")</f>
        <v>1</v>
      </c>
      <c r="H352" s="101" t="s">
        <v>1803</v>
      </c>
      <c r="J352" t="s">
        <v>1804</v>
      </c>
      <c r="K352">
        <v>2019</v>
      </c>
      <c r="L352" t="s">
        <v>1119</v>
      </c>
      <c r="M352" t="s">
        <v>98</v>
      </c>
      <c r="N352" t="s">
        <v>190</v>
      </c>
      <c r="P352" s="101"/>
    </row>
    <row r="353" spans="3:16">
      <c r="C353" t="s">
        <v>105</v>
      </c>
      <c r="D353" t="s">
        <v>1805</v>
      </c>
      <c r="E353" t="s">
        <v>238</v>
      </c>
      <c r="F353" t="str">
        <f t="shared" si="5"/>
        <v>Shreya Agarwal</v>
      </c>
      <c r="G353">
        <f>_xlfn.XLOOKUP(Table1[[#This Row],[Full Name ALL]],Contact[Full Name],Contact[Sequence],"Not Found")</f>
        <v>1</v>
      </c>
      <c r="H353" s="101" t="s">
        <v>1806</v>
      </c>
      <c r="J353" t="s">
        <v>1807</v>
      </c>
      <c r="K353">
        <v>2019</v>
      </c>
      <c r="M353" t="s">
        <v>98</v>
      </c>
      <c r="N353" t="s">
        <v>190</v>
      </c>
      <c r="P353" s="101"/>
    </row>
    <row r="354" spans="3:16" ht="15.6">
      <c r="C354" t="s">
        <v>105</v>
      </c>
      <c r="D354" t="s">
        <v>1808</v>
      </c>
      <c r="E354" t="s">
        <v>1809</v>
      </c>
      <c r="F354" t="str">
        <f t="shared" si="5"/>
        <v>Prateek Singhal</v>
      </c>
      <c r="G354">
        <f>_xlfn.XLOOKUP(Table1[[#This Row],[Full Name ALL]],Contact[Full Name],Contact[Sequence],"Not Found")</f>
        <v>1</v>
      </c>
      <c r="H354" t="s">
        <v>1810</v>
      </c>
      <c r="I354" s="117" t="s">
        <v>1811</v>
      </c>
      <c r="J354" t="s">
        <v>1812</v>
      </c>
      <c r="K354">
        <v>2019</v>
      </c>
      <c r="L354" t="s">
        <v>793</v>
      </c>
      <c r="M354" t="s">
        <v>95</v>
      </c>
      <c r="N354" t="s">
        <v>190</v>
      </c>
      <c r="P354" s="101"/>
    </row>
    <row r="355" spans="3:16">
      <c r="C355" t="s">
        <v>105</v>
      </c>
      <c r="D355" t="s">
        <v>1813</v>
      </c>
      <c r="E355" t="s">
        <v>459</v>
      </c>
      <c r="F355" t="str">
        <f t="shared" si="5"/>
        <v>Soo Jean Kim</v>
      </c>
      <c r="G355">
        <f>_xlfn.XLOOKUP(Table1[[#This Row],[Full Name ALL]],Contact[Full Name],Contact[Sequence],"Not Found")</f>
        <v>1</v>
      </c>
      <c r="H355" t="s">
        <v>1814</v>
      </c>
      <c r="I355" s="5" t="s">
        <v>1815</v>
      </c>
      <c r="J355" t="s">
        <v>1816</v>
      </c>
      <c r="K355">
        <v>2019</v>
      </c>
      <c r="M355" t="s">
        <v>95</v>
      </c>
      <c r="N355" t="s">
        <v>190</v>
      </c>
      <c r="P355" s="101"/>
    </row>
    <row r="356" spans="3:16">
      <c r="C356" t="s">
        <v>105</v>
      </c>
      <c r="D356" t="s">
        <v>1817</v>
      </c>
      <c r="E356" t="s">
        <v>298</v>
      </c>
      <c r="F356" t="str">
        <f t="shared" si="5"/>
        <v>Sridatta Singh</v>
      </c>
      <c r="G356">
        <f>_xlfn.XLOOKUP(Table1[[#This Row],[Full Name ALL]],Contact[Full Name],Contact[Sequence],"Not Found")</f>
        <v>1</v>
      </c>
      <c r="H356" s="101" t="s">
        <v>1818</v>
      </c>
      <c r="J356" t="s">
        <v>1819</v>
      </c>
      <c r="K356">
        <v>2019</v>
      </c>
      <c r="M356" t="s">
        <v>98</v>
      </c>
      <c r="N356" t="s">
        <v>190</v>
      </c>
      <c r="P356" s="101"/>
    </row>
    <row r="357" spans="3:16">
      <c r="C357" t="s">
        <v>105</v>
      </c>
      <c r="D357" t="s">
        <v>1820</v>
      </c>
      <c r="E357" t="s">
        <v>1821</v>
      </c>
      <c r="F357" t="str">
        <f t="shared" si="5"/>
        <v>Shweta Srikanth</v>
      </c>
      <c r="G357">
        <f>_xlfn.XLOOKUP(Table1[[#This Row],[Full Name ALL]],Contact[Full Name],Contact[Sequence],"Not Found")</f>
        <v>1</v>
      </c>
      <c r="H357" t="s">
        <v>1822</v>
      </c>
      <c r="I357" s="5" t="s">
        <v>1823</v>
      </c>
      <c r="J357" t="s">
        <v>1824</v>
      </c>
      <c r="K357">
        <v>2019</v>
      </c>
      <c r="M357" t="s">
        <v>95</v>
      </c>
      <c r="N357" t="s">
        <v>190</v>
      </c>
      <c r="P357" s="101"/>
    </row>
    <row r="358" spans="3:16">
      <c r="C358" t="s">
        <v>105</v>
      </c>
      <c r="D358" t="s">
        <v>1805</v>
      </c>
      <c r="E358" t="s">
        <v>1545</v>
      </c>
      <c r="F358" t="str">
        <f t="shared" si="5"/>
        <v>Shreya Srinivasan</v>
      </c>
      <c r="G358">
        <f>_xlfn.XLOOKUP(Table1[[#This Row],[Full Name ALL]],Contact[Full Name],Contact[Sequence],"Not Found")</f>
        <v>1</v>
      </c>
      <c r="H358" s="101" t="s">
        <v>1825</v>
      </c>
      <c r="J358" t="s">
        <v>1826</v>
      </c>
      <c r="K358">
        <v>2019</v>
      </c>
      <c r="M358" t="s">
        <v>98</v>
      </c>
      <c r="N358" t="s">
        <v>190</v>
      </c>
      <c r="P358" s="101"/>
    </row>
    <row r="359" spans="3:16">
      <c r="C359" t="s">
        <v>185</v>
      </c>
      <c r="D359" t="s">
        <v>1827</v>
      </c>
      <c r="E359" t="s">
        <v>373</v>
      </c>
      <c r="F359" t="str">
        <f t="shared" si="5"/>
        <v>Shantnu Sharma</v>
      </c>
      <c r="G359">
        <f>_xlfn.XLOOKUP(Table1[[#This Row],[Full Name ALL]],Contact[Full Name],Contact[Sequence],"Not Found")</f>
        <v>1</v>
      </c>
      <c r="H359" s="101" t="s">
        <v>1828</v>
      </c>
      <c r="J359" t="s">
        <v>1829</v>
      </c>
      <c r="K359">
        <v>2019</v>
      </c>
      <c r="L359" t="s">
        <v>1119</v>
      </c>
      <c r="M359" t="s">
        <v>98</v>
      </c>
      <c r="N359" t="s">
        <v>190</v>
      </c>
      <c r="P359" s="101"/>
    </row>
    <row r="360" spans="3:16">
      <c r="C360" t="s">
        <v>105</v>
      </c>
      <c r="D360" t="s">
        <v>1783</v>
      </c>
      <c r="E360" t="s">
        <v>1830</v>
      </c>
      <c r="F360" t="str">
        <f t="shared" si="5"/>
        <v>Stephanie Yu</v>
      </c>
      <c r="G360">
        <f>_xlfn.XLOOKUP(Table1[[#This Row],[Full Name ALL]],Contact[Full Name],Contact[Sequence],"Not Found")</f>
        <v>1</v>
      </c>
      <c r="H360" s="101" t="s">
        <v>1831</v>
      </c>
      <c r="J360" t="s">
        <v>1832</v>
      </c>
      <c r="K360">
        <v>2019</v>
      </c>
      <c r="M360" t="s">
        <v>98</v>
      </c>
      <c r="N360" t="s">
        <v>190</v>
      </c>
      <c r="P360" s="101"/>
    </row>
    <row r="361" spans="3:16">
      <c r="C361" t="s">
        <v>105</v>
      </c>
      <c r="D361" t="s">
        <v>1783</v>
      </c>
      <c r="E361" t="s">
        <v>1833</v>
      </c>
      <c r="F361" t="str">
        <f t="shared" si="5"/>
        <v>Stephanie Cheung</v>
      </c>
      <c r="G361">
        <f>_xlfn.XLOOKUP(Table1[[#This Row],[Full Name ALL]],Contact[Full Name],Contact[Sequence],"Not Found")</f>
        <v>1</v>
      </c>
      <c r="H361" t="s">
        <v>1834</v>
      </c>
      <c r="I361" s="5" t="s">
        <v>270</v>
      </c>
      <c r="J361" t="s">
        <v>1835</v>
      </c>
      <c r="K361">
        <v>2019</v>
      </c>
      <c r="M361" t="s">
        <v>95</v>
      </c>
      <c r="N361" t="s">
        <v>190</v>
      </c>
      <c r="P361" s="101"/>
    </row>
    <row r="362" spans="3:16">
      <c r="C362" t="s">
        <v>185</v>
      </c>
      <c r="D362" t="s">
        <v>829</v>
      </c>
      <c r="E362" t="s">
        <v>1836</v>
      </c>
      <c r="F362" t="str">
        <f t="shared" si="5"/>
        <v xml:space="preserve">David Su  </v>
      </c>
      <c r="G362">
        <f>_xlfn.XLOOKUP(Table1[[#This Row],[Full Name ALL]],Contact[Full Name],Contact[Sequence],"Not Found")</f>
        <v>1</v>
      </c>
      <c r="H362" s="101" t="s">
        <v>1837</v>
      </c>
      <c r="J362" t="s">
        <v>1838</v>
      </c>
      <c r="K362">
        <v>2019</v>
      </c>
      <c r="L362" t="s">
        <v>1839</v>
      </c>
      <c r="M362" t="s">
        <v>98</v>
      </c>
      <c r="N362" t="s">
        <v>190</v>
      </c>
      <c r="P362" s="101"/>
    </row>
    <row r="363" spans="3:16">
      <c r="C363" t="s">
        <v>185</v>
      </c>
      <c r="D363" t="s">
        <v>1840</v>
      </c>
      <c r="E363" t="s">
        <v>1138</v>
      </c>
      <c r="F363" t="str">
        <f t="shared" si="5"/>
        <v>Sue Yang</v>
      </c>
      <c r="G363">
        <f>_xlfn.XLOOKUP(Table1[[#This Row],[Full Name ALL]],Contact[Full Name],Contact[Sequence],"Not Found")</f>
        <v>1</v>
      </c>
      <c r="H363" s="101" t="s">
        <v>1841</v>
      </c>
      <c r="J363" t="s">
        <v>1842</v>
      </c>
      <c r="K363">
        <v>2019</v>
      </c>
      <c r="L363" t="s">
        <v>1843</v>
      </c>
      <c r="M363" t="s">
        <v>98</v>
      </c>
      <c r="N363" t="s">
        <v>190</v>
      </c>
      <c r="P363" s="101"/>
    </row>
    <row r="364" spans="3:16">
      <c r="C364" t="s">
        <v>105</v>
      </c>
      <c r="D364" t="s">
        <v>275</v>
      </c>
      <c r="E364" t="s">
        <v>459</v>
      </c>
      <c r="F364" t="str">
        <f t="shared" si="5"/>
        <v>Sun Kim</v>
      </c>
      <c r="G364">
        <f>_xlfn.XLOOKUP(Table1[[#This Row],[Full Name ALL]],Contact[Full Name],Contact[Sequence],"Not Found")</f>
        <v>1</v>
      </c>
      <c r="H364" t="s">
        <v>1844</v>
      </c>
      <c r="I364" s="5" t="s">
        <v>1845</v>
      </c>
      <c r="J364" t="s">
        <v>1846</v>
      </c>
      <c r="K364">
        <v>2019</v>
      </c>
      <c r="L364" t="s">
        <v>793</v>
      </c>
      <c r="M364" t="s">
        <v>95</v>
      </c>
      <c r="N364" t="s">
        <v>190</v>
      </c>
      <c r="P364" s="101"/>
    </row>
    <row r="365" spans="3:16">
      <c r="C365" t="s">
        <v>90</v>
      </c>
      <c r="D365" t="s">
        <v>1847</v>
      </c>
      <c r="E365" t="s">
        <v>1848</v>
      </c>
      <c r="F365" t="str">
        <f t="shared" si="5"/>
        <v>VArun Sankar</v>
      </c>
      <c r="G365">
        <f>_xlfn.XLOOKUP(Table1[[#This Row],[Full Name ALL]],Contact[Full Name],Contact[Sequence],"Not Found")</f>
        <v>1</v>
      </c>
      <c r="H365" s="101" t="s">
        <v>1849</v>
      </c>
      <c r="I365" t="s">
        <v>1850</v>
      </c>
      <c r="J365" t="s">
        <v>1851</v>
      </c>
      <c r="K365">
        <v>2019</v>
      </c>
      <c r="L365" t="s">
        <v>1852</v>
      </c>
      <c r="M365" t="s">
        <v>98</v>
      </c>
      <c r="N365" t="s">
        <v>190</v>
      </c>
      <c r="P365" s="101"/>
    </row>
    <row r="366" spans="3:16">
      <c r="C366" t="s">
        <v>105</v>
      </c>
      <c r="D366" t="s">
        <v>1783</v>
      </c>
      <c r="E366" t="s">
        <v>1853</v>
      </c>
      <c r="F366" t="str">
        <f t="shared" si="5"/>
        <v>Stephanie LaRue</v>
      </c>
      <c r="G366">
        <f>_xlfn.XLOOKUP(Table1[[#This Row],[Full Name ALL]],Contact[Full Name],Contact[Sequence],"Not Found")</f>
        <v>1</v>
      </c>
      <c r="H366" s="101" t="s">
        <v>1854</v>
      </c>
      <c r="J366" t="s">
        <v>1855</v>
      </c>
      <c r="K366">
        <v>2019</v>
      </c>
      <c r="M366" t="s">
        <v>98</v>
      </c>
      <c r="N366" t="s">
        <v>190</v>
      </c>
      <c r="P366" s="101"/>
    </row>
    <row r="367" spans="3:16">
      <c r="C367" t="s">
        <v>105</v>
      </c>
      <c r="D367" t="s">
        <v>1856</v>
      </c>
      <c r="E367" t="s">
        <v>1857</v>
      </c>
      <c r="F367" t="str">
        <f t="shared" si="5"/>
        <v>Shannon Sawyer</v>
      </c>
      <c r="G367">
        <f>_xlfn.XLOOKUP(Table1[[#This Row],[Full Name ALL]],Contact[Full Name],Contact[Sequence],"Not Found")</f>
        <v>1</v>
      </c>
      <c r="H367" t="s">
        <v>1858</v>
      </c>
      <c r="I367" s="5" t="s">
        <v>1859</v>
      </c>
      <c r="J367" t="s">
        <v>1860</v>
      </c>
      <c r="K367">
        <v>2019</v>
      </c>
      <c r="M367" t="s">
        <v>95</v>
      </c>
      <c r="N367" t="s">
        <v>190</v>
      </c>
      <c r="P367" s="101"/>
    </row>
    <row r="368" spans="3:16">
      <c r="C368" t="s">
        <v>105</v>
      </c>
      <c r="D368" t="s">
        <v>1861</v>
      </c>
      <c r="E368" t="s">
        <v>463</v>
      </c>
      <c r="F368" t="str">
        <f t="shared" si="5"/>
        <v>Tammy Liu</v>
      </c>
      <c r="G368">
        <f>_xlfn.XLOOKUP(Table1[[#This Row],[Full Name ALL]],Contact[Full Name],Contact[Sequence],"Not Found")</f>
        <v>1</v>
      </c>
      <c r="H368" t="s">
        <v>1862</v>
      </c>
      <c r="I368" s="5" t="s">
        <v>1863</v>
      </c>
      <c r="J368" t="s">
        <v>1864</v>
      </c>
      <c r="K368">
        <v>2019</v>
      </c>
      <c r="L368" t="s">
        <v>1865</v>
      </c>
      <c r="M368" t="s">
        <v>95</v>
      </c>
      <c r="N368" t="s">
        <v>190</v>
      </c>
      <c r="P368" s="101"/>
    </row>
    <row r="369" spans="3:16">
      <c r="C369" t="s">
        <v>105</v>
      </c>
      <c r="D369" t="s">
        <v>864</v>
      </c>
      <c r="E369" t="s">
        <v>1254</v>
      </c>
      <c r="F369" t="str">
        <f t="shared" si="5"/>
        <v>Tina Lee</v>
      </c>
      <c r="G369">
        <f>_xlfn.XLOOKUP(Table1[[#This Row],[Full Name ALL]],Contact[Full Name],Contact[Sequence],"Not Found")</f>
        <v>1</v>
      </c>
      <c r="H369" t="s">
        <v>1866</v>
      </c>
      <c r="I369" s="5" t="s">
        <v>270</v>
      </c>
      <c r="J369" t="s">
        <v>1867</v>
      </c>
      <c r="K369">
        <v>2019</v>
      </c>
      <c r="L369" t="s">
        <v>1868</v>
      </c>
      <c r="M369" t="s">
        <v>95</v>
      </c>
      <c r="N369" t="s">
        <v>190</v>
      </c>
      <c r="P369" s="101"/>
    </row>
    <row r="370" spans="3:16">
      <c r="C370" t="s">
        <v>105</v>
      </c>
      <c r="D370" t="s">
        <v>1869</v>
      </c>
      <c r="E370" t="s">
        <v>1870</v>
      </c>
      <c r="F370" t="str">
        <f t="shared" si="5"/>
        <v>Tumi Mosuro</v>
      </c>
      <c r="G370">
        <f>_xlfn.XLOOKUP(Table1[[#This Row],[Full Name ALL]],Contact[Full Name],Contact[Sequence],"Not Found")</f>
        <v>1</v>
      </c>
      <c r="H370" t="s">
        <v>1871</v>
      </c>
      <c r="I370" s="5" t="s">
        <v>270</v>
      </c>
      <c r="J370" t="s">
        <v>1872</v>
      </c>
      <c r="K370">
        <v>2019</v>
      </c>
      <c r="M370" t="s">
        <v>95</v>
      </c>
      <c r="N370" t="s">
        <v>190</v>
      </c>
      <c r="P370" s="101"/>
    </row>
    <row r="371" spans="3:16">
      <c r="C371" t="s">
        <v>105</v>
      </c>
      <c r="D371" t="s">
        <v>1480</v>
      </c>
      <c r="E371" t="s">
        <v>459</v>
      </c>
      <c r="F371" t="str">
        <f t="shared" si="5"/>
        <v>Kevin Kim</v>
      </c>
      <c r="G371">
        <f>_xlfn.XLOOKUP(Table1[[#This Row],[Full Name ALL]],Contact[Full Name],Contact[Sequence],"Not Found")</f>
        <v>1</v>
      </c>
      <c r="H371" s="101" t="s">
        <v>1873</v>
      </c>
      <c r="J371" t="s">
        <v>1874</v>
      </c>
      <c r="K371">
        <v>2019</v>
      </c>
      <c r="M371" t="s">
        <v>98</v>
      </c>
      <c r="N371" t="s">
        <v>190</v>
      </c>
      <c r="P371" s="101"/>
    </row>
    <row r="372" spans="3:16">
      <c r="C372" t="s">
        <v>105</v>
      </c>
      <c r="D372" t="s">
        <v>1875</v>
      </c>
      <c r="E372" t="s">
        <v>1876</v>
      </c>
      <c r="F372" t="str">
        <f t="shared" si="5"/>
        <v>Taylor Rose</v>
      </c>
      <c r="G372">
        <f>_xlfn.XLOOKUP(Table1[[#This Row],[Full Name ALL]],Contact[Full Name],Contact[Sequence],"Not Found")</f>
        <v>1</v>
      </c>
      <c r="H372" s="101" t="s">
        <v>1877</v>
      </c>
      <c r="J372" t="s">
        <v>1878</v>
      </c>
      <c r="K372">
        <v>2019</v>
      </c>
      <c r="M372" t="s">
        <v>98</v>
      </c>
      <c r="N372" t="s">
        <v>190</v>
      </c>
      <c r="P372" s="101"/>
    </row>
    <row r="373" spans="3:16">
      <c r="C373" t="s">
        <v>185</v>
      </c>
      <c r="D373" t="s">
        <v>1879</v>
      </c>
      <c r="E373" t="s">
        <v>1347</v>
      </c>
      <c r="F373" t="str">
        <f t="shared" si="5"/>
        <v>Umang Arora</v>
      </c>
      <c r="G373">
        <f>_xlfn.XLOOKUP(Table1[[#This Row],[Full Name ALL]],Contact[Full Name],Contact[Sequence],"Not Found")</f>
        <v>1</v>
      </c>
      <c r="H373" t="s">
        <v>1880</v>
      </c>
      <c r="J373" t="s">
        <v>1881</v>
      </c>
      <c r="K373">
        <v>2019</v>
      </c>
      <c r="L373" t="s">
        <v>1882</v>
      </c>
      <c r="M373" t="s">
        <v>95</v>
      </c>
      <c r="N373" t="s">
        <v>190</v>
      </c>
      <c r="P373" s="101"/>
    </row>
    <row r="374" spans="3:16">
      <c r="C374" t="s">
        <v>105</v>
      </c>
      <c r="D374" t="s">
        <v>1364</v>
      </c>
      <c r="E374" t="s">
        <v>1883</v>
      </c>
      <c r="F374" t="str">
        <f t="shared" si="5"/>
        <v>Jackie Valentine</v>
      </c>
      <c r="G374">
        <f>_xlfn.XLOOKUP(Table1[[#This Row],[Full Name ALL]],Contact[Full Name],Contact[Sequence],"Not Found")</f>
        <v>1</v>
      </c>
      <c r="H374" s="101" t="s">
        <v>1884</v>
      </c>
      <c r="J374" t="s">
        <v>1885</v>
      </c>
      <c r="K374">
        <v>2019</v>
      </c>
      <c r="M374" t="s">
        <v>98</v>
      </c>
      <c r="N374" t="s">
        <v>190</v>
      </c>
      <c r="P374" s="101"/>
    </row>
    <row r="375" spans="3:16">
      <c r="C375" t="s">
        <v>105</v>
      </c>
      <c r="D375" t="s">
        <v>1886</v>
      </c>
      <c r="E375" t="s">
        <v>1887</v>
      </c>
      <c r="F375" t="str">
        <f t="shared" si="5"/>
        <v>Sharanya Venkat</v>
      </c>
      <c r="G375">
        <f>_xlfn.XLOOKUP(Table1[[#This Row],[Full Name ALL]],Contact[Full Name],Contact[Sequence],"Not Found")</f>
        <v>1</v>
      </c>
      <c r="H375" s="101" t="s">
        <v>1888</v>
      </c>
      <c r="J375" t="s">
        <v>1889</v>
      </c>
      <c r="K375">
        <v>2019</v>
      </c>
      <c r="M375" t="s">
        <v>98</v>
      </c>
      <c r="N375" t="s">
        <v>190</v>
      </c>
      <c r="P375" s="101"/>
    </row>
    <row r="376" spans="3:16">
      <c r="C376" t="s">
        <v>105</v>
      </c>
      <c r="D376" t="s">
        <v>619</v>
      </c>
      <c r="E376" t="s">
        <v>1890</v>
      </c>
      <c r="F376" t="str">
        <f t="shared" si="5"/>
        <v>Wendy Widman</v>
      </c>
      <c r="G376">
        <f>_xlfn.XLOOKUP(Table1[[#This Row],[Full Name ALL]],Contact[Full Name],Contact[Sequence],"Not Found")</f>
        <v>1</v>
      </c>
      <c r="H376" s="101" t="s">
        <v>1891</v>
      </c>
      <c r="I376" t="s">
        <v>1892</v>
      </c>
      <c r="J376" t="s">
        <v>1893</v>
      </c>
      <c r="K376">
        <v>2019</v>
      </c>
      <c r="M376" t="s">
        <v>98</v>
      </c>
      <c r="N376" t="s">
        <v>190</v>
      </c>
      <c r="P376" s="101"/>
    </row>
    <row r="377" spans="3:16">
      <c r="C377" t="s">
        <v>105</v>
      </c>
      <c r="D377" t="s">
        <v>1894</v>
      </c>
      <c r="E377" t="s">
        <v>1895</v>
      </c>
      <c r="F377" t="str">
        <f t="shared" si="5"/>
        <v>Wes Whitaker</v>
      </c>
      <c r="G377">
        <f>_xlfn.XLOOKUP(Table1[[#This Row],[Full Name ALL]],Contact[Full Name],Contact[Sequence],"Not Found")</f>
        <v>1</v>
      </c>
      <c r="H377" s="101" t="s">
        <v>1896</v>
      </c>
      <c r="J377" t="s">
        <v>1897</v>
      </c>
      <c r="K377">
        <v>2019</v>
      </c>
      <c r="M377" t="s">
        <v>98</v>
      </c>
      <c r="N377" t="s">
        <v>190</v>
      </c>
      <c r="P377" s="101"/>
    </row>
    <row r="378" spans="3:16">
      <c r="C378" t="s">
        <v>105</v>
      </c>
      <c r="D378" t="s">
        <v>1898</v>
      </c>
      <c r="E378" t="s">
        <v>1899</v>
      </c>
      <c r="F378" t="str">
        <f t="shared" si="5"/>
        <v>Ximena Jimenez</v>
      </c>
      <c r="G378">
        <f>_xlfn.XLOOKUP(Table1[[#This Row],[Full Name ALL]],Contact[Full Name],Contact[Sequence],"Not Found")</f>
        <v>1</v>
      </c>
      <c r="H378" t="s">
        <v>1900</v>
      </c>
      <c r="I378" s="5" t="s">
        <v>1901</v>
      </c>
      <c r="J378" t="s">
        <v>1902</v>
      </c>
      <c r="K378">
        <v>2019</v>
      </c>
      <c r="L378" t="s">
        <v>793</v>
      </c>
      <c r="M378" t="s">
        <v>95</v>
      </c>
      <c r="N378" t="s">
        <v>190</v>
      </c>
      <c r="P378" s="101"/>
    </row>
    <row r="379" spans="3:16">
      <c r="C379" t="s">
        <v>185</v>
      </c>
      <c r="D379" t="s">
        <v>1903</v>
      </c>
      <c r="E379" t="s">
        <v>1904</v>
      </c>
      <c r="F379" t="str">
        <f t="shared" si="5"/>
        <v>Yasmine Nassar</v>
      </c>
      <c r="G379">
        <f>_xlfn.XLOOKUP(Table1[[#This Row],[Full Name ALL]],Contact[Full Name],Contact[Sequence],"Not Found")</f>
        <v>1</v>
      </c>
      <c r="H379" t="s">
        <v>1905</v>
      </c>
      <c r="J379" t="s">
        <v>1906</v>
      </c>
      <c r="K379">
        <v>2019</v>
      </c>
      <c r="L379" t="s">
        <v>1907</v>
      </c>
      <c r="M379" t="s">
        <v>95</v>
      </c>
      <c r="N379" t="s">
        <v>190</v>
      </c>
      <c r="P379" s="101"/>
    </row>
    <row r="380" spans="3:16">
      <c r="C380" t="s">
        <v>185</v>
      </c>
      <c r="D380" t="s">
        <v>1138</v>
      </c>
      <c r="E380" t="s">
        <v>438</v>
      </c>
      <c r="F380" t="str">
        <f t="shared" si="5"/>
        <v>Yang Li</v>
      </c>
      <c r="G380">
        <f>_xlfn.XLOOKUP(Table1[[#This Row],[Full Name ALL]],Contact[Full Name],Contact[Sequence],"Not Found")</f>
        <v>1</v>
      </c>
      <c r="H380" t="s">
        <v>1908</v>
      </c>
      <c r="J380" s="101" t="s">
        <v>1909</v>
      </c>
      <c r="K380">
        <v>2019</v>
      </c>
      <c r="L380" t="s">
        <v>1910</v>
      </c>
      <c r="M380" t="s">
        <v>95</v>
      </c>
      <c r="N380" t="s">
        <v>190</v>
      </c>
      <c r="P380" s="101"/>
    </row>
    <row r="381" spans="3:16">
      <c r="C381" t="s">
        <v>90</v>
      </c>
      <c r="D381" t="s">
        <v>1911</v>
      </c>
      <c r="E381" t="s">
        <v>1912</v>
      </c>
      <c r="F381" t="str">
        <f t="shared" si="5"/>
        <v>Lynn Tu</v>
      </c>
      <c r="G381">
        <f>_xlfn.XLOOKUP(Table1[[#This Row],[Full Name ALL]],Contact[Full Name],Contact[Sequence],"Not Found")</f>
        <v>1</v>
      </c>
      <c r="H381" s="101" t="s">
        <v>1913</v>
      </c>
      <c r="I381" t="s">
        <v>1914</v>
      </c>
      <c r="J381" t="s">
        <v>1915</v>
      </c>
      <c r="K381">
        <v>2019</v>
      </c>
      <c r="L381" t="s">
        <v>1916</v>
      </c>
      <c r="M381" t="s">
        <v>98</v>
      </c>
      <c r="N381" t="s">
        <v>190</v>
      </c>
      <c r="P381" s="101"/>
    </row>
    <row r="382" spans="3:16">
      <c r="C382" t="s">
        <v>185</v>
      </c>
      <c r="D382" t="s">
        <v>1917</v>
      </c>
      <c r="E382" t="s">
        <v>1918</v>
      </c>
      <c r="F382" t="str">
        <f t="shared" si="5"/>
        <v>Yuan-Ping Huan</v>
      </c>
      <c r="G382">
        <f>_xlfn.XLOOKUP(Table1[[#This Row],[Full Name ALL]],Contact[Full Name],Contact[Sequence],"Not Found")</f>
        <v>1</v>
      </c>
      <c r="H382" t="s">
        <v>1919</v>
      </c>
      <c r="J382" t="s">
        <v>1920</v>
      </c>
      <c r="K382">
        <v>2019</v>
      </c>
      <c r="L382" t="s">
        <v>912</v>
      </c>
      <c r="M382" t="s">
        <v>95</v>
      </c>
      <c r="N382" t="s">
        <v>190</v>
      </c>
      <c r="P382" s="101"/>
    </row>
    <row r="383" spans="3:16">
      <c r="C383" t="s">
        <v>105</v>
      </c>
      <c r="D383" t="s">
        <v>1921</v>
      </c>
      <c r="E383" t="s">
        <v>1922</v>
      </c>
      <c r="F383" t="str">
        <f t="shared" si="5"/>
        <v>Yubing  JI</v>
      </c>
      <c r="G383">
        <f>_xlfn.XLOOKUP(Table1[[#This Row],[Full Name ALL]],Contact[Full Name],Contact[Sequence],"Not Found")</f>
        <v>1</v>
      </c>
      <c r="H383" s="101" t="s">
        <v>1923</v>
      </c>
      <c r="J383" t="s">
        <v>1924</v>
      </c>
      <c r="K383">
        <v>2019</v>
      </c>
      <c r="L383" t="s">
        <v>1925</v>
      </c>
      <c r="M383" t="s">
        <v>98</v>
      </c>
      <c r="N383" t="s">
        <v>1051</v>
      </c>
      <c r="P383" s="101"/>
    </row>
    <row r="384" spans="3:16">
      <c r="C384" t="s">
        <v>105</v>
      </c>
      <c r="D384" t="s">
        <v>1926</v>
      </c>
      <c r="E384" t="s">
        <v>1429</v>
      </c>
      <c r="F384" t="str">
        <f t="shared" si="5"/>
        <v>Yun Wu</v>
      </c>
      <c r="G384">
        <f>_xlfn.XLOOKUP(Table1[[#This Row],[Full Name ALL]],Contact[Full Name],Contact[Sequence],"Not Found")</f>
        <v>1</v>
      </c>
      <c r="H384" s="101" t="s">
        <v>1927</v>
      </c>
      <c r="J384" t="s">
        <v>1928</v>
      </c>
      <c r="K384">
        <v>2019</v>
      </c>
      <c r="M384" t="s">
        <v>98</v>
      </c>
      <c r="N384" t="s">
        <v>190</v>
      </c>
      <c r="P384" s="101"/>
    </row>
    <row r="385" spans="1:27">
      <c r="C385" t="s">
        <v>105</v>
      </c>
      <c r="D385" t="s">
        <v>1929</v>
      </c>
      <c r="E385" t="s">
        <v>1930</v>
      </c>
      <c r="F385" t="str">
        <f t="shared" si="5"/>
        <v>Atalie Porter</v>
      </c>
      <c r="G385">
        <f>_xlfn.XLOOKUP(Table1[[#This Row],[Full Name ALL]],Contact[Full Name],Contact[Sequence],"Not Found")</f>
        <v>1</v>
      </c>
      <c r="J385" t="s">
        <v>1931</v>
      </c>
      <c r="K385">
        <v>2019</v>
      </c>
      <c r="L385" t="s">
        <v>1932</v>
      </c>
      <c r="M385" t="s">
        <v>98</v>
      </c>
      <c r="N385" t="s">
        <v>1051</v>
      </c>
      <c r="P385" s="101"/>
    </row>
    <row r="386" spans="1:27">
      <c r="A386" t="s">
        <v>1933</v>
      </c>
      <c r="B386" t="s">
        <v>1934</v>
      </c>
      <c r="C386" t="s">
        <v>105</v>
      </c>
      <c r="D386" t="s">
        <v>1935</v>
      </c>
      <c r="E386" t="s">
        <v>1936</v>
      </c>
      <c r="F386" t="str">
        <f t="shared" ref="F386:F413" si="6">D386&amp;" "&amp;E386</f>
        <v>GUillermo Garcia</v>
      </c>
      <c r="G386">
        <f>_xlfn.XLOOKUP(Table1[[#This Row],[Full Name ALL]],Contact[Full Name],Contact[Sequence],"Not Found")</f>
        <v>1</v>
      </c>
      <c r="H386" s="101" t="s">
        <v>1937</v>
      </c>
      <c r="J386" t="s">
        <v>1938</v>
      </c>
      <c r="K386">
        <v>2019</v>
      </c>
      <c r="L386" t="s">
        <v>1939</v>
      </c>
      <c r="Z386" t="s">
        <v>98</v>
      </c>
      <c r="AA386" t="s">
        <v>1940</v>
      </c>
    </row>
    <row r="387" spans="1:27">
      <c r="A387" s="104" t="s">
        <v>112</v>
      </c>
      <c r="B387" t="s">
        <v>665</v>
      </c>
      <c r="C387" t="s">
        <v>90</v>
      </c>
      <c r="D387" t="s">
        <v>245</v>
      </c>
      <c r="E387" t="s">
        <v>1941</v>
      </c>
      <c r="F387" t="str">
        <f t="shared" si="6"/>
        <v>Amit Desai</v>
      </c>
      <c r="G387">
        <f>_xlfn.XLOOKUP(Table1[[#This Row],[Full Name ALL]],Contact[Full Name],Contact[Sequence],"Not Found")</f>
        <v>1</v>
      </c>
      <c r="H387" s="101" t="s">
        <v>1942</v>
      </c>
      <c r="J387" t="s">
        <v>1943</v>
      </c>
      <c r="K387">
        <v>2019</v>
      </c>
      <c r="L387" t="s">
        <v>1944</v>
      </c>
      <c r="M387" t="s">
        <v>98</v>
      </c>
      <c r="N387" t="s">
        <v>96</v>
      </c>
      <c r="O387" t="s">
        <v>159</v>
      </c>
      <c r="P387" s="101"/>
      <c r="Z387" t="s">
        <v>98</v>
      </c>
      <c r="AA387" t="s">
        <v>1945</v>
      </c>
    </row>
    <row r="388" spans="1:27">
      <c r="A388" s="104" t="s">
        <v>112</v>
      </c>
      <c r="B388" t="s">
        <v>665</v>
      </c>
      <c r="C388" t="s">
        <v>105</v>
      </c>
      <c r="D388" t="s">
        <v>1946</v>
      </c>
      <c r="E388" t="s">
        <v>1179</v>
      </c>
      <c r="F388" t="str">
        <f t="shared" si="6"/>
        <v>Marguerite Benson</v>
      </c>
      <c r="G388">
        <f>_xlfn.XLOOKUP(Table1[[#This Row],[Full Name ALL]],Contact[Full Name],Contact[Sequence],"Not Found")</f>
        <v>1</v>
      </c>
      <c r="H388" s="101" t="s">
        <v>1947</v>
      </c>
      <c r="J388" t="s">
        <v>1948</v>
      </c>
      <c r="K388">
        <v>2019</v>
      </c>
      <c r="M388" t="s">
        <v>98</v>
      </c>
      <c r="N388" t="s">
        <v>96</v>
      </c>
      <c r="O388" t="s">
        <v>1949</v>
      </c>
      <c r="P388" s="101"/>
      <c r="Z388" t="s">
        <v>102</v>
      </c>
      <c r="AA388" t="s">
        <v>1950</v>
      </c>
    </row>
    <row r="389" spans="1:27">
      <c r="A389" s="104" t="s">
        <v>112</v>
      </c>
      <c r="B389" t="s">
        <v>665</v>
      </c>
      <c r="C389" t="s">
        <v>90</v>
      </c>
      <c r="D389" t="s">
        <v>1951</v>
      </c>
      <c r="E389" t="s">
        <v>1952</v>
      </c>
      <c r="F389" t="str">
        <f t="shared" si="6"/>
        <v>Ming Ruan</v>
      </c>
      <c r="G389">
        <f>_xlfn.XLOOKUP(Table1[[#This Row],[Full Name ALL]],Contact[Full Name],Contact[Sequence],"Not Found")</f>
        <v>1</v>
      </c>
      <c r="H389" t="s">
        <v>1953</v>
      </c>
      <c r="I389" s="5" t="s">
        <v>1954</v>
      </c>
      <c r="J389" t="s">
        <v>1955</v>
      </c>
      <c r="K389">
        <v>2019</v>
      </c>
      <c r="M389" t="s">
        <v>95</v>
      </c>
      <c r="N389" t="s">
        <v>96</v>
      </c>
      <c r="O389" t="s">
        <v>687</v>
      </c>
      <c r="P389" s="101"/>
      <c r="Z389" t="s">
        <v>102</v>
      </c>
      <c r="AA389" t="s">
        <v>1956</v>
      </c>
    </row>
    <row r="390" spans="1:27">
      <c r="A390" s="104" t="s">
        <v>112</v>
      </c>
      <c r="B390" t="s">
        <v>665</v>
      </c>
      <c r="C390" t="s">
        <v>90</v>
      </c>
      <c r="D390" t="s">
        <v>1808</v>
      </c>
      <c r="E390" t="s">
        <v>1957</v>
      </c>
      <c r="F390" t="str">
        <f t="shared" si="6"/>
        <v>Prateek Singhi</v>
      </c>
      <c r="G390">
        <f>_xlfn.XLOOKUP(Table1[[#This Row],[Full Name ALL]],Contact[Full Name],Contact[Sequence],"Not Found")</f>
        <v>1</v>
      </c>
      <c r="H390" t="s">
        <v>1958</v>
      </c>
      <c r="I390" s="5" t="s">
        <v>1959</v>
      </c>
      <c r="J390" t="s">
        <v>1960</v>
      </c>
      <c r="K390">
        <v>2019</v>
      </c>
      <c r="M390" t="s">
        <v>95</v>
      </c>
      <c r="N390" t="s">
        <v>96</v>
      </c>
      <c r="O390" t="s">
        <v>203</v>
      </c>
      <c r="P390" s="101"/>
      <c r="Z390" t="s">
        <v>102</v>
      </c>
      <c r="AA390" t="s">
        <v>1961</v>
      </c>
    </row>
    <row r="391" spans="1:27">
      <c r="A391" s="104" t="s">
        <v>112</v>
      </c>
      <c r="B391" t="s">
        <v>665</v>
      </c>
      <c r="C391" t="s">
        <v>90</v>
      </c>
      <c r="D391" t="s">
        <v>1808</v>
      </c>
      <c r="E391" t="s">
        <v>260</v>
      </c>
      <c r="F391" t="str">
        <f t="shared" si="6"/>
        <v>Prateek Jain</v>
      </c>
      <c r="G391">
        <f>_xlfn.XLOOKUP(Table1[[#This Row],[Full Name ALL]],Contact[Full Name],Contact[Sequence],"Not Found")</f>
        <v>1</v>
      </c>
      <c r="H391" s="101" t="s">
        <v>1962</v>
      </c>
      <c r="J391" t="s">
        <v>1963</v>
      </c>
      <c r="K391">
        <v>2019</v>
      </c>
      <c r="L391" t="s">
        <v>1964</v>
      </c>
      <c r="M391" t="s">
        <v>1965</v>
      </c>
      <c r="N391" t="s">
        <v>96</v>
      </c>
      <c r="O391" t="s">
        <v>1966</v>
      </c>
      <c r="P391" s="101"/>
      <c r="Z391" t="s">
        <v>102</v>
      </c>
      <c r="AA391" t="s">
        <v>1967</v>
      </c>
    </row>
    <row r="392" spans="1:27">
      <c r="A392" s="104" t="s">
        <v>112</v>
      </c>
      <c r="B392" t="s">
        <v>665</v>
      </c>
      <c r="C392" t="s">
        <v>105</v>
      </c>
      <c r="D392" t="s">
        <v>1968</v>
      </c>
      <c r="E392" t="s">
        <v>298</v>
      </c>
      <c r="F392" t="str">
        <f t="shared" si="6"/>
        <v>Rinkey Singh</v>
      </c>
      <c r="G392">
        <f>_xlfn.XLOOKUP(Table1[[#This Row],[Full Name ALL]],Contact[Full Name],Contact[Sequence],"Not Found")</f>
        <v>1</v>
      </c>
      <c r="H392" s="101" t="s">
        <v>1969</v>
      </c>
      <c r="I392" s="2"/>
      <c r="J392" s="2"/>
      <c r="K392">
        <v>2019</v>
      </c>
      <c r="L392" t="s">
        <v>1970</v>
      </c>
      <c r="M392" t="s">
        <v>95</v>
      </c>
      <c r="N392" t="s">
        <v>96</v>
      </c>
      <c r="O392" t="s">
        <v>743</v>
      </c>
      <c r="P392" s="101"/>
      <c r="Z392" t="s">
        <v>134</v>
      </c>
    </row>
    <row r="393" spans="1:27">
      <c r="A393" s="104" t="s">
        <v>112</v>
      </c>
      <c r="B393" t="s">
        <v>665</v>
      </c>
      <c r="C393" t="s">
        <v>185</v>
      </c>
      <c r="D393" t="s">
        <v>1971</v>
      </c>
      <c r="E393" t="s">
        <v>943</v>
      </c>
      <c r="F393" t="str">
        <f t="shared" si="6"/>
        <v>Sanjeev Aggarwal</v>
      </c>
      <c r="G393">
        <f>_xlfn.XLOOKUP(Table1[[#This Row],[Full Name ALL]],Contact[Full Name],Contact[Sequence],"Not Found")</f>
        <v>1</v>
      </c>
      <c r="H393" s="101" t="s">
        <v>1972</v>
      </c>
      <c r="I393" s="101"/>
      <c r="J393" s="101" t="s">
        <v>1973</v>
      </c>
      <c r="K393">
        <v>2019</v>
      </c>
      <c r="M393" t="s">
        <v>95</v>
      </c>
      <c r="N393" t="s">
        <v>96</v>
      </c>
      <c r="O393" t="s">
        <v>1974</v>
      </c>
      <c r="P393" s="101"/>
      <c r="Z393" t="s">
        <v>102</v>
      </c>
      <c r="AA393" t="s">
        <v>1975</v>
      </c>
    </row>
    <row r="394" spans="1:27">
      <c r="A394" s="104" t="s">
        <v>112</v>
      </c>
      <c r="B394" t="s">
        <v>665</v>
      </c>
      <c r="C394" t="s">
        <v>185</v>
      </c>
      <c r="D394" t="s">
        <v>1976</v>
      </c>
      <c r="E394" t="s">
        <v>1977</v>
      </c>
      <c r="F394" t="str">
        <f t="shared" si="6"/>
        <v>Natt Wuttiprapai</v>
      </c>
      <c r="G394">
        <f>_xlfn.XLOOKUP(Table1[[#This Row],[Full Name ALL]],Contact[Full Name],Contact[Sequence],"Not Found")</f>
        <v>1</v>
      </c>
      <c r="H394" t="s">
        <v>1978</v>
      </c>
      <c r="I394" s="5" t="s">
        <v>1979</v>
      </c>
      <c r="J394" t="s">
        <v>1980</v>
      </c>
      <c r="K394">
        <v>2019</v>
      </c>
      <c r="M394" t="s">
        <v>95</v>
      </c>
      <c r="N394" t="s">
        <v>96</v>
      </c>
      <c r="O394" t="s">
        <v>1981</v>
      </c>
      <c r="P394" s="101"/>
      <c r="Z394" t="s">
        <v>102</v>
      </c>
      <c r="AA394" t="s">
        <v>1982</v>
      </c>
    </row>
    <row r="395" spans="1:27">
      <c r="A395" s="104" t="s">
        <v>1983</v>
      </c>
      <c r="B395" t="s">
        <v>665</v>
      </c>
      <c r="C395" t="s">
        <v>185</v>
      </c>
      <c r="D395" t="s">
        <v>1984</v>
      </c>
      <c r="E395" t="s">
        <v>1985</v>
      </c>
      <c r="F395" t="str">
        <f t="shared" si="6"/>
        <v>Luis Wu Cuan</v>
      </c>
      <c r="G395">
        <f>_xlfn.XLOOKUP(Table1[[#This Row],[Full Name ALL]],Contact[Full Name],Contact[Sequence],"Not Found")</f>
        <v>1</v>
      </c>
      <c r="H395" s="101" t="s">
        <v>1986</v>
      </c>
      <c r="J395" t="s">
        <v>1987</v>
      </c>
      <c r="K395">
        <v>2019</v>
      </c>
      <c r="L395" t="s">
        <v>1988</v>
      </c>
      <c r="M395" t="s">
        <v>98</v>
      </c>
      <c r="N395" t="s">
        <v>96</v>
      </c>
      <c r="O395" t="s">
        <v>159</v>
      </c>
      <c r="P395" s="101"/>
      <c r="Z395" t="s">
        <v>98</v>
      </c>
      <c r="AA395" t="s">
        <v>1989</v>
      </c>
    </row>
    <row r="396" spans="1:27">
      <c r="A396" s="104" t="s">
        <v>112</v>
      </c>
      <c r="B396" t="s">
        <v>635</v>
      </c>
      <c r="C396" t="s">
        <v>90</v>
      </c>
      <c r="D396" s="101" t="s">
        <v>376</v>
      </c>
      <c r="E396" t="s">
        <v>260</v>
      </c>
      <c r="F396" t="str">
        <f t="shared" si="6"/>
        <v>Gaurav Jain</v>
      </c>
      <c r="G396">
        <f>_xlfn.XLOOKUP(Table1[[#This Row],[Full Name ALL]],Contact[Full Name],Contact[Sequence],"Not Found")</f>
        <v>1</v>
      </c>
      <c r="H396" s="101" t="s">
        <v>1990</v>
      </c>
      <c r="J396" t="s">
        <v>1991</v>
      </c>
      <c r="K396">
        <v>2019</v>
      </c>
      <c r="L396" t="s">
        <v>1992</v>
      </c>
      <c r="M396" t="s">
        <v>98</v>
      </c>
      <c r="N396" t="s">
        <v>96</v>
      </c>
      <c r="O396" t="s">
        <v>1993</v>
      </c>
      <c r="P396" s="101"/>
      <c r="Z396" t="s">
        <v>102</v>
      </c>
      <c r="AA396" t="s">
        <v>1994</v>
      </c>
    </row>
    <row r="397" spans="1:27">
      <c r="A397" s="104" t="s">
        <v>112</v>
      </c>
      <c r="C397" t="s">
        <v>105</v>
      </c>
      <c r="D397" t="s">
        <v>1995</v>
      </c>
      <c r="E397" t="s">
        <v>599</v>
      </c>
      <c r="F397" t="str">
        <f t="shared" si="6"/>
        <v>Angel Lin</v>
      </c>
      <c r="G397">
        <f>_xlfn.XLOOKUP(Table1[[#This Row],[Full Name ALL]],Contact[Full Name],Contact[Sequence],"Not Found")</f>
        <v>1</v>
      </c>
      <c r="H397" s="101" t="s">
        <v>1996</v>
      </c>
      <c r="J397" t="s">
        <v>1997</v>
      </c>
      <c r="K397">
        <v>2019</v>
      </c>
      <c r="M397" t="s">
        <v>98</v>
      </c>
      <c r="N397" t="s">
        <v>96</v>
      </c>
      <c r="O397" t="s">
        <v>1998</v>
      </c>
      <c r="P397" s="101"/>
    </row>
    <row r="398" spans="1:27">
      <c r="A398" s="104" t="s">
        <v>112</v>
      </c>
      <c r="C398" t="s">
        <v>105</v>
      </c>
      <c r="D398" t="s">
        <v>1124</v>
      </c>
      <c r="E398" t="s">
        <v>1999</v>
      </c>
      <c r="F398" t="str">
        <f t="shared" si="6"/>
        <v>Anna Blachman</v>
      </c>
      <c r="G398">
        <f>_xlfn.XLOOKUP(Table1[[#This Row],[Full Name ALL]],Contact[Full Name],Contact[Sequence],"Not Found")</f>
        <v>1</v>
      </c>
      <c r="H398" s="101" t="s">
        <v>2000</v>
      </c>
      <c r="J398" t="s">
        <v>2001</v>
      </c>
      <c r="K398">
        <v>2019</v>
      </c>
      <c r="M398" t="s">
        <v>98</v>
      </c>
      <c r="N398" t="s">
        <v>96</v>
      </c>
      <c r="O398" t="s">
        <v>2002</v>
      </c>
      <c r="P398" s="101"/>
    </row>
    <row r="399" spans="1:27">
      <c r="A399" s="104" t="s">
        <v>112</v>
      </c>
      <c r="C399" t="s">
        <v>90</v>
      </c>
      <c r="D399" t="s">
        <v>2003</v>
      </c>
      <c r="E399" t="s">
        <v>504</v>
      </c>
      <c r="F399" t="str">
        <f t="shared" si="6"/>
        <v>Apoorv Bhatnagar</v>
      </c>
      <c r="G399">
        <f>_xlfn.XLOOKUP(Table1[[#This Row],[Full Name ALL]],Contact[Full Name],Contact[Sequence],"Not Found")</f>
        <v>1</v>
      </c>
      <c r="H399" s="101" t="s">
        <v>2004</v>
      </c>
      <c r="I399" t="s">
        <v>2005</v>
      </c>
      <c r="J399" t="s">
        <v>2006</v>
      </c>
      <c r="K399">
        <v>2019</v>
      </c>
      <c r="M399" t="s">
        <v>98</v>
      </c>
      <c r="N399" t="s">
        <v>96</v>
      </c>
      <c r="O399" t="s">
        <v>2007</v>
      </c>
      <c r="P399" s="101"/>
    </row>
    <row r="400" spans="1:27">
      <c r="A400" s="104" t="s">
        <v>112</v>
      </c>
      <c r="C400" t="s">
        <v>105</v>
      </c>
      <c r="D400" t="s">
        <v>2008</v>
      </c>
      <c r="E400" t="s">
        <v>2009</v>
      </c>
      <c r="F400" t="str">
        <f t="shared" si="6"/>
        <v>Deeksha Hebbar</v>
      </c>
      <c r="G400">
        <f>_xlfn.XLOOKUP(Table1[[#This Row],[Full Name ALL]],Contact[Full Name],Contact[Sequence],"Not Found")</f>
        <v>1</v>
      </c>
      <c r="H400" s="101" t="s">
        <v>2010</v>
      </c>
      <c r="I400" t="s">
        <v>2011</v>
      </c>
      <c r="J400" t="s">
        <v>2012</v>
      </c>
      <c r="K400">
        <v>2019</v>
      </c>
      <c r="M400" t="s">
        <v>98</v>
      </c>
      <c r="N400" t="s">
        <v>96</v>
      </c>
      <c r="O400" t="s">
        <v>2013</v>
      </c>
      <c r="P400" s="101"/>
    </row>
    <row r="401" spans="1:27">
      <c r="A401" s="104" t="s">
        <v>112</v>
      </c>
      <c r="C401" t="s">
        <v>105</v>
      </c>
      <c r="D401" t="s">
        <v>2014</v>
      </c>
      <c r="E401" t="s">
        <v>2015</v>
      </c>
      <c r="F401" t="str">
        <f t="shared" si="6"/>
        <v>Philipp Mengeringhaus</v>
      </c>
      <c r="G401">
        <f>_xlfn.XLOOKUP(Table1[[#This Row],[Full Name ALL]],Contact[Full Name],Contact[Sequence],"Not Found")</f>
        <v>1</v>
      </c>
      <c r="H401" s="101" t="s">
        <v>2016</v>
      </c>
      <c r="I401" t="s">
        <v>2017</v>
      </c>
      <c r="J401" t="s">
        <v>2018</v>
      </c>
      <c r="K401">
        <v>2019</v>
      </c>
      <c r="M401" t="s">
        <v>98</v>
      </c>
      <c r="N401" t="s">
        <v>96</v>
      </c>
      <c r="O401" t="s">
        <v>2019</v>
      </c>
      <c r="P401" s="101"/>
    </row>
    <row r="402" spans="1:27">
      <c r="A402" s="104" t="s">
        <v>112</v>
      </c>
      <c r="C402" t="s">
        <v>185</v>
      </c>
      <c r="D402" t="s">
        <v>2020</v>
      </c>
      <c r="E402" t="s">
        <v>762</v>
      </c>
      <c r="F402" t="str">
        <f t="shared" si="6"/>
        <v>Jeremy Zhang</v>
      </c>
      <c r="G402">
        <f>_xlfn.XLOOKUP(Table1[[#This Row],[Full Name ALL]],Contact[Full Name],Contact[Sequence],"Not Found")</f>
        <v>1</v>
      </c>
      <c r="H402" s="101" t="s">
        <v>2021</v>
      </c>
      <c r="J402" t="s">
        <v>2022</v>
      </c>
      <c r="K402">
        <v>2019</v>
      </c>
      <c r="L402" t="s">
        <v>1119</v>
      </c>
      <c r="M402" t="s">
        <v>98</v>
      </c>
      <c r="N402" t="s">
        <v>96</v>
      </c>
      <c r="O402" t="s">
        <v>2023</v>
      </c>
      <c r="P402" s="101"/>
    </row>
    <row r="403" spans="1:27">
      <c r="A403" s="104" t="s">
        <v>112</v>
      </c>
      <c r="C403" t="s">
        <v>90</v>
      </c>
      <c r="D403" t="s">
        <v>2024</v>
      </c>
      <c r="E403" t="s">
        <v>2025</v>
      </c>
      <c r="F403" t="str">
        <f t="shared" si="6"/>
        <v>Nikhilesh  Chaudhary</v>
      </c>
      <c r="G403">
        <f>_xlfn.XLOOKUP(Table1[[#This Row],[Full Name ALL]],Contact[Full Name],Contact[Sequence],"Not Found")</f>
        <v>1</v>
      </c>
      <c r="H403" s="101" t="s">
        <v>2026</v>
      </c>
      <c r="I403" t="s">
        <v>2027</v>
      </c>
      <c r="J403" t="s">
        <v>2028</v>
      </c>
      <c r="K403">
        <v>2019</v>
      </c>
      <c r="L403" t="s">
        <v>2029</v>
      </c>
      <c r="M403" t="s">
        <v>98</v>
      </c>
      <c r="N403" t="s">
        <v>96</v>
      </c>
      <c r="O403" t="s">
        <v>2030</v>
      </c>
      <c r="P403" s="101"/>
    </row>
    <row r="404" spans="1:27">
      <c r="A404" s="104" t="s">
        <v>112</v>
      </c>
      <c r="C404" t="s">
        <v>90</v>
      </c>
      <c r="D404" t="s">
        <v>2031</v>
      </c>
      <c r="E404" t="s">
        <v>459</v>
      </c>
      <c r="F404" t="str">
        <f t="shared" si="6"/>
        <v>Yujun Kim</v>
      </c>
      <c r="G404">
        <f>_xlfn.XLOOKUP(Table1[[#This Row],[Full Name ALL]],Contact[Full Name],Contact[Sequence],"Not Found")</f>
        <v>1</v>
      </c>
      <c r="H404" s="101" t="s">
        <v>2032</v>
      </c>
      <c r="I404" s="101"/>
      <c r="J404" t="s">
        <v>2033</v>
      </c>
      <c r="K404">
        <v>2019</v>
      </c>
      <c r="L404" t="s">
        <v>2034</v>
      </c>
      <c r="M404" t="s">
        <v>98</v>
      </c>
      <c r="N404" t="s">
        <v>96</v>
      </c>
      <c r="O404" t="s">
        <v>2035</v>
      </c>
      <c r="P404" s="101"/>
      <c r="Z404" t="s">
        <v>102</v>
      </c>
      <c r="AA404" t="s">
        <v>2036</v>
      </c>
    </row>
    <row r="405" spans="1:27">
      <c r="A405" s="104" t="s">
        <v>112</v>
      </c>
      <c r="C405" t="s">
        <v>105</v>
      </c>
      <c r="D405" t="s">
        <v>2037</v>
      </c>
      <c r="E405" t="s">
        <v>2038</v>
      </c>
      <c r="F405" t="str">
        <f t="shared" si="6"/>
        <v>Mohan Rajagopalan</v>
      </c>
      <c r="G405">
        <f>_xlfn.XLOOKUP(Table1[[#This Row],[Full Name ALL]],Contact[Full Name],Contact[Sequence],"Not Found")</f>
        <v>1</v>
      </c>
      <c r="H405" s="101" t="s">
        <v>2039</v>
      </c>
      <c r="J405" t="s">
        <v>2040</v>
      </c>
      <c r="K405">
        <v>2019</v>
      </c>
      <c r="L405" t="s">
        <v>2041</v>
      </c>
      <c r="M405" t="s">
        <v>98</v>
      </c>
      <c r="N405" t="s">
        <v>1051</v>
      </c>
      <c r="P405" s="101"/>
    </row>
    <row r="406" spans="1:27">
      <c r="A406" s="104" t="s">
        <v>112</v>
      </c>
      <c r="C406" t="s">
        <v>185</v>
      </c>
      <c r="D406" t="s">
        <v>487</v>
      </c>
      <c r="E406" t="s">
        <v>2042</v>
      </c>
      <c r="F406" t="str">
        <f t="shared" si="6"/>
        <v>Prashant Bhatia</v>
      </c>
      <c r="G406">
        <f>_xlfn.XLOOKUP(Table1[[#This Row],[Full Name ALL]],Contact[Full Name],Contact[Sequence],"Not Found")</f>
        <v>1</v>
      </c>
      <c r="H406" t="s">
        <v>2043</v>
      </c>
      <c r="J406" t="s">
        <v>2044</v>
      </c>
      <c r="K406">
        <v>2019</v>
      </c>
      <c r="M406" t="s">
        <v>95</v>
      </c>
      <c r="N406" s="104" t="s">
        <v>96</v>
      </c>
      <c r="O406" t="s">
        <v>2045</v>
      </c>
      <c r="P406" s="101"/>
    </row>
    <row r="407" spans="1:27">
      <c r="A407" s="104" t="s">
        <v>112</v>
      </c>
      <c r="C407" t="s">
        <v>105</v>
      </c>
      <c r="D407" t="s">
        <v>2046</v>
      </c>
      <c r="E407" t="s">
        <v>2047</v>
      </c>
      <c r="F407" t="str">
        <f t="shared" si="6"/>
        <v>Stacy Stutz</v>
      </c>
      <c r="G407">
        <f>_xlfn.XLOOKUP(Table1[[#This Row],[Full Name ALL]],Contact[Full Name],Contact[Sequence],"Not Found")</f>
        <v>1</v>
      </c>
      <c r="H407" s="101" t="s">
        <v>2048</v>
      </c>
      <c r="J407" t="s">
        <v>2049</v>
      </c>
      <c r="K407">
        <v>2019</v>
      </c>
      <c r="M407" t="s">
        <v>98</v>
      </c>
      <c r="N407" t="s">
        <v>96</v>
      </c>
      <c r="O407" t="s">
        <v>2050</v>
      </c>
      <c r="P407" s="101"/>
    </row>
    <row r="408" spans="1:27">
      <c r="A408" s="104" t="s">
        <v>112</v>
      </c>
      <c r="C408" t="s">
        <v>90</v>
      </c>
      <c r="D408" t="s">
        <v>102</v>
      </c>
      <c r="E408" t="s">
        <v>471</v>
      </c>
      <c r="F408" t="str">
        <f t="shared" si="6"/>
        <v>Sumeet Gupta</v>
      </c>
      <c r="G408">
        <f>_xlfn.XLOOKUP(Table1[[#This Row],[Full Name ALL]],Contact[Full Name],Contact[Sequence],"Not Found")</f>
        <v>1</v>
      </c>
      <c r="H408" s="101" t="s">
        <v>2051</v>
      </c>
      <c r="K408">
        <v>2019</v>
      </c>
      <c r="N408" t="s">
        <v>133</v>
      </c>
      <c r="O408" t="s">
        <v>2052</v>
      </c>
      <c r="P408" s="101"/>
      <c r="Z408" t="s">
        <v>102</v>
      </c>
      <c r="AA408" t="s">
        <v>2053</v>
      </c>
    </row>
    <row r="409" spans="1:27">
      <c r="A409" s="104" t="s">
        <v>112</v>
      </c>
      <c r="C409" t="s">
        <v>185</v>
      </c>
      <c r="D409" t="s">
        <v>580</v>
      </c>
      <c r="E409" t="s">
        <v>2054</v>
      </c>
      <c r="F409" t="str">
        <f t="shared" si="6"/>
        <v>Susan Parmar</v>
      </c>
      <c r="G409">
        <f>_xlfn.XLOOKUP(Table1[[#This Row],[Full Name ALL]],Contact[Full Name],Contact[Sequence],"Not Found")</f>
        <v>1</v>
      </c>
      <c r="H409" s="101" t="s">
        <v>2055</v>
      </c>
      <c r="I409" t="s">
        <v>2056</v>
      </c>
      <c r="J409" t="s">
        <v>2057</v>
      </c>
      <c r="K409">
        <v>2019</v>
      </c>
      <c r="L409" t="s">
        <v>2058</v>
      </c>
      <c r="M409" t="s">
        <v>98</v>
      </c>
      <c r="N409" t="s">
        <v>1051</v>
      </c>
      <c r="P409" s="101"/>
    </row>
    <row r="410" spans="1:27">
      <c r="A410" s="104" t="s">
        <v>112</v>
      </c>
      <c r="C410" t="s">
        <v>105</v>
      </c>
      <c r="D410" t="s">
        <v>2059</v>
      </c>
      <c r="E410" t="s">
        <v>2060</v>
      </c>
      <c r="F410" t="str">
        <f t="shared" si="6"/>
        <v>Yue Dai</v>
      </c>
      <c r="G410">
        <f>_xlfn.XLOOKUP(Table1[[#This Row],[Full Name ALL]],Contact[Full Name],Contact[Sequence],"Not Found")</f>
        <v>1</v>
      </c>
      <c r="H410" s="101" t="s">
        <v>2061</v>
      </c>
      <c r="J410" t="s">
        <v>2062</v>
      </c>
      <c r="K410">
        <v>2019</v>
      </c>
      <c r="M410" t="s">
        <v>98</v>
      </c>
      <c r="N410" t="s">
        <v>96</v>
      </c>
      <c r="O410" t="s">
        <v>2050</v>
      </c>
      <c r="P410" s="101"/>
    </row>
    <row r="411" spans="1:27">
      <c r="A411" s="104" t="s">
        <v>112</v>
      </c>
      <c r="C411" t="s">
        <v>105</v>
      </c>
      <c r="D411" t="s">
        <v>2063</v>
      </c>
      <c r="E411" t="s">
        <v>2064</v>
      </c>
      <c r="F411" t="str">
        <f t="shared" si="6"/>
        <v>Olga Perkovic</v>
      </c>
      <c r="G411">
        <f>_xlfn.XLOOKUP(Table1[[#This Row],[Full Name ALL]],Contact[Full Name],Contact[Sequence],"Not Found")</f>
        <v>1</v>
      </c>
      <c r="J411" t="s">
        <v>2065</v>
      </c>
      <c r="K411">
        <v>2019</v>
      </c>
      <c r="L411" t="s">
        <v>2066</v>
      </c>
      <c r="M411" t="s">
        <v>98</v>
      </c>
      <c r="N411" t="s">
        <v>1051</v>
      </c>
      <c r="P411" s="101"/>
    </row>
    <row r="412" spans="1:27">
      <c r="A412" s="104" t="s">
        <v>112</v>
      </c>
      <c r="C412" t="s">
        <v>90</v>
      </c>
      <c r="D412" t="s">
        <v>2067</v>
      </c>
      <c r="E412" t="s">
        <v>2068</v>
      </c>
      <c r="F412" t="str">
        <f t="shared" si="6"/>
        <v>Ashish  Srivastava</v>
      </c>
      <c r="G412">
        <f>_xlfn.XLOOKUP(Table1[[#This Row],[Full Name ALL]],Contact[Full Name],Contact[Sequence],"Not Found")</f>
        <v>1</v>
      </c>
      <c r="J412" t="s">
        <v>2069</v>
      </c>
      <c r="K412">
        <v>2019</v>
      </c>
      <c r="L412" t="s">
        <v>2070</v>
      </c>
      <c r="M412" t="s">
        <v>2071</v>
      </c>
      <c r="N412" t="s">
        <v>1051</v>
      </c>
      <c r="P412" s="101"/>
    </row>
    <row r="413" spans="1:27">
      <c r="A413" s="104" t="s">
        <v>112</v>
      </c>
      <c r="C413" t="s">
        <v>90</v>
      </c>
      <c r="D413" t="s">
        <v>2072</v>
      </c>
      <c r="E413" t="s">
        <v>463</v>
      </c>
      <c r="F413" t="str">
        <f t="shared" si="6"/>
        <v>Lei  Liu</v>
      </c>
      <c r="G413">
        <f>_xlfn.XLOOKUP(Table1[[#This Row],[Full Name ALL]],Contact[Full Name],Contact[Sequence],"Not Found")</f>
        <v>1</v>
      </c>
      <c r="J413" t="s">
        <v>2073</v>
      </c>
      <c r="K413">
        <v>2019</v>
      </c>
      <c r="L413" t="s">
        <v>2070</v>
      </c>
      <c r="M413" t="s">
        <v>98</v>
      </c>
      <c r="N413" t="s">
        <v>1051</v>
      </c>
      <c r="P413" s="101"/>
    </row>
  </sheetData>
  <conditionalFormatting sqref="AD1:AD9 AC414:AC1048576 AD11:AD413">
    <cfRule type="colorScale" priority="1">
      <colorScale>
        <cfvo type="min"/>
        <cfvo type="percentile" val="50"/>
        <cfvo type="max"/>
        <color rgb="FFF8696B"/>
        <color rgb="FFFFEB84"/>
        <color rgb="FF63BE7B"/>
      </colorScale>
    </cfRule>
  </conditionalFormatting>
  <conditionalFormatting sqref="U1:U4">
    <cfRule type="colorScale" priority="2">
      <colorScale>
        <cfvo type="min"/>
        <cfvo type="percentile" val="50"/>
        <cfvo type="max"/>
        <color rgb="FFF8696B"/>
        <color rgb="FFFFEB84"/>
        <color rgb="FF63BE7B"/>
      </colorScale>
    </cfRule>
  </conditionalFormatting>
  <hyperlinks>
    <hyperlink ref="J190" r:id="rId1" xr:uid="{B9983D2F-2D56-473A-B106-533325B2D54B}"/>
    <hyperlink ref="J181" r:id="rId2" xr:uid="{D4BFA4CA-D303-45E8-8B12-303B8AE99600}"/>
    <hyperlink ref="J282" r:id="rId3" xr:uid="{C7354B8A-2A6E-4985-BBE7-695156333CC7}"/>
    <hyperlink ref="J267" r:id="rId4" xr:uid="{A4F71897-1F8E-43C8-BA52-66EFE89AC65A}"/>
    <hyperlink ref="J232" r:id="rId5" xr:uid="{3BCC733D-D4AE-4F9A-BBF4-51A80BC3D9EF}"/>
    <hyperlink ref="J48" r:id="rId6" xr:uid="{74AA1A45-A92E-43AA-8A06-E8D305C55E16}"/>
    <hyperlink ref="J227" r:id="rId7" xr:uid="{2EAD7A77-268C-438D-8796-A004FEAEDE20}"/>
    <hyperlink ref="J380" r:id="rId8" xr:uid="{BAB85CFD-15CD-46E7-94A5-3871C5435B23}"/>
    <hyperlink ref="J160" r:id="rId9" xr:uid="{A9CFC645-00BF-4EFA-B183-ECE5D62706B5}"/>
    <hyperlink ref="H265" r:id="rId10" xr:uid="{2B4CF705-CD4B-46CB-8382-97C7DF65F39E}"/>
    <hyperlink ref="H178" r:id="rId11" xr:uid="{A7D2704E-985F-40F8-8D6F-4A4B06D12A01}"/>
    <hyperlink ref="H45" r:id="rId12" xr:uid="{665F1AE7-3A4C-437F-AD6A-27A996FCCC31}"/>
    <hyperlink ref="H86" r:id="rId13" xr:uid="{40CD7E0F-CE5D-4BC2-9532-6138564738A6}"/>
    <hyperlink ref="H46" r:id="rId14" xr:uid="{8DB1EA9E-5831-4FE8-9438-C46A3BD9400A}"/>
    <hyperlink ref="H95" r:id="rId15" xr:uid="{5FE565F3-F6C6-4FC0-BB44-9970FDAEBE74}"/>
    <hyperlink ref="H82" r:id="rId16" xr:uid="{C8B91304-F245-4CA4-BB29-418F172CC347}"/>
    <hyperlink ref="H392" r:id="rId17" xr:uid="{5445B4A9-D634-4FF5-92C4-E8636374898D}"/>
    <hyperlink ref="J69" r:id="rId18" xr:uid="{8B0180D5-0B61-4B80-B4E7-1BA828FA594B}"/>
    <hyperlink ref="J189" r:id="rId19" xr:uid="{90626649-99D2-4B13-BAC7-95ACE9F9AAC3}"/>
    <hyperlink ref="H146" r:id="rId20" xr:uid="{9298854D-2123-4953-83C3-8E258728F2B7}"/>
    <hyperlink ref="H255" r:id="rId21" xr:uid="{AAFE55DE-003D-4787-9CCA-A57B3BA726E8}"/>
    <hyperlink ref="H324" r:id="rId22" xr:uid="{8B0F727B-6BBC-4A2C-86DF-995EC34D39A6}"/>
    <hyperlink ref="H26" r:id="rId23" xr:uid="{888FBF6D-6192-4569-BFF5-3A8AD5033FA5}"/>
    <hyperlink ref="J54" r:id="rId24" xr:uid="{D08FA608-5A5C-4CE0-BFEF-2CD10748F798}"/>
    <hyperlink ref="H54" r:id="rId25" xr:uid="{F1C61E16-0A2D-41F1-BEBC-5DF3EA3D0064}"/>
    <hyperlink ref="H10" r:id="rId26" xr:uid="{FD17F24C-0154-457B-B2F1-581CB2FF83DC}"/>
    <hyperlink ref="H55" r:id="rId27" xr:uid="{31A23CD4-9114-4DAB-972F-0874B378C0DC}"/>
    <hyperlink ref="H109" r:id="rId28" xr:uid="{A3886B12-0EEF-47AB-B89E-D3E350AD4142}"/>
    <hyperlink ref="H56" r:id="rId29" xr:uid="{50C0B2A1-1E5B-4225-9A45-8944AD1F3B1D}"/>
    <hyperlink ref="H261" r:id="rId30" xr:uid="{03B9DD0C-9E28-4B0D-9F31-B074382D8127}"/>
    <hyperlink ref="H246" r:id="rId31" xr:uid="{BED002E3-3661-435A-920C-C3BEC2DC40D2}"/>
    <hyperlink ref="J41" r:id="rId32" xr:uid="{7D6BDB71-7039-4B6D-934B-3223672C26D0}"/>
    <hyperlink ref="H226" r:id="rId33" xr:uid="{F0F302CC-E0B6-4FA4-BA35-0CA64F738998}"/>
    <hyperlink ref="H20" r:id="rId34" xr:uid="{13B4A9D6-3EF5-4D0C-A15C-12BA02B28A2F}"/>
    <hyperlink ref="H53" r:id="rId35" xr:uid="{309602A8-2D63-442A-8E38-32A11BE52C8B}"/>
    <hyperlink ref="H202" r:id="rId36" xr:uid="{ECFFBCAE-59B2-4DCE-AAF0-7BDF105574DE}"/>
    <hyperlink ref="H164" r:id="rId37" xr:uid="{EDAD80DA-DA56-4A43-A374-3CF8A9F56FD3}"/>
    <hyperlink ref="H51" r:id="rId38" xr:uid="{DA60995D-3E3E-4B5E-AA43-657E73F9E074}"/>
    <hyperlink ref="L177" r:id="rId39" xr:uid="{B0A4F112-CCBD-4EAF-840A-9BC9383A1008}"/>
    <hyperlink ref="H177" r:id="rId40" xr:uid="{61F2AB66-6F98-49EA-B64E-41FE08F9AE9B}"/>
    <hyperlink ref="H85" r:id="rId41" xr:uid="{2987B903-D31E-4D7C-A775-D6CD5D0E3C53}"/>
    <hyperlink ref="H98" r:id="rId42" xr:uid="{6B27CC59-164A-4AA2-BB3A-8775CA4FA059}"/>
    <hyperlink ref="H65" r:id="rId43" xr:uid="{BE314488-084C-4500-AC7B-FEA9C1585A78}"/>
    <hyperlink ref="H49" r:id="rId44" xr:uid="{69CBD90C-0FB6-467F-9610-8FE9E0041BF3}"/>
    <hyperlink ref="H25" r:id="rId45" xr:uid="{6B67143E-F66D-40A5-80B6-91B8DACD4665}"/>
    <hyperlink ref="H283" r:id="rId46" xr:uid="{C42BD6E9-F233-4AA7-B7D8-C9FDB29BC173}"/>
    <hyperlink ref="H293" r:id="rId47" xr:uid="{A867B358-7287-4162-A822-D12EA4AF0BDE}"/>
    <hyperlink ref="H298" r:id="rId48" xr:uid="{68ACA824-0C99-4EA3-97BB-30D33645DE0B}"/>
    <hyperlink ref="H295" r:id="rId49" xr:uid="{EDCC2BA3-F915-4A16-A13D-E58C0744D7FD}"/>
    <hyperlink ref="H297" r:id="rId50" xr:uid="{7A943B64-5399-4293-BBDB-916206BAB6A2}"/>
    <hyperlink ref="H296" r:id="rId51" xr:uid="{FC491E77-6CC3-486D-A75A-6057959AE0DD}"/>
    <hyperlink ref="H294" r:id="rId52" xr:uid="{F2DF973B-697D-4F4D-B95F-81425FC4A1F3}"/>
    <hyperlink ref="H12" r:id="rId53" xr:uid="{73D04E15-65C6-4874-A862-DF23919B5158}"/>
    <hyperlink ref="H207" r:id="rId54" xr:uid="{12BDD9AA-DD6A-4657-8F88-ACD1F5D039DD}"/>
    <hyperlink ref="H403" r:id="rId55" xr:uid="{08874585-DD7C-4EDB-AF57-35D66B856F51}"/>
    <hyperlink ref="H74" r:id="rId56" xr:uid="{B9E365DF-6976-45D6-87CF-01FCAA186DE9}"/>
    <hyperlink ref="H32" r:id="rId57" xr:uid="{62E0510D-CCB4-4A5E-9439-DF0373CB703E}"/>
    <hyperlink ref="H38" r:id="rId58" xr:uid="{8EF6024A-82AC-49A4-A32A-B1BB3C886185}"/>
    <hyperlink ref="H262" r:id="rId59" xr:uid="{82347998-BF18-4C6D-B67E-7AF2ADA9E9FB}"/>
    <hyperlink ref="H335" r:id="rId60" xr:uid="{005523C8-673D-4F14-8757-6391A50DA1DD}"/>
    <hyperlink ref="H326" r:id="rId61" xr:uid="{4AEE041D-B0E3-4E19-9337-15E6894ACEDF}"/>
    <hyperlink ref="H387" r:id="rId62" xr:uid="{127330BE-2896-4ADF-A364-A52AFFF0BEC7}"/>
    <hyperlink ref="H381" r:id="rId63" xr:uid="{E8ABCF8E-BDEA-4211-A7BA-172DA72EBF16}"/>
    <hyperlink ref="H333" r:id="rId64" xr:uid="{A424674A-7B56-4558-A925-CAECCB855742}"/>
    <hyperlink ref="H275" r:id="rId65" xr:uid="{F65CCC69-28B0-4B21-BD44-D892240CD9E2}"/>
    <hyperlink ref="H92" r:id="rId66" xr:uid="{ACFB90A9-0527-433B-B58C-2D8800FEB115}"/>
    <hyperlink ref="H218" r:id="rId67" xr:uid="{FD923540-2A54-4A4F-A7E2-70E8B24ED360}"/>
    <hyperlink ref="H365" r:id="rId68" xr:uid="{D7C2E9D9-2D65-4318-9FC3-47F12DBFFB6D}"/>
    <hyperlink ref="H245" r:id="rId69" xr:uid="{02E9F258-F1C5-4584-B73E-37D2F69F09FD}"/>
    <hyperlink ref="H285" r:id="rId70" xr:uid="{0B3833F8-A369-46DC-8B8C-E3385B4D6FA3}"/>
    <hyperlink ref="H35" r:id="rId71" xr:uid="{71032412-1848-45B5-BB31-E5398B681696}"/>
    <hyperlink ref="H39" r:id="rId72" xr:uid="{D32C61A8-66AD-4662-B812-C319D29BF487}"/>
    <hyperlink ref="H195" r:id="rId73" xr:uid="{0363FFBC-F886-46AA-B639-8119EA0DCE8F}"/>
    <hyperlink ref="H235" r:id="rId74" xr:uid="{7AF0DE5E-B9EB-42DC-9F81-BA4EFA8DDA30}"/>
    <hyperlink ref="H102" r:id="rId75" xr:uid="{0C58B6C6-4443-45E8-B397-FBE167668C08}"/>
    <hyperlink ref="H118" r:id="rId76" xr:uid="{521350D2-E588-46BF-8F8D-27130D3F5D0D}"/>
    <hyperlink ref="H399" r:id="rId77" xr:uid="{346B552B-461B-4666-A38D-EBA3F7F1FAC1}"/>
    <hyperlink ref="H33" r:id="rId78" xr:uid="{C8480513-9BAB-47DF-A8D9-DF130B8C2458}"/>
    <hyperlink ref="H88" r:id="rId79" xr:uid="{8B89765E-CD88-4457-987B-C3096357AA0B}"/>
    <hyperlink ref="H230" r:id="rId80" xr:uid="{4BED346B-2740-4C2A-B98D-9FDA2320E285}"/>
    <hyperlink ref="H24" r:id="rId81" xr:uid="{50608877-2F26-4894-BBD4-5E2205A5C53A}"/>
    <hyperlink ref="H96" r:id="rId82" xr:uid="{F82AF1BF-BB73-4B97-824F-4D78D2C90FAB}"/>
    <hyperlink ref="H100" r:id="rId83" xr:uid="{3A5A55F6-5121-47AA-9779-E13880B3DC60}"/>
    <hyperlink ref="H221" r:id="rId84" xr:uid="{B1195FB1-448F-4F2D-B4AA-2EA727C40429}"/>
    <hyperlink ref="H44" r:id="rId85" xr:uid="{A26A035C-6D99-47DF-8A17-A4FF8A67A488}"/>
    <hyperlink ref="H76" r:id="rId86" xr:uid="{D3017AA2-E3A0-4853-A6EE-58B7F714634F}"/>
    <hyperlink ref="H41" r:id="rId87" xr:uid="{85EEABC2-E3C5-4727-B372-21BCCE15CD0E}"/>
    <hyperlink ref="H68" r:id="rId88" xr:uid="{5EDB975E-055E-46D6-A173-77EA73DDDB50}"/>
    <hyperlink ref="H116" r:id="rId89" xr:uid="{E6A6D652-70A5-4578-B419-36C1AD07D0E6}"/>
    <hyperlink ref="H185" r:id="rId90" xr:uid="{696A9840-685F-4160-84A8-C4864A031406}"/>
    <hyperlink ref="H91" r:id="rId91" xr:uid="{A84EFB5D-487A-41BE-BC2B-29C8A653697C}"/>
    <hyperlink ref="H60" r:id="rId92" xr:uid="{F3B9EED5-F6D6-41A9-9DC6-157560079BEE}"/>
    <hyperlink ref="H409" r:id="rId93" xr:uid="{4F7A98B2-1508-4A72-82DA-C3DADAA7D0D4}"/>
    <hyperlink ref="H62" r:id="rId94" xr:uid="{2D6E812D-2CDD-4ECD-ABD7-FE3F33ED1C1B}"/>
    <hyperlink ref="H395" r:id="rId95" xr:uid="{7FF2DA5E-B75A-42D2-994C-5808FBA4C08D}"/>
    <hyperlink ref="H37" r:id="rId96" xr:uid="{DB2F235C-AA1F-4563-BFC1-664077E7AFCA}"/>
    <hyperlink ref="H89" r:id="rId97" xr:uid="{B243880C-7F85-4B23-B1B7-C0107A5B5CD1}"/>
    <hyperlink ref="H75" r:id="rId98" xr:uid="{9544C06C-157C-41E0-ABDC-AFB337556744}"/>
    <hyperlink ref="H359" r:id="rId99" xr:uid="{4CBB3FA2-0D50-49F3-A4F9-49561318D72C}"/>
    <hyperlink ref="H222" r:id="rId100" xr:uid="{84EFCF0E-C4D5-43B3-A35D-70CB6F9BA98A}"/>
    <hyperlink ref="H402" r:id="rId101" xr:uid="{F3457D46-17B2-4F9A-90ED-231C6BAC8001}"/>
    <hyperlink ref="H352" r:id="rId102" xr:uid="{095F3F30-001A-47BC-B0F5-33034C8ABCC0}"/>
    <hyperlink ref="H223" r:id="rId103" xr:uid="{1989801D-0616-459A-BB7F-36CACB6D434B}"/>
    <hyperlink ref="H196" r:id="rId104" xr:uid="{6FA6D0FD-1AB4-4BA4-97FB-031741CA0E7D}"/>
    <hyperlink ref="H330" r:id="rId105" xr:uid="{8E146913-D21B-4F6D-A5E7-8A812496B350}"/>
    <hyperlink ref="J292" r:id="rId106" xr:uid="{EF0B0CDF-E72E-4C8C-94F5-4DB31D1039E2}"/>
    <hyperlink ref="H292" r:id="rId107" xr:uid="{97804127-FB90-445A-B98E-A01200096337}"/>
    <hyperlink ref="H363" r:id="rId108" xr:uid="{8F5E560A-70BE-4216-8CB4-A3CDC64C3C6B}"/>
    <hyperlink ref="H328" r:id="rId109" xr:uid="{E9E17400-CE31-4543-B171-F567AB4FB47D}"/>
    <hyperlink ref="H291" r:id="rId110" xr:uid="{34AF1012-9097-4BBE-A8C5-3D57027AA30E}"/>
    <hyperlink ref="H276" r:id="rId111" xr:uid="{6DB5755E-E605-48EE-A590-4E2D5E534560}"/>
    <hyperlink ref="H43" r:id="rId112" xr:uid="{38402C70-1B1E-4678-9C7F-F836C68EF621}"/>
    <hyperlink ref="H70" r:id="rId113" xr:uid="{8CA45033-750E-4896-9548-087CC362C164}"/>
    <hyperlink ref="H362" r:id="rId114" xr:uid="{991371CD-77EF-4A68-81AC-C12EBB5F7F4D}"/>
    <hyperlink ref="J280" r:id="rId115" xr:uid="{06210A25-418F-47B1-AC04-654DC94CE306}"/>
    <hyperlink ref="H280" r:id="rId116" xr:uid="{E4FB8E71-4440-4503-8C54-F6FBFD8C5860}"/>
    <hyperlink ref="O177" r:id="rId117" xr:uid="{4952E98D-274B-488E-BBA8-45CFB703D82D}"/>
    <hyperlink ref="J187" r:id="rId118" xr:uid="{5DE25CED-C10C-4059-9CC4-4B340EE6E71E}"/>
    <hyperlink ref="H187" r:id="rId119" xr:uid="{2D79B6BB-E15C-41DC-8329-60FEEB9905DD}"/>
    <hyperlink ref="H401" r:id="rId120" xr:uid="{0391E113-4A37-47CE-B4AA-FE7E5C12C2FB}"/>
    <hyperlink ref="H309" r:id="rId121" xr:uid="{E082B774-1E00-49EB-B3AF-DE4FF213570D}"/>
    <hyperlink ref="H210" r:id="rId122" xr:uid="{BEADD459-20AC-4730-AD7A-E4F339B570FE}"/>
    <hyperlink ref="H376" r:id="rId123" xr:uid="{E9655095-9328-409F-AD7B-1BA63472BE44}"/>
    <hyperlink ref="H209" r:id="rId124" xr:uid="{98868FF0-507E-4748-BF03-A72484C0FAE6}"/>
    <hyperlink ref="H237" r:id="rId125" xr:uid="{EEE1FF09-816C-4B80-A2BA-CB442E47D569}"/>
    <hyperlink ref="H400" r:id="rId126" xr:uid="{19A2D1B1-0F95-4666-91F9-E7DA73D1014A}"/>
    <hyperlink ref="H329" r:id="rId127" xr:uid="{7070B22C-8107-41BD-B542-68B321248421}"/>
    <hyperlink ref="H338" r:id="rId128" xr:uid="{81536F64-C9B5-41FC-83DA-750A90FCA6F8}"/>
    <hyperlink ref="H351" r:id="rId129" xr:uid="{451BDE7E-3759-4008-99EC-B5FE88A6985D}"/>
    <hyperlink ref="H288" r:id="rId130" xr:uid="{CCEA3F09-5BF5-4A01-8F65-369375F69E94}"/>
    <hyperlink ref="H308" r:id="rId131" xr:uid="{706E9E22-C80A-4C86-89C2-6C08E14F6E0C}"/>
    <hyperlink ref="H304" r:id="rId132" xr:uid="{03B23A6D-D962-40DE-984C-40EF1D141A26}"/>
    <hyperlink ref="H374" r:id="rId133" xr:uid="{69DC8C79-37E7-435B-BD09-0A1564DFE84A}"/>
    <hyperlink ref="H183" r:id="rId134" xr:uid="{16A63136-C5D7-4EF4-B03E-8E100A763FC5}"/>
    <hyperlink ref="H243" r:id="rId135" xr:uid="{1431A1D6-EC76-4442-8DD7-2D83383EDD87}"/>
    <hyperlink ref="H299" r:id="rId136" xr:uid="{9C9DE225-8C33-4DF8-A443-2B9DA8529697}"/>
    <hyperlink ref="H278" r:id="rId137" xr:uid="{A2D88074-8B9A-49F0-A13C-EB6BA2176421}"/>
    <hyperlink ref="H216" r:id="rId138" xr:uid="{FD7DB63C-6B87-44F5-AC68-D1D3F7FCEF70}"/>
    <hyperlink ref="H325" r:id="rId139" xr:uid="{22D7C20F-EF04-4F94-9525-F9E8120A63E5}"/>
    <hyperlink ref="H251" r:id="rId140" xr:uid="{A6F2EC04-7722-4ADD-8E8D-FD4003D7F705}"/>
    <hyperlink ref="H289" r:id="rId141" xr:uid="{375A3FF8-33EE-40FC-AF0D-ED5C5A059A27}"/>
    <hyperlink ref="H340" r:id="rId142" xr:uid="{2A8CB4FD-B813-47C0-A511-BD1D3E0128FC}"/>
    <hyperlink ref="H320" r:id="rId143" xr:uid="{4575DFF0-BD7D-4406-A4F0-7FA52B21F571}"/>
    <hyperlink ref="H286" r:id="rId144" xr:uid="{25123411-B740-4CF5-A3E8-1EE3C56BB879}"/>
    <hyperlink ref="H336" r:id="rId145" xr:uid="{D4B588BD-297F-4741-BB3C-26198305B1AB}"/>
    <hyperlink ref="H405" r:id="rId146" xr:uid="{9BF32BCC-87B0-461F-9B26-F271D6E56908}"/>
    <hyperlink ref="H279" r:id="rId147" xr:uid="{805F0401-21C8-424D-AA09-2D98FA476059}"/>
    <hyperlink ref="H313" r:id="rId148" xr:uid="{915CE4F7-819C-4FF2-9992-22197B864E2A}"/>
    <hyperlink ref="H356" r:id="rId149" xr:uid="{E99698BB-F87B-4834-BC30-EB6A09FF29B2}"/>
    <hyperlink ref="H348" r:id="rId150" xr:uid="{A83A98CA-2199-486E-BAA5-90482A750583}"/>
    <hyperlink ref="H277" r:id="rId151" xr:uid="{A2CA2FFD-8D2A-440A-BF72-0247DBC03F7D}"/>
    <hyperlink ref="H250" r:id="rId152" xr:uid="{2BD7F312-9DBE-4B57-AFBA-6D92B0DC991D}"/>
    <hyperlink ref="H372" r:id="rId153" xr:uid="{B9E10725-DF52-48FB-9B25-405D9111421C}"/>
    <hyperlink ref="H398" r:id="rId154" xr:uid="{BB744764-9ADF-4F1B-9E0B-47A730B1A2A9}"/>
    <hyperlink ref="H198" r:id="rId155" xr:uid="{D7DA956C-287F-4A52-A751-7763BF8A8D48}"/>
    <hyperlink ref="H191" r:id="rId156" xr:uid="{CACF32D6-4435-4B46-8A00-8D0BFB197D2C}"/>
    <hyperlink ref="H214" r:id="rId157" xr:uid="{0DC7D9B5-E499-4A72-B441-10A219AD943E}"/>
    <hyperlink ref="H219" r:id="rId158" xr:uid="{292A25C6-CA7B-4135-BBC0-CCD6646B74C0}"/>
    <hyperlink ref="H349" r:id="rId159" xr:uid="{CE8B20A4-797A-4FEA-9238-5AAB7DE768A4}"/>
    <hyperlink ref="H197" r:id="rId160" xr:uid="{DCFFDEFD-5F06-4950-8F71-93B2A7830FB8}"/>
    <hyperlink ref="H301" r:id="rId161" xr:uid="{29A97CF4-9690-4E77-9043-F5DEE4B16A42}"/>
    <hyperlink ref="H203" r:id="rId162" xr:uid="{66AB9095-7D16-4292-B7B0-3F730E250A8F}"/>
    <hyperlink ref="H305" r:id="rId163" xr:uid="{D3CC340C-5CA6-4632-A4B6-5DDC7EB5E27B}"/>
    <hyperlink ref="H188" r:id="rId164" xr:uid="{0F3CD023-6522-4FAD-B176-ACB7A02763E9}"/>
    <hyperlink ref="H318" r:id="rId165" xr:uid="{0B3B84EF-7B7A-44D9-A631-97FC877F1A25}"/>
    <hyperlink ref="H383" r:id="rId166" xr:uid="{B52A3B19-8B31-42F5-8275-DFC41442E4C7}"/>
    <hyperlink ref="H410" r:id="rId167" xr:uid="{F5540397-4B50-42F7-A3D3-2B8176312BE7}"/>
    <hyperlink ref="H186" r:id="rId168" xr:uid="{856918FE-5A48-492D-9CD3-455D5C716299}"/>
    <hyperlink ref="H272" r:id="rId169" xr:uid="{FABCD504-F7AC-48FA-8420-D111A0B482BC}"/>
    <hyperlink ref="H347" r:id="rId170" xr:uid="{292F4A3E-54F7-4F90-8517-54E875337EB1}"/>
    <hyperlink ref="H384" r:id="rId171" xr:uid="{AD0A2C85-6D81-42A8-8B0F-AEF1F3AEF468}"/>
    <hyperlink ref="H281" r:id="rId172" xr:uid="{116E5A90-6C77-4245-AE88-30EB73746C98}"/>
    <hyperlink ref="H360" r:id="rId173" xr:uid="{F1247B2A-B8CB-4486-9AA9-BFD99048536B}"/>
    <hyperlink ref="H256" r:id="rId174" xr:uid="{176D96BD-7828-404D-A1CA-3CACAAC6226F}"/>
    <hyperlink ref="H334" r:id="rId175" xr:uid="{F204A3B3-1A24-4801-AD0F-02DE76B11749}"/>
    <hyperlink ref="H180" r:id="rId176" xr:uid="{27B925F2-BBFD-4591-8685-C58F03EF86A7}"/>
    <hyperlink ref="H319" r:id="rId177" xr:uid="{3060ADEF-95BB-4F94-9211-93803823D9F3}"/>
    <hyperlink ref="H371" r:id="rId178" xr:uid="{0A3D0B98-8AD0-4F45-B3C8-A2DD13627923}"/>
    <hyperlink ref="H249" r:id="rId179" xr:uid="{546568B4-C630-4882-8B85-28820AB56DD3}"/>
    <hyperlink ref="H358" r:id="rId180" xr:uid="{76D92A42-96D2-4CBD-B47C-EF20D7DE4176}"/>
    <hyperlink ref="H375" r:id="rId181" xr:uid="{1602D2E2-0F86-450B-A85C-9954314440E8}"/>
    <hyperlink ref="H271" r:id="rId182" xr:uid="{B8327C76-5A1B-43CF-9A24-7CFE0EEE9412}"/>
    <hyperlink ref="H260" r:id="rId183" xr:uid="{BB01B989-06F9-472F-B208-B4288292EDB8}"/>
    <hyperlink ref="H345" r:id="rId184" xr:uid="{160B88B2-5140-43FC-BF9F-9FB08A953B46}"/>
    <hyperlink ref="H306" r:id="rId185" xr:uid="{F1B089F4-E4F7-40B7-8F1B-CDAF0FAE88CB}"/>
    <hyperlink ref="H247" r:id="rId186" xr:uid="{910A94DB-2BD1-41FD-9223-C598D2FBD585}"/>
    <hyperlink ref="H353" r:id="rId187" xr:uid="{7AFB00A0-65BF-40C6-92AD-95AB4C07714D}"/>
    <hyperlink ref="H290" r:id="rId188" xr:uid="{17A3C14B-37EC-48A2-8ECA-0DBD810456EE}"/>
    <hyperlink ref="H199" r:id="rId189" xr:uid="{E29B8F23-D19B-4E1C-8B2D-A6ACB0DA2029}"/>
    <hyperlink ref="H407" r:id="rId190" xr:uid="{AD6FC713-591E-4668-9E9E-6436D5A22698}"/>
    <hyperlink ref="H204" r:id="rId191" xr:uid="{BE292BA2-617C-4EB0-815B-54AE63C9F661}"/>
    <hyperlink ref="H397" r:id="rId192" xr:uid="{8CF2294D-A64C-4025-9717-ADA8841ABC6D}"/>
    <hyperlink ref="H192" r:id="rId193" xr:uid="{A4706A61-556C-4413-B262-E6CDF208888C}"/>
    <hyperlink ref="H234" r:id="rId194" xr:uid="{E3CDC16E-0EF9-40F9-A835-43261AF5F54E}"/>
    <hyperlink ref="H253" r:id="rId195" xr:uid="{7FC51705-1367-47D8-ACD7-DF9ABCE8A7F6}"/>
    <hyperlink ref="H241" r:id="rId196" xr:uid="{5E20855A-C016-40E6-BF2B-E3BDD46F262B}"/>
    <hyperlink ref="H321" r:id="rId197" xr:uid="{1DA97F9F-90C8-49AE-A82B-FAE65BD17618}"/>
    <hyperlink ref="H268" r:id="rId198" xr:uid="{E99EDBBE-CFCC-43DF-9709-BFB8041AF871}"/>
    <hyperlink ref="H314" r:id="rId199" xr:uid="{B4FC39D3-4151-4DDB-AA93-9E80D796D5D4}"/>
    <hyperlink ref="H346" r:id="rId200" xr:uid="{D7DC048F-0383-4035-A657-70FA62D33555}"/>
    <hyperlink ref="H366" r:id="rId201" xr:uid="{DA424CD5-851E-4E35-AE42-38EAE16AA81C}"/>
    <hyperlink ref="H377" r:id="rId202" xr:uid="{31DF10D2-6BEC-45F5-9083-75BD602887F5}"/>
    <hyperlink ref="H266" r:id="rId203" xr:uid="{6DD89A14-65EE-4EC6-8373-C2959195C270}"/>
    <hyperlink ref="J123" r:id="rId204" xr:uid="{61992824-0195-4F1F-A5FF-AC395B27F235}"/>
    <hyperlink ref="J125" r:id="rId205" xr:uid="{FB72F586-B86B-4D84-B7B0-689B07CA3BEA}"/>
    <hyperlink ref="H28" r:id="rId206" xr:uid="{4DD6582A-2F5E-4198-BD1E-CD57B741A5AE}"/>
    <hyperlink ref="H393" r:id="rId207" xr:uid="{FFBBFE75-C596-4877-A5BF-BB126A77F914}"/>
    <hyperlink ref="H391" r:id="rId208" xr:uid="{E1570AD4-31A7-48BD-826F-CE95AEAF1F83}"/>
    <hyperlink ref="H113" r:id="rId209" xr:uid="{602450AA-8426-4BC7-B97E-90ADCD0DF4F7}"/>
    <hyperlink ref="H388" r:id="rId210" xr:uid="{73273510-4755-4407-A2C8-1E5ECFAD6B99}"/>
    <hyperlink ref="H17" r:id="rId211" xr:uid="{19D354B9-C5DC-4CFF-9E6B-5D47DAD94083}"/>
    <hyperlink ref="H404" r:id="rId212" xr:uid="{8842F533-F940-4770-A041-71131AC88734}"/>
    <hyperlink ref="H396" r:id="rId213" xr:uid="{18160210-9E24-41E6-9628-E7F9B8AA1ACE}"/>
    <hyperlink ref="H408" r:id="rId214" xr:uid="{EAC14C3C-8A8E-4132-9318-A8368E3A8DF7}"/>
    <hyperlink ref="H8" r:id="rId215" xr:uid="{9BF034C6-6DAA-4D49-B1DA-A2D64321554F}"/>
    <hyperlink ref="H2" r:id="rId216" xr:uid="{3B6E468D-BC5B-4871-B4D6-A21EDCCDBDA0}"/>
    <hyperlink ref="H112" r:id="rId217" xr:uid="{63BEBE77-18F1-4664-AA6E-775109DABCA7}"/>
    <hyperlink ref="H386" r:id="rId218" xr:uid="{BF4038B0-2B93-4A2A-8BD8-1C73F937FD78}"/>
    <hyperlink ref="H114" r:id="rId219" xr:uid="{B777056E-D121-4E54-8B3C-A02297FE6BA3}"/>
    <hyperlink ref="H115" r:id="rId220" xr:uid="{DA04CDD9-2A53-471B-BD13-7F65CD204A66}"/>
    <hyperlink ref="H16" r:id="rId221" xr:uid="{DA69406D-2EEB-48A9-8CAA-686A6BA90C0D}"/>
    <hyperlink ref="H103" r:id="rId222" xr:uid="{00529A1E-77B6-4760-8C40-F6E25D8C49FE}"/>
    <hyperlink ref="H13" r:id="rId223" display="mailto:mnL27@cornell.edu" xr:uid="{4F4F2EEE-2FB9-4350-B8D6-5D7891EB75FC}"/>
    <hyperlink ref="H19" r:id="rId224" xr:uid="{18BAFD9C-51F2-4D82-B5DF-12A6EC6D5F3E}"/>
    <hyperlink ref="H22" r:id="rId225" xr:uid="{3F9A52C8-6FA2-4417-B09D-CD0021EB8103}"/>
    <hyperlink ref="H21" r:id="rId226" xr:uid="{3122377C-CF7F-49C4-BDBD-145EE106F4B5}"/>
    <hyperlink ref="J19" r:id="rId227" xr:uid="{AF9CCA1F-D617-44F3-9774-512B7894FA32}"/>
    <hyperlink ref="L19" r:id="rId228" xr:uid="{5C0EB527-4EAC-4428-A466-A6C250AF0C9D}"/>
    <hyperlink ref="J20" r:id="rId229" xr:uid="{F58EE1E8-1CFA-4DB7-B115-EA9AE05E4626}"/>
    <hyperlink ref="H18" r:id="rId230" xr:uid="{DE1FB8D9-9ADC-4DCD-95D1-3D6BDD921685}"/>
    <hyperlink ref="H11" r:id="rId231" xr:uid="{9C19C545-3CDE-46B7-8278-A27118251D90}"/>
    <hyperlink ref="H6" r:id="rId232" xr:uid="{CE1DF621-69B6-402A-9DFF-7F9F51C2981A}"/>
    <hyperlink ref="J9" r:id="rId233" xr:uid="{D3375C48-826B-41D0-B206-EBA873D10A44}"/>
    <hyperlink ref="H15" r:id="rId234" xr:uid="{D99278DC-00BB-41A7-9200-22B7997BBE2C}"/>
    <hyperlink ref="H3" r:id="rId235" xr:uid="{B3DC8082-8336-42AF-8C4A-858526796320}"/>
    <hyperlink ref="H4" r:id="rId236" xr:uid="{4A9305E3-55E9-40C4-878F-D07F0A392D40}"/>
    <hyperlink ref="H5" r:id="rId237" xr:uid="{ED2D8ED0-3FFB-4C10-951F-F81C77CEEF29}"/>
  </hyperlinks>
  <pageMargins left="0.7" right="0.7" top="0.75" bottom="0.75" header="0.3" footer="0.3"/>
  <pageSetup orientation="portrait" horizontalDpi="1200" verticalDpi="1200" r:id="rId238"/>
  <tableParts count="1">
    <tablePart r:id="rId23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01CAF-D4DE-46E8-8BA0-0C92A616855A}">
  <sheetPr codeName="Sheet7"/>
  <dimension ref="A1:X229"/>
  <sheetViews>
    <sheetView showGridLines="0" tabSelected="1" zoomScaleNormal="100" workbookViewId="0">
      <selection activeCell="J7" sqref="J7"/>
    </sheetView>
  </sheetViews>
  <sheetFormatPr defaultRowHeight="14.45"/>
  <cols>
    <col min="1" max="1" width="2.42578125" customWidth="1"/>
    <col min="2" max="2" width="13.42578125" customWidth="1"/>
    <col min="3" max="3" width="22" customWidth="1"/>
    <col min="4" max="4" width="10.42578125" customWidth="1"/>
    <col min="5" max="5" width="84.140625" customWidth="1"/>
    <col min="6" max="6" width="19.28515625" customWidth="1"/>
    <col min="7" max="7" width="13.28515625" customWidth="1"/>
    <col min="8" max="8" width="15.140625" customWidth="1"/>
    <col min="9" max="9" width="18.28515625" customWidth="1"/>
    <col min="10" max="16" width="17.28515625" customWidth="1"/>
  </cols>
  <sheetData>
    <row r="1" spans="1:24">
      <c r="A1" s="26"/>
      <c r="C1" s="138" t="s">
        <v>0</v>
      </c>
      <c r="D1" s="138"/>
      <c r="F1" s="1" t="s">
        <v>1</v>
      </c>
      <c r="P1" t="s">
        <v>2074</v>
      </c>
    </row>
    <row r="2" spans="1:24">
      <c r="C2" s="52"/>
      <c r="D2" s="52"/>
      <c r="F2" s="2" t="s">
        <v>2</v>
      </c>
      <c r="P2" s="5" t="s">
        <v>2075</v>
      </c>
    </row>
    <row r="3" spans="1:24">
      <c r="B3" s="2" t="s">
        <v>4</v>
      </c>
      <c r="C3" s="132">
        <v>2022</v>
      </c>
      <c r="D3" s="52" t="s">
        <v>2076</v>
      </c>
      <c r="E3" s="53"/>
      <c r="F3" s="24">
        <f ca="1">NOW()</f>
        <v>44749.467283101854</v>
      </c>
      <c r="H3" s="23"/>
    </row>
    <row r="4" spans="1:24">
      <c r="C4" s="51"/>
    </row>
    <row r="5" spans="1:24">
      <c r="B5" s="2" t="s">
        <v>2077</v>
      </c>
      <c r="C5" s="54">
        <f ca="1">NOW()</f>
        <v>44749.467283101854</v>
      </c>
      <c r="E5" s="2"/>
    </row>
    <row r="6" spans="1:24">
      <c r="B6" s="2" t="s">
        <v>2078</v>
      </c>
      <c r="C6" s="132" t="s">
        <v>2079</v>
      </c>
      <c r="D6" s="52" t="s">
        <v>2080</v>
      </c>
      <c r="E6" s="2"/>
    </row>
    <row r="7" spans="1:24">
      <c r="B7" s="2" t="s">
        <v>2081</v>
      </c>
      <c r="C7" s="28">
        <f>IF(C11="Select Assignee and Season", 0, ROWS(_xlfn.ANCHORARRAY(C11)))</f>
        <v>4</v>
      </c>
      <c r="E7" s="81"/>
    </row>
    <row r="8" spans="1:24" ht="60" customHeight="1">
      <c r="B8" s="2"/>
      <c r="F8" s="137" t="s">
        <v>2082</v>
      </c>
      <c r="H8" s="139" t="s">
        <v>2083</v>
      </c>
      <c r="I8" s="139"/>
    </row>
    <row r="9" spans="1:24" s="3" customFormat="1" ht="30" customHeight="1">
      <c r="C9" s="95" t="s">
        <v>2084</v>
      </c>
      <c r="D9" s="94"/>
      <c r="E9" s="94"/>
      <c r="F9" s="94"/>
      <c r="G9" s="94"/>
      <c r="H9" s="94"/>
      <c r="I9" s="94"/>
      <c r="J9"/>
      <c r="P9"/>
    </row>
    <row r="10" spans="1:24" s="3" customFormat="1" ht="30" customHeight="1">
      <c r="C10" s="9" t="s">
        <v>22</v>
      </c>
      <c r="D10" s="9" t="s">
        <v>2078</v>
      </c>
      <c r="E10" s="9" t="s">
        <v>2085</v>
      </c>
      <c r="F10" s="9" t="s">
        <v>2086</v>
      </c>
      <c r="G10" s="9" t="s">
        <v>44</v>
      </c>
      <c r="H10" s="9" t="s">
        <v>2087</v>
      </c>
      <c r="I10" s="9" t="s">
        <v>2088</v>
      </c>
      <c r="K10" s="9"/>
      <c r="L10" s="9"/>
      <c r="M10" s="9"/>
      <c r="N10" s="9"/>
      <c r="O10" s="9"/>
      <c r="P10" s="9"/>
      <c r="Q10" s="9"/>
      <c r="R10" s="9"/>
      <c r="S10" s="9"/>
      <c r="T10" s="9"/>
      <c r="U10" s="9"/>
      <c r="V10" s="9"/>
      <c r="W10" s="9"/>
      <c r="X10" s="9"/>
    </row>
    <row r="11" spans="1:24" s="3" customFormat="1" ht="72">
      <c r="C11" s="82" t="str" cm="1">
        <f t="array" ref="C11:I14">_xlfn._xlws.FILTER(INDEX(Contact[#Data],_xlfn.SEQUENCE(ROWS(Contact[#Data])),{5,23,16,17,18,8,6}),(Contact[Season]=$C$3)*(Contact[Latest]=TRUE)*(Contact[Asssigned]=$C$6)*(Contact[Active Flag]=1),"Select Assignee and Season")</f>
        <v>Aman Mohan</v>
      </c>
      <c r="D11" s="13" t="str">
        <v>Miguel Sanchez</v>
      </c>
      <c r="E11" s="65" t="str">
        <v>Would fit in the team very well. Skillset fit in 2 areas - procurement practice with expertise in chemicals, consulting and solution development skillset ; Willing to be hands on; objective to manage a large team and P&amp;L type role in future; he would like to explore whether Dir Level makes sense for him in relation to his current position/trajectory and compensation
Invite for interview and see if expectations can be worked out.</v>
      </c>
      <c r="F11" s="3" t="str">
        <v>Invite for Interview</v>
      </c>
      <c r="G11" s="3" t="str">
        <v>In process</v>
      </c>
      <c r="H11" s="13">
        <v>44255</v>
      </c>
      <c r="I11" s="13" t="str">
        <v>Richeek Maitra</v>
      </c>
    </row>
    <row r="12" spans="1:24" s="3" customFormat="1" ht="57.6">
      <c r="C12" s="82" t="str">
        <v>Miguel Solera</v>
      </c>
      <c r="D12" s="13" t="str">
        <v>Miguel Sanchez</v>
      </c>
      <c r="E12" s="65" t="str">
        <v>Seemed very focused and driven. A bit intense from an American perspective but can see him evolving his style. 
Recommend moving ahead with interviewing if we can make it work from location and role availability</v>
      </c>
      <c r="F12" s="3" t="str">
        <v>Invite for Interview</v>
      </c>
      <c r="G12" s="3" t="str">
        <v>In process</v>
      </c>
      <c r="H12" s="13">
        <v>44624</v>
      </c>
      <c r="I12" s="13" t="str">
        <v>Richeek Maitra</v>
      </c>
    </row>
    <row r="13" spans="1:24" s="3" customFormat="1" ht="172.9">
      <c r="C13" s="82" t="str">
        <v>Peter John Lasky</v>
      </c>
      <c r="D13" s="13" t="str">
        <v>Miguel Sanchez</v>
      </c>
      <c r="E13" s="65" t="str">
        <v xml:space="preserve">Has been in corporate strategy and business develop all through. Mainly M&amp;A, Divestiture and traditional Growth Strategy in Telecom. Moved around with his manager from Lucent to Vodafone to Ooredoo. At Ooredoo he worked in contract mode doing consultative sales for Huawei equipment. Moved back to US in 2020 durng Covid without a plan - looking broadly for opportunities of interest. Walmart interesting because of scale and learning opportunity. Openly admitted that he is considering Dir level in WM due to his lack of expereince in the industry - in telecom he would be looking for VP level
Older guy with a Phd in Physics, was humble and realistic (for an American) - industry expereince is not relevant - however could bring a different perspective in a different role within GS  - he could be a great resource like Chris McSpaden or at the other end a Sunil Pandey. Would be good for Miguel to speak and see if he coud be directed to the right direction
</v>
      </c>
      <c r="F13" s="3" t="str">
        <v>Additional phone screen</v>
      </c>
      <c r="G13" s="3" t="str">
        <v>In process</v>
      </c>
      <c r="H13" s="13">
        <v>44624</v>
      </c>
      <c r="I13" s="13" t="str">
        <v>Richeek Maitra</v>
      </c>
    </row>
    <row r="14" spans="1:24" s="3" customFormat="1" ht="172.9">
      <c r="C14" s="82" t="str">
        <v>Sumitaka Koga</v>
      </c>
      <c r="D14" s="13" t="str">
        <v>Miguel Sanchez</v>
      </c>
      <c r="E14" s="65" t="str">
        <v>Besides an overall understanding of the psat roles, checked via two mini-cases: 1. COO diversification at Dell, 2. setting category strategy for a 'difficult' GS VP. 
Strengths: 1. Reasonably good at structuring, picked up the right pillars / components in above mini-cases; 2. Good at common sense approach to relationship building with clients - "listening", "build on VP's measures", etc; 3. Great attitude, keen to take up new industry challenges; 
Unproven / gaps: 1. Agree with prev. feedback about past focus on projects vs. strategy. Not able to clearly highlight impact via core strategy vs. program initiatives in past roles; 2. Dell Data Gov. experience in working with multiple leaders as stakeholders on individual projects - however not owned the relationship with a leader consistently.  3. Might require support to 'own' a GS leader fully.
Summary: Entreprising candidate, great pedigree &amp; experience, EM toolkit not fully developed but we could help bridge gaps in a year to help him scale up.</v>
      </c>
      <c r="F14" s="3" t="str">
        <v>Invite for Interview</v>
      </c>
      <c r="G14" s="3" t="str">
        <v>In process</v>
      </c>
      <c r="H14" s="13">
        <v>44694</v>
      </c>
      <c r="I14" s="13" t="str">
        <v>Pranav Potbhare</v>
      </c>
    </row>
    <row r="15" spans="1:24" s="3" customFormat="1">
      <c r="C15" s="82"/>
      <c r="D15" s="13"/>
      <c r="E15" s="65"/>
      <c r="H15" s="13"/>
      <c r="I15" s="13"/>
    </row>
    <row r="16" spans="1:24">
      <c r="C16" s="82"/>
      <c r="D16" s="13"/>
      <c r="E16" s="65"/>
      <c r="F16" s="3"/>
      <c r="G16" s="3"/>
      <c r="H16" s="13"/>
      <c r="I16" s="13"/>
      <c r="P16" s="3"/>
      <c r="Q16" s="3"/>
      <c r="R16" s="3"/>
      <c r="S16" s="3"/>
      <c r="T16" s="3"/>
      <c r="U16" s="3"/>
      <c r="V16" s="3"/>
      <c r="W16" s="3"/>
      <c r="X16" s="3"/>
    </row>
    <row r="17" spans="3:9">
      <c r="C17" s="82"/>
      <c r="D17" s="13"/>
      <c r="E17" s="65"/>
      <c r="F17" s="3"/>
      <c r="G17" s="3"/>
      <c r="H17" s="13"/>
      <c r="I17" s="13"/>
    </row>
    <row r="18" spans="3:9">
      <c r="C18" s="82"/>
      <c r="D18" s="13"/>
      <c r="E18" s="65"/>
      <c r="F18" s="3"/>
      <c r="G18" s="3"/>
      <c r="H18" s="13"/>
      <c r="I18" s="13"/>
    </row>
    <row r="19" spans="3:9">
      <c r="C19" s="82"/>
      <c r="D19" s="13"/>
      <c r="E19" s="65"/>
      <c r="F19" s="3"/>
      <c r="G19" s="3"/>
      <c r="H19" s="13"/>
      <c r="I19" s="13"/>
    </row>
    <row r="20" spans="3:9">
      <c r="C20" s="82"/>
      <c r="D20" s="13"/>
      <c r="E20" s="65"/>
      <c r="F20" s="3"/>
      <c r="G20" s="3"/>
      <c r="H20" s="13"/>
      <c r="I20" s="13"/>
    </row>
    <row r="21" spans="3:9">
      <c r="C21" s="82"/>
      <c r="D21" s="13"/>
      <c r="E21" s="65"/>
      <c r="F21" s="3"/>
      <c r="G21" s="3"/>
      <c r="H21" s="13"/>
      <c r="I21" s="13"/>
    </row>
    <row r="22" spans="3:9">
      <c r="C22" s="82"/>
      <c r="D22" s="13"/>
      <c r="E22" s="65"/>
      <c r="F22" s="3"/>
      <c r="G22" s="3"/>
      <c r="H22" s="13"/>
      <c r="I22" s="13"/>
    </row>
    <row r="23" spans="3:9">
      <c r="C23" s="82"/>
      <c r="D23" s="13"/>
      <c r="E23" s="65"/>
      <c r="F23" s="3"/>
      <c r="G23" s="3"/>
      <c r="H23" s="13"/>
      <c r="I23" s="13"/>
    </row>
    <row r="24" spans="3:9">
      <c r="C24" s="82"/>
      <c r="D24" s="13"/>
      <c r="E24" s="65"/>
      <c r="F24" s="3"/>
      <c r="G24" s="3"/>
      <c r="H24" s="13"/>
      <c r="I24" s="13"/>
    </row>
    <row r="25" spans="3:9">
      <c r="C25" s="82"/>
      <c r="D25" s="13"/>
      <c r="E25" s="65"/>
      <c r="F25" s="3"/>
      <c r="G25" s="3"/>
      <c r="H25" s="13"/>
      <c r="I25" s="13"/>
    </row>
    <row r="26" spans="3:9">
      <c r="C26" s="82"/>
      <c r="D26" s="13"/>
      <c r="E26" s="65"/>
      <c r="F26" s="3"/>
      <c r="G26" s="3"/>
      <c r="H26" s="13"/>
      <c r="I26" s="13"/>
    </row>
    <row r="27" spans="3:9">
      <c r="C27" s="82"/>
      <c r="D27" s="13"/>
      <c r="E27" s="65"/>
      <c r="F27" s="3"/>
      <c r="G27" s="3"/>
      <c r="H27" s="13"/>
      <c r="I27" s="13"/>
    </row>
    <row r="28" spans="3:9">
      <c r="C28" s="82"/>
      <c r="D28" s="13"/>
      <c r="E28" s="65"/>
      <c r="F28" s="3"/>
      <c r="G28" s="3"/>
      <c r="H28" s="13"/>
      <c r="I28" s="13"/>
    </row>
    <row r="29" spans="3:9">
      <c r="C29" s="82"/>
      <c r="D29" s="13"/>
      <c r="E29" s="65"/>
      <c r="F29" s="3"/>
      <c r="G29" s="3"/>
      <c r="H29" s="13"/>
      <c r="I29" s="13"/>
    </row>
    <row r="30" spans="3:9">
      <c r="C30" s="82"/>
      <c r="D30" s="13"/>
      <c r="E30" s="65"/>
      <c r="F30" s="3"/>
      <c r="G30" s="3"/>
      <c r="H30" s="13"/>
      <c r="I30" s="13"/>
    </row>
    <row r="31" spans="3:9">
      <c r="C31" s="82"/>
      <c r="D31" s="13"/>
      <c r="E31" s="65"/>
      <c r="F31" s="3"/>
      <c r="G31" s="3"/>
      <c r="H31" s="13"/>
      <c r="I31" s="13"/>
    </row>
    <row r="32" spans="3:9">
      <c r="C32" s="82"/>
      <c r="D32" s="13"/>
      <c r="E32" s="65"/>
      <c r="F32" s="3"/>
      <c r="G32" s="3"/>
      <c r="H32" s="13"/>
      <c r="I32" s="13"/>
    </row>
    <row r="33" spans="3:9">
      <c r="C33" s="82"/>
      <c r="D33" s="13"/>
      <c r="E33" s="65"/>
      <c r="F33" s="3"/>
      <c r="G33" s="3"/>
      <c r="H33" s="13"/>
      <c r="I33" s="13"/>
    </row>
    <row r="34" spans="3:9">
      <c r="C34" s="82"/>
      <c r="D34" s="13"/>
      <c r="E34" s="65"/>
      <c r="F34" s="3"/>
      <c r="G34" s="3"/>
      <c r="H34" s="13"/>
      <c r="I34" s="13"/>
    </row>
    <row r="35" spans="3:9">
      <c r="C35" s="82"/>
      <c r="D35" s="13"/>
      <c r="E35" s="65"/>
      <c r="F35" s="3"/>
      <c r="G35" s="3"/>
      <c r="H35" s="13"/>
      <c r="I35" s="13"/>
    </row>
    <row r="36" spans="3:9">
      <c r="C36" s="82"/>
      <c r="D36" s="13"/>
      <c r="E36" s="65"/>
      <c r="F36" s="3"/>
      <c r="G36" s="3"/>
      <c r="H36" s="13"/>
      <c r="I36" s="13"/>
    </row>
    <row r="37" spans="3:9">
      <c r="C37" s="82"/>
      <c r="D37" s="13"/>
      <c r="E37" s="65"/>
      <c r="F37" s="3"/>
      <c r="G37" s="3"/>
      <c r="H37" s="13"/>
      <c r="I37" s="13"/>
    </row>
    <row r="38" spans="3:9">
      <c r="C38" s="82"/>
      <c r="D38" s="13"/>
      <c r="E38" s="65"/>
      <c r="F38" s="3"/>
      <c r="G38" s="3"/>
      <c r="H38" s="13"/>
      <c r="I38" s="13"/>
    </row>
    <row r="39" spans="3:9">
      <c r="C39" s="82"/>
      <c r="D39" s="13"/>
      <c r="E39" s="65"/>
      <c r="F39" s="3"/>
      <c r="G39" s="3"/>
      <c r="H39" s="13"/>
      <c r="I39" s="13"/>
    </row>
    <row r="40" spans="3:9">
      <c r="C40" s="82"/>
      <c r="D40" s="13"/>
      <c r="E40" s="65"/>
      <c r="F40" s="3"/>
      <c r="G40" s="3"/>
      <c r="H40" s="13"/>
      <c r="I40" s="13"/>
    </row>
    <row r="41" spans="3:9">
      <c r="C41" s="82"/>
      <c r="D41" s="13"/>
      <c r="E41" s="65"/>
      <c r="F41" s="3"/>
      <c r="G41" s="3"/>
      <c r="H41" s="13"/>
      <c r="I41" s="13"/>
    </row>
    <row r="42" spans="3:9">
      <c r="C42" s="82"/>
      <c r="D42" s="13"/>
      <c r="E42" s="65"/>
      <c r="F42" s="3"/>
      <c r="G42" s="3"/>
      <c r="H42" s="13"/>
      <c r="I42" s="13"/>
    </row>
    <row r="43" spans="3:9">
      <c r="C43" s="82"/>
      <c r="D43" s="13"/>
      <c r="E43" s="65"/>
      <c r="F43" s="3"/>
      <c r="G43" s="3"/>
      <c r="H43" s="13"/>
      <c r="I43" s="13"/>
    </row>
    <row r="44" spans="3:9">
      <c r="C44" s="82"/>
      <c r="D44" s="13"/>
      <c r="E44" s="65"/>
      <c r="F44" s="3"/>
      <c r="G44" s="3"/>
      <c r="H44" s="13"/>
      <c r="I44" s="13"/>
    </row>
    <row r="45" spans="3:9">
      <c r="C45" s="82"/>
      <c r="D45" s="13"/>
      <c r="E45" s="65"/>
      <c r="F45" s="3"/>
      <c r="G45" s="3"/>
      <c r="H45" s="13"/>
      <c r="I45" s="13"/>
    </row>
    <row r="46" spans="3:9">
      <c r="C46" s="82"/>
      <c r="D46" s="13"/>
      <c r="E46" s="65"/>
      <c r="F46" s="3"/>
      <c r="G46" s="3"/>
      <c r="H46" s="13"/>
      <c r="I46" s="13"/>
    </row>
    <row r="47" spans="3:9">
      <c r="C47" s="82"/>
      <c r="D47" s="13"/>
      <c r="E47" s="65"/>
      <c r="F47" s="3"/>
      <c r="G47" s="3"/>
      <c r="H47" s="13"/>
      <c r="I47" s="13"/>
    </row>
    <row r="48" spans="3:9">
      <c r="C48" s="82"/>
      <c r="D48" s="13"/>
      <c r="E48" s="65"/>
      <c r="F48" s="3"/>
      <c r="G48" s="3"/>
      <c r="H48" s="13"/>
      <c r="I48" s="13"/>
    </row>
    <row r="49" spans="3:9">
      <c r="C49" s="82"/>
      <c r="D49" s="13"/>
      <c r="E49" s="65"/>
      <c r="F49" s="3"/>
      <c r="G49" s="3"/>
      <c r="H49" s="13"/>
      <c r="I49" s="13"/>
    </row>
    <row r="50" spans="3:9">
      <c r="C50" s="82"/>
      <c r="D50" s="13"/>
      <c r="E50" s="65"/>
      <c r="F50" s="3"/>
      <c r="G50" s="3"/>
      <c r="H50" s="13"/>
      <c r="I50" s="13"/>
    </row>
    <row r="51" spans="3:9">
      <c r="C51" s="82"/>
      <c r="D51" s="13"/>
      <c r="E51" s="65"/>
      <c r="F51" s="3"/>
      <c r="G51" s="3"/>
      <c r="H51" s="13"/>
      <c r="I51" s="13"/>
    </row>
    <row r="52" spans="3:9">
      <c r="C52" s="82"/>
      <c r="D52" s="13"/>
      <c r="E52" s="65"/>
      <c r="F52" s="3"/>
      <c r="G52" s="3"/>
      <c r="H52" s="13"/>
      <c r="I52" s="13"/>
    </row>
    <row r="53" spans="3:9">
      <c r="C53" s="82"/>
      <c r="D53" s="13"/>
      <c r="E53" s="65"/>
      <c r="F53" s="3"/>
      <c r="G53" s="3"/>
      <c r="H53" s="13"/>
      <c r="I53" s="13"/>
    </row>
    <row r="54" spans="3:9">
      <c r="C54" s="82"/>
      <c r="D54" s="13"/>
      <c r="E54" s="65"/>
      <c r="F54" s="3"/>
      <c r="G54" s="3"/>
      <c r="H54" s="13"/>
      <c r="I54" s="13"/>
    </row>
    <row r="55" spans="3:9">
      <c r="C55" s="82"/>
      <c r="D55" s="13"/>
      <c r="E55" s="65"/>
      <c r="F55" s="3"/>
      <c r="G55" s="3"/>
      <c r="H55" s="13"/>
      <c r="I55" s="13"/>
    </row>
    <row r="56" spans="3:9">
      <c r="C56" s="82"/>
      <c r="D56" s="13"/>
      <c r="E56" s="65"/>
      <c r="F56" s="3"/>
      <c r="G56" s="3"/>
      <c r="H56" s="13"/>
      <c r="I56" s="13"/>
    </row>
    <row r="57" spans="3:9">
      <c r="C57" s="82"/>
      <c r="D57" s="13"/>
      <c r="E57" s="65"/>
      <c r="F57" s="3"/>
      <c r="G57" s="3"/>
      <c r="H57" s="13"/>
      <c r="I57" s="13"/>
    </row>
    <row r="58" spans="3:9">
      <c r="C58" s="82"/>
      <c r="D58" s="13"/>
      <c r="E58" s="65"/>
      <c r="F58" s="3"/>
      <c r="G58" s="3"/>
      <c r="H58" s="13"/>
      <c r="I58" s="13"/>
    </row>
    <row r="59" spans="3:9">
      <c r="C59" s="82"/>
      <c r="D59" s="13"/>
      <c r="E59" s="65"/>
      <c r="F59" s="3"/>
      <c r="G59" s="3"/>
      <c r="H59" s="13"/>
      <c r="I59" s="13"/>
    </row>
    <row r="60" spans="3:9">
      <c r="C60" s="82"/>
      <c r="D60" s="13"/>
      <c r="E60" s="65"/>
      <c r="F60" s="3"/>
      <c r="G60" s="3"/>
      <c r="H60" s="13"/>
      <c r="I60" s="13"/>
    </row>
    <row r="61" spans="3:9">
      <c r="C61" s="82"/>
      <c r="D61" s="13"/>
      <c r="E61" s="65"/>
      <c r="F61" s="3"/>
      <c r="G61" s="3"/>
      <c r="H61" s="13"/>
      <c r="I61" s="13"/>
    </row>
    <row r="62" spans="3:9">
      <c r="C62" s="82"/>
      <c r="D62" s="13"/>
      <c r="E62" s="65"/>
      <c r="F62" s="3"/>
      <c r="G62" s="3"/>
      <c r="H62" s="13"/>
      <c r="I62" s="13"/>
    </row>
    <row r="63" spans="3:9">
      <c r="C63" s="82"/>
      <c r="D63" s="13"/>
      <c r="E63" s="65"/>
      <c r="F63" s="3"/>
      <c r="G63" s="3"/>
      <c r="H63" s="13"/>
      <c r="I63" s="13"/>
    </row>
    <row r="64" spans="3:9">
      <c r="C64" s="82"/>
      <c r="D64" s="13"/>
      <c r="E64" s="65"/>
      <c r="F64" s="3"/>
      <c r="G64" s="3"/>
      <c r="H64" s="13"/>
      <c r="I64" s="13"/>
    </row>
    <row r="65" spans="3:9">
      <c r="C65" s="82"/>
      <c r="D65" s="13"/>
      <c r="E65" s="65"/>
      <c r="F65" s="3"/>
      <c r="G65" s="3"/>
      <c r="H65" s="13"/>
      <c r="I65" s="13"/>
    </row>
    <row r="66" spans="3:9">
      <c r="C66" s="82"/>
      <c r="D66" s="13"/>
      <c r="E66" s="65"/>
      <c r="F66" s="3"/>
      <c r="G66" s="3"/>
      <c r="H66" s="13"/>
      <c r="I66" s="13"/>
    </row>
    <row r="67" spans="3:9">
      <c r="C67" s="82"/>
      <c r="D67" s="13"/>
      <c r="E67" s="65"/>
      <c r="F67" s="3"/>
      <c r="G67" s="3"/>
      <c r="H67" s="13"/>
      <c r="I67" s="13"/>
    </row>
    <row r="68" spans="3:9">
      <c r="C68" s="82"/>
      <c r="D68" s="13"/>
      <c r="E68" s="65"/>
      <c r="F68" s="3"/>
      <c r="G68" s="3"/>
      <c r="H68" s="13"/>
      <c r="I68" s="13"/>
    </row>
    <row r="69" spans="3:9">
      <c r="C69" s="82"/>
      <c r="D69" s="13"/>
      <c r="E69" s="65"/>
      <c r="F69" s="3"/>
      <c r="G69" s="3"/>
      <c r="H69" s="13"/>
      <c r="I69" s="13"/>
    </row>
    <row r="70" spans="3:9">
      <c r="C70" s="82"/>
      <c r="D70" s="13"/>
      <c r="E70" s="65"/>
      <c r="F70" s="3"/>
      <c r="G70" s="3"/>
      <c r="H70" s="13"/>
      <c r="I70" s="13"/>
    </row>
    <row r="71" spans="3:9">
      <c r="C71" s="82"/>
      <c r="D71" s="13"/>
      <c r="E71" s="65"/>
      <c r="F71" s="3"/>
      <c r="G71" s="3"/>
      <c r="H71" s="13"/>
      <c r="I71" s="13"/>
    </row>
    <row r="72" spans="3:9">
      <c r="C72" s="82"/>
      <c r="D72" s="13"/>
      <c r="E72" s="65"/>
      <c r="F72" s="3"/>
      <c r="G72" s="3"/>
      <c r="H72" s="13"/>
      <c r="I72" s="13"/>
    </row>
    <row r="73" spans="3:9">
      <c r="C73" s="82"/>
      <c r="D73" s="13"/>
      <c r="E73" s="65"/>
      <c r="F73" s="3"/>
      <c r="G73" s="3"/>
      <c r="H73" s="13"/>
      <c r="I73" s="13"/>
    </row>
    <row r="74" spans="3:9">
      <c r="C74" s="82"/>
      <c r="D74" s="13"/>
      <c r="E74" s="65"/>
      <c r="F74" s="3"/>
      <c r="G74" s="3"/>
      <c r="H74" s="13"/>
      <c r="I74" s="13"/>
    </row>
    <row r="75" spans="3:9">
      <c r="C75" s="82"/>
      <c r="D75" s="13"/>
      <c r="E75" s="65"/>
      <c r="F75" s="3"/>
      <c r="G75" s="3"/>
      <c r="H75" s="13"/>
      <c r="I75" s="13"/>
    </row>
    <row r="76" spans="3:9">
      <c r="C76" s="82"/>
      <c r="D76" s="13"/>
      <c r="E76" s="65"/>
      <c r="F76" s="3"/>
      <c r="G76" s="3"/>
      <c r="H76" s="13"/>
      <c r="I76" s="13"/>
    </row>
    <row r="77" spans="3:9">
      <c r="C77" s="82"/>
      <c r="D77" s="13"/>
      <c r="E77" s="65"/>
      <c r="F77" s="3"/>
      <c r="G77" s="3"/>
      <c r="H77" s="13"/>
      <c r="I77" s="13"/>
    </row>
    <row r="78" spans="3:9">
      <c r="C78" s="82"/>
      <c r="D78" s="13"/>
      <c r="E78" s="65"/>
      <c r="F78" s="3"/>
      <c r="G78" s="3"/>
      <c r="H78" s="13"/>
      <c r="I78" s="13"/>
    </row>
    <row r="79" spans="3:9">
      <c r="C79" s="82"/>
      <c r="D79" s="13"/>
      <c r="E79" s="65"/>
      <c r="F79" s="3"/>
      <c r="G79" s="3"/>
      <c r="H79" s="13"/>
      <c r="I79" s="13"/>
    </row>
    <row r="80" spans="3:9">
      <c r="C80" s="82"/>
      <c r="D80" s="13"/>
      <c r="E80" s="65"/>
      <c r="F80" s="3"/>
      <c r="G80" s="3"/>
      <c r="H80" s="13"/>
      <c r="I80" s="13"/>
    </row>
    <row r="81" spans="3:9">
      <c r="C81" s="82"/>
      <c r="D81" s="13"/>
      <c r="E81" s="65"/>
      <c r="F81" s="3"/>
      <c r="G81" s="3"/>
      <c r="H81" s="13"/>
      <c r="I81" s="13"/>
    </row>
    <row r="82" spans="3:9">
      <c r="C82" s="82"/>
      <c r="D82" s="13"/>
      <c r="E82" s="65"/>
      <c r="F82" s="3"/>
      <c r="G82" s="3"/>
      <c r="H82" s="13"/>
      <c r="I82" s="13"/>
    </row>
    <row r="83" spans="3:9">
      <c r="C83" s="82"/>
      <c r="D83" s="13"/>
      <c r="E83" s="65"/>
      <c r="F83" s="3"/>
      <c r="G83" s="3"/>
      <c r="H83" s="13"/>
      <c r="I83" s="13"/>
    </row>
    <row r="84" spans="3:9">
      <c r="C84" s="82"/>
      <c r="D84" s="13"/>
      <c r="E84" s="65"/>
      <c r="F84" s="3"/>
      <c r="G84" s="3"/>
      <c r="H84" s="13"/>
      <c r="I84" s="13"/>
    </row>
    <row r="85" spans="3:9">
      <c r="C85" s="82"/>
      <c r="D85" s="13"/>
      <c r="E85" s="65"/>
      <c r="F85" s="3"/>
      <c r="G85" s="3"/>
      <c r="H85" s="13"/>
      <c r="I85" s="13"/>
    </row>
    <row r="86" spans="3:9">
      <c r="C86" s="82"/>
      <c r="D86" s="13"/>
      <c r="E86" s="65"/>
      <c r="F86" s="3"/>
      <c r="G86" s="3"/>
      <c r="H86" s="13"/>
      <c r="I86" s="13"/>
    </row>
    <row r="87" spans="3:9">
      <c r="C87" s="82"/>
      <c r="D87" s="13"/>
      <c r="E87" s="65"/>
      <c r="F87" s="3"/>
      <c r="G87" s="3"/>
      <c r="H87" s="13"/>
      <c r="I87" s="13"/>
    </row>
    <row r="88" spans="3:9">
      <c r="C88" s="82"/>
      <c r="D88" s="13"/>
      <c r="E88" s="65"/>
      <c r="F88" s="3"/>
      <c r="G88" s="3"/>
      <c r="H88" s="13"/>
      <c r="I88" s="13"/>
    </row>
    <row r="89" spans="3:9">
      <c r="I89" s="13"/>
    </row>
    <row r="90" spans="3:9">
      <c r="I90" s="13"/>
    </row>
    <row r="91" spans="3:9">
      <c r="I91" s="13"/>
    </row>
    <row r="92" spans="3:9">
      <c r="I92" s="13"/>
    </row>
    <row r="93" spans="3:9">
      <c r="I93" s="13"/>
    </row>
    <row r="94" spans="3:9">
      <c r="I94" s="13"/>
    </row>
    <row r="95" spans="3:9">
      <c r="I95" s="13"/>
    </row>
    <row r="96" spans="3:9">
      <c r="I96" s="13"/>
    </row>
    <row r="97" spans="9:9">
      <c r="I97" s="13"/>
    </row>
    <row r="98" spans="9:9">
      <c r="I98" s="13"/>
    </row>
    <row r="99" spans="9:9">
      <c r="I99" s="13"/>
    </row>
    <row r="100" spans="9:9">
      <c r="I100" s="13"/>
    </row>
    <row r="101" spans="9:9">
      <c r="I101" s="13"/>
    </row>
    <row r="102" spans="9:9">
      <c r="I102" s="13"/>
    </row>
    <row r="103" spans="9:9">
      <c r="I103" s="13"/>
    </row>
    <row r="104" spans="9:9">
      <c r="I104" s="13"/>
    </row>
    <row r="105" spans="9:9">
      <c r="I105" s="13"/>
    </row>
    <row r="106" spans="9:9">
      <c r="I106" s="13"/>
    </row>
    <row r="107" spans="9:9">
      <c r="I107" s="13"/>
    </row>
    <row r="108" spans="9:9">
      <c r="I108" s="13"/>
    </row>
    <row r="109" spans="9:9">
      <c r="I109" s="13"/>
    </row>
    <row r="110" spans="9:9">
      <c r="I110" s="13"/>
    </row>
    <row r="111" spans="9:9">
      <c r="I111" s="13"/>
    </row>
    <row r="112" spans="9:9">
      <c r="I112" s="13"/>
    </row>
    <row r="113" spans="9:9">
      <c r="I113" s="13"/>
    </row>
    <row r="114" spans="9:9">
      <c r="I114" s="13"/>
    </row>
    <row r="115" spans="9:9">
      <c r="I115" s="13"/>
    </row>
    <row r="116" spans="9:9">
      <c r="I116" s="13"/>
    </row>
    <row r="117" spans="9:9">
      <c r="I117" s="13"/>
    </row>
    <row r="118" spans="9:9">
      <c r="I118" s="13"/>
    </row>
    <row r="119" spans="9:9">
      <c r="I119" s="13"/>
    </row>
    <row r="120" spans="9:9">
      <c r="I120" s="13"/>
    </row>
    <row r="121" spans="9:9">
      <c r="I121" s="13"/>
    </row>
    <row r="122" spans="9:9">
      <c r="I122" s="13"/>
    </row>
    <row r="123" spans="9:9">
      <c r="I123" s="13"/>
    </row>
    <row r="124" spans="9:9">
      <c r="I124" s="13"/>
    </row>
    <row r="125" spans="9:9">
      <c r="I125" s="13"/>
    </row>
    <row r="126" spans="9:9">
      <c r="I126" s="13"/>
    </row>
    <row r="127" spans="9:9">
      <c r="I127" s="13"/>
    </row>
    <row r="128" spans="9:9">
      <c r="I128" s="13"/>
    </row>
    <row r="129" spans="9:9">
      <c r="I129" s="13"/>
    </row>
    <row r="130" spans="9:9">
      <c r="I130" s="13"/>
    </row>
    <row r="131" spans="9:9">
      <c r="I131" s="13"/>
    </row>
    <row r="132" spans="9:9">
      <c r="I132" s="13"/>
    </row>
    <row r="133" spans="9:9">
      <c r="I133" s="13"/>
    </row>
    <row r="134" spans="9:9">
      <c r="I134" s="13"/>
    </row>
    <row r="135" spans="9:9">
      <c r="I135" s="13"/>
    </row>
    <row r="136" spans="9:9">
      <c r="I136" s="13"/>
    </row>
    <row r="137" spans="9:9">
      <c r="I137" s="13"/>
    </row>
    <row r="138" spans="9:9">
      <c r="I138" s="13"/>
    </row>
    <row r="139" spans="9:9">
      <c r="I139" s="13"/>
    </row>
    <row r="140" spans="9:9">
      <c r="I140" s="13"/>
    </row>
    <row r="141" spans="9:9">
      <c r="I141" s="13"/>
    </row>
    <row r="142" spans="9:9">
      <c r="I142" s="13"/>
    </row>
    <row r="143" spans="9:9">
      <c r="I143" s="13"/>
    </row>
    <row r="144" spans="9:9">
      <c r="I144" s="13"/>
    </row>
    <row r="145" spans="9:9">
      <c r="I145" s="13"/>
    </row>
    <row r="146" spans="9:9">
      <c r="I146" s="13"/>
    </row>
    <row r="147" spans="9:9">
      <c r="I147" s="13"/>
    </row>
    <row r="148" spans="9:9">
      <c r="I148" s="13"/>
    </row>
    <row r="149" spans="9:9">
      <c r="I149" s="13"/>
    </row>
    <row r="150" spans="9:9">
      <c r="I150" s="13"/>
    </row>
    <row r="151" spans="9:9">
      <c r="I151" s="13"/>
    </row>
    <row r="152" spans="9:9">
      <c r="I152" s="13"/>
    </row>
    <row r="153" spans="9:9">
      <c r="I153" s="13"/>
    </row>
    <row r="154" spans="9:9">
      <c r="I154" s="13"/>
    </row>
    <row r="155" spans="9:9">
      <c r="I155" s="13"/>
    </row>
    <row r="156" spans="9:9">
      <c r="I156" s="13"/>
    </row>
    <row r="157" spans="9:9">
      <c r="I157" s="13"/>
    </row>
    <row r="158" spans="9:9">
      <c r="I158" s="13"/>
    </row>
    <row r="159" spans="9:9">
      <c r="I159" s="13"/>
    </row>
    <row r="160" spans="9:9">
      <c r="I160" s="13"/>
    </row>
    <row r="161" spans="9:9">
      <c r="I161" s="13"/>
    </row>
    <row r="162" spans="9:9">
      <c r="I162" s="13"/>
    </row>
    <row r="163" spans="9:9">
      <c r="I163" s="13"/>
    </row>
    <row r="164" spans="9:9">
      <c r="I164" s="13"/>
    </row>
    <row r="165" spans="9:9">
      <c r="I165" s="13"/>
    </row>
    <row r="166" spans="9:9">
      <c r="I166" s="13"/>
    </row>
    <row r="167" spans="9:9">
      <c r="I167" s="13"/>
    </row>
    <row r="168" spans="9:9">
      <c r="I168" s="13"/>
    </row>
    <row r="169" spans="9:9">
      <c r="I169" s="13"/>
    </row>
    <row r="170" spans="9:9">
      <c r="I170" s="13"/>
    </row>
    <row r="171" spans="9:9">
      <c r="I171" s="13"/>
    </row>
    <row r="172" spans="9:9">
      <c r="I172" s="13"/>
    </row>
    <row r="173" spans="9:9">
      <c r="I173" s="13"/>
    </row>
    <row r="174" spans="9:9">
      <c r="I174" s="13"/>
    </row>
    <row r="175" spans="9:9">
      <c r="I175" s="13"/>
    </row>
    <row r="176" spans="9:9">
      <c r="I176" s="13"/>
    </row>
    <row r="177" spans="9:9">
      <c r="I177" s="13"/>
    </row>
    <row r="178" spans="9:9">
      <c r="I178" s="13"/>
    </row>
    <row r="179" spans="9:9">
      <c r="I179" s="13"/>
    </row>
    <row r="180" spans="9:9">
      <c r="I180" s="13"/>
    </row>
    <row r="181" spans="9:9">
      <c r="I181" s="13"/>
    </row>
    <row r="182" spans="9:9">
      <c r="I182" s="13"/>
    </row>
    <row r="183" spans="9:9">
      <c r="I183" s="13"/>
    </row>
    <row r="184" spans="9:9">
      <c r="I184" s="13"/>
    </row>
    <row r="185" spans="9:9">
      <c r="I185" s="13"/>
    </row>
    <row r="186" spans="9:9">
      <c r="I186" s="13"/>
    </row>
    <row r="187" spans="9:9">
      <c r="I187" s="13"/>
    </row>
    <row r="188" spans="9:9">
      <c r="I188" s="13"/>
    </row>
    <row r="189" spans="9:9">
      <c r="I189" s="13"/>
    </row>
    <row r="190" spans="9:9">
      <c r="I190" s="13"/>
    </row>
    <row r="191" spans="9:9">
      <c r="I191" s="13"/>
    </row>
    <row r="192" spans="9:9">
      <c r="I192" s="13"/>
    </row>
    <row r="193" spans="9:9">
      <c r="I193" s="13"/>
    </row>
    <row r="194" spans="9:9">
      <c r="I194" s="13"/>
    </row>
    <row r="195" spans="9:9">
      <c r="I195" s="13"/>
    </row>
    <row r="196" spans="9:9">
      <c r="I196" s="13"/>
    </row>
    <row r="197" spans="9:9">
      <c r="I197" s="13"/>
    </row>
    <row r="198" spans="9:9">
      <c r="I198" s="13"/>
    </row>
    <row r="199" spans="9:9">
      <c r="I199" s="13"/>
    </row>
    <row r="200" spans="9:9">
      <c r="I200" s="13"/>
    </row>
    <row r="201" spans="9:9">
      <c r="I201" s="13"/>
    </row>
    <row r="202" spans="9:9">
      <c r="I202" s="13"/>
    </row>
    <row r="203" spans="9:9">
      <c r="I203" s="13"/>
    </row>
    <row r="204" spans="9:9">
      <c r="I204" s="13"/>
    </row>
    <row r="205" spans="9:9">
      <c r="I205" s="13"/>
    </row>
    <row r="206" spans="9:9">
      <c r="I206" s="13"/>
    </row>
    <row r="207" spans="9:9">
      <c r="I207" s="13"/>
    </row>
    <row r="208" spans="9:9">
      <c r="I208" s="13"/>
    </row>
    <row r="209" spans="9:9">
      <c r="I209" s="13"/>
    </row>
    <row r="210" spans="9:9">
      <c r="I210" s="13"/>
    </row>
    <row r="211" spans="9:9">
      <c r="I211" s="13"/>
    </row>
    <row r="212" spans="9:9">
      <c r="I212" s="13"/>
    </row>
    <row r="213" spans="9:9">
      <c r="I213" s="13"/>
    </row>
    <row r="214" spans="9:9">
      <c r="I214" s="13"/>
    </row>
    <row r="215" spans="9:9">
      <c r="I215" s="13"/>
    </row>
    <row r="216" spans="9:9">
      <c r="I216" s="13"/>
    </row>
    <row r="217" spans="9:9">
      <c r="I217" s="13"/>
    </row>
    <row r="218" spans="9:9">
      <c r="I218" s="13"/>
    </row>
    <row r="219" spans="9:9">
      <c r="I219" s="13"/>
    </row>
    <row r="220" spans="9:9">
      <c r="I220" s="13"/>
    </row>
    <row r="221" spans="9:9">
      <c r="I221" s="13"/>
    </row>
    <row r="222" spans="9:9">
      <c r="I222" s="13"/>
    </row>
    <row r="223" spans="9:9">
      <c r="I223" s="13"/>
    </row>
    <row r="224" spans="9:9">
      <c r="I224" s="13"/>
    </row>
    <row r="225" spans="9:9">
      <c r="I225" s="13"/>
    </row>
    <row r="226" spans="9:9">
      <c r="I226" s="13"/>
    </row>
    <row r="227" spans="9:9">
      <c r="I227" s="13"/>
    </row>
    <row r="228" spans="9:9">
      <c r="I228" s="13"/>
    </row>
    <row r="229" spans="9:9">
      <c r="I229" s="13"/>
    </row>
  </sheetData>
  <sheetProtection sheet="1" objects="1" scenarios="1"/>
  <mergeCells count="2">
    <mergeCell ref="C1:D1"/>
    <mergeCell ref="H8:I8"/>
  </mergeCells>
  <conditionalFormatting sqref="P11:X16 C11:H11 J11:O11">
    <cfRule type="notContainsBlanks" dxfId="85" priority="16">
      <formula>LEN(TRIM(C11))&gt;0</formula>
    </cfRule>
  </conditionalFormatting>
  <conditionalFormatting sqref="K10:O10 C10:D10 H10">
    <cfRule type="notContainsBlanks" dxfId="84" priority="14">
      <formula>LEN(TRIM(C10))&gt;0</formula>
    </cfRule>
  </conditionalFormatting>
  <conditionalFormatting sqref="D11 G11:H11">
    <cfRule type="cellIs" dxfId="83" priority="13" operator="equal">
      <formula>0</formula>
    </cfRule>
  </conditionalFormatting>
  <conditionalFormatting sqref="P10:X10">
    <cfRule type="notContainsBlanks" dxfId="82" priority="10">
      <formula>LEN(TRIM(P10))&gt;0</formula>
    </cfRule>
  </conditionalFormatting>
  <conditionalFormatting sqref="E10:G10">
    <cfRule type="notContainsBlanks" dxfId="81" priority="8">
      <formula>LEN(TRIM(E10))&gt;0</formula>
    </cfRule>
  </conditionalFormatting>
  <conditionalFormatting sqref="I10">
    <cfRule type="notContainsBlanks" dxfId="80" priority="7">
      <formula>LEN(TRIM(I10))&gt;0</formula>
    </cfRule>
  </conditionalFormatting>
  <conditionalFormatting sqref="I11 I89:I229">
    <cfRule type="notContainsBlanks" dxfId="79" priority="6">
      <formula>LEN(TRIM(I11))&gt;0</formula>
    </cfRule>
  </conditionalFormatting>
  <conditionalFormatting sqref="I11 I89:I229">
    <cfRule type="cellIs" dxfId="78" priority="5" operator="equal">
      <formula>0</formula>
    </cfRule>
  </conditionalFormatting>
  <conditionalFormatting sqref="C12:H88">
    <cfRule type="notContainsBlanks" dxfId="77" priority="4">
      <formula>LEN(TRIM(C12))&gt;0</formula>
    </cfRule>
  </conditionalFormatting>
  <conditionalFormatting sqref="D12:D88 G12:H88">
    <cfRule type="cellIs" dxfId="76" priority="3" operator="equal">
      <formula>0</formula>
    </cfRule>
  </conditionalFormatting>
  <conditionalFormatting sqref="I12:I88">
    <cfRule type="notContainsBlanks" dxfId="75" priority="2">
      <formula>LEN(TRIM(I12))&gt;0</formula>
    </cfRule>
  </conditionalFormatting>
  <conditionalFormatting sqref="I12:I88">
    <cfRule type="cellIs" dxfId="74" priority="1" operator="equal">
      <formula>0</formula>
    </cfRule>
  </conditionalFormatting>
  <hyperlinks>
    <hyperlink ref="F1" location="Menu!A1" display="Back to Menu" xr:uid="{D3F892EC-81EA-4E5C-B61C-38CA4D361AC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Goto_Update">
                <anchor moveWithCells="1">
                  <from>
                    <xdr:col>5</xdr:col>
                    <xdr:colOff>129540</xdr:colOff>
                    <xdr:row>4</xdr:row>
                    <xdr:rowOff>129540</xdr:rowOff>
                  </from>
                  <to>
                    <xdr:col>5</xdr:col>
                    <xdr:colOff>1043940</xdr:colOff>
                    <xdr:row>6</xdr:row>
                    <xdr:rowOff>38100</xdr:rowOff>
                  </to>
                </anchor>
              </controlPr>
            </control>
          </mc:Choice>
        </mc:AlternateContent>
        <mc:AlternateContent xmlns:mc="http://schemas.openxmlformats.org/markup-compatibility/2006">
          <mc:Choice Requires="x14">
            <control shapeId="3082" r:id="rId5" name="Button 10">
              <controlPr defaultSize="0" print="0" autoFill="0" autoPict="0" macro="[0]!Clear_MyTasks">
                <anchor moveWithCells="1">
                  <from>
                    <xdr:col>4</xdr:col>
                    <xdr:colOff>2796540</xdr:colOff>
                    <xdr:row>4</xdr:row>
                    <xdr:rowOff>129540</xdr:rowOff>
                  </from>
                  <to>
                    <xdr:col>4</xdr:col>
                    <xdr:colOff>3710940</xdr:colOff>
                    <xdr:row>6</xdr:row>
                    <xdr:rowOff>53340</xdr:rowOff>
                  </to>
                </anchor>
              </controlPr>
            </control>
          </mc:Choice>
        </mc:AlternateContent>
        <mc:AlternateContent xmlns:mc="http://schemas.openxmlformats.org/markup-compatibility/2006">
          <mc:Choice Requires="x14">
            <control shapeId="3084" r:id="rId6" name="Button 12">
              <controlPr defaultSize="0" print="0" autoFill="0" autoPict="0" macro="[0]!Clear_MyTasks_All">
                <anchor moveWithCells="1">
                  <from>
                    <xdr:col>4</xdr:col>
                    <xdr:colOff>4320540</xdr:colOff>
                    <xdr:row>4</xdr:row>
                    <xdr:rowOff>144780</xdr:rowOff>
                  </from>
                  <to>
                    <xdr:col>4</xdr:col>
                    <xdr:colOff>5234940</xdr:colOff>
                    <xdr:row>6</xdr:row>
                    <xdr:rowOff>68580</xdr:rowOff>
                  </to>
                </anchor>
              </controlPr>
            </control>
          </mc:Choice>
        </mc:AlternateContent>
        <mc:AlternateContent xmlns:mc="http://schemas.openxmlformats.org/markup-compatibility/2006">
          <mc:Choice Requires="x14">
            <control shapeId="3087" r:id="rId7" name="Button 15">
              <controlPr defaultSize="0" print="0" autoFill="0" autoPict="0" macro="[0]!Goto_Activeview">
                <anchor moveWithCells="1">
                  <from>
                    <xdr:col>7</xdr:col>
                    <xdr:colOff>228600</xdr:colOff>
                    <xdr:row>4</xdr:row>
                    <xdr:rowOff>137160</xdr:rowOff>
                  </from>
                  <to>
                    <xdr:col>8</xdr:col>
                    <xdr:colOff>708660</xdr:colOff>
                    <xdr:row>6</xdr:row>
                    <xdr:rowOff>60960</xdr:rowOff>
                  </to>
                </anchor>
              </controlPr>
            </control>
          </mc:Choice>
        </mc:AlternateContent>
        <mc:AlternateContent xmlns:mc="http://schemas.openxmlformats.org/markup-compatibility/2006">
          <mc:Choice Requires="x14">
            <control shapeId="3090" r:id="rId8" name="Button 18">
              <controlPr defaultSize="0" print="0" autoFill="0" autoPict="0" macro="[0]!Adjust_Row_Height_MyTasks">
                <anchor moveWithCells="1">
                  <from>
                    <xdr:col>8</xdr:col>
                    <xdr:colOff>320040</xdr:colOff>
                    <xdr:row>8</xdr:row>
                    <xdr:rowOff>60960</xdr:rowOff>
                  </from>
                  <to>
                    <xdr:col>8</xdr:col>
                    <xdr:colOff>1173480</xdr:colOff>
                    <xdr:row>8</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45C343D-B434-4918-BF71-9FC386FC68D0}">
          <x14:formula1>
            <xm:f>_xlfn.ANCHORARRAY(Lookups!$O$2)</xm:f>
          </x14:formula1>
          <xm:sqref>C3</xm:sqref>
        </x14:dataValidation>
        <x14:dataValidation type="list" allowBlank="1" showInputMessage="1" showErrorMessage="1" xr:uid="{10FA2278-57DC-4E92-80BC-6519179D92C0}">
          <x14:formula1>
            <xm:f>_xlfn.ANCHORARRAY(Lookups!$P$2)</xm:f>
          </x14:formula1>
          <xm:sqref>C6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15"/>
  <sheetViews>
    <sheetView topLeftCell="A506" zoomScale="114" workbookViewId="0">
      <selection activeCell="A515" sqref="A515"/>
    </sheetView>
  </sheetViews>
  <sheetFormatPr defaultRowHeight="14.45"/>
  <cols>
    <col min="1" max="1" width="11.140625" customWidth="1"/>
    <col min="2" max="3" width="11.7109375" customWidth="1"/>
    <col min="4" max="4" width="16.85546875" customWidth="1"/>
    <col min="5" max="6" width="11.28515625" customWidth="1"/>
    <col min="7" max="7" width="16.28515625" customWidth="1"/>
    <col min="8" max="8" width="24.28515625" style="39" customWidth="1"/>
    <col min="10" max="10" width="15.7109375" bestFit="1" customWidth="1"/>
    <col min="11" max="11" width="16.85546875" customWidth="1"/>
    <col min="12" max="12" width="10.140625" customWidth="1"/>
    <col min="13" max="14" width="17.28515625" customWidth="1"/>
    <col min="15" max="15" width="12.7109375" customWidth="1"/>
    <col min="16" max="16" width="14.7109375" customWidth="1"/>
    <col min="17" max="17" width="17.85546875" customWidth="1"/>
    <col min="19" max="19" width="14.28515625" customWidth="1"/>
    <col min="20" max="20" width="12.7109375" customWidth="1"/>
    <col min="21" max="21" width="33.7109375" style="97" customWidth="1"/>
    <col min="23" max="23" width="16.28515625" customWidth="1"/>
  </cols>
  <sheetData>
    <row r="1" spans="1:32">
      <c r="A1" t="s">
        <v>29</v>
      </c>
      <c r="B1" t="s">
        <v>30</v>
      </c>
      <c r="C1" t="s">
        <v>31</v>
      </c>
      <c r="D1" t="s">
        <v>32</v>
      </c>
      <c r="E1" t="s">
        <v>22</v>
      </c>
      <c r="F1" t="s">
        <v>33</v>
      </c>
      <c r="G1" t="s">
        <v>12</v>
      </c>
      <c r="H1" s="39" t="s">
        <v>34</v>
      </c>
      <c r="I1" t="s">
        <v>35</v>
      </c>
      <c r="J1" t="s">
        <v>36</v>
      </c>
      <c r="K1" t="s">
        <v>37</v>
      </c>
      <c r="L1" t="s">
        <v>38</v>
      </c>
      <c r="M1" t="s">
        <v>39</v>
      </c>
      <c r="N1" t="s">
        <v>40</v>
      </c>
      <c r="O1" t="s">
        <v>41</v>
      </c>
      <c r="P1" t="s">
        <v>42</v>
      </c>
      <c r="Q1" t="s">
        <v>43</v>
      </c>
      <c r="R1" t="s">
        <v>44</v>
      </c>
      <c r="S1" t="s">
        <v>45</v>
      </c>
      <c r="T1" t="s">
        <v>25</v>
      </c>
      <c r="U1" s="97" t="s">
        <v>46</v>
      </c>
      <c r="V1" t="s">
        <v>23</v>
      </c>
      <c r="W1" t="s">
        <v>47</v>
      </c>
      <c r="X1" t="s">
        <v>48</v>
      </c>
      <c r="Y1" s="2" t="s">
        <v>49</v>
      </c>
      <c r="Z1" t="s">
        <v>27</v>
      </c>
      <c r="AA1" t="s">
        <v>2089</v>
      </c>
      <c r="AB1" t="s">
        <v>2090</v>
      </c>
    </row>
    <row r="2" spans="1:32">
      <c r="A2">
        <v>1</v>
      </c>
      <c r="B2" t="s">
        <v>1450</v>
      </c>
      <c r="C2" t="s">
        <v>1451</v>
      </c>
      <c r="E2" t="s">
        <v>2091</v>
      </c>
      <c r="F2" t="s">
        <v>95</v>
      </c>
      <c r="G2" t="s">
        <v>2092</v>
      </c>
      <c r="I2" s="1" t="s">
        <v>1452</v>
      </c>
      <c r="J2" s="66" t="s">
        <v>2093</v>
      </c>
      <c r="L2" t="s">
        <v>2094</v>
      </c>
      <c r="M2" t="s">
        <v>90</v>
      </c>
      <c r="N2" t="s">
        <v>2095</v>
      </c>
      <c r="R2" t="s">
        <v>2093</v>
      </c>
      <c r="S2" t="s">
        <v>2093</v>
      </c>
      <c r="V2">
        <v>2019</v>
      </c>
      <c r="X2" t="b">
        <f>IF(_xlfn.MAXIFS(Contact[Sequence],Contact[Full Name],Contact[[#This Row],[Full Name]],Contact[Season],Contact[[#This Row],[Season]])=Contact[[#This Row],[Sequence]],TRUE,FALSE)</f>
        <v>1</v>
      </c>
      <c r="Y2" t="s">
        <v>190</v>
      </c>
      <c r="Z2">
        <v>0</v>
      </c>
      <c r="AA2">
        <f>IF(Contact[[#This Row],[Latest]]=TRUE,_xlfn.XLOOKUP(Contact[[#This Row],[Final Decision]],Table3[Final Decision],Table3[Active],0),0)</f>
        <v>0</v>
      </c>
      <c r="AB2">
        <f>SUMIF(Contact[Full Name],Contact[[#This Row],[Full Name]],Contact[Active])</f>
        <v>0</v>
      </c>
      <c r="AF2" s="5" t="s">
        <v>2096</v>
      </c>
    </row>
    <row r="3" spans="1:32">
      <c r="A3">
        <v>1</v>
      </c>
      <c r="B3" t="s">
        <v>1137</v>
      </c>
      <c r="C3" t="s">
        <v>1138</v>
      </c>
      <c r="E3" t="s">
        <v>2097</v>
      </c>
      <c r="F3" t="s">
        <v>95</v>
      </c>
      <c r="G3" t="s">
        <v>2092</v>
      </c>
      <c r="I3" s="1" t="s">
        <v>1139</v>
      </c>
      <c r="J3" s="66" t="s">
        <v>2093</v>
      </c>
      <c r="L3" t="s">
        <v>2094</v>
      </c>
      <c r="M3" t="s">
        <v>185</v>
      </c>
      <c r="N3" t="s">
        <v>2095</v>
      </c>
      <c r="R3" t="s">
        <v>2093</v>
      </c>
      <c r="S3" t="s">
        <v>2093</v>
      </c>
      <c r="V3">
        <v>2019</v>
      </c>
      <c r="X3" t="b">
        <f>IF(_xlfn.MAXIFS(Contact[Sequence],Contact[Full Name],Contact[[#This Row],[Full Name]],Contact[Season],Contact[[#This Row],[Season]])=Contact[[#This Row],[Sequence]],TRUE,FALSE)</f>
        <v>1</v>
      </c>
      <c r="Y3" t="s">
        <v>190</v>
      </c>
      <c r="Z3">
        <v>0</v>
      </c>
      <c r="AA3">
        <f>IF(Contact[[#This Row],[Latest]]=TRUE,_xlfn.XLOOKUP(Contact[[#This Row],[Final Decision]],Table3[Final Decision],Table3[Active],0),0)</f>
        <v>0</v>
      </c>
      <c r="AB3">
        <f>SUMIF(Contact[Full Name],Contact[[#This Row],[Full Name]],Contact[Active])</f>
        <v>0</v>
      </c>
    </row>
    <row r="4" spans="1:32">
      <c r="A4">
        <v>1</v>
      </c>
      <c r="B4" t="s">
        <v>275</v>
      </c>
      <c r="C4" t="s">
        <v>459</v>
      </c>
      <c r="E4" t="s">
        <v>2098</v>
      </c>
      <c r="F4" t="s">
        <v>95</v>
      </c>
      <c r="G4" t="s">
        <v>2092</v>
      </c>
      <c r="I4" s="1" t="s">
        <v>1844</v>
      </c>
      <c r="J4" s="66" t="s">
        <v>1845</v>
      </c>
      <c r="L4" t="s">
        <v>2094</v>
      </c>
      <c r="M4" t="s">
        <v>105</v>
      </c>
      <c r="N4" t="s">
        <v>2095</v>
      </c>
      <c r="R4" t="s">
        <v>2093</v>
      </c>
      <c r="S4" t="s">
        <v>2093</v>
      </c>
      <c r="V4">
        <v>2019</v>
      </c>
      <c r="X4" t="b">
        <f>IF(_xlfn.MAXIFS(Contact[Sequence],Contact[Full Name],Contact[[#This Row],[Full Name]],Contact[Season],Contact[[#This Row],[Season]])=Contact[[#This Row],[Sequence]],TRUE,FALSE)</f>
        <v>1</v>
      </c>
      <c r="Y4" t="s">
        <v>190</v>
      </c>
      <c r="Z4">
        <v>0</v>
      </c>
      <c r="AA4">
        <f>IF(Contact[[#This Row],[Latest]]=TRUE,_xlfn.XLOOKUP(Contact[[#This Row],[Final Decision]],Table3[Final Decision],Table3[Active],0),0)</f>
        <v>0</v>
      </c>
      <c r="AB4">
        <f>SUMIF(Contact[Full Name],Contact[[#This Row],[Full Name]],Contact[Active])</f>
        <v>0</v>
      </c>
    </row>
    <row r="5" spans="1:32">
      <c r="A5">
        <v>1</v>
      </c>
      <c r="B5" t="s">
        <v>208</v>
      </c>
      <c r="C5" t="s">
        <v>209</v>
      </c>
      <c r="E5" t="s">
        <v>2099</v>
      </c>
      <c r="F5" t="s">
        <v>102</v>
      </c>
      <c r="G5" t="s">
        <v>2100</v>
      </c>
      <c r="I5" s="1" t="s">
        <v>210</v>
      </c>
      <c r="J5" s="66" t="s">
        <v>211</v>
      </c>
      <c r="L5" t="s">
        <v>2094</v>
      </c>
      <c r="M5" t="s">
        <v>185</v>
      </c>
      <c r="N5" t="s">
        <v>2095</v>
      </c>
      <c r="P5" t="s">
        <v>214</v>
      </c>
      <c r="R5" t="s">
        <v>112</v>
      </c>
      <c r="S5" t="s">
        <v>207</v>
      </c>
      <c r="V5">
        <v>2019</v>
      </c>
      <c r="X5" t="b">
        <f>IF(_xlfn.MAXIFS(Contact[Sequence],Contact[Full Name],Contact[[#This Row],[Full Name]],Contact[Season],Contact[[#This Row],[Season]])=Contact[[#This Row],[Sequence]],TRUE,FALSE)</f>
        <v>1</v>
      </c>
      <c r="Y5" t="s">
        <v>96</v>
      </c>
      <c r="Z5" t="s">
        <v>213</v>
      </c>
      <c r="AA5">
        <f>IF(Contact[[#This Row],[Latest]]=TRUE,_xlfn.XLOOKUP(Contact[[#This Row],[Final Decision]],Table3[Final Decision],Table3[Active],0),0)</f>
        <v>0</v>
      </c>
      <c r="AB5">
        <f>SUMIF(Contact[Full Name],Contact[[#This Row],[Full Name]],Contact[Active])</f>
        <v>0</v>
      </c>
    </row>
    <row r="6" spans="1:32">
      <c r="A6">
        <v>1</v>
      </c>
      <c r="B6" t="s">
        <v>1087</v>
      </c>
      <c r="C6" t="s">
        <v>1088</v>
      </c>
      <c r="E6" t="s">
        <v>2101</v>
      </c>
      <c r="F6" t="s">
        <v>95</v>
      </c>
      <c r="G6" t="s">
        <v>2092</v>
      </c>
      <c r="I6" s="1" t="s">
        <v>1089</v>
      </c>
      <c r="J6" s="66" t="s">
        <v>2093</v>
      </c>
      <c r="L6" t="s">
        <v>2094</v>
      </c>
      <c r="M6" t="s">
        <v>105</v>
      </c>
      <c r="N6" t="s">
        <v>2095</v>
      </c>
      <c r="R6" t="s">
        <v>2093</v>
      </c>
      <c r="S6" t="s">
        <v>2093</v>
      </c>
      <c r="V6">
        <v>2019</v>
      </c>
      <c r="X6" t="b">
        <f>IF(_xlfn.MAXIFS(Contact[Sequence],Contact[Full Name],Contact[[#This Row],[Full Name]],Contact[Season],Contact[[#This Row],[Season]])=Contact[[#This Row],[Sequence]],TRUE,FALSE)</f>
        <v>1</v>
      </c>
      <c r="Y6" t="s">
        <v>190</v>
      </c>
      <c r="Z6">
        <v>0</v>
      </c>
      <c r="AA6">
        <f>IF(Contact[[#This Row],[Latest]]=TRUE,_xlfn.XLOOKUP(Contact[[#This Row],[Final Decision]],Table3[Final Decision],Table3[Active],0),0)</f>
        <v>0</v>
      </c>
      <c r="AB6">
        <f>SUMIF(Contact[Full Name],Contact[[#This Row],[Full Name]],Contact[Active])</f>
        <v>0</v>
      </c>
    </row>
    <row r="7" spans="1:32">
      <c r="A7">
        <v>1</v>
      </c>
      <c r="B7" t="s">
        <v>1046</v>
      </c>
      <c r="C7" t="s">
        <v>1047</v>
      </c>
      <c r="E7" t="s">
        <v>2102</v>
      </c>
      <c r="F7" t="s">
        <v>98</v>
      </c>
      <c r="G7" t="s">
        <v>2092</v>
      </c>
      <c r="I7" s="1" t="s">
        <v>1048</v>
      </c>
      <c r="J7" s="66" t="s">
        <v>2093</v>
      </c>
      <c r="L7" t="s">
        <v>2094</v>
      </c>
      <c r="M7" t="s">
        <v>105</v>
      </c>
      <c r="N7" t="s">
        <v>2095</v>
      </c>
      <c r="R7" t="s">
        <v>2093</v>
      </c>
      <c r="S7" t="s">
        <v>2093</v>
      </c>
      <c r="V7">
        <v>2019</v>
      </c>
      <c r="X7" t="b">
        <f>IF(_xlfn.MAXIFS(Contact[Sequence],Contact[Full Name],Contact[[#This Row],[Full Name]],Contact[Season],Contact[[#This Row],[Season]])=Contact[[#This Row],[Sequence]],TRUE,FALSE)</f>
        <v>1</v>
      </c>
      <c r="Y7" t="s">
        <v>1051</v>
      </c>
      <c r="Z7">
        <v>0</v>
      </c>
      <c r="AA7">
        <f>IF(Contact[[#This Row],[Latest]]=TRUE,_xlfn.XLOOKUP(Contact[[#This Row],[Final Decision]],Table3[Final Decision],Table3[Active],0),0)</f>
        <v>0</v>
      </c>
      <c r="AB7">
        <f>SUMIF(Contact[Full Name],Contact[[#This Row],[Full Name]],Contact[Active])</f>
        <v>0</v>
      </c>
    </row>
    <row r="8" spans="1:32">
      <c r="A8">
        <v>1</v>
      </c>
      <c r="B8" t="s">
        <v>1046</v>
      </c>
      <c r="C8" t="s">
        <v>820</v>
      </c>
      <c r="E8" t="s">
        <v>2103</v>
      </c>
      <c r="F8" t="s">
        <v>95</v>
      </c>
      <c r="G8" t="s">
        <v>2092</v>
      </c>
      <c r="I8" s="1" t="s">
        <v>1052</v>
      </c>
      <c r="J8" s="66" t="s">
        <v>2093</v>
      </c>
      <c r="L8" t="s">
        <v>2094</v>
      </c>
      <c r="M8" t="s">
        <v>105</v>
      </c>
      <c r="N8" t="s">
        <v>2095</v>
      </c>
      <c r="R8" t="s">
        <v>2093</v>
      </c>
      <c r="S8" t="s">
        <v>2093</v>
      </c>
      <c r="V8">
        <v>2019</v>
      </c>
      <c r="X8" t="b">
        <f>IF(_xlfn.MAXIFS(Contact[Sequence],Contact[Full Name],Contact[[#This Row],[Full Name]],Contact[Season],Contact[[#This Row],[Season]])=Contact[[#This Row],[Sequence]],TRUE,FALSE)</f>
        <v>1</v>
      </c>
      <c r="Y8" t="s">
        <v>190</v>
      </c>
      <c r="Z8">
        <v>0</v>
      </c>
      <c r="AA8">
        <f>IF(Contact[[#This Row],[Latest]]=TRUE,_xlfn.XLOOKUP(Contact[[#This Row],[Final Decision]],Table3[Final Decision],Table3[Active],0),0)</f>
        <v>0</v>
      </c>
      <c r="AB8">
        <f>SUMIF(Contact[Full Name],Contact[[#This Row],[Full Name]],Contact[Active])</f>
        <v>0</v>
      </c>
    </row>
    <row r="9" spans="1:32">
      <c r="A9">
        <v>1</v>
      </c>
      <c r="B9" t="s">
        <v>730</v>
      </c>
      <c r="C9" t="s">
        <v>731</v>
      </c>
      <c r="E9" t="s">
        <v>2104</v>
      </c>
      <c r="F9" t="s">
        <v>102</v>
      </c>
      <c r="G9" t="s">
        <v>2100</v>
      </c>
      <c r="I9" s="1" t="s">
        <v>732</v>
      </c>
      <c r="J9" s="66">
        <v>918592070804</v>
      </c>
      <c r="L9" t="s">
        <v>2094</v>
      </c>
      <c r="M9" t="s">
        <v>90</v>
      </c>
      <c r="N9" t="s">
        <v>2095</v>
      </c>
      <c r="P9" t="s">
        <v>736</v>
      </c>
      <c r="R9" t="s">
        <v>207</v>
      </c>
      <c r="S9" t="s">
        <v>306</v>
      </c>
      <c r="V9">
        <v>2019</v>
      </c>
      <c r="X9" t="b">
        <f>IF(_xlfn.MAXIFS(Contact[Sequence],Contact[Full Name],Contact[[#This Row],[Full Name]],Contact[Season],Contact[[#This Row],[Season]])=Contact[[#This Row],[Sequence]],TRUE,FALSE)</f>
        <v>1</v>
      </c>
      <c r="Y9" t="s">
        <v>96</v>
      </c>
      <c r="Z9" t="s">
        <v>735</v>
      </c>
      <c r="AA9">
        <f>IF(Contact[[#This Row],[Latest]]=TRUE,_xlfn.XLOOKUP(Contact[[#This Row],[Final Decision]],Table3[Final Decision],Table3[Active],0),0)</f>
        <v>0</v>
      </c>
      <c r="AB9">
        <f>SUMIF(Contact[Full Name],Contact[[#This Row],[Full Name]],Contact[Active])</f>
        <v>0</v>
      </c>
    </row>
    <row r="10" spans="1:32">
      <c r="A10">
        <v>1</v>
      </c>
      <c r="B10" t="s">
        <v>317</v>
      </c>
      <c r="C10" t="s">
        <v>318</v>
      </c>
      <c r="E10" t="s">
        <v>2105</v>
      </c>
      <c r="F10" t="s">
        <v>95</v>
      </c>
      <c r="G10" t="s">
        <v>2092</v>
      </c>
      <c r="I10" s="1" t="s">
        <v>319</v>
      </c>
      <c r="J10" s="66" t="s">
        <v>2093</v>
      </c>
      <c r="L10" t="s">
        <v>2094</v>
      </c>
      <c r="M10" t="s">
        <v>90</v>
      </c>
      <c r="N10" t="s">
        <v>2095</v>
      </c>
      <c r="R10" t="s">
        <v>2093</v>
      </c>
      <c r="S10" t="s">
        <v>2093</v>
      </c>
      <c r="V10">
        <v>2019</v>
      </c>
      <c r="X10" t="b">
        <f>IF(_xlfn.MAXIFS(Contact[Sequence],Contact[Full Name],Contact[[#This Row],[Full Name]],Contact[Season],Contact[[#This Row],[Season]])=Contact[[#This Row],[Sequence]],TRUE,FALSE)</f>
        <v>1</v>
      </c>
      <c r="Y10" t="s">
        <v>190</v>
      </c>
      <c r="Z10">
        <v>0</v>
      </c>
      <c r="AA10">
        <f>IF(Contact[[#This Row],[Latest]]=TRUE,_xlfn.XLOOKUP(Contact[[#This Row],[Final Decision]],Table3[Final Decision],Table3[Active],0),0)</f>
        <v>0</v>
      </c>
      <c r="AB10">
        <f>SUMIF(Contact[Full Name],Contact[[#This Row],[Full Name]],Contact[Active])</f>
        <v>0</v>
      </c>
    </row>
    <row r="11" spans="1:32">
      <c r="A11">
        <v>1</v>
      </c>
      <c r="B11" t="s">
        <v>321</v>
      </c>
      <c r="C11" t="s">
        <v>322</v>
      </c>
      <c r="E11" t="s">
        <v>2106</v>
      </c>
      <c r="F11" t="s">
        <v>95</v>
      </c>
      <c r="G11" t="s">
        <v>2092</v>
      </c>
      <c r="I11" s="1" t="s">
        <v>323</v>
      </c>
      <c r="J11" s="66" t="s">
        <v>324</v>
      </c>
      <c r="L11" t="s">
        <v>2094</v>
      </c>
      <c r="M11" t="s">
        <v>90</v>
      </c>
      <c r="N11" t="s">
        <v>2095</v>
      </c>
      <c r="R11" t="s">
        <v>2093</v>
      </c>
      <c r="S11" t="s">
        <v>2093</v>
      </c>
      <c r="V11">
        <v>2019</v>
      </c>
      <c r="X11" t="b">
        <f>IF(_xlfn.MAXIFS(Contact[Sequence],Contact[Full Name],Contact[[#This Row],[Full Name]],Contact[Season],Contact[[#This Row],[Season]])=Contact[[#This Row],[Sequence]],TRUE,FALSE)</f>
        <v>1</v>
      </c>
      <c r="Y11" t="s">
        <v>190</v>
      </c>
      <c r="Z11">
        <v>0</v>
      </c>
      <c r="AA11">
        <f>IF(Contact[[#This Row],[Latest]]=TRUE,_xlfn.XLOOKUP(Contact[[#This Row],[Final Decision]],Table3[Final Decision],Table3[Active],0),0)</f>
        <v>0</v>
      </c>
      <c r="AB11">
        <f>SUMIF(Contact[Full Name],Contact[[#This Row],[Full Name]],Contact[Active])</f>
        <v>0</v>
      </c>
    </row>
    <row r="12" spans="1:32">
      <c r="A12">
        <v>1</v>
      </c>
      <c r="B12" t="s">
        <v>326</v>
      </c>
      <c r="C12" t="s">
        <v>327</v>
      </c>
      <c r="E12" t="s">
        <v>2107</v>
      </c>
      <c r="F12" t="s">
        <v>95</v>
      </c>
      <c r="G12" t="s">
        <v>2092</v>
      </c>
      <c r="I12" s="1" t="s">
        <v>328</v>
      </c>
      <c r="J12" s="66" t="s">
        <v>2093</v>
      </c>
      <c r="L12" t="s">
        <v>2094</v>
      </c>
      <c r="M12" t="s">
        <v>90</v>
      </c>
      <c r="N12" t="s">
        <v>2095</v>
      </c>
      <c r="R12" t="s">
        <v>2093</v>
      </c>
      <c r="S12" t="s">
        <v>2093</v>
      </c>
      <c r="V12">
        <v>2019</v>
      </c>
      <c r="X12" t="b">
        <f>IF(_xlfn.MAXIFS(Contact[Sequence],Contact[Full Name],Contact[[#This Row],[Full Name]],Contact[Season],Contact[[#This Row],[Season]])=Contact[[#This Row],[Sequence]],TRUE,FALSE)</f>
        <v>1</v>
      </c>
      <c r="Y12" t="s">
        <v>190</v>
      </c>
      <c r="Z12">
        <v>0</v>
      </c>
      <c r="AA12">
        <f>IF(Contact[[#This Row],[Latest]]=TRUE,_xlfn.XLOOKUP(Contact[[#This Row],[Final Decision]],Table3[Final Decision],Table3[Active],0),0)</f>
        <v>0</v>
      </c>
      <c r="AB12">
        <f>SUMIF(Contact[Full Name],Contact[[#This Row],[Full Name]],Contact[Active])</f>
        <v>0</v>
      </c>
    </row>
    <row r="13" spans="1:32">
      <c r="A13">
        <v>1</v>
      </c>
      <c r="B13" t="s">
        <v>1055</v>
      </c>
      <c r="C13" t="s">
        <v>1056</v>
      </c>
      <c r="E13" t="s">
        <v>2108</v>
      </c>
      <c r="F13" t="s">
        <v>95</v>
      </c>
      <c r="G13" t="s">
        <v>2092</v>
      </c>
      <c r="I13" s="1" t="s">
        <v>1057</v>
      </c>
      <c r="J13" s="66"/>
      <c r="L13" t="s">
        <v>2094</v>
      </c>
      <c r="M13" t="s">
        <v>105</v>
      </c>
      <c r="N13" t="s">
        <v>2095</v>
      </c>
      <c r="R13" t="s">
        <v>2093</v>
      </c>
      <c r="S13" t="s">
        <v>2093</v>
      </c>
      <c r="V13">
        <v>2019</v>
      </c>
      <c r="X13" t="b">
        <f>IF(_xlfn.MAXIFS(Contact[Sequence],Contact[Full Name],Contact[[#This Row],[Full Name]],Contact[Season],Contact[[#This Row],[Season]])=Contact[[#This Row],[Sequence]],TRUE,FALSE)</f>
        <v>1</v>
      </c>
      <c r="Y13" t="s">
        <v>190</v>
      </c>
      <c r="Z13">
        <v>0</v>
      </c>
      <c r="AA13">
        <f>IF(Contact[[#This Row],[Latest]]=TRUE,_xlfn.XLOOKUP(Contact[[#This Row],[Final Decision]],Table3[Final Decision],Table3[Active],0),0)</f>
        <v>0</v>
      </c>
      <c r="AB13">
        <f>SUMIF(Contact[Full Name],Contact[[#This Row],[Full Name]],Contact[Active])</f>
        <v>0</v>
      </c>
    </row>
    <row r="14" spans="1:32">
      <c r="A14">
        <v>1</v>
      </c>
      <c r="B14" t="s">
        <v>1055</v>
      </c>
      <c r="C14" t="s">
        <v>1611</v>
      </c>
      <c r="E14" t="s">
        <v>2109</v>
      </c>
      <c r="F14" t="s">
        <v>95</v>
      </c>
      <c r="G14" t="s">
        <v>2092</v>
      </c>
      <c r="I14" s="1" t="s">
        <v>1612</v>
      </c>
      <c r="J14" s="66"/>
      <c r="L14" t="s">
        <v>2094</v>
      </c>
      <c r="M14" t="s">
        <v>105</v>
      </c>
      <c r="N14" t="s">
        <v>2095</v>
      </c>
      <c r="R14" t="s">
        <v>2093</v>
      </c>
      <c r="S14" t="s">
        <v>2093</v>
      </c>
      <c r="V14">
        <v>2019</v>
      </c>
      <c r="X14" t="b">
        <f>IF(_xlfn.MAXIFS(Contact[Sequence],Contact[Full Name],Contact[[#This Row],[Full Name]],Contact[Season],Contact[[#This Row],[Season]])=Contact[[#This Row],[Sequence]],TRUE,FALSE)</f>
        <v>1</v>
      </c>
      <c r="Y14" t="s">
        <v>190</v>
      </c>
      <c r="Z14">
        <v>0</v>
      </c>
      <c r="AA14">
        <f>IF(Contact[[#This Row],[Latest]]=TRUE,_xlfn.XLOOKUP(Contact[[#This Row],[Final Decision]],Table3[Final Decision],Table3[Active],0),0)</f>
        <v>0</v>
      </c>
      <c r="AB14">
        <f>SUMIF(Contact[Full Name],Contact[[#This Row],[Full Name]],Contact[Active])</f>
        <v>0</v>
      </c>
    </row>
    <row r="15" spans="1:32">
      <c r="A15">
        <v>1</v>
      </c>
      <c r="B15" t="s">
        <v>1153</v>
      </c>
      <c r="C15" t="s">
        <v>1154</v>
      </c>
      <c r="E15" t="s">
        <v>2110</v>
      </c>
      <c r="F15" t="s">
        <v>95</v>
      </c>
      <c r="G15" t="s">
        <v>2092</v>
      </c>
      <c r="I15" s="1" t="s">
        <v>1155</v>
      </c>
      <c r="J15" s="66" t="s">
        <v>1156</v>
      </c>
      <c r="L15" t="s">
        <v>2094</v>
      </c>
      <c r="M15" t="s">
        <v>105</v>
      </c>
      <c r="N15" t="s">
        <v>2095</v>
      </c>
      <c r="R15" t="s">
        <v>2093</v>
      </c>
      <c r="S15" t="s">
        <v>2093</v>
      </c>
      <c r="V15">
        <v>2019</v>
      </c>
      <c r="X15" t="b">
        <f>IF(_xlfn.MAXIFS(Contact[Sequence],Contact[Full Name],Contact[[#This Row],[Full Name]],Contact[Season],Contact[[#This Row],[Season]])=Contact[[#This Row],[Sequence]],TRUE,FALSE)</f>
        <v>1</v>
      </c>
      <c r="Y15" t="s">
        <v>190</v>
      </c>
      <c r="Z15">
        <v>0</v>
      </c>
      <c r="AA15">
        <f>IF(Contact[[#This Row],[Latest]]=TRUE,_xlfn.XLOOKUP(Contact[[#This Row],[Final Decision]],Table3[Final Decision],Table3[Active],0),0)</f>
        <v>0</v>
      </c>
      <c r="AB15">
        <f>SUMIF(Contact[Full Name],Contact[[#This Row],[Full Name]],Contact[Active])</f>
        <v>0</v>
      </c>
    </row>
    <row r="16" spans="1:32">
      <c r="A16">
        <v>1</v>
      </c>
      <c r="B16" t="s">
        <v>1063</v>
      </c>
      <c r="C16" t="s">
        <v>1064</v>
      </c>
      <c r="E16" t="s">
        <v>2111</v>
      </c>
      <c r="F16" t="s">
        <v>95</v>
      </c>
      <c r="G16" t="s">
        <v>2092</v>
      </c>
      <c r="I16" s="1" t="s">
        <v>1065</v>
      </c>
      <c r="J16" s="66" t="s">
        <v>2093</v>
      </c>
      <c r="L16" t="s">
        <v>2094</v>
      </c>
      <c r="M16" t="s">
        <v>185</v>
      </c>
      <c r="N16" t="s">
        <v>2095</v>
      </c>
      <c r="R16" t="s">
        <v>2093</v>
      </c>
      <c r="S16" t="s">
        <v>2093</v>
      </c>
      <c r="V16">
        <v>2019</v>
      </c>
      <c r="X16" t="b">
        <f>IF(_xlfn.MAXIFS(Contact[Sequence],Contact[Full Name],Contact[[#This Row],[Full Name]],Contact[Season],Contact[[#This Row],[Season]])=Contact[[#This Row],[Sequence]],TRUE,FALSE)</f>
        <v>1</v>
      </c>
      <c r="Y16" t="s">
        <v>190</v>
      </c>
      <c r="Z16">
        <v>0</v>
      </c>
      <c r="AA16">
        <f>IF(Contact[[#This Row],[Latest]]=TRUE,_xlfn.XLOOKUP(Contact[[#This Row],[Final Decision]],Table3[Final Decision],Table3[Active],0),0)</f>
        <v>0</v>
      </c>
      <c r="AB16">
        <f>SUMIF(Contact[Full Name],Contact[[#This Row],[Full Name]],Contact[Active])</f>
        <v>0</v>
      </c>
    </row>
    <row r="17" spans="1:28">
      <c r="A17">
        <v>1</v>
      </c>
      <c r="B17" t="s">
        <v>1041</v>
      </c>
      <c r="C17" t="s">
        <v>1042</v>
      </c>
      <c r="E17" t="s">
        <v>2112</v>
      </c>
      <c r="F17" t="s">
        <v>95</v>
      </c>
      <c r="G17" t="s">
        <v>2092</v>
      </c>
      <c r="I17" s="1" t="s">
        <v>1043</v>
      </c>
      <c r="J17" s="66" t="s">
        <v>1044</v>
      </c>
      <c r="L17" t="s">
        <v>2094</v>
      </c>
      <c r="M17" t="s">
        <v>105</v>
      </c>
      <c r="N17" t="s">
        <v>2095</v>
      </c>
      <c r="R17" t="s">
        <v>2093</v>
      </c>
      <c r="S17" t="s">
        <v>2093</v>
      </c>
      <c r="V17">
        <v>2019</v>
      </c>
      <c r="X17" t="b">
        <f>IF(_xlfn.MAXIFS(Contact[Sequence],Contact[Full Name],Contact[[#This Row],[Full Name]],Contact[Season],Contact[[#This Row],[Season]])=Contact[[#This Row],[Sequence]],TRUE,FALSE)</f>
        <v>1</v>
      </c>
      <c r="Y17" t="s">
        <v>190</v>
      </c>
      <c r="Z17">
        <v>0</v>
      </c>
      <c r="AA17">
        <f>IF(Contact[[#This Row],[Latest]]=TRUE,_xlfn.XLOOKUP(Contact[[#This Row],[Final Decision]],Table3[Final Decision],Table3[Active],0),0)</f>
        <v>0</v>
      </c>
      <c r="AB17">
        <f>SUMIF(Contact[Full Name],Contact[[#This Row],[Full Name]],Contact[Active])</f>
        <v>0</v>
      </c>
    </row>
    <row r="18" spans="1:28">
      <c r="A18">
        <v>1</v>
      </c>
      <c r="B18" t="s">
        <v>788</v>
      </c>
      <c r="C18" t="s">
        <v>789</v>
      </c>
      <c r="E18" t="s">
        <v>2113</v>
      </c>
      <c r="F18" t="s">
        <v>95</v>
      </c>
      <c r="G18" t="s">
        <v>2092</v>
      </c>
      <c r="I18" s="1" t="s">
        <v>790</v>
      </c>
      <c r="J18" s="66" t="s">
        <v>791</v>
      </c>
      <c r="L18" t="s">
        <v>2094</v>
      </c>
      <c r="M18" t="s">
        <v>105</v>
      </c>
      <c r="N18" t="s">
        <v>2095</v>
      </c>
      <c r="P18" t="s">
        <v>787</v>
      </c>
      <c r="R18" t="s">
        <v>112</v>
      </c>
      <c r="S18" t="s">
        <v>2093</v>
      </c>
      <c r="V18">
        <v>2019</v>
      </c>
      <c r="X18" t="b">
        <f>IF(_xlfn.MAXIFS(Contact[Sequence],Contact[Full Name],Contact[[#This Row],[Full Name]],Contact[Season],Contact[[#This Row],[Season]])=Contact[[#This Row],[Sequence]],TRUE,FALSE)</f>
        <v>1</v>
      </c>
      <c r="Y18" t="s">
        <v>96</v>
      </c>
      <c r="Z18" t="s">
        <v>787</v>
      </c>
      <c r="AA18">
        <f>IF(Contact[[#This Row],[Latest]]=TRUE,_xlfn.XLOOKUP(Contact[[#This Row],[Final Decision]],Table3[Final Decision],Table3[Active],0),0)</f>
        <v>0</v>
      </c>
      <c r="AB18">
        <f>SUMIF(Contact[Full Name],Contact[[#This Row],[Full Name]],Contact[Active])</f>
        <v>0</v>
      </c>
    </row>
    <row r="19" spans="1:28">
      <c r="A19">
        <v>1</v>
      </c>
      <c r="B19" t="s">
        <v>144</v>
      </c>
      <c r="C19" t="s">
        <v>145</v>
      </c>
      <c r="E19" t="s">
        <v>2114</v>
      </c>
      <c r="F19" t="s">
        <v>102</v>
      </c>
      <c r="G19" t="s">
        <v>2100</v>
      </c>
      <c r="I19" s="1" t="s">
        <v>146</v>
      </c>
      <c r="J19" s="66" t="s">
        <v>2093</v>
      </c>
      <c r="L19" t="s">
        <v>2094</v>
      </c>
      <c r="M19" t="s">
        <v>90</v>
      </c>
      <c r="N19" t="s">
        <v>2095</v>
      </c>
      <c r="P19" t="s">
        <v>151</v>
      </c>
      <c r="R19" t="s">
        <v>112</v>
      </c>
      <c r="S19" t="s">
        <v>2093</v>
      </c>
      <c r="V19">
        <v>2019</v>
      </c>
      <c r="X19" t="b">
        <f>IF(_xlfn.MAXIFS(Contact[Sequence],Contact[Full Name],Contact[[#This Row],[Full Name]],Contact[Season],Contact[[#This Row],[Season]])=Contact[[#This Row],[Sequence]],TRUE,FALSE)</f>
        <v>1</v>
      </c>
      <c r="Y19" t="s">
        <v>97</v>
      </c>
      <c r="Z19" t="s">
        <v>149</v>
      </c>
      <c r="AA19">
        <f>IF(Contact[[#This Row],[Latest]]=TRUE,_xlfn.XLOOKUP(Contact[[#This Row],[Final Decision]],Table3[Final Decision],Table3[Active],0),0)</f>
        <v>0</v>
      </c>
      <c r="AB19">
        <f>SUMIF(Contact[Full Name],Contact[[#This Row],[Full Name]],Contact[Active])</f>
        <v>0</v>
      </c>
    </row>
    <row r="20" spans="1:28">
      <c r="A20">
        <v>1</v>
      </c>
      <c r="B20" t="s">
        <v>783</v>
      </c>
      <c r="C20" t="s">
        <v>784</v>
      </c>
      <c r="E20" t="s">
        <v>2115</v>
      </c>
      <c r="F20" t="s">
        <v>95</v>
      </c>
      <c r="G20" t="s">
        <v>2092</v>
      </c>
      <c r="I20" s="1" t="s">
        <v>785</v>
      </c>
      <c r="J20" s="66" t="s">
        <v>2093</v>
      </c>
      <c r="L20" t="s">
        <v>2094</v>
      </c>
      <c r="M20" t="s">
        <v>90</v>
      </c>
      <c r="N20" t="s">
        <v>2095</v>
      </c>
      <c r="P20" t="s">
        <v>787</v>
      </c>
      <c r="R20" t="s">
        <v>112</v>
      </c>
      <c r="S20" t="s">
        <v>2093</v>
      </c>
      <c r="V20">
        <v>2019</v>
      </c>
      <c r="X20" t="b">
        <f>IF(_xlfn.MAXIFS(Contact[Sequence],Contact[Full Name],Contact[[#This Row],[Full Name]],Contact[Season],Contact[[#This Row],[Season]])=Contact[[#This Row],[Sequence]],TRUE,FALSE)</f>
        <v>1</v>
      </c>
      <c r="Y20" t="s">
        <v>96</v>
      </c>
      <c r="Z20" t="s">
        <v>787</v>
      </c>
      <c r="AA20">
        <f>IF(Contact[[#This Row],[Latest]]=TRUE,_xlfn.XLOOKUP(Contact[[#This Row],[Final Decision]],Table3[Final Decision],Table3[Active],0),0)</f>
        <v>0</v>
      </c>
      <c r="AB20">
        <f>SUMIF(Contact[Full Name],Contact[[#This Row],[Full Name]],Contact[Active])</f>
        <v>0</v>
      </c>
    </row>
    <row r="21" spans="1:28">
      <c r="A21">
        <v>1</v>
      </c>
      <c r="B21" t="s">
        <v>1067</v>
      </c>
      <c r="C21" t="s">
        <v>467</v>
      </c>
      <c r="E21" t="s">
        <v>2116</v>
      </c>
      <c r="F21" t="s">
        <v>98</v>
      </c>
      <c r="G21" t="s">
        <v>2092</v>
      </c>
      <c r="I21" s="1" t="s">
        <v>1068</v>
      </c>
      <c r="J21" s="66" t="s">
        <v>2093</v>
      </c>
      <c r="L21" t="s">
        <v>2094</v>
      </c>
      <c r="M21" t="s">
        <v>185</v>
      </c>
      <c r="N21" t="s">
        <v>2095</v>
      </c>
      <c r="R21" t="s">
        <v>2093</v>
      </c>
      <c r="S21" t="s">
        <v>2093</v>
      </c>
      <c r="V21">
        <v>2019</v>
      </c>
      <c r="X21" t="b">
        <f>IF(_xlfn.MAXIFS(Contact[Sequence],Contact[Full Name],Contact[[#This Row],[Full Name]],Contact[Season],Contact[[#This Row],[Season]])=Contact[[#This Row],[Sequence]],TRUE,FALSE)</f>
        <v>1</v>
      </c>
      <c r="Y21" t="s">
        <v>190</v>
      </c>
      <c r="Z21">
        <v>0</v>
      </c>
      <c r="AA21">
        <f>IF(Contact[[#This Row],[Latest]]=TRUE,_xlfn.XLOOKUP(Contact[[#This Row],[Final Decision]],Table3[Final Decision],Table3[Active],0),0)</f>
        <v>0</v>
      </c>
      <c r="AB21">
        <f>SUMIF(Contact[Full Name],Contact[[#This Row],[Full Name]],Contact[Active])</f>
        <v>0</v>
      </c>
    </row>
    <row r="22" spans="1:28">
      <c r="A22">
        <v>1</v>
      </c>
      <c r="B22" t="s">
        <v>1188</v>
      </c>
      <c r="C22" t="s">
        <v>1189</v>
      </c>
      <c r="E22" t="s">
        <v>2117</v>
      </c>
      <c r="F22" t="s">
        <v>95</v>
      </c>
      <c r="G22" t="s">
        <v>2092</v>
      </c>
      <c r="I22" s="1" t="s">
        <v>1190</v>
      </c>
      <c r="J22" s="66" t="s">
        <v>1191</v>
      </c>
      <c r="L22" t="s">
        <v>2094</v>
      </c>
      <c r="M22" t="s">
        <v>105</v>
      </c>
      <c r="N22" t="s">
        <v>2095</v>
      </c>
      <c r="R22" t="s">
        <v>2093</v>
      </c>
      <c r="S22" t="s">
        <v>2093</v>
      </c>
      <c r="V22">
        <v>2019</v>
      </c>
      <c r="X22" t="b">
        <f>IF(_xlfn.MAXIFS(Contact[Sequence],Contact[Full Name],Contact[[#This Row],[Full Name]],Contact[Season],Contact[[#This Row],[Season]])=Contact[[#This Row],[Sequence]],TRUE,FALSE)</f>
        <v>1</v>
      </c>
      <c r="Y22" t="s">
        <v>190</v>
      </c>
      <c r="Z22">
        <v>0</v>
      </c>
      <c r="AA22">
        <f>IF(Contact[[#This Row],[Latest]]=TRUE,_xlfn.XLOOKUP(Contact[[#This Row],[Final Decision]],Table3[Final Decision],Table3[Active],0),0)</f>
        <v>0</v>
      </c>
      <c r="AB22">
        <f>SUMIF(Contact[Full Name],Contact[[#This Row],[Full Name]],Contact[Active])</f>
        <v>0</v>
      </c>
    </row>
    <row r="23" spans="1:28">
      <c r="A23">
        <v>1</v>
      </c>
      <c r="B23" t="s">
        <v>1071</v>
      </c>
      <c r="C23" t="s">
        <v>1072</v>
      </c>
      <c r="E23" t="s">
        <v>2118</v>
      </c>
      <c r="F23" t="s">
        <v>98</v>
      </c>
      <c r="G23" t="s">
        <v>2092</v>
      </c>
      <c r="I23" s="1" t="s">
        <v>1073</v>
      </c>
      <c r="J23" s="66" t="s">
        <v>2093</v>
      </c>
      <c r="L23" t="s">
        <v>2094</v>
      </c>
      <c r="M23" t="s">
        <v>105</v>
      </c>
      <c r="N23" t="s">
        <v>2095</v>
      </c>
      <c r="R23" t="s">
        <v>2093</v>
      </c>
      <c r="S23" t="s">
        <v>2093</v>
      </c>
      <c r="V23">
        <v>2019</v>
      </c>
      <c r="X23" t="b">
        <f>IF(_xlfn.MAXIFS(Contact[Sequence],Contact[Full Name],Contact[[#This Row],[Full Name]],Contact[Season],Contact[[#This Row],[Season]])=Contact[[#This Row],[Sequence]],TRUE,FALSE)</f>
        <v>1</v>
      </c>
      <c r="Y23" t="s">
        <v>190</v>
      </c>
      <c r="Z23">
        <v>0</v>
      </c>
      <c r="AA23">
        <f>IF(Contact[[#This Row],[Latest]]=TRUE,_xlfn.XLOOKUP(Contact[[#This Row],[Final Decision]],Table3[Final Decision],Table3[Active],0),0)</f>
        <v>0</v>
      </c>
      <c r="AB23">
        <f>SUMIF(Contact[Full Name],Contact[[#This Row],[Full Name]],Contact[Active])</f>
        <v>0</v>
      </c>
    </row>
    <row r="24" spans="1:28">
      <c r="A24">
        <v>1</v>
      </c>
      <c r="B24" t="s">
        <v>1075</v>
      </c>
      <c r="C24" t="s">
        <v>1076</v>
      </c>
      <c r="E24" t="s">
        <v>2119</v>
      </c>
      <c r="F24" t="s">
        <v>98</v>
      </c>
      <c r="G24" t="s">
        <v>2092</v>
      </c>
      <c r="I24" s="1" t="s">
        <v>1077</v>
      </c>
      <c r="J24" s="66" t="s">
        <v>1078</v>
      </c>
      <c r="L24" t="s">
        <v>2094</v>
      </c>
      <c r="M24" t="s">
        <v>105</v>
      </c>
      <c r="N24" t="s">
        <v>2095</v>
      </c>
      <c r="R24" t="s">
        <v>2093</v>
      </c>
      <c r="S24" t="s">
        <v>2093</v>
      </c>
      <c r="V24">
        <v>2019</v>
      </c>
      <c r="X24" t="b">
        <f>IF(_xlfn.MAXIFS(Contact[Sequence],Contact[Full Name],Contact[[#This Row],[Full Name]],Contact[Season],Contact[[#This Row],[Season]])=Contact[[#This Row],[Sequence]],TRUE,FALSE)</f>
        <v>1</v>
      </c>
      <c r="Y24" t="s">
        <v>190</v>
      </c>
      <c r="Z24">
        <v>0</v>
      </c>
      <c r="AA24">
        <f>IF(Contact[[#This Row],[Latest]]=TRUE,_xlfn.XLOOKUP(Contact[[#This Row],[Final Decision]],Table3[Final Decision],Table3[Active],0),0)</f>
        <v>0</v>
      </c>
      <c r="AB24">
        <f>SUMIF(Contact[Full Name],Contact[[#This Row],[Full Name]],Contact[Active])</f>
        <v>0</v>
      </c>
    </row>
    <row r="25" spans="1:28">
      <c r="A25">
        <v>1</v>
      </c>
      <c r="B25" t="s">
        <v>330</v>
      </c>
      <c r="C25" t="s">
        <v>331</v>
      </c>
      <c r="E25" t="s">
        <v>2120</v>
      </c>
      <c r="F25" t="s">
        <v>95</v>
      </c>
      <c r="G25" t="s">
        <v>2092</v>
      </c>
      <c r="I25" s="1" t="s">
        <v>332</v>
      </c>
      <c r="J25" s="66" t="s">
        <v>333</v>
      </c>
      <c r="L25" t="s">
        <v>2094</v>
      </c>
      <c r="M25" t="s">
        <v>90</v>
      </c>
      <c r="N25" t="s">
        <v>2095</v>
      </c>
      <c r="R25" t="s">
        <v>2093</v>
      </c>
      <c r="S25" t="s">
        <v>2093</v>
      </c>
      <c r="V25">
        <v>2019</v>
      </c>
      <c r="X25" t="b">
        <f>IF(_xlfn.MAXIFS(Contact[Sequence],Contact[Full Name],Contact[[#This Row],[Full Name]],Contact[Season],Contact[[#This Row],[Season]])=Contact[[#This Row],[Sequence]],TRUE,FALSE)</f>
        <v>1</v>
      </c>
      <c r="Y25" t="s">
        <v>190</v>
      </c>
      <c r="Z25">
        <v>0</v>
      </c>
      <c r="AA25">
        <f>IF(Contact[[#This Row],[Latest]]=TRUE,_xlfn.XLOOKUP(Contact[[#This Row],[Final Decision]],Table3[Final Decision],Table3[Active],0),0)</f>
        <v>0</v>
      </c>
      <c r="AB25">
        <f>SUMIF(Contact[Full Name],Contact[[#This Row],[Full Name]],Contact[Active])</f>
        <v>0</v>
      </c>
    </row>
    <row r="26" spans="1:28">
      <c r="A26">
        <v>1</v>
      </c>
      <c r="B26" t="s">
        <v>1080</v>
      </c>
      <c r="C26" t="s">
        <v>1084</v>
      </c>
      <c r="E26" t="s">
        <v>2121</v>
      </c>
      <c r="F26" t="s">
        <v>95</v>
      </c>
      <c r="G26" t="s">
        <v>2092</v>
      </c>
      <c r="I26" s="1" t="s">
        <v>1085</v>
      </c>
      <c r="J26" s="66"/>
      <c r="L26" t="s">
        <v>2094</v>
      </c>
      <c r="M26" t="s">
        <v>105</v>
      </c>
      <c r="N26" t="s">
        <v>2095</v>
      </c>
      <c r="R26" t="s">
        <v>2093</v>
      </c>
      <c r="S26" t="s">
        <v>2093</v>
      </c>
      <c r="V26">
        <v>2019</v>
      </c>
      <c r="X26" t="b">
        <f>IF(_xlfn.MAXIFS(Contact[Sequence],Contact[Full Name],Contact[[#This Row],[Full Name]],Contact[Season],Contact[[#This Row],[Season]])=Contact[[#This Row],[Sequence]],TRUE,FALSE)</f>
        <v>1</v>
      </c>
      <c r="Y26" t="s">
        <v>190</v>
      </c>
      <c r="Z26">
        <v>0</v>
      </c>
      <c r="AA26">
        <f>IF(Contact[[#This Row],[Latest]]=TRUE,_xlfn.XLOOKUP(Contact[[#This Row],[Final Decision]],Table3[Final Decision],Table3[Active],0),0)</f>
        <v>0</v>
      </c>
      <c r="AB26">
        <f>SUMIF(Contact[Full Name],Contact[[#This Row],[Full Name]],Contact[Active])</f>
        <v>0</v>
      </c>
    </row>
    <row r="27" spans="1:28">
      <c r="A27">
        <v>1</v>
      </c>
      <c r="B27" t="s">
        <v>1080</v>
      </c>
      <c r="C27" t="s">
        <v>1081</v>
      </c>
      <c r="E27" t="s">
        <v>2122</v>
      </c>
      <c r="G27" t="s">
        <v>2092</v>
      </c>
      <c r="I27" s="1"/>
      <c r="J27" s="66"/>
      <c r="L27" t="s">
        <v>2094</v>
      </c>
      <c r="M27" t="s">
        <v>105</v>
      </c>
      <c r="N27" t="s">
        <v>2095</v>
      </c>
      <c r="R27" t="s">
        <v>2093</v>
      </c>
      <c r="S27" t="s">
        <v>2093</v>
      </c>
      <c r="V27">
        <v>2019</v>
      </c>
      <c r="X27" t="b">
        <f>IF(_xlfn.MAXIFS(Contact[Sequence],Contact[Full Name],Contact[[#This Row],[Full Name]],Contact[Season],Contact[[#This Row],[Season]])=Contact[[#This Row],[Sequence]],TRUE,FALSE)</f>
        <v>1</v>
      </c>
      <c r="Y27" t="s">
        <v>190</v>
      </c>
      <c r="Z27">
        <v>0</v>
      </c>
      <c r="AA27">
        <f>IF(Contact[[#This Row],[Latest]]=TRUE,_xlfn.XLOOKUP(Contact[[#This Row],[Final Decision]],Table3[Final Decision],Table3[Active],0),0)</f>
        <v>0</v>
      </c>
      <c r="AB27">
        <f>SUMIF(Contact[Full Name],Contact[[#This Row],[Full Name]],Contact[Active])</f>
        <v>0</v>
      </c>
    </row>
    <row r="28" spans="1:28">
      <c r="A28">
        <v>1</v>
      </c>
      <c r="B28" t="s">
        <v>245</v>
      </c>
      <c r="C28" t="s">
        <v>1941</v>
      </c>
      <c r="E28" t="s">
        <v>2123</v>
      </c>
      <c r="F28" t="s">
        <v>98</v>
      </c>
      <c r="G28" t="s">
        <v>2100</v>
      </c>
      <c r="I28" s="1" t="s">
        <v>1942</v>
      </c>
      <c r="J28" s="66" t="s">
        <v>2093</v>
      </c>
      <c r="L28" t="s">
        <v>2094</v>
      </c>
      <c r="M28" t="s">
        <v>90</v>
      </c>
      <c r="N28" t="s">
        <v>2095</v>
      </c>
      <c r="P28" t="s">
        <v>1945</v>
      </c>
      <c r="R28" t="s">
        <v>112</v>
      </c>
      <c r="S28" t="s">
        <v>665</v>
      </c>
      <c r="V28">
        <v>2019</v>
      </c>
      <c r="X28" t="b">
        <f>IF(_xlfn.MAXIFS(Contact[Sequence],Contact[Full Name],Contact[[#This Row],[Full Name]],Contact[Season],Contact[[#This Row],[Season]])=Contact[[#This Row],[Sequence]],TRUE,FALSE)</f>
        <v>1</v>
      </c>
      <c r="Y28" t="s">
        <v>96</v>
      </c>
      <c r="Z28" t="s">
        <v>159</v>
      </c>
      <c r="AA28">
        <f>IF(Contact[[#This Row],[Latest]]=TRUE,_xlfn.XLOOKUP(Contact[[#This Row],[Final Decision]],Table3[Final Decision],Table3[Active],0),0)</f>
        <v>0</v>
      </c>
      <c r="AB28">
        <f>SUMIF(Contact[Full Name],Contact[[#This Row],[Full Name]],Contact[Active])</f>
        <v>0</v>
      </c>
    </row>
    <row r="29" spans="1:28">
      <c r="A29">
        <v>1</v>
      </c>
      <c r="B29" t="s">
        <v>245</v>
      </c>
      <c r="C29" t="s">
        <v>246</v>
      </c>
      <c r="E29" t="s">
        <v>2124</v>
      </c>
      <c r="F29" t="s">
        <v>95</v>
      </c>
      <c r="G29" t="s">
        <v>2092</v>
      </c>
      <c r="I29" s="1" t="s">
        <v>247</v>
      </c>
      <c r="J29" s="66" t="s">
        <v>2093</v>
      </c>
      <c r="L29" t="s">
        <v>2094</v>
      </c>
      <c r="M29" t="s">
        <v>90</v>
      </c>
      <c r="N29" t="s">
        <v>2095</v>
      </c>
      <c r="P29" t="s">
        <v>249</v>
      </c>
      <c r="R29" t="s">
        <v>215</v>
      </c>
      <c r="S29" t="s">
        <v>244</v>
      </c>
      <c r="V29">
        <v>2019</v>
      </c>
      <c r="X29" t="b">
        <f>IF(_xlfn.MAXIFS(Contact[Sequence],Contact[Full Name],Contact[[#This Row],[Full Name]],Contact[Season],Contact[[#This Row],[Season]])=Contact[[#This Row],[Sequence]],TRUE,FALSE)</f>
        <v>1</v>
      </c>
      <c r="Y29" t="s">
        <v>96</v>
      </c>
      <c r="Z29" t="s">
        <v>249</v>
      </c>
      <c r="AA29">
        <f>IF(Contact[[#This Row],[Latest]]=TRUE,_xlfn.XLOOKUP(Contact[[#This Row],[Final Decision]],Table3[Final Decision],Table3[Active],0),0)</f>
        <v>0</v>
      </c>
      <c r="AB29">
        <f>SUMIF(Contact[Full Name],Contact[[#This Row],[Full Name]],Contact[Active])</f>
        <v>0</v>
      </c>
    </row>
    <row r="30" spans="1:28">
      <c r="A30">
        <v>1</v>
      </c>
      <c r="B30" t="s">
        <v>245</v>
      </c>
      <c r="C30" t="s">
        <v>307</v>
      </c>
      <c r="E30" t="s">
        <v>2125</v>
      </c>
      <c r="F30" t="s">
        <v>102</v>
      </c>
      <c r="G30" t="s">
        <v>2100</v>
      </c>
      <c r="I30" s="1" t="s">
        <v>308</v>
      </c>
      <c r="J30" s="66" t="s">
        <v>309</v>
      </c>
      <c r="L30" t="s">
        <v>2094</v>
      </c>
      <c r="M30" t="s">
        <v>90</v>
      </c>
      <c r="N30" t="s">
        <v>2095</v>
      </c>
      <c r="P30" t="s">
        <v>2126</v>
      </c>
      <c r="R30" t="s">
        <v>2127</v>
      </c>
      <c r="S30" t="s">
        <v>70</v>
      </c>
      <c r="V30">
        <v>2019</v>
      </c>
      <c r="X30" t="b">
        <f>IF(_xlfn.MAXIFS(Contact[Sequence],Contact[Full Name],Contact[[#This Row],[Full Name]],Contact[Season],Contact[[#This Row],[Season]])=Contact[[#This Row],[Sequence]],TRUE,FALSE)</f>
        <v>1</v>
      </c>
      <c r="Y30" t="s">
        <v>190</v>
      </c>
      <c r="Z30" t="s">
        <v>203</v>
      </c>
      <c r="AA30">
        <f>IF(Contact[[#This Row],[Latest]]=TRUE,_xlfn.XLOOKUP(Contact[[#This Row],[Final Decision]],Table3[Final Decision],Table3[Active],0),0)</f>
        <v>1</v>
      </c>
      <c r="AB30">
        <f>SUMIF(Contact[Full Name],Contact[[#This Row],[Full Name]],Contact[Active])</f>
        <v>1</v>
      </c>
    </row>
    <row r="31" spans="1:28">
      <c r="A31">
        <v>1</v>
      </c>
      <c r="B31" t="s">
        <v>1092</v>
      </c>
      <c r="C31" t="s">
        <v>255</v>
      </c>
      <c r="E31" t="s">
        <v>2128</v>
      </c>
      <c r="F31" t="s">
        <v>98</v>
      </c>
      <c r="G31" t="s">
        <v>2092</v>
      </c>
      <c r="I31" s="1" t="s">
        <v>1093</v>
      </c>
      <c r="J31" s="66" t="s">
        <v>2093</v>
      </c>
      <c r="L31" t="s">
        <v>2094</v>
      </c>
      <c r="M31" t="s">
        <v>105</v>
      </c>
      <c r="N31" t="s">
        <v>2095</v>
      </c>
      <c r="R31" t="s">
        <v>2093</v>
      </c>
      <c r="S31" t="s">
        <v>2093</v>
      </c>
      <c r="V31">
        <v>2019</v>
      </c>
      <c r="X31" t="b">
        <f>IF(_xlfn.MAXIFS(Contact[Sequence],Contact[Full Name],Contact[[#This Row],[Full Name]],Contact[Season],Contact[[#This Row],[Season]])=Contact[[#This Row],[Sequence]],TRUE,FALSE)</f>
        <v>1</v>
      </c>
      <c r="Y31" t="s">
        <v>190</v>
      </c>
      <c r="Z31">
        <v>0</v>
      </c>
      <c r="AA31">
        <f>IF(Contact[[#This Row],[Latest]]=TRUE,_xlfn.XLOOKUP(Contact[[#This Row],[Final Decision]],Table3[Final Decision],Table3[Active],0),0)</f>
        <v>0</v>
      </c>
      <c r="AB31">
        <f>SUMIF(Contact[Full Name],Contact[[#This Row],[Full Name]],Contact[Active])</f>
        <v>0</v>
      </c>
    </row>
    <row r="32" spans="1:28">
      <c r="A32">
        <v>1</v>
      </c>
      <c r="B32" t="s">
        <v>1506</v>
      </c>
      <c r="C32" t="s">
        <v>1507</v>
      </c>
      <c r="E32" t="s">
        <v>2129</v>
      </c>
      <c r="F32" t="s">
        <v>98</v>
      </c>
      <c r="G32" t="s">
        <v>2092</v>
      </c>
      <c r="I32" s="1" t="s">
        <v>1508</v>
      </c>
      <c r="J32" s="66" t="s">
        <v>2093</v>
      </c>
      <c r="L32" t="s">
        <v>2094</v>
      </c>
      <c r="M32" t="s">
        <v>90</v>
      </c>
      <c r="N32" t="s">
        <v>2095</v>
      </c>
      <c r="R32" t="s">
        <v>2093</v>
      </c>
      <c r="S32" t="s">
        <v>2093</v>
      </c>
      <c r="V32">
        <v>2019</v>
      </c>
      <c r="X32" t="b">
        <f>IF(_xlfn.MAXIFS(Contact[Sequence],Contact[Full Name],Contact[[#This Row],[Full Name]],Contact[Season],Contact[[#This Row],[Season]])=Contact[[#This Row],[Sequence]],TRUE,FALSE)</f>
        <v>1</v>
      </c>
      <c r="Y32" t="s">
        <v>190</v>
      </c>
      <c r="Z32">
        <v>0</v>
      </c>
      <c r="AA32">
        <f>IF(Contact[[#This Row],[Latest]]=TRUE,_xlfn.XLOOKUP(Contact[[#This Row],[Final Decision]],Table3[Final Decision],Table3[Active],0),0)</f>
        <v>0</v>
      </c>
      <c r="AB32">
        <f>SUMIF(Contact[Full Name],Contact[[#This Row],[Full Name]],Contact[Active])</f>
        <v>0</v>
      </c>
    </row>
    <row r="33" spans="1:28">
      <c r="A33">
        <v>1</v>
      </c>
      <c r="B33" t="s">
        <v>1095</v>
      </c>
      <c r="C33" t="s">
        <v>1096</v>
      </c>
      <c r="E33" t="s">
        <v>2130</v>
      </c>
      <c r="F33" t="s">
        <v>98</v>
      </c>
      <c r="G33" t="s">
        <v>2092</v>
      </c>
      <c r="I33" s="1" t="s">
        <v>1097</v>
      </c>
      <c r="J33" s="66" t="s">
        <v>2093</v>
      </c>
      <c r="L33" t="s">
        <v>2094</v>
      </c>
      <c r="M33" t="s">
        <v>105</v>
      </c>
      <c r="N33" t="s">
        <v>2095</v>
      </c>
      <c r="R33" t="s">
        <v>2093</v>
      </c>
      <c r="S33" t="s">
        <v>2093</v>
      </c>
      <c r="V33">
        <v>2019</v>
      </c>
      <c r="X33" t="b">
        <f>IF(_xlfn.MAXIFS(Contact[Sequence],Contact[Full Name],Contact[[#This Row],[Full Name]],Contact[Season],Contact[[#This Row],[Season]])=Contact[[#This Row],[Sequence]],TRUE,FALSE)</f>
        <v>1</v>
      </c>
      <c r="Y33" t="s">
        <v>190</v>
      </c>
      <c r="Z33">
        <v>0</v>
      </c>
      <c r="AA33">
        <f>IF(Contact[[#This Row],[Latest]]=TRUE,_xlfn.XLOOKUP(Contact[[#This Row],[Final Decision]],Table3[Final Decision],Table3[Active],0),0)</f>
        <v>0</v>
      </c>
      <c r="AB33">
        <f>SUMIF(Contact[Full Name],Contact[[#This Row],[Full Name]],Contact[Active])</f>
        <v>0</v>
      </c>
    </row>
    <row r="34" spans="1:28">
      <c r="A34">
        <v>1</v>
      </c>
      <c r="B34" t="s">
        <v>1100</v>
      </c>
      <c r="C34" t="s">
        <v>1101</v>
      </c>
      <c r="E34" t="s">
        <v>2131</v>
      </c>
      <c r="F34" t="s">
        <v>95</v>
      </c>
      <c r="G34" t="s">
        <v>2092</v>
      </c>
      <c r="I34" s="1" t="s">
        <v>1102</v>
      </c>
      <c r="J34" s="66" t="s">
        <v>1103</v>
      </c>
      <c r="L34" t="s">
        <v>2094</v>
      </c>
      <c r="M34" t="s">
        <v>105</v>
      </c>
      <c r="N34" t="s">
        <v>2095</v>
      </c>
      <c r="R34" t="s">
        <v>2093</v>
      </c>
      <c r="S34" t="s">
        <v>2093</v>
      </c>
      <c r="V34">
        <v>2019</v>
      </c>
      <c r="X34" t="b">
        <f>IF(_xlfn.MAXIFS(Contact[Sequence],Contact[Full Name],Contact[[#This Row],[Full Name]],Contact[Season],Contact[[#This Row],[Season]])=Contact[[#This Row],[Sequence]],TRUE,FALSE)</f>
        <v>1</v>
      </c>
      <c r="Y34" t="s">
        <v>190</v>
      </c>
      <c r="Z34">
        <v>0</v>
      </c>
      <c r="AA34">
        <f>IF(Contact[[#This Row],[Latest]]=TRUE,_xlfn.XLOOKUP(Contact[[#This Row],[Final Decision]],Table3[Final Decision],Table3[Active],0),0)</f>
        <v>0</v>
      </c>
      <c r="AB34">
        <f>SUMIF(Contact[Full Name],Contact[[#This Row],[Full Name]],Contact[Active])</f>
        <v>0</v>
      </c>
    </row>
    <row r="35" spans="1:28">
      <c r="A35">
        <v>1</v>
      </c>
      <c r="B35" t="s">
        <v>335</v>
      </c>
      <c r="C35" t="s">
        <v>805</v>
      </c>
      <c r="E35" t="s">
        <v>2132</v>
      </c>
      <c r="F35" t="s">
        <v>95</v>
      </c>
      <c r="G35" t="s">
        <v>2092</v>
      </c>
      <c r="I35" s="1" t="s">
        <v>806</v>
      </c>
      <c r="J35" s="66" t="s">
        <v>807</v>
      </c>
      <c r="L35" t="s">
        <v>2094</v>
      </c>
      <c r="M35" t="s">
        <v>105</v>
      </c>
      <c r="N35" t="s">
        <v>2095</v>
      </c>
      <c r="P35" t="s">
        <v>809</v>
      </c>
      <c r="R35" t="s">
        <v>112</v>
      </c>
      <c r="S35" t="s">
        <v>2093</v>
      </c>
      <c r="V35">
        <v>2019</v>
      </c>
      <c r="X35" t="b">
        <f>IF(_xlfn.MAXIFS(Contact[Sequence],Contact[Full Name],Contact[[#This Row],[Full Name]],Contact[Season],Contact[[#This Row],[Season]])=Contact[[#This Row],[Sequence]],TRUE,FALSE)</f>
        <v>1</v>
      </c>
      <c r="Y35" t="s">
        <v>96</v>
      </c>
      <c r="Z35" t="s">
        <v>809</v>
      </c>
      <c r="AA35">
        <f>IF(Contact[[#This Row],[Latest]]=TRUE,_xlfn.XLOOKUP(Contact[[#This Row],[Final Decision]],Table3[Final Decision],Table3[Active],0),0)</f>
        <v>0</v>
      </c>
      <c r="AB35">
        <f>SUMIF(Contact[Full Name],Contact[[#This Row],[Full Name]],Contact[Active])</f>
        <v>0</v>
      </c>
    </row>
    <row r="36" spans="1:28">
      <c r="A36">
        <v>1</v>
      </c>
      <c r="B36" t="s">
        <v>335</v>
      </c>
      <c r="C36" t="s">
        <v>336</v>
      </c>
      <c r="E36" t="s">
        <v>2133</v>
      </c>
      <c r="F36" t="s">
        <v>95</v>
      </c>
      <c r="G36" t="s">
        <v>2092</v>
      </c>
      <c r="I36" s="1" t="s">
        <v>337</v>
      </c>
      <c r="J36" s="66" t="s">
        <v>338</v>
      </c>
      <c r="L36" t="s">
        <v>2094</v>
      </c>
      <c r="M36" t="s">
        <v>90</v>
      </c>
      <c r="N36" t="s">
        <v>2095</v>
      </c>
      <c r="R36" t="s">
        <v>2093</v>
      </c>
      <c r="S36" t="s">
        <v>2093</v>
      </c>
      <c r="V36">
        <v>2019</v>
      </c>
      <c r="X36" t="b">
        <f>IF(_xlfn.MAXIFS(Contact[Sequence],Contact[Full Name],Contact[[#This Row],[Full Name]],Contact[Season],Contact[[#This Row],[Season]])=Contact[[#This Row],[Sequence]],TRUE,FALSE)</f>
        <v>1</v>
      </c>
      <c r="Y36" t="s">
        <v>190</v>
      </c>
      <c r="Z36">
        <v>0</v>
      </c>
      <c r="AA36">
        <f>IF(Contact[[#This Row],[Latest]]=TRUE,_xlfn.XLOOKUP(Contact[[#This Row],[Final Decision]],Table3[Final Decision],Table3[Active],0),0)</f>
        <v>0</v>
      </c>
      <c r="AB36">
        <f>SUMIF(Contact[Full Name],Contact[[#This Row],[Full Name]],Contact[Active])</f>
        <v>0</v>
      </c>
    </row>
    <row r="37" spans="1:28">
      <c r="A37">
        <v>1</v>
      </c>
      <c r="B37" t="s">
        <v>335</v>
      </c>
      <c r="C37" t="s">
        <v>425</v>
      </c>
      <c r="E37" t="s">
        <v>2134</v>
      </c>
      <c r="F37" t="s">
        <v>98</v>
      </c>
      <c r="G37" t="s">
        <v>2100</v>
      </c>
      <c r="I37" s="1" t="s">
        <v>718</v>
      </c>
      <c r="J37" s="66" t="s">
        <v>719</v>
      </c>
      <c r="L37" t="s">
        <v>2094</v>
      </c>
      <c r="M37" t="s">
        <v>105</v>
      </c>
      <c r="N37" t="s">
        <v>2095</v>
      </c>
      <c r="P37" t="s">
        <v>721</v>
      </c>
      <c r="R37" t="s">
        <v>717</v>
      </c>
      <c r="S37" t="s">
        <v>678</v>
      </c>
      <c r="V37">
        <v>2019</v>
      </c>
      <c r="X37" t="b">
        <f>IF(_xlfn.MAXIFS(Contact[Sequence],Contact[Full Name],Contact[[#This Row],[Full Name]],Contact[Season],Contact[[#This Row],[Season]])=Contact[[#This Row],[Sequence]],TRUE,FALSE)</f>
        <v>1</v>
      </c>
      <c r="Y37" t="s">
        <v>96</v>
      </c>
      <c r="Z37" t="s">
        <v>159</v>
      </c>
      <c r="AA37">
        <f>IF(Contact[[#This Row],[Latest]]=TRUE,_xlfn.XLOOKUP(Contact[[#This Row],[Final Decision]],Table3[Final Decision],Table3[Active],0),0)</f>
        <v>0</v>
      </c>
      <c r="AB37">
        <f>SUMIF(Contact[Full Name],Contact[[#This Row],[Full Name]],Contact[Active])</f>
        <v>0</v>
      </c>
    </row>
    <row r="38" spans="1:28">
      <c r="A38">
        <v>1</v>
      </c>
      <c r="B38" t="s">
        <v>1995</v>
      </c>
      <c r="C38" t="s">
        <v>599</v>
      </c>
      <c r="E38" t="s">
        <v>2135</v>
      </c>
      <c r="F38" t="s">
        <v>98</v>
      </c>
      <c r="G38" t="s">
        <v>2092</v>
      </c>
      <c r="I38" s="1" t="s">
        <v>1996</v>
      </c>
      <c r="J38" s="66" t="s">
        <v>2093</v>
      </c>
      <c r="L38" t="s">
        <v>2094</v>
      </c>
      <c r="M38" t="s">
        <v>105</v>
      </c>
      <c r="N38" t="s">
        <v>2095</v>
      </c>
      <c r="P38" t="s">
        <v>1998</v>
      </c>
      <c r="R38" t="s">
        <v>112</v>
      </c>
      <c r="S38" t="s">
        <v>2093</v>
      </c>
      <c r="V38">
        <v>2019</v>
      </c>
      <c r="X38" t="b">
        <f>IF(_xlfn.MAXIFS(Contact[Sequence],Contact[Full Name],Contact[[#This Row],[Full Name]],Contact[Season],Contact[[#This Row],[Season]])=Contact[[#This Row],[Sequence]],TRUE,FALSE)</f>
        <v>1</v>
      </c>
      <c r="Y38" t="s">
        <v>96</v>
      </c>
      <c r="Z38" t="s">
        <v>1998</v>
      </c>
      <c r="AA38">
        <f>IF(Contact[[#This Row],[Latest]]=TRUE,_xlfn.XLOOKUP(Contact[[#This Row],[Final Decision]],Table3[Final Decision],Table3[Active],0),0)</f>
        <v>0</v>
      </c>
      <c r="AB38">
        <f>SUMIF(Contact[Full Name],Contact[[#This Row],[Full Name]],Contact[Active])</f>
        <v>0</v>
      </c>
    </row>
    <row r="39" spans="1:28">
      <c r="A39">
        <v>1</v>
      </c>
      <c r="B39" t="s">
        <v>1105</v>
      </c>
      <c r="C39" t="s">
        <v>1106</v>
      </c>
      <c r="E39" t="s">
        <v>2136</v>
      </c>
      <c r="F39" t="s">
        <v>95</v>
      </c>
      <c r="G39" t="s">
        <v>2092</v>
      </c>
      <c r="I39" s="1" t="s">
        <v>1107</v>
      </c>
      <c r="J39" s="66" t="s">
        <v>1108</v>
      </c>
      <c r="L39" t="s">
        <v>2094</v>
      </c>
      <c r="M39" t="s">
        <v>105</v>
      </c>
      <c r="N39" t="s">
        <v>2095</v>
      </c>
      <c r="R39" t="s">
        <v>2093</v>
      </c>
      <c r="S39" t="s">
        <v>2093</v>
      </c>
      <c r="V39">
        <v>2019</v>
      </c>
      <c r="X39" t="b">
        <f>IF(_xlfn.MAXIFS(Contact[Sequence],Contact[Full Name],Contact[[#This Row],[Full Name]],Contact[Season],Contact[[#This Row],[Season]])=Contact[[#This Row],[Sequence]],TRUE,FALSE)</f>
        <v>1</v>
      </c>
      <c r="Y39" t="s">
        <v>190</v>
      </c>
      <c r="Z39">
        <v>0</v>
      </c>
      <c r="AA39">
        <f>IF(Contact[[#This Row],[Latest]]=TRUE,_xlfn.XLOOKUP(Contact[[#This Row],[Final Decision]],Table3[Final Decision],Table3[Active],0),0)</f>
        <v>0</v>
      </c>
      <c r="AB39">
        <f>SUMIF(Contact[Full Name],Contact[[#This Row],[Full Name]],Contact[Active])</f>
        <v>0</v>
      </c>
    </row>
    <row r="40" spans="1:28">
      <c r="A40">
        <v>1</v>
      </c>
      <c r="B40" t="s">
        <v>1059</v>
      </c>
      <c r="C40" t="s">
        <v>820</v>
      </c>
      <c r="E40" t="s">
        <v>2137</v>
      </c>
      <c r="F40" t="s">
        <v>98</v>
      </c>
      <c r="G40" t="s">
        <v>2092</v>
      </c>
      <c r="I40" s="1" t="s">
        <v>1060</v>
      </c>
      <c r="J40" s="66" t="s">
        <v>2093</v>
      </c>
      <c r="L40" t="s">
        <v>2094</v>
      </c>
      <c r="M40" t="s">
        <v>105</v>
      </c>
      <c r="N40" t="s">
        <v>2095</v>
      </c>
      <c r="R40" t="s">
        <v>2093</v>
      </c>
      <c r="S40" t="s">
        <v>2093</v>
      </c>
      <c r="V40">
        <v>2019</v>
      </c>
      <c r="X40" t="b">
        <f>IF(_xlfn.MAXIFS(Contact[Sequence],Contact[Full Name],Contact[[#This Row],[Full Name]],Contact[Season],Contact[[#This Row],[Season]])=Contact[[#This Row],[Sequence]],TRUE,FALSE)</f>
        <v>1</v>
      </c>
      <c r="Y40" t="s">
        <v>190</v>
      </c>
      <c r="Z40">
        <v>0</v>
      </c>
      <c r="AA40">
        <f>IF(Contact[[#This Row],[Latest]]=TRUE,_xlfn.XLOOKUP(Contact[[#This Row],[Final Decision]],Table3[Final Decision],Table3[Active],0),0)</f>
        <v>0</v>
      </c>
      <c r="AB40">
        <f>SUMIF(Contact[Full Name],Contact[[#This Row],[Full Name]],Contact[Active])</f>
        <v>0</v>
      </c>
    </row>
    <row r="41" spans="1:28">
      <c r="A41">
        <v>1</v>
      </c>
      <c r="B41" t="s">
        <v>1110</v>
      </c>
      <c r="C41" t="s">
        <v>1111</v>
      </c>
      <c r="E41" t="s">
        <v>2138</v>
      </c>
      <c r="F41" t="s">
        <v>98</v>
      </c>
      <c r="G41" t="s">
        <v>2092</v>
      </c>
      <c r="I41" s="1" t="s">
        <v>1112</v>
      </c>
      <c r="J41" s="66" t="s">
        <v>2093</v>
      </c>
      <c r="L41" t="s">
        <v>2094</v>
      </c>
      <c r="M41" t="s">
        <v>90</v>
      </c>
      <c r="N41" t="s">
        <v>2095</v>
      </c>
      <c r="R41" t="s">
        <v>2093</v>
      </c>
      <c r="S41" t="s">
        <v>2093</v>
      </c>
      <c r="V41">
        <v>2019</v>
      </c>
      <c r="X41" t="b">
        <f>IF(_xlfn.MAXIFS(Contact[Sequence],Contact[Full Name],Contact[[#This Row],[Full Name]],Contact[Season],Contact[[#This Row],[Season]])=Contact[[#This Row],[Sequence]],TRUE,FALSE)</f>
        <v>1</v>
      </c>
      <c r="Y41" t="s">
        <v>190</v>
      </c>
      <c r="Z41">
        <v>0</v>
      </c>
      <c r="AA41">
        <f>IF(Contact[[#This Row],[Latest]]=TRUE,_xlfn.XLOOKUP(Contact[[#This Row],[Final Decision]],Table3[Final Decision],Table3[Active],0),0)</f>
        <v>0</v>
      </c>
      <c r="AB41">
        <f>SUMIF(Contact[Full Name],Contact[[#This Row],[Full Name]],Contact[Active])</f>
        <v>0</v>
      </c>
    </row>
    <row r="42" spans="1:28">
      <c r="A42">
        <v>1</v>
      </c>
      <c r="B42" t="s">
        <v>1360</v>
      </c>
      <c r="C42" t="s">
        <v>1361</v>
      </c>
      <c r="E42" t="s">
        <v>2139</v>
      </c>
      <c r="F42" t="s">
        <v>95</v>
      </c>
      <c r="G42" t="s">
        <v>2092</v>
      </c>
      <c r="I42" s="1" t="s">
        <v>1362</v>
      </c>
      <c r="J42" s="66" t="s">
        <v>2093</v>
      </c>
      <c r="L42" t="s">
        <v>2094</v>
      </c>
      <c r="M42" t="s">
        <v>90</v>
      </c>
      <c r="N42" t="s">
        <v>2095</v>
      </c>
      <c r="R42" t="s">
        <v>2093</v>
      </c>
      <c r="S42" t="s">
        <v>2093</v>
      </c>
      <c r="V42">
        <v>2019</v>
      </c>
      <c r="X42" t="b">
        <f>IF(_xlfn.MAXIFS(Contact[Sequence],Contact[Full Name],Contact[[#This Row],[Full Name]],Contact[Season],Contact[[#This Row],[Season]])=Contact[[#This Row],[Sequence]],TRUE,FALSE)</f>
        <v>1</v>
      </c>
      <c r="Y42" t="s">
        <v>190</v>
      </c>
      <c r="Z42">
        <v>0</v>
      </c>
      <c r="AA42">
        <f>IF(Contact[[#This Row],[Latest]]=TRUE,_xlfn.XLOOKUP(Contact[[#This Row],[Final Decision]],Table3[Final Decision],Table3[Active],0),0)</f>
        <v>0</v>
      </c>
      <c r="AB42">
        <f>SUMIF(Contact[Full Name],Contact[[#This Row],[Full Name]],Contact[Active])</f>
        <v>0</v>
      </c>
    </row>
    <row r="43" spans="1:28">
      <c r="A43">
        <v>1</v>
      </c>
      <c r="B43" t="s">
        <v>1115</v>
      </c>
      <c r="C43" t="s">
        <v>1116</v>
      </c>
      <c r="E43" t="s">
        <v>2140</v>
      </c>
      <c r="F43" t="s">
        <v>98</v>
      </c>
      <c r="G43" t="s">
        <v>2092</v>
      </c>
      <c r="I43" s="1" t="s">
        <v>1117</v>
      </c>
      <c r="J43" s="66" t="s">
        <v>2093</v>
      </c>
      <c r="L43" t="s">
        <v>2094</v>
      </c>
      <c r="M43" t="s">
        <v>185</v>
      </c>
      <c r="N43" t="s">
        <v>2095</v>
      </c>
      <c r="R43" t="s">
        <v>2093</v>
      </c>
      <c r="S43" t="s">
        <v>2093</v>
      </c>
      <c r="V43">
        <v>2019</v>
      </c>
      <c r="X43" t="b">
        <f>IF(_xlfn.MAXIFS(Contact[Sequence],Contact[Full Name],Contact[[#This Row],[Full Name]],Contact[Season],Contact[[#This Row],[Season]])=Contact[[#This Row],[Sequence]],TRUE,FALSE)</f>
        <v>1</v>
      </c>
      <c r="Y43" t="s">
        <v>190</v>
      </c>
      <c r="Z43">
        <v>0</v>
      </c>
      <c r="AA43">
        <f>IF(Contact[[#This Row],[Latest]]=TRUE,_xlfn.XLOOKUP(Contact[[#This Row],[Final Decision]],Table3[Final Decision],Table3[Active],0),0)</f>
        <v>0</v>
      </c>
      <c r="AB43">
        <f>SUMIF(Contact[Full Name],Contact[[#This Row],[Full Name]],Contact[Active])</f>
        <v>0</v>
      </c>
    </row>
    <row r="44" spans="1:28">
      <c r="A44">
        <v>1</v>
      </c>
      <c r="B44" t="s">
        <v>1120</v>
      </c>
      <c r="C44" t="s">
        <v>1121</v>
      </c>
      <c r="E44" t="s">
        <v>2141</v>
      </c>
      <c r="F44" t="s">
        <v>98</v>
      </c>
      <c r="G44" t="s">
        <v>2092</v>
      </c>
      <c r="I44" s="1" t="s">
        <v>1122</v>
      </c>
      <c r="J44" s="66" t="s">
        <v>2093</v>
      </c>
      <c r="L44" t="s">
        <v>2094</v>
      </c>
      <c r="M44" t="s">
        <v>105</v>
      </c>
      <c r="N44" t="s">
        <v>2095</v>
      </c>
      <c r="R44" t="s">
        <v>2093</v>
      </c>
      <c r="S44" t="s">
        <v>2093</v>
      </c>
      <c r="V44">
        <v>2019</v>
      </c>
      <c r="X44" t="b">
        <f>IF(_xlfn.MAXIFS(Contact[Sequence],Contact[Full Name],Contact[[#This Row],[Full Name]],Contact[Season],Contact[[#This Row],[Season]])=Contact[[#This Row],[Sequence]],TRUE,FALSE)</f>
        <v>1</v>
      </c>
      <c r="Y44" t="s">
        <v>190</v>
      </c>
      <c r="Z44">
        <v>0</v>
      </c>
      <c r="AA44">
        <f>IF(Contact[[#This Row],[Latest]]=TRUE,_xlfn.XLOOKUP(Contact[[#This Row],[Final Decision]],Table3[Final Decision],Table3[Active],0),0)</f>
        <v>0</v>
      </c>
      <c r="AB44">
        <f>SUMIF(Contact[Full Name],Contact[[#This Row],[Full Name]],Contact[Active])</f>
        <v>0</v>
      </c>
    </row>
    <row r="45" spans="1:28">
      <c r="A45">
        <v>1</v>
      </c>
      <c r="B45" t="s">
        <v>1124</v>
      </c>
      <c r="C45" t="s">
        <v>1999</v>
      </c>
      <c r="E45" t="s">
        <v>2142</v>
      </c>
      <c r="F45" t="s">
        <v>98</v>
      </c>
      <c r="G45" t="s">
        <v>2092</v>
      </c>
      <c r="I45" s="1" t="s">
        <v>2000</v>
      </c>
      <c r="J45" s="66" t="s">
        <v>2093</v>
      </c>
      <c r="L45" t="s">
        <v>2094</v>
      </c>
      <c r="M45" t="s">
        <v>105</v>
      </c>
      <c r="N45" t="s">
        <v>2095</v>
      </c>
      <c r="P45" t="s">
        <v>2002</v>
      </c>
      <c r="R45" t="s">
        <v>112</v>
      </c>
      <c r="S45" t="s">
        <v>2093</v>
      </c>
      <c r="V45">
        <v>2019</v>
      </c>
      <c r="X45" t="b">
        <f>IF(_xlfn.MAXIFS(Contact[Sequence],Contact[Full Name],Contact[[#This Row],[Full Name]],Contact[Season],Contact[[#This Row],[Season]])=Contact[[#This Row],[Sequence]],TRUE,FALSE)</f>
        <v>1</v>
      </c>
      <c r="Y45" t="s">
        <v>96</v>
      </c>
      <c r="Z45" t="s">
        <v>2002</v>
      </c>
      <c r="AA45">
        <f>IF(Contact[[#This Row],[Latest]]=TRUE,_xlfn.XLOOKUP(Contact[[#This Row],[Final Decision]],Table3[Final Decision],Table3[Active],0),0)</f>
        <v>0</v>
      </c>
      <c r="AB45">
        <f>SUMIF(Contact[Full Name],Contact[[#This Row],[Full Name]],Contact[Active])</f>
        <v>0</v>
      </c>
    </row>
    <row r="46" spans="1:28">
      <c r="A46">
        <v>1</v>
      </c>
      <c r="B46" t="s">
        <v>1124</v>
      </c>
      <c r="C46" t="s">
        <v>1125</v>
      </c>
      <c r="E46" t="s">
        <v>2143</v>
      </c>
      <c r="F46" t="s">
        <v>98</v>
      </c>
      <c r="G46" t="s">
        <v>2092</v>
      </c>
      <c r="I46" s="1" t="s">
        <v>1126</v>
      </c>
      <c r="J46" s="66" t="s">
        <v>2093</v>
      </c>
      <c r="L46" t="s">
        <v>2094</v>
      </c>
      <c r="M46" t="s">
        <v>105</v>
      </c>
      <c r="N46" t="s">
        <v>2095</v>
      </c>
      <c r="R46" t="s">
        <v>2093</v>
      </c>
      <c r="S46" t="s">
        <v>2093</v>
      </c>
      <c r="V46">
        <v>2019</v>
      </c>
      <c r="X46" t="b">
        <f>IF(_xlfn.MAXIFS(Contact[Sequence],Contact[Full Name],Contact[[#This Row],[Full Name]],Contact[Season],Contact[[#This Row],[Season]])=Contact[[#This Row],[Sequence]],TRUE,FALSE)</f>
        <v>1</v>
      </c>
      <c r="Y46" t="s">
        <v>190</v>
      </c>
      <c r="Z46">
        <v>0</v>
      </c>
      <c r="AA46">
        <f>IF(Contact[[#This Row],[Latest]]=TRUE,_xlfn.XLOOKUP(Contact[[#This Row],[Final Decision]],Table3[Final Decision],Table3[Active],0),0)</f>
        <v>0</v>
      </c>
      <c r="AB46">
        <f>SUMIF(Contact[Full Name],Contact[[#This Row],[Full Name]],Contact[Active])</f>
        <v>0</v>
      </c>
    </row>
    <row r="47" spans="1:28">
      <c r="A47">
        <v>1</v>
      </c>
      <c r="B47" t="s">
        <v>1707</v>
      </c>
      <c r="C47" t="s">
        <v>1708</v>
      </c>
      <c r="E47" t="s">
        <v>2144</v>
      </c>
      <c r="F47" t="s">
        <v>98</v>
      </c>
      <c r="G47" t="s">
        <v>2092</v>
      </c>
      <c r="I47" s="1" t="s">
        <v>1709</v>
      </c>
      <c r="J47" s="66" t="s">
        <v>2093</v>
      </c>
      <c r="L47" t="s">
        <v>2094</v>
      </c>
      <c r="M47" t="s">
        <v>105</v>
      </c>
      <c r="N47" t="s">
        <v>2095</v>
      </c>
      <c r="R47" t="s">
        <v>2093</v>
      </c>
      <c r="S47" t="s">
        <v>2093</v>
      </c>
      <c r="V47">
        <v>2019</v>
      </c>
      <c r="X47" t="b">
        <f>IF(_xlfn.MAXIFS(Contact[Sequence],Contact[Full Name],Contact[[#This Row],[Full Name]],Contact[Season],Contact[[#This Row],[Season]])=Contact[[#This Row],[Sequence]],TRUE,FALSE)</f>
        <v>1</v>
      </c>
      <c r="Y47" t="s">
        <v>190</v>
      </c>
      <c r="Z47">
        <v>0</v>
      </c>
      <c r="AA47">
        <f>IF(Contact[[#This Row],[Latest]]=TRUE,_xlfn.XLOOKUP(Contact[[#This Row],[Final Decision]],Table3[Final Decision],Table3[Active],0),0)</f>
        <v>0</v>
      </c>
      <c r="AB47">
        <f>SUMIF(Contact[Full Name],Contact[[#This Row],[Full Name]],Contact[Active])</f>
        <v>0</v>
      </c>
    </row>
    <row r="48" spans="1:28">
      <c r="A48">
        <v>1</v>
      </c>
      <c r="B48" t="s">
        <v>992</v>
      </c>
      <c r="C48" t="s">
        <v>336</v>
      </c>
      <c r="E48" t="s">
        <v>2145</v>
      </c>
      <c r="F48" t="s">
        <v>95</v>
      </c>
      <c r="G48" t="s">
        <v>2092</v>
      </c>
      <c r="I48" s="1" t="s">
        <v>993</v>
      </c>
      <c r="J48" s="66" t="s">
        <v>994</v>
      </c>
      <c r="L48" t="s">
        <v>2094</v>
      </c>
      <c r="M48" t="s">
        <v>105</v>
      </c>
      <c r="N48" t="s">
        <v>2095</v>
      </c>
      <c r="P48" t="s">
        <v>951</v>
      </c>
      <c r="R48" t="s">
        <v>112</v>
      </c>
      <c r="S48" t="s">
        <v>2093</v>
      </c>
      <c r="V48">
        <v>2019</v>
      </c>
      <c r="X48" t="b">
        <f>IF(_xlfn.MAXIFS(Contact[Sequence],Contact[Full Name],Contact[[#This Row],[Full Name]],Contact[Season],Contact[[#This Row],[Season]])=Contact[[#This Row],[Sequence]],TRUE,FALSE)</f>
        <v>1</v>
      </c>
      <c r="Y48" t="s">
        <v>96</v>
      </c>
      <c r="Z48" t="s">
        <v>951</v>
      </c>
      <c r="AA48">
        <f>IF(Contact[[#This Row],[Latest]]=TRUE,_xlfn.XLOOKUP(Contact[[#This Row],[Final Decision]],Table3[Final Decision],Table3[Active],0),0)</f>
        <v>0</v>
      </c>
      <c r="AB48">
        <f>SUMIF(Contact[Full Name],Contact[[#This Row],[Full Name]],Contact[Active])</f>
        <v>0</v>
      </c>
    </row>
    <row r="49" spans="1:28">
      <c r="A49">
        <v>1</v>
      </c>
      <c r="B49" t="s">
        <v>1128</v>
      </c>
      <c r="C49" t="s">
        <v>1129</v>
      </c>
      <c r="E49" t="s">
        <v>2146</v>
      </c>
      <c r="F49" t="s">
        <v>98</v>
      </c>
      <c r="G49" t="s">
        <v>2092</v>
      </c>
      <c r="I49" s="1" t="s">
        <v>1130</v>
      </c>
      <c r="J49" s="66" t="s">
        <v>2093</v>
      </c>
      <c r="L49" t="s">
        <v>2094</v>
      </c>
      <c r="M49" t="s">
        <v>105</v>
      </c>
      <c r="N49" t="s">
        <v>2095</v>
      </c>
      <c r="R49" t="s">
        <v>2093</v>
      </c>
      <c r="S49" t="s">
        <v>2093</v>
      </c>
      <c r="V49">
        <v>2019</v>
      </c>
      <c r="X49" t="b">
        <f>IF(_xlfn.MAXIFS(Contact[Sequence],Contact[Full Name],Contact[[#This Row],[Full Name]],Contact[Season],Contact[[#This Row],[Season]])=Contact[[#This Row],[Sequence]],TRUE,FALSE)</f>
        <v>1</v>
      </c>
      <c r="Y49" t="s">
        <v>1051</v>
      </c>
      <c r="Z49">
        <v>0</v>
      </c>
      <c r="AA49">
        <f>IF(Contact[[#This Row],[Latest]]=TRUE,_xlfn.XLOOKUP(Contact[[#This Row],[Final Decision]],Table3[Final Decision],Table3[Active],0),0)</f>
        <v>0</v>
      </c>
      <c r="AB49">
        <f>SUMIF(Contact[Full Name],Contact[[#This Row],[Full Name]],Contact[Active])</f>
        <v>0</v>
      </c>
    </row>
    <row r="50" spans="1:28">
      <c r="A50">
        <v>1</v>
      </c>
      <c r="B50" t="s">
        <v>1133</v>
      </c>
      <c r="C50" t="s">
        <v>1134</v>
      </c>
      <c r="E50" t="s">
        <v>2147</v>
      </c>
      <c r="F50" t="s">
        <v>95</v>
      </c>
      <c r="G50" t="s">
        <v>2092</v>
      </c>
      <c r="I50" s="1" t="s">
        <v>1135</v>
      </c>
      <c r="J50" s="66"/>
      <c r="L50" t="s">
        <v>2094</v>
      </c>
      <c r="M50" t="s">
        <v>105</v>
      </c>
      <c r="N50" t="s">
        <v>2095</v>
      </c>
      <c r="R50" t="s">
        <v>2093</v>
      </c>
      <c r="S50" t="s">
        <v>2093</v>
      </c>
      <c r="V50">
        <v>2019</v>
      </c>
      <c r="X50" t="b">
        <f>IF(_xlfn.MAXIFS(Contact[Sequence],Contact[Full Name],Contact[[#This Row],[Full Name]],Contact[Season],Contact[[#This Row],[Season]])=Contact[[#This Row],[Sequence]],TRUE,FALSE)</f>
        <v>1</v>
      </c>
      <c r="Y50" t="s">
        <v>190</v>
      </c>
      <c r="Z50">
        <v>0</v>
      </c>
      <c r="AA50">
        <f>IF(Contact[[#This Row],[Latest]]=TRUE,_xlfn.XLOOKUP(Contact[[#This Row],[Final Decision]],Table3[Final Decision],Table3[Active],0),0)</f>
        <v>0</v>
      </c>
      <c r="AB50">
        <f>SUMIF(Contact[Full Name],Contact[[#This Row],[Full Name]],Contact[Active])</f>
        <v>0</v>
      </c>
    </row>
    <row r="51" spans="1:28">
      <c r="A51">
        <v>1</v>
      </c>
      <c r="B51" t="s">
        <v>340</v>
      </c>
      <c r="C51" t="s">
        <v>341</v>
      </c>
      <c r="E51" t="s">
        <v>2148</v>
      </c>
      <c r="F51" t="s">
        <v>95</v>
      </c>
      <c r="G51" t="s">
        <v>2092</v>
      </c>
      <c r="I51" s="1" t="s">
        <v>342</v>
      </c>
      <c r="J51" s="66" t="s">
        <v>343</v>
      </c>
      <c r="L51" t="s">
        <v>2094</v>
      </c>
      <c r="M51" t="s">
        <v>90</v>
      </c>
      <c r="N51" t="s">
        <v>2095</v>
      </c>
      <c r="R51" t="s">
        <v>2093</v>
      </c>
      <c r="S51" t="s">
        <v>2093</v>
      </c>
      <c r="V51">
        <v>2019</v>
      </c>
      <c r="X51" t="b">
        <f>IF(_xlfn.MAXIFS(Contact[Sequence],Contact[Full Name],Contact[[#This Row],[Full Name]],Contact[Season],Contact[[#This Row],[Season]])=Contact[[#This Row],[Sequence]],TRUE,FALSE)</f>
        <v>1</v>
      </c>
      <c r="Y51" t="s">
        <v>190</v>
      </c>
      <c r="Z51">
        <v>0</v>
      </c>
      <c r="AA51">
        <f>IF(Contact[[#This Row],[Latest]]=TRUE,_xlfn.XLOOKUP(Contact[[#This Row],[Final Decision]],Table3[Final Decision],Table3[Active],0),0)</f>
        <v>0</v>
      </c>
      <c r="AB51">
        <f>SUMIF(Contact[Full Name],Contact[[#This Row],[Full Name]],Contact[Active])</f>
        <v>0</v>
      </c>
    </row>
    <row r="52" spans="1:28">
      <c r="A52">
        <v>1</v>
      </c>
      <c r="B52" t="s">
        <v>2003</v>
      </c>
      <c r="C52" t="s">
        <v>504</v>
      </c>
      <c r="E52" t="s">
        <v>2149</v>
      </c>
      <c r="F52" t="s">
        <v>98</v>
      </c>
      <c r="G52" t="s">
        <v>2092</v>
      </c>
      <c r="I52" s="1" t="s">
        <v>2004</v>
      </c>
      <c r="J52" s="66" t="s">
        <v>2005</v>
      </c>
      <c r="L52" t="s">
        <v>2094</v>
      </c>
      <c r="M52" t="s">
        <v>90</v>
      </c>
      <c r="N52" t="s">
        <v>2095</v>
      </c>
      <c r="P52" t="s">
        <v>2007</v>
      </c>
      <c r="R52" t="s">
        <v>112</v>
      </c>
      <c r="S52" t="s">
        <v>2093</v>
      </c>
      <c r="V52">
        <v>2019</v>
      </c>
      <c r="X52" t="b">
        <f>IF(_xlfn.MAXIFS(Contact[Sequence],Contact[Full Name],Contact[[#This Row],[Full Name]],Contact[Season],Contact[[#This Row],[Season]])=Contact[[#This Row],[Sequence]],TRUE,FALSE)</f>
        <v>1</v>
      </c>
      <c r="Y52" t="s">
        <v>96</v>
      </c>
      <c r="Z52" t="s">
        <v>2007</v>
      </c>
      <c r="AA52">
        <f>IF(Contact[[#This Row],[Latest]]=TRUE,_xlfn.XLOOKUP(Contact[[#This Row],[Final Decision]],Table3[Final Decision],Table3[Active],0),0)</f>
        <v>0</v>
      </c>
      <c r="AB52">
        <f>SUMIF(Contact[Full Name],Contact[[#This Row],[Full Name]],Contact[Active])</f>
        <v>0</v>
      </c>
    </row>
    <row r="53" spans="1:28">
      <c r="A53">
        <v>1</v>
      </c>
      <c r="B53" t="s">
        <v>345</v>
      </c>
      <c r="C53" t="s">
        <v>346</v>
      </c>
      <c r="E53" t="s">
        <v>2150</v>
      </c>
      <c r="F53" t="s">
        <v>95</v>
      </c>
      <c r="G53" t="s">
        <v>2092</v>
      </c>
      <c r="I53" s="1" t="s">
        <v>347</v>
      </c>
      <c r="J53" s="66" t="s">
        <v>348</v>
      </c>
      <c r="L53" t="s">
        <v>2094</v>
      </c>
      <c r="M53" t="s">
        <v>90</v>
      </c>
      <c r="N53" t="s">
        <v>2095</v>
      </c>
      <c r="R53" t="s">
        <v>2093</v>
      </c>
      <c r="S53" t="s">
        <v>2093</v>
      </c>
      <c r="V53">
        <v>2019</v>
      </c>
      <c r="X53" t="b">
        <f>IF(_xlfn.MAXIFS(Contact[Sequence],Contact[Full Name],Contact[[#This Row],[Full Name]],Contact[Season],Contact[[#This Row],[Season]])=Contact[[#This Row],[Sequence]],TRUE,FALSE)</f>
        <v>1</v>
      </c>
      <c r="Y53" t="s">
        <v>190</v>
      </c>
      <c r="Z53">
        <v>0</v>
      </c>
      <c r="AA53">
        <f>IF(Contact[[#This Row],[Latest]]=TRUE,_xlfn.XLOOKUP(Contact[[#This Row],[Final Decision]],Table3[Final Decision],Table3[Active],0),0)</f>
        <v>0</v>
      </c>
      <c r="AB53">
        <f>SUMIF(Contact[Full Name],Contact[[#This Row],[Full Name]],Contact[Active])</f>
        <v>0</v>
      </c>
    </row>
    <row r="54" spans="1:28">
      <c r="A54">
        <v>1</v>
      </c>
      <c r="B54" t="s">
        <v>1141</v>
      </c>
      <c r="C54" t="s">
        <v>1142</v>
      </c>
      <c r="E54" t="s">
        <v>2151</v>
      </c>
      <c r="F54" t="s">
        <v>98</v>
      </c>
      <c r="G54" t="s">
        <v>2092</v>
      </c>
      <c r="I54" s="1" t="s">
        <v>1143</v>
      </c>
      <c r="J54" s="66" t="s">
        <v>2093</v>
      </c>
      <c r="L54" t="s">
        <v>2094</v>
      </c>
      <c r="M54" t="s">
        <v>90</v>
      </c>
      <c r="N54" t="s">
        <v>2095</v>
      </c>
      <c r="R54" t="s">
        <v>2093</v>
      </c>
      <c r="S54" t="s">
        <v>2093</v>
      </c>
      <c r="V54">
        <v>2019</v>
      </c>
      <c r="X54" t="b">
        <f>IF(_xlfn.MAXIFS(Contact[Sequence],Contact[Full Name],Contact[[#This Row],[Full Name]],Contact[Season],Contact[[#This Row],[Season]])=Contact[[#This Row],[Sequence]],TRUE,FALSE)</f>
        <v>1</v>
      </c>
      <c r="Y54" t="s">
        <v>190</v>
      </c>
      <c r="Z54">
        <v>0</v>
      </c>
      <c r="AA54">
        <f>IF(Contact[[#This Row],[Latest]]=TRUE,_xlfn.XLOOKUP(Contact[[#This Row],[Final Decision]],Table3[Final Decision],Table3[Active],0),0)</f>
        <v>0</v>
      </c>
      <c r="AB54">
        <f>SUMIF(Contact[Full Name],Contact[[#This Row],[Full Name]],Contact[Active])</f>
        <v>0</v>
      </c>
    </row>
    <row r="55" spans="1:28">
      <c r="A55">
        <v>1</v>
      </c>
      <c r="B55" t="s">
        <v>350</v>
      </c>
      <c r="C55" t="s">
        <v>351</v>
      </c>
      <c r="E55" t="s">
        <v>2152</v>
      </c>
      <c r="F55" t="s">
        <v>95</v>
      </c>
      <c r="G55" t="s">
        <v>2092</v>
      </c>
      <c r="I55" s="1" t="s">
        <v>352</v>
      </c>
      <c r="J55" s="66" t="s">
        <v>2093</v>
      </c>
      <c r="L55" t="s">
        <v>2094</v>
      </c>
      <c r="M55" t="s">
        <v>185</v>
      </c>
      <c r="N55" t="s">
        <v>2095</v>
      </c>
      <c r="R55" t="s">
        <v>2093</v>
      </c>
      <c r="S55" t="s">
        <v>2093</v>
      </c>
      <c r="V55">
        <v>2019</v>
      </c>
      <c r="X55" t="b">
        <f>IF(_xlfn.MAXIFS(Contact[Sequence],Contact[Full Name],Contact[[#This Row],[Full Name]],Contact[Season],Contact[[#This Row],[Season]])=Contact[[#This Row],[Sequence]],TRUE,FALSE)</f>
        <v>1</v>
      </c>
      <c r="Y55" t="s">
        <v>190</v>
      </c>
      <c r="Z55">
        <v>0</v>
      </c>
      <c r="AA55">
        <f>IF(Contact[[#This Row],[Latest]]=TRUE,_xlfn.XLOOKUP(Contact[[#This Row],[Final Decision]],Table3[Final Decision],Table3[Active],0),0)</f>
        <v>0</v>
      </c>
      <c r="AB55">
        <f>SUMIF(Contact[Full Name],Contact[[#This Row],[Full Name]],Contact[Active])</f>
        <v>0</v>
      </c>
    </row>
    <row r="56" spans="1:28">
      <c r="A56">
        <v>1</v>
      </c>
      <c r="B56" t="s">
        <v>287</v>
      </c>
      <c r="C56" t="s">
        <v>186</v>
      </c>
      <c r="E56" t="s">
        <v>2153</v>
      </c>
      <c r="F56" t="s">
        <v>98</v>
      </c>
      <c r="G56" t="s">
        <v>2100</v>
      </c>
      <c r="I56" s="1" t="s">
        <v>288</v>
      </c>
      <c r="J56" s="66" t="s">
        <v>289</v>
      </c>
      <c r="L56" t="s">
        <v>2094</v>
      </c>
      <c r="M56" t="s">
        <v>123</v>
      </c>
      <c r="N56" t="s">
        <v>2095</v>
      </c>
      <c r="P56" t="s">
        <v>293</v>
      </c>
      <c r="R56" t="s">
        <v>112</v>
      </c>
      <c r="S56" t="s">
        <v>153</v>
      </c>
      <c r="V56">
        <v>2019</v>
      </c>
      <c r="X56" t="b">
        <f>IF(_xlfn.MAXIFS(Contact[Sequence],Contact[Full Name],Contact[[#This Row],[Full Name]],Contact[Season],Contact[[#This Row],[Season]])=Contact[[#This Row],[Sequence]],TRUE,FALSE)</f>
        <v>0</v>
      </c>
      <c r="Y56" t="s">
        <v>96</v>
      </c>
      <c r="Z56" t="s">
        <v>290</v>
      </c>
      <c r="AA56">
        <f>IF(Contact[[#This Row],[Latest]]=TRUE,_xlfn.XLOOKUP(Contact[[#This Row],[Final Decision]],Table3[Final Decision],Table3[Active],0),0)</f>
        <v>0</v>
      </c>
      <c r="AB56">
        <f>SUMIF(Contact[Full Name],Contact[[#This Row],[Full Name]],Contact[Active])</f>
        <v>0</v>
      </c>
    </row>
    <row r="57" spans="1:28">
      <c r="A57">
        <v>1</v>
      </c>
      <c r="B57" t="s">
        <v>1146</v>
      </c>
      <c r="C57" t="s">
        <v>1147</v>
      </c>
      <c r="E57" t="s">
        <v>2154</v>
      </c>
      <c r="F57" t="s">
        <v>98</v>
      </c>
      <c r="G57" t="s">
        <v>2092</v>
      </c>
      <c r="I57" s="1" t="s">
        <v>1148</v>
      </c>
      <c r="J57" s="66" t="s">
        <v>2093</v>
      </c>
      <c r="L57" t="s">
        <v>2094</v>
      </c>
      <c r="M57" t="s">
        <v>105</v>
      </c>
      <c r="N57" t="s">
        <v>2095</v>
      </c>
      <c r="R57" t="s">
        <v>2093</v>
      </c>
      <c r="S57" t="s">
        <v>2093</v>
      </c>
      <c r="V57">
        <v>2020</v>
      </c>
      <c r="X57" t="b">
        <f>IF(_xlfn.MAXIFS(Contact[Sequence],Contact[Full Name],Contact[[#This Row],[Full Name]],Contact[Season],Contact[[#This Row],[Season]])=Contact[[#This Row],[Sequence]],TRUE,FALSE)</f>
        <v>1</v>
      </c>
      <c r="Y57" t="s">
        <v>190</v>
      </c>
      <c r="Z57">
        <v>0</v>
      </c>
      <c r="AA57">
        <f>IF(Contact[[#This Row],[Latest]]=TRUE,_xlfn.XLOOKUP(Contact[[#This Row],[Final Decision]],Table3[Final Decision],Table3[Active],0),0)</f>
        <v>0</v>
      </c>
      <c r="AB57">
        <f>SUMIF(Contact[Full Name],Contact[[#This Row],[Full Name]],Contact[Active])</f>
        <v>0</v>
      </c>
    </row>
    <row r="58" spans="1:28">
      <c r="A58">
        <v>1</v>
      </c>
      <c r="B58" t="s">
        <v>1445</v>
      </c>
      <c r="C58" t="s">
        <v>1446</v>
      </c>
      <c r="E58" t="s">
        <v>2155</v>
      </c>
      <c r="F58" t="s">
        <v>95</v>
      </c>
      <c r="G58" t="s">
        <v>2092</v>
      </c>
      <c r="I58" s="1" t="s">
        <v>1447</v>
      </c>
      <c r="J58" s="66" t="s">
        <v>1448</v>
      </c>
      <c r="L58" t="s">
        <v>2094</v>
      </c>
      <c r="M58" t="s">
        <v>105</v>
      </c>
      <c r="N58" t="s">
        <v>2095</v>
      </c>
      <c r="R58" t="s">
        <v>2093</v>
      </c>
      <c r="S58" t="s">
        <v>2093</v>
      </c>
      <c r="V58">
        <v>2020</v>
      </c>
      <c r="X58" t="b">
        <f>IF(_xlfn.MAXIFS(Contact[Sequence],Contact[Full Name],Contact[[#This Row],[Full Name]],Contact[Season],Contact[[#This Row],[Season]])=Contact[[#This Row],[Sequence]],TRUE,FALSE)</f>
        <v>1</v>
      </c>
      <c r="Y58" t="s">
        <v>190</v>
      </c>
      <c r="Z58">
        <v>0</v>
      </c>
      <c r="AA58">
        <f>IF(Contact[[#This Row],[Latest]]=TRUE,_xlfn.XLOOKUP(Contact[[#This Row],[Final Decision]],Table3[Final Decision],Table3[Active],0),0)</f>
        <v>0</v>
      </c>
      <c r="AB58">
        <f>SUMIF(Contact[Full Name],Contact[[#This Row],[Full Name]],Contact[Active])</f>
        <v>0</v>
      </c>
    </row>
    <row r="59" spans="1:28">
      <c r="A59">
        <v>1</v>
      </c>
      <c r="B59" t="s">
        <v>2067</v>
      </c>
      <c r="C59" t="s">
        <v>2068</v>
      </c>
      <c r="E59" t="s">
        <v>2156</v>
      </c>
      <c r="F59" t="s">
        <v>2071</v>
      </c>
      <c r="G59" t="s">
        <v>2092</v>
      </c>
      <c r="I59" s="1" t="s">
        <v>2093</v>
      </c>
      <c r="J59" s="66" t="s">
        <v>2093</v>
      </c>
      <c r="L59" t="s">
        <v>2094</v>
      </c>
      <c r="M59" t="s">
        <v>90</v>
      </c>
      <c r="N59" t="s">
        <v>2095</v>
      </c>
      <c r="R59" t="s">
        <v>112</v>
      </c>
      <c r="S59" t="s">
        <v>2093</v>
      </c>
      <c r="V59">
        <v>2020</v>
      </c>
      <c r="X59" t="b">
        <f>IF(_xlfn.MAXIFS(Contact[Sequence],Contact[Full Name],Contact[[#This Row],[Full Name]],Contact[Season],Contact[[#This Row],[Season]])=Contact[[#This Row],[Sequence]],TRUE,FALSE)</f>
        <v>1</v>
      </c>
      <c r="Y59" t="s">
        <v>1051</v>
      </c>
      <c r="Z59">
        <v>0</v>
      </c>
      <c r="AA59">
        <f>IF(Contact[[#This Row],[Latest]]=TRUE,_xlfn.XLOOKUP(Contact[[#This Row],[Final Decision]],Table3[Final Decision],Table3[Active],0),0)</f>
        <v>0</v>
      </c>
      <c r="AB59">
        <f>SUMIF(Contact[Full Name],Contact[[#This Row],[Full Name]],Contact[Active])</f>
        <v>0</v>
      </c>
    </row>
    <row r="60" spans="1:28">
      <c r="A60">
        <v>1</v>
      </c>
      <c r="B60" t="s">
        <v>800</v>
      </c>
      <c r="C60" t="s">
        <v>801</v>
      </c>
      <c r="E60" t="s">
        <v>2157</v>
      </c>
      <c r="F60" t="s">
        <v>95</v>
      </c>
      <c r="G60" t="s">
        <v>2092</v>
      </c>
      <c r="I60" s="1" t="s">
        <v>802</v>
      </c>
      <c r="J60" s="66" t="s">
        <v>803</v>
      </c>
      <c r="L60" t="s">
        <v>2094</v>
      </c>
      <c r="M60" t="s">
        <v>105</v>
      </c>
      <c r="N60" t="s">
        <v>2095</v>
      </c>
      <c r="P60" t="s">
        <v>665</v>
      </c>
      <c r="R60" t="s">
        <v>112</v>
      </c>
      <c r="S60" t="s">
        <v>2093</v>
      </c>
      <c r="V60">
        <v>2020</v>
      </c>
      <c r="X60" t="b">
        <f>IF(_xlfn.MAXIFS(Contact[Sequence],Contact[Full Name],Contact[[#This Row],[Full Name]],Contact[Season],Contact[[#This Row],[Season]])=Contact[[#This Row],[Sequence]],TRUE,FALSE)</f>
        <v>1</v>
      </c>
      <c r="Y60" t="s">
        <v>96</v>
      </c>
      <c r="Z60" t="s">
        <v>665</v>
      </c>
      <c r="AA60">
        <f>IF(Contact[[#This Row],[Latest]]=TRUE,_xlfn.XLOOKUP(Contact[[#This Row],[Final Decision]],Table3[Final Decision],Table3[Active],0),0)</f>
        <v>0</v>
      </c>
      <c r="AB60">
        <f>SUMIF(Contact[Full Name],Contact[[#This Row],[Full Name]],Contact[Active])</f>
        <v>0</v>
      </c>
    </row>
    <row r="61" spans="1:28">
      <c r="A61">
        <v>1</v>
      </c>
      <c r="B61" t="s">
        <v>800</v>
      </c>
      <c r="C61" t="s">
        <v>1150</v>
      </c>
      <c r="E61" t="s">
        <v>2158</v>
      </c>
      <c r="F61" t="s">
        <v>98</v>
      </c>
      <c r="G61" t="s">
        <v>2092</v>
      </c>
      <c r="I61" s="1" t="s">
        <v>1151</v>
      </c>
      <c r="J61" s="66" t="s">
        <v>2093</v>
      </c>
      <c r="L61" t="s">
        <v>2094</v>
      </c>
      <c r="M61" t="s">
        <v>105</v>
      </c>
      <c r="N61" t="s">
        <v>2095</v>
      </c>
      <c r="R61" t="s">
        <v>2093</v>
      </c>
      <c r="S61" t="s">
        <v>2093</v>
      </c>
      <c r="V61">
        <v>2020</v>
      </c>
      <c r="X61" t="b">
        <f>IF(_xlfn.MAXIFS(Contact[Sequence],Contact[Full Name],Contact[[#This Row],[Full Name]],Contact[Season],Contact[[#This Row],[Season]])=Contact[[#This Row],[Sequence]],TRUE,FALSE)</f>
        <v>1</v>
      </c>
      <c r="Y61" t="s">
        <v>190</v>
      </c>
      <c r="Z61">
        <v>0</v>
      </c>
      <c r="AA61">
        <f>IF(Contact[[#This Row],[Latest]]=TRUE,_xlfn.XLOOKUP(Contact[[#This Row],[Final Decision]],Table3[Final Decision],Table3[Active],0),0)</f>
        <v>0</v>
      </c>
      <c r="AB61">
        <f>SUMIF(Contact[Full Name],Contact[[#This Row],[Full Name]],Contact[Active])</f>
        <v>0</v>
      </c>
    </row>
    <row r="62" spans="1:28">
      <c r="A62">
        <v>1</v>
      </c>
      <c r="B62" t="s">
        <v>1158</v>
      </c>
      <c r="C62" t="s">
        <v>1159</v>
      </c>
      <c r="E62" t="s">
        <v>2159</v>
      </c>
      <c r="F62" t="s">
        <v>95</v>
      </c>
      <c r="G62" t="s">
        <v>2092</v>
      </c>
      <c r="I62" s="1" t="s">
        <v>1160</v>
      </c>
      <c r="J62" s="66" t="s">
        <v>2093</v>
      </c>
      <c r="L62" t="s">
        <v>2094</v>
      </c>
      <c r="M62" t="s">
        <v>185</v>
      </c>
      <c r="N62" t="s">
        <v>2095</v>
      </c>
      <c r="R62" t="s">
        <v>2093</v>
      </c>
      <c r="S62" t="s">
        <v>2093</v>
      </c>
      <c r="V62">
        <v>2020</v>
      </c>
      <c r="X62" t="b">
        <f>IF(_xlfn.MAXIFS(Contact[Sequence],Contact[Full Name],Contact[[#This Row],[Full Name]],Contact[Season],Contact[[#This Row],[Season]])=Contact[[#This Row],[Sequence]],TRUE,FALSE)</f>
        <v>1</v>
      </c>
      <c r="Y62" t="s">
        <v>190</v>
      </c>
      <c r="Z62">
        <v>0</v>
      </c>
      <c r="AA62">
        <f>IF(Contact[[#This Row],[Latest]]=TRUE,_xlfn.XLOOKUP(Contact[[#This Row],[Final Decision]],Table3[Final Decision],Table3[Active],0),0)</f>
        <v>0</v>
      </c>
      <c r="AB62">
        <f>SUMIF(Contact[Full Name],Contact[[#This Row],[Full Name]],Contact[Active])</f>
        <v>0</v>
      </c>
    </row>
    <row r="63" spans="1:28">
      <c r="A63">
        <v>1</v>
      </c>
      <c r="B63" t="s">
        <v>1929</v>
      </c>
      <c r="C63" t="s">
        <v>1930</v>
      </c>
      <c r="E63" t="s">
        <v>2160</v>
      </c>
      <c r="F63" t="s">
        <v>98</v>
      </c>
      <c r="G63" t="s">
        <v>2092</v>
      </c>
      <c r="I63" s="1" t="s">
        <v>2093</v>
      </c>
      <c r="J63" s="66" t="s">
        <v>2093</v>
      </c>
      <c r="L63" t="s">
        <v>2094</v>
      </c>
      <c r="M63" t="s">
        <v>105</v>
      </c>
      <c r="N63" t="s">
        <v>2095</v>
      </c>
      <c r="R63" t="s">
        <v>2093</v>
      </c>
      <c r="S63" t="s">
        <v>2093</v>
      </c>
      <c r="V63">
        <v>2020</v>
      </c>
      <c r="X63" t="b">
        <f>IF(_xlfn.MAXIFS(Contact[Sequence],Contact[Full Name],Contact[[#This Row],[Full Name]],Contact[Season],Contact[[#This Row],[Season]])=Contact[[#This Row],[Sequence]],TRUE,FALSE)</f>
        <v>1</v>
      </c>
      <c r="Y63" t="s">
        <v>1051</v>
      </c>
      <c r="Z63">
        <v>0</v>
      </c>
      <c r="AA63">
        <f>IF(Contact[[#This Row],[Latest]]=TRUE,_xlfn.XLOOKUP(Contact[[#This Row],[Final Decision]],Table3[Final Decision],Table3[Active],0),0)</f>
        <v>0</v>
      </c>
      <c r="AB63">
        <f>SUMIF(Contact[Full Name],Contact[[#This Row],[Full Name]],Contact[Active])</f>
        <v>0</v>
      </c>
    </row>
    <row r="64" spans="1:28">
      <c r="A64">
        <v>1</v>
      </c>
      <c r="B64" t="s">
        <v>1163</v>
      </c>
      <c r="C64" t="s">
        <v>1164</v>
      </c>
      <c r="E64" t="s">
        <v>2161</v>
      </c>
      <c r="F64" t="s">
        <v>98</v>
      </c>
      <c r="G64" t="s">
        <v>2092</v>
      </c>
      <c r="I64" s="1" t="s">
        <v>1165</v>
      </c>
      <c r="J64" s="66" t="s">
        <v>1166</v>
      </c>
      <c r="L64" t="s">
        <v>2094</v>
      </c>
      <c r="M64" t="s">
        <v>90</v>
      </c>
      <c r="N64" t="s">
        <v>2095</v>
      </c>
      <c r="R64" t="s">
        <v>2093</v>
      </c>
      <c r="S64" t="s">
        <v>2093</v>
      </c>
      <c r="V64">
        <v>2020</v>
      </c>
      <c r="X64" t="b">
        <f>IF(_xlfn.MAXIFS(Contact[Sequence],Contact[Full Name],Contact[[#This Row],[Full Name]],Contact[Season],Contact[[#This Row],[Season]])=Contact[[#This Row],[Sequence]],TRUE,FALSE)</f>
        <v>1</v>
      </c>
      <c r="Y64" t="s">
        <v>190</v>
      </c>
      <c r="Z64">
        <v>0</v>
      </c>
      <c r="AA64">
        <f>IF(Contact[[#This Row],[Latest]]=TRUE,_xlfn.XLOOKUP(Contact[[#This Row],[Final Decision]],Table3[Final Decision],Table3[Active],0),0)</f>
        <v>0</v>
      </c>
      <c r="AB64">
        <f>SUMIF(Contact[Full Name],Contact[[#This Row],[Full Name]],Contact[Active])</f>
        <v>0</v>
      </c>
    </row>
    <row r="65" spans="1:28">
      <c r="A65">
        <v>1</v>
      </c>
      <c r="B65" t="s">
        <v>274</v>
      </c>
      <c r="C65" t="s">
        <v>275</v>
      </c>
      <c r="E65" t="s">
        <v>2162</v>
      </c>
      <c r="F65" t="s">
        <v>95</v>
      </c>
      <c r="G65" t="s">
        <v>2092</v>
      </c>
      <c r="I65" s="1" t="s">
        <v>276</v>
      </c>
      <c r="J65" s="66" t="s">
        <v>277</v>
      </c>
      <c r="L65" t="s">
        <v>2094</v>
      </c>
      <c r="M65" t="s">
        <v>90</v>
      </c>
      <c r="N65" t="s">
        <v>2095</v>
      </c>
      <c r="P65" t="s">
        <v>159</v>
      </c>
      <c r="R65" t="s">
        <v>112</v>
      </c>
      <c r="S65" t="s">
        <v>2093</v>
      </c>
      <c r="V65">
        <v>2020</v>
      </c>
      <c r="X65" t="b">
        <f>IF(_xlfn.MAXIFS(Contact[Sequence],Contact[Full Name],Contact[[#This Row],[Full Name]],Contact[Season],Contact[[#This Row],[Season]])=Contact[[#This Row],[Sequence]],TRUE,FALSE)</f>
        <v>0</v>
      </c>
      <c r="Y65" t="s">
        <v>96</v>
      </c>
      <c r="Z65" t="s">
        <v>159</v>
      </c>
      <c r="AA65">
        <f>IF(Contact[[#This Row],[Latest]]=TRUE,_xlfn.XLOOKUP(Contact[[#This Row],[Final Decision]],Table3[Final Decision],Table3[Active],0),0)</f>
        <v>0</v>
      </c>
      <c r="AB65">
        <f>SUMIF(Contact[Full Name],Contact[[#This Row],[Full Name]],Contact[Active])</f>
        <v>0</v>
      </c>
    </row>
    <row r="66" spans="1:28">
      <c r="A66">
        <v>1</v>
      </c>
      <c r="B66" t="s">
        <v>1169</v>
      </c>
      <c r="C66" t="s">
        <v>1170</v>
      </c>
      <c r="E66" t="s">
        <v>2163</v>
      </c>
      <c r="F66" t="s">
        <v>95</v>
      </c>
      <c r="G66" t="s">
        <v>2092</v>
      </c>
      <c r="I66" s="1" t="s">
        <v>1171</v>
      </c>
      <c r="J66" s="66"/>
      <c r="L66" t="s">
        <v>2094</v>
      </c>
      <c r="M66" t="s">
        <v>105</v>
      </c>
      <c r="N66" t="s">
        <v>2095</v>
      </c>
      <c r="R66" t="s">
        <v>2093</v>
      </c>
      <c r="S66" t="s">
        <v>2093</v>
      </c>
      <c r="V66">
        <v>2020</v>
      </c>
      <c r="X66" t="b">
        <f>IF(_xlfn.MAXIFS(Contact[Sequence],Contact[Full Name],Contact[[#This Row],[Full Name]],Contact[Season],Contact[[#This Row],[Season]])=Contact[[#This Row],[Sequence]],TRUE,FALSE)</f>
        <v>1</v>
      </c>
      <c r="Y66" t="s">
        <v>190</v>
      </c>
      <c r="Z66">
        <v>0</v>
      </c>
      <c r="AA66">
        <f>IF(Contact[[#This Row],[Latest]]=TRUE,_xlfn.XLOOKUP(Contact[[#This Row],[Final Decision]],Table3[Final Decision],Table3[Active],0),0)</f>
        <v>0</v>
      </c>
      <c r="AB66">
        <f>SUMIF(Contact[Full Name],Contact[[#This Row],[Full Name]],Contact[Active])</f>
        <v>0</v>
      </c>
    </row>
    <row r="67" spans="1:28">
      <c r="A67">
        <v>1</v>
      </c>
      <c r="B67" t="s">
        <v>1174</v>
      </c>
      <c r="C67" t="s">
        <v>1175</v>
      </c>
      <c r="E67" t="s">
        <v>2164</v>
      </c>
      <c r="F67" t="s">
        <v>98</v>
      </c>
      <c r="G67" t="s">
        <v>2092</v>
      </c>
      <c r="I67" s="1" t="s">
        <v>1176</v>
      </c>
      <c r="J67" s="66" t="s">
        <v>2093</v>
      </c>
      <c r="L67" t="s">
        <v>2094</v>
      </c>
      <c r="M67" t="s">
        <v>105</v>
      </c>
      <c r="N67" t="s">
        <v>2095</v>
      </c>
      <c r="R67" t="s">
        <v>2093</v>
      </c>
      <c r="S67" t="s">
        <v>2093</v>
      </c>
      <c r="V67">
        <v>2020</v>
      </c>
      <c r="X67" t="b">
        <f>IF(_xlfn.MAXIFS(Contact[Sequence],Contact[Full Name],Contact[[#This Row],[Full Name]],Contact[Season],Contact[[#This Row],[Season]])=Contact[[#This Row],[Sequence]],TRUE,FALSE)</f>
        <v>1</v>
      </c>
      <c r="Y67" t="s">
        <v>190</v>
      </c>
      <c r="Z67">
        <v>0</v>
      </c>
      <c r="AA67">
        <f>IF(Contact[[#This Row],[Latest]]=TRUE,_xlfn.XLOOKUP(Contact[[#This Row],[Final Decision]],Table3[Final Decision],Table3[Active],0),0)</f>
        <v>0</v>
      </c>
      <c r="AB67">
        <f>SUMIF(Contact[Full Name],Contact[[#This Row],[Full Name]],Contact[Active])</f>
        <v>0</v>
      </c>
    </row>
    <row r="68" spans="1:28">
      <c r="A68">
        <v>1</v>
      </c>
      <c r="B68" t="s">
        <v>1194</v>
      </c>
      <c r="C68" t="s">
        <v>1195</v>
      </c>
      <c r="E68" t="s">
        <v>2165</v>
      </c>
      <c r="F68" t="s">
        <v>95</v>
      </c>
      <c r="G68" t="s">
        <v>2092</v>
      </c>
      <c r="I68" s="1" t="s">
        <v>1196</v>
      </c>
      <c r="J68" s="66"/>
      <c r="L68" t="s">
        <v>2094</v>
      </c>
      <c r="M68" t="s">
        <v>105</v>
      </c>
      <c r="N68" t="s">
        <v>2095</v>
      </c>
      <c r="R68" t="s">
        <v>2093</v>
      </c>
      <c r="S68" t="s">
        <v>2093</v>
      </c>
      <c r="V68">
        <v>2020</v>
      </c>
      <c r="X68" t="b">
        <f>IF(_xlfn.MAXIFS(Contact[Sequence],Contact[Full Name],Contact[[#This Row],[Full Name]],Contact[Season],Contact[[#This Row],[Season]])=Contact[[#This Row],[Sequence]],TRUE,FALSE)</f>
        <v>1</v>
      </c>
      <c r="Y68" t="s">
        <v>190</v>
      </c>
      <c r="Z68">
        <v>0</v>
      </c>
      <c r="AA68">
        <f>IF(Contact[[#This Row],[Latest]]=TRUE,_xlfn.XLOOKUP(Contact[[#This Row],[Final Decision]],Table3[Final Decision],Table3[Active],0),0)</f>
        <v>0</v>
      </c>
      <c r="AB68">
        <f>SUMIF(Contact[Full Name],Contact[[#This Row],[Full Name]],Contact[Active])</f>
        <v>0</v>
      </c>
    </row>
    <row r="69" spans="1:28">
      <c r="A69">
        <v>1</v>
      </c>
      <c r="B69" t="s">
        <v>1178</v>
      </c>
      <c r="C69" t="s">
        <v>1179</v>
      </c>
      <c r="E69" t="s">
        <v>2166</v>
      </c>
      <c r="F69" t="s">
        <v>98</v>
      </c>
      <c r="G69" t="s">
        <v>2092</v>
      </c>
      <c r="I69" s="1" t="s">
        <v>1180</v>
      </c>
      <c r="J69" s="66" t="s">
        <v>1181</v>
      </c>
      <c r="L69" t="s">
        <v>2094</v>
      </c>
      <c r="M69" t="s">
        <v>105</v>
      </c>
      <c r="N69" t="s">
        <v>2095</v>
      </c>
      <c r="R69" t="s">
        <v>2093</v>
      </c>
      <c r="S69" t="s">
        <v>2093</v>
      </c>
      <c r="V69">
        <v>2020</v>
      </c>
      <c r="X69" t="b">
        <f>IF(_xlfn.MAXIFS(Contact[Sequence],Contact[Full Name],Contact[[#This Row],[Full Name]],Contact[Season],Contact[[#This Row],[Season]])=Contact[[#This Row],[Sequence]],TRUE,FALSE)</f>
        <v>1</v>
      </c>
      <c r="Y69" t="s">
        <v>190</v>
      </c>
      <c r="Z69">
        <v>0</v>
      </c>
      <c r="AA69">
        <f>IF(Contact[[#This Row],[Latest]]=TRUE,_xlfn.XLOOKUP(Contact[[#This Row],[Final Decision]],Table3[Final Decision],Table3[Active],0),0)</f>
        <v>0</v>
      </c>
      <c r="AB69">
        <f>SUMIF(Contact[Full Name],Contact[[#This Row],[Full Name]],Contact[Active])</f>
        <v>0</v>
      </c>
    </row>
    <row r="70" spans="1:28">
      <c r="A70">
        <v>1</v>
      </c>
      <c r="B70" t="s">
        <v>815</v>
      </c>
      <c r="C70" t="s">
        <v>816</v>
      </c>
      <c r="E70" t="s">
        <v>2167</v>
      </c>
      <c r="F70" t="s">
        <v>95</v>
      </c>
      <c r="G70" t="s">
        <v>2092</v>
      </c>
      <c r="I70" s="1" t="s">
        <v>817</v>
      </c>
      <c r="J70" s="66" t="s">
        <v>818</v>
      </c>
      <c r="L70" t="s">
        <v>2094</v>
      </c>
      <c r="M70" t="s">
        <v>90</v>
      </c>
      <c r="N70" t="s">
        <v>2095</v>
      </c>
      <c r="P70" t="s">
        <v>665</v>
      </c>
      <c r="R70" t="s">
        <v>112</v>
      </c>
      <c r="S70" t="s">
        <v>2093</v>
      </c>
      <c r="V70">
        <v>2020</v>
      </c>
      <c r="X70" t="b">
        <f>IF(_xlfn.MAXIFS(Contact[Sequence],Contact[Full Name],Contact[[#This Row],[Full Name]],Contact[Season],Contact[[#This Row],[Season]])=Contact[[#This Row],[Sequence]],TRUE,FALSE)</f>
        <v>1</v>
      </c>
      <c r="Y70" t="s">
        <v>96</v>
      </c>
      <c r="Z70" t="s">
        <v>665</v>
      </c>
      <c r="AA70">
        <f>IF(Contact[[#This Row],[Latest]]=TRUE,_xlfn.XLOOKUP(Contact[[#This Row],[Final Decision]],Table3[Final Decision],Table3[Active],0),0)</f>
        <v>0</v>
      </c>
      <c r="AB70">
        <f>SUMIF(Contact[Full Name],Contact[[#This Row],[Full Name]],Contact[Active])</f>
        <v>0</v>
      </c>
    </row>
    <row r="71" spans="1:28">
      <c r="A71">
        <v>1</v>
      </c>
      <c r="B71" t="s">
        <v>1183</v>
      </c>
      <c r="C71" t="s">
        <v>1184</v>
      </c>
      <c r="E71" t="s">
        <v>2168</v>
      </c>
      <c r="F71" t="s">
        <v>95</v>
      </c>
      <c r="G71" t="s">
        <v>2092</v>
      </c>
      <c r="I71" s="1" t="s">
        <v>1185</v>
      </c>
      <c r="J71" s="66"/>
      <c r="L71" t="s">
        <v>2094</v>
      </c>
      <c r="M71" t="s">
        <v>105</v>
      </c>
      <c r="N71" t="s">
        <v>2095</v>
      </c>
      <c r="R71" t="s">
        <v>2093</v>
      </c>
      <c r="S71" t="s">
        <v>2093</v>
      </c>
      <c r="V71">
        <v>2020</v>
      </c>
      <c r="X71" t="b">
        <f>IF(_xlfn.MAXIFS(Contact[Sequence],Contact[Full Name],Contact[[#This Row],[Full Name]],Contact[Season],Contact[[#This Row],[Season]])=Contact[[#This Row],[Sequence]],TRUE,FALSE)</f>
        <v>1</v>
      </c>
      <c r="Y71" t="s">
        <v>190</v>
      </c>
      <c r="Z71">
        <v>0</v>
      </c>
      <c r="AA71">
        <f>IF(Contact[[#This Row],[Latest]]=TRUE,_xlfn.XLOOKUP(Contact[[#This Row],[Final Decision]],Table3[Final Decision],Table3[Active],0),0)</f>
        <v>0</v>
      </c>
      <c r="AB71">
        <f>SUMIF(Contact[Full Name],Contact[[#This Row],[Full Name]],Contact[Active])</f>
        <v>0</v>
      </c>
    </row>
    <row r="72" spans="1:28">
      <c r="A72">
        <v>1</v>
      </c>
      <c r="B72" t="s">
        <v>1199</v>
      </c>
      <c r="C72" t="s">
        <v>1200</v>
      </c>
      <c r="E72" t="s">
        <v>2169</v>
      </c>
      <c r="F72" t="s">
        <v>98</v>
      </c>
      <c r="G72" t="s">
        <v>2092</v>
      </c>
      <c r="I72" s="1" t="s">
        <v>1201</v>
      </c>
      <c r="J72" s="66" t="s">
        <v>2093</v>
      </c>
      <c r="L72" t="s">
        <v>2094</v>
      </c>
      <c r="M72" t="s">
        <v>105</v>
      </c>
      <c r="N72" t="s">
        <v>2095</v>
      </c>
      <c r="R72" t="s">
        <v>2093</v>
      </c>
      <c r="S72" t="s">
        <v>2093</v>
      </c>
      <c r="V72">
        <v>2020</v>
      </c>
      <c r="X72" t="b">
        <f>IF(_xlfn.MAXIFS(Contact[Sequence],Contact[Full Name],Contact[[#This Row],[Full Name]],Contact[Season],Contact[[#This Row],[Season]])=Contact[[#This Row],[Sequence]],TRUE,FALSE)</f>
        <v>1</v>
      </c>
      <c r="Y72" t="s">
        <v>190</v>
      </c>
      <c r="Z72">
        <v>0</v>
      </c>
      <c r="AA72">
        <f>IF(Contact[[#This Row],[Latest]]=TRUE,_xlfn.XLOOKUP(Contact[[#This Row],[Final Decision]],Table3[Final Decision],Table3[Active],0),0)</f>
        <v>0</v>
      </c>
      <c r="AB72">
        <f>SUMIF(Contact[Full Name],Contact[[#This Row],[Full Name]],Contact[Active])</f>
        <v>0</v>
      </c>
    </row>
    <row r="73" spans="1:28">
      <c r="A73">
        <v>1</v>
      </c>
      <c r="B73" t="s">
        <v>1208</v>
      </c>
      <c r="C73" t="s">
        <v>1209</v>
      </c>
      <c r="E73" t="s">
        <v>2170</v>
      </c>
      <c r="F73" t="s">
        <v>98</v>
      </c>
      <c r="G73" t="s">
        <v>2092</v>
      </c>
      <c r="I73" s="1" t="s">
        <v>1210</v>
      </c>
      <c r="J73" s="66" t="s">
        <v>2093</v>
      </c>
      <c r="L73" t="s">
        <v>2094</v>
      </c>
      <c r="M73" t="s">
        <v>105</v>
      </c>
      <c r="N73" t="s">
        <v>2095</v>
      </c>
      <c r="R73" t="s">
        <v>2093</v>
      </c>
      <c r="S73" t="s">
        <v>2093</v>
      </c>
      <c r="V73">
        <v>2020</v>
      </c>
      <c r="X73" t="b">
        <f>IF(_xlfn.MAXIFS(Contact[Sequence],Contact[Full Name],Contact[[#This Row],[Full Name]],Contact[Season],Contact[[#This Row],[Season]])=Contact[[#This Row],[Sequence]],TRUE,FALSE)</f>
        <v>1</v>
      </c>
      <c r="Y73" t="s">
        <v>190</v>
      </c>
      <c r="Z73">
        <v>0</v>
      </c>
      <c r="AA73">
        <f>IF(Contact[[#This Row],[Latest]]=TRUE,_xlfn.XLOOKUP(Contact[[#This Row],[Final Decision]],Table3[Final Decision],Table3[Active],0),0)</f>
        <v>0</v>
      </c>
      <c r="AB73">
        <f>SUMIF(Contact[Full Name],Contact[[#This Row],[Full Name]],Contact[Active])</f>
        <v>0</v>
      </c>
    </row>
    <row r="74" spans="1:28">
      <c r="A74">
        <v>1</v>
      </c>
      <c r="B74" t="s">
        <v>1212</v>
      </c>
      <c r="C74" t="s">
        <v>762</v>
      </c>
      <c r="E74" t="s">
        <v>2171</v>
      </c>
      <c r="F74" t="s">
        <v>95</v>
      </c>
      <c r="G74" t="s">
        <v>2092</v>
      </c>
      <c r="I74" s="1" t="s">
        <v>1213</v>
      </c>
      <c r="J74" s="66" t="s">
        <v>1214</v>
      </c>
      <c r="L74" t="s">
        <v>2094</v>
      </c>
      <c r="M74" t="s">
        <v>105</v>
      </c>
      <c r="N74" t="s">
        <v>2095</v>
      </c>
      <c r="R74" t="s">
        <v>2093</v>
      </c>
      <c r="S74" t="s">
        <v>2093</v>
      </c>
      <c r="V74">
        <v>2020</v>
      </c>
      <c r="X74" t="b">
        <f>IF(_xlfn.MAXIFS(Contact[Sequence],Contact[Full Name],Contact[[#This Row],[Full Name]],Contact[Season],Contact[[#This Row],[Season]])=Contact[[#This Row],[Sequence]],TRUE,FALSE)</f>
        <v>1</v>
      </c>
      <c r="Y74" t="s">
        <v>190</v>
      </c>
      <c r="Z74">
        <v>0</v>
      </c>
      <c r="AA74">
        <f>IF(Contact[[#This Row],[Latest]]=TRUE,_xlfn.XLOOKUP(Contact[[#This Row],[Final Decision]],Table3[Final Decision],Table3[Active],0),0)</f>
        <v>0</v>
      </c>
      <c r="AB74">
        <f>SUMIF(Contact[Full Name],Contact[[#This Row],[Full Name]],Contact[Active])</f>
        <v>0</v>
      </c>
    </row>
    <row r="75" spans="1:28">
      <c r="A75">
        <v>1</v>
      </c>
      <c r="B75" t="s">
        <v>820</v>
      </c>
      <c r="C75" t="s">
        <v>443</v>
      </c>
      <c r="E75" t="s">
        <v>2172</v>
      </c>
      <c r="F75" t="s">
        <v>95</v>
      </c>
      <c r="G75" t="s">
        <v>2092</v>
      </c>
      <c r="I75" s="1" t="s">
        <v>821</v>
      </c>
      <c r="J75" s="66"/>
      <c r="L75" t="s">
        <v>2094</v>
      </c>
      <c r="M75" t="s">
        <v>105</v>
      </c>
      <c r="N75" t="s">
        <v>2095</v>
      </c>
      <c r="P75" t="s">
        <v>824</v>
      </c>
      <c r="R75" t="s">
        <v>112</v>
      </c>
      <c r="S75" t="s">
        <v>2093</v>
      </c>
      <c r="V75">
        <v>2020</v>
      </c>
      <c r="X75" t="b">
        <f>IF(_xlfn.MAXIFS(Contact[Sequence],Contact[Full Name],Contact[[#This Row],[Full Name]],Contact[Season],Contact[[#This Row],[Season]])=Contact[[#This Row],[Sequence]],TRUE,FALSE)</f>
        <v>1</v>
      </c>
      <c r="Y75" t="s">
        <v>96</v>
      </c>
      <c r="Z75" t="s">
        <v>824</v>
      </c>
      <c r="AA75">
        <f>IF(Contact[[#This Row],[Latest]]=TRUE,_xlfn.XLOOKUP(Contact[[#This Row],[Final Decision]],Table3[Final Decision],Table3[Active],0),0)</f>
        <v>0</v>
      </c>
      <c r="AB75">
        <f>SUMIF(Contact[Full Name],Contact[[#This Row],[Full Name]],Contact[Active])</f>
        <v>0</v>
      </c>
    </row>
    <row r="76" spans="1:28">
      <c r="A76">
        <v>1</v>
      </c>
      <c r="B76" t="s">
        <v>679</v>
      </c>
      <c r="C76" t="s">
        <v>680</v>
      </c>
      <c r="E76" t="s">
        <v>2173</v>
      </c>
      <c r="F76" t="s">
        <v>100</v>
      </c>
      <c r="G76" t="s">
        <v>2100</v>
      </c>
      <c r="I76" s="1" t="s">
        <v>681</v>
      </c>
      <c r="J76" s="66" t="s">
        <v>2093</v>
      </c>
      <c r="L76" t="s">
        <v>2094</v>
      </c>
      <c r="M76" t="s">
        <v>105</v>
      </c>
      <c r="N76" t="s">
        <v>2095</v>
      </c>
      <c r="P76" t="s">
        <v>685</v>
      </c>
      <c r="R76" t="s">
        <v>677</v>
      </c>
      <c r="S76" t="s">
        <v>678</v>
      </c>
      <c r="V76">
        <v>2020</v>
      </c>
      <c r="X76" t="b">
        <f>IF(_xlfn.MAXIFS(Contact[Sequence],Contact[Full Name],Contact[[#This Row],[Full Name]],Contact[Season],Contact[[#This Row],[Season]])=Contact[[#This Row],[Sequence]],TRUE,FALSE)</f>
        <v>0</v>
      </c>
      <c r="Y76" t="s">
        <v>96</v>
      </c>
      <c r="Z76" t="s">
        <v>683</v>
      </c>
      <c r="AA76">
        <f>IF(Contact[[#This Row],[Latest]]=TRUE,_xlfn.XLOOKUP(Contact[[#This Row],[Final Decision]],Table3[Final Decision],Table3[Active],0),0)</f>
        <v>0</v>
      </c>
      <c r="AB76">
        <f>SUMIF(Contact[Full Name],Contact[[#This Row],[Full Name]],Contact[Active])</f>
        <v>0</v>
      </c>
    </row>
    <row r="77" spans="1:28">
      <c r="A77">
        <v>1</v>
      </c>
      <c r="B77" t="s">
        <v>1563</v>
      </c>
      <c r="C77" t="s">
        <v>260</v>
      </c>
      <c r="E77" t="s">
        <v>2174</v>
      </c>
      <c r="F77" t="s">
        <v>98</v>
      </c>
      <c r="G77" t="s">
        <v>2092</v>
      </c>
      <c r="I77" s="1" t="s">
        <v>1564</v>
      </c>
      <c r="J77" s="66" t="s">
        <v>2093</v>
      </c>
      <c r="L77" t="s">
        <v>2094</v>
      </c>
      <c r="M77" t="s">
        <v>90</v>
      </c>
      <c r="N77" t="s">
        <v>2095</v>
      </c>
      <c r="R77" t="s">
        <v>2093</v>
      </c>
      <c r="S77" t="s">
        <v>2093</v>
      </c>
      <c r="V77">
        <v>2020</v>
      </c>
      <c r="X77" t="b">
        <f>IF(_xlfn.MAXIFS(Contact[Sequence],Contact[Full Name],Contact[[#This Row],[Full Name]],Contact[Season],Contact[[#This Row],[Season]])=Contact[[#This Row],[Sequence]],TRUE,FALSE)</f>
        <v>1</v>
      </c>
      <c r="Y77" t="s">
        <v>190</v>
      </c>
      <c r="Z77">
        <v>0</v>
      </c>
      <c r="AA77">
        <f>IF(Contact[[#This Row],[Latest]]=TRUE,_xlfn.XLOOKUP(Contact[[#This Row],[Final Decision]],Table3[Final Decision],Table3[Active],0),0)</f>
        <v>0</v>
      </c>
      <c r="AB77">
        <f>SUMIF(Contact[Full Name],Contact[[#This Row],[Full Name]],Contact[Active])</f>
        <v>0</v>
      </c>
    </row>
    <row r="78" spans="1:28">
      <c r="A78">
        <v>1</v>
      </c>
      <c r="B78" t="s">
        <v>835</v>
      </c>
      <c r="C78" t="s">
        <v>836</v>
      </c>
      <c r="E78" t="s">
        <v>2175</v>
      </c>
      <c r="F78" t="s">
        <v>95</v>
      </c>
      <c r="G78" t="s">
        <v>2092</v>
      </c>
      <c r="I78" s="1" t="s">
        <v>837</v>
      </c>
      <c r="J78" s="66" t="s">
        <v>2093</v>
      </c>
      <c r="L78" t="s">
        <v>2094</v>
      </c>
      <c r="M78" t="s">
        <v>90</v>
      </c>
      <c r="N78" t="s">
        <v>2095</v>
      </c>
      <c r="P78" t="s">
        <v>840</v>
      </c>
      <c r="R78" t="s">
        <v>112</v>
      </c>
      <c r="S78" t="s">
        <v>2093</v>
      </c>
      <c r="V78">
        <v>2020</v>
      </c>
      <c r="X78" t="b">
        <f>IF(_xlfn.MAXIFS(Contact[Sequence],Contact[Full Name],Contact[[#This Row],[Full Name]],Contact[Season],Contact[[#This Row],[Season]])=Contact[[#This Row],[Sequence]],TRUE,FALSE)</f>
        <v>1</v>
      </c>
      <c r="Y78" t="s">
        <v>96</v>
      </c>
      <c r="Z78" t="s">
        <v>840</v>
      </c>
      <c r="AA78">
        <f>IF(Contact[[#This Row],[Latest]]=TRUE,_xlfn.XLOOKUP(Contact[[#This Row],[Final Decision]],Table3[Final Decision],Table3[Active],0),0)</f>
        <v>0</v>
      </c>
      <c r="AB78">
        <f>SUMIF(Contact[Full Name],Contact[[#This Row],[Full Name]],Contact[Active])</f>
        <v>0</v>
      </c>
    </row>
    <row r="79" spans="1:28">
      <c r="A79">
        <v>1</v>
      </c>
      <c r="B79" t="s">
        <v>1220</v>
      </c>
      <c r="C79" t="s">
        <v>1221</v>
      </c>
      <c r="E79" t="s">
        <v>2176</v>
      </c>
      <c r="F79" t="s">
        <v>98</v>
      </c>
      <c r="G79" t="s">
        <v>2092</v>
      </c>
      <c r="I79" s="1" t="s">
        <v>1222</v>
      </c>
      <c r="J79" s="66" t="s">
        <v>2093</v>
      </c>
      <c r="L79" t="s">
        <v>2094</v>
      </c>
      <c r="M79" t="s">
        <v>105</v>
      </c>
      <c r="N79" t="s">
        <v>2095</v>
      </c>
      <c r="R79" t="s">
        <v>2093</v>
      </c>
      <c r="S79" t="s">
        <v>2093</v>
      </c>
      <c r="V79">
        <v>2020</v>
      </c>
      <c r="X79" t="b">
        <f>IF(_xlfn.MAXIFS(Contact[Sequence],Contact[Full Name],Contact[[#This Row],[Full Name]],Contact[Season],Contact[[#This Row],[Season]])=Contact[[#This Row],[Sequence]],TRUE,FALSE)</f>
        <v>1</v>
      </c>
      <c r="Y79" t="s">
        <v>190</v>
      </c>
      <c r="Z79">
        <v>0</v>
      </c>
      <c r="AA79">
        <f>IF(Contact[[#This Row],[Latest]]=TRUE,_xlfn.XLOOKUP(Contact[[#This Row],[Final Decision]],Table3[Final Decision],Table3[Active],0),0)</f>
        <v>0</v>
      </c>
      <c r="AB79">
        <f>SUMIF(Contact[Full Name],Contact[[#This Row],[Full Name]],Contact[Active])</f>
        <v>0</v>
      </c>
    </row>
    <row r="80" spans="1:28">
      <c r="A80">
        <v>1</v>
      </c>
      <c r="B80" t="s">
        <v>1224</v>
      </c>
      <c r="C80" t="s">
        <v>1225</v>
      </c>
      <c r="E80" t="s">
        <v>2177</v>
      </c>
      <c r="F80" t="s">
        <v>95</v>
      </c>
      <c r="G80" t="s">
        <v>2092</v>
      </c>
      <c r="I80" s="1" t="s">
        <v>1226</v>
      </c>
      <c r="J80" s="66" t="s">
        <v>1227</v>
      </c>
      <c r="L80" t="s">
        <v>2094</v>
      </c>
      <c r="M80" t="s">
        <v>105</v>
      </c>
      <c r="N80" t="s">
        <v>2095</v>
      </c>
      <c r="R80" t="s">
        <v>2093</v>
      </c>
      <c r="S80" t="s">
        <v>2093</v>
      </c>
      <c r="V80">
        <v>2020</v>
      </c>
      <c r="X80" t="b">
        <f>IF(_xlfn.MAXIFS(Contact[Sequence],Contact[Full Name],Contact[[#This Row],[Full Name]],Contact[Season],Contact[[#This Row],[Season]])=Contact[[#This Row],[Sequence]],TRUE,FALSE)</f>
        <v>1</v>
      </c>
      <c r="Y80" t="s">
        <v>190</v>
      </c>
      <c r="Z80">
        <v>0</v>
      </c>
      <c r="AA80">
        <f>IF(Contact[[#This Row],[Latest]]=TRUE,_xlfn.XLOOKUP(Contact[[#This Row],[Final Decision]],Table3[Final Decision],Table3[Active],0),0)</f>
        <v>0</v>
      </c>
      <c r="AB80">
        <f>SUMIF(Contact[Full Name],Contact[[#This Row],[Full Name]],Contact[Active])</f>
        <v>0</v>
      </c>
    </row>
    <row r="81" spans="1:28">
      <c r="A81">
        <v>1</v>
      </c>
      <c r="B81" t="s">
        <v>1230</v>
      </c>
      <c r="C81" t="s">
        <v>1231</v>
      </c>
      <c r="E81" t="s">
        <v>2178</v>
      </c>
      <c r="F81" t="s">
        <v>98</v>
      </c>
      <c r="G81" t="s">
        <v>2092</v>
      </c>
      <c r="I81" s="1" t="s">
        <v>1232</v>
      </c>
      <c r="J81" s="66" t="s">
        <v>2093</v>
      </c>
      <c r="L81" t="s">
        <v>2094</v>
      </c>
      <c r="M81" t="s">
        <v>90</v>
      </c>
      <c r="N81" t="s">
        <v>2095</v>
      </c>
      <c r="R81" t="s">
        <v>2093</v>
      </c>
      <c r="S81" t="s">
        <v>2093</v>
      </c>
      <c r="V81">
        <v>2020</v>
      </c>
      <c r="X81" t="b">
        <f>IF(_xlfn.MAXIFS(Contact[Sequence],Contact[Full Name],Contact[[#This Row],[Full Name]],Contact[Season],Contact[[#This Row],[Season]])=Contact[[#This Row],[Sequence]],TRUE,FALSE)</f>
        <v>1</v>
      </c>
      <c r="Y81" t="s">
        <v>190</v>
      </c>
      <c r="Z81">
        <v>0</v>
      </c>
      <c r="AA81">
        <f>IF(Contact[[#This Row],[Latest]]=TRUE,_xlfn.XLOOKUP(Contact[[#This Row],[Final Decision]],Table3[Final Decision],Table3[Active],0),0)</f>
        <v>0</v>
      </c>
      <c r="AB81">
        <f>SUMIF(Contact[Full Name],Contact[[#This Row],[Full Name]],Contact[Active])</f>
        <v>0</v>
      </c>
    </row>
    <row r="82" spans="1:28">
      <c r="A82">
        <v>1</v>
      </c>
      <c r="B82" t="s">
        <v>1235</v>
      </c>
      <c r="C82" t="s">
        <v>1236</v>
      </c>
      <c r="E82" t="s">
        <v>2179</v>
      </c>
      <c r="F82" t="s">
        <v>98</v>
      </c>
      <c r="G82" t="s">
        <v>2092</v>
      </c>
      <c r="I82" s="1" t="s">
        <v>1237</v>
      </c>
      <c r="J82" s="66" t="s">
        <v>2093</v>
      </c>
      <c r="L82" t="s">
        <v>2094</v>
      </c>
      <c r="M82" t="s">
        <v>185</v>
      </c>
      <c r="N82" t="s">
        <v>2095</v>
      </c>
      <c r="R82" t="s">
        <v>2093</v>
      </c>
      <c r="S82" t="s">
        <v>2093</v>
      </c>
      <c r="V82">
        <v>2020</v>
      </c>
      <c r="X82" t="b">
        <f>IF(_xlfn.MAXIFS(Contact[Sequence],Contact[Full Name],Contact[[#This Row],[Full Name]],Contact[Season],Contact[[#This Row],[Season]])=Contact[[#This Row],[Sequence]],TRUE,FALSE)</f>
        <v>1</v>
      </c>
      <c r="Y82" t="s">
        <v>190</v>
      </c>
      <c r="Z82">
        <v>0</v>
      </c>
      <c r="AA82">
        <f>IF(Contact[[#This Row],[Latest]]=TRUE,_xlfn.XLOOKUP(Contact[[#This Row],[Final Decision]],Table3[Final Decision],Table3[Active],0),0)</f>
        <v>0</v>
      </c>
      <c r="AB82">
        <f>SUMIF(Contact[Full Name],Contact[[#This Row],[Full Name]],Contact[Active])</f>
        <v>0</v>
      </c>
    </row>
    <row r="83" spans="1:28">
      <c r="A83">
        <v>1</v>
      </c>
      <c r="B83" t="s">
        <v>1267</v>
      </c>
      <c r="C83" t="s">
        <v>1268</v>
      </c>
      <c r="E83" t="s">
        <v>2180</v>
      </c>
      <c r="F83" t="s">
        <v>95</v>
      </c>
      <c r="G83" t="s">
        <v>2092</v>
      </c>
      <c r="I83" s="1" t="s">
        <v>1269</v>
      </c>
      <c r="J83" s="66" t="s">
        <v>2093</v>
      </c>
      <c r="L83" t="s">
        <v>2094</v>
      </c>
      <c r="M83" t="s">
        <v>185</v>
      </c>
      <c r="N83" t="s">
        <v>2095</v>
      </c>
      <c r="R83" t="s">
        <v>2093</v>
      </c>
      <c r="S83" t="s">
        <v>2093</v>
      </c>
      <c r="V83">
        <v>2020</v>
      </c>
      <c r="X83" t="b">
        <f>IF(_xlfn.MAXIFS(Contact[Sequence],Contact[Full Name],Contact[[#This Row],[Full Name]],Contact[Season],Contact[[#This Row],[Season]])=Contact[[#This Row],[Sequence]],TRUE,FALSE)</f>
        <v>1</v>
      </c>
      <c r="Y83" t="s">
        <v>190</v>
      </c>
      <c r="Z83">
        <v>0</v>
      </c>
      <c r="AA83">
        <f>IF(Contact[[#This Row],[Latest]]=TRUE,_xlfn.XLOOKUP(Contact[[#This Row],[Final Decision]],Table3[Final Decision],Table3[Active],0),0)</f>
        <v>0</v>
      </c>
      <c r="AB83">
        <f>SUMIF(Contact[Full Name],Contact[[#This Row],[Full Name]],Contact[Active])</f>
        <v>0</v>
      </c>
    </row>
    <row r="84" spans="1:28">
      <c r="A84">
        <v>1</v>
      </c>
      <c r="B84" t="s">
        <v>1243</v>
      </c>
      <c r="C84" t="s">
        <v>1244</v>
      </c>
      <c r="E84" t="s">
        <v>2181</v>
      </c>
      <c r="F84" t="s">
        <v>95</v>
      </c>
      <c r="G84" t="s">
        <v>2092</v>
      </c>
      <c r="I84" s="1" t="s">
        <v>1245</v>
      </c>
      <c r="J84" s="66"/>
      <c r="L84" t="s">
        <v>2094</v>
      </c>
      <c r="M84" t="s">
        <v>105</v>
      </c>
      <c r="N84" t="s">
        <v>2095</v>
      </c>
      <c r="R84" t="s">
        <v>2093</v>
      </c>
      <c r="S84" t="s">
        <v>2093</v>
      </c>
      <c r="V84">
        <v>2020</v>
      </c>
      <c r="X84" t="b">
        <f>IF(_xlfn.MAXIFS(Contact[Sequence],Contact[Full Name],Contact[[#This Row],[Full Name]],Contact[Season],Contact[[#This Row],[Season]])=Contact[[#This Row],[Sequence]],TRUE,FALSE)</f>
        <v>1</v>
      </c>
      <c r="Y84" t="s">
        <v>190</v>
      </c>
      <c r="Z84">
        <v>0</v>
      </c>
      <c r="AA84">
        <f>IF(Contact[[#This Row],[Latest]]=TRUE,_xlfn.XLOOKUP(Contact[[#This Row],[Final Decision]],Table3[Final Decision],Table3[Active],0),0)</f>
        <v>0</v>
      </c>
      <c r="AB84">
        <f>SUMIF(Contact[Full Name],Contact[[#This Row],[Full Name]],Contact[Active])</f>
        <v>0</v>
      </c>
    </row>
    <row r="85" spans="1:28">
      <c r="A85">
        <v>1</v>
      </c>
      <c r="B85" t="s">
        <v>1239</v>
      </c>
      <c r="C85" t="s">
        <v>1240</v>
      </c>
      <c r="E85" t="s">
        <v>2182</v>
      </c>
      <c r="F85" t="s">
        <v>98</v>
      </c>
      <c r="G85" t="s">
        <v>2092</v>
      </c>
      <c r="I85" s="1" t="s">
        <v>1241</v>
      </c>
      <c r="J85" s="66" t="s">
        <v>2093</v>
      </c>
      <c r="L85" t="s">
        <v>2094</v>
      </c>
      <c r="M85" t="s">
        <v>185</v>
      </c>
      <c r="N85" t="s">
        <v>2095</v>
      </c>
      <c r="R85" t="s">
        <v>2093</v>
      </c>
      <c r="S85" t="s">
        <v>2093</v>
      </c>
      <c r="V85">
        <v>2020</v>
      </c>
      <c r="X85" t="b">
        <f>IF(_xlfn.MAXIFS(Contact[Sequence],Contact[Full Name],Contact[[#This Row],[Full Name]],Contact[Season],Contact[[#This Row],[Season]])=Contact[[#This Row],[Sequence]],TRUE,FALSE)</f>
        <v>1</v>
      </c>
      <c r="Y85" t="s">
        <v>190</v>
      </c>
      <c r="Z85">
        <v>0</v>
      </c>
      <c r="AA85">
        <f>IF(Contact[[#This Row],[Latest]]=TRUE,_xlfn.XLOOKUP(Contact[[#This Row],[Final Decision]],Table3[Final Decision],Table3[Active],0),0)</f>
        <v>0</v>
      </c>
      <c r="AB85">
        <f>SUMIF(Contact[Full Name],Contact[[#This Row],[Full Name]],Contact[Active])</f>
        <v>0</v>
      </c>
    </row>
    <row r="86" spans="1:28">
      <c r="A86">
        <v>1</v>
      </c>
      <c r="B86" t="s">
        <v>547</v>
      </c>
      <c r="C86" t="s">
        <v>1641</v>
      </c>
      <c r="E86" t="s">
        <v>2183</v>
      </c>
      <c r="F86" t="s">
        <v>98</v>
      </c>
      <c r="G86" t="s">
        <v>2092</v>
      </c>
      <c r="I86" s="1" t="s">
        <v>1642</v>
      </c>
      <c r="J86" s="66" t="s">
        <v>2093</v>
      </c>
      <c r="L86" t="s">
        <v>2094</v>
      </c>
      <c r="M86" t="s">
        <v>105</v>
      </c>
      <c r="N86" t="s">
        <v>2095</v>
      </c>
      <c r="R86" t="s">
        <v>2093</v>
      </c>
      <c r="S86" t="s">
        <v>2093</v>
      </c>
      <c r="V86">
        <v>2020</v>
      </c>
      <c r="X86" t="b">
        <f>IF(_xlfn.MAXIFS(Contact[Sequence],Contact[Full Name],Contact[[#This Row],[Full Name]],Contact[Season],Contact[[#This Row],[Season]])=Contact[[#This Row],[Sequence]],TRUE,FALSE)</f>
        <v>1</v>
      </c>
      <c r="Y86" t="s">
        <v>190</v>
      </c>
      <c r="Z86">
        <v>0</v>
      </c>
      <c r="AA86">
        <f>IF(Contact[[#This Row],[Latest]]=TRUE,_xlfn.XLOOKUP(Contact[[#This Row],[Final Decision]],Table3[Final Decision],Table3[Active],0),0)</f>
        <v>0</v>
      </c>
      <c r="AB86">
        <f>SUMIF(Contact[Full Name],Contact[[#This Row],[Full Name]],Contact[Active])</f>
        <v>0</v>
      </c>
    </row>
    <row r="87" spans="1:28">
      <c r="A87">
        <v>1</v>
      </c>
      <c r="B87" t="s">
        <v>547</v>
      </c>
      <c r="C87" t="s">
        <v>548</v>
      </c>
      <c r="E87" t="s">
        <v>2184</v>
      </c>
      <c r="F87" t="s">
        <v>95</v>
      </c>
      <c r="G87" t="s">
        <v>2092</v>
      </c>
      <c r="I87" s="1" t="s">
        <v>549</v>
      </c>
      <c r="J87" s="66" t="s">
        <v>2093</v>
      </c>
      <c r="L87" t="s">
        <v>2094</v>
      </c>
      <c r="M87" t="s">
        <v>90</v>
      </c>
      <c r="N87" t="s">
        <v>2095</v>
      </c>
      <c r="R87" t="s">
        <v>2093</v>
      </c>
      <c r="S87" t="s">
        <v>2093</v>
      </c>
      <c r="V87">
        <v>2020</v>
      </c>
      <c r="X87" t="b">
        <f>IF(_xlfn.MAXIFS(Contact[Sequence],Contact[Full Name],Contact[[#This Row],[Full Name]],Contact[Season],Contact[[#This Row],[Season]])=Contact[[#This Row],[Sequence]],TRUE,FALSE)</f>
        <v>1</v>
      </c>
      <c r="Y87" t="s">
        <v>190</v>
      </c>
      <c r="Z87">
        <v>0</v>
      </c>
      <c r="AA87">
        <f>IF(Contact[[#This Row],[Latest]]=TRUE,_xlfn.XLOOKUP(Contact[[#This Row],[Final Decision]],Table3[Final Decision],Table3[Active],0),0)</f>
        <v>0</v>
      </c>
      <c r="AB87">
        <f>SUMIF(Contact[Full Name],Contact[[#This Row],[Full Name]],Contact[Active])</f>
        <v>0</v>
      </c>
    </row>
    <row r="88" spans="1:28">
      <c r="A88">
        <v>1</v>
      </c>
      <c r="B88" t="s">
        <v>1262</v>
      </c>
      <c r="C88" t="s">
        <v>1263</v>
      </c>
      <c r="E88" t="s">
        <v>2185</v>
      </c>
      <c r="F88" t="s">
        <v>95</v>
      </c>
      <c r="G88" t="s">
        <v>2092</v>
      </c>
      <c r="I88" s="1" t="s">
        <v>1264</v>
      </c>
      <c r="J88" s="66" t="s">
        <v>1265</v>
      </c>
      <c r="L88" t="s">
        <v>2094</v>
      </c>
      <c r="M88" t="s">
        <v>105</v>
      </c>
      <c r="N88" t="s">
        <v>2095</v>
      </c>
      <c r="R88" t="s">
        <v>2093</v>
      </c>
      <c r="S88" t="s">
        <v>2093</v>
      </c>
      <c r="V88">
        <v>2020</v>
      </c>
      <c r="X88" t="b">
        <f>IF(_xlfn.MAXIFS(Contact[Sequence],Contact[Full Name],Contact[[#This Row],[Full Name]],Contact[Season],Contact[[#This Row],[Season]])=Contact[[#This Row],[Sequence]],TRUE,FALSE)</f>
        <v>1</v>
      </c>
      <c r="Y88" t="s">
        <v>190</v>
      </c>
      <c r="Z88">
        <v>0</v>
      </c>
      <c r="AA88">
        <f>IF(Contact[[#This Row],[Latest]]=TRUE,_xlfn.XLOOKUP(Contact[[#This Row],[Final Decision]],Table3[Final Decision],Table3[Active],0),0)</f>
        <v>0</v>
      </c>
      <c r="AB88">
        <f>SUMIF(Contact[Full Name],Contact[[#This Row],[Full Name]],Contact[Active])</f>
        <v>0</v>
      </c>
    </row>
    <row r="89" spans="1:28">
      <c r="A89">
        <v>1</v>
      </c>
      <c r="B89" t="s">
        <v>1248</v>
      </c>
      <c r="C89" t="s">
        <v>1249</v>
      </c>
      <c r="E89" t="s">
        <v>2186</v>
      </c>
      <c r="F89" t="s">
        <v>95</v>
      </c>
      <c r="G89" t="s">
        <v>2092</v>
      </c>
      <c r="I89" s="1" t="s">
        <v>1250</v>
      </c>
      <c r="J89" s="66" t="s">
        <v>1251</v>
      </c>
      <c r="L89" t="s">
        <v>2094</v>
      </c>
      <c r="M89" t="s">
        <v>105</v>
      </c>
      <c r="N89" t="s">
        <v>2095</v>
      </c>
      <c r="R89" t="s">
        <v>2093</v>
      </c>
      <c r="S89" t="s">
        <v>2093</v>
      </c>
      <c r="V89">
        <v>2020</v>
      </c>
      <c r="X89" t="b">
        <f>IF(_xlfn.MAXIFS(Contact[Sequence],Contact[Full Name],Contact[[#This Row],[Full Name]],Contact[Season],Contact[[#This Row],[Season]])=Contact[[#This Row],[Sequence]],TRUE,FALSE)</f>
        <v>1</v>
      </c>
      <c r="Y89" t="s">
        <v>190</v>
      </c>
      <c r="Z89">
        <v>0</v>
      </c>
      <c r="AA89">
        <f>IF(Contact[[#This Row],[Latest]]=TRUE,_xlfn.XLOOKUP(Contact[[#This Row],[Final Decision]],Table3[Final Decision],Table3[Active],0),0)</f>
        <v>0</v>
      </c>
      <c r="AB89">
        <f>SUMIF(Contact[Full Name],Contact[[#This Row],[Full Name]],Contact[Active])</f>
        <v>0</v>
      </c>
    </row>
    <row r="90" spans="1:28">
      <c r="A90">
        <v>1</v>
      </c>
      <c r="B90" t="s">
        <v>1253</v>
      </c>
      <c r="C90" t="s">
        <v>1254</v>
      </c>
      <c r="E90" t="s">
        <v>2187</v>
      </c>
      <c r="F90" t="s">
        <v>98</v>
      </c>
      <c r="G90" t="s">
        <v>2092</v>
      </c>
      <c r="I90" s="1" t="s">
        <v>1255</v>
      </c>
      <c r="J90" s="66" t="s">
        <v>2093</v>
      </c>
      <c r="L90" t="s">
        <v>2094</v>
      </c>
      <c r="M90" t="s">
        <v>90</v>
      </c>
      <c r="N90" t="s">
        <v>2095</v>
      </c>
      <c r="R90" t="s">
        <v>2093</v>
      </c>
      <c r="S90" t="s">
        <v>2093</v>
      </c>
      <c r="V90">
        <v>2020</v>
      </c>
      <c r="X90" t="b">
        <f>IF(_xlfn.MAXIFS(Contact[Sequence],Contact[Full Name],Contact[[#This Row],[Full Name]],Contact[Season],Contact[[#This Row],[Season]])=Contact[[#This Row],[Sequence]],TRUE,FALSE)</f>
        <v>1</v>
      </c>
      <c r="Y90" t="s">
        <v>190</v>
      </c>
      <c r="Z90">
        <v>0</v>
      </c>
      <c r="AA90">
        <f>IF(Contact[[#This Row],[Latest]]=TRUE,_xlfn.XLOOKUP(Contact[[#This Row],[Final Decision]],Table3[Final Decision],Table3[Active],0),0)</f>
        <v>0</v>
      </c>
      <c r="AB90">
        <f>SUMIF(Contact[Full Name],Contact[[#This Row],[Full Name]],Contact[Active])</f>
        <v>0</v>
      </c>
    </row>
    <row r="91" spans="1:28">
      <c r="A91">
        <v>1</v>
      </c>
      <c r="B91" t="s">
        <v>829</v>
      </c>
      <c r="C91" t="s">
        <v>1836</v>
      </c>
      <c r="E91" t="s">
        <v>2188</v>
      </c>
      <c r="F91" t="s">
        <v>98</v>
      </c>
      <c r="G91" t="s">
        <v>2092</v>
      </c>
      <c r="I91" s="1" t="s">
        <v>1837</v>
      </c>
      <c r="J91" s="66" t="s">
        <v>2093</v>
      </c>
      <c r="L91" t="s">
        <v>2094</v>
      </c>
      <c r="M91" t="s">
        <v>185</v>
      </c>
      <c r="N91" t="s">
        <v>2095</v>
      </c>
      <c r="R91" t="s">
        <v>2093</v>
      </c>
      <c r="S91" t="s">
        <v>2093</v>
      </c>
      <c r="V91">
        <v>2020</v>
      </c>
      <c r="X91" t="b">
        <f>IF(_xlfn.MAXIFS(Contact[Sequence],Contact[Full Name],Contact[[#This Row],[Full Name]],Contact[Season],Contact[[#This Row],[Season]])=Contact[[#This Row],[Sequence]],TRUE,FALSE)</f>
        <v>1</v>
      </c>
      <c r="Y91" t="s">
        <v>190</v>
      </c>
      <c r="Z91">
        <v>0</v>
      </c>
      <c r="AA91">
        <f>IF(Contact[[#This Row],[Latest]]=TRUE,_xlfn.XLOOKUP(Contact[[#This Row],[Final Decision]],Table3[Final Decision],Table3[Active],0),0)</f>
        <v>0</v>
      </c>
      <c r="AB91">
        <f>SUMIF(Contact[Full Name],Contact[[#This Row],[Full Name]],Contact[Active])</f>
        <v>0</v>
      </c>
    </row>
    <row r="92" spans="1:28">
      <c r="A92">
        <v>1</v>
      </c>
      <c r="B92" t="s">
        <v>829</v>
      </c>
      <c r="C92" t="s">
        <v>830</v>
      </c>
      <c r="E92" t="s">
        <v>2189</v>
      </c>
      <c r="F92" t="s">
        <v>98</v>
      </c>
      <c r="G92" t="s">
        <v>2092</v>
      </c>
      <c r="I92" s="1" t="s">
        <v>831</v>
      </c>
      <c r="J92" s="66" t="s">
        <v>2093</v>
      </c>
      <c r="L92" t="s">
        <v>2094</v>
      </c>
      <c r="M92" t="s">
        <v>90</v>
      </c>
      <c r="N92" t="s">
        <v>2095</v>
      </c>
      <c r="P92" t="s">
        <v>834</v>
      </c>
      <c r="R92" t="s">
        <v>112</v>
      </c>
      <c r="S92" t="s">
        <v>2093</v>
      </c>
      <c r="V92">
        <v>2020</v>
      </c>
      <c r="X92" t="b">
        <f>IF(_xlfn.MAXIFS(Contact[Sequence],Contact[Full Name],Contact[[#This Row],[Full Name]],Contact[Season],Contact[[#This Row],[Season]])=Contact[[#This Row],[Sequence]],TRUE,FALSE)</f>
        <v>1</v>
      </c>
      <c r="Y92" t="s">
        <v>96</v>
      </c>
      <c r="Z92" t="s">
        <v>834</v>
      </c>
      <c r="AA92">
        <f>IF(Contact[[#This Row],[Latest]]=TRUE,_xlfn.XLOOKUP(Contact[[#This Row],[Final Decision]],Table3[Final Decision],Table3[Active],0),0)</f>
        <v>0</v>
      </c>
      <c r="AB92">
        <f>SUMIF(Contact[Full Name],Contact[[#This Row],[Full Name]],Contact[Active])</f>
        <v>0</v>
      </c>
    </row>
    <row r="93" spans="1:28">
      <c r="A93">
        <v>1</v>
      </c>
      <c r="B93" t="s">
        <v>2008</v>
      </c>
      <c r="C93" t="s">
        <v>2009</v>
      </c>
      <c r="E93" t="s">
        <v>2190</v>
      </c>
      <c r="F93" t="s">
        <v>98</v>
      </c>
      <c r="G93" t="s">
        <v>2092</v>
      </c>
      <c r="I93" s="1" t="s">
        <v>2010</v>
      </c>
      <c r="J93" s="66" t="s">
        <v>2011</v>
      </c>
      <c r="L93" t="s">
        <v>2094</v>
      </c>
      <c r="M93" t="s">
        <v>105</v>
      </c>
      <c r="N93" t="s">
        <v>2095</v>
      </c>
      <c r="P93" t="s">
        <v>2013</v>
      </c>
      <c r="R93" t="s">
        <v>112</v>
      </c>
      <c r="S93" t="s">
        <v>2093</v>
      </c>
      <c r="V93">
        <v>2020</v>
      </c>
      <c r="X93" t="b">
        <f>IF(_xlfn.MAXIFS(Contact[Sequence],Contact[Full Name],Contact[[#This Row],[Full Name]],Contact[Season],Contact[[#This Row],[Season]])=Contact[[#This Row],[Sequence]],TRUE,FALSE)</f>
        <v>1</v>
      </c>
      <c r="Y93" t="s">
        <v>96</v>
      </c>
      <c r="Z93" t="s">
        <v>2013</v>
      </c>
      <c r="AA93">
        <f>IF(Contact[[#This Row],[Latest]]=TRUE,_xlfn.XLOOKUP(Contact[[#This Row],[Final Decision]],Table3[Final Decision],Table3[Active],0),0)</f>
        <v>0</v>
      </c>
      <c r="AB93">
        <f>SUMIF(Contact[Full Name],Contact[[#This Row],[Full Name]],Contact[Active])</f>
        <v>0</v>
      </c>
    </row>
    <row r="94" spans="1:28">
      <c r="A94">
        <v>1</v>
      </c>
      <c r="B94" t="s">
        <v>1258</v>
      </c>
      <c r="C94" t="s">
        <v>1259</v>
      </c>
      <c r="E94" t="s">
        <v>2191</v>
      </c>
      <c r="F94" t="s">
        <v>95</v>
      </c>
      <c r="G94" t="s">
        <v>2092</v>
      </c>
      <c r="I94" s="1" t="s">
        <v>1260</v>
      </c>
      <c r="J94" s="66" t="s">
        <v>2093</v>
      </c>
      <c r="L94" t="s">
        <v>2094</v>
      </c>
      <c r="M94" t="s">
        <v>105</v>
      </c>
      <c r="N94" t="s">
        <v>2095</v>
      </c>
      <c r="R94" t="s">
        <v>2093</v>
      </c>
      <c r="S94" t="s">
        <v>2093</v>
      </c>
      <c r="V94">
        <v>2020</v>
      </c>
      <c r="X94" t="b">
        <f>IF(_xlfn.MAXIFS(Contact[Sequence],Contact[Full Name],Contact[[#This Row],[Full Name]],Contact[Season],Contact[[#This Row],[Season]])=Contact[[#This Row],[Sequence]],TRUE,FALSE)</f>
        <v>1</v>
      </c>
      <c r="Y94" t="s">
        <v>190</v>
      </c>
      <c r="Z94">
        <v>0</v>
      </c>
      <c r="AA94">
        <f>IF(Contact[[#This Row],[Latest]]=TRUE,_xlfn.XLOOKUP(Contact[[#This Row],[Final Decision]],Table3[Final Decision],Table3[Active],0),0)</f>
        <v>0</v>
      </c>
      <c r="AB94">
        <f>SUMIF(Contact[Full Name],Contact[[#This Row],[Full Name]],Contact[Active])</f>
        <v>0</v>
      </c>
    </row>
    <row r="95" spans="1:28">
      <c r="A95">
        <v>1</v>
      </c>
      <c r="B95" t="s">
        <v>952</v>
      </c>
      <c r="C95" t="s">
        <v>953</v>
      </c>
      <c r="E95" t="s">
        <v>2192</v>
      </c>
      <c r="F95" t="s">
        <v>95</v>
      </c>
      <c r="G95" t="s">
        <v>2092</v>
      </c>
      <c r="I95" s="1" t="s">
        <v>954</v>
      </c>
      <c r="J95" s="66" t="s">
        <v>2093</v>
      </c>
      <c r="L95" t="s">
        <v>2094</v>
      </c>
      <c r="M95" t="s">
        <v>90</v>
      </c>
      <c r="N95" t="s">
        <v>2095</v>
      </c>
      <c r="P95" t="s">
        <v>665</v>
      </c>
      <c r="R95" t="s">
        <v>112</v>
      </c>
      <c r="S95" t="s">
        <v>2093</v>
      </c>
      <c r="V95">
        <v>2020</v>
      </c>
      <c r="X95" t="b">
        <f>IF(_xlfn.MAXIFS(Contact[Sequence],Contact[Full Name],Contact[[#This Row],[Full Name]],Contact[Season],Contact[[#This Row],[Season]])=Contact[[#This Row],[Sequence]],TRUE,FALSE)</f>
        <v>1</v>
      </c>
      <c r="Y95" t="s">
        <v>96</v>
      </c>
      <c r="Z95" t="s">
        <v>665</v>
      </c>
      <c r="AA95">
        <f>IF(Contact[[#This Row],[Latest]]=TRUE,_xlfn.XLOOKUP(Contact[[#This Row],[Final Decision]],Table3[Final Decision],Table3[Active],0),0)</f>
        <v>0</v>
      </c>
      <c r="AB95">
        <f>SUMIF(Contact[Full Name],Contact[[#This Row],[Full Name]],Contact[Active])</f>
        <v>0</v>
      </c>
    </row>
    <row r="96" spans="1:28">
      <c r="A96">
        <v>1</v>
      </c>
      <c r="B96" t="s">
        <v>952</v>
      </c>
      <c r="C96" t="s">
        <v>1271</v>
      </c>
      <c r="E96" t="s">
        <v>2193</v>
      </c>
      <c r="F96" t="s">
        <v>98</v>
      </c>
      <c r="G96" t="s">
        <v>2092</v>
      </c>
      <c r="I96" s="1" t="s">
        <v>1272</v>
      </c>
      <c r="J96" s="66" t="s">
        <v>1273</v>
      </c>
      <c r="L96" t="s">
        <v>2094</v>
      </c>
      <c r="M96" t="s">
        <v>90</v>
      </c>
      <c r="N96" t="s">
        <v>2095</v>
      </c>
      <c r="R96" t="s">
        <v>2093</v>
      </c>
      <c r="S96" t="s">
        <v>2093</v>
      </c>
      <c r="V96">
        <v>2020</v>
      </c>
      <c r="X96" t="b">
        <f>IF(_xlfn.MAXIFS(Contact[Sequence],Contact[Full Name],Contact[[#This Row],[Full Name]],Contact[Season],Contact[[#This Row],[Season]])=Contact[[#This Row],[Sequence]],TRUE,FALSE)</f>
        <v>1</v>
      </c>
      <c r="Y96" t="s">
        <v>190</v>
      </c>
      <c r="Z96">
        <v>0</v>
      </c>
      <c r="AA96">
        <f>IF(Contact[[#This Row],[Latest]]=TRUE,_xlfn.XLOOKUP(Contact[[#This Row],[Final Decision]],Table3[Final Decision],Table3[Active],0),0)</f>
        <v>0</v>
      </c>
      <c r="AB96">
        <f>SUMIF(Contact[Full Name],Contact[[#This Row],[Full Name]],Contact[Active])</f>
        <v>0</v>
      </c>
    </row>
    <row r="97" spans="1:28">
      <c r="A97">
        <v>1</v>
      </c>
      <c r="B97" t="s">
        <v>367</v>
      </c>
      <c r="C97" t="s">
        <v>368</v>
      </c>
      <c r="E97" t="s">
        <v>2194</v>
      </c>
      <c r="F97" t="s">
        <v>95</v>
      </c>
      <c r="G97" t="s">
        <v>2092</v>
      </c>
      <c r="I97" s="1" t="s">
        <v>369</v>
      </c>
      <c r="J97" s="66" t="s">
        <v>370</v>
      </c>
      <c r="L97" t="s">
        <v>2094</v>
      </c>
      <c r="M97" t="s">
        <v>90</v>
      </c>
      <c r="N97" t="s">
        <v>2095</v>
      </c>
      <c r="R97" t="s">
        <v>2093</v>
      </c>
      <c r="S97" t="s">
        <v>2093</v>
      </c>
      <c r="V97">
        <v>2020</v>
      </c>
      <c r="X97" t="b">
        <f>IF(_xlfn.MAXIFS(Contact[Sequence],Contact[Full Name],Contact[[#This Row],[Full Name]],Contact[Season],Contact[[#This Row],[Season]])=Contact[[#This Row],[Sequence]],TRUE,FALSE)</f>
        <v>1</v>
      </c>
      <c r="Y97" t="s">
        <v>190</v>
      </c>
      <c r="Z97">
        <v>0</v>
      </c>
      <c r="AA97">
        <f>IF(Contact[[#This Row],[Latest]]=TRUE,_xlfn.XLOOKUP(Contact[[#This Row],[Final Decision]],Table3[Final Decision],Table3[Active],0),0)</f>
        <v>0</v>
      </c>
      <c r="AB97">
        <f>SUMIF(Contact[Full Name],Contact[[#This Row],[Full Name]],Contact[Active])</f>
        <v>0</v>
      </c>
    </row>
    <row r="98" spans="1:28">
      <c r="A98">
        <v>1</v>
      </c>
      <c r="B98" t="s">
        <v>739</v>
      </c>
      <c r="C98" t="s">
        <v>740</v>
      </c>
      <c r="E98" t="s">
        <v>2195</v>
      </c>
      <c r="F98" t="s">
        <v>100</v>
      </c>
      <c r="G98" t="s">
        <v>2100</v>
      </c>
      <c r="I98" s="1" t="s">
        <v>741</v>
      </c>
      <c r="J98" s="66" t="s">
        <v>2093</v>
      </c>
      <c r="L98" t="s">
        <v>2094</v>
      </c>
      <c r="M98" t="s">
        <v>105</v>
      </c>
      <c r="N98" t="s">
        <v>2095</v>
      </c>
      <c r="P98" t="s">
        <v>744</v>
      </c>
      <c r="R98" t="s">
        <v>737</v>
      </c>
      <c r="S98" t="s">
        <v>738</v>
      </c>
      <c r="V98">
        <v>2020</v>
      </c>
      <c r="X98" t="b">
        <f>IF(_xlfn.MAXIFS(Contact[Sequence],Contact[Full Name],Contact[[#This Row],[Full Name]],Contact[Season],Contact[[#This Row],[Season]])=Contact[[#This Row],[Sequence]],TRUE,FALSE)</f>
        <v>1</v>
      </c>
      <c r="Y98" t="s">
        <v>96</v>
      </c>
      <c r="Z98" t="s">
        <v>743</v>
      </c>
      <c r="AA98">
        <f>IF(Contact[[#This Row],[Latest]]=TRUE,_xlfn.XLOOKUP(Contact[[#This Row],[Final Decision]],Table3[Final Decision],Table3[Active],0),0)</f>
        <v>0</v>
      </c>
      <c r="AB98">
        <f>SUMIF(Contact[Full Name],Contact[[#This Row],[Full Name]],Contact[Active])</f>
        <v>0</v>
      </c>
    </row>
    <row r="99" spans="1:28">
      <c r="A99">
        <v>1</v>
      </c>
      <c r="B99" t="s">
        <v>1549</v>
      </c>
      <c r="C99" t="s">
        <v>1550</v>
      </c>
      <c r="E99" t="s">
        <v>2196</v>
      </c>
      <c r="F99" t="s">
        <v>98</v>
      </c>
      <c r="G99" t="s">
        <v>2092</v>
      </c>
      <c r="I99" s="1" t="s">
        <v>1551</v>
      </c>
      <c r="J99" s="66" t="s">
        <v>2093</v>
      </c>
      <c r="L99" t="s">
        <v>2094</v>
      </c>
      <c r="M99" t="s">
        <v>90</v>
      </c>
      <c r="N99" t="s">
        <v>2095</v>
      </c>
      <c r="R99" t="s">
        <v>2093</v>
      </c>
      <c r="S99" t="s">
        <v>2093</v>
      </c>
      <c r="V99">
        <v>2020</v>
      </c>
      <c r="X99" t="b">
        <f>IF(_xlfn.MAXIFS(Contact[Sequence],Contact[Full Name],Contact[[#This Row],[Full Name]],Contact[Season],Contact[[#This Row],[Season]])=Contact[[#This Row],[Sequence]],TRUE,FALSE)</f>
        <v>1</v>
      </c>
      <c r="Y99" t="s">
        <v>190</v>
      </c>
      <c r="Z99">
        <v>0</v>
      </c>
      <c r="AA99">
        <f>IF(Contact[[#This Row],[Latest]]=TRUE,_xlfn.XLOOKUP(Contact[[#This Row],[Final Decision]],Table3[Final Decision],Table3[Active],0),0)</f>
        <v>0</v>
      </c>
      <c r="AB99">
        <f>SUMIF(Contact[Full Name],Contact[[#This Row],[Full Name]],Contact[Active])</f>
        <v>0</v>
      </c>
    </row>
    <row r="100" spans="1:28">
      <c r="A100">
        <v>1</v>
      </c>
      <c r="B100" t="s">
        <v>779</v>
      </c>
      <c r="C100" t="s">
        <v>238</v>
      </c>
      <c r="E100" t="s">
        <v>2197</v>
      </c>
      <c r="F100" t="s">
        <v>95</v>
      </c>
      <c r="G100" t="s">
        <v>2092</v>
      </c>
      <c r="I100" s="1" t="s">
        <v>780</v>
      </c>
      <c r="J100" s="66"/>
      <c r="L100" t="s">
        <v>2094</v>
      </c>
      <c r="M100" t="s">
        <v>105</v>
      </c>
      <c r="N100" t="s">
        <v>2095</v>
      </c>
      <c r="P100" t="s">
        <v>782</v>
      </c>
      <c r="R100" t="s">
        <v>112</v>
      </c>
      <c r="S100" t="s">
        <v>2093</v>
      </c>
      <c r="V100">
        <v>2020</v>
      </c>
      <c r="X100" t="b">
        <f>IF(_xlfn.MAXIFS(Contact[Sequence],Contact[Full Name],Contact[[#This Row],[Full Name]],Contact[Season],Contact[[#This Row],[Season]])=Contact[[#This Row],[Sequence]],TRUE,FALSE)</f>
        <v>1</v>
      </c>
      <c r="Y100" t="s">
        <v>96</v>
      </c>
      <c r="Z100" t="s">
        <v>782</v>
      </c>
      <c r="AA100">
        <f>IF(Contact[[#This Row],[Latest]]=TRUE,_xlfn.XLOOKUP(Contact[[#This Row],[Final Decision]],Table3[Final Decision],Table3[Active],0),0)</f>
        <v>0</v>
      </c>
      <c r="AB100">
        <f>SUMIF(Contact[Full Name],Contact[[#This Row],[Full Name]],Contact[Active])</f>
        <v>0</v>
      </c>
    </row>
    <row r="101" spans="1:28">
      <c r="A101">
        <v>1</v>
      </c>
      <c r="B101" t="s">
        <v>841</v>
      </c>
      <c r="C101" t="s">
        <v>842</v>
      </c>
      <c r="E101" t="s">
        <v>2198</v>
      </c>
      <c r="F101" t="s">
        <v>95</v>
      </c>
      <c r="G101" t="s">
        <v>2092</v>
      </c>
      <c r="I101" s="1" t="s">
        <v>843</v>
      </c>
      <c r="J101" s="66" t="s">
        <v>844</v>
      </c>
      <c r="L101" t="s">
        <v>2094</v>
      </c>
      <c r="M101" t="s">
        <v>90</v>
      </c>
      <c r="N101" t="s">
        <v>2095</v>
      </c>
      <c r="P101" t="s">
        <v>846</v>
      </c>
      <c r="R101" t="s">
        <v>112</v>
      </c>
      <c r="S101" t="s">
        <v>2093</v>
      </c>
      <c r="V101">
        <v>2020</v>
      </c>
      <c r="X101" t="b">
        <f>IF(_xlfn.MAXIFS(Contact[Sequence],Contact[Full Name],Contact[[#This Row],[Full Name]],Contact[Season],Contact[[#This Row],[Season]])=Contact[[#This Row],[Sequence]],TRUE,FALSE)</f>
        <v>1</v>
      </c>
      <c r="Y101" t="s">
        <v>96</v>
      </c>
      <c r="Z101" t="s">
        <v>846</v>
      </c>
      <c r="AA101">
        <f>IF(Contact[[#This Row],[Latest]]=TRUE,_xlfn.XLOOKUP(Contact[[#This Row],[Final Decision]],Table3[Final Decision],Table3[Active],0),0)</f>
        <v>0</v>
      </c>
      <c r="AB101">
        <f>SUMIF(Contact[Full Name],Contact[[#This Row],[Full Name]],Contact[Active])</f>
        <v>0</v>
      </c>
    </row>
    <row r="102" spans="1:28">
      <c r="A102">
        <v>1</v>
      </c>
      <c r="B102" t="s">
        <v>1276</v>
      </c>
      <c r="C102" t="s">
        <v>1277</v>
      </c>
      <c r="E102" t="s">
        <v>2199</v>
      </c>
      <c r="F102" t="s">
        <v>95</v>
      </c>
      <c r="G102" t="s">
        <v>2092</v>
      </c>
      <c r="I102" s="1" t="s">
        <v>1278</v>
      </c>
      <c r="J102" s="66" t="s">
        <v>1279</v>
      </c>
      <c r="L102" t="s">
        <v>2094</v>
      </c>
      <c r="M102" t="s">
        <v>105</v>
      </c>
      <c r="N102" t="s">
        <v>2095</v>
      </c>
      <c r="R102" t="s">
        <v>2093</v>
      </c>
      <c r="S102" t="s">
        <v>2093</v>
      </c>
      <c r="V102">
        <v>2020</v>
      </c>
      <c r="X102" t="b">
        <f>IF(_xlfn.MAXIFS(Contact[Sequence],Contact[Full Name],Contact[[#This Row],[Full Name]],Contact[Season],Contact[[#This Row],[Season]])=Contact[[#This Row],[Sequence]],TRUE,FALSE)</f>
        <v>1</v>
      </c>
      <c r="Y102" t="s">
        <v>190</v>
      </c>
      <c r="Z102">
        <v>0</v>
      </c>
      <c r="AA102">
        <f>IF(Contact[[#This Row],[Latest]]=TRUE,_xlfn.XLOOKUP(Contact[[#This Row],[Final Decision]],Table3[Final Decision],Table3[Active],0),0)</f>
        <v>0</v>
      </c>
      <c r="AB102">
        <f>SUMIF(Contact[Full Name],Contact[[#This Row],[Full Name]],Contact[Active])</f>
        <v>0</v>
      </c>
    </row>
    <row r="103" spans="1:28">
      <c r="A103">
        <v>1</v>
      </c>
      <c r="B103" t="s">
        <v>1281</v>
      </c>
      <c r="C103" t="s">
        <v>1282</v>
      </c>
      <c r="E103" t="s">
        <v>2200</v>
      </c>
      <c r="F103" t="s">
        <v>95</v>
      </c>
      <c r="G103" t="s">
        <v>2092</v>
      </c>
      <c r="I103" s="1" t="s">
        <v>1283</v>
      </c>
      <c r="J103" s="66" t="s">
        <v>2093</v>
      </c>
      <c r="L103" t="s">
        <v>2094</v>
      </c>
      <c r="M103" t="s">
        <v>105</v>
      </c>
      <c r="N103" t="s">
        <v>2095</v>
      </c>
      <c r="R103" t="s">
        <v>2093</v>
      </c>
      <c r="S103" t="s">
        <v>2093</v>
      </c>
      <c r="V103">
        <v>2020</v>
      </c>
      <c r="X103" t="b">
        <f>IF(_xlfn.MAXIFS(Contact[Sequence],Contact[Full Name],Contact[[#This Row],[Full Name]],Contact[Season],Contact[[#This Row],[Season]])=Contact[[#This Row],[Sequence]],TRUE,FALSE)</f>
        <v>1</v>
      </c>
      <c r="Y103" t="s">
        <v>190</v>
      </c>
      <c r="Z103">
        <v>0</v>
      </c>
      <c r="AA103">
        <f>IF(Contact[[#This Row],[Latest]]=TRUE,_xlfn.XLOOKUP(Contact[[#This Row],[Final Decision]],Table3[Final Decision],Table3[Active],0),0)</f>
        <v>0</v>
      </c>
      <c r="AB103">
        <f>SUMIF(Contact[Full Name],Contact[[#This Row],[Full Name]],Contact[Active])</f>
        <v>0</v>
      </c>
    </row>
    <row r="104" spans="1:28">
      <c r="A104">
        <v>1</v>
      </c>
      <c r="B104" t="s">
        <v>1203</v>
      </c>
      <c r="C104" t="s">
        <v>1204</v>
      </c>
      <c r="E104" t="s">
        <v>2201</v>
      </c>
      <c r="F104" t="s">
        <v>95</v>
      </c>
      <c r="G104" t="s">
        <v>2092</v>
      </c>
      <c r="I104" s="1" t="s">
        <v>1205</v>
      </c>
      <c r="J104" s="66" t="s">
        <v>1206</v>
      </c>
      <c r="L104" t="s">
        <v>2094</v>
      </c>
      <c r="M104" t="s">
        <v>105</v>
      </c>
      <c r="N104" t="s">
        <v>2095</v>
      </c>
      <c r="R104" t="s">
        <v>2093</v>
      </c>
      <c r="S104" t="s">
        <v>2093</v>
      </c>
      <c r="V104">
        <v>2020</v>
      </c>
      <c r="X104" t="b">
        <f>IF(_xlfn.MAXIFS(Contact[Sequence],Contact[Full Name],Contact[[#This Row],[Full Name]],Contact[Season],Contact[[#This Row],[Season]])=Contact[[#This Row],[Sequence]],TRUE,FALSE)</f>
        <v>1</v>
      </c>
      <c r="Y104" t="s">
        <v>190</v>
      </c>
      <c r="Z104">
        <v>0</v>
      </c>
      <c r="AA104">
        <f>IF(Contact[[#This Row],[Latest]]=TRUE,_xlfn.XLOOKUP(Contact[[#This Row],[Final Decision]],Table3[Final Decision],Table3[Active],0),0)</f>
        <v>0</v>
      </c>
      <c r="AB104">
        <f>SUMIF(Contact[Full Name],Contact[[#This Row],[Full Name]],Contact[Active])</f>
        <v>0</v>
      </c>
    </row>
    <row r="105" spans="1:28">
      <c r="A105">
        <v>1</v>
      </c>
      <c r="B105" t="s">
        <v>1203</v>
      </c>
      <c r="C105" t="s">
        <v>1286</v>
      </c>
      <c r="E105" t="s">
        <v>2202</v>
      </c>
      <c r="F105" t="s">
        <v>95</v>
      </c>
      <c r="G105" t="s">
        <v>2092</v>
      </c>
      <c r="I105" s="1" t="s">
        <v>1287</v>
      </c>
      <c r="J105" s="66" t="s">
        <v>1288</v>
      </c>
      <c r="L105" t="s">
        <v>2094</v>
      </c>
      <c r="M105" t="s">
        <v>105</v>
      </c>
      <c r="N105" t="s">
        <v>2095</v>
      </c>
      <c r="R105" t="s">
        <v>2093</v>
      </c>
      <c r="S105" t="s">
        <v>2093</v>
      </c>
      <c r="V105">
        <v>2020</v>
      </c>
      <c r="X105" t="b">
        <f>IF(_xlfn.MAXIFS(Contact[Sequence],Contact[Full Name],Contact[[#This Row],[Full Name]],Contact[Season],Contact[[#This Row],[Season]])=Contact[[#This Row],[Sequence]],TRUE,FALSE)</f>
        <v>1</v>
      </c>
      <c r="Y105" t="s">
        <v>190</v>
      </c>
      <c r="Z105">
        <v>0</v>
      </c>
      <c r="AA105">
        <f>IF(Contact[[#This Row],[Latest]]=TRUE,_xlfn.XLOOKUP(Contact[[#This Row],[Final Decision]],Table3[Final Decision],Table3[Active],0),0)</f>
        <v>0</v>
      </c>
      <c r="AB105">
        <f>SUMIF(Contact[Full Name],Contact[[#This Row],[Full Name]],Contact[Active])</f>
        <v>0</v>
      </c>
    </row>
    <row r="106" spans="1:28">
      <c r="A106">
        <v>1</v>
      </c>
      <c r="B106" t="s">
        <v>1290</v>
      </c>
      <c r="C106" t="s">
        <v>1291</v>
      </c>
      <c r="E106" t="s">
        <v>2203</v>
      </c>
      <c r="F106" t="s">
        <v>98</v>
      </c>
      <c r="G106" t="s">
        <v>2092</v>
      </c>
      <c r="I106" s="1" t="s">
        <v>1292</v>
      </c>
      <c r="J106" s="66" t="s">
        <v>2093</v>
      </c>
      <c r="L106" t="s">
        <v>2094</v>
      </c>
      <c r="M106" t="s">
        <v>105</v>
      </c>
      <c r="N106" t="s">
        <v>2095</v>
      </c>
      <c r="R106" t="s">
        <v>2093</v>
      </c>
      <c r="S106" t="s">
        <v>2093</v>
      </c>
      <c r="V106">
        <v>2020</v>
      </c>
      <c r="X106" t="b">
        <f>IF(_xlfn.MAXIFS(Contact[Sequence],Contact[Full Name],Contact[[#This Row],[Full Name]],Contact[Season],Contact[[#This Row],[Season]])=Contact[[#This Row],[Sequence]],TRUE,FALSE)</f>
        <v>1</v>
      </c>
      <c r="Y106" t="s">
        <v>190</v>
      </c>
      <c r="Z106">
        <v>0</v>
      </c>
      <c r="AA106">
        <f>IF(Contact[[#This Row],[Latest]]=TRUE,_xlfn.XLOOKUP(Contact[[#This Row],[Final Decision]],Table3[Final Decision],Table3[Active],0),0)</f>
        <v>0</v>
      </c>
      <c r="AB106">
        <f>SUMIF(Contact[Full Name],Contact[[#This Row],[Full Name]],Contact[Active])</f>
        <v>0</v>
      </c>
    </row>
    <row r="107" spans="1:28">
      <c r="A107">
        <v>1</v>
      </c>
      <c r="B107" t="s">
        <v>1307</v>
      </c>
      <c r="C107" t="s">
        <v>1308</v>
      </c>
      <c r="E107" t="s">
        <v>2204</v>
      </c>
      <c r="F107" t="s">
        <v>98</v>
      </c>
      <c r="G107" t="s">
        <v>2092</v>
      </c>
      <c r="I107" s="1" t="s">
        <v>1309</v>
      </c>
      <c r="J107" s="66" t="s">
        <v>2093</v>
      </c>
      <c r="L107" t="s">
        <v>2094</v>
      </c>
      <c r="M107" t="s">
        <v>105</v>
      </c>
      <c r="N107" t="s">
        <v>2095</v>
      </c>
      <c r="R107" t="s">
        <v>2093</v>
      </c>
      <c r="S107" t="s">
        <v>2093</v>
      </c>
      <c r="V107">
        <v>2020</v>
      </c>
      <c r="X107" t="b">
        <f>IF(_xlfn.MAXIFS(Contact[Sequence],Contact[Full Name],Contact[[#This Row],[Full Name]],Contact[Season],Contact[[#This Row],[Season]])=Contact[[#This Row],[Sequence]],TRUE,FALSE)</f>
        <v>1</v>
      </c>
      <c r="Y107" t="s">
        <v>190</v>
      </c>
      <c r="Z107">
        <v>0</v>
      </c>
      <c r="AA107">
        <f>IF(Contact[[#This Row],[Latest]]=TRUE,_xlfn.XLOOKUP(Contact[[#This Row],[Final Decision]],Table3[Final Decision],Table3[Active],0),0)</f>
        <v>0</v>
      </c>
      <c r="AB107">
        <f>SUMIF(Contact[Full Name],Contact[[#This Row],[Full Name]],Contact[Active])</f>
        <v>0</v>
      </c>
    </row>
    <row r="108" spans="1:28">
      <c r="A108">
        <v>1</v>
      </c>
      <c r="B108" t="s">
        <v>847</v>
      </c>
      <c r="C108" t="s">
        <v>848</v>
      </c>
      <c r="E108" t="s">
        <v>2205</v>
      </c>
      <c r="F108" t="s">
        <v>95</v>
      </c>
      <c r="G108" t="s">
        <v>2092</v>
      </c>
      <c r="I108" s="1" t="s">
        <v>849</v>
      </c>
      <c r="J108" s="66"/>
      <c r="L108" t="s">
        <v>2094</v>
      </c>
      <c r="M108" t="s">
        <v>105</v>
      </c>
      <c r="N108" t="s">
        <v>2095</v>
      </c>
      <c r="P108" t="s">
        <v>852</v>
      </c>
      <c r="R108" t="s">
        <v>112</v>
      </c>
      <c r="S108" t="s">
        <v>2093</v>
      </c>
      <c r="V108">
        <v>2020</v>
      </c>
      <c r="X108" t="b">
        <f>IF(_xlfn.MAXIFS(Contact[Sequence],Contact[Full Name],Contact[[#This Row],[Full Name]],Contact[Season],Contact[[#This Row],[Season]])=Contact[[#This Row],[Sequence]],TRUE,FALSE)</f>
        <v>1</v>
      </c>
      <c r="Y108" t="s">
        <v>96</v>
      </c>
      <c r="Z108" t="s">
        <v>852</v>
      </c>
      <c r="AA108">
        <f>IF(Contact[[#This Row],[Latest]]=TRUE,_xlfn.XLOOKUP(Contact[[#This Row],[Final Decision]],Table3[Final Decision],Table3[Active],0),0)</f>
        <v>0</v>
      </c>
      <c r="AB108">
        <f>SUMIF(Contact[Full Name],Contact[[#This Row],[Full Name]],Contact[Active])</f>
        <v>0</v>
      </c>
    </row>
    <row r="109" spans="1:28">
      <c r="A109">
        <v>1</v>
      </c>
      <c r="B109" t="s">
        <v>1554</v>
      </c>
      <c r="C109" t="s">
        <v>1555</v>
      </c>
      <c r="E109" t="s">
        <v>2206</v>
      </c>
      <c r="F109" t="s">
        <v>98</v>
      </c>
      <c r="G109" t="s">
        <v>2092</v>
      </c>
      <c r="I109" s="1" t="s">
        <v>1556</v>
      </c>
      <c r="J109" s="66" t="s">
        <v>2093</v>
      </c>
      <c r="L109" t="s">
        <v>2094</v>
      </c>
      <c r="M109" t="s">
        <v>90</v>
      </c>
      <c r="N109" t="s">
        <v>2095</v>
      </c>
      <c r="R109" t="s">
        <v>2093</v>
      </c>
      <c r="S109" t="s">
        <v>2093</v>
      </c>
      <c r="V109">
        <v>2020</v>
      </c>
      <c r="X109" t="b">
        <f>IF(_xlfn.MAXIFS(Contact[Sequence],Contact[Full Name],Contact[[#This Row],[Full Name]],Contact[Season],Contact[[#This Row],[Season]])=Contact[[#This Row],[Sequence]],TRUE,FALSE)</f>
        <v>1</v>
      </c>
      <c r="Y109" t="s">
        <v>190</v>
      </c>
      <c r="Z109">
        <v>0</v>
      </c>
      <c r="AA109">
        <f>IF(Contact[[#This Row],[Latest]]=TRUE,_xlfn.XLOOKUP(Contact[[#This Row],[Final Decision]],Table3[Final Decision],Table3[Active],0),0)</f>
        <v>0</v>
      </c>
      <c r="AB109">
        <f>SUMIF(Contact[Full Name],Contact[[#This Row],[Full Name]],Contact[Active])</f>
        <v>0</v>
      </c>
    </row>
    <row r="110" spans="1:28">
      <c r="A110">
        <v>1</v>
      </c>
      <c r="B110" t="s">
        <v>1301</v>
      </c>
      <c r="C110" t="s">
        <v>1302</v>
      </c>
      <c r="E110" t="s">
        <v>2207</v>
      </c>
      <c r="F110" t="s">
        <v>95</v>
      </c>
      <c r="G110" t="s">
        <v>2092</v>
      </c>
      <c r="I110" s="1" t="s">
        <v>1303</v>
      </c>
      <c r="J110" s="66" t="s">
        <v>1304</v>
      </c>
      <c r="L110" t="s">
        <v>2094</v>
      </c>
      <c r="M110" t="s">
        <v>105</v>
      </c>
      <c r="N110" t="s">
        <v>2095</v>
      </c>
      <c r="R110" t="s">
        <v>2093</v>
      </c>
      <c r="S110" t="s">
        <v>2093</v>
      </c>
      <c r="V110">
        <v>2020</v>
      </c>
      <c r="X110" t="b">
        <f>IF(_xlfn.MAXIFS(Contact[Sequence],Contact[Full Name],Contact[[#This Row],[Full Name]],Contact[Season],Contact[[#This Row],[Season]])=Contact[[#This Row],[Sequence]],TRUE,FALSE)</f>
        <v>1</v>
      </c>
      <c r="Y110" t="s">
        <v>190</v>
      </c>
      <c r="Z110">
        <v>0</v>
      </c>
      <c r="AA110">
        <f>IF(Contact[[#This Row],[Latest]]=TRUE,_xlfn.XLOOKUP(Contact[[#This Row],[Final Decision]],Table3[Final Decision],Table3[Active],0),0)</f>
        <v>0</v>
      </c>
      <c r="AB110">
        <f>SUMIF(Contact[Full Name],Contact[[#This Row],[Full Name]],Contact[Active])</f>
        <v>0</v>
      </c>
    </row>
    <row r="111" spans="1:28">
      <c r="A111">
        <v>1</v>
      </c>
      <c r="B111" t="s">
        <v>1295</v>
      </c>
      <c r="C111" t="s">
        <v>1296</v>
      </c>
      <c r="E111" t="s">
        <v>2208</v>
      </c>
      <c r="F111" t="s">
        <v>98</v>
      </c>
      <c r="G111" t="s">
        <v>2092</v>
      </c>
      <c r="I111" s="1" t="s">
        <v>1297</v>
      </c>
      <c r="J111" s="66" t="s">
        <v>1298</v>
      </c>
      <c r="L111" t="s">
        <v>2094</v>
      </c>
      <c r="M111" t="s">
        <v>90</v>
      </c>
      <c r="N111" t="s">
        <v>2095</v>
      </c>
      <c r="R111" t="s">
        <v>2093</v>
      </c>
      <c r="S111" t="s">
        <v>2093</v>
      </c>
      <c r="V111">
        <v>2020</v>
      </c>
      <c r="X111" t="b">
        <f>IF(_xlfn.MAXIFS(Contact[Sequence],Contact[Full Name],Contact[[#This Row],[Full Name]],Contact[Season],Contact[[#This Row],[Season]])=Contact[[#This Row],[Sequence]],TRUE,FALSE)</f>
        <v>1</v>
      </c>
      <c r="Y111" t="s">
        <v>190</v>
      </c>
      <c r="Z111">
        <v>0</v>
      </c>
      <c r="AA111">
        <f>IF(Contact[[#This Row],[Latest]]=TRUE,_xlfn.XLOOKUP(Contact[[#This Row],[Final Decision]],Table3[Final Decision],Table3[Active],0),0)</f>
        <v>0</v>
      </c>
      <c r="AB111">
        <f>SUMIF(Contact[Full Name],Contact[[#This Row],[Full Name]],Contact[Active])</f>
        <v>0</v>
      </c>
    </row>
    <row r="112" spans="1:28">
      <c r="A112">
        <v>1</v>
      </c>
      <c r="B112" t="s">
        <v>688</v>
      </c>
      <c r="C112" t="s">
        <v>689</v>
      </c>
      <c r="E112" t="s">
        <v>2209</v>
      </c>
      <c r="F112" t="s">
        <v>98</v>
      </c>
      <c r="G112" t="s">
        <v>2100</v>
      </c>
      <c r="I112" s="1" t="s">
        <v>690</v>
      </c>
      <c r="J112" s="66" t="s">
        <v>691</v>
      </c>
      <c r="L112" t="s">
        <v>2094</v>
      </c>
      <c r="M112" t="s">
        <v>105</v>
      </c>
      <c r="N112" t="s">
        <v>2095</v>
      </c>
      <c r="P112" t="s">
        <v>692</v>
      </c>
      <c r="R112" t="s">
        <v>677</v>
      </c>
      <c r="S112" t="s">
        <v>678</v>
      </c>
      <c r="V112">
        <v>2020</v>
      </c>
      <c r="X112" t="b">
        <f>IF(_xlfn.MAXIFS(Contact[Sequence],Contact[Full Name],Contact[[#This Row],[Full Name]],Contact[Season],Contact[[#This Row],[Season]])=Contact[[#This Row],[Sequence]],TRUE,FALSE)</f>
        <v>1</v>
      </c>
      <c r="Y112" t="s">
        <v>96</v>
      </c>
      <c r="Z112" t="s">
        <v>159</v>
      </c>
      <c r="AA112">
        <f>IF(Contact[[#This Row],[Latest]]=TRUE,_xlfn.XLOOKUP(Contact[[#This Row],[Final Decision]],Table3[Final Decision],Table3[Active],0),0)</f>
        <v>0</v>
      </c>
      <c r="AB112">
        <f>SUMIF(Contact[Full Name],Contact[[#This Row],[Full Name]],Contact[Active])</f>
        <v>0</v>
      </c>
    </row>
    <row r="113" spans="1:28">
      <c r="A113">
        <v>1</v>
      </c>
      <c r="B113" t="s">
        <v>853</v>
      </c>
      <c r="C113" t="s">
        <v>854</v>
      </c>
      <c r="E113" t="s">
        <v>2210</v>
      </c>
      <c r="F113" t="s">
        <v>95</v>
      </c>
      <c r="G113" t="s">
        <v>2092</v>
      </c>
      <c r="I113" s="1" t="s">
        <v>855</v>
      </c>
      <c r="J113" s="66" t="s">
        <v>856</v>
      </c>
      <c r="L113" t="s">
        <v>2094</v>
      </c>
      <c r="M113" t="s">
        <v>105</v>
      </c>
      <c r="N113" t="s">
        <v>2095</v>
      </c>
      <c r="P113" t="s">
        <v>859</v>
      </c>
      <c r="R113" t="s">
        <v>112</v>
      </c>
      <c r="S113" t="s">
        <v>2093</v>
      </c>
      <c r="V113">
        <v>2020</v>
      </c>
      <c r="X113" t="b">
        <f>IF(_xlfn.MAXIFS(Contact[Sequence],Contact[Full Name],Contact[[#This Row],[Full Name]],Contact[Season],Contact[[#This Row],[Season]])=Contact[[#This Row],[Sequence]],TRUE,FALSE)</f>
        <v>1</v>
      </c>
      <c r="Y113" t="s">
        <v>96</v>
      </c>
      <c r="Z113" t="s">
        <v>859</v>
      </c>
      <c r="AA113">
        <f>IF(Contact[[#This Row],[Latest]]=TRUE,_xlfn.XLOOKUP(Contact[[#This Row],[Final Decision]],Table3[Final Decision],Table3[Active],0),0)</f>
        <v>0</v>
      </c>
      <c r="AB113">
        <f>SUMIF(Contact[Full Name],Contact[[#This Row],[Full Name]],Contact[Active])</f>
        <v>0</v>
      </c>
    </row>
    <row r="114" spans="1:28">
      <c r="A114">
        <v>1</v>
      </c>
      <c r="B114" t="s">
        <v>1559</v>
      </c>
      <c r="C114" t="s">
        <v>1125</v>
      </c>
      <c r="E114" t="s">
        <v>2211</v>
      </c>
      <c r="F114" t="s">
        <v>98</v>
      </c>
      <c r="G114" t="s">
        <v>2092</v>
      </c>
      <c r="I114" s="1" t="s">
        <v>1560</v>
      </c>
      <c r="J114" s="66" t="s">
        <v>2093</v>
      </c>
      <c r="L114" t="s">
        <v>2094</v>
      </c>
      <c r="M114" t="s">
        <v>90</v>
      </c>
      <c r="N114" t="s">
        <v>2095</v>
      </c>
      <c r="R114" t="s">
        <v>2093</v>
      </c>
      <c r="S114" t="s">
        <v>2093</v>
      </c>
      <c r="V114">
        <v>2020</v>
      </c>
      <c r="X114" t="b">
        <f>IF(_xlfn.MAXIFS(Contact[Sequence],Contact[Full Name],Contact[[#This Row],[Full Name]],Contact[Season],Contact[[#This Row],[Season]])=Contact[[#This Row],[Sequence]],TRUE,FALSE)</f>
        <v>1</v>
      </c>
      <c r="Y114" t="s">
        <v>190</v>
      </c>
      <c r="Z114">
        <v>0</v>
      </c>
      <c r="AA114">
        <f>IF(Contact[[#This Row],[Latest]]=TRUE,_xlfn.XLOOKUP(Contact[[#This Row],[Final Decision]],Table3[Final Decision],Table3[Active],0),0)</f>
        <v>0</v>
      </c>
      <c r="AB114">
        <f>SUMIF(Contact[Full Name],Contact[[#This Row],[Full Name]],Contact[Active])</f>
        <v>0</v>
      </c>
    </row>
    <row r="115" spans="1:28">
      <c r="A115">
        <v>1</v>
      </c>
      <c r="B115" t="s">
        <v>542</v>
      </c>
      <c r="C115" t="s">
        <v>543</v>
      </c>
      <c r="E115" t="s">
        <v>2212</v>
      </c>
      <c r="F115" t="s">
        <v>95</v>
      </c>
      <c r="G115" t="s">
        <v>2092</v>
      </c>
      <c r="I115" s="1" t="s">
        <v>544</v>
      </c>
      <c r="J115" s="66" t="s">
        <v>545</v>
      </c>
      <c r="L115" t="s">
        <v>2094</v>
      </c>
      <c r="M115" t="s">
        <v>90</v>
      </c>
      <c r="N115" t="s">
        <v>2095</v>
      </c>
      <c r="R115" t="s">
        <v>2093</v>
      </c>
      <c r="S115" t="s">
        <v>2093</v>
      </c>
      <c r="V115">
        <v>2020</v>
      </c>
      <c r="X115" t="b">
        <f>IF(_xlfn.MAXIFS(Contact[Sequence],Contact[Full Name],Contact[[#This Row],[Full Name]],Contact[Season],Contact[[#This Row],[Season]])=Contact[[#This Row],[Sequence]],TRUE,FALSE)</f>
        <v>1</v>
      </c>
      <c r="Y115" t="s">
        <v>190</v>
      </c>
      <c r="Z115">
        <v>0</v>
      </c>
      <c r="AA115">
        <f>IF(Contact[[#This Row],[Latest]]=TRUE,_xlfn.XLOOKUP(Contact[[#This Row],[Final Decision]],Table3[Final Decision],Table3[Active],0),0)</f>
        <v>0</v>
      </c>
      <c r="AB115">
        <f>SUMIF(Contact[Full Name],Contact[[#This Row],[Full Name]],Contact[Active])</f>
        <v>0</v>
      </c>
    </row>
    <row r="116" spans="1:28">
      <c r="A116">
        <v>1</v>
      </c>
      <c r="B116" t="s">
        <v>372</v>
      </c>
      <c r="C116" t="s">
        <v>373</v>
      </c>
      <c r="E116" t="s">
        <v>2213</v>
      </c>
      <c r="F116" t="s">
        <v>95</v>
      </c>
      <c r="G116" t="s">
        <v>2092</v>
      </c>
      <c r="I116" s="1" t="s">
        <v>374</v>
      </c>
      <c r="J116" s="66"/>
      <c r="L116" t="s">
        <v>2094</v>
      </c>
      <c r="M116" t="s">
        <v>90</v>
      </c>
      <c r="N116" t="s">
        <v>2095</v>
      </c>
      <c r="R116" t="s">
        <v>2093</v>
      </c>
      <c r="S116" t="s">
        <v>2093</v>
      </c>
      <c r="V116">
        <v>2020</v>
      </c>
      <c r="X116" t="b">
        <f>IF(_xlfn.MAXIFS(Contact[Sequence],Contact[Full Name],Contact[[#This Row],[Full Name]],Contact[Season],Contact[[#This Row],[Season]])=Contact[[#This Row],[Sequence]],TRUE,FALSE)</f>
        <v>1</v>
      </c>
      <c r="Y116" t="s">
        <v>190</v>
      </c>
      <c r="Z116">
        <v>0</v>
      </c>
      <c r="AA116">
        <f>IF(Contact[[#This Row],[Latest]]=TRUE,_xlfn.XLOOKUP(Contact[[#This Row],[Final Decision]],Table3[Final Decision],Table3[Active],0),0)</f>
        <v>0</v>
      </c>
      <c r="AB116">
        <f>SUMIF(Contact[Full Name],Contact[[#This Row],[Full Name]],Contact[Active])</f>
        <v>0</v>
      </c>
    </row>
    <row r="117" spans="1:28">
      <c r="A117">
        <v>1</v>
      </c>
      <c r="B117" t="s">
        <v>701</v>
      </c>
      <c r="C117" t="s">
        <v>702</v>
      </c>
      <c r="E117" t="s">
        <v>2214</v>
      </c>
      <c r="F117" t="s">
        <v>102</v>
      </c>
      <c r="G117" t="s">
        <v>2100</v>
      </c>
      <c r="I117" s="1" t="s">
        <v>703</v>
      </c>
      <c r="J117" s="66" t="s">
        <v>704</v>
      </c>
      <c r="L117" t="s">
        <v>2094</v>
      </c>
      <c r="M117" t="s">
        <v>90</v>
      </c>
      <c r="N117" t="s">
        <v>2095</v>
      </c>
      <c r="P117" t="s">
        <v>708</v>
      </c>
      <c r="R117" t="s">
        <v>175</v>
      </c>
      <c r="S117" t="s">
        <v>678</v>
      </c>
      <c r="V117">
        <v>2020</v>
      </c>
      <c r="X117" t="b">
        <f>IF(_xlfn.MAXIFS(Contact[Sequence],Contact[Full Name],Contact[[#This Row],[Full Name]],Contact[Season],Contact[[#This Row],[Season]])=Contact[[#This Row],[Sequence]],TRUE,FALSE)</f>
        <v>1</v>
      </c>
      <c r="Y117" t="s">
        <v>96</v>
      </c>
      <c r="Z117" t="s">
        <v>707</v>
      </c>
      <c r="AA117">
        <f>IF(Contact[[#This Row],[Latest]]=TRUE,_xlfn.XLOOKUP(Contact[[#This Row],[Final Decision]],Table3[Final Decision],Table3[Active],0),0)</f>
        <v>0</v>
      </c>
      <c r="AB117">
        <f>SUMIF(Contact[Full Name],Contact[[#This Row],[Full Name]],Contact[Active])</f>
        <v>0</v>
      </c>
    </row>
    <row r="118" spans="1:28">
      <c r="A118">
        <v>1</v>
      </c>
      <c r="B118" t="s">
        <v>1312</v>
      </c>
      <c r="C118" t="s">
        <v>1313</v>
      </c>
      <c r="E118" t="s">
        <v>2215</v>
      </c>
      <c r="F118" t="s">
        <v>95</v>
      </c>
      <c r="G118" t="s">
        <v>2092</v>
      </c>
      <c r="I118" s="1" t="s">
        <v>1314</v>
      </c>
      <c r="J118" s="66"/>
      <c r="L118" t="s">
        <v>2094</v>
      </c>
      <c r="M118" t="s">
        <v>105</v>
      </c>
      <c r="N118" t="s">
        <v>2095</v>
      </c>
      <c r="R118" t="s">
        <v>2093</v>
      </c>
      <c r="S118" t="s">
        <v>2093</v>
      </c>
      <c r="V118">
        <v>2020</v>
      </c>
      <c r="X118" t="b">
        <f>IF(_xlfn.MAXIFS(Contact[Sequence],Contact[Full Name],Contact[[#This Row],[Full Name]],Contact[Season],Contact[[#This Row],[Season]])=Contact[[#This Row],[Sequence]],TRUE,FALSE)</f>
        <v>1</v>
      </c>
      <c r="Y118" t="s">
        <v>190</v>
      </c>
      <c r="Z118">
        <v>0</v>
      </c>
      <c r="AA118">
        <f>IF(Contact[[#This Row],[Latest]]=TRUE,_xlfn.XLOOKUP(Contact[[#This Row],[Final Decision]],Table3[Final Decision],Table3[Active],0),0)</f>
        <v>0</v>
      </c>
      <c r="AB118">
        <f>SUMIF(Contact[Full Name],Contact[[#This Row],[Full Name]],Contact[Active])</f>
        <v>0</v>
      </c>
    </row>
    <row r="119" spans="1:28">
      <c r="A119">
        <v>1</v>
      </c>
      <c r="B119" t="s">
        <v>1317</v>
      </c>
      <c r="C119" t="s">
        <v>1318</v>
      </c>
      <c r="E119" t="s">
        <v>2216</v>
      </c>
      <c r="F119" t="s">
        <v>95</v>
      </c>
      <c r="G119" t="s">
        <v>2092</v>
      </c>
      <c r="I119" s="1" t="s">
        <v>1319</v>
      </c>
      <c r="J119" s="66" t="s">
        <v>1320</v>
      </c>
      <c r="L119" t="s">
        <v>2094</v>
      </c>
      <c r="M119" t="s">
        <v>105</v>
      </c>
      <c r="N119" t="s">
        <v>2095</v>
      </c>
      <c r="R119" t="s">
        <v>2093</v>
      </c>
      <c r="S119" t="s">
        <v>2093</v>
      </c>
      <c r="V119">
        <v>2020</v>
      </c>
      <c r="X119" t="b">
        <f>IF(_xlfn.MAXIFS(Contact[Sequence],Contact[Full Name],Contact[[#This Row],[Full Name]],Contact[Season],Contact[[#This Row],[Season]])=Contact[[#This Row],[Sequence]],TRUE,FALSE)</f>
        <v>1</v>
      </c>
      <c r="Y119" t="s">
        <v>190</v>
      </c>
      <c r="Z119">
        <v>0</v>
      </c>
      <c r="AA119">
        <f>IF(Contact[[#This Row],[Latest]]=TRUE,_xlfn.XLOOKUP(Contact[[#This Row],[Final Decision]],Table3[Final Decision],Table3[Active],0),0)</f>
        <v>0</v>
      </c>
      <c r="AB119">
        <f>SUMIF(Contact[Full Name],Contact[[#This Row],[Full Name]],Contact[Active])</f>
        <v>0</v>
      </c>
    </row>
    <row r="120" spans="1:28">
      <c r="A120">
        <v>1</v>
      </c>
      <c r="B120" t="s">
        <v>376</v>
      </c>
      <c r="C120" t="s">
        <v>238</v>
      </c>
      <c r="E120" t="s">
        <v>2217</v>
      </c>
      <c r="F120" t="s">
        <v>95</v>
      </c>
      <c r="G120" t="s">
        <v>2092</v>
      </c>
      <c r="I120" s="1" t="s">
        <v>377</v>
      </c>
      <c r="J120" s="66" t="s">
        <v>2093</v>
      </c>
      <c r="L120" t="s">
        <v>2094</v>
      </c>
      <c r="M120" t="s">
        <v>185</v>
      </c>
      <c r="N120" t="s">
        <v>2095</v>
      </c>
      <c r="R120" t="s">
        <v>2093</v>
      </c>
      <c r="S120" t="s">
        <v>2093</v>
      </c>
      <c r="V120">
        <v>2020</v>
      </c>
      <c r="X120" t="b">
        <f>IF(_xlfn.MAXIFS(Contact[Sequence],Contact[Full Name],Contact[[#This Row],[Full Name]],Contact[Season],Contact[[#This Row],[Season]])=Contact[[#This Row],[Sequence]],TRUE,FALSE)</f>
        <v>1</v>
      </c>
      <c r="Y120" t="s">
        <v>190</v>
      </c>
      <c r="Z120">
        <v>0</v>
      </c>
      <c r="AA120">
        <f>IF(Contact[[#This Row],[Latest]]=TRUE,_xlfn.XLOOKUP(Contact[[#This Row],[Final Decision]],Table3[Final Decision],Table3[Active],0),0)</f>
        <v>0</v>
      </c>
      <c r="AB120">
        <f>SUMIF(Contact[Full Name],Contact[[#This Row],[Full Name]],Contact[Active])</f>
        <v>0</v>
      </c>
    </row>
    <row r="121" spans="1:28">
      <c r="A121">
        <v>1</v>
      </c>
      <c r="B121" t="s">
        <v>376</v>
      </c>
      <c r="C121" t="s">
        <v>260</v>
      </c>
      <c r="E121" t="s">
        <v>2218</v>
      </c>
      <c r="F121" t="s">
        <v>102</v>
      </c>
      <c r="G121" t="s">
        <v>2100</v>
      </c>
      <c r="I121" s="1" t="s">
        <v>1990</v>
      </c>
      <c r="J121" s="66" t="s">
        <v>2093</v>
      </c>
      <c r="L121" t="s">
        <v>2094</v>
      </c>
      <c r="M121" t="s">
        <v>90</v>
      </c>
      <c r="N121" t="s">
        <v>2095</v>
      </c>
      <c r="P121" t="s">
        <v>1994</v>
      </c>
      <c r="R121" t="s">
        <v>112</v>
      </c>
      <c r="S121" t="s">
        <v>635</v>
      </c>
      <c r="V121">
        <v>2020</v>
      </c>
      <c r="X121" t="b">
        <f>IF(_xlfn.MAXIFS(Contact[Sequence],Contact[Full Name],Contact[[#This Row],[Full Name]],Contact[Season],Contact[[#This Row],[Season]])=Contact[[#This Row],[Sequence]],TRUE,FALSE)</f>
        <v>1</v>
      </c>
      <c r="Y121" t="s">
        <v>96</v>
      </c>
      <c r="Z121" t="s">
        <v>1993</v>
      </c>
      <c r="AA121">
        <f>IF(Contact[[#This Row],[Latest]]=TRUE,_xlfn.XLOOKUP(Contact[[#This Row],[Final Decision]],Table3[Final Decision],Table3[Active],0),0)</f>
        <v>0</v>
      </c>
      <c r="AB121">
        <f>SUMIF(Contact[Full Name],Contact[[#This Row],[Full Name]],Contact[Active])</f>
        <v>0</v>
      </c>
    </row>
    <row r="122" spans="1:28">
      <c r="A122">
        <v>1</v>
      </c>
      <c r="B122" t="s">
        <v>376</v>
      </c>
      <c r="C122" t="s">
        <v>860</v>
      </c>
      <c r="E122" t="s">
        <v>2219</v>
      </c>
      <c r="F122" t="s">
        <v>95</v>
      </c>
      <c r="G122" t="s">
        <v>2092</v>
      </c>
      <c r="I122" s="1" t="s">
        <v>861</v>
      </c>
      <c r="J122" s="66" t="s">
        <v>2093</v>
      </c>
      <c r="L122" t="s">
        <v>2094</v>
      </c>
      <c r="M122" t="s">
        <v>90</v>
      </c>
      <c r="N122" t="s">
        <v>2095</v>
      </c>
      <c r="P122" t="s">
        <v>863</v>
      </c>
      <c r="R122" t="s">
        <v>112</v>
      </c>
      <c r="S122" t="s">
        <v>2093</v>
      </c>
      <c r="V122">
        <v>2020</v>
      </c>
      <c r="X122" t="b">
        <f>IF(_xlfn.MAXIFS(Contact[Sequence],Contact[Full Name],Contact[[#This Row],[Full Name]],Contact[Season],Contact[[#This Row],[Season]])=Contact[[#This Row],[Sequence]],TRUE,FALSE)</f>
        <v>1</v>
      </c>
      <c r="Y122" t="s">
        <v>96</v>
      </c>
      <c r="Z122" t="s">
        <v>863</v>
      </c>
      <c r="AA122">
        <f>IF(Contact[[#This Row],[Latest]]=TRUE,_xlfn.XLOOKUP(Contact[[#This Row],[Final Decision]],Table3[Final Decision],Table3[Active],0),0)</f>
        <v>0</v>
      </c>
      <c r="AB122">
        <f>SUMIF(Contact[Full Name],Contact[[#This Row],[Full Name]],Contact[Active])</f>
        <v>0</v>
      </c>
    </row>
    <row r="123" spans="1:28">
      <c r="A123">
        <v>1</v>
      </c>
      <c r="B123" t="s">
        <v>794</v>
      </c>
      <c r="C123" t="s">
        <v>795</v>
      </c>
      <c r="E123" t="s">
        <v>2220</v>
      </c>
      <c r="F123" t="s">
        <v>95</v>
      </c>
      <c r="G123" t="s">
        <v>2092</v>
      </c>
      <c r="I123" s="1" t="s">
        <v>796</v>
      </c>
      <c r="J123" s="66" t="s">
        <v>797</v>
      </c>
      <c r="L123" t="s">
        <v>2094</v>
      </c>
      <c r="M123" t="s">
        <v>105</v>
      </c>
      <c r="N123" t="s">
        <v>2095</v>
      </c>
      <c r="P123" t="s">
        <v>799</v>
      </c>
      <c r="R123" t="s">
        <v>112</v>
      </c>
      <c r="S123" t="s">
        <v>2093</v>
      </c>
      <c r="V123">
        <v>2020</v>
      </c>
      <c r="X123" t="b">
        <f>IF(_xlfn.MAXIFS(Contact[Sequence],Contact[Full Name],Contact[[#This Row],[Full Name]],Contact[Season],Contact[[#This Row],[Season]])=Contact[[#This Row],[Sequence]],TRUE,FALSE)</f>
        <v>1</v>
      </c>
      <c r="Y123" t="s">
        <v>96</v>
      </c>
      <c r="Z123" t="s">
        <v>799</v>
      </c>
      <c r="AA123">
        <f>IF(Contact[[#This Row],[Latest]]=TRUE,_xlfn.XLOOKUP(Contact[[#This Row],[Final Decision]],Table3[Final Decision],Table3[Active],0),0)</f>
        <v>0</v>
      </c>
      <c r="AB123">
        <f>SUMIF(Contact[Full Name],Contact[[#This Row],[Full Name]],Contact[Active])</f>
        <v>0</v>
      </c>
    </row>
    <row r="124" spans="1:28">
      <c r="A124">
        <v>1</v>
      </c>
      <c r="B124" t="s">
        <v>177</v>
      </c>
      <c r="C124" t="s">
        <v>178</v>
      </c>
      <c r="E124" t="s">
        <v>2221</v>
      </c>
      <c r="F124" t="s">
        <v>95</v>
      </c>
      <c r="G124" t="s">
        <v>2092</v>
      </c>
      <c r="I124" s="1" t="s">
        <v>179</v>
      </c>
      <c r="J124" s="66" t="s">
        <v>180</v>
      </c>
      <c r="L124" t="s">
        <v>2094</v>
      </c>
      <c r="M124" t="s">
        <v>164</v>
      </c>
      <c r="N124" t="s">
        <v>2095</v>
      </c>
      <c r="P124">
        <v>0</v>
      </c>
      <c r="R124" t="s">
        <v>175</v>
      </c>
      <c r="S124" t="s">
        <v>176</v>
      </c>
      <c r="V124">
        <v>2020</v>
      </c>
      <c r="X124" t="b">
        <f>IF(_xlfn.MAXIFS(Contact[Sequence],Contact[Full Name],Contact[[#This Row],[Full Name]],Contact[Season],Contact[[#This Row],[Season]])=Contact[[#This Row],[Sequence]],TRUE,FALSE)</f>
        <v>0</v>
      </c>
      <c r="Y124" t="s">
        <v>96</v>
      </c>
      <c r="Z124">
        <v>0</v>
      </c>
      <c r="AA124">
        <f>IF(Contact[[#This Row],[Latest]]=TRUE,_xlfn.XLOOKUP(Contact[[#This Row],[Final Decision]],Table3[Final Decision],Table3[Active],0),0)</f>
        <v>0</v>
      </c>
      <c r="AB124">
        <f>SUMIF(Contact[Full Name],Contact[[#This Row],[Full Name]],Contact[Active])</f>
        <v>0</v>
      </c>
    </row>
    <row r="125" spans="1:28">
      <c r="A125">
        <v>1</v>
      </c>
      <c r="B125" t="s">
        <v>1328</v>
      </c>
      <c r="C125" t="s">
        <v>1329</v>
      </c>
      <c r="E125" t="s">
        <v>2222</v>
      </c>
      <c r="F125" t="s">
        <v>98</v>
      </c>
      <c r="G125" t="s">
        <v>2092</v>
      </c>
      <c r="I125" s="1" t="s">
        <v>1330</v>
      </c>
      <c r="J125" s="66" t="s">
        <v>2093</v>
      </c>
      <c r="L125" t="s">
        <v>2094</v>
      </c>
      <c r="M125" t="s">
        <v>105</v>
      </c>
      <c r="N125" t="s">
        <v>2095</v>
      </c>
      <c r="R125" t="s">
        <v>2093</v>
      </c>
      <c r="S125" t="s">
        <v>2093</v>
      </c>
      <c r="V125">
        <v>2020</v>
      </c>
      <c r="X125" t="b">
        <f>IF(_xlfn.MAXIFS(Contact[Sequence],Contact[Full Name],Contact[[#This Row],[Full Name]],Contact[Season],Contact[[#This Row],[Season]])=Contact[[#This Row],[Sequence]],TRUE,FALSE)</f>
        <v>1</v>
      </c>
      <c r="Y125" t="s">
        <v>190</v>
      </c>
      <c r="Z125">
        <v>0</v>
      </c>
      <c r="AA125">
        <f>IF(Contact[[#This Row],[Latest]]=TRUE,_xlfn.XLOOKUP(Contact[[#This Row],[Final Decision]],Table3[Final Decision],Table3[Active],0),0)</f>
        <v>0</v>
      </c>
      <c r="AB125">
        <f>SUMIF(Contact[Full Name],Contact[[#This Row],[Full Name]],Contact[Active])</f>
        <v>0</v>
      </c>
    </row>
    <row r="126" spans="1:28">
      <c r="A126">
        <v>1</v>
      </c>
      <c r="B126" t="s">
        <v>1338</v>
      </c>
      <c r="C126" t="s">
        <v>1339</v>
      </c>
      <c r="E126" t="s">
        <v>2223</v>
      </c>
      <c r="F126" t="s">
        <v>98</v>
      </c>
      <c r="G126" t="s">
        <v>2092</v>
      </c>
      <c r="I126" s="1" t="s">
        <v>1340</v>
      </c>
      <c r="J126" s="66" t="s">
        <v>1341</v>
      </c>
      <c r="L126" t="s">
        <v>2094</v>
      </c>
      <c r="M126" t="s">
        <v>105</v>
      </c>
      <c r="N126" t="s">
        <v>2095</v>
      </c>
      <c r="R126" t="s">
        <v>2093</v>
      </c>
      <c r="S126" t="s">
        <v>2093</v>
      </c>
      <c r="V126">
        <v>2020</v>
      </c>
      <c r="X126" t="b">
        <f>IF(_xlfn.MAXIFS(Contact[Sequence],Contact[Full Name],Contact[[#This Row],[Full Name]],Contact[Season],Contact[[#This Row],[Season]])=Contact[[#This Row],[Sequence]],TRUE,FALSE)</f>
        <v>1</v>
      </c>
      <c r="Y126" t="s">
        <v>190</v>
      </c>
      <c r="Z126">
        <v>0</v>
      </c>
      <c r="AA126">
        <f>IF(Contact[[#This Row],[Latest]]=TRUE,_xlfn.XLOOKUP(Contact[[#This Row],[Final Decision]],Table3[Final Decision],Table3[Active],0),0)</f>
        <v>0</v>
      </c>
      <c r="AB126">
        <f>SUMIF(Contact[Full Name],Contact[[#This Row],[Full Name]],Contact[Active])</f>
        <v>0</v>
      </c>
    </row>
    <row r="127" spans="1:28">
      <c r="A127">
        <v>1</v>
      </c>
      <c r="B127" t="s">
        <v>1935</v>
      </c>
      <c r="C127" t="s">
        <v>1936</v>
      </c>
      <c r="E127" t="s">
        <v>2224</v>
      </c>
      <c r="F127" t="s">
        <v>98</v>
      </c>
      <c r="G127" t="s">
        <v>2100</v>
      </c>
      <c r="I127" s="1" t="s">
        <v>1937</v>
      </c>
      <c r="J127" s="66" t="s">
        <v>2093</v>
      </c>
      <c r="L127" t="s">
        <v>2094</v>
      </c>
      <c r="M127" t="s">
        <v>105</v>
      </c>
      <c r="N127" t="s">
        <v>2095</v>
      </c>
      <c r="P127" t="s">
        <v>1940</v>
      </c>
      <c r="R127" t="s">
        <v>1933</v>
      </c>
      <c r="S127" t="s">
        <v>1934</v>
      </c>
      <c r="V127">
        <v>2020</v>
      </c>
      <c r="X127" t="b">
        <f>IF(_xlfn.MAXIFS(Contact[Sequence],Contact[Full Name],Contact[[#This Row],[Full Name]],Contact[Season],Contact[[#This Row],[Season]])=Contact[[#This Row],[Sequence]],TRUE,FALSE)</f>
        <v>1</v>
      </c>
      <c r="Y127">
        <v>0</v>
      </c>
      <c r="Z127">
        <v>0</v>
      </c>
      <c r="AA127">
        <f>IF(Contact[[#This Row],[Latest]]=TRUE,_xlfn.XLOOKUP(Contact[[#This Row],[Final Decision]],Table3[Final Decision],Table3[Active],0),0)</f>
        <v>0</v>
      </c>
      <c r="AB127">
        <f>SUMIF(Contact[Full Name],Contact[[#This Row],[Full Name]],Contact[Active])</f>
        <v>0</v>
      </c>
    </row>
    <row r="128" spans="1:28">
      <c r="A128">
        <v>1</v>
      </c>
      <c r="B128" t="s">
        <v>358</v>
      </c>
      <c r="C128" t="s">
        <v>359</v>
      </c>
      <c r="E128" t="s">
        <v>2225</v>
      </c>
      <c r="F128" t="s">
        <v>95</v>
      </c>
      <c r="G128" t="s">
        <v>2092</v>
      </c>
      <c r="I128" s="1" t="s">
        <v>360</v>
      </c>
      <c r="J128" s="66" t="s">
        <v>361</v>
      </c>
      <c r="L128" t="s">
        <v>2094</v>
      </c>
      <c r="M128" t="s">
        <v>90</v>
      </c>
      <c r="N128" t="s">
        <v>2095</v>
      </c>
      <c r="R128" t="s">
        <v>2093</v>
      </c>
      <c r="S128" t="s">
        <v>2093</v>
      </c>
      <c r="V128">
        <v>2020</v>
      </c>
      <c r="X128" t="b">
        <f>IF(_xlfn.MAXIFS(Contact[Sequence],Contact[Full Name],Contact[[#This Row],[Full Name]],Contact[Season],Contact[[#This Row],[Season]])=Contact[[#This Row],[Sequence]],TRUE,FALSE)</f>
        <v>1</v>
      </c>
      <c r="Y128" t="s">
        <v>190</v>
      </c>
      <c r="Z128">
        <v>0</v>
      </c>
      <c r="AA128">
        <f>IF(Contact[[#This Row],[Latest]]=TRUE,_xlfn.XLOOKUP(Contact[[#This Row],[Final Decision]],Table3[Final Decision],Table3[Active],0),0)</f>
        <v>0</v>
      </c>
      <c r="AB128">
        <f>SUMIF(Contact[Full Name],Contact[[#This Row],[Full Name]],Contact[Active])</f>
        <v>0</v>
      </c>
    </row>
    <row r="129" spans="1:28">
      <c r="A129">
        <v>1</v>
      </c>
      <c r="B129" t="s">
        <v>379</v>
      </c>
      <c r="C129" t="s">
        <v>380</v>
      </c>
      <c r="E129" t="s">
        <v>2226</v>
      </c>
      <c r="F129" t="s">
        <v>95</v>
      </c>
      <c r="G129" t="s">
        <v>2092</v>
      </c>
      <c r="I129" s="1" t="s">
        <v>381</v>
      </c>
      <c r="J129" s="66" t="s">
        <v>382</v>
      </c>
      <c r="L129" t="s">
        <v>2094</v>
      </c>
      <c r="M129" t="s">
        <v>90</v>
      </c>
      <c r="N129" t="s">
        <v>2095</v>
      </c>
      <c r="R129" t="s">
        <v>2093</v>
      </c>
      <c r="S129" t="s">
        <v>2093</v>
      </c>
      <c r="V129">
        <v>2020</v>
      </c>
      <c r="X129" t="b">
        <f>IF(_xlfn.MAXIFS(Contact[Sequence],Contact[Full Name],Contact[[#This Row],[Full Name]],Contact[Season],Contact[[#This Row],[Season]])=Contact[[#This Row],[Sequence]],TRUE,FALSE)</f>
        <v>1</v>
      </c>
      <c r="Y129" t="s">
        <v>190</v>
      </c>
      <c r="Z129">
        <v>0</v>
      </c>
      <c r="AA129">
        <f>IF(Contact[[#This Row],[Latest]]=TRUE,_xlfn.XLOOKUP(Contact[[#This Row],[Final Decision]],Table3[Final Decision],Table3[Active],0),0)</f>
        <v>0</v>
      </c>
      <c r="AB129">
        <f>SUMIF(Contact[Full Name],Contact[[#This Row],[Full Name]],Contact[Active])</f>
        <v>0</v>
      </c>
    </row>
    <row r="130" spans="1:28">
      <c r="A130">
        <v>1</v>
      </c>
      <c r="B130" t="s">
        <v>354</v>
      </c>
      <c r="C130" t="s">
        <v>355</v>
      </c>
      <c r="E130" t="s">
        <v>2227</v>
      </c>
      <c r="F130" t="s">
        <v>95</v>
      </c>
      <c r="G130" t="s">
        <v>2092</v>
      </c>
      <c r="I130" s="1" t="s">
        <v>356</v>
      </c>
      <c r="J130" s="66" t="s">
        <v>2093</v>
      </c>
      <c r="L130" t="s">
        <v>2094</v>
      </c>
      <c r="M130" t="s">
        <v>90</v>
      </c>
      <c r="N130" t="s">
        <v>2095</v>
      </c>
      <c r="R130" t="s">
        <v>2093</v>
      </c>
      <c r="S130" t="s">
        <v>2093</v>
      </c>
      <c r="V130">
        <v>2020</v>
      </c>
      <c r="X130" t="b">
        <f>IF(_xlfn.MAXIFS(Contact[Sequence],Contact[Full Name],Contact[[#This Row],[Full Name]],Contact[Season],Contact[[#This Row],[Season]])=Contact[[#This Row],[Sequence]],TRUE,FALSE)</f>
        <v>1</v>
      </c>
      <c r="Y130" t="s">
        <v>190</v>
      </c>
      <c r="Z130">
        <v>0</v>
      </c>
      <c r="AA130">
        <f>IF(Contact[[#This Row],[Latest]]=TRUE,_xlfn.XLOOKUP(Contact[[#This Row],[Final Decision]],Table3[Final Decision],Table3[Active],0),0)</f>
        <v>0</v>
      </c>
      <c r="AB130">
        <f>SUMIF(Contact[Full Name],Contact[[#This Row],[Full Name]],Contact[Active])</f>
        <v>0</v>
      </c>
    </row>
    <row r="131" spans="1:28">
      <c r="A131">
        <v>1</v>
      </c>
      <c r="B131" t="s">
        <v>384</v>
      </c>
      <c r="C131" t="s">
        <v>385</v>
      </c>
      <c r="E131" t="s">
        <v>2228</v>
      </c>
      <c r="F131" t="s">
        <v>95</v>
      </c>
      <c r="G131" t="s">
        <v>2092</v>
      </c>
      <c r="I131" s="1" t="s">
        <v>386</v>
      </c>
      <c r="J131" s="66" t="s">
        <v>387</v>
      </c>
      <c r="L131" t="s">
        <v>2094</v>
      </c>
      <c r="M131" t="s">
        <v>90</v>
      </c>
      <c r="N131" t="s">
        <v>2095</v>
      </c>
      <c r="R131" t="s">
        <v>2093</v>
      </c>
      <c r="S131" t="s">
        <v>2093</v>
      </c>
      <c r="V131">
        <v>2020</v>
      </c>
      <c r="X131" t="b">
        <f>IF(_xlfn.MAXIFS(Contact[Sequence],Contact[Full Name],Contact[[#This Row],[Full Name]],Contact[Season],Contact[[#This Row],[Season]])=Contact[[#This Row],[Sequence]],TRUE,FALSE)</f>
        <v>1</v>
      </c>
      <c r="Y131" t="s">
        <v>190</v>
      </c>
      <c r="Z131">
        <v>0</v>
      </c>
      <c r="AA131">
        <f>IF(Contact[[#This Row],[Latest]]=TRUE,_xlfn.XLOOKUP(Contact[[#This Row],[Final Decision]],Table3[Final Decision],Table3[Active],0),0)</f>
        <v>0</v>
      </c>
      <c r="AB131">
        <f>SUMIF(Contact[Full Name],Contact[[#This Row],[Full Name]],Contact[Active])</f>
        <v>0</v>
      </c>
    </row>
    <row r="132" spans="1:28">
      <c r="A132">
        <v>1</v>
      </c>
      <c r="B132" t="s">
        <v>1356</v>
      </c>
      <c r="C132" t="s">
        <v>1357</v>
      </c>
      <c r="E132" t="s">
        <v>2229</v>
      </c>
      <c r="F132" t="s">
        <v>98</v>
      </c>
      <c r="G132" t="s">
        <v>2092</v>
      </c>
      <c r="I132" s="1" t="s">
        <v>1358</v>
      </c>
      <c r="J132" s="66" t="s">
        <v>2093</v>
      </c>
      <c r="L132" t="s">
        <v>2094</v>
      </c>
      <c r="M132" t="s">
        <v>105</v>
      </c>
      <c r="N132" t="s">
        <v>2095</v>
      </c>
      <c r="R132" t="s">
        <v>2093</v>
      </c>
      <c r="S132" t="s">
        <v>2093</v>
      </c>
      <c r="V132">
        <v>2020</v>
      </c>
      <c r="X132" t="b">
        <f>IF(_xlfn.MAXIFS(Contact[Sequence],Contact[Full Name],Contact[[#This Row],[Full Name]],Contact[Season],Contact[[#This Row],[Season]])=Contact[[#This Row],[Sequence]],TRUE,FALSE)</f>
        <v>1</v>
      </c>
      <c r="Y132" t="s">
        <v>190</v>
      </c>
      <c r="Z132">
        <v>0</v>
      </c>
      <c r="AA132">
        <f>IF(Contact[[#This Row],[Latest]]=TRUE,_xlfn.XLOOKUP(Contact[[#This Row],[Final Decision]],Table3[Final Decision],Table3[Active],0),0)</f>
        <v>0</v>
      </c>
      <c r="AB132">
        <f>SUMIF(Contact[Full Name],Contact[[#This Row],[Full Name]],Contact[Active])</f>
        <v>0</v>
      </c>
    </row>
    <row r="133" spans="1:28">
      <c r="A133">
        <v>1</v>
      </c>
      <c r="B133" t="s">
        <v>217</v>
      </c>
      <c r="C133" t="s">
        <v>218</v>
      </c>
      <c r="E133" t="s">
        <v>2230</v>
      </c>
      <c r="F133" t="s">
        <v>95</v>
      </c>
      <c r="G133" t="s">
        <v>2092</v>
      </c>
      <c r="I133" s="1" t="s">
        <v>219</v>
      </c>
      <c r="J133" s="66" t="s">
        <v>220</v>
      </c>
      <c r="L133" t="s">
        <v>2094</v>
      </c>
      <c r="M133" t="s">
        <v>105</v>
      </c>
      <c r="N133" t="s">
        <v>2095</v>
      </c>
      <c r="P133">
        <v>0</v>
      </c>
      <c r="R133" t="s">
        <v>215</v>
      </c>
      <c r="S133" t="s">
        <v>216</v>
      </c>
      <c r="V133">
        <v>2020</v>
      </c>
      <c r="X133" t="b">
        <f>IF(_xlfn.MAXIFS(Contact[Sequence],Contact[Full Name],Contact[[#This Row],[Full Name]],Contact[Season],Contact[[#This Row],[Season]])=Contact[[#This Row],[Sequence]],TRUE,FALSE)</f>
        <v>1</v>
      </c>
      <c r="Y133" t="s">
        <v>96</v>
      </c>
      <c r="Z133">
        <v>0</v>
      </c>
      <c r="AA133">
        <f>IF(Contact[[#This Row],[Latest]]=TRUE,_xlfn.XLOOKUP(Contact[[#This Row],[Final Decision]],Table3[Final Decision],Table3[Active],0),0)</f>
        <v>0</v>
      </c>
      <c r="AB133">
        <f>SUMIF(Contact[Full Name],Contact[[#This Row],[Full Name]],Contact[Active])</f>
        <v>0</v>
      </c>
    </row>
    <row r="134" spans="1:28">
      <c r="A134">
        <v>1</v>
      </c>
      <c r="B134" t="s">
        <v>389</v>
      </c>
      <c r="C134" t="s">
        <v>390</v>
      </c>
      <c r="E134" t="s">
        <v>2231</v>
      </c>
      <c r="F134" t="s">
        <v>95</v>
      </c>
      <c r="G134" t="s">
        <v>2092</v>
      </c>
      <c r="I134" s="1" t="s">
        <v>391</v>
      </c>
      <c r="J134" s="66" t="s">
        <v>392</v>
      </c>
      <c r="L134" t="s">
        <v>2094</v>
      </c>
      <c r="M134" t="s">
        <v>90</v>
      </c>
      <c r="N134" t="s">
        <v>2095</v>
      </c>
      <c r="R134" t="s">
        <v>2093</v>
      </c>
      <c r="S134" t="s">
        <v>2093</v>
      </c>
      <c r="V134">
        <v>2020</v>
      </c>
      <c r="X134" t="b">
        <f>IF(_xlfn.MAXIFS(Contact[Sequence],Contact[Full Name],Contact[[#This Row],[Full Name]],Contact[Season],Contact[[#This Row],[Season]])=Contact[[#This Row],[Sequence]],TRUE,FALSE)</f>
        <v>1</v>
      </c>
      <c r="Y134" t="s">
        <v>190</v>
      </c>
      <c r="Z134">
        <v>0</v>
      </c>
      <c r="AA134">
        <f>IF(Contact[[#This Row],[Latest]]=TRUE,_xlfn.XLOOKUP(Contact[[#This Row],[Final Decision]],Table3[Final Decision],Table3[Active],0),0)</f>
        <v>0</v>
      </c>
      <c r="AB134">
        <f>SUMIF(Contact[Full Name],Contact[[#This Row],[Full Name]],Contact[Active])</f>
        <v>0</v>
      </c>
    </row>
    <row r="135" spans="1:28">
      <c r="A135">
        <v>1</v>
      </c>
      <c r="B135" t="s">
        <v>1346</v>
      </c>
      <c r="C135" t="s">
        <v>1347</v>
      </c>
      <c r="E135" t="s">
        <v>2232</v>
      </c>
      <c r="F135" t="s">
        <v>98</v>
      </c>
      <c r="G135" t="s">
        <v>2092</v>
      </c>
      <c r="I135" s="1" t="s">
        <v>1348</v>
      </c>
      <c r="J135" s="66" t="s">
        <v>2093</v>
      </c>
      <c r="L135" t="s">
        <v>2094</v>
      </c>
      <c r="M135" t="s">
        <v>90</v>
      </c>
      <c r="N135" t="s">
        <v>2095</v>
      </c>
      <c r="R135" t="s">
        <v>2093</v>
      </c>
      <c r="S135" t="s">
        <v>2093</v>
      </c>
      <c r="V135">
        <v>2020</v>
      </c>
      <c r="X135" t="b">
        <f>IF(_xlfn.MAXIFS(Contact[Sequence],Contact[Full Name],Contact[[#This Row],[Full Name]],Contact[Season],Contact[[#This Row],[Season]])=Contact[[#This Row],[Sequence]],TRUE,FALSE)</f>
        <v>1</v>
      </c>
      <c r="Y135" t="s">
        <v>190</v>
      </c>
      <c r="Z135">
        <v>0</v>
      </c>
      <c r="AA135">
        <f>IF(Contact[[#This Row],[Latest]]=TRUE,_xlfn.XLOOKUP(Contact[[#This Row],[Final Decision]],Table3[Final Decision],Table3[Active],0),0)</f>
        <v>0</v>
      </c>
      <c r="AB135">
        <f>SUMIF(Contact[Full Name],Contact[[#This Row],[Full Name]],Contact[Active])</f>
        <v>0</v>
      </c>
    </row>
    <row r="136" spans="1:28">
      <c r="A136">
        <v>1</v>
      </c>
      <c r="B136" t="s">
        <v>533</v>
      </c>
      <c r="C136" t="s">
        <v>534</v>
      </c>
      <c r="E136" t="s">
        <v>2233</v>
      </c>
      <c r="F136" t="s">
        <v>95</v>
      </c>
      <c r="G136" t="s">
        <v>2092</v>
      </c>
      <c r="I136" s="1" t="s">
        <v>535</v>
      </c>
      <c r="J136" s="66" t="s">
        <v>536</v>
      </c>
      <c r="L136" t="s">
        <v>2094</v>
      </c>
      <c r="M136" t="s">
        <v>90</v>
      </c>
      <c r="N136" t="s">
        <v>2095</v>
      </c>
      <c r="R136" t="s">
        <v>2093</v>
      </c>
      <c r="S136" t="s">
        <v>2093</v>
      </c>
      <c r="V136">
        <v>2020</v>
      </c>
      <c r="X136" t="b">
        <f>IF(_xlfn.MAXIFS(Contact[Sequence],Contact[Full Name],Contact[[#This Row],[Full Name]],Contact[Season],Contact[[#This Row],[Season]])=Contact[[#This Row],[Sequence]],TRUE,FALSE)</f>
        <v>1</v>
      </c>
      <c r="Y136" t="s">
        <v>190</v>
      </c>
      <c r="Z136">
        <v>0</v>
      </c>
      <c r="AA136">
        <f>IF(Contact[[#This Row],[Latest]]=TRUE,_xlfn.XLOOKUP(Contact[[#This Row],[Final Decision]],Table3[Final Decision],Table3[Active],0),0)</f>
        <v>0</v>
      </c>
      <c r="AB136">
        <f>SUMIF(Contact[Full Name],Contact[[#This Row],[Full Name]],Contact[Active])</f>
        <v>0</v>
      </c>
    </row>
    <row r="137" spans="1:28">
      <c r="A137">
        <v>1</v>
      </c>
      <c r="B137" t="s">
        <v>1351</v>
      </c>
      <c r="C137" t="s">
        <v>438</v>
      </c>
      <c r="E137" t="s">
        <v>2234</v>
      </c>
      <c r="F137" t="s">
        <v>98</v>
      </c>
      <c r="G137" t="s">
        <v>2092</v>
      </c>
      <c r="I137" s="1" t="s">
        <v>1352</v>
      </c>
      <c r="J137" s="66" t="s">
        <v>1353</v>
      </c>
      <c r="L137" t="s">
        <v>2094</v>
      </c>
      <c r="M137" t="s">
        <v>90</v>
      </c>
      <c r="N137" t="s">
        <v>2095</v>
      </c>
      <c r="R137" t="s">
        <v>2093</v>
      </c>
      <c r="S137" t="s">
        <v>2093</v>
      </c>
      <c r="V137">
        <v>2020</v>
      </c>
      <c r="X137" t="b">
        <f>IF(_xlfn.MAXIFS(Contact[Sequence],Contact[Full Name],Contact[[#This Row],[Full Name]],Contact[Season],Contact[[#This Row],[Season]])=Contact[[#This Row],[Sequence]],TRUE,FALSE)</f>
        <v>1</v>
      </c>
      <c r="Y137" t="s">
        <v>190</v>
      </c>
      <c r="Z137">
        <v>0</v>
      </c>
      <c r="AA137">
        <f>IF(Contact[[#This Row],[Latest]]=TRUE,_xlfn.XLOOKUP(Contact[[#This Row],[Final Decision]],Table3[Final Decision],Table3[Active],0),0)</f>
        <v>0</v>
      </c>
      <c r="AB137">
        <f>SUMIF(Contact[Full Name],Contact[[#This Row],[Full Name]],Contact[Active])</f>
        <v>0</v>
      </c>
    </row>
    <row r="138" spans="1:28">
      <c r="A138">
        <v>1</v>
      </c>
      <c r="B138" t="s">
        <v>1343</v>
      </c>
      <c r="C138" t="s">
        <v>355</v>
      </c>
      <c r="E138" t="s">
        <v>2235</v>
      </c>
      <c r="F138" t="s">
        <v>95</v>
      </c>
      <c r="G138" t="s">
        <v>2092</v>
      </c>
      <c r="I138" s="1" t="s">
        <v>1344</v>
      </c>
      <c r="J138" s="66"/>
      <c r="L138" t="s">
        <v>2094</v>
      </c>
      <c r="M138" t="s">
        <v>105</v>
      </c>
      <c r="N138" t="s">
        <v>2095</v>
      </c>
      <c r="R138" t="s">
        <v>2093</v>
      </c>
      <c r="S138" t="s">
        <v>2093</v>
      </c>
      <c r="V138">
        <v>2020</v>
      </c>
      <c r="X138" t="b">
        <f>IF(_xlfn.MAXIFS(Contact[Sequence],Contact[Full Name],Contact[[#This Row],[Full Name]],Contact[Season],Contact[[#This Row],[Season]])=Contact[[#This Row],[Sequence]],TRUE,FALSE)</f>
        <v>1</v>
      </c>
      <c r="Y138" t="s">
        <v>190</v>
      </c>
      <c r="Z138">
        <v>0</v>
      </c>
      <c r="AA138">
        <f>IF(Contact[[#This Row],[Latest]]=TRUE,_xlfn.XLOOKUP(Contact[[#This Row],[Final Decision]],Table3[Final Decision],Table3[Active],0),0)</f>
        <v>0</v>
      </c>
      <c r="AB138">
        <f>SUMIF(Contact[Full Name],Contact[[#This Row],[Full Name]],Contact[Active])</f>
        <v>0</v>
      </c>
    </row>
    <row r="139" spans="1:28">
      <c r="A139">
        <v>1</v>
      </c>
      <c r="B139" t="s">
        <v>394</v>
      </c>
      <c r="C139" t="s">
        <v>879</v>
      </c>
      <c r="E139" t="s">
        <v>2236</v>
      </c>
      <c r="F139" t="s">
        <v>95</v>
      </c>
      <c r="G139" t="s">
        <v>2092</v>
      </c>
      <c r="I139" s="1" t="s">
        <v>880</v>
      </c>
      <c r="J139" s="66" t="s">
        <v>881</v>
      </c>
      <c r="L139" t="s">
        <v>2094</v>
      </c>
      <c r="M139" t="s">
        <v>90</v>
      </c>
      <c r="N139" t="s">
        <v>2095</v>
      </c>
      <c r="P139" t="s">
        <v>846</v>
      </c>
      <c r="R139" t="s">
        <v>112</v>
      </c>
      <c r="S139" t="s">
        <v>2093</v>
      </c>
      <c r="V139">
        <v>2020</v>
      </c>
      <c r="X139" t="b">
        <f>IF(_xlfn.MAXIFS(Contact[Sequence],Contact[Full Name],Contact[[#This Row],[Full Name]],Contact[Season],Contact[[#This Row],[Season]])=Contact[[#This Row],[Sequence]],TRUE,FALSE)</f>
        <v>1</v>
      </c>
      <c r="Y139" t="s">
        <v>96</v>
      </c>
      <c r="Z139" t="s">
        <v>846</v>
      </c>
      <c r="AA139">
        <f>IF(Contact[[#This Row],[Latest]]=TRUE,_xlfn.XLOOKUP(Contact[[#This Row],[Final Decision]],Table3[Final Decision],Table3[Active],0),0)</f>
        <v>0</v>
      </c>
      <c r="AB139">
        <f>SUMIF(Contact[Full Name],Contact[[#This Row],[Full Name]],Contact[Active])</f>
        <v>0</v>
      </c>
    </row>
    <row r="140" spans="1:28">
      <c r="A140">
        <v>1</v>
      </c>
      <c r="B140" t="s">
        <v>394</v>
      </c>
      <c r="C140" t="s">
        <v>395</v>
      </c>
      <c r="E140" t="s">
        <v>2237</v>
      </c>
      <c r="F140" t="s">
        <v>95</v>
      </c>
      <c r="G140" t="s">
        <v>2092</v>
      </c>
      <c r="I140" s="1" t="s">
        <v>396</v>
      </c>
      <c r="J140" s="66" t="s">
        <v>397</v>
      </c>
      <c r="L140" t="s">
        <v>2094</v>
      </c>
      <c r="M140" t="s">
        <v>90</v>
      </c>
      <c r="N140" t="s">
        <v>2095</v>
      </c>
      <c r="R140" t="s">
        <v>2093</v>
      </c>
      <c r="S140" t="s">
        <v>2093</v>
      </c>
      <c r="V140">
        <v>2020</v>
      </c>
      <c r="X140" t="b">
        <f>IF(_xlfn.MAXIFS(Contact[Sequence],Contact[Full Name],Contact[[#This Row],[Full Name]],Contact[Season],Contact[[#This Row],[Season]])=Contact[[#This Row],[Sequence]],TRUE,FALSE)</f>
        <v>1</v>
      </c>
      <c r="Y140" t="s">
        <v>190</v>
      </c>
      <c r="Z140">
        <v>0</v>
      </c>
      <c r="AA140">
        <f>IF(Contact[[#This Row],[Latest]]=TRUE,_xlfn.XLOOKUP(Contact[[#This Row],[Final Decision]],Table3[Final Decision],Table3[Active],0),0)</f>
        <v>0</v>
      </c>
      <c r="AB140">
        <f>SUMIF(Contact[Full Name],Contact[[#This Row],[Full Name]],Contact[Active])</f>
        <v>0</v>
      </c>
    </row>
    <row r="141" spans="1:28">
      <c r="A141">
        <v>1</v>
      </c>
      <c r="B141" t="s">
        <v>883</v>
      </c>
      <c r="C141" t="s">
        <v>884</v>
      </c>
      <c r="E141" t="s">
        <v>2238</v>
      </c>
      <c r="F141" t="s">
        <v>95</v>
      </c>
      <c r="G141" t="s">
        <v>2092</v>
      </c>
      <c r="I141" s="1" t="s">
        <v>885</v>
      </c>
      <c r="J141" s="66" t="s">
        <v>886</v>
      </c>
      <c r="L141" t="s">
        <v>2094</v>
      </c>
      <c r="M141" t="s">
        <v>105</v>
      </c>
      <c r="N141" t="s">
        <v>2095</v>
      </c>
      <c r="P141" t="s">
        <v>888</v>
      </c>
      <c r="R141" t="s">
        <v>112</v>
      </c>
      <c r="S141" t="s">
        <v>2093</v>
      </c>
      <c r="V141">
        <v>2020</v>
      </c>
      <c r="X141" t="b">
        <f>IF(_xlfn.MAXIFS(Contact[Sequence],Contact[Full Name],Contact[[#This Row],[Full Name]],Contact[Season],Contact[[#This Row],[Season]])=Contact[[#This Row],[Sequence]],TRUE,FALSE)</f>
        <v>1</v>
      </c>
      <c r="Y141" t="s">
        <v>96</v>
      </c>
      <c r="Z141" t="s">
        <v>888</v>
      </c>
      <c r="AA141">
        <f>IF(Contact[[#This Row],[Latest]]=TRUE,_xlfn.XLOOKUP(Contact[[#This Row],[Final Decision]],Table3[Final Decision],Table3[Active],0),0)</f>
        <v>0</v>
      </c>
      <c r="AB141">
        <f>SUMIF(Contact[Full Name],Contact[[#This Row],[Full Name]],Contact[Active])</f>
        <v>0</v>
      </c>
    </row>
    <row r="142" spans="1:28">
      <c r="A142">
        <v>1</v>
      </c>
      <c r="B142" t="s">
        <v>1364</v>
      </c>
      <c r="C142" t="s">
        <v>1365</v>
      </c>
      <c r="E142" t="s">
        <v>2239</v>
      </c>
      <c r="F142" t="s">
        <v>98</v>
      </c>
      <c r="G142" t="s">
        <v>2092</v>
      </c>
      <c r="I142" s="1" t="s">
        <v>1366</v>
      </c>
      <c r="J142" s="66" t="s">
        <v>2093</v>
      </c>
      <c r="L142" t="s">
        <v>2094</v>
      </c>
      <c r="M142" t="s">
        <v>105</v>
      </c>
      <c r="N142" t="s">
        <v>2095</v>
      </c>
      <c r="R142" t="s">
        <v>2093</v>
      </c>
      <c r="S142" t="s">
        <v>2093</v>
      </c>
      <c r="V142">
        <v>2020</v>
      </c>
      <c r="X142" t="b">
        <f>IF(_xlfn.MAXIFS(Contact[Sequence],Contact[Full Name],Contact[[#This Row],[Full Name]],Contact[Season],Contact[[#This Row],[Season]])=Contact[[#This Row],[Sequence]],TRUE,FALSE)</f>
        <v>1</v>
      </c>
      <c r="Y142" t="s">
        <v>190</v>
      </c>
      <c r="Z142">
        <v>0</v>
      </c>
      <c r="AA142">
        <f>IF(Contact[[#This Row],[Latest]]=TRUE,_xlfn.XLOOKUP(Contact[[#This Row],[Final Decision]],Table3[Final Decision],Table3[Active],0),0)</f>
        <v>0</v>
      </c>
      <c r="AB142">
        <f>SUMIF(Contact[Full Name],Contact[[#This Row],[Full Name]],Contact[Active])</f>
        <v>0</v>
      </c>
    </row>
    <row r="143" spans="1:28">
      <c r="A143">
        <v>1</v>
      </c>
      <c r="B143" t="s">
        <v>1364</v>
      </c>
      <c r="C143" t="s">
        <v>1883</v>
      </c>
      <c r="E143" t="s">
        <v>2240</v>
      </c>
      <c r="F143" t="s">
        <v>98</v>
      </c>
      <c r="G143" t="s">
        <v>2092</v>
      </c>
      <c r="I143" s="1" t="s">
        <v>1884</v>
      </c>
      <c r="J143" s="66" t="s">
        <v>2093</v>
      </c>
      <c r="L143" t="s">
        <v>2094</v>
      </c>
      <c r="M143" t="s">
        <v>105</v>
      </c>
      <c r="N143" t="s">
        <v>2095</v>
      </c>
      <c r="R143" t="s">
        <v>2093</v>
      </c>
      <c r="S143" t="s">
        <v>2093</v>
      </c>
      <c r="V143">
        <v>2020</v>
      </c>
      <c r="X143" t="b">
        <f>IF(_xlfn.MAXIFS(Contact[Sequence],Contact[Full Name],Contact[[#This Row],[Full Name]],Contact[Season],Contact[[#This Row],[Season]])=Contact[[#This Row],[Sequence]],TRUE,FALSE)</f>
        <v>1</v>
      </c>
      <c r="Y143" t="s">
        <v>190</v>
      </c>
      <c r="Z143">
        <v>0</v>
      </c>
      <c r="AA143">
        <f>IF(Contact[[#This Row],[Latest]]=TRUE,_xlfn.XLOOKUP(Contact[[#This Row],[Final Decision]],Table3[Final Decision],Table3[Active],0),0)</f>
        <v>0</v>
      </c>
      <c r="AB143">
        <f>SUMIF(Contact[Full Name],Contact[[#This Row],[Full Name]],Contact[Active])</f>
        <v>0</v>
      </c>
    </row>
    <row r="144" spans="1:28">
      <c r="A144">
        <v>1</v>
      </c>
      <c r="B144" t="s">
        <v>1368</v>
      </c>
      <c r="C144" t="s">
        <v>1369</v>
      </c>
      <c r="E144" t="s">
        <v>2241</v>
      </c>
      <c r="F144" t="s">
        <v>98</v>
      </c>
      <c r="G144" t="s">
        <v>2092</v>
      </c>
      <c r="I144" s="1" t="s">
        <v>1370</v>
      </c>
      <c r="J144" s="66" t="s">
        <v>2093</v>
      </c>
      <c r="L144" t="s">
        <v>2094</v>
      </c>
      <c r="M144" t="s">
        <v>105</v>
      </c>
      <c r="N144" t="s">
        <v>2095</v>
      </c>
      <c r="R144" t="s">
        <v>2093</v>
      </c>
      <c r="S144" t="s">
        <v>2093</v>
      </c>
      <c r="V144">
        <v>2020</v>
      </c>
      <c r="X144" t="b">
        <f>IF(_xlfn.MAXIFS(Contact[Sequence],Contact[Full Name],Contact[[#This Row],[Full Name]],Contact[Season],Contact[[#This Row],[Season]])=Contact[[#This Row],[Sequence]],TRUE,FALSE)</f>
        <v>1</v>
      </c>
      <c r="Y144" t="s">
        <v>190</v>
      </c>
      <c r="Z144">
        <v>0</v>
      </c>
      <c r="AA144">
        <f>IF(Contact[[#This Row],[Latest]]=TRUE,_xlfn.XLOOKUP(Contact[[#This Row],[Final Decision]],Table3[Final Decision],Table3[Active],0),0)</f>
        <v>0</v>
      </c>
      <c r="AB144">
        <f>SUMIF(Contact[Full Name],Contact[[#This Row],[Full Name]],Contact[Active])</f>
        <v>0</v>
      </c>
    </row>
    <row r="145" spans="1:28">
      <c r="A145">
        <v>1</v>
      </c>
      <c r="B145" t="s">
        <v>1372</v>
      </c>
      <c r="C145" t="s">
        <v>1373</v>
      </c>
      <c r="E145" t="s">
        <v>2242</v>
      </c>
      <c r="F145" t="s">
        <v>98</v>
      </c>
      <c r="G145" t="s">
        <v>2092</v>
      </c>
      <c r="I145" s="1" t="s">
        <v>1374</v>
      </c>
      <c r="J145" s="66" t="s">
        <v>2093</v>
      </c>
      <c r="L145" t="s">
        <v>2094</v>
      </c>
      <c r="M145" t="s">
        <v>105</v>
      </c>
      <c r="N145" t="s">
        <v>2095</v>
      </c>
      <c r="R145" t="s">
        <v>2093</v>
      </c>
      <c r="S145" t="s">
        <v>2093</v>
      </c>
      <c r="V145">
        <v>2020</v>
      </c>
      <c r="X145" t="b">
        <f>IF(_xlfn.MAXIFS(Contact[Sequence],Contact[Full Name],Contact[[#This Row],[Full Name]],Contact[Season],Contact[[#This Row],[Season]])=Contact[[#This Row],[Sequence]],TRUE,FALSE)</f>
        <v>1</v>
      </c>
      <c r="Y145" t="s">
        <v>190</v>
      </c>
      <c r="Z145">
        <v>0</v>
      </c>
      <c r="AA145">
        <f>IF(Contact[[#This Row],[Latest]]=TRUE,_xlfn.XLOOKUP(Contact[[#This Row],[Final Decision]],Table3[Final Decision],Table3[Active],0),0)</f>
        <v>0</v>
      </c>
      <c r="AB145">
        <f>SUMIF(Contact[Full Name],Contact[[#This Row],[Full Name]],Contact[Active])</f>
        <v>0</v>
      </c>
    </row>
    <row r="146" spans="1:28">
      <c r="A146">
        <v>1</v>
      </c>
      <c r="B146" t="s">
        <v>1376</v>
      </c>
      <c r="C146" t="s">
        <v>1377</v>
      </c>
      <c r="E146" t="s">
        <v>2243</v>
      </c>
      <c r="F146" t="s">
        <v>95</v>
      </c>
      <c r="G146" t="s">
        <v>2092</v>
      </c>
      <c r="I146" s="1" t="s">
        <v>1378</v>
      </c>
      <c r="J146" s="66"/>
      <c r="L146" t="s">
        <v>2094</v>
      </c>
      <c r="M146" t="s">
        <v>105</v>
      </c>
      <c r="N146" t="s">
        <v>2095</v>
      </c>
      <c r="R146" t="s">
        <v>2093</v>
      </c>
      <c r="S146" t="s">
        <v>2093</v>
      </c>
      <c r="V146">
        <v>2020</v>
      </c>
      <c r="X146" t="b">
        <f>IF(_xlfn.MAXIFS(Contact[Sequence],Contact[Full Name],Contact[[#This Row],[Full Name]],Contact[Season],Contact[[#This Row],[Season]])=Contact[[#This Row],[Sequence]],TRUE,FALSE)</f>
        <v>1</v>
      </c>
      <c r="Y146" t="s">
        <v>190</v>
      </c>
      <c r="Z146">
        <v>0</v>
      </c>
      <c r="AA146">
        <f>IF(Contact[[#This Row],[Latest]]=TRUE,_xlfn.XLOOKUP(Contact[[#This Row],[Final Decision]],Table3[Final Decision],Table3[Active],0),0)</f>
        <v>0</v>
      </c>
      <c r="AB146">
        <f>SUMIF(Contact[Full Name],Contact[[#This Row],[Full Name]],Contact[Active])</f>
        <v>0</v>
      </c>
    </row>
    <row r="147" spans="1:28">
      <c r="A147">
        <v>1</v>
      </c>
      <c r="B147" t="s">
        <v>889</v>
      </c>
      <c r="C147" t="s">
        <v>1380</v>
      </c>
      <c r="E147" t="s">
        <v>2244</v>
      </c>
      <c r="F147" t="s">
        <v>98</v>
      </c>
      <c r="G147" t="s">
        <v>2092</v>
      </c>
      <c r="I147" s="1" t="s">
        <v>1381</v>
      </c>
      <c r="J147" s="66" t="s">
        <v>2093</v>
      </c>
      <c r="L147" t="s">
        <v>2094</v>
      </c>
      <c r="M147" t="s">
        <v>105</v>
      </c>
      <c r="N147" t="s">
        <v>2095</v>
      </c>
      <c r="R147" t="s">
        <v>2093</v>
      </c>
      <c r="S147" t="s">
        <v>2093</v>
      </c>
      <c r="V147">
        <v>2020</v>
      </c>
      <c r="X147" t="b">
        <f>IF(_xlfn.MAXIFS(Contact[Sequence],Contact[Full Name],Contact[[#This Row],[Full Name]],Contact[Season],Contact[[#This Row],[Season]])=Contact[[#This Row],[Sequence]],TRUE,FALSE)</f>
        <v>1</v>
      </c>
      <c r="Y147" t="s">
        <v>190</v>
      </c>
      <c r="Z147">
        <v>0</v>
      </c>
      <c r="AA147">
        <f>IF(Contact[[#This Row],[Latest]]=TRUE,_xlfn.XLOOKUP(Contact[[#This Row],[Final Decision]],Table3[Final Decision],Table3[Active],0),0)</f>
        <v>0</v>
      </c>
      <c r="AB147">
        <f>SUMIF(Contact[Full Name],Contact[[#This Row],[Full Name]],Contact[Active])</f>
        <v>0</v>
      </c>
    </row>
    <row r="148" spans="1:28">
      <c r="A148">
        <v>1</v>
      </c>
      <c r="B148" t="s">
        <v>889</v>
      </c>
      <c r="C148" t="s">
        <v>890</v>
      </c>
      <c r="E148" t="s">
        <v>2245</v>
      </c>
      <c r="F148" t="s">
        <v>193</v>
      </c>
      <c r="G148" t="s">
        <v>2092</v>
      </c>
      <c r="I148" s="1" t="s">
        <v>891</v>
      </c>
      <c r="J148" s="66" t="s">
        <v>892</v>
      </c>
      <c r="L148" t="s">
        <v>2094</v>
      </c>
      <c r="M148" t="s">
        <v>105</v>
      </c>
      <c r="N148" t="s">
        <v>2095</v>
      </c>
      <c r="R148" t="s">
        <v>112</v>
      </c>
      <c r="S148" t="s">
        <v>70</v>
      </c>
      <c r="V148">
        <v>2020</v>
      </c>
      <c r="X148" t="b">
        <f>IF(_xlfn.MAXIFS(Contact[Sequence],Contact[Full Name],Contact[[#This Row],[Full Name]],Contact[Season],Contact[[#This Row],[Season]])=Contact[[#This Row],[Sequence]],TRUE,FALSE)</f>
        <v>1</v>
      </c>
      <c r="Y148" t="s">
        <v>70</v>
      </c>
      <c r="Z148">
        <v>0</v>
      </c>
      <c r="AA148">
        <f>IF(Contact[[#This Row],[Latest]]=TRUE,_xlfn.XLOOKUP(Contact[[#This Row],[Final Decision]],Table3[Final Decision],Table3[Active],0),0)</f>
        <v>1</v>
      </c>
      <c r="AB148">
        <f>SUMIF(Contact[Full Name],Contact[[#This Row],[Full Name]],Contact[Active])</f>
        <v>1</v>
      </c>
    </row>
    <row r="149" spans="1:28">
      <c r="A149">
        <v>1</v>
      </c>
      <c r="B149" t="s">
        <v>895</v>
      </c>
      <c r="C149" t="s">
        <v>438</v>
      </c>
      <c r="E149" t="s">
        <v>2246</v>
      </c>
      <c r="F149" t="s">
        <v>95</v>
      </c>
      <c r="G149" t="s">
        <v>2092</v>
      </c>
      <c r="I149" s="1" t="s">
        <v>896</v>
      </c>
      <c r="J149" s="66"/>
      <c r="L149" t="s">
        <v>2094</v>
      </c>
      <c r="M149" t="s">
        <v>105</v>
      </c>
      <c r="N149" t="s">
        <v>2095</v>
      </c>
      <c r="P149" t="s">
        <v>898</v>
      </c>
      <c r="R149" t="s">
        <v>112</v>
      </c>
      <c r="S149" t="s">
        <v>2093</v>
      </c>
      <c r="V149">
        <v>2020</v>
      </c>
      <c r="X149" t="b">
        <f>IF(_xlfn.MAXIFS(Contact[Sequence],Contact[Full Name],Contact[[#This Row],[Full Name]],Contact[Season],Contact[[#This Row],[Season]])=Contact[[#This Row],[Sequence]],TRUE,FALSE)</f>
        <v>1</v>
      </c>
      <c r="Y149" t="s">
        <v>96</v>
      </c>
      <c r="Z149" t="s">
        <v>898</v>
      </c>
      <c r="AA149">
        <f>IF(Contact[[#This Row],[Latest]]=TRUE,_xlfn.XLOOKUP(Contact[[#This Row],[Final Decision]],Table3[Final Decision],Table3[Active],0),0)</f>
        <v>0</v>
      </c>
      <c r="AB149">
        <f>SUMIF(Contact[Full Name],Contact[[#This Row],[Full Name]],Contact[Active])</f>
        <v>0</v>
      </c>
    </row>
    <row r="150" spans="1:28">
      <c r="A150">
        <v>1</v>
      </c>
      <c r="B150" t="s">
        <v>1383</v>
      </c>
      <c r="C150" t="s">
        <v>1384</v>
      </c>
      <c r="E150" t="s">
        <v>2247</v>
      </c>
      <c r="F150" t="s">
        <v>95</v>
      </c>
      <c r="G150" t="s">
        <v>2092</v>
      </c>
      <c r="I150" s="1" t="s">
        <v>1385</v>
      </c>
      <c r="J150" s="66"/>
      <c r="L150" t="s">
        <v>2094</v>
      </c>
      <c r="M150" t="s">
        <v>105</v>
      </c>
      <c r="N150" t="s">
        <v>2095</v>
      </c>
      <c r="R150" t="s">
        <v>2093</v>
      </c>
      <c r="S150" t="s">
        <v>2093</v>
      </c>
      <c r="V150">
        <v>2020</v>
      </c>
      <c r="X150" t="b">
        <f>IF(_xlfn.MAXIFS(Contact[Sequence],Contact[Full Name],Contact[[#This Row],[Full Name]],Contact[Season],Contact[[#This Row],[Season]])=Contact[[#This Row],[Sequence]],TRUE,FALSE)</f>
        <v>1</v>
      </c>
      <c r="Y150" t="s">
        <v>190</v>
      </c>
      <c r="Z150">
        <v>0</v>
      </c>
      <c r="AA150">
        <f>IF(Contact[[#This Row],[Latest]]=TRUE,_xlfn.XLOOKUP(Contact[[#This Row],[Final Decision]],Table3[Final Decision],Table3[Active],0),0)</f>
        <v>0</v>
      </c>
      <c r="AB150">
        <f>SUMIF(Contact[Full Name],Contact[[#This Row],[Full Name]],Contact[Active])</f>
        <v>0</v>
      </c>
    </row>
    <row r="151" spans="1:28">
      <c r="A151">
        <v>1</v>
      </c>
      <c r="B151" t="s">
        <v>1387</v>
      </c>
      <c r="C151" t="s">
        <v>1802</v>
      </c>
      <c r="E151" t="s">
        <v>2248</v>
      </c>
      <c r="F151" t="s">
        <v>98</v>
      </c>
      <c r="G151" t="s">
        <v>2092</v>
      </c>
      <c r="I151" s="1" t="s">
        <v>1803</v>
      </c>
      <c r="J151" s="66" t="s">
        <v>2093</v>
      </c>
      <c r="L151" t="s">
        <v>2094</v>
      </c>
      <c r="M151" t="s">
        <v>185</v>
      </c>
      <c r="N151" t="s">
        <v>2095</v>
      </c>
      <c r="R151" t="s">
        <v>2093</v>
      </c>
      <c r="S151" t="s">
        <v>2093</v>
      </c>
      <c r="V151">
        <v>2020</v>
      </c>
      <c r="X151" t="b">
        <f>IF(_xlfn.MAXIFS(Contact[Sequence],Contact[Full Name],Contact[[#This Row],[Full Name]],Contact[Season],Contact[[#This Row],[Season]])=Contact[[#This Row],[Sequence]],TRUE,FALSE)</f>
        <v>1</v>
      </c>
      <c r="Y151" t="s">
        <v>190</v>
      </c>
      <c r="Z151">
        <v>0</v>
      </c>
      <c r="AA151">
        <f>IF(Contact[[#This Row],[Latest]]=TRUE,_xlfn.XLOOKUP(Contact[[#This Row],[Final Decision]],Table3[Final Decision],Table3[Active],0),0)</f>
        <v>0</v>
      </c>
      <c r="AB151">
        <f>SUMIF(Contact[Full Name],Contact[[#This Row],[Full Name]],Contact[Active])</f>
        <v>0</v>
      </c>
    </row>
    <row r="152" spans="1:28">
      <c r="A152">
        <v>1</v>
      </c>
      <c r="B152" t="s">
        <v>1387</v>
      </c>
      <c r="C152" t="s">
        <v>1388</v>
      </c>
      <c r="E152" t="s">
        <v>2249</v>
      </c>
      <c r="F152" t="s">
        <v>95</v>
      </c>
      <c r="G152" t="s">
        <v>2092</v>
      </c>
      <c r="I152" s="1" t="s">
        <v>1389</v>
      </c>
      <c r="J152" s="66"/>
      <c r="L152" t="s">
        <v>2094</v>
      </c>
      <c r="M152" t="s">
        <v>105</v>
      </c>
      <c r="N152" t="s">
        <v>2095</v>
      </c>
      <c r="R152" t="s">
        <v>2093</v>
      </c>
      <c r="S152" t="s">
        <v>2093</v>
      </c>
      <c r="V152">
        <v>2020</v>
      </c>
      <c r="X152" t="b">
        <f>IF(_xlfn.MAXIFS(Contact[Sequence],Contact[Full Name],Contact[[#This Row],[Full Name]],Contact[Season],Contact[[#This Row],[Season]])=Contact[[#This Row],[Sequence]],TRUE,FALSE)</f>
        <v>1</v>
      </c>
      <c r="Y152" t="s">
        <v>190</v>
      </c>
      <c r="Z152">
        <v>0</v>
      </c>
      <c r="AA152">
        <f>IF(Contact[[#This Row],[Latest]]=TRUE,_xlfn.XLOOKUP(Contact[[#This Row],[Final Decision]],Table3[Final Decision],Table3[Active],0),0)</f>
        <v>0</v>
      </c>
      <c r="AB152">
        <f>SUMIF(Contact[Full Name],Contact[[#This Row],[Full Name]],Contact[Active])</f>
        <v>0</v>
      </c>
    </row>
    <row r="153" spans="1:28">
      <c r="A153">
        <v>1</v>
      </c>
      <c r="B153" t="s">
        <v>1391</v>
      </c>
      <c r="C153" t="s">
        <v>1392</v>
      </c>
      <c r="E153" t="s">
        <v>2250</v>
      </c>
      <c r="F153" t="s">
        <v>98</v>
      </c>
      <c r="G153" t="s">
        <v>2092</v>
      </c>
      <c r="I153" s="1" t="s">
        <v>1393</v>
      </c>
      <c r="J153" s="66" t="s">
        <v>2093</v>
      </c>
      <c r="L153" t="s">
        <v>2094</v>
      </c>
      <c r="M153" t="s">
        <v>105</v>
      </c>
      <c r="N153" t="s">
        <v>2095</v>
      </c>
      <c r="R153" t="s">
        <v>2093</v>
      </c>
      <c r="S153" t="s">
        <v>2093</v>
      </c>
      <c r="V153">
        <v>2020</v>
      </c>
      <c r="X153" t="b">
        <f>IF(_xlfn.MAXIFS(Contact[Sequence],Contact[Full Name],Contact[[#This Row],[Full Name]],Contact[Season],Contact[[#This Row],[Season]])=Contact[[#This Row],[Sequence]],TRUE,FALSE)</f>
        <v>1</v>
      </c>
      <c r="Y153" t="s">
        <v>190</v>
      </c>
      <c r="Z153">
        <v>0</v>
      </c>
      <c r="AA153">
        <f>IF(Contact[[#This Row],[Latest]]=TRUE,_xlfn.XLOOKUP(Contact[[#This Row],[Final Decision]],Table3[Final Decision],Table3[Active],0),0)</f>
        <v>0</v>
      </c>
      <c r="AB153">
        <f>SUMIF(Contact[Full Name],Contact[[#This Row],[Full Name]],Contact[Active])</f>
        <v>0</v>
      </c>
    </row>
    <row r="154" spans="1:28">
      <c r="A154">
        <v>1</v>
      </c>
      <c r="B154" t="s">
        <v>1395</v>
      </c>
      <c r="C154" t="s">
        <v>1396</v>
      </c>
      <c r="E154" t="s">
        <v>2251</v>
      </c>
      <c r="F154" t="s">
        <v>95</v>
      </c>
      <c r="G154" t="s">
        <v>2092</v>
      </c>
      <c r="I154" s="1" t="s">
        <v>1397</v>
      </c>
      <c r="J154" s="66"/>
      <c r="L154" t="s">
        <v>2094</v>
      </c>
      <c r="M154" t="s">
        <v>105</v>
      </c>
      <c r="N154" t="s">
        <v>2095</v>
      </c>
      <c r="R154" t="s">
        <v>2093</v>
      </c>
      <c r="S154" t="s">
        <v>2093</v>
      </c>
      <c r="V154">
        <v>2020</v>
      </c>
      <c r="X154" t="b">
        <f>IF(_xlfn.MAXIFS(Contact[Sequence],Contact[Full Name],Contact[[#This Row],[Full Name]],Contact[Season],Contact[[#This Row],[Season]])=Contact[[#This Row],[Sequence]],TRUE,FALSE)</f>
        <v>1</v>
      </c>
      <c r="Y154" t="s">
        <v>190</v>
      </c>
      <c r="Z154">
        <v>0</v>
      </c>
      <c r="AA154">
        <f>IF(Contact[[#This Row],[Latest]]=TRUE,_xlfn.XLOOKUP(Contact[[#This Row],[Final Decision]],Table3[Final Decision],Table3[Active],0),0)</f>
        <v>0</v>
      </c>
      <c r="AB154">
        <f>SUMIF(Contact[Full Name],Contact[[#This Row],[Full Name]],Contact[Active])</f>
        <v>0</v>
      </c>
    </row>
    <row r="155" spans="1:28">
      <c r="A155">
        <v>1</v>
      </c>
      <c r="B155" t="s">
        <v>1399</v>
      </c>
      <c r="C155" t="s">
        <v>1027</v>
      </c>
      <c r="E155" t="s">
        <v>2252</v>
      </c>
      <c r="F155" t="s">
        <v>95</v>
      </c>
      <c r="G155" t="s">
        <v>2092</v>
      </c>
      <c r="I155" s="1" t="s">
        <v>1400</v>
      </c>
      <c r="J155" s="66" t="s">
        <v>1401</v>
      </c>
      <c r="L155" t="s">
        <v>2094</v>
      </c>
      <c r="M155" t="s">
        <v>105</v>
      </c>
      <c r="N155" t="s">
        <v>2095</v>
      </c>
      <c r="R155" t="s">
        <v>2093</v>
      </c>
      <c r="S155" t="s">
        <v>2093</v>
      </c>
      <c r="V155">
        <v>2020</v>
      </c>
      <c r="X155" t="b">
        <f>IF(_xlfn.MAXIFS(Contact[Sequence],Contact[Full Name],Contact[[#This Row],[Full Name]],Contact[Season],Contact[[#This Row],[Season]])=Contact[[#This Row],[Sequence]],TRUE,FALSE)</f>
        <v>1</v>
      </c>
      <c r="Y155" t="s">
        <v>190</v>
      </c>
      <c r="Z155">
        <v>0</v>
      </c>
      <c r="AA155">
        <f>IF(Contact[[#This Row],[Latest]]=TRUE,_xlfn.XLOOKUP(Contact[[#This Row],[Final Decision]],Table3[Final Decision],Table3[Active],0),0)</f>
        <v>0</v>
      </c>
      <c r="AB155">
        <f>SUMIF(Contact[Full Name],Contact[[#This Row],[Full Name]],Contact[Active])</f>
        <v>0</v>
      </c>
    </row>
    <row r="156" spans="1:28">
      <c r="A156">
        <v>1</v>
      </c>
      <c r="B156" t="s">
        <v>1399</v>
      </c>
      <c r="C156" t="s">
        <v>1403</v>
      </c>
      <c r="E156" t="s">
        <v>2253</v>
      </c>
      <c r="F156" t="s">
        <v>95</v>
      </c>
      <c r="G156" t="s">
        <v>2092</v>
      </c>
      <c r="I156" s="1" t="s">
        <v>1404</v>
      </c>
      <c r="J156" s="66" t="s">
        <v>1405</v>
      </c>
      <c r="L156" t="s">
        <v>2094</v>
      </c>
      <c r="M156" t="s">
        <v>105</v>
      </c>
      <c r="N156" t="s">
        <v>2095</v>
      </c>
      <c r="R156" t="s">
        <v>2093</v>
      </c>
      <c r="S156" t="s">
        <v>2093</v>
      </c>
      <c r="V156">
        <v>2020</v>
      </c>
      <c r="X156" t="b">
        <f>IF(_xlfn.MAXIFS(Contact[Sequence],Contact[Full Name],Contact[[#This Row],[Full Name]],Contact[Season],Contact[[#This Row],[Season]])=Contact[[#This Row],[Sequence]],TRUE,FALSE)</f>
        <v>1</v>
      </c>
      <c r="Y156" t="s">
        <v>190</v>
      </c>
      <c r="Z156">
        <v>0</v>
      </c>
      <c r="AA156">
        <f>IF(Contact[[#This Row],[Latest]]=TRUE,_xlfn.XLOOKUP(Contact[[#This Row],[Final Decision]],Table3[Final Decision],Table3[Active],0),0)</f>
        <v>0</v>
      </c>
      <c r="AB156">
        <f>SUMIF(Contact[Full Name],Contact[[#This Row],[Full Name]],Contact[Active])</f>
        <v>0</v>
      </c>
    </row>
    <row r="157" spans="1:28">
      <c r="A157">
        <v>1</v>
      </c>
      <c r="B157" t="s">
        <v>1540</v>
      </c>
      <c r="C157" t="s">
        <v>1541</v>
      </c>
      <c r="E157" t="s">
        <v>2254</v>
      </c>
      <c r="F157" t="s">
        <v>98</v>
      </c>
      <c r="G157" t="s">
        <v>2092</v>
      </c>
      <c r="I157" s="1" t="s">
        <v>1542</v>
      </c>
      <c r="J157" s="66" t="s">
        <v>2093</v>
      </c>
      <c r="L157" t="s">
        <v>2094</v>
      </c>
      <c r="M157" t="s">
        <v>185</v>
      </c>
      <c r="N157" t="s">
        <v>2095</v>
      </c>
      <c r="R157" t="s">
        <v>2093</v>
      </c>
      <c r="S157" t="s">
        <v>2093</v>
      </c>
      <c r="V157">
        <v>2020</v>
      </c>
      <c r="X157" t="b">
        <f>IF(_xlfn.MAXIFS(Contact[Sequence],Contact[Full Name],Contact[[#This Row],[Full Name]],Contact[Season],Contact[[#This Row],[Season]])=Contact[[#This Row],[Sequence]],TRUE,FALSE)</f>
        <v>1</v>
      </c>
      <c r="Y157" t="s">
        <v>190</v>
      </c>
      <c r="Z157">
        <v>0</v>
      </c>
      <c r="AA157">
        <f>IF(Contact[[#This Row],[Latest]]=TRUE,_xlfn.XLOOKUP(Contact[[#This Row],[Final Decision]],Table3[Final Decision],Table3[Active],0),0)</f>
        <v>0</v>
      </c>
      <c r="AB157">
        <f>SUMIF(Contact[Full Name],Contact[[#This Row],[Full Name]],Contact[Active])</f>
        <v>0</v>
      </c>
    </row>
    <row r="158" spans="1:28">
      <c r="A158">
        <v>1</v>
      </c>
      <c r="B158" t="s">
        <v>2020</v>
      </c>
      <c r="C158" t="s">
        <v>762</v>
      </c>
      <c r="E158" t="s">
        <v>2255</v>
      </c>
      <c r="F158" t="s">
        <v>98</v>
      </c>
      <c r="G158" t="s">
        <v>2092</v>
      </c>
      <c r="I158" s="1" t="s">
        <v>2021</v>
      </c>
      <c r="J158" s="66" t="s">
        <v>2093</v>
      </c>
      <c r="L158" t="s">
        <v>2094</v>
      </c>
      <c r="M158" t="s">
        <v>185</v>
      </c>
      <c r="N158" t="s">
        <v>2095</v>
      </c>
      <c r="P158" t="s">
        <v>2023</v>
      </c>
      <c r="R158" t="s">
        <v>112</v>
      </c>
      <c r="S158" t="s">
        <v>2093</v>
      </c>
      <c r="V158">
        <v>2020</v>
      </c>
      <c r="X158" t="b">
        <f>IF(_xlfn.MAXIFS(Contact[Sequence],Contact[Full Name],Contact[[#This Row],[Full Name]],Contact[Season],Contact[[#This Row],[Season]])=Contact[[#This Row],[Sequence]],TRUE,FALSE)</f>
        <v>1</v>
      </c>
      <c r="Y158" t="s">
        <v>96</v>
      </c>
      <c r="Z158" t="s">
        <v>2023</v>
      </c>
      <c r="AA158">
        <f>IF(Contact[[#This Row],[Latest]]=TRUE,_xlfn.XLOOKUP(Contact[[#This Row],[Final Decision]],Table3[Final Decision],Table3[Active],0),0)</f>
        <v>0</v>
      </c>
      <c r="AB158">
        <f>SUMIF(Contact[Full Name],Contact[[#This Row],[Full Name]],Contact[Active])</f>
        <v>0</v>
      </c>
    </row>
    <row r="159" spans="1:28">
      <c r="A159">
        <v>1</v>
      </c>
      <c r="B159" t="s">
        <v>1407</v>
      </c>
      <c r="C159" t="s">
        <v>1408</v>
      </c>
      <c r="E159" t="s">
        <v>2256</v>
      </c>
      <c r="F159" t="s">
        <v>98</v>
      </c>
      <c r="G159" t="s">
        <v>2092</v>
      </c>
      <c r="I159" s="1" t="s">
        <v>1409</v>
      </c>
      <c r="J159" s="66" t="s">
        <v>2093</v>
      </c>
      <c r="L159" t="s">
        <v>2094</v>
      </c>
      <c r="M159" t="s">
        <v>105</v>
      </c>
      <c r="N159" t="s">
        <v>2095</v>
      </c>
      <c r="R159" t="s">
        <v>2093</v>
      </c>
      <c r="S159" t="s">
        <v>2093</v>
      </c>
      <c r="V159">
        <v>2020</v>
      </c>
      <c r="X159" t="b">
        <f>IF(_xlfn.MAXIFS(Contact[Sequence],Contact[Full Name],Contact[[#This Row],[Full Name]],Contact[Season],Contact[[#This Row],[Season]])=Contact[[#This Row],[Sequence]],TRUE,FALSE)</f>
        <v>1</v>
      </c>
      <c r="Y159" t="s">
        <v>190</v>
      </c>
      <c r="Z159">
        <v>0</v>
      </c>
      <c r="AA159">
        <f>IF(Contact[[#This Row],[Latest]]=TRUE,_xlfn.XLOOKUP(Contact[[#This Row],[Final Decision]],Table3[Final Decision],Table3[Active],0),0)</f>
        <v>0</v>
      </c>
      <c r="AB159">
        <f>SUMIF(Contact[Full Name],Contact[[#This Row],[Full Name]],Contact[Active])</f>
        <v>0</v>
      </c>
    </row>
    <row r="160" spans="1:28">
      <c r="A160">
        <v>1</v>
      </c>
      <c r="B160" t="s">
        <v>761</v>
      </c>
      <c r="C160" t="s">
        <v>762</v>
      </c>
      <c r="E160" t="s">
        <v>2257</v>
      </c>
      <c r="F160" t="s">
        <v>102</v>
      </c>
      <c r="G160" t="s">
        <v>2100</v>
      </c>
      <c r="I160" s="1" t="s">
        <v>763</v>
      </c>
      <c r="J160" s="66" t="s">
        <v>2093</v>
      </c>
      <c r="L160" t="s">
        <v>2094</v>
      </c>
      <c r="M160" t="s">
        <v>90</v>
      </c>
      <c r="N160" t="s">
        <v>2095</v>
      </c>
      <c r="P160" t="s">
        <v>766</v>
      </c>
      <c r="R160" t="s">
        <v>112</v>
      </c>
      <c r="S160" t="s">
        <v>678</v>
      </c>
      <c r="V160">
        <v>2020</v>
      </c>
      <c r="X160" t="b">
        <f>IF(_xlfn.MAXIFS(Contact[Sequence],Contact[Full Name],Contact[[#This Row],[Full Name]],Contact[Season],Contact[[#This Row],[Season]])=Contact[[#This Row],[Sequence]],TRUE,FALSE)</f>
        <v>1</v>
      </c>
      <c r="Y160" t="s">
        <v>96</v>
      </c>
      <c r="Z160" t="s">
        <v>203</v>
      </c>
      <c r="AA160">
        <f>IF(Contact[[#This Row],[Latest]]=TRUE,_xlfn.XLOOKUP(Contact[[#This Row],[Final Decision]],Table3[Final Decision],Table3[Active],0),0)</f>
        <v>0</v>
      </c>
      <c r="AB160">
        <f>SUMIF(Contact[Full Name],Contact[[#This Row],[Full Name]],Contact[Active])</f>
        <v>0</v>
      </c>
    </row>
    <row r="161" spans="1:28">
      <c r="A161">
        <v>1</v>
      </c>
      <c r="B161" t="s">
        <v>399</v>
      </c>
      <c r="C161" t="s">
        <v>400</v>
      </c>
      <c r="E161" t="s">
        <v>2258</v>
      </c>
      <c r="F161" t="s">
        <v>95</v>
      </c>
      <c r="G161" t="s">
        <v>2092</v>
      </c>
      <c r="I161" s="1" t="s">
        <v>401</v>
      </c>
      <c r="J161" s="66" t="s">
        <v>2093</v>
      </c>
      <c r="L161" t="s">
        <v>2094</v>
      </c>
      <c r="M161" t="s">
        <v>185</v>
      </c>
      <c r="N161" t="s">
        <v>2095</v>
      </c>
      <c r="R161" t="s">
        <v>2093</v>
      </c>
      <c r="S161" t="s">
        <v>2093</v>
      </c>
      <c r="V161">
        <v>2020</v>
      </c>
      <c r="X161" t="b">
        <f>IF(_xlfn.MAXIFS(Contact[Sequence],Contact[Full Name],Contact[[#This Row],[Full Name]],Contact[Season],Contact[[#This Row],[Season]])=Contact[[#This Row],[Sequence]],TRUE,FALSE)</f>
        <v>1</v>
      </c>
      <c r="Y161" t="s">
        <v>190</v>
      </c>
      <c r="Z161">
        <v>0</v>
      </c>
      <c r="AA161">
        <f>IF(Contact[[#This Row],[Latest]]=TRUE,_xlfn.XLOOKUP(Contact[[#This Row],[Final Decision]],Table3[Final Decision],Table3[Active],0),0)</f>
        <v>0</v>
      </c>
      <c r="AB161">
        <f>SUMIF(Contact[Full Name],Contact[[#This Row],[Full Name]],Contact[Active])</f>
        <v>0</v>
      </c>
    </row>
    <row r="162" spans="1:28">
      <c r="A162">
        <v>1</v>
      </c>
      <c r="B162" t="s">
        <v>254</v>
      </c>
      <c r="C162" t="s">
        <v>255</v>
      </c>
      <c r="E162" t="s">
        <v>2259</v>
      </c>
      <c r="F162" t="s">
        <v>95</v>
      </c>
      <c r="G162" t="s">
        <v>2092</v>
      </c>
      <c r="I162" s="1" t="s">
        <v>256</v>
      </c>
      <c r="J162" s="66" t="s">
        <v>2093</v>
      </c>
      <c r="L162" t="s">
        <v>2094</v>
      </c>
      <c r="M162" t="s">
        <v>185</v>
      </c>
      <c r="N162" t="s">
        <v>2095</v>
      </c>
      <c r="P162" t="s">
        <v>159</v>
      </c>
      <c r="R162" t="s">
        <v>112</v>
      </c>
      <c r="S162" t="s">
        <v>253</v>
      </c>
      <c r="V162">
        <v>2020</v>
      </c>
      <c r="X162" t="b">
        <f>IF(_xlfn.MAXIFS(Contact[Sequence],Contact[Full Name],Contact[[#This Row],[Full Name]],Contact[Season],Contact[[#This Row],[Season]])=Contact[[#This Row],[Sequence]],TRUE,FALSE)</f>
        <v>0</v>
      </c>
      <c r="Y162" t="s">
        <v>96</v>
      </c>
      <c r="Z162" t="s">
        <v>159</v>
      </c>
      <c r="AA162">
        <f>IF(Contact[[#This Row],[Latest]]=TRUE,_xlfn.XLOOKUP(Contact[[#This Row],[Final Decision]],Table3[Final Decision],Table3[Active],0),0)</f>
        <v>0</v>
      </c>
      <c r="AB162">
        <f>SUMIF(Contact[Full Name],Contact[[#This Row],[Full Name]],Contact[Active])</f>
        <v>0</v>
      </c>
    </row>
    <row r="163" spans="1:28">
      <c r="A163">
        <v>1</v>
      </c>
      <c r="B163" t="s">
        <v>1411</v>
      </c>
      <c r="C163" t="s">
        <v>762</v>
      </c>
      <c r="E163" t="s">
        <v>2260</v>
      </c>
      <c r="F163" t="s">
        <v>98</v>
      </c>
      <c r="G163" t="s">
        <v>2092</v>
      </c>
      <c r="I163" s="1" t="s">
        <v>1412</v>
      </c>
      <c r="J163" s="66" t="s">
        <v>1413</v>
      </c>
      <c r="L163" t="s">
        <v>2094</v>
      </c>
      <c r="M163" t="s">
        <v>90</v>
      </c>
      <c r="N163" t="s">
        <v>2095</v>
      </c>
      <c r="R163" t="s">
        <v>2093</v>
      </c>
      <c r="S163" t="s">
        <v>2093</v>
      </c>
      <c r="V163">
        <v>2020</v>
      </c>
      <c r="X163" t="b">
        <f>IF(_xlfn.MAXIFS(Contact[Sequence],Contact[Full Name],Contact[[#This Row],[Full Name]],Contact[Season],Contact[[#This Row],[Season]])=Contact[[#This Row],[Sequence]],TRUE,FALSE)</f>
        <v>1</v>
      </c>
      <c r="Y163" t="s">
        <v>190</v>
      </c>
      <c r="Z163">
        <v>0</v>
      </c>
      <c r="AA163">
        <f>IF(Contact[[#This Row],[Latest]]=TRUE,_xlfn.XLOOKUP(Contact[[#This Row],[Final Decision]],Table3[Final Decision],Table3[Active],0),0)</f>
        <v>0</v>
      </c>
      <c r="AB163">
        <f>SUMIF(Contact[Full Name],Contact[[#This Row],[Full Name]],Contact[Active])</f>
        <v>0</v>
      </c>
    </row>
    <row r="164" spans="1:28">
      <c r="A164">
        <v>1</v>
      </c>
      <c r="B164" t="s">
        <v>1420</v>
      </c>
      <c r="C164" t="s">
        <v>1421</v>
      </c>
      <c r="E164" t="s">
        <v>2261</v>
      </c>
      <c r="F164" t="s">
        <v>95</v>
      </c>
      <c r="G164" t="s">
        <v>2092</v>
      </c>
      <c r="I164" s="1" t="s">
        <v>1422</v>
      </c>
      <c r="J164" s="66"/>
      <c r="L164" t="s">
        <v>2094</v>
      </c>
      <c r="M164" t="s">
        <v>105</v>
      </c>
      <c r="N164" t="s">
        <v>2095</v>
      </c>
      <c r="R164" t="s">
        <v>2093</v>
      </c>
      <c r="S164" t="s">
        <v>2093</v>
      </c>
      <c r="V164">
        <v>2020</v>
      </c>
      <c r="X164" t="b">
        <f>IF(_xlfn.MAXIFS(Contact[Sequence],Contact[Full Name],Contact[[#This Row],[Full Name]],Contact[Season],Contact[[#This Row],[Season]])=Contact[[#This Row],[Sequence]],TRUE,FALSE)</f>
        <v>1</v>
      </c>
      <c r="Y164" t="s">
        <v>190</v>
      </c>
      <c r="Z164">
        <v>0</v>
      </c>
      <c r="AA164">
        <f>IF(Contact[[#This Row],[Latest]]=TRUE,_xlfn.XLOOKUP(Contact[[#This Row],[Final Decision]],Table3[Final Decision],Table3[Active],0),0)</f>
        <v>0</v>
      </c>
      <c r="AB164">
        <f>SUMIF(Contact[Full Name],Contact[[#This Row],[Full Name]],Contact[Active])</f>
        <v>0</v>
      </c>
    </row>
    <row r="165" spans="1:28">
      <c r="A165">
        <v>1</v>
      </c>
      <c r="B165" t="s">
        <v>1428</v>
      </c>
      <c r="C165" t="s">
        <v>1429</v>
      </c>
      <c r="E165" t="s">
        <v>2262</v>
      </c>
      <c r="F165" t="s">
        <v>95</v>
      </c>
      <c r="G165" t="s">
        <v>2092</v>
      </c>
      <c r="I165" s="1" t="s">
        <v>1430</v>
      </c>
      <c r="J165" s="66" t="s">
        <v>2093</v>
      </c>
      <c r="L165" t="s">
        <v>2094</v>
      </c>
      <c r="M165" t="s">
        <v>185</v>
      </c>
      <c r="N165" t="s">
        <v>2095</v>
      </c>
      <c r="R165" t="s">
        <v>2093</v>
      </c>
      <c r="S165" t="s">
        <v>2093</v>
      </c>
      <c r="V165">
        <v>2020</v>
      </c>
      <c r="X165" t="b">
        <f>IF(_xlfn.MAXIFS(Contact[Sequence],Contact[Full Name],Contact[[#This Row],[Full Name]],Contact[Season],Contact[[#This Row],[Season]])=Contact[[#This Row],[Sequence]],TRUE,FALSE)</f>
        <v>1</v>
      </c>
      <c r="Y165" t="s">
        <v>190</v>
      </c>
      <c r="Z165">
        <v>0</v>
      </c>
      <c r="AA165">
        <f>IF(Contact[[#This Row],[Latest]]=TRUE,_xlfn.XLOOKUP(Contact[[#This Row],[Final Decision]],Table3[Final Decision],Table3[Active],0),0)</f>
        <v>0</v>
      </c>
      <c r="AB165">
        <f>SUMIF(Contact[Full Name],Contact[[#This Row],[Full Name]],Contact[Active])</f>
        <v>0</v>
      </c>
    </row>
    <row r="166" spans="1:28">
      <c r="A166">
        <v>1</v>
      </c>
      <c r="B166" t="s">
        <v>1322</v>
      </c>
      <c r="C166" t="s">
        <v>1323</v>
      </c>
      <c r="E166" t="s">
        <v>2263</v>
      </c>
      <c r="F166" t="s">
        <v>95</v>
      </c>
      <c r="G166" t="s">
        <v>2092</v>
      </c>
      <c r="I166" s="1" t="s">
        <v>1324</v>
      </c>
      <c r="J166" s="66" t="s">
        <v>1325</v>
      </c>
      <c r="L166" t="s">
        <v>2094</v>
      </c>
      <c r="M166" t="s">
        <v>105</v>
      </c>
      <c r="N166" t="s">
        <v>2095</v>
      </c>
      <c r="R166" t="s">
        <v>2093</v>
      </c>
      <c r="S166" t="s">
        <v>2093</v>
      </c>
      <c r="V166">
        <v>2020</v>
      </c>
      <c r="X166" t="b">
        <f>IF(_xlfn.MAXIFS(Contact[Sequence],Contact[Full Name],Contact[[#This Row],[Full Name]],Contact[Season],Contact[[#This Row],[Season]])=Contact[[#This Row],[Sequence]],TRUE,FALSE)</f>
        <v>1</v>
      </c>
      <c r="Y166" t="s">
        <v>190</v>
      </c>
      <c r="Z166">
        <v>0</v>
      </c>
      <c r="AA166">
        <f>IF(Contact[[#This Row],[Latest]]=TRUE,_xlfn.XLOOKUP(Contact[[#This Row],[Final Decision]],Table3[Final Decision],Table3[Active],0),0)</f>
        <v>0</v>
      </c>
      <c r="AB166">
        <f>SUMIF(Contact[Full Name],Contact[[#This Row],[Full Name]],Contact[Active])</f>
        <v>0</v>
      </c>
    </row>
    <row r="167" spans="1:28">
      <c r="A167">
        <v>1</v>
      </c>
      <c r="B167" t="s">
        <v>1424</v>
      </c>
      <c r="C167" t="s">
        <v>1425</v>
      </c>
      <c r="E167" t="s">
        <v>2264</v>
      </c>
      <c r="F167" t="s">
        <v>95</v>
      </c>
      <c r="G167" t="s">
        <v>2092</v>
      </c>
      <c r="I167" s="1" t="s">
        <v>1426</v>
      </c>
      <c r="J167" s="66"/>
      <c r="L167" t="s">
        <v>2094</v>
      </c>
      <c r="M167" t="s">
        <v>105</v>
      </c>
      <c r="N167" t="s">
        <v>2095</v>
      </c>
      <c r="R167" t="s">
        <v>2093</v>
      </c>
      <c r="S167" t="s">
        <v>2093</v>
      </c>
      <c r="V167">
        <v>2020</v>
      </c>
      <c r="X167" t="b">
        <f>IF(_xlfn.MAXIFS(Contact[Sequence],Contact[Full Name],Contact[[#This Row],[Full Name]],Contact[Season],Contact[[#This Row],[Season]])=Contact[[#This Row],[Sequence]],TRUE,FALSE)</f>
        <v>1</v>
      </c>
      <c r="Y167" t="s">
        <v>190</v>
      </c>
      <c r="Z167">
        <v>0</v>
      </c>
      <c r="AA167">
        <f>IF(Contact[[#This Row],[Latest]]=TRUE,_xlfn.XLOOKUP(Contact[[#This Row],[Final Decision]],Table3[Final Decision],Table3[Active],0),0)</f>
        <v>0</v>
      </c>
      <c r="AB167">
        <f>SUMIF(Contact[Full Name],Contact[[#This Row],[Full Name]],Contact[Active])</f>
        <v>0</v>
      </c>
    </row>
    <row r="168" spans="1:28">
      <c r="A168">
        <v>1</v>
      </c>
      <c r="B168" t="s">
        <v>403</v>
      </c>
      <c r="C168" t="s">
        <v>404</v>
      </c>
      <c r="E168" t="s">
        <v>2265</v>
      </c>
      <c r="F168" t="s">
        <v>95</v>
      </c>
      <c r="G168" t="s">
        <v>2092</v>
      </c>
      <c r="I168" s="1" t="s">
        <v>405</v>
      </c>
      <c r="J168" s="66" t="s">
        <v>2093</v>
      </c>
      <c r="L168" t="s">
        <v>2094</v>
      </c>
      <c r="M168" t="s">
        <v>90</v>
      </c>
      <c r="N168" t="s">
        <v>2095</v>
      </c>
      <c r="R168" t="s">
        <v>2093</v>
      </c>
      <c r="S168" t="s">
        <v>2093</v>
      </c>
      <c r="V168">
        <v>2020</v>
      </c>
      <c r="X168" t="b">
        <f>IF(_xlfn.MAXIFS(Contact[Sequence],Contact[Full Name],Contact[[#This Row],[Full Name]],Contact[Season],Contact[[#This Row],[Season]])=Contact[[#This Row],[Sequence]],TRUE,FALSE)</f>
        <v>1</v>
      </c>
      <c r="Y168" t="s">
        <v>190</v>
      </c>
      <c r="Z168">
        <v>0</v>
      </c>
      <c r="AA168">
        <f>IF(Contact[[#This Row],[Latest]]=TRUE,_xlfn.XLOOKUP(Contact[[#This Row],[Final Decision]],Table3[Final Decision],Table3[Active],0),0)</f>
        <v>0</v>
      </c>
      <c r="AB168">
        <f>SUMIF(Contact[Full Name],Contact[[#This Row],[Full Name]],Contact[Active])</f>
        <v>0</v>
      </c>
    </row>
    <row r="169" spans="1:28">
      <c r="A169">
        <v>1</v>
      </c>
      <c r="B169" t="s">
        <v>1432</v>
      </c>
      <c r="C169" t="s">
        <v>1433</v>
      </c>
      <c r="E169" t="s">
        <v>2266</v>
      </c>
      <c r="F169" t="s">
        <v>98</v>
      </c>
      <c r="G169" t="s">
        <v>2092</v>
      </c>
      <c r="I169" s="1" t="s">
        <v>1434</v>
      </c>
      <c r="J169" s="66" t="s">
        <v>2093</v>
      </c>
      <c r="L169" t="s">
        <v>2094</v>
      </c>
      <c r="M169" t="s">
        <v>105</v>
      </c>
      <c r="N169" t="s">
        <v>2095</v>
      </c>
      <c r="R169" t="s">
        <v>2093</v>
      </c>
      <c r="S169" t="s">
        <v>2093</v>
      </c>
      <c r="V169">
        <v>2020</v>
      </c>
      <c r="X169" t="b">
        <f>IF(_xlfn.MAXIFS(Contact[Sequence],Contact[Full Name],Contact[[#This Row],[Full Name]],Contact[Season],Contact[[#This Row],[Season]])=Contact[[#This Row],[Sequence]],TRUE,FALSE)</f>
        <v>1</v>
      </c>
      <c r="Y169" t="s">
        <v>190</v>
      </c>
      <c r="Z169">
        <v>0</v>
      </c>
      <c r="AA169">
        <f>IF(Contact[[#This Row],[Latest]]=TRUE,_xlfn.XLOOKUP(Contact[[#This Row],[Final Decision]],Table3[Final Decision],Table3[Active],0),0)</f>
        <v>0</v>
      </c>
      <c r="AB169">
        <f>SUMIF(Contact[Full Name],Contact[[#This Row],[Full Name]],Contact[Active])</f>
        <v>0</v>
      </c>
    </row>
    <row r="170" spans="1:28">
      <c r="A170">
        <v>1</v>
      </c>
      <c r="B170" t="s">
        <v>1436</v>
      </c>
      <c r="C170" t="s">
        <v>1437</v>
      </c>
      <c r="E170" t="s">
        <v>2267</v>
      </c>
      <c r="F170" t="s">
        <v>95</v>
      </c>
      <c r="G170" t="s">
        <v>2092</v>
      </c>
      <c r="I170" s="1" t="s">
        <v>1438</v>
      </c>
      <c r="J170" s="66" t="s">
        <v>2093</v>
      </c>
      <c r="L170" t="s">
        <v>2094</v>
      </c>
      <c r="M170" t="s">
        <v>105</v>
      </c>
      <c r="N170" t="s">
        <v>2095</v>
      </c>
      <c r="R170" t="s">
        <v>2093</v>
      </c>
      <c r="S170" t="s">
        <v>2093</v>
      </c>
      <c r="V170">
        <v>2020</v>
      </c>
      <c r="X170" t="b">
        <f>IF(_xlfn.MAXIFS(Contact[Sequence],Contact[Full Name],Contact[[#This Row],[Full Name]],Contact[Season],Contact[[#This Row],[Season]])=Contact[[#This Row],[Sequence]],TRUE,FALSE)</f>
        <v>1</v>
      </c>
      <c r="Y170" t="s">
        <v>190</v>
      </c>
      <c r="Z170">
        <v>0</v>
      </c>
      <c r="AA170">
        <f>IF(Contact[[#This Row],[Latest]]=TRUE,_xlfn.XLOOKUP(Contact[[#This Row],[Final Decision]],Table3[Final Decision],Table3[Active],0),0)</f>
        <v>0</v>
      </c>
      <c r="AB170">
        <f>SUMIF(Contact[Full Name],Contact[[#This Row],[Full Name]],Contact[Active])</f>
        <v>0</v>
      </c>
    </row>
    <row r="171" spans="1:28">
      <c r="A171">
        <v>1</v>
      </c>
      <c r="B171" t="s">
        <v>1441</v>
      </c>
      <c r="C171" t="s">
        <v>1442</v>
      </c>
      <c r="E171" t="s">
        <v>2268</v>
      </c>
      <c r="F171" t="s">
        <v>98</v>
      </c>
      <c r="G171" t="s">
        <v>2092</v>
      </c>
      <c r="I171" s="1" t="s">
        <v>1443</v>
      </c>
      <c r="J171" s="66" t="s">
        <v>2093</v>
      </c>
      <c r="L171" t="s">
        <v>2094</v>
      </c>
      <c r="M171" t="s">
        <v>105</v>
      </c>
      <c r="N171" t="s">
        <v>2095</v>
      </c>
      <c r="R171" t="s">
        <v>2093</v>
      </c>
      <c r="S171" t="s">
        <v>2093</v>
      </c>
      <c r="V171">
        <v>2020</v>
      </c>
      <c r="X171" t="b">
        <f>IF(_xlfn.MAXIFS(Contact[Sequence],Contact[Full Name],Contact[[#This Row],[Full Name]],Contact[Season],Contact[[#This Row],[Season]])=Contact[[#This Row],[Sequence]],TRUE,FALSE)</f>
        <v>1</v>
      </c>
      <c r="Y171" t="s">
        <v>190</v>
      </c>
      <c r="Z171">
        <v>0</v>
      </c>
      <c r="AA171">
        <f>IF(Contact[[#This Row],[Latest]]=TRUE,_xlfn.XLOOKUP(Contact[[#This Row],[Final Decision]],Table3[Final Decision],Table3[Active],0),0)</f>
        <v>0</v>
      </c>
      <c r="AB171">
        <f>SUMIF(Contact[Full Name],Contact[[#This Row],[Full Name]],Contact[Active])</f>
        <v>0</v>
      </c>
    </row>
    <row r="172" spans="1:28">
      <c r="A172">
        <v>1</v>
      </c>
      <c r="B172" t="s">
        <v>660</v>
      </c>
      <c r="C172" t="s">
        <v>661</v>
      </c>
      <c r="E172" t="s">
        <v>2269</v>
      </c>
      <c r="F172" t="s">
        <v>95</v>
      </c>
      <c r="G172" t="s">
        <v>2092</v>
      </c>
      <c r="I172" s="1" t="s">
        <v>662</v>
      </c>
      <c r="J172" s="66" t="s">
        <v>2093</v>
      </c>
      <c r="L172" t="s">
        <v>2094</v>
      </c>
      <c r="M172" t="s">
        <v>185</v>
      </c>
      <c r="N172" t="s">
        <v>2095</v>
      </c>
      <c r="P172" t="s">
        <v>665</v>
      </c>
      <c r="R172" t="s">
        <v>112</v>
      </c>
      <c r="S172" t="s">
        <v>2093</v>
      </c>
      <c r="V172">
        <v>2020</v>
      </c>
      <c r="X172" t="b">
        <f>IF(_xlfn.MAXIFS(Contact[Sequence],Contact[Full Name],Contact[[#This Row],[Full Name]],Contact[Season],Contact[[#This Row],[Season]])=Contact[[#This Row],[Sequence]],TRUE,FALSE)</f>
        <v>1</v>
      </c>
      <c r="Y172" t="s">
        <v>96</v>
      </c>
      <c r="Z172" t="s">
        <v>665</v>
      </c>
      <c r="AA172">
        <f>IF(Contact[[#This Row],[Latest]]=TRUE,_xlfn.XLOOKUP(Contact[[#This Row],[Final Decision]],Table3[Final Decision],Table3[Active],0),0)</f>
        <v>0</v>
      </c>
      <c r="AB172">
        <f>SUMIF(Contact[Full Name],Contact[[#This Row],[Full Name]],Contact[Active])</f>
        <v>0</v>
      </c>
    </row>
    <row r="173" spans="1:28">
      <c r="A173">
        <v>1</v>
      </c>
      <c r="B173" t="s">
        <v>745</v>
      </c>
      <c r="C173" t="s">
        <v>581</v>
      </c>
      <c r="E173" t="s">
        <v>2270</v>
      </c>
      <c r="F173" t="s">
        <v>95</v>
      </c>
      <c r="G173" t="s">
        <v>2100</v>
      </c>
      <c r="I173" s="1" t="s">
        <v>746</v>
      </c>
      <c r="J173" s="66" t="s">
        <v>2093</v>
      </c>
      <c r="L173" t="s">
        <v>2094</v>
      </c>
      <c r="M173" t="s">
        <v>105</v>
      </c>
      <c r="N173" t="s">
        <v>2095</v>
      </c>
      <c r="P173" t="s">
        <v>748</v>
      </c>
      <c r="R173" t="s">
        <v>737</v>
      </c>
      <c r="S173" t="s">
        <v>738</v>
      </c>
      <c r="V173">
        <v>2020</v>
      </c>
      <c r="X173" t="b">
        <f>IF(_xlfn.MAXIFS(Contact[Sequence],Contact[Full Name],Contact[[#This Row],[Full Name]],Contact[Season],Contact[[#This Row],[Season]])=Contact[[#This Row],[Sequence]],TRUE,FALSE)</f>
        <v>1</v>
      </c>
      <c r="Y173" t="s">
        <v>96</v>
      </c>
      <c r="Z173" t="s">
        <v>743</v>
      </c>
      <c r="AA173">
        <f>IF(Contact[[#This Row],[Latest]]=TRUE,_xlfn.XLOOKUP(Contact[[#This Row],[Final Decision]],Table3[Final Decision],Table3[Active],0),0)</f>
        <v>0</v>
      </c>
      <c r="AB173">
        <f>SUMIF(Contact[Full Name],Contact[[#This Row],[Full Name]],Contact[Active])</f>
        <v>0</v>
      </c>
    </row>
    <row r="174" spans="1:28">
      <c r="A174">
        <v>1</v>
      </c>
      <c r="B174" t="s">
        <v>407</v>
      </c>
      <c r="C174" t="s">
        <v>408</v>
      </c>
      <c r="E174" t="s">
        <v>2271</v>
      </c>
      <c r="F174" t="s">
        <v>95</v>
      </c>
      <c r="G174" t="s">
        <v>2092</v>
      </c>
      <c r="I174" s="1" t="s">
        <v>409</v>
      </c>
      <c r="J174" s="66" t="s">
        <v>2093</v>
      </c>
      <c r="L174" t="s">
        <v>2094</v>
      </c>
      <c r="M174" t="s">
        <v>90</v>
      </c>
      <c r="N174" t="s">
        <v>2095</v>
      </c>
      <c r="R174" t="s">
        <v>2093</v>
      </c>
      <c r="S174" t="s">
        <v>2093</v>
      </c>
      <c r="V174">
        <v>2020</v>
      </c>
      <c r="X174" t="b">
        <f>IF(_xlfn.MAXIFS(Contact[Sequence],Contact[Full Name],Contact[[#This Row],[Full Name]],Contact[Season],Contact[[#This Row],[Season]])=Contact[[#This Row],[Sequence]],TRUE,FALSE)</f>
        <v>1</v>
      </c>
      <c r="Y174" t="s">
        <v>190</v>
      </c>
      <c r="Z174">
        <v>0</v>
      </c>
      <c r="AA174">
        <f>IF(Contact[[#This Row],[Latest]]=TRUE,_xlfn.XLOOKUP(Contact[[#This Row],[Final Decision]],Table3[Final Decision],Table3[Active],0),0)</f>
        <v>0</v>
      </c>
      <c r="AB174">
        <f>SUMIF(Contact[Full Name],Contact[[#This Row],[Full Name]],Contact[Active])</f>
        <v>0</v>
      </c>
    </row>
    <row r="175" spans="1:28">
      <c r="A175">
        <v>1</v>
      </c>
      <c r="B175" t="s">
        <v>363</v>
      </c>
      <c r="C175" t="s">
        <v>364</v>
      </c>
      <c r="E175" t="s">
        <v>2272</v>
      </c>
      <c r="F175" t="s">
        <v>95</v>
      </c>
      <c r="G175" t="s">
        <v>2092</v>
      </c>
      <c r="I175" s="1" t="s">
        <v>365</v>
      </c>
      <c r="J175" s="66"/>
      <c r="L175" t="s">
        <v>2094</v>
      </c>
      <c r="M175" t="s">
        <v>90</v>
      </c>
      <c r="N175" t="s">
        <v>2095</v>
      </c>
      <c r="R175" t="s">
        <v>2093</v>
      </c>
      <c r="S175" t="s">
        <v>2093</v>
      </c>
      <c r="V175">
        <v>2020</v>
      </c>
      <c r="X175" t="b">
        <f>IF(_xlfn.MAXIFS(Contact[Sequence],Contact[Full Name],Contact[[#This Row],[Full Name]],Contact[Season],Contact[[#This Row],[Season]])=Contact[[#This Row],[Sequence]],TRUE,FALSE)</f>
        <v>1</v>
      </c>
      <c r="Y175" t="s">
        <v>190</v>
      </c>
      <c r="Z175">
        <v>0</v>
      </c>
      <c r="AA175">
        <f>IF(Contact[[#This Row],[Latest]]=TRUE,_xlfn.XLOOKUP(Contact[[#This Row],[Final Decision]],Table3[Final Decision],Table3[Active],0),0)</f>
        <v>0</v>
      </c>
      <c r="AB175">
        <f>SUMIF(Contact[Full Name],Contact[[#This Row],[Full Name]],Contact[Active])</f>
        <v>0</v>
      </c>
    </row>
    <row r="176" spans="1:28">
      <c r="A176">
        <v>1</v>
      </c>
      <c r="B176" t="s">
        <v>411</v>
      </c>
      <c r="C176" t="s">
        <v>412</v>
      </c>
      <c r="E176" t="s">
        <v>2273</v>
      </c>
      <c r="F176" t="s">
        <v>95</v>
      </c>
      <c r="G176" t="s">
        <v>2092</v>
      </c>
      <c r="I176" s="1" t="s">
        <v>413</v>
      </c>
      <c r="J176" s="66" t="s">
        <v>414</v>
      </c>
      <c r="L176" t="s">
        <v>2094</v>
      </c>
      <c r="M176" t="s">
        <v>90</v>
      </c>
      <c r="N176" t="s">
        <v>2095</v>
      </c>
      <c r="R176" t="s">
        <v>2093</v>
      </c>
      <c r="S176" t="s">
        <v>2093</v>
      </c>
      <c r="V176">
        <v>2020</v>
      </c>
      <c r="X176" t="b">
        <f>IF(_xlfn.MAXIFS(Contact[Sequence],Contact[Full Name],Contact[[#This Row],[Full Name]],Contact[Season],Contact[[#This Row],[Season]])=Contact[[#This Row],[Sequence]],TRUE,FALSE)</f>
        <v>1</v>
      </c>
      <c r="Y176" t="s">
        <v>190</v>
      </c>
      <c r="Z176">
        <v>0</v>
      </c>
      <c r="AA176">
        <f>IF(Contact[[#This Row],[Latest]]=TRUE,_xlfn.XLOOKUP(Contact[[#This Row],[Final Decision]],Table3[Final Decision],Table3[Active],0),0)</f>
        <v>0</v>
      </c>
      <c r="AB176">
        <f>SUMIF(Contact[Full Name],Contact[[#This Row],[Full Name]],Contact[Active])</f>
        <v>0</v>
      </c>
    </row>
    <row r="177" spans="1:28">
      <c r="A177">
        <v>1</v>
      </c>
      <c r="B177" t="s">
        <v>1455</v>
      </c>
      <c r="C177" t="s">
        <v>1456</v>
      </c>
      <c r="E177" t="s">
        <v>2274</v>
      </c>
      <c r="F177" t="s">
        <v>98</v>
      </c>
      <c r="G177" t="s">
        <v>2092</v>
      </c>
      <c r="I177" s="1" t="s">
        <v>1457</v>
      </c>
      <c r="J177" s="66" t="s">
        <v>2093</v>
      </c>
      <c r="L177" t="s">
        <v>2094</v>
      </c>
      <c r="M177" t="s">
        <v>105</v>
      </c>
      <c r="N177" t="s">
        <v>2095</v>
      </c>
      <c r="R177" t="s">
        <v>2093</v>
      </c>
      <c r="S177" t="s">
        <v>2093</v>
      </c>
      <c r="V177">
        <v>2020</v>
      </c>
      <c r="X177" t="b">
        <f>IF(_xlfn.MAXIFS(Contact[Sequence],Contact[Full Name],Contact[[#This Row],[Full Name]],Contact[Season],Contact[[#This Row],[Season]])=Contact[[#This Row],[Sequence]],TRUE,FALSE)</f>
        <v>1</v>
      </c>
      <c r="Y177" t="s">
        <v>190</v>
      </c>
      <c r="Z177">
        <v>0</v>
      </c>
      <c r="AA177">
        <f>IF(Contact[[#This Row],[Latest]]=TRUE,_xlfn.XLOOKUP(Contact[[#This Row],[Final Decision]],Table3[Final Decision],Table3[Active],0),0)</f>
        <v>0</v>
      </c>
      <c r="AB177">
        <f>SUMIF(Contact[Full Name],Contact[[#This Row],[Full Name]],Contact[Active])</f>
        <v>0</v>
      </c>
    </row>
    <row r="178" spans="1:28">
      <c r="A178">
        <v>1</v>
      </c>
      <c r="B178" t="s">
        <v>106</v>
      </c>
      <c r="C178" t="s">
        <v>416</v>
      </c>
      <c r="E178" t="s">
        <v>2275</v>
      </c>
      <c r="F178" t="s">
        <v>95</v>
      </c>
      <c r="G178" t="s">
        <v>2092</v>
      </c>
      <c r="I178" s="1" t="s">
        <v>417</v>
      </c>
      <c r="J178" s="66" t="s">
        <v>418</v>
      </c>
      <c r="L178" t="s">
        <v>2094</v>
      </c>
      <c r="M178" t="s">
        <v>90</v>
      </c>
      <c r="N178" t="s">
        <v>2095</v>
      </c>
      <c r="R178" t="s">
        <v>2093</v>
      </c>
      <c r="S178" t="s">
        <v>2093</v>
      </c>
      <c r="V178">
        <v>2020</v>
      </c>
      <c r="X178" t="b">
        <f>IF(_xlfn.MAXIFS(Contact[Sequence],Contact[Full Name],Contact[[#This Row],[Full Name]],Contact[Season],Contact[[#This Row],[Season]])=Contact[[#This Row],[Sequence]],TRUE,FALSE)</f>
        <v>1</v>
      </c>
      <c r="Y178" t="s">
        <v>190</v>
      </c>
      <c r="Z178">
        <v>0</v>
      </c>
      <c r="AA178">
        <f>IF(Contact[[#This Row],[Latest]]=TRUE,_xlfn.XLOOKUP(Contact[[#This Row],[Final Decision]],Table3[Final Decision],Table3[Active],0),0)</f>
        <v>0</v>
      </c>
      <c r="AB178">
        <f>SUMIF(Contact[Full Name],Contact[[#This Row],[Full Name]],Contact[Active])</f>
        <v>0</v>
      </c>
    </row>
    <row r="179" spans="1:28">
      <c r="A179">
        <v>1</v>
      </c>
      <c r="B179" t="s">
        <v>420</v>
      </c>
      <c r="C179" t="s">
        <v>478</v>
      </c>
      <c r="E179" t="s">
        <v>2276</v>
      </c>
      <c r="F179" t="s">
        <v>95</v>
      </c>
      <c r="G179" t="s">
        <v>2092</v>
      </c>
      <c r="I179" s="1" t="s">
        <v>899</v>
      </c>
      <c r="J179" s="66" t="s">
        <v>900</v>
      </c>
      <c r="L179" t="s">
        <v>2094</v>
      </c>
      <c r="M179" t="s">
        <v>90</v>
      </c>
      <c r="N179" t="s">
        <v>2095</v>
      </c>
      <c r="P179" t="s">
        <v>665</v>
      </c>
      <c r="R179" t="s">
        <v>112</v>
      </c>
      <c r="S179" t="s">
        <v>2093</v>
      </c>
      <c r="V179">
        <v>2020</v>
      </c>
      <c r="X179" t="b">
        <f>IF(_xlfn.MAXIFS(Contact[Sequence],Contact[Full Name],Contact[[#This Row],[Full Name]],Contact[Season],Contact[[#This Row],[Season]])=Contact[[#This Row],[Sequence]],TRUE,FALSE)</f>
        <v>1</v>
      </c>
      <c r="Y179" t="s">
        <v>96</v>
      </c>
      <c r="Z179" t="s">
        <v>665</v>
      </c>
      <c r="AA179">
        <f>IF(Contact[[#This Row],[Latest]]=TRUE,_xlfn.XLOOKUP(Contact[[#This Row],[Final Decision]],Table3[Final Decision],Table3[Active],0),0)</f>
        <v>0</v>
      </c>
      <c r="AB179">
        <f>SUMIF(Contact[Full Name],Contact[[#This Row],[Full Name]],Contact[Active])</f>
        <v>0</v>
      </c>
    </row>
    <row r="180" spans="1:28">
      <c r="A180">
        <v>1</v>
      </c>
      <c r="B180" t="s">
        <v>420</v>
      </c>
      <c r="C180" t="s">
        <v>421</v>
      </c>
      <c r="E180" t="s">
        <v>2277</v>
      </c>
      <c r="F180" t="s">
        <v>95</v>
      </c>
      <c r="G180" t="s">
        <v>2092</v>
      </c>
      <c r="I180" s="1" t="s">
        <v>422</v>
      </c>
      <c r="J180" s="66" t="s">
        <v>2093</v>
      </c>
      <c r="L180" t="s">
        <v>2094</v>
      </c>
      <c r="M180" t="s">
        <v>90</v>
      </c>
      <c r="N180" t="s">
        <v>2095</v>
      </c>
      <c r="R180" t="s">
        <v>2093</v>
      </c>
      <c r="S180" t="s">
        <v>2093</v>
      </c>
      <c r="V180">
        <v>2020</v>
      </c>
      <c r="X180" t="b">
        <f>IF(_xlfn.MAXIFS(Contact[Sequence],Contact[Full Name],Contact[[#This Row],[Full Name]],Contact[Season],Contact[[#This Row],[Season]])=Contact[[#This Row],[Sequence]],TRUE,FALSE)</f>
        <v>1</v>
      </c>
      <c r="Y180" t="s">
        <v>190</v>
      </c>
      <c r="Z180">
        <v>0</v>
      </c>
      <c r="AA180">
        <f>IF(Contact[[#This Row],[Latest]]=TRUE,_xlfn.XLOOKUP(Contact[[#This Row],[Final Decision]],Table3[Final Decision],Table3[Active],0),0)</f>
        <v>0</v>
      </c>
      <c r="AB180">
        <f>SUMIF(Contact[Full Name],Contact[[#This Row],[Full Name]],Contact[Active])</f>
        <v>0</v>
      </c>
    </row>
    <row r="181" spans="1:28">
      <c r="A181">
        <v>1</v>
      </c>
      <c r="B181" t="s">
        <v>1459</v>
      </c>
      <c r="C181" t="s">
        <v>1125</v>
      </c>
      <c r="E181" t="s">
        <v>2278</v>
      </c>
      <c r="F181" t="s">
        <v>98</v>
      </c>
      <c r="G181" t="s">
        <v>2092</v>
      </c>
      <c r="I181" s="1" t="s">
        <v>1460</v>
      </c>
      <c r="J181" s="66" t="s">
        <v>2093</v>
      </c>
      <c r="L181" t="s">
        <v>2094</v>
      </c>
      <c r="M181" t="s">
        <v>105</v>
      </c>
      <c r="N181" t="s">
        <v>2095</v>
      </c>
      <c r="R181" t="s">
        <v>2093</v>
      </c>
      <c r="S181" t="s">
        <v>2093</v>
      </c>
      <c r="V181">
        <v>2020</v>
      </c>
      <c r="X181" t="b">
        <f>IF(_xlfn.MAXIFS(Contact[Sequence],Contact[Full Name],Contact[[#This Row],[Full Name]],Contact[Season],Contact[[#This Row],[Season]])=Contact[[#This Row],[Sequence]],TRUE,FALSE)</f>
        <v>1</v>
      </c>
      <c r="Y181" t="s">
        <v>190</v>
      </c>
      <c r="Z181">
        <v>0</v>
      </c>
      <c r="AA181">
        <f>IF(Contact[[#This Row],[Latest]]=TRUE,_xlfn.XLOOKUP(Contact[[#This Row],[Final Decision]],Table3[Final Decision],Table3[Active],0),0)</f>
        <v>0</v>
      </c>
      <c r="AB181">
        <f>SUMIF(Contact[Full Name],Contact[[#This Row],[Full Name]],Contact[Active])</f>
        <v>0</v>
      </c>
    </row>
    <row r="182" spans="1:28">
      <c r="A182">
        <v>1</v>
      </c>
      <c r="B182" t="s">
        <v>874</v>
      </c>
      <c r="C182" t="s">
        <v>875</v>
      </c>
      <c r="E182" t="s">
        <v>2279</v>
      </c>
      <c r="F182" t="s">
        <v>95</v>
      </c>
      <c r="G182" t="s">
        <v>2092</v>
      </c>
      <c r="I182" s="1" t="s">
        <v>876</v>
      </c>
      <c r="J182" s="66"/>
      <c r="L182" t="s">
        <v>2094</v>
      </c>
      <c r="M182" t="s">
        <v>105</v>
      </c>
      <c r="N182" t="s">
        <v>2095</v>
      </c>
      <c r="P182" t="s">
        <v>878</v>
      </c>
      <c r="R182" t="s">
        <v>112</v>
      </c>
      <c r="S182" t="s">
        <v>2093</v>
      </c>
      <c r="V182">
        <v>2020</v>
      </c>
      <c r="X182" t="b">
        <f>IF(_xlfn.MAXIFS(Contact[Sequence],Contact[Full Name],Contact[[#This Row],[Full Name]],Contact[Season],Contact[[#This Row],[Season]])=Contact[[#This Row],[Sequence]],TRUE,FALSE)</f>
        <v>1</v>
      </c>
      <c r="Y182" t="s">
        <v>96</v>
      </c>
      <c r="Z182" t="s">
        <v>878</v>
      </c>
      <c r="AA182">
        <f>IF(Contact[[#This Row],[Latest]]=TRUE,_xlfn.XLOOKUP(Contact[[#This Row],[Final Decision]],Table3[Final Decision],Table3[Active],0),0)</f>
        <v>0</v>
      </c>
      <c r="AB182">
        <f>SUMIF(Contact[Full Name],Contact[[#This Row],[Full Name]],Contact[Active])</f>
        <v>0</v>
      </c>
    </row>
    <row r="183" spans="1:28">
      <c r="A183">
        <v>1</v>
      </c>
      <c r="B183" t="s">
        <v>874</v>
      </c>
      <c r="C183" t="s">
        <v>1467</v>
      </c>
      <c r="E183" t="s">
        <v>2280</v>
      </c>
      <c r="F183" t="s">
        <v>95</v>
      </c>
      <c r="G183" t="s">
        <v>2092</v>
      </c>
      <c r="I183" s="1" t="s">
        <v>1468</v>
      </c>
      <c r="J183" s="66"/>
      <c r="L183" t="s">
        <v>2094</v>
      </c>
      <c r="M183" t="s">
        <v>105</v>
      </c>
      <c r="N183" t="s">
        <v>2095</v>
      </c>
      <c r="R183" t="s">
        <v>2093</v>
      </c>
      <c r="S183" t="s">
        <v>2093</v>
      </c>
      <c r="V183">
        <v>2020</v>
      </c>
      <c r="X183" t="b">
        <f>IF(_xlfn.MAXIFS(Contact[Sequence],Contact[Full Name],Contact[[#This Row],[Full Name]],Contact[Season],Contact[[#This Row],[Season]])=Contact[[#This Row],[Sequence]],TRUE,FALSE)</f>
        <v>1</v>
      </c>
      <c r="Y183" t="s">
        <v>190</v>
      </c>
      <c r="Z183">
        <v>0</v>
      </c>
      <c r="AA183">
        <f>IF(Contact[[#This Row],[Latest]]=TRUE,_xlfn.XLOOKUP(Contact[[#This Row],[Final Decision]],Table3[Final Decision],Table3[Active],0),0)</f>
        <v>0</v>
      </c>
      <c r="AB183">
        <f>SUMIF(Contact[Full Name],Contact[[#This Row],[Full Name]],Contact[Active])</f>
        <v>0</v>
      </c>
    </row>
    <row r="184" spans="1:28">
      <c r="A184">
        <v>1</v>
      </c>
      <c r="B184" t="s">
        <v>874</v>
      </c>
      <c r="C184" t="s">
        <v>1138</v>
      </c>
      <c r="E184" t="s">
        <v>2281</v>
      </c>
      <c r="F184" t="s">
        <v>98</v>
      </c>
      <c r="G184" t="s">
        <v>2092</v>
      </c>
      <c r="I184" s="1" t="s">
        <v>1216</v>
      </c>
      <c r="J184" s="66" t="s">
        <v>1217</v>
      </c>
      <c r="L184" t="s">
        <v>2094</v>
      </c>
      <c r="M184" t="s">
        <v>90</v>
      </c>
      <c r="N184" t="s">
        <v>2095</v>
      </c>
      <c r="R184" t="s">
        <v>2093</v>
      </c>
      <c r="S184" t="s">
        <v>2093</v>
      </c>
      <c r="V184">
        <v>2020</v>
      </c>
      <c r="X184" t="b">
        <f>IF(_xlfn.MAXIFS(Contact[Sequence],Contact[Full Name],Contact[[#This Row],[Full Name]],Contact[Season],Contact[[#This Row],[Season]])=Contact[[#This Row],[Sequence]],TRUE,FALSE)</f>
        <v>1</v>
      </c>
      <c r="Y184" t="s">
        <v>190</v>
      </c>
      <c r="Z184">
        <v>0</v>
      </c>
      <c r="AA184">
        <f>IF(Contact[[#This Row],[Latest]]=TRUE,_xlfn.XLOOKUP(Contact[[#This Row],[Final Decision]],Table3[Final Decision],Table3[Active],0),0)</f>
        <v>0</v>
      </c>
      <c r="AB184">
        <f>SUMIF(Contact[Full Name],Contact[[#This Row],[Full Name]],Contact[Active])</f>
        <v>0</v>
      </c>
    </row>
    <row r="185" spans="1:28">
      <c r="A185">
        <v>1</v>
      </c>
      <c r="B185" t="s">
        <v>1462</v>
      </c>
      <c r="C185" t="s">
        <v>1463</v>
      </c>
      <c r="E185" t="s">
        <v>2282</v>
      </c>
      <c r="F185" t="s">
        <v>95</v>
      </c>
      <c r="G185" t="s">
        <v>2092</v>
      </c>
      <c r="I185" s="1" t="s">
        <v>1464</v>
      </c>
      <c r="J185" s="66" t="s">
        <v>1465</v>
      </c>
      <c r="L185" t="s">
        <v>2094</v>
      </c>
      <c r="M185" t="s">
        <v>105</v>
      </c>
      <c r="N185" t="s">
        <v>2095</v>
      </c>
      <c r="R185" t="s">
        <v>2093</v>
      </c>
      <c r="S185" t="s">
        <v>2093</v>
      </c>
      <c r="V185">
        <v>2020</v>
      </c>
      <c r="X185" t="b">
        <f>IF(_xlfn.MAXIFS(Contact[Sequence],Contact[Full Name],Contact[[#This Row],[Full Name]],Contact[Season],Contact[[#This Row],[Season]])=Contact[[#This Row],[Sequence]],TRUE,FALSE)</f>
        <v>1</v>
      </c>
      <c r="Y185" t="s">
        <v>190</v>
      </c>
      <c r="Z185">
        <v>0</v>
      </c>
      <c r="AA185">
        <f>IF(Contact[[#This Row],[Latest]]=TRUE,_xlfn.XLOOKUP(Contact[[#This Row],[Final Decision]],Table3[Final Decision],Table3[Active],0),0)</f>
        <v>0</v>
      </c>
      <c r="AB185">
        <f>SUMIF(Contact[Full Name],Contact[[#This Row],[Full Name]],Contact[Active])</f>
        <v>0</v>
      </c>
    </row>
    <row r="186" spans="1:28">
      <c r="A186">
        <v>1</v>
      </c>
      <c r="B186" t="s">
        <v>424</v>
      </c>
      <c r="C186" t="s">
        <v>425</v>
      </c>
      <c r="E186" t="s">
        <v>2283</v>
      </c>
      <c r="F186" t="s">
        <v>95</v>
      </c>
      <c r="G186" t="s">
        <v>2092</v>
      </c>
      <c r="I186" s="1" t="s">
        <v>426</v>
      </c>
      <c r="J186" s="66" t="s">
        <v>2093</v>
      </c>
      <c r="L186" t="s">
        <v>2094</v>
      </c>
      <c r="M186" t="s">
        <v>90</v>
      </c>
      <c r="N186" t="s">
        <v>2095</v>
      </c>
      <c r="R186" t="s">
        <v>2093</v>
      </c>
      <c r="S186" t="s">
        <v>2093</v>
      </c>
      <c r="V186">
        <v>2020</v>
      </c>
      <c r="X186" t="b">
        <f>IF(_xlfn.MAXIFS(Contact[Sequence],Contact[Full Name],Contact[[#This Row],[Full Name]],Contact[Season],Contact[[#This Row],[Season]])=Contact[[#This Row],[Sequence]],TRUE,FALSE)</f>
        <v>1</v>
      </c>
      <c r="Y186" t="s">
        <v>190</v>
      </c>
      <c r="Z186">
        <v>0</v>
      </c>
      <c r="AA186">
        <f>IF(Contact[[#This Row],[Latest]]=TRUE,_xlfn.XLOOKUP(Contact[[#This Row],[Final Decision]],Table3[Final Decision],Table3[Active],0),0)</f>
        <v>0</v>
      </c>
      <c r="AB186">
        <f>SUMIF(Contact[Full Name],Contact[[#This Row],[Full Name]],Contact[Active])</f>
        <v>0</v>
      </c>
    </row>
    <row r="187" spans="1:28">
      <c r="A187">
        <v>1</v>
      </c>
      <c r="B187" t="s">
        <v>902</v>
      </c>
      <c r="C187" t="s">
        <v>903</v>
      </c>
      <c r="E187" t="s">
        <v>2284</v>
      </c>
      <c r="F187" t="s">
        <v>95</v>
      </c>
      <c r="G187" t="s">
        <v>2092</v>
      </c>
      <c r="I187" s="1" t="s">
        <v>904</v>
      </c>
      <c r="J187" s="66"/>
      <c r="L187" t="s">
        <v>2094</v>
      </c>
      <c r="M187" t="s">
        <v>105</v>
      </c>
      <c r="N187" t="s">
        <v>2095</v>
      </c>
      <c r="R187" t="s">
        <v>112</v>
      </c>
      <c r="S187" t="s">
        <v>70</v>
      </c>
      <c r="V187">
        <v>2020</v>
      </c>
      <c r="X187" t="b">
        <f>IF(_xlfn.MAXIFS(Contact[Sequence],Contact[Full Name],Contact[[#This Row],[Full Name]],Contact[Season],Contact[[#This Row],[Season]])=Contact[[#This Row],[Sequence]],TRUE,FALSE)</f>
        <v>1</v>
      </c>
      <c r="Y187" t="s">
        <v>70</v>
      </c>
      <c r="Z187">
        <v>0</v>
      </c>
      <c r="AA187">
        <f>IF(Contact[[#This Row],[Latest]]=TRUE,_xlfn.XLOOKUP(Contact[[#This Row],[Final Decision]],Table3[Final Decision],Table3[Active],0),0)</f>
        <v>1</v>
      </c>
      <c r="AB187">
        <f>SUMIF(Contact[Full Name],Contact[[#This Row],[Full Name]],Contact[Active])</f>
        <v>1</v>
      </c>
    </row>
    <row r="188" spans="1:28">
      <c r="A188">
        <v>1</v>
      </c>
      <c r="B188" t="s">
        <v>137</v>
      </c>
      <c r="C188" t="s">
        <v>1470</v>
      </c>
      <c r="E188" t="s">
        <v>2285</v>
      </c>
      <c r="F188" t="s">
        <v>98</v>
      </c>
      <c r="G188" t="s">
        <v>2092</v>
      </c>
      <c r="I188" s="1" t="s">
        <v>1471</v>
      </c>
      <c r="J188" s="66" t="s">
        <v>1472</v>
      </c>
      <c r="L188" t="s">
        <v>2094</v>
      </c>
      <c r="M188" t="s">
        <v>90</v>
      </c>
      <c r="N188" t="s">
        <v>2095</v>
      </c>
      <c r="R188" t="s">
        <v>2093</v>
      </c>
      <c r="S188" t="s">
        <v>2093</v>
      </c>
      <c r="V188">
        <v>2020</v>
      </c>
      <c r="X188" t="b">
        <f>IF(_xlfn.MAXIFS(Contact[Sequence],Contact[Full Name],Contact[[#This Row],[Full Name]],Contact[Season],Contact[[#This Row],[Season]])=Contact[[#This Row],[Sequence]],TRUE,FALSE)</f>
        <v>1</v>
      </c>
      <c r="Y188" t="s">
        <v>190</v>
      </c>
      <c r="Z188">
        <v>0</v>
      </c>
      <c r="AA188">
        <f>IF(Contact[[#This Row],[Latest]]=TRUE,_xlfn.XLOOKUP(Contact[[#This Row],[Final Decision]],Table3[Final Decision],Table3[Active],0),0)</f>
        <v>0</v>
      </c>
      <c r="AB188">
        <f>SUMIF(Contact[Full Name],Contact[[#This Row],[Full Name]],Contact[Active])</f>
        <v>0</v>
      </c>
    </row>
    <row r="189" spans="1:28">
      <c r="A189">
        <v>1</v>
      </c>
      <c r="B189" t="s">
        <v>1475</v>
      </c>
      <c r="C189" t="s">
        <v>1476</v>
      </c>
      <c r="E189" t="s">
        <v>2286</v>
      </c>
      <c r="F189" t="s">
        <v>98</v>
      </c>
      <c r="G189" t="s">
        <v>2092</v>
      </c>
      <c r="I189" s="1" t="s">
        <v>1477</v>
      </c>
      <c r="J189" s="66" t="s">
        <v>2093</v>
      </c>
      <c r="L189" t="s">
        <v>2094</v>
      </c>
      <c r="M189" t="s">
        <v>185</v>
      </c>
      <c r="N189" t="s">
        <v>2095</v>
      </c>
      <c r="R189" t="s">
        <v>2093</v>
      </c>
      <c r="S189" t="s">
        <v>2093</v>
      </c>
      <c r="V189">
        <v>2020</v>
      </c>
      <c r="X189" t="b">
        <f>IF(_xlfn.MAXIFS(Contact[Sequence],Contact[Full Name],Contact[[#This Row],[Full Name]],Contact[Season],Contact[[#This Row],[Season]])=Contact[[#This Row],[Sequence]],TRUE,FALSE)</f>
        <v>1</v>
      </c>
      <c r="Y189" t="s">
        <v>190</v>
      </c>
      <c r="Z189">
        <v>0</v>
      </c>
      <c r="AA189">
        <f>IF(Contact[[#This Row],[Latest]]=TRUE,_xlfn.XLOOKUP(Contact[[#This Row],[Final Decision]],Table3[Final Decision],Table3[Active],0),0)</f>
        <v>0</v>
      </c>
      <c r="AB189">
        <f>SUMIF(Contact[Full Name],Contact[[#This Row],[Full Name]],Contact[Active])</f>
        <v>0</v>
      </c>
    </row>
    <row r="190" spans="1:28">
      <c r="A190">
        <v>1</v>
      </c>
      <c r="B190" t="s">
        <v>1498</v>
      </c>
      <c r="C190" t="s">
        <v>1499</v>
      </c>
      <c r="E190" t="s">
        <v>2287</v>
      </c>
      <c r="F190" t="s">
        <v>98</v>
      </c>
      <c r="G190" t="s">
        <v>2092</v>
      </c>
      <c r="I190" s="1" t="s">
        <v>1500</v>
      </c>
      <c r="J190" s="66" t="s">
        <v>2093</v>
      </c>
      <c r="L190" t="s">
        <v>2094</v>
      </c>
      <c r="M190" t="s">
        <v>105</v>
      </c>
      <c r="N190" t="s">
        <v>2095</v>
      </c>
      <c r="R190" t="s">
        <v>2093</v>
      </c>
      <c r="S190" t="s">
        <v>2093</v>
      </c>
      <c r="V190">
        <v>2020</v>
      </c>
      <c r="X190" t="b">
        <f>IF(_xlfn.MAXIFS(Contact[Sequence],Contact[Full Name],Contact[[#This Row],[Full Name]],Contact[Season],Contact[[#This Row],[Season]])=Contact[[#This Row],[Sequence]],TRUE,FALSE)</f>
        <v>1</v>
      </c>
      <c r="Y190" t="s">
        <v>190</v>
      </c>
      <c r="Z190">
        <v>0</v>
      </c>
      <c r="AA190">
        <f>IF(Contact[[#This Row],[Latest]]=TRUE,_xlfn.XLOOKUP(Contact[[#This Row],[Final Decision]],Table3[Final Decision],Table3[Active],0),0)</f>
        <v>0</v>
      </c>
      <c r="AB190">
        <f>SUMIF(Contact[Full Name],Contact[[#This Row],[Full Name]],Contact[Active])</f>
        <v>0</v>
      </c>
    </row>
    <row r="191" spans="1:28">
      <c r="A191">
        <v>1</v>
      </c>
      <c r="B191" t="s">
        <v>1484</v>
      </c>
      <c r="C191" t="s">
        <v>1502</v>
      </c>
      <c r="E191" t="s">
        <v>2288</v>
      </c>
      <c r="F191" t="s">
        <v>95</v>
      </c>
      <c r="G191" t="s">
        <v>2092</v>
      </c>
      <c r="I191" s="1" t="s">
        <v>1503</v>
      </c>
      <c r="J191" s="66" t="s">
        <v>2093</v>
      </c>
      <c r="L191" t="s">
        <v>2094</v>
      </c>
      <c r="M191" t="s">
        <v>105</v>
      </c>
      <c r="N191" t="s">
        <v>2095</v>
      </c>
      <c r="R191" t="s">
        <v>2093</v>
      </c>
      <c r="S191" t="s">
        <v>2093</v>
      </c>
      <c r="V191">
        <v>2020</v>
      </c>
      <c r="X191" t="b">
        <f>IF(_xlfn.MAXIFS(Contact[Sequence],Contact[Full Name],Contact[[#This Row],[Full Name]],Contact[Season],Contact[[#This Row],[Season]])=Contact[[#This Row],[Sequence]],TRUE,FALSE)</f>
        <v>1</v>
      </c>
      <c r="Y191" t="s">
        <v>190</v>
      </c>
      <c r="Z191">
        <v>0</v>
      </c>
      <c r="AA191">
        <f>IF(Contact[[#This Row],[Latest]]=TRUE,_xlfn.XLOOKUP(Contact[[#This Row],[Final Decision]],Table3[Final Decision],Table3[Active],0),0)</f>
        <v>0</v>
      </c>
      <c r="AB191">
        <f>SUMIF(Contact[Full Name],Contact[[#This Row],[Full Name]],Contact[Active])</f>
        <v>0</v>
      </c>
    </row>
    <row r="192" spans="1:28">
      <c r="A192">
        <v>1</v>
      </c>
      <c r="B192" t="s">
        <v>1484</v>
      </c>
      <c r="C192" t="s">
        <v>1485</v>
      </c>
      <c r="E192" t="s">
        <v>2289</v>
      </c>
      <c r="F192" t="s">
        <v>98</v>
      </c>
      <c r="G192" t="s">
        <v>2092</v>
      </c>
      <c r="I192" s="1" t="s">
        <v>1486</v>
      </c>
      <c r="J192" s="66" t="s">
        <v>1487</v>
      </c>
      <c r="L192" t="s">
        <v>2094</v>
      </c>
      <c r="M192" t="s">
        <v>105</v>
      </c>
      <c r="N192" t="s">
        <v>2095</v>
      </c>
      <c r="R192" t="s">
        <v>2093</v>
      </c>
      <c r="S192" t="s">
        <v>2093</v>
      </c>
      <c r="V192">
        <v>2020</v>
      </c>
      <c r="X192" t="b">
        <f>IF(_xlfn.MAXIFS(Contact[Sequence],Contact[Full Name],Contact[[#This Row],[Full Name]],Contact[Season],Contact[[#This Row],[Season]])=Contact[[#This Row],[Sequence]],TRUE,FALSE)</f>
        <v>1</v>
      </c>
      <c r="Y192" t="s">
        <v>190</v>
      </c>
      <c r="Z192">
        <v>0</v>
      </c>
      <c r="AA192">
        <f>IF(Contact[[#This Row],[Latest]]=TRUE,_xlfn.XLOOKUP(Contact[[#This Row],[Final Decision]],Table3[Final Decision],Table3[Active],0),0)</f>
        <v>0</v>
      </c>
      <c r="AB192">
        <f>SUMIF(Contact[Full Name],Contact[[#This Row],[Full Name]],Contact[Active])</f>
        <v>0</v>
      </c>
    </row>
    <row r="193" spans="1:28">
      <c r="A193">
        <v>1</v>
      </c>
      <c r="B193" t="s">
        <v>1027</v>
      </c>
      <c r="C193" t="s">
        <v>1028</v>
      </c>
      <c r="E193" t="s">
        <v>2290</v>
      </c>
      <c r="F193" t="s">
        <v>95</v>
      </c>
      <c r="G193" t="s">
        <v>2092</v>
      </c>
      <c r="I193" s="1" t="s">
        <v>2093</v>
      </c>
      <c r="J193" s="66"/>
      <c r="L193" t="s">
        <v>2094</v>
      </c>
      <c r="M193" t="s">
        <v>105</v>
      </c>
      <c r="N193" t="s">
        <v>2095</v>
      </c>
      <c r="R193" t="s">
        <v>112</v>
      </c>
      <c r="S193" t="s">
        <v>70</v>
      </c>
      <c r="V193">
        <v>2020</v>
      </c>
      <c r="X193" t="b">
        <f>IF(_xlfn.MAXIFS(Contact[Sequence],Contact[Full Name],Contact[[#This Row],[Full Name]],Contact[Season],Contact[[#This Row],[Season]])=Contact[[#This Row],[Sequence]],TRUE,FALSE)</f>
        <v>1</v>
      </c>
      <c r="Y193" t="s">
        <v>70</v>
      </c>
      <c r="Z193">
        <v>0</v>
      </c>
      <c r="AA193">
        <f>IF(Contact[[#This Row],[Latest]]=TRUE,_xlfn.XLOOKUP(Contact[[#This Row],[Final Decision]],Table3[Final Decision],Table3[Active],0),0)</f>
        <v>1</v>
      </c>
      <c r="AB193">
        <f>SUMIF(Contact[Full Name],Contact[[#This Row],[Full Name]],Contact[Active])</f>
        <v>1</v>
      </c>
    </row>
    <row r="194" spans="1:28">
      <c r="A194">
        <v>1</v>
      </c>
      <c r="B194" t="s">
        <v>432</v>
      </c>
      <c r="C194" t="s">
        <v>433</v>
      </c>
      <c r="E194" t="s">
        <v>2291</v>
      </c>
      <c r="F194" t="s">
        <v>95</v>
      </c>
      <c r="G194" t="s">
        <v>2092</v>
      </c>
      <c r="I194" s="1" t="s">
        <v>434</v>
      </c>
      <c r="J194" s="66" t="s">
        <v>435</v>
      </c>
      <c r="L194" t="s">
        <v>2094</v>
      </c>
      <c r="M194" t="s">
        <v>90</v>
      </c>
      <c r="N194" t="s">
        <v>2095</v>
      </c>
      <c r="R194" t="s">
        <v>2093</v>
      </c>
      <c r="S194" t="s">
        <v>2093</v>
      </c>
      <c r="V194">
        <v>2020</v>
      </c>
      <c r="X194" t="b">
        <f>IF(_xlfn.MAXIFS(Contact[Sequence],Contact[Full Name],Contact[[#This Row],[Full Name]],Contact[Season],Contact[[#This Row],[Season]])=Contact[[#This Row],[Sequence]],TRUE,FALSE)</f>
        <v>1</v>
      </c>
      <c r="Y194" t="s">
        <v>190</v>
      </c>
      <c r="Z194">
        <v>0</v>
      </c>
      <c r="AA194">
        <f>IF(Contact[[#This Row],[Latest]]=TRUE,_xlfn.XLOOKUP(Contact[[#This Row],[Final Decision]],Table3[Final Decision],Table3[Active],0),0)</f>
        <v>0</v>
      </c>
      <c r="AB194">
        <f>SUMIF(Contact[Full Name],Contact[[#This Row],[Full Name]],Contact[Active])</f>
        <v>0</v>
      </c>
    </row>
    <row r="195" spans="1:28">
      <c r="A195">
        <v>1</v>
      </c>
      <c r="B195" t="s">
        <v>1480</v>
      </c>
      <c r="C195" t="s">
        <v>459</v>
      </c>
      <c r="E195" t="s">
        <v>2292</v>
      </c>
      <c r="F195" t="s">
        <v>98</v>
      </c>
      <c r="G195" t="s">
        <v>2092</v>
      </c>
      <c r="I195" s="1" t="s">
        <v>1873</v>
      </c>
      <c r="J195" s="66" t="s">
        <v>2093</v>
      </c>
      <c r="L195" t="s">
        <v>2094</v>
      </c>
      <c r="M195" t="s">
        <v>105</v>
      </c>
      <c r="N195" t="s">
        <v>2095</v>
      </c>
      <c r="R195" t="s">
        <v>2093</v>
      </c>
      <c r="S195" t="s">
        <v>2093</v>
      </c>
      <c r="V195">
        <v>2020</v>
      </c>
      <c r="X195" t="b">
        <f>IF(_xlfn.MAXIFS(Contact[Sequence],Contact[Full Name],Contact[[#This Row],[Full Name]],Contact[Season],Contact[[#This Row],[Season]])=Contact[[#This Row],[Sequence]],TRUE,FALSE)</f>
        <v>1</v>
      </c>
      <c r="Y195" t="s">
        <v>190</v>
      </c>
      <c r="Z195">
        <v>0</v>
      </c>
      <c r="AA195">
        <f>IF(Contact[[#This Row],[Latest]]=TRUE,_xlfn.XLOOKUP(Contact[[#This Row],[Final Decision]],Table3[Final Decision],Table3[Active],0),0)</f>
        <v>0</v>
      </c>
      <c r="AB195">
        <f>SUMIF(Contact[Full Name],Contact[[#This Row],[Full Name]],Contact[Active])</f>
        <v>0</v>
      </c>
    </row>
    <row r="196" spans="1:28">
      <c r="A196">
        <v>1</v>
      </c>
      <c r="B196" t="s">
        <v>1480</v>
      </c>
      <c r="C196" t="s">
        <v>1481</v>
      </c>
      <c r="E196" t="s">
        <v>2293</v>
      </c>
      <c r="F196" t="s">
        <v>98</v>
      </c>
      <c r="G196" t="s">
        <v>2092</v>
      </c>
      <c r="I196" s="1" t="s">
        <v>1482</v>
      </c>
      <c r="J196" s="66" t="s">
        <v>2093</v>
      </c>
      <c r="L196" t="s">
        <v>2094</v>
      </c>
      <c r="M196" t="s">
        <v>105</v>
      </c>
      <c r="N196" t="s">
        <v>2095</v>
      </c>
      <c r="R196" t="s">
        <v>2093</v>
      </c>
      <c r="S196" t="s">
        <v>2093</v>
      </c>
      <c r="V196">
        <v>2020</v>
      </c>
      <c r="X196" t="b">
        <f>IF(_xlfn.MAXIFS(Contact[Sequence],Contact[Full Name],Contact[[#This Row],[Full Name]],Contact[Season],Contact[[#This Row],[Season]])=Contact[[#This Row],[Sequence]],TRUE,FALSE)</f>
        <v>1</v>
      </c>
      <c r="Y196" t="s">
        <v>190</v>
      </c>
      <c r="Z196">
        <v>0</v>
      </c>
      <c r="AA196">
        <f>IF(Contact[[#This Row],[Latest]]=TRUE,_xlfn.XLOOKUP(Contact[[#This Row],[Final Decision]],Table3[Final Decision],Table3[Active],0),0)</f>
        <v>0</v>
      </c>
      <c r="AB196">
        <f>SUMIF(Contact[Full Name],Contact[[#This Row],[Full Name]],Contact[Active])</f>
        <v>0</v>
      </c>
    </row>
    <row r="197" spans="1:28">
      <c r="A197">
        <v>1</v>
      </c>
      <c r="B197" t="s">
        <v>267</v>
      </c>
      <c r="C197" t="s">
        <v>268</v>
      </c>
      <c r="E197" t="s">
        <v>2294</v>
      </c>
      <c r="F197" t="s">
        <v>95</v>
      </c>
      <c r="G197" t="s">
        <v>2092</v>
      </c>
      <c r="I197" s="1" t="s">
        <v>269</v>
      </c>
      <c r="J197" s="66"/>
      <c r="L197" t="s">
        <v>2094</v>
      </c>
      <c r="M197" t="s">
        <v>90</v>
      </c>
      <c r="N197" t="s">
        <v>2095</v>
      </c>
      <c r="P197" t="s">
        <v>272</v>
      </c>
      <c r="R197" t="s">
        <v>265</v>
      </c>
      <c r="S197" t="s">
        <v>266</v>
      </c>
      <c r="V197">
        <v>2020</v>
      </c>
      <c r="X197" t="b">
        <f>IF(_xlfn.MAXIFS(Contact[Sequence],Contact[Full Name],Contact[[#This Row],[Full Name]],Contact[Season],Contact[[#This Row],[Season]])=Contact[[#This Row],[Sequence]],TRUE,FALSE)</f>
        <v>0</v>
      </c>
      <c r="Y197" t="s">
        <v>96</v>
      </c>
      <c r="Z197" t="s">
        <v>272</v>
      </c>
      <c r="AA197">
        <f>IF(Contact[[#This Row],[Latest]]=TRUE,_xlfn.XLOOKUP(Contact[[#This Row],[Final Decision]],Table3[Final Decision],Table3[Active],0),0)</f>
        <v>0</v>
      </c>
      <c r="AB197">
        <f>SUMIF(Contact[Full Name],Contact[[#This Row],[Full Name]],Contact[Active])</f>
        <v>0</v>
      </c>
    </row>
    <row r="198" spans="1:28">
      <c r="A198">
        <v>1</v>
      </c>
      <c r="B198" t="s">
        <v>237</v>
      </c>
      <c r="C198" t="s">
        <v>238</v>
      </c>
      <c r="E198" t="s">
        <v>2295</v>
      </c>
      <c r="F198" t="s">
        <v>95</v>
      </c>
      <c r="G198" t="s">
        <v>2092</v>
      </c>
      <c r="I198" s="1" t="s">
        <v>239</v>
      </c>
      <c r="J198" s="66" t="s">
        <v>2093</v>
      </c>
      <c r="L198" t="s">
        <v>2094</v>
      </c>
      <c r="M198" t="s">
        <v>164</v>
      </c>
      <c r="N198" t="s">
        <v>2095</v>
      </c>
      <c r="P198" t="s">
        <v>159</v>
      </c>
      <c r="R198" t="s">
        <v>112</v>
      </c>
      <c r="S198" t="s">
        <v>236</v>
      </c>
      <c r="V198">
        <v>2020</v>
      </c>
      <c r="X198" t="b">
        <f>IF(_xlfn.MAXIFS(Contact[Sequence],Contact[Full Name],Contact[[#This Row],[Full Name]],Contact[Season],Contact[[#This Row],[Season]])=Contact[[#This Row],[Sequence]],TRUE,FALSE)</f>
        <v>0</v>
      </c>
      <c r="Y198" t="s">
        <v>96</v>
      </c>
      <c r="Z198" t="s">
        <v>159</v>
      </c>
      <c r="AA198">
        <f>IF(Contact[[#This Row],[Latest]]=TRUE,_xlfn.XLOOKUP(Contact[[#This Row],[Final Decision]],Table3[Final Decision],Table3[Active],0),0)</f>
        <v>0</v>
      </c>
      <c r="AB198">
        <f>SUMIF(Contact[Full Name],Contact[[#This Row],[Full Name]],Contact[Active])</f>
        <v>0</v>
      </c>
    </row>
    <row r="199" spans="1:28">
      <c r="A199">
        <v>1</v>
      </c>
      <c r="B199" t="s">
        <v>1493</v>
      </c>
      <c r="C199" t="s">
        <v>1494</v>
      </c>
      <c r="E199" t="s">
        <v>2296</v>
      </c>
      <c r="F199" t="s">
        <v>98</v>
      </c>
      <c r="G199" t="s">
        <v>2092</v>
      </c>
      <c r="I199" s="1" t="s">
        <v>1495</v>
      </c>
      <c r="J199" s="66" t="s">
        <v>2093</v>
      </c>
      <c r="L199" t="s">
        <v>2094</v>
      </c>
      <c r="M199" t="s">
        <v>90</v>
      </c>
      <c r="N199" t="s">
        <v>2095</v>
      </c>
      <c r="R199" t="s">
        <v>2093</v>
      </c>
      <c r="S199" t="s">
        <v>2093</v>
      </c>
      <c r="V199">
        <v>2020</v>
      </c>
      <c r="X199" t="b">
        <f>IF(_xlfn.MAXIFS(Contact[Sequence],Contact[Full Name],Contact[[#This Row],[Full Name]],Contact[Season],Contact[[#This Row],[Season]])=Contact[[#This Row],[Sequence]],TRUE,FALSE)</f>
        <v>1</v>
      </c>
      <c r="Y199" t="s">
        <v>190</v>
      </c>
      <c r="Z199">
        <v>0</v>
      </c>
      <c r="AA199">
        <f>IF(Contact[[#This Row],[Latest]]=TRUE,_xlfn.XLOOKUP(Contact[[#This Row],[Final Decision]],Table3[Final Decision],Table3[Active],0),0)</f>
        <v>0</v>
      </c>
      <c r="AB199">
        <f>SUMIF(Contact[Full Name],Contact[[#This Row],[Full Name]],Contact[Active])</f>
        <v>0</v>
      </c>
    </row>
    <row r="200" spans="1:28">
      <c r="A200">
        <v>1</v>
      </c>
      <c r="B200" t="s">
        <v>907</v>
      </c>
      <c r="C200" t="s">
        <v>908</v>
      </c>
      <c r="E200" t="s">
        <v>2297</v>
      </c>
      <c r="F200" t="s">
        <v>95</v>
      </c>
      <c r="G200" t="s">
        <v>2092</v>
      </c>
      <c r="I200" s="1" t="s">
        <v>909</v>
      </c>
      <c r="J200" s="66" t="s">
        <v>910</v>
      </c>
      <c r="L200" t="s">
        <v>2094</v>
      </c>
      <c r="M200" t="s">
        <v>105</v>
      </c>
      <c r="N200" t="s">
        <v>2095</v>
      </c>
      <c r="P200" t="s">
        <v>859</v>
      </c>
      <c r="R200" t="s">
        <v>112</v>
      </c>
      <c r="S200" t="s">
        <v>2093</v>
      </c>
      <c r="V200">
        <v>2020</v>
      </c>
      <c r="X200" t="b">
        <f>IF(_xlfn.MAXIFS(Contact[Sequence],Contact[Full Name],Contact[[#This Row],[Full Name]],Contact[Season],Contact[[#This Row],[Season]])=Contact[[#This Row],[Sequence]],TRUE,FALSE)</f>
        <v>1</v>
      </c>
      <c r="Y200" t="s">
        <v>96</v>
      </c>
      <c r="Z200" t="s">
        <v>859</v>
      </c>
      <c r="AA200">
        <f>IF(Contact[[#This Row],[Latest]]=TRUE,_xlfn.XLOOKUP(Contact[[#This Row],[Final Decision]],Table3[Final Decision],Table3[Active],0),0)</f>
        <v>0</v>
      </c>
      <c r="AB200">
        <f>SUMIF(Contact[Full Name],Contact[[#This Row],[Full Name]],Contact[Active])</f>
        <v>0</v>
      </c>
    </row>
    <row r="201" spans="1:28">
      <c r="A201">
        <v>1</v>
      </c>
      <c r="B201" t="s">
        <v>1036</v>
      </c>
      <c r="C201" t="s">
        <v>1037</v>
      </c>
      <c r="E201" t="s">
        <v>2298</v>
      </c>
      <c r="F201" t="s">
        <v>100</v>
      </c>
      <c r="G201" t="s">
        <v>2100</v>
      </c>
      <c r="I201" s="1" t="s">
        <v>1038</v>
      </c>
      <c r="J201" s="66" t="s">
        <v>2093</v>
      </c>
      <c r="L201" t="s">
        <v>2094</v>
      </c>
      <c r="M201" t="s">
        <v>105</v>
      </c>
      <c r="N201" t="s">
        <v>2095</v>
      </c>
      <c r="P201" t="s">
        <v>744</v>
      </c>
      <c r="R201" t="s">
        <v>737</v>
      </c>
      <c r="S201" t="s">
        <v>665</v>
      </c>
      <c r="V201">
        <v>2020</v>
      </c>
      <c r="X201" t="b">
        <f>IF(_xlfn.MAXIFS(Contact[Sequence],Contact[Full Name],Contact[[#This Row],[Full Name]],Contact[Season],Contact[[#This Row],[Season]])=Contact[[#This Row],[Sequence]],TRUE,FALSE)</f>
        <v>1</v>
      </c>
      <c r="Y201" t="s">
        <v>96</v>
      </c>
      <c r="Z201" t="s">
        <v>1040</v>
      </c>
      <c r="AA201">
        <f>IF(Contact[[#This Row],[Latest]]=TRUE,_xlfn.XLOOKUP(Contact[[#This Row],[Final Decision]],Table3[Final Decision],Table3[Active],0),0)</f>
        <v>0</v>
      </c>
      <c r="AB201">
        <f>SUMIF(Contact[Full Name],Contact[[#This Row],[Full Name]],Contact[Active])</f>
        <v>0</v>
      </c>
    </row>
    <row r="202" spans="1:28">
      <c r="A202">
        <v>1</v>
      </c>
      <c r="B202" t="s">
        <v>91</v>
      </c>
      <c r="C202" t="s">
        <v>92</v>
      </c>
      <c r="E202" t="s">
        <v>2299</v>
      </c>
      <c r="F202" t="s">
        <v>102</v>
      </c>
      <c r="G202" t="s">
        <v>2100</v>
      </c>
      <c r="I202" s="1" t="s">
        <v>93</v>
      </c>
      <c r="J202" s="66" t="s">
        <v>2093</v>
      </c>
      <c r="L202" t="s">
        <v>2094</v>
      </c>
      <c r="M202" t="s">
        <v>90</v>
      </c>
      <c r="N202" t="s">
        <v>2095</v>
      </c>
      <c r="P202" t="s">
        <v>103</v>
      </c>
      <c r="R202" t="s">
        <v>215</v>
      </c>
      <c r="S202" t="s">
        <v>266</v>
      </c>
      <c r="V202">
        <v>2020</v>
      </c>
      <c r="X202" t="b">
        <f>IF(_xlfn.MAXIFS(Contact[Sequence],Contact[Full Name],Contact[[#This Row],[Full Name]],Contact[Season],Contact[[#This Row],[Season]])=Contact[[#This Row],[Sequence]],TRUE,FALSE)</f>
        <v>0</v>
      </c>
      <c r="Y202" t="s">
        <v>96</v>
      </c>
      <c r="Z202" t="s">
        <v>97</v>
      </c>
      <c r="AA202">
        <f>IF(Contact[[#This Row],[Latest]]=TRUE,_xlfn.XLOOKUP(Contact[[#This Row],[Final Decision]],Table3[Final Decision],Table3[Active],0),0)</f>
        <v>0</v>
      </c>
      <c r="AB202">
        <f>SUMIF(Contact[Full Name],Contact[[#This Row],[Full Name]],Contact[Active])</f>
        <v>0</v>
      </c>
    </row>
    <row r="203" spans="1:28">
      <c r="A203">
        <v>1</v>
      </c>
      <c r="B203" t="s">
        <v>428</v>
      </c>
      <c r="C203" t="s">
        <v>429</v>
      </c>
      <c r="E203" t="s">
        <v>2300</v>
      </c>
      <c r="F203" t="s">
        <v>95</v>
      </c>
      <c r="G203" t="s">
        <v>2092</v>
      </c>
      <c r="I203" s="1" t="s">
        <v>430</v>
      </c>
      <c r="J203" s="66" t="s">
        <v>2093</v>
      </c>
      <c r="L203" t="s">
        <v>2094</v>
      </c>
      <c r="M203" t="s">
        <v>90</v>
      </c>
      <c r="N203" t="s">
        <v>2095</v>
      </c>
      <c r="R203" t="s">
        <v>2093</v>
      </c>
      <c r="S203" t="s">
        <v>2093</v>
      </c>
      <c r="V203">
        <v>2020</v>
      </c>
      <c r="X203" t="b">
        <f>IF(_xlfn.MAXIFS(Contact[Sequence],Contact[Full Name],Contact[[#This Row],[Full Name]],Contact[Season],Contact[[#This Row],[Season]])=Contact[[#This Row],[Sequence]],TRUE,FALSE)</f>
        <v>1</v>
      </c>
      <c r="Y203" t="s">
        <v>190</v>
      </c>
      <c r="Z203">
        <v>0</v>
      </c>
      <c r="AA203">
        <f>IF(Contact[[#This Row],[Latest]]=TRUE,_xlfn.XLOOKUP(Contact[[#This Row],[Final Decision]],Table3[Final Decision],Table3[Active],0),0)</f>
        <v>0</v>
      </c>
      <c r="AB203">
        <f>SUMIF(Contact[Full Name],Contact[[#This Row],[Full Name]],Contact[Active])</f>
        <v>0</v>
      </c>
    </row>
    <row r="204" spans="1:28">
      <c r="A204">
        <v>1</v>
      </c>
      <c r="B204" t="s">
        <v>437</v>
      </c>
      <c r="C204" t="s">
        <v>438</v>
      </c>
      <c r="E204" t="s">
        <v>2301</v>
      </c>
      <c r="F204" t="s">
        <v>95</v>
      </c>
      <c r="G204" t="s">
        <v>2092</v>
      </c>
      <c r="I204" s="1" t="s">
        <v>439</v>
      </c>
      <c r="J204" s="66" t="s">
        <v>440</v>
      </c>
      <c r="L204" t="s">
        <v>2094</v>
      </c>
      <c r="M204" t="s">
        <v>90</v>
      </c>
      <c r="N204" t="s">
        <v>2095</v>
      </c>
      <c r="R204" t="s">
        <v>2093</v>
      </c>
      <c r="S204" t="s">
        <v>2093</v>
      </c>
      <c r="V204">
        <v>2020</v>
      </c>
      <c r="X204" t="b">
        <f>IF(_xlfn.MAXIFS(Contact[Sequence],Contact[Full Name],Contact[[#This Row],[Full Name]],Contact[Season],Contact[[#This Row],[Season]])=Contact[[#This Row],[Sequence]],TRUE,FALSE)</f>
        <v>1</v>
      </c>
      <c r="Y204" t="s">
        <v>190</v>
      </c>
      <c r="Z204">
        <v>0</v>
      </c>
      <c r="AA204">
        <f>IF(Contact[[#This Row],[Latest]]=TRUE,_xlfn.XLOOKUP(Contact[[#This Row],[Final Decision]],Table3[Final Decision],Table3[Active],0),0)</f>
        <v>0</v>
      </c>
      <c r="AB204">
        <f>SUMIF(Contact[Full Name],Contact[[#This Row],[Full Name]],Contact[Active])</f>
        <v>0</v>
      </c>
    </row>
    <row r="205" spans="1:28">
      <c r="A205">
        <v>1</v>
      </c>
      <c r="B205" t="s">
        <v>694</v>
      </c>
      <c r="C205" t="s">
        <v>913</v>
      </c>
      <c r="E205" t="s">
        <v>2302</v>
      </c>
      <c r="F205" t="s">
        <v>95</v>
      </c>
      <c r="G205" t="s">
        <v>2092</v>
      </c>
      <c r="I205" s="1" t="s">
        <v>914</v>
      </c>
      <c r="J205" s="66" t="s">
        <v>2093</v>
      </c>
      <c r="L205" t="s">
        <v>2094</v>
      </c>
      <c r="M205" t="s">
        <v>185</v>
      </c>
      <c r="N205" t="s">
        <v>2095</v>
      </c>
      <c r="P205" t="s">
        <v>787</v>
      </c>
      <c r="R205" t="s">
        <v>112</v>
      </c>
      <c r="S205" t="s">
        <v>2093</v>
      </c>
      <c r="V205">
        <v>2020</v>
      </c>
      <c r="X205" t="b">
        <f>IF(_xlfn.MAXIFS(Contact[Sequence],Contact[Full Name],Contact[[#This Row],[Full Name]],Contact[Season],Contact[[#This Row],[Season]])=Contact[[#This Row],[Sequence]],TRUE,FALSE)</f>
        <v>1</v>
      </c>
      <c r="Y205" t="s">
        <v>96</v>
      </c>
      <c r="Z205" t="s">
        <v>787</v>
      </c>
      <c r="AA205">
        <f>IF(Contact[[#This Row],[Latest]]=TRUE,_xlfn.XLOOKUP(Contact[[#This Row],[Final Decision]],Table3[Final Decision],Table3[Active],0),0)</f>
        <v>0</v>
      </c>
      <c r="AB205">
        <f>SUMIF(Contact[Full Name],Contact[[#This Row],[Full Name]],Contact[Active])</f>
        <v>0</v>
      </c>
    </row>
    <row r="206" spans="1:28">
      <c r="A206">
        <v>1</v>
      </c>
      <c r="B206" t="s">
        <v>694</v>
      </c>
      <c r="C206" t="s">
        <v>695</v>
      </c>
      <c r="E206" t="s">
        <v>2303</v>
      </c>
      <c r="F206" t="s">
        <v>102</v>
      </c>
      <c r="G206" t="s">
        <v>2100</v>
      </c>
      <c r="I206" s="1" t="s">
        <v>696</v>
      </c>
      <c r="J206" s="66" t="s">
        <v>2093</v>
      </c>
      <c r="L206" t="s">
        <v>2094</v>
      </c>
      <c r="M206" t="s">
        <v>105</v>
      </c>
      <c r="N206" t="s">
        <v>2095</v>
      </c>
      <c r="P206" t="s">
        <v>2304</v>
      </c>
      <c r="R206" t="s">
        <v>677</v>
      </c>
      <c r="S206" t="s">
        <v>678</v>
      </c>
      <c r="V206">
        <v>2020</v>
      </c>
      <c r="X206" t="b">
        <f>IF(_xlfn.MAXIFS(Contact[Sequence],Contact[Full Name],Contact[[#This Row],[Full Name]],Contact[Season],Contact[[#This Row],[Season]])=Contact[[#This Row],[Sequence]],TRUE,FALSE)</f>
        <v>1</v>
      </c>
      <c r="Y206" t="s">
        <v>96</v>
      </c>
      <c r="Z206" t="s">
        <v>698</v>
      </c>
      <c r="AA206">
        <f>IF(Contact[[#This Row],[Latest]]=TRUE,_xlfn.XLOOKUP(Contact[[#This Row],[Final Decision]],Table3[Final Decision],Table3[Active],0),0)</f>
        <v>0</v>
      </c>
      <c r="AB206">
        <f>SUMIF(Contact[Full Name],Contact[[#This Row],[Full Name]],Contact[Active])</f>
        <v>0</v>
      </c>
    </row>
    <row r="207" spans="1:28">
      <c r="A207">
        <v>1</v>
      </c>
      <c r="B207" t="s">
        <v>694</v>
      </c>
      <c r="C207" t="s">
        <v>1511</v>
      </c>
      <c r="E207" t="s">
        <v>2305</v>
      </c>
      <c r="F207" t="s">
        <v>95</v>
      </c>
      <c r="G207" t="s">
        <v>2092</v>
      </c>
      <c r="I207" s="1" t="s">
        <v>1512</v>
      </c>
      <c r="J207" s="66" t="s">
        <v>1513</v>
      </c>
      <c r="L207" t="s">
        <v>2094</v>
      </c>
      <c r="M207" t="s">
        <v>105</v>
      </c>
      <c r="N207" t="s">
        <v>2095</v>
      </c>
      <c r="R207" t="s">
        <v>2093</v>
      </c>
      <c r="S207" t="s">
        <v>2093</v>
      </c>
      <c r="V207">
        <v>2020</v>
      </c>
      <c r="X207" t="b">
        <f>IF(_xlfn.MAXIFS(Contact[Sequence],Contact[Full Name],Contact[[#This Row],[Full Name]],Contact[Season],Contact[[#This Row],[Season]])=Contact[[#This Row],[Sequence]],TRUE,FALSE)</f>
        <v>1</v>
      </c>
      <c r="Y207" t="s">
        <v>190</v>
      </c>
      <c r="Z207">
        <v>0</v>
      </c>
      <c r="AA207">
        <f>IF(Contact[[#This Row],[Latest]]=TRUE,_xlfn.XLOOKUP(Contact[[#This Row],[Final Decision]],Table3[Final Decision],Table3[Active],0),0)</f>
        <v>0</v>
      </c>
      <c r="AB207">
        <f>SUMIF(Contact[Full Name],Contact[[#This Row],[Full Name]],Contact[Active])</f>
        <v>0</v>
      </c>
    </row>
    <row r="208" spans="1:28">
      <c r="A208">
        <v>1</v>
      </c>
      <c r="B208" t="s">
        <v>2072</v>
      </c>
      <c r="C208" t="s">
        <v>463</v>
      </c>
      <c r="E208" t="s">
        <v>2306</v>
      </c>
      <c r="F208" t="s">
        <v>98</v>
      </c>
      <c r="G208" t="s">
        <v>2092</v>
      </c>
      <c r="I208" s="1" t="s">
        <v>2093</v>
      </c>
      <c r="J208" s="66" t="s">
        <v>2093</v>
      </c>
      <c r="L208" t="s">
        <v>2094</v>
      </c>
      <c r="M208" t="s">
        <v>90</v>
      </c>
      <c r="N208" t="s">
        <v>2095</v>
      </c>
      <c r="R208" t="s">
        <v>112</v>
      </c>
      <c r="S208" t="s">
        <v>2093</v>
      </c>
      <c r="V208">
        <v>2020</v>
      </c>
      <c r="X208" t="b">
        <f>IF(_xlfn.MAXIFS(Contact[Sequence],Contact[Full Name],Contact[[#This Row],[Full Name]],Contact[Season],Contact[[#This Row],[Season]])=Contact[[#This Row],[Sequence]],TRUE,FALSE)</f>
        <v>1</v>
      </c>
      <c r="Y208" t="s">
        <v>1051</v>
      </c>
      <c r="Z208">
        <v>0</v>
      </c>
      <c r="AA208">
        <f>IF(Contact[[#This Row],[Latest]]=TRUE,_xlfn.XLOOKUP(Contact[[#This Row],[Final Decision]],Table3[Final Decision],Table3[Active],0),0)</f>
        <v>0</v>
      </c>
      <c r="AB208">
        <f>SUMIF(Contact[Full Name],Contact[[#This Row],[Full Name]],Contact[Active])</f>
        <v>0</v>
      </c>
    </row>
    <row r="209" spans="1:28">
      <c r="A209">
        <v>1</v>
      </c>
      <c r="B209" t="s">
        <v>458</v>
      </c>
      <c r="C209" t="s">
        <v>459</v>
      </c>
      <c r="E209" t="s">
        <v>2307</v>
      </c>
      <c r="F209" t="s">
        <v>95</v>
      </c>
      <c r="G209" t="s">
        <v>2092</v>
      </c>
      <c r="I209" s="1" t="s">
        <v>460</v>
      </c>
      <c r="J209" s="66" t="s">
        <v>2093</v>
      </c>
      <c r="L209" t="s">
        <v>2094</v>
      </c>
      <c r="M209" t="s">
        <v>185</v>
      </c>
      <c r="N209" t="s">
        <v>2095</v>
      </c>
      <c r="R209" t="s">
        <v>2093</v>
      </c>
      <c r="S209" t="s">
        <v>2093</v>
      </c>
      <c r="V209">
        <v>2020</v>
      </c>
      <c r="X209" t="b">
        <f>IF(_xlfn.MAXIFS(Contact[Sequence],Contact[Full Name],Contact[[#This Row],[Full Name]],Contact[Season],Contact[[#This Row],[Season]])=Contact[[#This Row],[Sequence]],TRUE,FALSE)</f>
        <v>1</v>
      </c>
      <c r="Y209" t="s">
        <v>190</v>
      </c>
      <c r="Z209">
        <v>0</v>
      </c>
      <c r="AA209">
        <f>IF(Contact[[#This Row],[Latest]]=TRUE,_xlfn.XLOOKUP(Contact[[#This Row],[Final Decision]],Table3[Final Decision],Table3[Active],0),0)</f>
        <v>0</v>
      </c>
      <c r="AB209">
        <f>SUMIF(Contact[Full Name],Contact[[#This Row],[Full Name]],Contact[Active])</f>
        <v>0</v>
      </c>
    </row>
    <row r="210" spans="1:28">
      <c r="A210">
        <v>1</v>
      </c>
      <c r="B210" t="s">
        <v>438</v>
      </c>
      <c r="C210" t="s">
        <v>1615</v>
      </c>
      <c r="E210" t="s">
        <v>2308</v>
      </c>
      <c r="F210" t="s">
        <v>98</v>
      </c>
      <c r="G210" t="s">
        <v>2092</v>
      </c>
      <c r="I210" s="1" t="s">
        <v>1616</v>
      </c>
      <c r="J210" s="66" t="s">
        <v>1617</v>
      </c>
      <c r="L210" t="s">
        <v>2094</v>
      </c>
      <c r="M210" t="s">
        <v>105</v>
      </c>
      <c r="N210" t="s">
        <v>2095</v>
      </c>
      <c r="R210" t="s">
        <v>2093</v>
      </c>
      <c r="S210" t="s">
        <v>2093</v>
      </c>
      <c r="V210">
        <v>2020</v>
      </c>
      <c r="X210" t="b">
        <f>IF(_xlfn.MAXIFS(Contact[Sequence],Contact[Full Name],Contact[[#This Row],[Full Name]],Contact[Season],Contact[[#This Row],[Season]])=Contact[[#This Row],[Sequence]],TRUE,FALSE)</f>
        <v>1</v>
      </c>
      <c r="Y210" t="s">
        <v>190</v>
      </c>
      <c r="Z210">
        <v>0</v>
      </c>
      <c r="AA210">
        <f>IF(Contact[[#This Row],[Latest]]=TRUE,_xlfn.XLOOKUP(Contact[[#This Row],[Final Decision]],Table3[Final Decision],Table3[Active],0),0)</f>
        <v>0</v>
      </c>
      <c r="AB210">
        <f>SUMIF(Contact[Full Name],Contact[[#This Row],[Full Name]],Contact[Active])</f>
        <v>0</v>
      </c>
    </row>
    <row r="211" spans="1:28">
      <c r="A211">
        <v>1</v>
      </c>
      <c r="B211" t="s">
        <v>1520</v>
      </c>
      <c r="C211" t="s">
        <v>1521</v>
      </c>
      <c r="E211" t="s">
        <v>2309</v>
      </c>
      <c r="F211" t="s">
        <v>98</v>
      </c>
      <c r="G211" t="s">
        <v>2092</v>
      </c>
      <c r="I211" s="1" t="s">
        <v>1522</v>
      </c>
      <c r="J211" s="66" t="s">
        <v>2093</v>
      </c>
      <c r="L211" t="s">
        <v>2094</v>
      </c>
      <c r="M211" t="s">
        <v>105</v>
      </c>
      <c r="N211" t="s">
        <v>2095</v>
      </c>
      <c r="R211" t="s">
        <v>2093</v>
      </c>
      <c r="S211" t="s">
        <v>2093</v>
      </c>
      <c r="V211">
        <v>2020</v>
      </c>
      <c r="X211" t="b">
        <f>IF(_xlfn.MAXIFS(Contact[Sequence],Contact[Full Name],Contact[[#This Row],[Full Name]],Contact[Season],Contact[[#This Row],[Season]])=Contact[[#This Row],[Sequence]],TRUE,FALSE)</f>
        <v>1</v>
      </c>
      <c r="Y211" t="s">
        <v>190</v>
      </c>
      <c r="Z211">
        <v>0</v>
      </c>
      <c r="AA211">
        <f>IF(Contact[[#This Row],[Latest]]=TRUE,_xlfn.XLOOKUP(Contact[[#This Row],[Final Decision]],Table3[Final Decision],Table3[Active],0),0)</f>
        <v>0</v>
      </c>
      <c r="AB211">
        <f>SUMIF(Contact[Full Name],Contact[[#This Row],[Full Name]],Contact[Active])</f>
        <v>0</v>
      </c>
    </row>
    <row r="212" spans="1:28">
      <c r="A212">
        <v>1</v>
      </c>
      <c r="B212" t="s">
        <v>1527</v>
      </c>
      <c r="C212" t="s">
        <v>1528</v>
      </c>
      <c r="E212" t="s">
        <v>2310</v>
      </c>
      <c r="F212" t="s">
        <v>98</v>
      </c>
      <c r="G212" t="s">
        <v>2092</v>
      </c>
      <c r="I212" s="1" t="s">
        <v>1529</v>
      </c>
      <c r="J212" s="66" t="s">
        <v>1530</v>
      </c>
      <c r="L212" t="s">
        <v>2094</v>
      </c>
      <c r="M212" t="s">
        <v>105</v>
      </c>
      <c r="N212" t="s">
        <v>2095</v>
      </c>
      <c r="R212" t="s">
        <v>2093</v>
      </c>
      <c r="S212" t="s">
        <v>2093</v>
      </c>
      <c r="V212">
        <v>2020</v>
      </c>
      <c r="X212" t="b">
        <f>IF(_xlfn.MAXIFS(Contact[Sequence],Contact[Full Name],Contact[[#This Row],[Full Name]],Contact[Season],Contact[[#This Row],[Season]])=Contact[[#This Row],[Sequence]],TRUE,FALSE)</f>
        <v>1</v>
      </c>
      <c r="Y212" t="s">
        <v>190</v>
      </c>
      <c r="Z212">
        <v>0</v>
      </c>
      <c r="AA212">
        <f>IF(Contact[[#This Row],[Latest]]=TRUE,_xlfn.XLOOKUP(Contact[[#This Row],[Final Decision]],Table3[Final Decision],Table3[Active],0),0)</f>
        <v>0</v>
      </c>
      <c r="AB212">
        <f>SUMIF(Contact[Full Name],Contact[[#This Row],[Full Name]],Contact[Active])</f>
        <v>0</v>
      </c>
    </row>
    <row r="213" spans="1:28">
      <c r="A213">
        <v>1</v>
      </c>
      <c r="B213" t="s">
        <v>1644</v>
      </c>
      <c r="C213" t="s">
        <v>1645</v>
      </c>
      <c r="E213" t="s">
        <v>2311</v>
      </c>
      <c r="F213" t="s">
        <v>95</v>
      </c>
      <c r="G213" t="s">
        <v>2092</v>
      </c>
      <c r="I213" s="1" t="s">
        <v>1646</v>
      </c>
      <c r="J213" s="66" t="s">
        <v>1647</v>
      </c>
      <c r="L213" t="s">
        <v>2094</v>
      </c>
      <c r="M213" t="s">
        <v>105</v>
      </c>
      <c r="N213" t="s">
        <v>2095</v>
      </c>
      <c r="R213" t="s">
        <v>2093</v>
      </c>
      <c r="S213" t="s">
        <v>2093</v>
      </c>
      <c r="V213">
        <v>2020</v>
      </c>
      <c r="X213" t="b">
        <f>IF(_xlfn.MAXIFS(Contact[Sequence],Contact[Full Name],Contact[[#This Row],[Full Name]],Contact[Season],Contact[[#This Row],[Season]])=Contact[[#This Row],[Sequence]],TRUE,FALSE)</f>
        <v>1</v>
      </c>
      <c r="Y213" t="s">
        <v>190</v>
      </c>
      <c r="Z213">
        <v>0</v>
      </c>
      <c r="AA213">
        <f>IF(Contact[[#This Row],[Latest]]=TRUE,_xlfn.XLOOKUP(Contact[[#This Row],[Final Decision]],Table3[Final Decision],Table3[Active],0),0)</f>
        <v>0</v>
      </c>
      <c r="AB213">
        <f>SUMIF(Contact[Full Name],Contact[[#This Row],[Full Name]],Contact[Active])</f>
        <v>0</v>
      </c>
    </row>
    <row r="214" spans="1:28">
      <c r="A214">
        <v>1</v>
      </c>
      <c r="B214" t="s">
        <v>917</v>
      </c>
      <c r="C214" t="s">
        <v>918</v>
      </c>
      <c r="E214" t="s">
        <v>2312</v>
      </c>
      <c r="F214" t="s">
        <v>95</v>
      </c>
      <c r="G214" t="s">
        <v>2092</v>
      </c>
      <c r="I214" s="1" t="s">
        <v>919</v>
      </c>
      <c r="J214" s="66" t="s">
        <v>920</v>
      </c>
      <c r="L214" t="s">
        <v>2094</v>
      </c>
      <c r="M214" t="s">
        <v>105</v>
      </c>
      <c r="N214" t="s">
        <v>2095</v>
      </c>
      <c r="R214" t="s">
        <v>112</v>
      </c>
      <c r="S214" t="s">
        <v>70</v>
      </c>
      <c r="V214">
        <v>2020</v>
      </c>
      <c r="X214" t="b">
        <f>IF(_xlfn.MAXIFS(Contact[Sequence],Contact[Full Name],Contact[[#This Row],[Full Name]],Contact[Season],Contact[[#This Row],[Season]])=Contact[[#This Row],[Sequence]],TRUE,FALSE)</f>
        <v>1</v>
      </c>
      <c r="Y214" t="s">
        <v>70</v>
      </c>
      <c r="Z214">
        <v>0</v>
      </c>
      <c r="AA214">
        <f>IF(Contact[[#This Row],[Latest]]=TRUE,_xlfn.XLOOKUP(Contact[[#This Row],[Final Decision]],Table3[Final Decision],Table3[Active],0),0)</f>
        <v>1</v>
      </c>
      <c r="AB214">
        <f>SUMIF(Contact[Full Name],Contact[[#This Row],[Full Name]],Contact[Active])</f>
        <v>1</v>
      </c>
    </row>
    <row r="215" spans="1:28">
      <c r="A215">
        <v>1</v>
      </c>
      <c r="B215" t="s">
        <v>1984</v>
      </c>
      <c r="C215" t="s">
        <v>1985</v>
      </c>
      <c r="E215" t="s">
        <v>2313</v>
      </c>
      <c r="F215" t="s">
        <v>98</v>
      </c>
      <c r="G215" t="s">
        <v>2100</v>
      </c>
      <c r="I215" s="1" t="s">
        <v>1986</v>
      </c>
      <c r="J215" s="66" t="s">
        <v>2093</v>
      </c>
      <c r="L215" t="s">
        <v>2094</v>
      </c>
      <c r="M215" t="s">
        <v>185</v>
      </c>
      <c r="N215" t="s">
        <v>2095</v>
      </c>
      <c r="P215" t="s">
        <v>1989</v>
      </c>
      <c r="R215" t="s">
        <v>1983</v>
      </c>
      <c r="S215" t="s">
        <v>665</v>
      </c>
      <c r="V215">
        <v>2020</v>
      </c>
      <c r="X215" t="b">
        <f>IF(_xlfn.MAXIFS(Contact[Sequence],Contact[Full Name],Contact[[#This Row],[Full Name]],Contact[Season],Contact[[#This Row],[Season]])=Contact[[#This Row],[Sequence]],TRUE,FALSE)</f>
        <v>1</v>
      </c>
      <c r="Y215" t="s">
        <v>96</v>
      </c>
      <c r="Z215" t="s">
        <v>159</v>
      </c>
      <c r="AA215">
        <f>IF(Contact[[#This Row],[Latest]]=TRUE,_xlfn.XLOOKUP(Contact[[#This Row],[Final Decision]],Table3[Final Decision],Table3[Active],0),0)</f>
        <v>0</v>
      </c>
      <c r="AB215">
        <f>SUMIF(Contact[Full Name],Contact[[#This Row],[Full Name]],Contact[Active])</f>
        <v>0</v>
      </c>
    </row>
    <row r="216" spans="1:28">
      <c r="A216">
        <v>1</v>
      </c>
      <c r="B216" t="s">
        <v>1536</v>
      </c>
      <c r="C216" t="s">
        <v>1537</v>
      </c>
      <c r="E216" t="s">
        <v>2314</v>
      </c>
      <c r="F216" t="s">
        <v>98</v>
      </c>
      <c r="G216" t="s">
        <v>2092</v>
      </c>
      <c r="I216" s="1" t="s">
        <v>1538</v>
      </c>
      <c r="J216" s="66" t="s">
        <v>2093</v>
      </c>
      <c r="L216" t="s">
        <v>2094</v>
      </c>
      <c r="M216" t="s">
        <v>105</v>
      </c>
      <c r="N216" t="s">
        <v>2095</v>
      </c>
      <c r="R216" t="s">
        <v>2093</v>
      </c>
      <c r="S216" t="s">
        <v>2093</v>
      </c>
      <c r="V216">
        <v>2020</v>
      </c>
      <c r="X216" t="b">
        <f>IF(_xlfn.MAXIFS(Contact[Sequence],Contact[Full Name],Contact[[#This Row],[Full Name]],Contact[Season],Contact[[#This Row],[Season]])=Contact[[#This Row],[Sequence]],TRUE,FALSE)</f>
        <v>1</v>
      </c>
      <c r="Y216" t="s">
        <v>190</v>
      </c>
      <c r="Z216">
        <v>0</v>
      </c>
      <c r="AA216">
        <f>IF(Contact[[#This Row],[Latest]]=TRUE,_xlfn.XLOOKUP(Contact[[#This Row],[Final Decision]],Table3[Final Decision],Table3[Active],0),0)</f>
        <v>0</v>
      </c>
      <c r="AB216">
        <f>SUMIF(Contact[Full Name],Contact[[#This Row],[Full Name]],Contact[Active])</f>
        <v>0</v>
      </c>
    </row>
    <row r="217" spans="1:28">
      <c r="A217">
        <v>1</v>
      </c>
      <c r="B217" t="s">
        <v>1911</v>
      </c>
      <c r="C217" t="s">
        <v>1912</v>
      </c>
      <c r="E217" t="s">
        <v>2315</v>
      </c>
      <c r="F217" t="s">
        <v>98</v>
      </c>
      <c r="G217" t="s">
        <v>2092</v>
      </c>
      <c r="I217" s="1" t="s">
        <v>1913</v>
      </c>
      <c r="J217" s="66" t="s">
        <v>1914</v>
      </c>
      <c r="L217" t="s">
        <v>2094</v>
      </c>
      <c r="M217" t="s">
        <v>90</v>
      </c>
      <c r="N217" t="s">
        <v>2095</v>
      </c>
      <c r="R217" t="s">
        <v>2093</v>
      </c>
      <c r="S217" t="s">
        <v>2093</v>
      </c>
      <c r="V217">
        <v>2020</v>
      </c>
      <c r="X217" t="b">
        <f>IF(_xlfn.MAXIFS(Contact[Sequence],Contact[Full Name],Contact[[#This Row],[Full Name]],Contact[Season],Contact[[#This Row],[Season]])=Contact[[#This Row],[Sequence]],TRUE,FALSE)</f>
        <v>1</v>
      </c>
      <c r="Y217" t="s">
        <v>190</v>
      </c>
      <c r="Z217">
        <v>0</v>
      </c>
      <c r="AA217">
        <f>IF(Contact[[#This Row],[Latest]]=TRUE,_xlfn.XLOOKUP(Contact[[#This Row],[Final Decision]],Table3[Final Decision],Table3[Active],0),0)</f>
        <v>0</v>
      </c>
      <c r="AB217">
        <f>SUMIF(Contact[Full Name],Contact[[#This Row],[Full Name]],Contact[Active])</f>
        <v>0</v>
      </c>
    </row>
    <row r="218" spans="1:28">
      <c r="A218">
        <v>1</v>
      </c>
      <c r="B218" t="s">
        <v>1544</v>
      </c>
      <c r="C218" t="s">
        <v>1545</v>
      </c>
      <c r="E218" t="s">
        <v>2316</v>
      </c>
      <c r="F218" t="s">
        <v>98</v>
      </c>
      <c r="G218" t="s">
        <v>2092</v>
      </c>
      <c r="I218" s="1" t="s">
        <v>1546</v>
      </c>
      <c r="J218" s="66" t="s">
        <v>2093</v>
      </c>
      <c r="L218" t="s">
        <v>2094</v>
      </c>
      <c r="M218" t="s">
        <v>185</v>
      </c>
      <c r="N218" t="s">
        <v>2095</v>
      </c>
      <c r="R218" t="s">
        <v>2093</v>
      </c>
      <c r="S218" t="s">
        <v>2093</v>
      </c>
      <c r="V218">
        <v>2020</v>
      </c>
      <c r="X218" t="b">
        <f>IF(_xlfn.MAXIFS(Contact[Sequence],Contact[Full Name],Contact[[#This Row],[Full Name]],Contact[Season],Contact[[#This Row],[Season]])=Contact[[#This Row],[Sequence]],TRUE,FALSE)</f>
        <v>1</v>
      </c>
      <c r="Y218" t="s">
        <v>190</v>
      </c>
      <c r="Z218">
        <v>0</v>
      </c>
      <c r="AA218">
        <f>IF(Contact[[#This Row],[Latest]]=TRUE,_xlfn.XLOOKUP(Contact[[#This Row],[Final Decision]],Table3[Final Decision],Table3[Active],0),0)</f>
        <v>0</v>
      </c>
      <c r="AB218">
        <f>SUMIF(Contact[Full Name],Contact[[#This Row],[Full Name]],Contact[Active])</f>
        <v>0</v>
      </c>
    </row>
    <row r="219" spans="1:28">
      <c r="A219">
        <v>1</v>
      </c>
      <c r="B219" t="s">
        <v>1580</v>
      </c>
      <c r="C219" t="s">
        <v>1581</v>
      </c>
      <c r="E219" t="s">
        <v>2317</v>
      </c>
      <c r="F219" t="s">
        <v>95</v>
      </c>
      <c r="G219" t="s">
        <v>2092</v>
      </c>
      <c r="I219" s="1" t="s">
        <v>1582</v>
      </c>
      <c r="J219" s="66" t="s">
        <v>2093</v>
      </c>
      <c r="L219" t="s">
        <v>2094</v>
      </c>
      <c r="M219" t="s">
        <v>185</v>
      </c>
      <c r="N219" t="s">
        <v>2095</v>
      </c>
      <c r="R219" t="s">
        <v>2093</v>
      </c>
      <c r="S219" t="s">
        <v>2093</v>
      </c>
      <c r="V219">
        <v>2020</v>
      </c>
      <c r="X219" t="b">
        <f>IF(_xlfn.MAXIFS(Contact[Sequence],Contact[Full Name],Contact[[#This Row],[Full Name]],Contact[Season],Contact[[#This Row],[Season]])=Contact[[#This Row],[Sequence]],TRUE,FALSE)</f>
        <v>1</v>
      </c>
      <c r="Y219" t="s">
        <v>190</v>
      </c>
      <c r="Z219">
        <v>0</v>
      </c>
      <c r="AA219">
        <f>IF(Contact[[#This Row],[Latest]]=TRUE,_xlfn.XLOOKUP(Contact[[#This Row],[Final Decision]],Table3[Final Decision],Table3[Active],0),0)</f>
        <v>0</v>
      </c>
      <c r="AB219">
        <f>SUMIF(Contact[Full Name],Contact[[#This Row],[Full Name]],Contact[Active])</f>
        <v>0</v>
      </c>
    </row>
    <row r="220" spans="1:28">
      <c r="A220">
        <v>1</v>
      </c>
      <c r="B220" t="s">
        <v>1332</v>
      </c>
      <c r="C220" t="s">
        <v>1333</v>
      </c>
      <c r="E220" t="s">
        <v>2318</v>
      </c>
      <c r="F220" t="s">
        <v>95</v>
      </c>
      <c r="G220" t="s">
        <v>2092</v>
      </c>
      <c r="I220" s="1" t="s">
        <v>1334</v>
      </c>
      <c r="J220" s="66" t="s">
        <v>1335</v>
      </c>
      <c r="L220" t="s">
        <v>2094</v>
      </c>
      <c r="M220" t="s">
        <v>105</v>
      </c>
      <c r="N220" t="s">
        <v>2095</v>
      </c>
      <c r="R220" t="s">
        <v>2093</v>
      </c>
      <c r="S220" t="s">
        <v>2093</v>
      </c>
      <c r="V220">
        <v>2020</v>
      </c>
      <c r="X220" t="b">
        <f>IF(_xlfn.MAXIFS(Contact[Sequence],Contact[Full Name],Contact[[#This Row],[Full Name]],Contact[Season],Contact[[#This Row],[Season]])=Contact[[#This Row],[Sequence]],TRUE,FALSE)</f>
        <v>1</v>
      </c>
      <c r="Y220" t="s">
        <v>190</v>
      </c>
      <c r="Z220">
        <v>0</v>
      </c>
      <c r="AA220">
        <f>IF(Contact[[#This Row],[Latest]]=TRUE,_xlfn.XLOOKUP(Contact[[#This Row],[Final Decision]],Table3[Final Decision],Table3[Active],0),0)</f>
        <v>0</v>
      </c>
      <c r="AB220">
        <f>SUMIF(Contact[Full Name],Contact[[#This Row],[Full Name]],Contact[Active])</f>
        <v>0</v>
      </c>
    </row>
    <row r="221" spans="1:28">
      <c r="A221">
        <v>1</v>
      </c>
      <c r="B221" t="s">
        <v>194</v>
      </c>
      <c r="C221" t="s">
        <v>195</v>
      </c>
      <c r="E221" t="s">
        <v>2319</v>
      </c>
      <c r="F221" t="s">
        <v>95</v>
      </c>
      <c r="G221" t="s">
        <v>2092</v>
      </c>
      <c r="I221" s="1" t="s">
        <v>196</v>
      </c>
      <c r="J221" s="66" t="s">
        <v>2093</v>
      </c>
      <c r="L221" t="s">
        <v>2094</v>
      </c>
      <c r="M221" t="s">
        <v>193</v>
      </c>
      <c r="N221" t="s">
        <v>2095</v>
      </c>
      <c r="P221" t="s">
        <v>159</v>
      </c>
      <c r="R221" t="s">
        <v>112</v>
      </c>
      <c r="S221" t="s">
        <v>2093</v>
      </c>
      <c r="V221">
        <v>2020</v>
      </c>
      <c r="X221" t="b">
        <f>IF(_xlfn.MAXIFS(Contact[Sequence],Contact[Full Name],Contact[[#This Row],[Full Name]],Contact[Season],Contact[[#This Row],[Season]])=Contact[[#This Row],[Sequence]],TRUE,FALSE)</f>
        <v>0</v>
      </c>
      <c r="Y221" t="s">
        <v>96</v>
      </c>
      <c r="Z221" t="s">
        <v>159</v>
      </c>
      <c r="AA221">
        <f>IF(Contact[[#This Row],[Latest]]=TRUE,_xlfn.XLOOKUP(Contact[[#This Row],[Final Decision]],Table3[Final Decision],Table3[Active],0),0)</f>
        <v>0</v>
      </c>
      <c r="AB221">
        <f>SUMIF(Contact[Full Name],Contact[[#This Row],[Full Name]],Contact[Active])</f>
        <v>0</v>
      </c>
    </row>
    <row r="222" spans="1:28">
      <c r="A222">
        <v>1</v>
      </c>
      <c r="B222" t="s">
        <v>446</v>
      </c>
      <c r="C222" t="s">
        <v>260</v>
      </c>
      <c r="E222" t="s">
        <v>2320</v>
      </c>
      <c r="F222" t="s">
        <v>95</v>
      </c>
      <c r="G222" t="s">
        <v>2092</v>
      </c>
      <c r="I222" s="1" t="s">
        <v>447</v>
      </c>
      <c r="J222" s="66" t="s">
        <v>2093</v>
      </c>
      <c r="L222" t="s">
        <v>2094</v>
      </c>
      <c r="M222" t="s">
        <v>90</v>
      </c>
      <c r="N222" t="s">
        <v>2095</v>
      </c>
      <c r="R222" t="s">
        <v>2093</v>
      </c>
      <c r="S222" t="s">
        <v>2093</v>
      </c>
      <c r="V222">
        <v>2020</v>
      </c>
      <c r="X222" t="b">
        <f>IF(_xlfn.MAXIFS(Contact[Sequence],Contact[Full Name],Contact[[#This Row],[Full Name]],Contact[Season],Contact[[#This Row],[Season]])=Contact[[#This Row],[Sequence]],TRUE,FALSE)</f>
        <v>1</v>
      </c>
      <c r="Y222" t="s">
        <v>190</v>
      </c>
      <c r="Z222">
        <v>0</v>
      </c>
      <c r="AA222">
        <f>IF(Contact[[#This Row],[Latest]]=TRUE,_xlfn.XLOOKUP(Contact[[#This Row],[Final Decision]],Table3[Final Decision],Table3[Active],0),0)</f>
        <v>0</v>
      </c>
      <c r="AB222">
        <f>SUMIF(Contact[Full Name],Contact[[#This Row],[Full Name]],Contact[Active])</f>
        <v>0</v>
      </c>
    </row>
    <row r="223" spans="1:28">
      <c r="A223">
        <v>1</v>
      </c>
      <c r="B223" t="s">
        <v>1575</v>
      </c>
      <c r="C223" t="s">
        <v>1576</v>
      </c>
      <c r="E223" t="s">
        <v>2321</v>
      </c>
      <c r="F223" t="s">
        <v>98</v>
      </c>
      <c r="G223" t="s">
        <v>2092</v>
      </c>
      <c r="I223" s="1" t="s">
        <v>1577</v>
      </c>
      <c r="J223" s="66" t="s">
        <v>1578</v>
      </c>
      <c r="L223" t="s">
        <v>2094</v>
      </c>
      <c r="M223" t="s">
        <v>105</v>
      </c>
      <c r="N223" t="s">
        <v>2095</v>
      </c>
      <c r="R223" t="s">
        <v>2093</v>
      </c>
      <c r="S223" t="s">
        <v>2093</v>
      </c>
      <c r="V223">
        <v>2020</v>
      </c>
      <c r="X223" t="b">
        <f>IF(_xlfn.MAXIFS(Contact[Sequence],Contact[Full Name],Contact[[#This Row],[Full Name]],Contact[Season],Contact[[#This Row],[Season]])=Contact[[#This Row],[Sequence]],TRUE,FALSE)</f>
        <v>1</v>
      </c>
      <c r="Y223" t="s">
        <v>190</v>
      </c>
      <c r="Z223">
        <v>0</v>
      </c>
      <c r="AA223">
        <f>IF(Contact[[#This Row],[Latest]]=TRUE,_xlfn.XLOOKUP(Contact[[#This Row],[Final Decision]],Table3[Final Decision],Table3[Active],0),0)</f>
        <v>0</v>
      </c>
      <c r="AB223">
        <f>SUMIF(Contact[Full Name],Contact[[#This Row],[Full Name]],Contact[Active])</f>
        <v>0</v>
      </c>
    </row>
    <row r="224" spans="1:28">
      <c r="A224">
        <v>1</v>
      </c>
      <c r="B224" t="s">
        <v>1946</v>
      </c>
      <c r="C224" t="s">
        <v>1179</v>
      </c>
      <c r="E224" t="s">
        <v>2322</v>
      </c>
      <c r="F224" t="s">
        <v>102</v>
      </c>
      <c r="G224" t="s">
        <v>2100</v>
      </c>
      <c r="I224" s="1" t="s">
        <v>1947</v>
      </c>
      <c r="J224" s="66" t="s">
        <v>2093</v>
      </c>
      <c r="L224" t="s">
        <v>2094</v>
      </c>
      <c r="M224" t="s">
        <v>105</v>
      </c>
      <c r="N224" t="s">
        <v>2095</v>
      </c>
      <c r="P224" t="s">
        <v>1950</v>
      </c>
      <c r="R224" t="s">
        <v>112</v>
      </c>
      <c r="S224" t="s">
        <v>665</v>
      </c>
      <c r="V224">
        <v>2020</v>
      </c>
      <c r="X224" t="b">
        <f>IF(_xlfn.MAXIFS(Contact[Sequence],Contact[Full Name],Contact[[#This Row],[Full Name]],Contact[Season],Contact[[#This Row],[Season]])=Contact[[#This Row],[Sequence]],TRUE,FALSE)</f>
        <v>1</v>
      </c>
      <c r="Y224" t="s">
        <v>96</v>
      </c>
      <c r="Z224" t="s">
        <v>1949</v>
      </c>
      <c r="AA224">
        <f>IF(Contact[[#This Row],[Latest]]=TRUE,_xlfn.XLOOKUP(Contact[[#This Row],[Final Decision]],Table3[Final Decision],Table3[Active],0),0)</f>
        <v>0</v>
      </c>
      <c r="AB224">
        <f>SUMIF(Contact[Full Name],Contact[[#This Row],[Full Name]],Contact[Active])</f>
        <v>0</v>
      </c>
    </row>
    <row r="225" spans="1:28">
      <c r="A225">
        <v>1</v>
      </c>
      <c r="B225" t="s">
        <v>1584</v>
      </c>
      <c r="C225" t="s">
        <v>1585</v>
      </c>
      <c r="E225" t="s">
        <v>2323</v>
      </c>
      <c r="F225" t="s">
        <v>98</v>
      </c>
      <c r="G225" t="s">
        <v>2092</v>
      </c>
      <c r="I225" s="1" t="s">
        <v>1586</v>
      </c>
      <c r="J225" s="66" t="s">
        <v>2093</v>
      </c>
      <c r="L225" t="s">
        <v>2094</v>
      </c>
      <c r="M225" t="s">
        <v>105</v>
      </c>
      <c r="N225" t="s">
        <v>2095</v>
      </c>
      <c r="R225" t="s">
        <v>2093</v>
      </c>
      <c r="S225" t="s">
        <v>2093</v>
      </c>
      <c r="V225">
        <v>2020</v>
      </c>
      <c r="X225" t="b">
        <f>IF(_xlfn.MAXIFS(Contact[Sequence],Contact[Full Name],Contact[[#This Row],[Full Name]],Contact[Season],Contact[[#This Row],[Season]])=Contact[[#This Row],[Sequence]],TRUE,FALSE)</f>
        <v>1</v>
      </c>
      <c r="Y225" t="s">
        <v>190</v>
      </c>
      <c r="Z225">
        <v>0</v>
      </c>
      <c r="AA225">
        <f>IF(Contact[[#This Row],[Latest]]=TRUE,_xlfn.XLOOKUP(Contact[[#This Row],[Final Decision]],Table3[Final Decision],Table3[Active],0),0)</f>
        <v>0</v>
      </c>
      <c r="AB225">
        <f>SUMIF(Contact[Full Name],Contact[[#This Row],[Full Name]],Contact[Active])</f>
        <v>0</v>
      </c>
    </row>
    <row r="226" spans="1:28">
      <c r="A226">
        <v>1</v>
      </c>
      <c r="B226" t="s">
        <v>449</v>
      </c>
      <c r="C226" t="s">
        <v>450</v>
      </c>
      <c r="E226" t="s">
        <v>2324</v>
      </c>
      <c r="F226" t="s">
        <v>95</v>
      </c>
      <c r="G226" t="s">
        <v>2092</v>
      </c>
      <c r="I226" s="1" t="s">
        <v>451</v>
      </c>
      <c r="J226" s="66" t="s">
        <v>452</v>
      </c>
      <c r="L226" t="s">
        <v>2094</v>
      </c>
      <c r="M226" t="s">
        <v>185</v>
      </c>
      <c r="N226" t="s">
        <v>2095</v>
      </c>
      <c r="R226" t="s">
        <v>2093</v>
      </c>
      <c r="S226" t="s">
        <v>2093</v>
      </c>
      <c r="V226">
        <v>2020</v>
      </c>
      <c r="X226" t="b">
        <f>IF(_xlfn.MAXIFS(Contact[Sequence],Contact[Full Name],Contact[[#This Row],[Full Name]],Contact[Season],Contact[[#This Row],[Season]])=Contact[[#This Row],[Sequence]],TRUE,FALSE)</f>
        <v>1</v>
      </c>
      <c r="Y226" t="s">
        <v>190</v>
      </c>
      <c r="Z226">
        <v>0</v>
      </c>
      <c r="AA226">
        <f>IF(Contact[[#This Row],[Latest]]=TRUE,_xlfn.XLOOKUP(Contact[[#This Row],[Final Decision]],Table3[Final Decision],Table3[Active],0),0)</f>
        <v>0</v>
      </c>
      <c r="AB226">
        <f>SUMIF(Contact[Full Name],Contact[[#This Row],[Full Name]],Contact[Active])</f>
        <v>0</v>
      </c>
    </row>
    <row r="227" spans="1:28">
      <c r="A227">
        <v>1</v>
      </c>
      <c r="B227" t="s">
        <v>1588</v>
      </c>
      <c r="C227" t="s">
        <v>1589</v>
      </c>
      <c r="E227" t="s">
        <v>2325</v>
      </c>
      <c r="F227" t="s">
        <v>95</v>
      </c>
      <c r="G227" t="s">
        <v>2092</v>
      </c>
      <c r="I227" s="1" t="s">
        <v>1590</v>
      </c>
      <c r="J227" s="66" t="s">
        <v>1591</v>
      </c>
      <c r="L227" t="s">
        <v>2094</v>
      </c>
      <c r="M227" t="s">
        <v>105</v>
      </c>
      <c r="N227" t="s">
        <v>2095</v>
      </c>
      <c r="R227" t="s">
        <v>2093</v>
      </c>
      <c r="S227" t="s">
        <v>2093</v>
      </c>
      <c r="V227">
        <v>2020</v>
      </c>
      <c r="X227" t="b">
        <f>IF(_xlfn.MAXIFS(Contact[Sequence],Contact[Full Name],Contact[[#This Row],[Full Name]],Contact[Season],Contact[[#This Row],[Season]])=Contact[[#This Row],[Sequence]],TRUE,FALSE)</f>
        <v>1</v>
      </c>
      <c r="Y227" t="s">
        <v>190</v>
      </c>
      <c r="Z227">
        <v>0</v>
      </c>
      <c r="AA227">
        <f>IF(Contact[[#This Row],[Latest]]=TRUE,_xlfn.XLOOKUP(Contact[[#This Row],[Final Decision]],Table3[Final Decision],Table3[Active],0),0)</f>
        <v>0</v>
      </c>
      <c r="AB227">
        <f>SUMIF(Contact[Full Name],Contact[[#This Row],[Full Name]],Contact[Active])</f>
        <v>0</v>
      </c>
    </row>
    <row r="228" spans="1:28">
      <c r="A228">
        <v>1</v>
      </c>
      <c r="B228" t="s">
        <v>1593</v>
      </c>
      <c r="C228" t="s">
        <v>1594</v>
      </c>
      <c r="E228" t="s">
        <v>2326</v>
      </c>
      <c r="F228" t="s">
        <v>95</v>
      </c>
      <c r="G228" t="s">
        <v>2092</v>
      </c>
      <c r="I228" s="1" t="s">
        <v>1595</v>
      </c>
      <c r="J228" s="66" t="s">
        <v>2093</v>
      </c>
      <c r="L228" t="s">
        <v>2094</v>
      </c>
      <c r="M228" t="s">
        <v>185</v>
      </c>
      <c r="N228" t="s">
        <v>2095</v>
      </c>
      <c r="R228" t="s">
        <v>2093</v>
      </c>
      <c r="S228" t="s">
        <v>2093</v>
      </c>
      <c r="V228">
        <v>2020</v>
      </c>
      <c r="X228" t="b">
        <f>IF(_xlfn.MAXIFS(Contact[Sequence],Contact[Full Name],Contact[[#This Row],[Full Name]],Contact[Season],Contact[[#This Row],[Season]])=Contact[[#This Row],[Sequence]],TRUE,FALSE)</f>
        <v>1</v>
      </c>
      <c r="Y228" t="s">
        <v>190</v>
      </c>
      <c r="Z228">
        <v>0</v>
      </c>
      <c r="AA228">
        <f>IF(Contact[[#This Row],[Latest]]=TRUE,_xlfn.XLOOKUP(Contact[[#This Row],[Final Decision]],Table3[Final Decision],Table3[Active],0),0)</f>
        <v>0</v>
      </c>
      <c r="AB228">
        <f>SUMIF(Contact[Full Name],Contact[[#This Row],[Full Name]],Contact[Active])</f>
        <v>0</v>
      </c>
    </row>
    <row r="229" spans="1:28">
      <c r="A229">
        <v>1</v>
      </c>
      <c r="B229" t="s">
        <v>1603</v>
      </c>
      <c r="C229" t="s">
        <v>1604</v>
      </c>
      <c r="E229" t="s">
        <v>2327</v>
      </c>
      <c r="F229" t="s">
        <v>98</v>
      </c>
      <c r="G229" t="s">
        <v>2092</v>
      </c>
      <c r="I229" s="1" t="s">
        <v>1605</v>
      </c>
      <c r="J229" s="66" t="s">
        <v>2093</v>
      </c>
      <c r="L229" t="s">
        <v>2094</v>
      </c>
      <c r="M229" t="s">
        <v>105</v>
      </c>
      <c r="N229" t="s">
        <v>2095</v>
      </c>
      <c r="R229" t="s">
        <v>2093</v>
      </c>
      <c r="S229" t="s">
        <v>2093</v>
      </c>
      <c r="V229">
        <v>2020</v>
      </c>
      <c r="X229" t="b">
        <f>IF(_xlfn.MAXIFS(Contact[Sequence],Contact[Full Name],Contact[[#This Row],[Full Name]],Contact[Season],Contact[[#This Row],[Season]])=Contact[[#This Row],[Sequence]],TRUE,FALSE)</f>
        <v>1</v>
      </c>
      <c r="Y229" t="s">
        <v>190</v>
      </c>
      <c r="Z229">
        <v>0</v>
      </c>
      <c r="AA229">
        <f>IF(Contact[[#This Row],[Latest]]=TRUE,_xlfn.XLOOKUP(Contact[[#This Row],[Final Decision]],Table3[Final Decision],Table3[Active],0),0)</f>
        <v>0</v>
      </c>
      <c r="AB229">
        <f>SUMIF(Contact[Full Name],Contact[[#This Row],[Full Name]],Contact[Active])</f>
        <v>0</v>
      </c>
    </row>
    <row r="230" spans="1:28">
      <c r="A230">
        <v>1</v>
      </c>
      <c r="B230" t="s">
        <v>923</v>
      </c>
      <c r="C230" t="s">
        <v>924</v>
      </c>
      <c r="E230" t="s">
        <v>2328</v>
      </c>
      <c r="F230" t="s">
        <v>95</v>
      </c>
      <c r="G230" t="s">
        <v>2092</v>
      </c>
      <c r="I230" s="1" t="s">
        <v>925</v>
      </c>
      <c r="J230" s="66" t="s">
        <v>926</v>
      </c>
      <c r="L230" t="s">
        <v>2094</v>
      </c>
      <c r="M230" t="s">
        <v>105</v>
      </c>
      <c r="N230" t="s">
        <v>2095</v>
      </c>
      <c r="P230" t="s">
        <v>928</v>
      </c>
      <c r="R230" t="s">
        <v>112</v>
      </c>
      <c r="S230" t="s">
        <v>2093</v>
      </c>
      <c r="V230">
        <v>2020</v>
      </c>
      <c r="X230" t="b">
        <f>IF(_xlfn.MAXIFS(Contact[Sequence],Contact[Full Name],Contact[[#This Row],[Full Name]],Contact[Season],Contact[[#This Row],[Season]])=Contact[[#This Row],[Sequence]],TRUE,FALSE)</f>
        <v>1</v>
      </c>
      <c r="Y230" t="s">
        <v>96</v>
      </c>
      <c r="Z230" t="s">
        <v>928</v>
      </c>
      <c r="AA230">
        <f>IF(Contact[[#This Row],[Latest]]=TRUE,_xlfn.XLOOKUP(Contact[[#This Row],[Final Decision]],Table3[Final Decision],Table3[Active],0),0)</f>
        <v>0</v>
      </c>
      <c r="AB230">
        <f>SUMIF(Contact[Full Name],Contact[[#This Row],[Full Name]],Contact[Active])</f>
        <v>0</v>
      </c>
    </row>
    <row r="231" spans="1:28">
      <c r="A231">
        <v>1</v>
      </c>
      <c r="B231" t="s">
        <v>1598</v>
      </c>
      <c r="C231" t="s">
        <v>1599</v>
      </c>
      <c r="E231" t="s">
        <v>2329</v>
      </c>
      <c r="F231" t="s">
        <v>98</v>
      </c>
      <c r="G231" t="s">
        <v>2092</v>
      </c>
      <c r="I231" s="1" t="s">
        <v>1600</v>
      </c>
      <c r="J231" s="66" t="s">
        <v>1601</v>
      </c>
      <c r="L231" t="s">
        <v>2094</v>
      </c>
      <c r="M231" t="s">
        <v>105</v>
      </c>
      <c r="N231" t="s">
        <v>2095</v>
      </c>
      <c r="R231" t="s">
        <v>2093</v>
      </c>
      <c r="S231" t="s">
        <v>2093</v>
      </c>
      <c r="V231">
        <v>2020</v>
      </c>
      <c r="X231" t="b">
        <f>IF(_xlfn.MAXIFS(Contact[Sequence],Contact[Full Name],Contact[[#This Row],[Full Name]],Contact[Season],Contact[[#This Row],[Season]])=Contact[[#This Row],[Sequence]],TRUE,FALSE)</f>
        <v>1</v>
      </c>
      <c r="Y231" t="s">
        <v>190</v>
      </c>
      <c r="Z231">
        <v>0</v>
      </c>
      <c r="AA231">
        <f>IF(Contact[[#This Row],[Latest]]=TRUE,_xlfn.XLOOKUP(Contact[[#This Row],[Final Decision]],Table3[Final Decision],Table3[Active],0),0)</f>
        <v>0</v>
      </c>
      <c r="AB231">
        <f>SUMIF(Contact[Full Name],Contact[[#This Row],[Full Name]],Contact[Active])</f>
        <v>0</v>
      </c>
    </row>
    <row r="232" spans="1:28">
      <c r="A232">
        <v>1</v>
      </c>
      <c r="B232" t="s">
        <v>636</v>
      </c>
      <c r="C232" t="s">
        <v>637</v>
      </c>
      <c r="E232" t="s">
        <v>2330</v>
      </c>
      <c r="F232" t="s">
        <v>95</v>
      </c>
      <c r="G232" t="s">
        <v>2092</v>
      </c>
      <c r="I232" s="1" t="s">
        <v>638</v>
      </c>
      <c r="J232" s="66" t="s">
        <v>2093</v>
      </c>
      <c r="L232" t="s">
        <v>2094</v>
      </c>
      <c r="M232" t="s">
        <v>90</v>
      </c>
      <c r="N232" t="s">
        <v>2095</v>
      </c>
      <c r="P232" t="s">
        <v>203</v>
      </c>
      <c r="R232" t="s">
        <v>112</v>
      </c>
      <c r="S232" t="s">
        <v>635</v>
      </c>
      <c r="V232">
        <v>2020</v>
      </c>
      <c r="X232" t="b">
        <f>IF(_xlfn.MAXIFS(Contact[Sequence],Contact[Full Name],Contact[[#This Row],[Full Name]],Contact[Season],Contact[[#This Row],[Season]])=Contact[[#This Row],[Sequence]],TRUE,FALSE)</f>
        <v>0</v>
      </c>
      <c r="Y232" t="s">
        <v>96</v>
      </c>
      <c r="Z232" t="s">
        <v>203</v>
      </c>
      <c r="AA232">
        <f>IF(Contact[[#This Row],[Latest]]=TRUE,_xlfn.XLOOKUP(Contact[[#This Row],[Final Decision]],Table3[Final Decision],Table3[Active],0),0)</f>
        <v>0</v>
      </c>
      <c r="AB232">
        <f>SUMIF(Contact[Full Name],Contact[[#This Row],[Full Name]],Contact[Active])</f>
        <v>0</v>
      </c>
    </row>
    <row r="233" spans="1:28">
      <c r="A233">
        <v>1</v>
      </c>
      <c r="B233" t="s">
        <v>1607</v>
      </c>
      <c r="C233" t="s">
        <v>1608</v>
      </c>
      <c r="E233" t="s">
        <v>2331</v>
      </c>
      <c r="F233" t="s">
        <v>98</v>
      </c>
      <c r="G233" t="s">
        <v>2092</v>
      </c>
      <c r="I233" s="1" t="s">
        <v>1609</v>
      </c>
      <c r="J233" s="66" t="s">
        <v>2093</v>
      </c>
      <c r="L233" t="s">
        <v>2094</v>
      </c>
      <c r="M233" t="s">
        <v>105</v>
      </c>
      <c r="N233" t="s">
        <v>2095</v>
      </c>
      <c r="R233" t="s">
        <v>2093</v>
      </c>
      <c r="S233" t="s">
        <v>2093</v>
      </c>
      <c r="V233">
        <v>2020</v>
      </c>
      <c r="X233" t="b">
        <f>IF(_xlfn.MAXIFS(Contact[Sequence],Contact[Full Name],Contact[[#This Row],[Full Name]],Contact[Season],Contact[[#This Row],[Season]])=Contact[[#This Row],[Sequence]],TRUE,FALSE)</f>
        <v>1</v>
      </c>
      <c r="Y233" t="s">
        <v>190</v>
      </c>
      <c r="Z233">
        <v>0</v>
      </c>
      <c r="AA233">
        <f>IF(Contact[[#This Row],[Latest]]=TRUE,_xlfn.XLOOKUP(Contact[[#This Row],[Final Decision]],Table3[Final Decision],Table3[Active],0),0)</f>
        <v>0</v>
      </c>
      <c r="AB233">
        <f>SUMIF(Contact[Full Name],Contact[[#This Row],[Full Name]],Contact[Active])</f>
        <v>0</v>
      </c>
    </row>
    <row r="234" spans="1:28">
      <c r="A234">
        <v>1</v>
      </c>
      <c r="B234" t="s">
        <v>929</v>
      </c>
      <c r="C234" t="s">
        <v>930</v>
      </c>
      <c r="E234" t="s">
        <v>2332</v>
      </c>
      <c r="F234" t="s">
        <v>95</v>
      </c>
      <c r="G234" t="s">
        <v>2092</v>
      </c>
      <c r="I234" s="1" t="s">
        <v>931</v>
      </c>
      <c r="J234" s="66" t="s">
        <v>932</v>
      </c>
      <c r="L234" t="s">
        <v>2094</v>
      </c>
      <c r="M234" t="s">
        <v>90</v>
      </c>
      <c r="N234" t="s">
        <v>2095</v>
      </c>
      <c r="P234" t="s">
        <v>665</v>
      </c>
      <c r="R234" t="s">
        <v>112</v>
      </c>
      <c r="S234" t="s">
        <v>2093</v>
      </c>
      <c r="V234">
        <v>2020</v>
      </c>
      <c r="X234" t="b">
        <f>IF(_xlfn.MAXIFS(Contact[Sequence],Contact[Full Name],Contact[[#This Row],[Full Name]],Contact[Season],Contact[[#This Row],[Season]])=Contact[[#This Row],[Sequence]],TRUE,FALSE)</f>
        <v>1</v>
      </c>
      <c r="Y234" t="s">
        <v>96</v>
      </c>
      <c r="Z234" t="s">
        <v>665</v>
      </c>
      <c r="AA234">
        <f>IF(Contact[[#This Row],[Latest]]=TRUE,_xlfn.XLOOKUP(Contact[[#This Row],[Final Decision]],Table3[Final Decision],Table3[Active],0),0)</f>
        <v>0</v>
      </c>
      <c r="AB234">
        <f>SUMIF(Contact[Full Name],Contact[[#This Row],[Full Name]],Contact[Active])</f>
        <v>0</v>
      </c>
    </row>
    <row r="235" spans="1:28">
      <c r="A235">
        <v>1</v>
      </c>
      <c r="B235" t="s">
        <v>934</v>
      </c>
      <c r="C235" t="s">
        <v>935</v>
      </c>
      <c r="E235" t="s">
        <v>2333</v>
      </c>
      <c r="F235" t="s">
        <v>95</v>
      </c>
      <c r="G235" t="s">
        <v>2092</v>
      </c>
      <c r="I235" s="1" t="s">
        <v>936</v>
      </c>
      <c r="J235" s="66" t="s">
        <v>937</v>
      </c>
      <c r="L235" t="s">
        <v>2094</v>
      </c>
      <c r="M235" t="s">
        <v>105</v>
      </c>
      <c r="N235" t="s">
        <v>2095</v>
      </c>
      <c r="P235" t="s">
        <v>665</v>
      </c>
      <c r="R235" t="s">
        <v>112</v>
      </c>
      <c r="S235" t="s">
        <v>2093</v>
      </c>
      <c r="V235">
        <v>2020</v>
      </c>
      <c r="X235" t="b">
        <f>IF(_xlfn.MAXIFS(Contact[Sequence],Contact[Full Name],Contact[[#This Row],[Full Name]],Contact[Season],Contact[[#This Row],[Season]])=Contact[[#This Row],[Sequence]],TRUE,FALSE)</f>
        <v>1</v>
      </c>
      <c r="Y235" t="s">
        <v>96</v>
      </c>
      <c r="Z235" t="s">
        <v>665</v>
      </c>
      <c r="AA235">
        <f>IF(Contact[[#This Row],[Latest]]=TRUE,_xlfn.XLOOKUP(Contact[[#This Row],[Final Decision]],Table3[Final Decision],Table3[Active],0),0)</f>
        <v>0</v>
      </c>
      <c r="AB235">
        <f>SUMIF(Contact[Full Name],Contact[[#This Row],[Full Name]],Contact[Active])</f>
        <v>0</v>
      </c>
    </row>
    <row r="236" spans="1:28">
      <c r="A236">
        <v>1</v>
      </c>
      <c r="B236" t="s">
        <v>462</v>
      </c>
      <c r="C236" t="s">
        <v>463</v>
      </c>
      <c r="E236" t="s">
        <v>2334</v>
      </c>
      <c r="F236" t="s">
        <v>95</v>
      </c>
      <c r="G236" t="s">
        <v>2092</v>
      </c>
      <c r="I236" s="1" t="s">
        <v>464</v>
      </c>
      <c r="J236" s="66" t="s">
        <v>2093</v>
      </c>
      <c r="L236" t="s">
        <v>2094</v>
      </c>
      <c r="M236" t="s">
        <v>90</v>
      </c>
      <c r="N236" t="s">
        <v>2095</v>
      </c>
      <c r="R236" t="s">
        <v>2093</v>
      </c>
      <c r="S236" t="s">
        <v>2093</v>
      </c>
      <c r="V236">
        <v>2020</v>
      </c>
      <c r="X236" t="b">
        <f>IF(_xlfn.MAXIFS(Contact[Sequence],Contact[Full Name],Contact[[#This Row],[Full Name]],Contact[Season],Contact[[#This Row],[Season]])=Contact[[#This Row],[Sequence]],TRUE,FALSE)</f>
        <v>1</v>
      </c>
      <c r="Y236" t="s">
        <v>190</v>
      </c>
      <c r="Z236">
        <v>0</v>
      </c>
      <c r="AA236">
        <f>IF(Contact[[#This Row],[Latest]]=TRUE,_xlfn.XLOOKUP(Contact[[#This Row],[Final Decision]],Table3[Final Decision],Table3[Active],0),0)</f>
        <v>0</v>
      </c>
      <c r="AB236">
        <f>SUMIF(Contact[Full Name],Contact[[#This Row],[Full Name]],Contact[Active])</f>
        <v>0</v>
      </c>
    </row>
    <row r="237" spans="1:28">
      <c r="A237">
        <v>1</v>
      </c>
      <c r="B237" t="s">
        <v>1619</v>
      </c>
      <c r="C237" t="s">
        <v>467</v>
      </c>
      <c r="E237" t="s">
        <v>2335</v>
      </c>
      <c r="F237" t="s">
        <v>98</v>
      </c>
      <c r="G237" t="s">
        <v>2092</v>
      </c>
      <c r="I237" s="1" t="s">
        <v>1620</v>
      </c>
      <c r="J237" s="66" t="s">
        <v>2093</v>
      </c>
      <c r="L237" t="s">
        <v>2094</v>
      </c>
      <c r="M237" t="s">
        <v>105</v>
      </c>
      <c r="N237" t="s">
        <v>2095</v>
      </c>
      <c r="R237" t="s">
        <v>2093</v>
      </c>
      <c r="S237" t="s">
        <v>2093</v>
      </c>
      <c r="V237">
        <v>2020</v>
      </c>
      <c r="X237" t="b">
        <f>IF(_xlfn.MAXIFS(Contact[Sequence],Contact[Full Name],Contact[[#This Row],[Full Name]],Contact[Season],Contact[[#This Row],[Season]])=Contact[[#This Row],[Sequence]],TRUE,FALSE)</f>
        <v>1</v>
      </c>
      <c r="Y237" t="s">
        <v>190</v>
      </c>
      <c r="Z237">
        <v>0</v>
      </c>
      <c r="AA237">
        <f>IF(Contact[[#This Row],[Latest]]=TRUE,_xlfn.XLOOKUP(Contact[[#This Row],[Final Decision]],Table3[Final Decision],Table3[Active],0),0)</f>
        <v>0</v>
      </c>
      <c r="AB237">
        <f>SUMIF(Contact[Full Name],Contact[[#This Row],[Full Name]],Contact[Active])</f>
        <v>0</v>
      </c>
    </row>
    <row r="238" spans="1:28">
      <c r="A238">
        <v>1</v>
      </c>
      <c r="B238" t="s">
        <v>1532</v>
      </c>
      <c r="C238" t="s">
        <v>1533</v>
      </c>
      <c r="E238" t="s">
        <v>2336</v>
      </c>
      <c r="F238" t="s">
        <v>98</v>
      </c>
      <c r="G238" t="s">
        <v>2092</v>
      </c>
      <c r="I238" s="1" t="s">
        <v>1534</v>
      </c>
      <c r="J238" s="66" t="s">
        <v>2093</v>
      </c>
      <c r="L238" t="s">
        <v>2094</v>
      </c>
      <c r="M238" t="s">
        <v>105</v>
      </c>
      <c r="N238" t="s">
        <v>2095</v>
      </c>
      <c r="R238" t="s">
        <v>2093</v>
      </c>
      <c r="S238" t="s">
        <v>2093</v>
      </c>
      <c r="V238">
        <v>2020</v>
      </c>
      <c r="X238" t="b">
        <f>IF(_xlfn.MAXIFS(Contact[Sequence],Contact[Full Name],Contact[[#This Row],[Full Name]],Contact[Season],Contact[[#This Row],[Season]])=Contact[[#This Row],[Sequence]],TRUE,FALSE)</f>
        <v>1</v>
      </c>
      <c r="Y238" t="s">
        <v>190</v>
      </c>
      <c r="Z238">
        <v>0</v>
      </c>
      <c r="AA238">
        <f>IF(Contact[[#This Row],[Latest]]=TRUE,_xlfn.XLOOKUP(Contact[[#This Row],[Final Decision]],Table3[Final Decision],Table3[Active],0),0)</f>
        <v>0</v>
      </c>
      <c r="AB238">
        <f>SUMIF(Contact[Full Name],Contact[[#This Row],[Full Name]],Contact[Active])</f>
        <v>0</v>
      </c>
    </row>
    <row r="239" spans="1:28">
      <c r="A239">
        <v>1</v>
      </c>
      <c r="B239" t="s">
        <v>1532</v>
      </c>
      <c r="C239" t="s">
        <v>1622</v>
      </c>
      <c r="E239" t="s">
        <v>2337</v>
      </c>
      <c r="F239" t="s">
        <v>95</v>
      </c>
      <c r="G239" t="s">
        <v>2092</v>
      </c>
      <c r="I239" s="1" t="s">
        <v>1623</v>
      </c>
      <c r="J239" s="66" t="s">
        <v>1624</v>
      </c>
      <c r="L239" t="s">
        <v>2094</v>
      </c>
      <c r="M239" t="s">
        <v>105</v>
      </c>
      <c r="N239" t="s">
        <v>2095</v>
      </c>
      <c r="R239" t="s">
        <v>2093</v>
      </c>
      <c r="S239" t="s">
        <v>2093</v>
      </c>
      <c r="V239">
        <v>2020</v>
      </c>
      <c r="X239" t="b">
        <f>IF(_xlfn.MAXIFS(Contact[Sequence],Contact[Full Name],Contact[[#This Row],[Full Name]],Contact[Season],Contact[[#This Row],[Season]])=Contact[[#This Row],[Sequence]],TRUE,FALSE)</f>
        <v>1</v>
      </c>
      <c r="Y239" t="s">
        <v>190</v>
      </c>
      <c r="Z239">
        <v>0</v>
      </c>
      <c r="AA239">
        <f>IF(Contact[[#This Row],[Latest]]=TRUE,_xlfn.XLOOKUP(Contact[[#This Row],[Final Decision]],Table3[Final Decision],Table3[Active],0),0)</f>
        <v>0</v>
      </c>
      <c r="AB239">
        <f>SUMIF(Contact[Full Name],Contact[[#This Row],[Full Name]],Contact[Active])</f>
        <v>0</v>
      </c>
    </row>
    <row r="240" spans="1:28">
      <c r="A240">
        <v>1</v>
      </c>
      <c r="B240" t="s">
        <v>1627</v>
      </c>
      <c r="C240" t="s">
        <v>1628</v>
      </c>
      <c r="E240" t="s">
        <v>2338</v>
      </c>
      <c r="F240" t="s">
        <v>95</v>
      </c>
      <c r="G240" t="s">
        <v>2092</v>
      </c>
      <c r="I240" s="1" t="s">
        <v>1629</v>
      </c>
      <c r="J240" s="66" t="s">
        <v>1630</v>
      </c>
      <c r="L240" t="s">
        <v>2094</v>
      </c>
      <c r="M240" t="s">
        <v>105</v>
      </c>
      <c r="N240" t="s">
        <v>2095</v>
      </c>
      <c r="R240" t="s">
        <v>2093</v>
      </c>
      <c r="S240" t="s">
        <v>2093</v>
      </c>
      <c r="V240">
        <v>2020</v>
      </c>
      <c r="X240" t="b">
        <f>IF(_xlfn.MAXIFS(Contact[Sequence],Contact[Full Name],Contact[[#This Row],[Full Name]],Contact[Season],Contact[[#This Row],[Season]])=Contact[[#This Row],[Sequence]],TRUE,FALSE)</f>
        <v>1</v>
      </c>
      <c r="Y240" t="s">
        <v>190</v>
      </c>
      <c r="Z240">
        <v>0</v>
      </c>
      <c r="AA240">
        <f>IF(Contact[[#This Row],[Latest]]=TRUE,_xlfn.XLOOKUP(Contact[[#This Row],[Final Decision]],Table3[Final Decision],Table3[Active],0),0)</f>
        <v>0</v>
      </c>
      <c r="AB240">
        <f>SUMIF(Contact[Full Name],Contact[[#This Row],[Full Name]],Contact[Active])</f>
        <v>0</v>
      </c>
    </row>
    <row r="241" spans="1:28">
      <c r="A241">
        <v>1</v>
      </c>
      <c r="B241" t="s">
        <v>1632</v>
      </c>
      <c r="C241" t="s">
        <v>1633</v>
      </c>
      <c r="E241" t="s">
        <v>2339</v>
      </c>
      <c r="F241" t="s">
        <v>95</v>
      </c>
      <c r="G241" t="s">
        <v>2092</v>
      </c>
      <c r="I241" s="1" t="s">
        <v>1634</v>
      </c>
      <c r="J241" s="66" t="s">
        <v>1635</v>
      </c>
      <c r="L241" t="s">
        <v>2094</v>
      </c>
      <c r="M241" t="s">
        <v>105</v>
      </c>
      <c r="N241" t="s">
        <v>2095</v>
      </c>
      <c r="R241" t="s">
        <v>2093</v>
      </c>
      <c r="S241" t="s">
        <v>2093</v>
      </c>
      <c r="V241">
        <v>2020</v>
      </c>
      <c r="X241" t="b">
        <f>IF(_xlfn.MAXIFS(Contact[Sequence],Contact[Full Name],Contact[[#This Row],[Full Name]],Contact[Season],Contact[[#This Row],[Season]])=Contact[[#This Row],[Sequence]],TRUE,FALSE)</f>
        <v>1</v>
      </c>
      <c r="Y241" t="s">
        <v>190</v>
      </c>
      <c r="Z241">
        <v>0</v>
      </c>
      <c r="AA241">
        <f>IF(Contact[[#This Row],[Latest]]=TRUE,_xlfn.XLOOKUP(Contact[[#This Row],[Final Decision]],Table3[Final Decision],Table3[Active],0),0)</f>
        <v>0</v>
      </c>
      <c r="AB241">
        <f>SUMIF(Contact[Full Name],Contact[[#This Row],[Full Name]],Contact[Active])</f>
        <v>0</v>
      </c>
    </row>
    <row r="242" spans="1:28">
      <c r="A242">
        <v>1</v>
      </c>
      <c r="B242" t="s">
        <v>454</v>
      </c>
      <c r="C242" t="s">
        <v>455</v>
      </c>
      <c r="E242" t="s">
        <v>2340</v>
      </c>
      <c r="F242" t="s">
        <v>95</v>
      </c>
      <c r="G242" t="s">
        <v>2092</v>
      </c>
      <c r="I242" s="1" t="s">
        <v>456</v>
      </c>
      <c r="J242" s="66" t="s">
        <v>2093</v>
      </c>
      <c r="L242" t="s">
        <v>2094</v>
      </c>
      <c r="M242" t="s">
        <v>185</v>
      </c>
      <c r="N242" t="s">
        <v>2095</v>
      </c>
      <c r="R242" t="s">
        <v>2093</v>
      </c>
      <c r="S242" t="s">
        <v>2093</v>
      </c>
      <c r="V242">
        <v>2020</v>
      </c>
      <c r="X242" t="b">
        <f>IF(_xlfn.MAXIFS(Contact[Sequence],Contact[Full Name],Contact[[#This Row],[Full Name]],Contact[Season],Contact[[#This Row],[Season]])=Contact[[#This Row],[Sequence]],TRUE,FALSE)</f>
        <v>1</v>
      </c>
      <c r="Y242" t="s">
        <v>190</v>
      </c>
      <c r="Z242">
        <v>0</v>
      </c>
      <c r="AA242">
        <f>IF(Contact[[#This Row],[Latest]]=TRUE,_xlfn.XLOOKUP(Contact[[#This Row],[Final Decision]],Table3[Final Decision],Table3[Active],0),0)</f>
        <v>0</v>
      </c>
      <c r="AB242">
        <f>SUMIF(Contact[Full Name],Contact[[#This Row],[Full Name]],Contact[Active])</f>
        <v>0</v>
      </c>
    </row>
    <row r="243" spans="1:28">
      <c r="A243">
        <v>1</v>
      </c>
      <c r="B243" t="s">
        <v>1637</v>
      </c>
      <c r="C243" t="s">
        <v>1638</v>
      </c>
      <c r="E243" t="s">
        <v>2341</v>
      </c>
      <c r="F243" t="s">
        <v>98</v>
      </c>
      <c r="G243" t="s">
        <v>2092</v>
      </c>
      <c r="I243" s="1" t="s">
        <v>1639</v>
      </c>
      <c r="J243" s="66" t="s">
        <v>2093</v>
      </c>
      <c r="L243" t="s">
        <v>2094</v>
      </c>
      <c r="M243" t="s">
        <v>105</v>
      </c>
      <c r="N243" t="s">
        <v>2095</v>
      </c>
      <c r="R243" t="s">
        <v>2093</v>
      </c>
      <c r="S243" t="s">
        <v>2093</v>
      </c>
      <c r="V243">
        <v>2020</v>
      </c>
      <c r="X243" t="b">
        <f>IF(_xlfn.MAXIFS(Contact[Sequence],Contact[Full Name],Contact[[#This Row],[Full Name]],Contact[Season],Contact[[#This Row],[Season]])=Contact[[#This Row],[Sequence]],TRUE,FALSE)</f>
        <v>1</v>
      </c>
      <c r="Y243" t="s">
        <v>190</v>
      </c>
      <c r="Z243">
        <v>0</v>
      </c>
      <c r="AA243">
        <f>IF(Contact[[#This Row],[Latest]]=TRUE,_xlfn.XLOOKUP(Contact[[#This Row],[Final Decision]],Table3[Final Decision],Table3[Active],0),0)</f>
        <v>0</v>
      </c>
      <c r="AB243">
        <f>SUMIF(Contact[Full Name],Contact[[#This Row],[Full Name]],Contact[Active])</f>
        <v>0</v>
      </c>
    </row>
    <row r="244" spans="1:28">
      <c r="A244">
        <v>1</v>
      </c>
      <c r="B244" t="s">
        <v>1951</v>
      </c>
      <c r="C244" t="s">
        <v>1952</v>
      </c>
      <c r="E244" t="s">
        <v>2342</v>
      </c>
      <c r="F244" t="s">
        <v>102</v>
      </c>
      <c r="G244" t="s">
        <v>2100</v>
      </c>
      <c r="I244" s="1" t="s">
        <v>1953</v>
      </c>
      <c r="J244" s="66" t="s">
        <v>1954</v>
      </c>
      <c r="L244" t="s">
        <v>2094</v>
      </c>
      <c r="M244" t="s">
        <v>90</v>
      </c>
      <c r="N244" t="s">
        <v>2095</v>
      </c>
      <c r="P244" t="s">
        <v>1956</v>
      </c>
      <c r="R244" t="s">
        <v>112</v>
      </c>
      <c r="S244" t="s">
        <v>665</v>
      </c>
      <c r="V244">
        <v>2020</v>
      </c>
      <c r="X244" t="b">
        <f>IF(_xlfn.MAXIFS(Contact[Sequence],Contact[Full Name],Contact[[#This Row],[Full Name]],Contact[Season],Contact[[#This Row],[Season]])=Contact[[#This Row],[Sequence]],TRUE,FALSE)</f>
        <v>1</v>
      </c>
      <c r="Y244" t="s">
        <v>96</v>
      </c>
      <c r="Z244" t="s">
        <v>687</v>
      </c>
      <c r="AA244">
        <f>IF(Contact[[#This Row],[Latest]]=TRUE,_xlfn.XLOOKUP(Contact[[#This Row],[Final Decision]],Table3[Final Decision],Table3[Active],0),0)</f>
        <v>0</v>
      </c>
      <c r="AB244">
        <f>SUMIF(Contact[Full Name],Contact[[#This Row],[Full Name]],Contact[Active])</f>
        <v>0</v>
      </c>
    </row>
    <row r="245" spans="1:28">
      <c r="A245">
        <v>1</v>
      </c>
      <c r="B245" t="s">
        <v>2037</v>
      </c>
      <c r="C245" t="s">
        <v>2038</v>
      </c>
      <c r="E245" t="s">
        <v>2343</v>
      </c>
      <c r="F245" t="s">
        <v>98</v>
      </c>
      <c r="G245" t="s">
        <v>2092</v>
      </c>
      <c r="I245" s="1" t="s">
        <v>2039</v>
      </c>
      <c r="J245" s="66" t="s">
        <v>2093</v>
      </c>
      <c r="L245" t="s">
        <v>2094</v>
      </c>
      <c r="M245" t="s">
        <v>105</v>
      </c>
      <c r="N245" t="s">
        <v>2095</v>
      </c>
      <c r="R245" t="s">
        <v>112</v>
      </c>
      <c r="S245" t="s">
        <v>2093</v>
      </c>
      <c r="V245">
        <v>2020</v>
      </c>
      <c r="X245" t="b">
        <f>IF(_xlfn.MAXIFS(Contact[Sequence],Contact[Full Name],Contact[[#This Row],[Full Name]],Contact[Season],Contact[[#This Row],[Season]])=Contact[[#This Row],[Sequence]],TRUE,FALSE)</f>
        <v>1</v>
      </c>
      <c r="Y245" t="s">
        <v>1051</v>
      </c>
      <c r="Z245">
        <v>0</v>
      </c>
      <c r="AA245">
        <f>IF(Contact[[#This Row],[Latest]]=TRUE,_xlfn.XLOOKUP(Contact[[#This Row],[Final Decision]],Table3[Final Decision],Table3[Active],0),0)</f>
        <v>0</v>
      </c>
      <c r="AB245">
        <f>SUMIF(Contact[Full Name],Contact[[#This Row],[Full Name]],Contact[Active])</f>
        <v>0</v>
      </c>
    </row>
    <row r="246" spans="1:28">
      <c r="A246">
        <v>1</v>
      </c>
      <c r="B246" t="s">
        <v>640</v>
      </c>
      <c r="C246" t="s">
        <v>641</v>
      </c>
      <c r="E246" t="s">
        <v>2344</v>
      </c>
      <c r="F246" t="s">
        <v>95</v>
      </c>
      <c r="G246" t="s">
        <v>2092</v>
      </c>
      <c r="I246" s="1" t="s">
        <v>642</v>
      </c>
      <c r="J246" s="66" t="s">
        <v>2093</v>
      </c>
      <c r="L246" t="s">
        <v>2094</v>
      </c>
      <c r="M246" t="s">
        <v>185</v>
      </c>
      <c r="N246" t="s">
        <v>2095</v>
      </c>
      <c r="P246" t="s">
        <v>644</v>
      </c>
      <c r="R246" t="s">
        <v>112</v>
      </c>
      <c r="S246" t="s">
        <v>2093</v>
      </c>
      <c r="V246">
        <v>2020</v>
      </c>
      <c r="X246" t="b">
        <f>IF(_xlfn.MAXIFS(Contact[Sequence],Contact[Full Name],Contact[[#This Row],[Full Name]],Contact[Season],Contact[[#This Row],[Season]])=Contact[[#This Row],[Sequence]],TRUE,FALSE)</f>
        <v>1</v>
      </c>
      <c r="Y246" t="s">
        <v>96</v>
      </c>
      <c r="Z246" t="s">
        <v>644</v>
      </c>
      <c r="AA246">
        <f>IF(Contact[[#This Row],[Latest]]=TRUE,_xlfn.XLOOKUP(Contact[[#This Row],[Final Decision]],Table3[Final Decision],Table3[Active],0),0)</f>
        <v>0</v>
      </c>
      <c r="AB246">
        <f>SUMIF(Contact[Full Name],Contact[[#This Row],[Full Name]],Contact[Active])</f>
        <v>0</v>
      </c>
    </row>
    <row r="247" spans="1:28">
      <c r="A247">
        <v>1</v>
      </c>
      <c r="B247" t="s">
        <v>186</v>
      </c>
      <c r="C247" t="s">
        <v>187</v>
      </c>
      <c r="E247" t="s">
        <v>2345</v>
      </c>
      <c r="F247" t="s">
        <v>98</v>
      </c>
      <c r="G247" t="s">
        <v>2100</v>
      </c>
      <c r="I247" s="1" t="s">
        <v>188</v>
      </c>
      <c r="J247" s="66" t="s">
        <v>189</v>
      </c>
      <c r="L247" t="s">
        <v>2094</v>
      </c>
      <c r="M247" t="s">
        <v>185</v>
      </c>
      <c r="N247" t="s">
        <v>2095</v>
      </c>
      <c r="P247" t="s">
        <v>2346</v>
      </c>
      <c r="R247" t="s">
        <v>112</v>
      </c>
      <c r="S247" t="s">
        <v>70</v>
      </c>
      <c r="V247">
        <v>2020</v>
      </c>
      <c r="X247" t="b">
        <f>IF(_xlfn.MAXIFS(Contact[Sequence],Contact[Full Name],Contact[[#This Row],[Full Name]],Contact[Season],Contact[[#This Row],[Season]])=Contact[[#This Row],[Sequence]],TRUE,FALSE)</f>
        <v>0</v>
      </c>
      <c r="Y247" t="s">
        <v>190</v>
      </c>
      <c r="Z247" t="s">
        <v>159</v>
      </c>
      <c r="AA247">
        <f>IF(Contact[[#This Row],[Latest]]=TRUE,_xlfn.XLOOKUP(Contact[[#This Row],[Final Decision]],Table3[Final Decision],Table3[Active],0),0)</f>
        <v>0</v>
      </c>
      <c r="AB247">
        <f>SUMIF(Contact[Full Name],Contact[[#This Row],[Full Name]],Contact[Active])</f>
        <v>1</v>
      </c>
    </row>
    <row r="248" spans="1:28">
      <c r="A248">
        <v>1</v>
      </c>
      <c r="B248" t="s">
        <v>311</v>
      </c>
      <c r="C248" t="s">
        <v>312</v>
      </c>
      <c r="E248" t="s">
        <v>2347</v>
      </c>
      <c r="F248" t="s">
        <v>102</v>
      </c>
      <c r="G248" t="s">
        <v>2100</v>
      </c>
      <c r="I248" s="1" t="s">
        <v>313</v>
      </c>
      <c r="J248" s="66" t="s">
        <v>314</v>
      </c>
      <c r="L248" t="s">
        <v>2094</v>
      </c>
      <c r="M248" t="s">
        <v>90</v>
      </c>
      <c r="N248" t="s">
        <v>2095</v>
      </c>
      <c r="P248" t="s">
        <v>316</v>
      </c>
      <c r="R248" t="s">
        <v>112</v>
      </c>
      <c r="S248" t="s">
        <v>70</v>
      </c>
      <c r="V248">
        <v>2020</v>
      </c>
      <c r="X248" t="b">
        <f>IF(_xlfn.MAXIFS(Contact[Sequence],Contact[Full Name],Contact[[#This Row],[Full Name]],Contact[Season],Contact[[#This Row],[Season]])=Contact[[#This Row],[Sequence]],TRUE,FALSE)</f>
        <v>1</v>
      </c>
      <c r="Y248" t="s">
        <v>190</v>
      </c>
      <c r="Z248" t="s">
        <v>203</v>
      </c>
      <c r="AA248">
        <f>IF(Contact[[#This Row],[Latest]]=TRUE,_xlfn.XLOOKUP(Contact[[#This Row],[Final Decision]],Table3[Final Decision],Table3[Active],0),0)</f>
        <v>1</v>
      </c>
      <c r="AB248">
        <f>SUMIF(Contact[Full Name],Contact[[#This Row],[Full Name]],Contact[Active])</f>
        <v>1</v>
      </c>
    </row>
    <row r="249" spans="1:28">
      <c r="A249">
        <v>1</v>
      </c>
      <c r="B249" t="s">
        <v>466</v>
      </c>
      <c r="C249" t="s">
        <v>467</v>
      </c>
      <c r="E249" t="s">
        <v>2348</v>
      </c>
      <c r="F249" t="s">
        <v>95</v>
      </c>
      <c r="G249" t="s">
        <v>2092</v>
      </c>
      <c r="I249" s="1" t="s">
        <v>468</v>
      </c>
      <c r="J249" s="66" t="s">
        <v>2093</v>
      </c>
      <c r="L249" t="s">
        <v>2094</v>
      </c>
      <c r="M249" t="s">
        <v>185</v>
      </c>
      <c r="N249" t="s">
        <v>2095</v>
      </c>
      <c r="R249" t="s">
        <v>2093</v>
      </c>
      <c r="S249" t="s">
        <v>2093</v>
      </c>
      <c r="V249">
        <v>2020</v>
      </c>
      <c r="X249" t="b">
        <f>IF(_xlfn.MAXIFS(Contact[Sequence],Contact[Full Name],Contact[[#This Row],[Full Name]],Contact[Season],Contact[[#This Row],[Season]])=Contact[[#This Row],[Sequence]],TRUE,FALSE)</f>
        <v>1</v>
      </c>
      <c r="Y249" t="s">
        <v>190</v>
      </c>
      <c r="Z249">
        <v>0</v>
      </c>
      <c r="AA249">
        <f>IF(Contact[[#This Row],[Latest]]=TRUE,_xlfn.XLOOKUP(Contact[[#This Row],[Final Decision]],Table3[Final Decision],Table3[Active],0),0)</f>
        <v>0</v>
      </c>
      <c r="AB249">
        <f>SUMIF(Contact[Full Name],Contact[[#This Row],[Full Name]],Contact[Active])</f>
        <v>0</v>
      </c>
    </row>
    <row r="250" spans="1:28">
      <c r="A250">
        <v>1</v>
      </c>
      <c r="B250" t="s">
        <v>1650</v>
      </c>
      <c r="C250" t="s">
        <v>1521</v>
      </c>
      <c r="E250" t="s">
        <v>2349</v>
      </c>
      <c r="F250" t="s">
        <v>95</v>
      </c>
      <c r="G250" t="s">
        <v>2092</v>
      </c>
      <c r="I250" s="1" t="s">
        <v>1651</v>
      </c>
      <c r="J250" s="66"/>
      <c r="L250" t="s">
        <v>2094</v>
      </c>
      <c r="M250" t="s">
        <v>105</v>
      </c>
      <c r="N250" t="s">
        <v>2095</v>
      </c>
      <c r="R250" t="s">
        <v>2093</v>
      </c>
      <c r="S250" t="s">
        <v>2093</v>
      </c>
      <c r="V250">
        <v>2020</v>
      </c>
      <c r="X250" t="b">
        <f>IF(_xlfn.MAXIFS(Contact[Sequence],Contact[Full Name],Contact[[#This Row],[Full Name]],Contact[Season],Contact[[#This Row],[Season]])=Contact[[#This Row],[Sequence]],TRUE,FALSE)</f>
        <v>1</v>
      </c>
      <c r="Y250" t="s">
        <v>190</v>
      </c>
      <c r="Z250">
        <v>0</v>
      </c>
      <c r="AA250">
        <f>IF(Contact[[#This Row],[Latest]]=TRUE,_xlfn.XLOOKUP(Contact[[#This Row],[Final Decision]],Table3[Final Decision],Table3[Active],0),0)</f>
        <v>0</v>
      </c>
      <c r="AB250">
        <f>SUMIF(Contact[Full Name],Contact[[#This Row],[Full Name]],Contact[Active])</f>
        <v>0</v>
      </c>
    </row>
    <row r="251" spans="1:28">
      <c r="A251">
        <v>1</v>
      </c>
      <c r="B251" t="s">
        <v>1653</v>
      </c>
      <c r="C251" t="s">
        <v>1654</v>
      </c>
      <c r="E251" t="s">
        <v>2350</v>
      </c>
      <c r="F251" t="s">
        <v>95</v>
      </c>
      <c r="G251" t="s">
        <v>2092</v>
      </c>
      <c r="I251" s="1" t="s">
        <v>1655</v>
      </c>
      <c r="J251" s="66"/>
      <c r="L251" t="s">
        <v>2094</v>
      </c>
      <c r="M251" t="s">
        <v>105</v>
      </c>
      <c r="N251" t="s">
        <v>2095</v>
      </c>
      <c r="R251" t="s">
        <v>2093</v>
      </c>
      <c r="S251" t="s">
        <v>2093</v>
      </c>
      <c r="V251">
        <v>2020</v>
      </c>
      <c r="X251" t="b">
        <f>IF(_xlfn.MAXIFS(Contact[Sequence],Contact[Full Name],Contact[[#This Row],[Full Name]],Contact[Season],Contact[[#This Row],[Season]])=Contact[[#This Row],[Sequence]],TRUE,FALSE)</f>
        <v>1</v>
      </c>
      <c r="Y251" t="s">
        <v>190</v>
      </c>
      <c r="Z251">
        <v>0</v>
      </c>
      <c r="AA251">
        <f>IF(Contact[[#This Row],[Latest]]=TRUE,_xlfn.XLOOKUP(Contact[[#This Row],[Final Decision]],Table3[Final Decision],Table3[Active],0),0)</f>
        <v>0</v>
      </c>
      <c r="AB251">
        <f>SUMIF(Contact[Full Name],Contact[[#This Row],[Full Name]],Contact[Active])</f>
        <v>0</v>
      </c>
    </row>
    <row r="252" spans="1:28">
      <c r="A252">
        <v>1</v>
      </c>
      <c r="B252" t="s">
        <v>1976</v>
      </c>
      <c r="C252" t="s">
        <v>1977</v>
      </c>
      <c r="E252" t="s">
        <v>2351</v>
      </c>
      <c r="F252" t="s">
        <v>102</v>
      </c>
      <c r="G252" t="s">
        <v>2100</v>
      </c>
      <c r="I252" s="1" t="s">
        <v>1978</v>
      </c>
      <c r="J252" s="66" t="s">
        <v>1979</v>
      </c>
      <c r="L252" t="s">
        <v>2094</v>
      </c>
      <c r="M252" t="s">
        <v>185</v>
      </c>
      <c r="N252" t="s">
        <v>2095</v>
      </c>
      <c r="P252" t="s">
        <v>1982</v>
      </c>
      <c r="R252" t="s">
        <v>112</v>
      </c>
      <c r="S252" t="s">
        <v>665</v>
      </c>
      <c r="V252">
        <v>2020</v>
      </c>
      <c r="X252" t="b">
        <f>IF(_xlfn.MAXIFS(Contact[Sequence],Contact[Full Name],Contact[[#This Row],[Full Name]],Contact[Season],Contact[[#This Row],[Season]])=Contact[[#This Row],[Sequence]],TRUE,FALSE)</f>
        <v>1</v>
      </c>
      <c r="Y252" t="s">
        <v>96</v>
      </c>
      <c r="Z252" t="s">
        <v>1981</v>
      </c>
      <c r="AA252">
        <f>IF(Contact[[#This Row],[Latest]]=TRUE,_xlfn.XLOOKUP(Contact[[#This Row],[Final Decision]],Table3[Final Decision],Table3[Active],0),0)</f>
        <v>0</v>
      </c>
      <c r="AB252">
        <f>SUMIF(Contact[Full Name],Contact[[#This Row],[Full Name]],Contact[Active])</f>
        <v>0</v>
      </c>
    </row>
    <row r="253" spans="1:28">
      <c r="A253">
        <v>1</v>
      </c>
      <c r="B253" t="s">
        <v>470</v>
      </c>
      <c r="C253" t="s">
        <v>471</v>
      </c>
      <c r="E253" t="s">
        <v>2352</v>
      </c>
      <c r="F253" t="s">
        <v>95</v>
      </c>
      <c r="G253" t="s">
        <v>2092</v>
      </c>
      <c r="I253" s="1" t="s">
        <v>472</v>
      </c>
      <c r="J253" s="66" t="s">
        <v>2093</v>
      </c>
      <c r="L253" t="s">
        <v>2094</v>
      </c>
      <c r="M253" t="s">
        <v>90</v>
      </c>
      <c r="N253" t="s">
        <v>2095</v>
      </c>
      <c r="R253" t="s">
        <v>2093</v>
      </c>
      <c r="S253" t="s">
        <v>2093</v>
      </c>
      <c r="V253">
        <v>2020</v>
      </c>
      <c r="X253" t="b">
        <f>IF(_xlfn.MAXIFS(Contact[Sequence],Contact[Full Name],Contact[[#This Row],[Full Name]],Contact[Season],Contact[[#This Row],[Season]])=Contact[[#This Row],[Sequence]],TRUE,FALSE)</f>
        <v>1</v>
      </c>
      <c r="Y253" t="s">
        <v>190</v>
      </c>
      <c r="Z253">
        <v>0</v>
      </c>
      <c r="AA253">
        <f>IF(Contact[[#This Row],[Latest]]=TRUE,_xlfn.XLOOKUP(Contact[[#This Row],[Final Decision]],Table3[Final Decision],Table3[Active],0),0)</f>
        <v>0</v>
      </c>
      <c r="AB253">
        <f>SUMIF(Contact[Full Name],Contact[[#This Row],[Full Name]],Contact[Active])</f>
        <v>0</v>
      </c>
    </row>
    <row r="254" spans="1:28">
      <c r="A254">
        <v>1</v>
      </c>
      <c r="B254" t="s">
        <v>1657</v>
      </c>
      <c r="C254" t="s">
        <v>1658</v>
      </c>
      <c r="E254" t="s">
        <v>2353</v>
      </c>
      <c r="F254" t="s">
        <v>98</v>
      </c>
      <c r="G254" t="s">
        <v>2092</v>
      </c>
      <c r="I254" s="1" t="s">
        <v>1659</v>
      </c>
      <c r="J254" s="66" t="s">
        <v>2093</v>
      </c>
      <c r="L254" t="s">
        <v>2094</v>
      </c>
      <c r="M254" t="s">
        <v>105</v>
      </c>
      <c r="N254" t="s">
        <v>2095</v>
      </c>
      <c r="R254" t="s">
        <v>2093</v>
      </c>
      <c r="S254" t="s">
        <v>2093</v>
      </c>
      <c r="V254">
        <v>2020</v>
      </c>
      <c r="X254" t="b">
        <f>IF(_xlfn.MAXIFS(Contact[Sequence],Contact[Full Name],Contact[[#This Row],[Full Name]],Contact[Season],Contact[[#This Row],[Season]])=Contact[[#This Row],[Sequence]],TRUE,FALSE)</f>
        <v>1</v>
      </c>
      <c r="Y254" t="s">
        <v>190</v>
      </c>
      <c r="Z254">
        <v>0</v>
      </c>
      <c r="AA254">
        <f>IF(Contact[[#This Row],[Latest]]=TRUE,_xlfn.XLOOKUP(Contact[[#This Row],[Final Decision]],Table3[Final Decision],Table3[Active],0),0)</f>
        <v>0</v>
      </c>
      <c r="AB254">
        <f>SUMIF(Contact[Full Name],Contact[[#This Row],[Full Name]],Contact[Active])</f>
        <v>0</v>
      </c>
    </row>
    <row r="255" spans="1:28">
      <c r="A255">
        <v>1</v>
      </c>
      <c r="B255" t="s">
        <v>1661</v>
      </c>
      <c r="C255" t="s">
        <v>1662</v>
      </c>
      <c r="E255" t="s">
        <v>2354</v>
      </c>
      <c r="F255" t="s">
        <v>98</v>
      </c>
      <c r="G255" t="s">
        <v>2092</v>
      </c>
      <c r="I255" s="1" t="s">
        <v>1663</v>
      </c>
      <c r="J255" s="66" t="s">
        <v>2093</v>
      </c>
      <c r="L255" t="s">
        <v>2094</v>
      </c>
      <c r="M255" t="s">
        <v>105</v>
      </c>
      <c r="N255" t="s">
        <v>2095</v>
      </c>
      <c r="R255" t="s">
        <v>2093</v>
      </c>
      <c r="S255" t="s">
        <v>2093</v>
      </c>
      <c r="V255">
        <v>2020</v>
      </c>
      <c r="X255" t="b">
        <f>IF(_xlfn.MAXIFS(Contact[Sequence],Contact[Full Name],Contact[[#This Row],[Full Name]],Contact[Season],Contact[[#This Row],[Season]])=Contact[[#This Row],[Sequence]],TRUE,FALSE)</f>
        <v>1</v>
      </c>
      <c r="Y255" t="s">
        <v>1051</v>
      </c>
      <c r="Z255">
        <v>0</v>
      </c>
      <c r="AA255">
        <f>IF(Contact[[#This Row],[Latest]]=TRUE,_xlfn.XLOOKUP(Contact[[#This Row],[Final Decision]],Table3[Final Decision],Table3[Active],0),0)</f>
        <v>0</v>
      </c>
      <c r="AB255">
        <f>SUMIF(Contact[Full Name],Contact[[#This Row],[Full Name]],Contact[Active])</f>
        <v>0</v>
      </c>
    </row>
    <row r="256" spans="1:28">
      <c r="A256">
        <v>1</v>
      </c>
      <c r="B256" t="s">
        <v>282</v>
      </c>
      <c r="C256" t="s">
        <v>471</v>
      </c>
      <c r="E256" t="s">
        <v>2355</v>
      </c>
      <c r="F256" t="s">
        <v>95</v>
      </c>
      <c r="G256" t="s">
        <v>2092</v>
      </c>
      <c r="I256" s="1" t="s">
        <v>474</v>
      </c>
      <c r="J256" s="66" t="s">
        <v>475</v>
      </c>
      <c r="L256" t="s">
        <v>2094</v>
      </c>
      <c r="M256" t="s">
        <v>90</v>
      </c>
      <c r="N256" t="s">
        <v>2095</v>
      </c>
      <c r="R256" t="s">
        <v>2093</v>
      </c>
      <c r="S256" t="s">
        <v>2093</v>
      </c>
      <c r="V256">
        <v>2020</v>
      </c>
      <c r="X256" t="b">
        <f>IF(_xlfn.MAXIFS(Contact[Sequence],Contact[Full Name],Contact[[#This Row],[Full Name]],Contact[Season],Contact[[#This Row],[Season]])=Contact[[#This Row],[Sequence]],TRUE,FALSE)</f>
        <v>1</v>
      </c>
      <c r="Y256" t="s">
        <v>190</v>
      </c>
      <c r="Z256">
        <v>0</v>
      </c>
      <c r="AA256">
        <f>IF(Contact[[#This Row],[Latest]]=TRUE,_xlfn.XLOOKUP(Contact[[#This Row],[Final Decision]],Table3[Final Decision],Table3[Active],0),0)</f>
        <v>0</v>
      </c>
      <c r="AB256">
        <f>SUMIF(Contact[Full Name],Contact[[#This Row],[Full Name]],Contact[Active])</f>
        <v>0</v>
      </c>
    </row>
    <row r="257" spans="1:28">
      <c r="A257">
        <v>1</v>
      </c>
      <c r="B257" t="s">
        <v>282</v>
      </c>
      <c r="C257" t="s">
        <v>283</v>
      </c>
      <c r="E257" t="s">
        <v>2356</v>
      </c>
      <c r="F257" t="s">
        <v>95</v>
      </c>
      <c r="G257" t="s">
        <v>2092</v>
      </c>
      <c r="I257" s="1" t="s">
        <v>284</v>
      </c>
      <c r="J257" s="66" t="s">
        <v>2093</v>
      </c>
      <c r="L257" t="s">
        <v>2094</v>
      </c>
      <c r="M257" t="s">
        <v>90</v>
      </c>
      <c r="N257" t="s">
        <v>2095</v>
      </c>
      <c r="P257" t="s">
        <v>159</v>
      </c>
      <c r="R257" t="s">
        <v>112</v>
      </c>
      <c r="S257" t="s">
        <v>2093</v>
      </c>
      <c r="V257">
        <v>2020</v>
      </c>
      <c r="X257" t="b">
        <f>IF(_xlfn.MAXIFS(Contact[Sequence],Contact[Full Name],Contact[[#This Row],[Full Name]],Contact[Season],Contact[[#This Row],[Season]])=Contact[[#This Row],[Sequence]],TRUE,FALSE)</f>
        <v>0</v>
      </c>
      <c r="Y257" t="s">
        <v>96</v>
      </c>
      <c r="Z257" t="s">
        <v>159</v>
      </c>
      <c r="AA257">
        <f>IF(Contact[[#This Row],[Latest]]=TRUE,_xlfn.XLOOKUP(Contact[[#This Row],[Final Decision]],Table3[Final Decision],Table3[Active],0),0)</f>
        <v>0</v>
      </c>
      <c r="AB257">
        <f>SUMIF(Contact[Full Name],Contact[[#This Row],[Full Name]],Contact[Active])</f>
        <v>0</v>
      </c>
    </row>
    <row r="258" spans="1:28">
      <c r="A258">
        <v>1</v>
      </c>
      <c r="B258" t="s">
        <v>2024</v>
      </c>
      <c r="C258" t="s">
        <v>2025</v>
      </c>
      <c r="E258" t="s">
        <v>2357</v>
      </c>
      <c r="F258" t="s">
        <v>98</v>
      </c>
      <c r="G258" t="s">
        <v>2092</v>
      </c>
      <c r="I258" s="1" t="s">
        <v>2026</v>
      </c>
      <c r="J258" s="66" t="s">
        <v>2027</v>
      </c>
      <c r="L258" t="s">
        <v>2094</v>
      </c>
      <c r="M258" t="s">
        <v>90</v>
      </c>
      <c r="N258" t="s">
        <v>2095</v>
      </c>
      <c r="P258" t="s">
        <v>2030</v>
      </c>
      <c r="R258" t="s">
        <v>112</v>
      </c>
      <c r="S258" t="s">
        <v>2093</v>
      </c>
      <c r="V258">
        <v>2020</v>
      </c>
      <c r="X258" t="b">
        <f>IF(_xlfn.MAXIFS(Contact[Sequence],Contact[Full Name],Contact[[#This Row],[Full Name]],Contact[Season],Contact[[#This Row],[Season]])=Contact[[#This Row],[Sequence]],TRUE,FALSE)</f>
        <v>1</v>
      </c>
      <c r="Y258" t="s">
        <v>96</v>
      </c>
      <c r="Z258" t="s">
        <v>2030</v>
      </c>
      <c r="AA258">
        <f>IF(Contact[[#This Row],[Latest]]=TRUE,_xlfn.XLOOKUP(Contact[[#This Row],[Final Decision]],Table3[Final Decision],Table3[Active],0),0)</f>
        <v>0</v>
      </c>
      <c r="AB258">
        <f>SUMIF(Contact[Full Name],Contact[[#This Row],[Full Name]],Contact[Active])</f>
        <v>0</v>
      </c>
    </row>
    <row r="259" spans="1:28">
      <c r="A259">
        <v>1</v>
      </c>
      <c r="B259" t="s">
        <v>2063</v>
      </c>
      <c r="C259" t="s">
        <v>2064</v>
      </c>
      <c r="E259" t="s">
        <v>2358</v>
      </c>
      <c r="F259" t="s">
        <v>98</v>
      </c>
      <c r="G259" t="s">
        <v>2092</v>
      </c>
      <c r="I259" s="1" t="s">
        <v>2093</v>
      </c>
      <c r="J259" s="66" t="s">
        <v>2093</v>
      </c>
      <c r="L259" t="s">
        <v>2094</v>
      </c>
      <c r="M259" t="s">
        <v>105</v>
      </c>
      <c r="N259" t="s">
        <v>2095</v>
      </c>
      <c r="R259" t="s">
        <v>112</v>
      </c>
      <c r="S259" t="s">
        <v>2093</v>
      </c>
      <c r="V259">
        <v>2020</v>
      </c>
      <c r="X259" t="b">
        <f>IF(_xlfn.MAXIFS(Contact[Sequence],Contact[Full Name],Contact[[#This Row],[Full Name]],Contact[Season],Contact[[#This Row],[Season]])=Contact[[#This Row],[Sequence]],TRUE,FALSE)</f>
        <v>1</v>
      </c>
      <c r="Y259" t="s">
        <v>1051</v>
      </c>
      <c r="Z259">
        <v>0</v>
      </c>
      <c r="AA259">
        <f>IF(Contact[[#This Row],[Latest]]=TRUE,_xlfn.XLOOKUP(Contact[[#This Row],[Final Decision]],Table3[Final Decision],Table3[Active],0),0)</f>
        <v>0</v>
      </c>
      <c r="AB259">
        <f>SUMIF(Contact[Full Name],Contact[[#This Row],[Full Name]],Contact[Active])</f>
        <v>0</v>
      </c>
    </row>
    <row r="260" spans="1:28">
      <c r="A260">
        <v>1</v>
      </c>
      <c r="B260" t="s">
        <v>1669</v>
      </c>
      <c r="C260" t="s">
        <v>1670</v>
      </c>
      <c r="E260" t="s">
        <v>2359</v>
      </c>
      <c r="F260" t="s">
        <v>98</v>
      </c>
      <c r="G260" t="s">
        <v>2092</v>
      </c>
      <c r="I260" s="1" t="s">
        <v>1671</v>
      </c>
      <c r="J260" s="66" t="s">
        <v>2093</v>
      </c>
      <c r="L260" t="s">
        <v>2094</v>
      </c>
      <c r="M260" t="s">
        <v>105</v>
      </c>
      <c r="N260" t="s">
        <v>2095</v>
      </c>
      <c r="R260" t="s">
        <v>2093</v>
      </c>
      <c r="S260" t="s">
        <v>2093</v>
      </c>
      <c r="V260">
        <v>2020</v>
      </c>
      <c r="X260" t="b">
        <f>IF(_xlfn.MAXIFS(Contact[Sequence],Contact[Full Name],Contact[[#This Row],[Full Name]],Contact[Season],Contact[[#This Row],[Season]])=Contact[[#This Row],[Sequence]],TRUE,FALSE)</f>
        <v>1</v>
      </c>
      <c r="Y260" t="s">
        <v>190</v>
      </c>
      <c r="Z260">
        <v>0</v>
      </c>
      <c r="AA260">
        <f>IF(Contact[[#This Row],[Latest]]=TRUE,_xlfn.XLOOKUP(Contact[[#This Row],[Final Decision]],Table3[Final Decision],Table3[Active],0),0)</f>
        <v>0</v>
      </c>
      <c r="AB260">
        <f>SUMIF(Contact[Full Name],Contact[[#This Row],[Full Name]],Contact[Active])</f>
        <v>0</v>
      </c>
    </row>
    <row r="261" spans="1:28">
      <c r="A261">
        <v>1</v>
      </c>
      <c r="B261" t="s">
        <v>1673</v>
      </c>
      <c r="C261" t="s">
        <v>1674</v>
      </c>
      <c r="E261" t="s">
        <v>2360</v>
      </c>
      <c r="F261" t="s">
        <v>95</v>
      </c>
      <c r="G261" t="s">
        <v>2092</v>
      </c>
      <c r="I261" s="1" t="s">
        <v>1675</v>
      </c>
      <c r="J261" s="66" t="s">
        <v>1676</v>
      </c>
      <c r="L261" t="s">
        <v>2094</v>
      </c>
      <c r="M261" t="s">
        <v>105</v>
      </c>
      <c r="N261" t="s">
        <v>2095</v>
      </c>
      <c r="R261" t="s">
        <v>2093</v>
      </c>
      <c r="S261" t="s">
        <v>2093</v>
      </c>
      <c r="V261">
        <v>2020</v>
      </c>
      <c r="X261" t="b">
        <f>IF(_xlfn.MAXIFS(Contact[Sequence],Contact[Full Name],Contact[[#This Row],[Full Name]],Contact[Season],Contact[[#This Row],[Season]])=Contact[[#This Row],[Sequence]],TRUE,FALSE)</f>
        <v>1</v>
      </c>
      <c r="Y261" t="s">
        <v>190</v>
      </c>
      <c r="Z261">
        <v>0</v>
      </c>
      <c r="AA261">
        <f>IF(Contact[[#This Row],[Latest]]=TRUE,_xlfn.XLOOKUP(Contact[[#This Row],[Final Decision]],Table3[Final Decision],Table3[Active],0),0)</f>
        <v>0</v>
      </c>
      <c r="AB261">
        <f>SUMIF(Contact[Full Name],Contact[[#This Row],[Full Name]],Contact[Active])</f>
        <v>0</v>
      </c>
    </row>
    <row r="262" spans="1:28">
      <c r="A262">
        <v>1</v>
      </c>
      <c r="B262" t="s">
        <v>477</v>
      </c>
      <c r="C262" t="s">
        <v>478</v>
      </c>
      <c r="E262" t="s">
        <v>2361</v>
      </c>
      <c r="F262" t="s">
        <v>95</v>
      </c>
      <c r="G262" t="s">
        <v>2092</v>
      </c>
      <c r="I262" s="1" t="s">
        <v>479</v>
      </c>
      <c r="J262" s="66" t="s">
        <v>480</v>
      </c>
      <c r="L262" t="s">
        <v>2094</v>
      </c>
      <c r="M262" t="s">
        <v>90</v>
      </c>
      <c r="N262" t="s">
        <v>2095</v>
      </c>
      <c r="R262" t="s">
        <v>2093</v>
      </c>
      <c r="S262" t="s">
        <v>2093</v>
      </c>
      <c r="V262">
        <v>2020</v>
      </c>
      <c r="X262" t="b">
        <f>IF(_xlfn.MAXIFS(Contact[Sequence],Contact[Full Name],Contact[[#This Row],[Full Name]],Contact[Season],Contact[[#This Row],[Season]])=Contact[[#This Row],[Sequence]],TRUE,FALSE)</f>
        <v>1</v>
      </c>
      <c r="Y262" t="s">
        <v>190</v>
      </c>
      <c r="Z262">
        <v>0</v>
      </c>
      <c r="AA262">
        <f>IF(Contact[[#This Row],[Latest]]=TRUE,_xlfn.XLOOKUP(Contact[[#This Row],[Final Decision]],Table3[Final Decision],Table3[Active],0),0)</f>
        <v>0</v>
      </c>
      <c r="AB262">
        <f>SUMIF(Contact[Full Name],Contact[[#This Row],[Full Name]],Contact[Active])</f>
        <v>0</v>
      </c>
    </row>
    <row r="263" spans="1:28">
      <c r="A263">
        <v>1</v>
      </c>
      <c r="B263" t="s">
        <v>1683</v>
      </c>
      <c r="C263" t="s">
        <v>1684</v>
      </c>
      <c r="E263" t="s">
        <v>2362</v>
      </c>
      <c r="F263" t="s">
        <v>95</v>
      </c>
      <c r="G263" t="s">
        <v>2092</v>
      </c>
      <c r="I263" s="1" t="s">
        <v>1685</v>
      </c>
      <c r="J263" s="66" t="s">
        <v>1686</v>
      </c>
      <c r="L263" t="s">
        <v>2094</v>
      </c>
      <c r="M263" t="s">
        <v>105</v>
      </c>
      <c r="N263" t="s">
        <v>2095</v>
      </c>
      <c r="R263" t="s">
        <v>2093</v>
      </c>
      <c r="S263" t="s">
        <v>2093</v>
      </c>
      <c r="V263">
        <v>2020</v>
      </c>
      <c r="X263" t="b">
        <f>IF(_xlfn.MAXIFS(Contact[Sequence],Contact[Full Name],Contact[[#This Row],[Full Name]],Contact[Season],Contact[[#This Row],[Season]])=Contact[[#This Row],[Sequence]],TRUE,FALSE)</f>
        <v>1</v>
      </c>
      <c r="Y263" t="s">
        <v>190</v>
      </c>
      <c r="Z263">
        <v>0</v>
      </c>
      <c r="AA263">
        <f>IF(Contact[[#This Row],[Latest]]=TRUE,_xlfn.XLOOKUP(Contact[[#This Row],[Final Decision]],Table3[Final Decision],Table3[Active],0),0)</f>
        <v>0</v>
      </c>
      <c r="AB263">
        <f>SUMIF(Contact[Full Name],Contact[[#This Row],[Full Name]],Contact[Active])</f>
        <v>0</v>
      </c>
    </row>
    <row r="264" spans="1:28">
      <c r="A264">
        <v>1</v>
      </c>
      <c r="B264" t="s">
        <v>1688</v>
      </c>
      <c r="C264" t="s">
        <v>1689</v>
      </c>
      <c r="E264" t="s">
        <v>2363</v>
      </c>
      <c r="F264" t="s">
        <v>98</v>
      </c>
      <c r="G264" t="s">
        <v>2092</v>
      </c>
      <c r="I264" s="1" t="s">
        <v>1690</v>
      </c>
      <c r="J264" s="66" t="s">
        <v>2093</v>
      </c>
      <c r="L264" t="s">
        <v>2094</v>
      </c>
      <c r="M264" t="s">
        <v>105</v>
      </c>
      <c r="N264" t="s">
        <v>2095</v>
      </c>
      <c r="R264" t="s">
        <v>2093</v>
      </c>
      <c r="S264" t="s">
        <v>2093</v>
      </c>
      <c r="V264">
        <v>2020</v>
      </c>
      <c r="X264" t="b">
        <f>IF(_xlfn.MAXIFS(Contact[Sequence],Contact[Full Name],Contact[[#This Row],[Full Name]],Contact[Season],Contact[[#This Row],[Season]])=Contact[[#This Row],[Sequence]],TRUE,FALSE)</f>
        <v>1</v>
      </c>
      <c r="Y264" t="s">
        <v>190</v>
      </c>
      <c r="Z264">
        <v>0</v>
      </c>
      <c r="AA264">
        <f>IF(Contact[[#This Row],[Latest]]=TRUE,_xlfn.XLOOKUP(Contact[[#This Row],[Final Decision]],Table3[Final Decision],Table3[Active],0),0)</f>
        <v>0</v>
      </c>
      <c r="AB264">
        <f>SUMIF(Contact[Full Name],Contact[[#This Row],[Full Name]],Contact[Active])</f>
        <v>0</v>
      </c>
    </row>
    <row r="265" spans="1:28">
      <c r="A265">
        <v>1</v>
      </c>
      <c r="B265" t="s">
        <v>1692</v>
      </c>
      <c r="C265" t="s">
        <v>238</v>
      </c>
      <c r="E265" t="s">
        <v>2364</v>
      </c>
      <c r="F265" t="s">
        <v>98</v>
      </c>
      <c r="G265" t="s">
        <v>2092</v>
      </c>
      <c r="I265" s="1" t="s">
        <v>1693</v>
      </c>
      <c r="J265" s="66" t="s">
        <v>1694</v>
      </c>
      <c r="L265" t="s">
        <v>2094</v>
      </c>
      <c r="M265" t="s">
        <v>90</v>
      </c>
      <c r="N265" t="s">
        <v>2095</v>
      </c>
      <c r="R265" t="s">
        <v>2093</v>
      </c>
      <c r="S265" t="s">
        <v>2093</v>
      </c>
      <c r="V265">
        <v>2020</v>
      </c>
      <c r="X265" t="b">
        <f>IF(_xlfn.MAXIFS(Contact[Sequence],Contact[Full Name],Contact[[#This Row],[Full Name]],Contact[Season],Contact[[#This Row],[Season]])=Contact[[#This Row],[Sequence]],TRUE,FALSE)</f>
        <v>1</v>
      </c>
      <c r="Y265" t="s">
        <v>190</v>
      </c>
      <c r="Z265">
        <v>0</v>
      </c>
      <c r="AA265">
        <f>IF(Contact[[#This Row],[Latest]]=TRUE,_xlfn.XLOOKUP(Contact[[#This Row],[Final Decision]],Table3[Final Decision],Table3[Active],0),0)</f>
        <v>0</v>
      </c>
      <c r="AB265">
        <f>SUMIF(Contact[Full Name],Contact[[#This Row],[Full Name]],Contact[Active])</f>
        <v>0</v>
      </c>
    </row>
    <row r="266" spans="1:28">
      <c r="A266">
        <v>1</v>
      </c>
      <c r="B266" t="s">
        <v>1697</v>
      </c>
      <c r="C266" t="s">
        <v>1698</v>
      </c>
      <c r="E266" t="s">
        <v>2365</v>
      </c>
      <c r="F266" t="s">
        <v>95</v>
      </c>
      <c r="G266" t="s">
        <v>2092</v>
      </c>
      <c r="I266" s="1" t="s">
        <v>1699</v>
      </c>
      <c r="J266" s="66" t="s">
        <v>1700</v>
      </c>
      <c r="L266" t="s">
        <v>2094</v>
      </c>
      <c r="M266" t="s">
        <v>105</v>
      </c>
      <c r="N266" t="s">
        <v>2095</v>
      </c>
      <c r="R266" t="s">
        <v>2093</v>
      </c>
      <c r="S266" t="s">
        <v>2093</v>
      </c>
      <c r="V266">
        <v>2020</v>
      </c>
      <c r="X266" t="b">
        <f>IF(_xlfn.MAXIFS(Contact[Sequence],Contact[Full Name],Contact[[#This Row],[Full Name]],Contact[Season],Contact[[#This Row],[Season]])=Contact[[#This Row],[Sequence]],TRUE,FALSE)</f>
        <v>1</v>
      </c>
      <c r="Y266" t="s">
        <v>190</v>
      </c>
      <c r="Z266">
        <v>0</v>
      </c>
      <c r="AA266">
        <f>IF(Contact[[#This Row],[Latest]]=TRUE,_xlfn.XLOOKUP(Contact[[#This Row],[Final Decision]],Table3[Final Decision],Table3[Active],0),0)</f>
        <v>0</v>
      </c>
      <c r="AB266">
        <f>SUMIF(Contact[Full Name],Contact[[#This Row],[Full Name]],Contact[Active])</f>
        <v>0</v>
      </c>
    </row>
    <row r="267" spans="1:28">
      <c r="A267">
        <v>1</v>
      </c>
      <c r="B267" t="s">
        <v>1702</v>
      </c>
      <c r="C267" t="s">
        <v>1703</v>
      </c>
      <c r="E267" t="s">
        <v>2366</v>
      </c>
      <c r="F267" t="s">
        <v>98</v>
      </c>
      <c r="G267" t="s">
        <v>2092</v>
      </c>
      <c r="I267" s="1" t="s">
        <v>1704</v>
      </c>
      <c r="J267" s="66" t="s">
        <v>2093</v>
      </c>
      <c r="L267" t="s">
        <v>2094</v>
      </c>
      <c r="M267" t="s">
        <v>185</v>
      </c>
      <c r="N267" t="s">
        <v>2095</v>
      </c>
      <c r="R267" t="s">
        <v>2093</v>
      </c>
      <c r="S267" t="s">
        <v>2093</v>
      </c>
      <c r="V267">
        <v>2020</v>
      </c>
      <c r="X267" t="b">
        <f>IF(_xlfn.MAXIFS(Contact[Sequence],Contact[Full Name],Contact[[#This Row],[Full Name]],Contact[Season],Contact[[#This Row],[Season]])=Contact[[#This Row],[Sequence]],TRUE,FALSE)</f>
        <v>1</v>
      </c>
      <c r="Y267" t="s">
        <v>190</v>
      </c>
      <c r="Z267">
        <v>0</v>
      </c>
      <c r="AA267">
        <f>IF(Contact[[#This Row],[Latest]]=TRUE,_xlfn.XLOOKUP(Contact[[#This Row],[Final Decision]],Table3[Final Decision],Table3[Active],0),0)</f>
        <v>0</v>
      </c>
      <c r="AB267">
        <f>SUMIF(Contact[Full Name],Contact[[#This Row],[Full Name]],Contact[Active])</f>
        <v>0</v>
      </c>
    </row>
    <row r="268" spans="1:28">
      <c r="A268">
        <v>1</v>
      </c>
      <c r="B268" t="s">
        <v>2014</v>
      </c>
      <c r="C268" t="s">
        <v>2015</v>
      </c>
      <c r="E268" t="s">
        <v>2367</v>
      </c>
      <c r="F268" t="s">
        <v>98</v>
      </c>
      <c r="G268" t="s">
        <v>2092</v>
      </c>
      <c r="I268" s="1" t="s">
        <v>2016</v>
      </c>
      <c r="J268" s="66" t="s">
        <v>2017</v>
      </c>
      <c r="L268" t="s">
        <v>2094</v>
      </c>
      <c r="M268" t="s">
        <v>105</v>
      </c>
      <c r="N268" t="s">
        <v>2095</v>
      </c>
      <c r="P268" t="s">
        <v>2019</v>
      </c>
      <c r="R268" t="s">
        <v>112</v>
      </c>
      <c r="S268" t="s">
        <v>2093</v>
      </c>
      <c r="V268">
        <v>2020</v>
      </c>
      <c r="X268" t="b">
        <f>IF(_xlfn.MAXIFS(Contact[Sequence],Contact[Full Name],Contact[[#This Row],[Full Name]],Contact[Season],Contact[[#This Row],[Season]])=Contact[[#This Row],[Sequence]],TRUE,FALSE)</f>
        <v>1</v>
      </c>
      <c r="Y268" t="s">
        <v>96</v>
      </c>
      <c r="Z268" t="s">
        <v>2019</v>
      </c>
      <c r="AA268">
        <f>IF(Contact[[#This Row],[Latest]]=TRUE,_xlfn.XLOOKUP(Contact[[#This Row],[Final Decision]],Table3[Final Decision],Table3[Active],0),0)</f>
        <v>0</v>
      </c>
      <c r="AB268">
        <f>SUMIF(Contact[Full Name],Contact[[#This Row],[Full Name]],Contact[Active])</f>
        <v>0</v>
      </c>
    </row>
    <row r="269" spans="1:28">
      <c r="A269">
        <v>1</v>
      </c>
      <c r="B269" t="s">
        <v>482</v>
      </c>
      <c r="C269" t="s">
        <v>483</v>
      </c>
      <c r="E269" t="s">
        <v>2368</v>
      </c>
      <c r="F269" t="s">
        <v>95</v>
      </c>
      <c r="G269" t="s">
        <v>2092</v>
      </c>
      <c r="I269" s="1" t="s">
        <v>484</v>
      </c>
      <c r="J269" s="66" t="s">
        <v>485</v>
      </c>
      <c r="L269" t="s">
        <v>2094</v>
      </c>
      <c r="M269" t="s">
        <v>90</v>
      </c>
      <c r="N269" t="s">
        <v>2095</v>
      </c>
      <c r="R269" t="s">
        <v>2093</v>
      </c>
      <c r="S269" t="s">
        <v>2093</v>
      </c>
      <c r="V269">
        <v>2020</v>
      </c>
      <c r="X269" t="b">
        <f>IF(_xlfn.MAXIFS(Contact[Sequence],Contact[Full Name],Contact[[#This Row],[Full Name]],Contact[Season],Contact[[#This Row],[Season]])=Contact[[#This Row],[Sequence]],TRUE,FALSE)</f>
        <v>1</v>
      </c>
      <c r="Y269" t="s">
        <v>190</v>
      </c>
      <c r="Z269">
        <v>0</v>
      </c>
      <c r="AA269">
        <f>IF(Contact[[#This Row],[Latest]]=TRUE,_xlfn.XLOOKUP(Contact[[#This Row],[Final Decision]],Table3[Final Decision],Table3[Active],0),0)</f>
        <v>0</v>
      </c>
      <c r="AB269">
        <f>SUMIF(Contact[Full Name],Contact[[#This Row],[Full Name]],Contact[Active])</f>
        <v>0</v>
      </c>
    </row>
    <row r="270" spans="1:28">
      <c r="A270">
        <v>1</v>
      </c>
      <c r="B270" t="s">
        <v>154</v>
      </c>
      <c r="C270" t="s">
        <v>1711</v>
      </c>
      <c r="E270" t="s">
        <v>2369</v>
      </c>
      <c r="F270" t="s">
        <v>98</v>
      </c>
      <c r="G270" t="s">
        <v>2092</v>
      </c>
      <c r="I270" s="1" t="s">
        <v>1712</v>
      </c>
      <c r="J270" s="66" t="s">
        <v>2093</v>
      </c>
      <c r="L270" t="s">
        <v>2094</v>
      </c>
      <c r="M270" t="s">
        <v>185</v>
      </c>
      <c r="N270" t="s">
        <v>2095</v>
      </c>
      <c r="R270" t="s">
        <v>2093</v>
      </c>
      <c r="S270" t="s">
        <v>2093</v>
      </c>
      <c r="V270">
        <v>2020</v>
      </c>
      <c r="X270" t="b">
        <f>IF(_xlfn.MAXIFS(Contact[Sequence],Contact[Full Name],Contact[[#This Row],[Full Name]],Contact[Season],Contact[[#This Row],[Season]])=Contact[[#This Row],[Sequence]],TRUE,FALSE)</f>
        <v>1</v>
      </c>
      <c r="Y270" t="s">
        <v>190</v>
      </c>
      <c r="Z270">
        <v>0</v>
      </c>
      <c r="AA270">
        <f>IF(Contact[[#This Row],[Latest]]=TRUE,_xlfn.XLOOKUP(Contact[[#This Row],[Final Decision]],Table3[Final Decision],Table3[Active],0),0)</f>
        <v>0</v>
      </c>
      <c r="AB270">
        <f>SUMIF(Contact[Full Name],Contact[[#This Row],[Full Name]],Contact[Active])</f>
        <v>0</v>
      </c>
    </row>
    <row r="271" spans="1:28">
      <c r="A271">
        <v>1</v>
      </c>
      <c r="B271" t="s">
        <v>154</v>
      </c>
      <c r="C271" t="s">
        <v>92</v>
      </c>
      <c r="E271" t="s">
        <v>2370</v>
      </c>
      <c r="F271" t="s">
        <v>98</v>
      </c>
      <c r="G271" t="s">
        <v>2092</v>
      </c>
      <c r="I271" s="1" t="s">
        <v>1567</v>
      </c>
      <c r="J271" s="66" t="s">
        <v>2093</v>
      </c>
      <c r="L271" t="s">
        <v>2094</v>
      </c>
      <c r="M271" t="s">
        <v>90</v>
      </c>
      <c r="N271" t="s">
        <v>2095</v>
      </c>
      <c r="R271" t="s">
        <v>2093</v>
      </c>
      <c r="S271" t="s">
        <v>2093</v>
      </c>
      <c r="V271">
        <v>2020</v>
      </c>
      <c r="X271" t="b">
        <f>IF(_xlfn.MAXIFS(Contact[Sequence],Contact[Full Name],Contact[[#This Row],[Full Name]],Contact[Season],Contact[[#This Row],[Season]])=Contact[[#This Row],[Sequence]],TRUE,FALSE)</f>
        <v>1</v>
      </c>
      <c r="Y271" t="s">
        <v>190</v>
      </c>
      <c r="Z271">
        <v>0</v>
      </c>
      <c r="AA271">
        <f>IF(Contact[[#This Row],[Latest]]=TRUE,_xlfn.XLOOKUP(Contact[[#This Row],[Final Decision]],Table3[Final Decision],Table3[Active],0),0)</f>
        <v>0</v>
      </c>
      <c r="AB271">
        <f>SUMIF(Contact[Full Name],Contact[[#This Row],[Full Name]],Contact[Active])</f>
        <v>0</v>
      </c>
    </row>
    <row r="272" spans="1:28">
      <c r="A272">
        <v>1</v>
      </c>
      <c r="B272" t="s">
        <v>154</v>
      </c>
      <c r="C272" t="s">
        <v>155</v>
      </c>
      <c r="E272" t="s">
        <v>2371</v>
      </c>
      <c r="F272" t="s">
        <v>95</v>
      </c>
      <c r="G272" t="s">
        <v>2092</v>
      </c>
      <c r="I272" s="1" t="s">
        <v>156</v>
      </c>
      <c r="J272" s="66" t="s">
        <v>157</v>
      </c>
      <c r="L272" t="s">
        <v>2094</v>
      </c>
      <c r="M272" t="s">
        <v>90</v>
      </c>
      <c r="N272" t="s">
        <v>2095</v>
      </c>
      <c r="P272" t="s">
        <v>159</v>
      </c>
      <c r="R272" t="s">
        <v>152</v>
      </c>
      <c r="S272" t="s">
        <v>153</v>
      </c>
      <c r="V272">
        <v>2020</v>
      </c>
      <c r="X272" t="b">
        <f>IF(_xlfn.MAXIFS(Contact[Sequence],Contact[Full Name],Contact[[#This Row],[Full Name]],Contact[Season],Contact[[#This Row],[Season]])=Contact[[#This Row],[Sequence]],TRUE,FALSE)</f>
        <v>0</v>
      </c>
      <c r="Y272" t="s">
        <v>96</v>
      </c>
      <c r="Z272" t="s">
        <v>159</v>
      </c>
      <c r="AA272">
        <f>IF(Contact[[#This Row],[Latest]]=TRUE,_xlfn.XLOOKUP(Contact[[#This Row],[Final Decision]],Table3[Final Decision],Table3[Active],0),0)</f>
        <v>0</v>
      </c>
      <c r="AB272">
        <f>SUMIF(Contact[Full Name],Contact[[#This Row],[Full Name]],Contact[Active])</f>
        <v>0</v>
      </c>
    </row>
    <row r="273" spans="1:28">
      <c r="A273">
        <v>1</v>
      </c>
      <c r="B273" t="s">
        <v>487</v>
      </c>
      <c r="C273" t="s">
        <v>2042</v>
      </c>
      <c r="E273" t="s">
        <v>2372</v>
      </c>
      <c r="F273" t="s">
        <v>95</v>
      </c>
      <c r="G273" t="s">
        <v>2092</v>
      </c>
      <c r="I273" s="1" t="s">
        <v>2043</v>
      </c>
      <c r="J273" s="66" t="s">
        <v>2093</v>
      </c>
      <c r="L273" t="s">
        <v>2094</v>
      </c>
      <c r="M273" t="s">
        <v>185</v>
      </c>
      <c r="N273" t="s">
        <v>2095</v>
      </c>
      <c r="P273" t="s">
        <v>2045</v>
      </c>
      <c r="R273" t="s">
        <v>112</v>
      </c>
      <c r="S273" t="s">
        <v>2093</v>
      </c>
      <c r="V273">
        <v>2020</v>
      </c>
      <c r="X273" t="b">
        <f>IF(_xlfn.MAXIFS(Contact[Sequence],Contact[Full Name],Contact[[#This Row],[Full Name]],Contact[Season],Contact[[#This Row],[Season]])=Contact[[#This Row],[Sequence]],TRUE,FALSE)</f>
        <v>1</v>
      </c>
      <c r="Y273" t="s">
        <v>96</v>
      </c>
      <c r="Z273" t="s">
        <v>2045</v>
      </c>
      <c r="AA273">
        <f>IF(Contact[[#This Row],[Latest]]=TRUE,_xlfn.XLOOKUP(Contact[[#This Row],[Final Decision]],Table3[Final Decision],Table3[Active],0),0)</f>
        <v>0</v>
      </c>
      <c r="AB273">
        <f>SUMIF(Contact[Full Name],Contact[[#This Row],[Full Name]],Contact[Active])</f>
        <v>0</v>
      </c>
    </row>
    <row r="274" spans="1:28">
      <c r="A274">
        <v>1</v>
      </c>
      <c r="B274" t="s">
        <v>487</v>
      </c>
      <c r="C274" t="s">
        <v>92</v>
      </c>
      <c r="E274" t="s">
        <v>2373</v>
      </c>
      <c r="F274" t="s">
        <v>95</v>
      </c>
      <c r="G274" t="s">
        <v>2092</v>
      </c>
      <c r="I274" s="1" t="s">
        <v>488</v>
      </c>
      <c r="J274" s="66" t="s">
        <v>489</v>
      </c>
      <c r="L274" t="s">
        <v>2094</v>
      </c>
      <c r="M274" t="s">
        <v>185</v>
      </c>
      <c r="N274" t="s">
        <v>2095</v>
      </c>
      <c r="R274" t="s">
        <v>2093</v>
      </c>
      <c r="S274" t="s">
        <v>2093</v>
      </c>
      <c r="V274">
        <v>2020</v>
      </c>
      <c r="X274" t="b">
        <f>IF(_xlfn.MAXIFS(Contact[Sequence],Contact[Full Name],Contact[[#This Row],[Full Name]],Contact[Season],Contact[[#This Row],[Season]])=Contact[[#This Row],[Sequence]],TRUE,FALSE)</f>
        <v>1</v>
      </c>
      <c r="Y274" t="s">
        <v>190</v>
      </c>
      <c r="Z274">
        <v>0</v>
      </c>
      <c r="AA274">
        <f>IF(Contact[[#This Row],[Latest]]=TRUE,_xlfn.XLOOKUP(Contact[[#This Row],[Final Decision]],Table3[Final Decision],Table3[Active],0),0)</f>
        <v>0</v>
      </c>
      <c r="AB274">
        <f>SUMIF(Contact[Full Name],Contact[[#This Row],[Full Name]],Contact[Active])</f>
        <v>0</v>
      </c>
    </row>
    <row r="275" spans="1:28">
      <c r="A275">
        <v>1</v>
      </c>
      <c r="B275" t="s">
        <v>1808</v>
      </c>
      <c r="C275" t="s">
        <v>260</v>
      </c>
      <c r="E275" t="s">
        <v>2374</v>
      </c>
      <c r="F275" t="s">
        <v>102</v>
      </c>
      <c r="G275" t="s">
        <v>2100</v>
      </c>
      <c r="I275" s="1" t="s">
        <v>1962</v>
      </c>
      <c r="J275" s="66" t="s">
        <v>2093</v>
      </c>
      <c r="L275" t="s">
        <v>2094</v>
      </c>
      <c r="M275" t="s">
        <v>90</v>
      </c>
      <c r="N275" t="s">
        <v>2095</v>
      </c>
      <c r="P275" t="s">
        <v>1967</v>
      </c>
      <c r="R275" t="s">
        <v>112</v>
      </c>
      <c r="S275" t="s">
        <v>665</v>
      </c>
      <c r="V275">
        <v>2020</v>
      </c>
      <c r="X275" t="b">
        <f>IF(_xlfn.MAXIFS(Contact[Sequence],Contact[Full Name],Contact[[#This Row],[Full Name]],Contact[Season],Contact[[#This Row],[Season]])=Contact[[#This Row],[Sequence]],TRUE,FALSE)</f>
        <v>1</v>
      </c>
      <c r="Y275" t="s">
        <v>96</v>
      </c>
      <c r="Z275" t="s">
        <v>1966</v>
      </c>
      <c r="AA275">
        <f>IF(Contact[[#This Row],[Latest]]=TRUE,_xlfn.XLOOKUP(Contact[[#This Row],[Final Decision]],Table3[Final Decision],Table3[Active],0),0)</f>
        <v>0</v>
      </c>
      <c r="AB275">
        <f>SUMIF(Contact[Full Name],Contact[[#This Row],[Full Name]],Contact[Active])</f>
        <v>0</v>
      </c>
    </row>
    <row r="276" spans="1:28">
      <c r="A276">
        <v>1</v>
      </c>
      <c r="B276" t="s">
        <v>1808</v>
      </c>
      <c r="C276" t="s">
        <v>1809</v>
      </c>
      <c r="E276" t="s">
        <v>2375</v>
      </c>
      <c r="F276" t="s">
        <v>95</v>
      </c>
      <c r="G276" t="s">
        <v>2092</v>
      </c>
      <c r="I276" s="1" t="s">
        <v>1810</v>
      </c>
      <c r="J276" s="66" t="s">
        <v>1811</v>
      </c>
      <c r="L276" t="s">
        <v>2094</v>
      </c>
      <c r="M276" t="s">
        <v>105</v>
      </c>
      <c r="N276" t="s">
        <v>2095</v>
      </c>
      <c r="R276" t="s">
        <v>2093</v>
      </c>
      <c r="S276" t="s">
        <v>2093</v>
      </c>
      <c r="V276">
        <v>2020</v>
      </c>
      <c r="X276" t="b">
        <f>IF(_xlfn.MAXIFS(Contact[Sequence],Contact[Full Name],Contact[[#This Row],[Full Name]],Contact[Season],Contact[[#This Row],[Season]])=Contact[[#This Row],[Sequence]],TRUE,FALSE)</f>
        <v>1</v>
      </c>
      <c r="Y276" t="s">
        <v>190</v>
      </c>
      <c r="Z276">
        <v>0</v>
      </c>
      <c r="AA276">
        <f>IF(Contact[[#This Row],[Latest]]=TRUE,_xlfn.XLOOKUP(Contact[[#This Row],[Final Decision]],Table3[Final Decision],Table3[Active],0),0)</f>
        <v>0</v>
      </c>
      <c r="AB276">
        <f>SUMIF(Contact[Full Name],Contact[[#This Row],[Full Name]],Contact[Active])</f>
        <v>0</v>
      </c>
    </row>
    <row r="277" spans="1:28">
      <c r="A277">
        <v>1</v>
      </c>
      <c r="B277" t="s">
        <v>1808</v>
      </c>
      <c r="C277" t="s">
        <v>1957</v>
      </c>
      <c r="E277" t="s">
        <v>2376</v>
      </c>
      <c r="F277" t="s">
        <v>102</v>
      </c>
      <c r="G277" t="s">
        <v>2100</v>
      </c>
      <c r="I277" s="1" t="s">
        <v>1958</v>
      </c>
      <c r="J277" s="66" t="s">
        <v>1959</v>
      </c>
      <c r="L277" t="s">
        <v>2094</v>
      </c>
      <c r="M277" t="s">
        <v>90</v>
      </c>
      <c r="N277" t="s">
        <v>2095</v>
      </c>
      <c r="P277" t="s">
        <v>1961</v>
      </c>
      <c r="R277" t="s">
        <v>112</v>
      </c>
      <c r="S277" t="s">
        <v>665</v>
      </c>
      <c r="V277">
        <v>2020</v>
      </c>
      <c r="X277" t="b">
        <f>IF(_xlfn.MAXIFS(Contact[Sequence],Contact[Full Name],Contact[[#This Row],[Full Name]],Contact[Season],Contact[[#This Row],[Season]])=Contact[[#This Row],[Sequence]],TRUE,FALSE)</f>
        <v>1</v>
      </c>
      <c r="Y277" t="s">
        <v>96</v>
      </c>
      <c r="Z277" t="s">
        <v>203</v>
      </c>
      <c r="AA277">
        <f>IF(Contact[[#This Row],[Latest]]=TRUE,_xlfn.XLOOKUP(Contact[[#This Row],[Final Decision]],Table3[Final Decision],Table3[Active],0),0)</f>
        <v>0</v>
      </c>
      <c r="AB277">
        <f>SUMIF(Contact[Full Name],Contact[[#This Row],[Full Name]],Contact[Active])</f>
        <v>0</v>
      </c>
    </row>
    <row r="278" spans="1:28">
      <c r="A278">
        <v>1</v>
      </c>
      <c r="B278" t="s">
        <v>491</v>
      </c>
      <c r="C278" t="s">
        <v>492</v>
      </c>
      <c r="E278" t="s">
        <v>2377</v>
      </c>
      <c r="F278" t="s">
        <v>95</v>
      </c>
      <c r="G278" t="s">
        <v>2092</v>
      </c>
      <c r="I278" s="1" t="s">
        <v>493</v>
      </c>
      <c r="J278" s="66" t="s">
        <v>2093</v>
      </c>
      <c r="L278" t="s">
        <v>2094</v>
      </c>
      <c r="M278" t="s">
        <v>185</v>
      </c>
      <c r="N278" t="s">
        <v>2095</v>
      </c>
      <c r="R278" t="s">
        <v>2093</v>
      </c>
      <c r="S278" t="s">
        <v>2093</v>
      </c>
      <c r="V278">
        <v>2020</v>
      </c>
      <c r="X278" t="b">
        <f>IF(_xlfn.MAXIFS(Contact[Sequence],Contact[Full Name],Contact[[#This Row],[Full Name]],Contact[Season],Contact[[#This Row],[Season]])=Contact[[#This Row],[Sequence]],TRUE,FALSE)</f>
        <v>1</v>
      </c>
      <c r="Y278" t="s">
        <v>190</v>
      </c>
      <c r="Z278">
        <v>0</v>
      </c>
      <c r="AA278">
        <f>IF(Contact[[#This Row],[Latest]]=TRUE,_xlfn.XLOOKUP(Contact[[#This Row],[Final Decision]],Table3[Final Decision],Table3[Active],0),0)</f>
        <v>0</v>
      </c>
      <c r="AB278">
        <f>SUMIF(Contact[Full Name],Contact[[#This Row],[Full Name]],Contact[Active])</f>
        <v>0</v>
      </c>
    </row>
    <row r="279" spans="1:28">
      <c r="A279">
        <v>1</v>
      </c>
      <c r="B279" t="s">
        <v>774</v>
      </c>
      <c r="C279" t="s">
        <v>238</v>
      </c>
      <c r="E279" t="s">
        <v>2378</v>
      </c>
      <c r="F279" t="s">
        <v>102</v>
      </c>
      <c r="G279" t="s">
        <v>2100</v>
      </c>
      <c r="I279" s="1" t="s">
        <v>775</v>
      </c>
      <c r="J279" s="66" t="s">
        <v>776</v>
      </c>
      <c r="L279" t="s">
        <v>2094</v>
      </c>
      <c r="M279" t="s">
        <v>90</v>
      </c>
      <c r="N279" t="s">
        <v>2095</v>
      </c>
      <c r="P279" t="s">
        <v>778</v>
      </c>
      <c r="R279" t="s">
        <v>773</v>
      </c>
      <c r="S279" t="s">
        <v>635</v>
      </c>
      <c r="V279">
        <v>2020</v>
      </c>
      <c r="X279" t="b">
        <f>IF(_xlfn.MAXIFS(Contact[Sequence],Contact[Full Name],Contact[[#This Row],[Full Name]],Contact[Season],Contact[[#This Row],[Season]])=Contact[[#This Row],[Sequence]],TRUE,FALSE)</f>
        <v>1</v>
      </c>
      <c r="Y279" t="s">
        <v>96</v>
      </c>
      <c r="Z279" t="s">
        <v>203</v>
      </c>
      <c r="AA279">
        <f>IF(Contact[[#This Row],[Latest]]=TRUE,_xlfn.XLOOKUP(Contact[[#This Row],[Final Decision]],Table3[Final Decision],Table3[Active],0),0)</f>
        <v>0</v>
      </c>
      <c r="AB279">
        <f>SUMIF(Contact[Full Name],Contact[[#This Row],[Full Name]],Contact[Active])</f>
        <v>0</v>
      </c>
    </row>
    <row r="280" spans="1:28">
      <c r="A280">
        <v>1</v>
      </c>
      <c r="B280" t="s">
        <v>259</v>
      </c>
      <c r="C280" t="s">
        <v>260</v>
      </c>
      <c r="E280" t="s">
        <v>2379</v>
      </c>
      <c r="F280" t="s">
        <v>95</v>
      </c>
      <c r="G280" t="s">
        <v>2092</v>
      </c>
      <c r="I280" s="1" t="s">
        <v>261</v>
      </c>
      <c r="J280" s="66" t="s">
        <v>262</v>
      </c>
      <c r="L280" t="s">
        <v>2094</v>
      </c>
      <c r="M280" t="s">
        <v>193</v>
      </c>
      <c r="N280" t="s">
        <v>2095</v>
      </c>
      <c r="P280" t="s">
        <v>159</v>
      </c>
      <c r="R280" t="s">
        <v>215</v>
      </c>
      <c r="S280" t="s">
        <v>258</v>
      </c>
      <c r="V280">
        <v>2020</v>
      </c>
      <c r="X280" t="b">
        <f>IF(_xlfn.MAXIFS(Contact[Sequence],Contact[Full Name],Contact[[#This Row],[Full Name]],Contact[Season],Contact[[#This Row],[Season]])=Contact[[#This Row],[Sequence]],TRUE,FALSE)</f>
        <v>0</v>
      </c>
      <c r="Y280" t="s">
        <v>96</v>
      </c>
      <c r="Z280" t="s">
        <v>159</v>
      </c>
      <c r="AA280">
        <f>IF(Contact[[#This Row],[Latest]]=TRUE,_xlfn.XLOOKUP(Contact[[#This Row],[Final Decision]],Table3[Final Decision],Table3[Active],0),0)</f>
        <v>0</v>
      </c>
      <c r="AB280">
        <f>SUMIF(Contact[Full Name],Contact[[#This Row],[Full Name]],Contact[Active])</f>
        <v>0</v>
      </c>
    </row>
    <row r="281" spans="1:28">
      <c r="A281">
        <v>1</v>
      </c>
      <c r="B281" t="s">
        <v>939</v>
      </c>
      <c r="C281" t="s">
        <v>860</v>
      </c>
      <c r="E281" t="s">
        <v>2380</v>
      </c>
      <c r="F281" t="s">
        <v>95</v>
      </c>
      <c r="G281" t="s">
        <v>2092</v>
      </c>
      <c r="I281" s="1" t="s">
        <v>940</v>
      </c>
      <c r="J281" s="66" t="s">
        <v>2093</v>
      </c>
      <c r="L281" t="s">
        <v>2094</v>
      </c>
      <c r="M281" t="s">
        <v>185</v>
      </c>
      <c r="N281" t="s">
        <v>2095</v>
      </c>
      <c r="P281" t="s">
        <v>665</v>
      </c>
      <c r="R281" t="s">
        <v>112</v>
      </c>
      <c r="S281" t="s">
        <v>2093</v>
      </c>
      <c r="V281">
        <v>2020</v>
      </c>
      <c r="X281" t="b">
        <f>IF(_xlfn.MAXIFS(Contact[Sequence],Contact[Full Name],Contact[[#This Row],[Full Name]],Contact[Season],Contact[[#This Row],[Season]])=Contact[[#This Row],[Sequence]],TRUE,FALSE)</f>
        <v>1</v>
      </c>
      <c r="Y281" t="s">
        <v>96</v>
      </c>
      <c r="Z281" t="s">
        <v>665</v>
      </c>
      <c r="AA281">
        <f>IF(Contact[[#This Row],[Latest]]=TRUE,_xlfn.XLOOKUP(Contact[[#This Row],[Final Decision]],Table3[Final Decision],Table3[Active],0),0)</f>
        <v>0</v>
      </c>
      <c r="AB281">
        <f>SUMIF(Contact[Full Name],Contact[[#This Row],[Full Name]],Contact[Active])</f>
        <v>0</v>
      </c>
    </row>
    <row r="282" spans="1:28">
      <c r="A282">
        <v>1</v>
      </c>
      <c r="B282" t="s">
        <v>230</v>
      </c>
      <c r="C282" t="s">
        <v>231</v>
      </c>
      <c r="E282" t="s">
        <v>2381</v>
      </c>
      <c r="F282" t="s">
        <v>102</v>
      </c>
      <c r="G282" t="s">
        <v>2100</v>
      </c>
      <c r="I282" s="1" t="s">
        <v>232</v>
      </c>
      <c r="J282" s="66" t="s">
        <v>2093</v>
      </c>
      <c r="L282" t="s">
        <v>2094</v>
      </c>
      <c r="M282" t="s">
        <v>105</v>
      </c>
      <c r="N282" t="s">
        <v>2095</v>
      </c>
      <c r="P282" t="s">
        <v>235</v>
      </c>
      <c r="R282" t="s">
        <v>112</v>
      </c>
      <c r="S282" t="s">
        <v>2093</v>
      </c>
      <c r="V282">
        <v>2020</v>
      </c>
      <c r="X282" t="b">
        <f>IF(_xlfn.MAXIFS(Contact[Sequence],Contact[Full Name],Contact[[#This Row],[Full Name]],Contact[Season],Contact[[#This Row],[Season]])=Contact[[#This Row],[Sequence]],TRUE,FALSE)</f>
        <v>0</v>
      </c>
      <c r="Y282" t="s">
        <v>96</v>
      </c>
      <c r="Z282" t="s">
        <v>159</v>
      </c>
      <c r="AA282">
        <f>IF(Contact[[#This Row],[Latest]]=TRUE,_xlfn.XLOOKUP(Contact[[#This Row],[Final Decision]],Table3[Final Decision],Table3[Active],0),0)</f>
        <v>0</v>
      </c>
      <c r="AB282">
        <f>SUMIF(Contact[Full Name],Contact[[#This Row],[Full Name]],Contact[Active])</f>
        <v>0</v>
      </c>
    </row>
    <row r="283" spans="1:28">
      <c r="A283">
        <v>1</v>
      </c>
      <c r="B283" t="s">
        <v>1715</v>
      </c>
      <c r="C283" t="s">
        <v>1716</v>
      </c>
      <c r="E283" t="s">
        <v>2382</v>
      </c>
      <c r="F283" t="s">
        <v>95</v>
      </c>
      <c r="G283" t="s">
        <v>2092</v>
      </c>
      <c r="I283" s="1" t="s">
        <v>1717</v>
      </c>
      <c r="J283" s="66"/>
      <c r="L283" t="s">
        <v>2094</v>
      </c>
      <c r="M283" t="s">
        <v>105</v>
      </c>
      <c r="N283" t="s">
        <v>2095</v>
      </c>
      <c r="R283" t="s">
        <v>2093</v>
      </c>
      <c r="S283" t="s">
        <v>2093</v>
      </c>
      <c r="V283">
        <v>2020</v>
      </c>
      <c r="X283" t="b">
        <f>IF(_xlfn.MAXIFS(Contact[Sequence],Contact[Full Name],Contact[[#This Row],[Full Name]],Contact[Season],Contact[[#This Row],[Season]])=Contact[[#This Row],[Sequence]],TRUE,FALSE)</f>
        <v>1</v>
      </c>
      <c r="Y283" t="s">
        <v>190</v>
      </c>
      <c r="Z283">
        <v>0</v>
      </c>
      <c r="AA283">
        <f>IF(Contact[[#This Row],[Latest]]=TRUE,_xlfn.XLOOKUP(Contact[[#This Row],[Final Decision]],Table3[Final Decision],Table3[Active],0),0)</f>
        <v>0</v>
      </c>
      <c r="AB283">
        <f>SUMIF(Contact[Full Name],Contact[[#This Row],[Full Name]],Contact[Active])</f>
        <v>0</v>
      </c>
    </row>
    <row r="284" spans="1:28">
      <c r="A284">
        <v>1</v>
      </c>
      <c r="B284" t="s">
        <v>942</v>
      </c>
      <c r="C284" t="s">
        <v>943</v>
      </c>
      <c r="E284" t="s">
        <v>2383</v>
      </c>
      <c r="F284" t="s">
        <v>95</v>
      </c>
      <c r="G284" t="s">
        <v>2092</v>
      </c>
      <c r="I284" s="1" t="s">
        <v>944</v>
      </c>
      <c r="J284" s="66" t="s">
        <v>2093</v>
      </c>
      <c r="L284" t="s">
        <v>2094</v>
      </c>
      <c r="M284" t="s">
        <v>90</v>
      </c>
      <c r="N284" t="s">
        <v>2095</v>
      </c>
      <c r="P284" t="s">
        <v>665</v>
      </c>
      <c r="R284" t="s">
        <v>112</v>
      </c>
      <c r="S284" t="s">
        <v>2093</v>
      </c>
      <c r="V284">
        <v>2020</v>
      </c>
      <c r="X284" t="b">
        <f>IF(_xlfn.MAXIFS(Contact[Sequence],Contact[Full Name],Contact[[#This Row],[Full Name]],Contact[Season],Contact[[#This Row],[Season]])=Contact[[#This Row],[Sequence]],TRUE,FALSE)</f>
        <v>1</v>
      </c>
      <c r="Y284" t="s">
        <v>96</v>
      </c>
      <c r="Z284" t="s">
        <v>665</v>
      </c>
      <c r="AA284">
        <f>IF(Contact[[#This Row],[Latest]]=TRUE,_xlfn.XLOOKUP(Contact[[#This Row],[Final Decision]],Table3[Final Decision],Table3[Active],0),0)</f>
        <v>0</v>
      </c>
      <c r="AB284">
        <f>SUMIF(Contact[Full Name],Contact[[#This Row],[Full Name]],Contact[Active])</f>
        <v>0</v>
      </c>
    </row>
    <row r="285" spans="1:28">
      <c r="A285">
        <v>1</v>
      </c>
      <c r="B285" t="s">
        <v>499</v>
      </c>
      <c r="C285" t="s">
        <v>500</v>
      </c>
      <c r="E285" t="s">
        <v>2384</v>
      </c>
      <c r="F285" t="s">
        <v>95</v>
      </c>
      <c r="G285" t="s">
        <v>2092</v>
      </c>
      <c r="I285" s="1" t="s">
        <v>501</v>
      </c>
      <c r="J285" s="66"/>
      <c r="L285" t="s">
        <v>2094</v>
      </c>
      <c r="M285" t="s">
        <v>90</v>
      </c>
      <c r="N285" t="s">
        <v>2095</v>
      </c>
      <c r="R285" t="s">
        <v>2093</v>
      </c>
      <c r="S285" t="s">
        <v>2093</v>
      </c>
      <c r="V285">
        <v>2020</v>
      </c>
      <c r="X285" t="b">
        <f>IF(_xlfn.MAXIFS(Contact[Sequence],Contact[Full Name],Contact[[#This Row],[Full Name]],Contact[Season],Contact[[#This Row],[Season]])=Contact[[#This Row],[Sequence]],TRUE,FALSE)</f>
        <v>1</v>
      </c>
      <c r="Y285" t="s">
        <v>190</v>
      </c>
      <c r="Z285">
        <v>0</v>
      </c>
      <c r="AA285">
        <f>IF(Contact[[#This Row],[Latest]]=TRUE,_xlfn.XLOOKUP(Contact[[#This Row],[Final Decision]],Table3[Final Decision],Table3[Active],0),0)</f>
        <v>0</v>
      </c>
      <c r="AB285">
        <f>SUMIF(Contact[Full Name],Contact[[#This Row],[Full Name]],Contact[Active])</f>
        <v>0</v>
      </c>
    </row>
    <row r="286" spans="1:28">
      <c r="A286">
        <v>1</v>
      </c>
      <c r="B286" t="s">
        <v>1719</v>
      </c>
      <c r="C286" t="s">
        <v>373</v>
      </c>
      <c r="E286" t="s">
        <v>2385</v>
      </c>
      <c r="F286" t="s">
        <v>95</v>
      </c>
      <c r="G286" t="s">
        <v>2092</v>
      </c>
      <c r="I286" s="1" t="s">
        <v>1720</v>
      </c>
      <c r="J286" s="66" t="s">
        <v>2093</v>
      </c>
      <c r="L286" t="s">
        <v>2094</v>
      </c>
      <c r="M286" t="s">
        <v>90</v>
      </c>
      <c r="N286" t="s">
        <v>2095</v>
      </c>
      <c r="R286" t="s">
        <v>2093</v>
      </c>
      <c r="S286" t="s">
        <v>2093</v>
      </c>
      <c r="V286">
        <v>2020</v>
      </c>
      <c r="X286" t="b">
        <f>IF(_xlfn.MAXIFS(Contact[Sequence],Contact[Full Name],Contact[[#This Row],[Full Name]],Contact[Season],Contact[[#This Row],[Season]])=Contact[[#This Row],[Sequence]],TRUE,FALSE)</f>
        <v>1</v>
      </c>
      <c r="Y286" t="s">
        <v>190</v>
      </c>
      <c r="Z286">
        <v>0</v>
      </c>
      <c r="AA286">
        <f>IF(Contact[[#This Row],[Latest]]=TRUE,_xlfn.XLOOKUP(Contact[[#This Row],[Final Decision]],Table3[Final Decision],Table3[Active],0),0)</f>
        <v>0</v>
      </c>
      <c r="AB286">
        <f>SUMIF(Contact[Full Name],Contact[[#This Row],[Full Name]],Contact[Active])</f>
        <v>0</v>
      </c>
    </row>
    <row r="287" spans="1:28">
      <c r="A287">
        <v>1</v>
      </c>
      <c r="B287" t="s">
        <v>1415</v>
      </c>
      <c r="C287" t="s">
        <v>283</v>
      </c>
      <c r="E287" t="s">
        <v>2386</v>
      </c>
      <c r="F287" t="s">
        <v>98</v>
      </c>
      <c r="G287" t="s">
        <v>2092</v>
      </c>
      <c r="I287" s="1" t="s">
        <v>1416</v>
      </c>
      <c r="J287" s="66" t="s">
        <v>1417</v>
      </c>
      <c r="L287" t="s">
        <v>2094</v>
      </c>
      <c r="M287" t="s">
        <v>90</v>
      </c>
      <c r="N287" t="s">
        <v>2095</v>
      </c>
      <c r="R287" t="s">
        <v>2093</v>
      </c>
      <c r="S287" t="s">
        <v>2093</v>
      </c>
      <c r="V287">
        <v>2020</v>
      </c>
      <c r="X287" t="b">
        <f>IF(_xlfn.MAXIFS(Contact[Sequence],Contact[Full Name],Contact[[#This Row],[Full Name]],Contact[Season],Contact[[#This Row],[Season]])=Contact[[#This Row],[Sequence]],TRUE,FALSE)</f>
        <v>1</v>
      </c>
      <c r="Y287" t="s">
        <v>190</v>
      </c>
      <c r="Z287">
        <v>0</v>
      </c>
      <c r="AA287">
        <f>IF(Contact[[#This Row],[Latest]]=TRUE,_xlfn.XLOOKUP(Contact[[#This Row],[Final Decision]],Table3[Final Decision],Table3[Active],0),0)</f>
        <v>0</v>
      </c>
      <c r="AB287">
        <f>SUMIF(Contact[Full Name],Contact[[#This Row],[Full Name]],Contact[Active])</f>
        <v>0</v>
      </c>
    </row>
    <row r="288" spans="1:28">
      <c r="A288">
        <v>1</v>
      </c>
      <c r="B288" t="s">
        <v>1723</v>
      </c>
      <c r="C288" t="s">
        <v>1724</v>
      </c>
      <c r="E288" t="s">
        <v>2387</v>
      </c>
      <c r="F288" t="s">
        <v>98</v>
      </c>
      <c r="G288" t="s">
        <v>2092</v>
      </c>
      <c r="I288" s="1" t="s">
        <v>1725</v>
      </c>
      <c r="J288" s="66" t="s">
        <v>1726</v>
      </c>
      <c r="L288" t="s">
        <v>2094</v>
      </c>
      <c r="M288" t="s">
        <v>90</v>
      </c>
      <c r="N288" t="s">
        <v>2095</v>
      </c>
      <c r="R288" t="s">
        <v>2093</v>
      </c>
      <c r="S288" t="s">
        <v>2093</v>
      </c>
      <c r="V288">
        <v>2020</v>
      </c>
      <c r="X288" t="b">
        <f>IF(_xlfn.MAXIFS(Contact[Sequence],Contact[Full Name],Contact[[#This Row],[Full Name]],Contact[Season],Contact[[#This Row],[Season]])=Contact[[#This Row],[Sequence]],TRUE,FALSE)</f>
        <v>1</v>
      </c>
      <c r="Y288" t="s">
        <v>190</v>
      </c>
      <c r="Z288">
        <v>0</v>
      </c>
      <c r="AA288">
        <f>IF(Contact[[#This Row],[Latest]]=TRUE,_xlfn.XLOOKUP(Contact[[#This Row],[Final Decision]],Table3[Final Decision],Table3[Active],0),0)</f>
        <v>0</v>
      </c>
      <c r="AB288">
        <f>SUMIF(Contact[Full Name],Contact[[#This Row],[Full Name]],Contact[Active])</f>
        <v>0</v>
      </c>
    </row>
    <row r="289" spans="1:28">
      <c r="A289">
        <v>1</v>
      </c>
      <c r="B289" t="s">
        <v>1031</v>
      </c>
      <c r="C289" t="s">
        <v>1032</v>
      </c>
      <c r="E289" t="s">
        <v>2388</v>
      </c>
      <c r="F289" t="s">
        <v>98</v>
      </c>
      <c r="G289" t="s">
        <v>2092</v>
      </c>
      <c r="I289" s="1" t="s">
        <v>1033</v>
      </c>
      <c r="J289" s="66" t="s">
        <v>2093</v>
      </c>
      <c r="L289" t="s">
        <v>2094</v>
      </c>
      <c r="M289" t="s">
        <v>90</v>
      </c>
      <c r="N289" t="s">
        <v>2095</v>
      </c>
      <c r="R289" t="s">
        <v>2093</v>
      </c>
      <c r="S289" t="s">
        <v>2093</v>
      </c>
      <c r="V289">
        <v>2020</v>
      </c>
      <c r="X289" t="b">
        <f>IF(_xlfn.MAXIFS(Contact[Sequence],Contact[Full Name],Contact[[#This Row],[Full Name]],Contact[Season],Contact[[#This Row],[Season]])=Contact[[#This Row],[Sequence]],TRUE,FALSE)</f>
        <v>1</v>
      </c>
      <c r="Y289" t="s">
        <v>190</v>
      </c>
      <c r="Z289" t="s">
        <v>1035</v>
      </c>
      <c r="AA289">
        <f>IF(Contact[[#This Row],[Latest]]=TRUE,_xlfn.XLOOKUP(Contact[[#This Row],[Final Decision]],Table3[Final Decision],Table3[Active],0),0)</f>
        <v>0</v>
      </c>
      <c r="AB289">
        <f>SUMIF(Contact[Full Name],Contact[[#This Row],[Full Name]],Contact[Active])</f>
        <v>0</v>
      </c>
    </row>
    <row r="290" spans="1:28">
      <c r="A290">
        <v>1</v>
      </c>
      <c r="B290" t="s">
        <v>670</v>
      </c>
      <c r="C290" t="s">
        <v>671</v>
      </c>
      <c r="E290" t="s">
        <v>2389</v>
      </c>
      <c r="F290" t="s">
        <v>102</v>
      </c>
      <c r="G290" t="s">
        <v>2100</v>
      </c>
      <c r="I290" s="1" t="s">
        <v>672</v>
      </c>
      <c r="J290" s="66" t="s">
        <v>673</v>
      </c>
      <c r="L290" t="s">
        <v>2094</v>
      </c>
      <c r="M290" t="s">
        <v>90</v>
      </c>
      <c r="N290" t="s">
        <v>2095</v>
      </c>
      <c r="P290" t="s">
        <v>676</v>
      </c>
      <c r="R290" t="s">
        <v>112</v>
      </c>
      <c r="S290" t="s">
        <v>2093</v>
      </c>
      <c r="V290">
        <v>2020</v>
      </c>
      <c r="X290" t="b">
        <f>IF(_xlfn.MAXIFS(Contact[Sequence],Contact[Full Name],Contact[[#This Row],[Full Name]],Contact[Season],Contact[[#This Row],[Season]])=Contact[[#This Row],[Sequence]],TRUE,FALSE)</f>
        <v>1</v>
      </c>
      <c r="Y290" t="s">
        <v>96</v>
      </c>
      <c r="Z290" t="s">
        <v>675</v>
      </c>
      <c r="AA290">
        <f>IF(Contact[[#This Row],[Latest]]=TRUE,_xlfn.XLOOKUP(Contact[[#This Row],[Final Decision]],Table3[Final Decision],Table3[Active],0),0)</f>
        <v>0</v>
      </c>
      <c r="AB290">
        <f>SUMIF(Contact[Full Name],Contact[[#This Row],[Full Name]],Contact[Active])</f>
        <v>0</v>
      </c>
    </row>
    <row r="291" spans="1:28">
      <c r="A291">
        <v>1</v>
      </c>
      <c r="B291" t="s">
        <v>946</v>
      </c>
      <c r="C291" t="s">
        <v>947</v>
      </c>
      <c r="E291" t="s">
        <v>2390</v>
      </c>
      <c r="F291" t="s">
        <v>95</v>
      </c>
      <c r="G291" t="s">
        <v>2092</v>
      </c>
      <c r="I291" s="1" t="s">
        <v>948</v>
      </c>
      <c r="J291" s="66" t="s">
        <v>949</v>
      </c>
      <c r="L291" t="s">
        <v>2094</v>
      </c>
      <c r="M291" t="s">
        <v>90</v>
      </c>
      <c r="N291" t="s">
        <v>2095</v>
      </c>
      <c r="P291" t="s">
        <v>951</v>
      </c>
      <c r="R291" t="s">
        <v>112</v>
      </c>
      <c r="S291" t="s">
        <v>2093</v>
      </c>
      <c r="V291">
        <v>2020</v>
      </c>
      <c r="X291" t="b">
        <f>IF(_xlfn.MAXIFS(Contact[Sequence],Contact[Full Name],Contact[[#This Row],[Full Name]],Contact[Season],Contact[[#This Row],[Season]])=Contact[[#This Row],[Sequence]],TRUE,FALSE)</f>
        <v>1</v>
      </c>
      <c r="Y291" t="s">
        <v>96</v>
      </c>
      <c r="Z291" t="s">
        <v>951</v>
      </c>
      <c r="AA291">
        <f>IF(Contact[[#This Row],[Latest]]=TRUE,_xlfn.XLOOKUP(Contact[[#This Row],[Final Decision]],Table3[Final Decision],Table3[Active],0),0)</f>
        <v>0</v>
      </c>
      <c r="AB291">
        <f>SUMIF(Contact[Full Name],Contact[[#This Row],[Full Name]],Contact[Active])</f>
        <v>0</v>
      </c>
    </row>
    <row r="292" spans="1:28">
      <c r="A292">
        <v>1</v>
      </c>
      <c r="B292" t="s">
        <v>503</v>
      </c>
      <c r="C292" t="s">
        <v>504</v>
      </c>
      <c r="E292" t="s">
        <v>2391</v>
      </c>
      <c r="F292" t="s">
        <v>95</v>
      </c>
      <c r="G292" t="s">
        <v>2092</v>
      </c>
      <c r="I292" s="1" t="s">
        <v>505</v>
      </c>
      <c r="J292" s="66" t="s">
        <v>506</v>
      </c>
      <c r="L292" t="s">
        <v>2094</v>
      </c>
      <c r="M292" t="s">
        <v>90</v>
      </c>
      <c r="N292" t="s">
        <v>2095</v>
      </c>
      <c r="R292" t="s">
        <v>2093</v>
      </c>
      <c r="S292" t="s">
        <v>2093</v>
      </c>
      <c r="V292">
        <v>2020</v>
      </c>
      <c r="X292" t="b">
        <f>IF(_xlfn.MAXIFS(Contact[Sequence],Contact[Full Name],Contact[[#This Row],[Full Name]],Contact[Season],Contact[[#This Row],[Season]])=Contact[[#This Row],[Sequence]],TRUE,FALSE)</f>
        <v>1</v>
      </c>
      <c r="Y292" t="s">
        <v>190</v>
      </c>
      <c r="Z292">
        <v>0</v>
      </c>
      <c r="AA292">
        <f>IF(Contact[[#This Row],[Latest]]=TRUE,_xlfn.XLOOKUP(Contact[[#This Row],[Final Decision]],Table3[Final Decision],Table3[Active],0),0)</f>
        <v>0</v>
      </c>
      <c r="AB292">
        <f>SUMIF(Contact[Full Name],Contact[[#This Row],[Full Name]],Contact[Active])</f>
        <v>0</v>
      </c>
    </row>
    <row r="293" spans="1:28">
      <c r="A293">
        <v>1</v>
      </c>
      <c r="B293" t="s">
        <v>508</v>
      </c>
      <c r="C293" t="s">
        <v>509</v>
      </c>
      <c r="E293" t="s">
        <v>2392</v>
      </c>
      <c r="F293" t="s">
        <v>95</v>
      </c>
      <c r="G293" t="s">
        <v>2092</v>
      </c>
      <c r="I293" s="1" t="s">
        <v>510</v>
      </c>
      <c r="J293" s="66" t="s">
        <v>511</v>
      </c>
      <c r="L293" t="s">
        <v>2094</v>
      </c>
      <c r="M293" t="s">
        <v>90</v>
      </c>
      <c r="N293" t="s">
        <v>2095</v>
      </c>
      <c r="R293" t="s">
        <v>2093</v>
      </c>
      <c r="S293" t="s">
        <v>2093</v>
      </c>
      <c r="V293">
        <v>2020</v>
      </c>
      <c r="X293" t="b">
        <f>IF(_xlfn.MAXIFS(Contact[Sequence],Contact[Full Name],Contact[[#This Row],[Full Name]],Contact[Season],Contact[[#This Row],[Season]])=Contact[[#This Row],[Sequence]],TRUE,FALSE)</f>
        <v>1</v>
      </c>
      <c r="Y293" t="s">
        <v>190</v>
      </c>
      <c r="Z293">
        <v>0</v>
      </c>
      <c r="AA293">
        <f>IF(Contact[[#This Row],[Latest]]=TRUE,_xlfn.XLOOKUP(Contact[[#This Row],[Final Decision]],Table3[Final Decision],Table3[Active],0),0)</f>
        <v>0</v>
      </c>
      <c r="AB293">
        <f>SUMIF(Contact[Full Name],Contact[[#This Row],[Full Name]],Contact[Active])</f>
        <v>0</v>
      </c>
    </row>
    <row r="294" spans="1:28">
      <c r="A294">
        <v>1</v>
      </c>
      <c r="B294" t="s">
        <v>1729</v>
      </c>
      <c r="C294" t="s">
        <v>1730</v>
      </c>
      <c r="E294" t="s">
        <v>2393</v>
      </c>
      <c r="F294" t="s">
        <v>98</v>
      </c>
      <c r="G294" t="s">
        <v>2092</v>
      </c>
      <c r="I294" s="1" t="s">
        <v>1731</v>
      </c>
      <c r="J294" s="66" t="s">
        <v>2093</v>
      </c>
      <c r="L294" t="s">
        <v>2094</v>
      </c>
      <c r="M294" t="s">
        <v>105</v>
      </c>
      <c r="N294" t="s">
        <v>2095</v>
      </c>
      <c r="R294" t="s">
        <v>2093</v>
      </c>
      <c r="S294" t="s">
        <v>2093</v>
      </c>
      <c r="V294">
        <v>2020</v>
      </c>
      <c r="X294" t="b">
        <f>IF(_xlfn.MAXIFS(Contact[Sequence],Contact[Full Name],Contact[[#This Row],[Full Name]],Contact[Season],Contact[[#This Row],[Season]])=Contact[[#This Row],[Sequence]],TRUE,FALSE)</f>
        <v>1</v>
      </c>
      <c r="Y294" t="s">
        <v>190</v>
      </c>
      <c r="Z294">
        <v>0</v>
      </c>
      <c r="AA294">
        <f>IF(Contact[[#This Row],[Latest]]=TRUE,_xlfn.XLOOKUP(Contact[[#This Row],[Final Decision]],Table3[Final Decision],Table3[Active],0),0)</f>
        <v>0</v>
      </c>
      <c r="AB294">
        <f>SUMIF(Contact[Full Name],Contact[[#This Row],[Full Name]],Contact[Active])</f>
        <v>0</v>
      </c>
    </row>
    <row r="295" spans="1:28">
      <c r="A295">
        <v>1</v>
      </c>
      <c r="B295" t="s">
        <v>129</v>
      </c>
      <c r="C295" t="s">
        <v>130</v>
      </c>
      <c r="E295" t="s">
        <v>2394</v>
      </c>
      <c r="F295" t="s">
        <v>95</v>
      </c>
      <c r="G295" t="s">
        <v>2092</v>
      </c>
      <c r="I295" s="1" t="s">
        <v>131</v>
      </c>
      <c r="J295" s="66" t="s">
        <v>132</v>
      </c>
      <c r="L295" t="s">
        <v>2094</v>
      </c>
      <c r="M295" t="s">
        <v>105</v>
      </c>
      <c r="N295" t="s">
        <v>2095</v>
      </c>
      <c r="P295" t="s">
        <v>97</v>
      </c>
      <c r="R295" t="s">
        <v>215</v>
      </c>
      <c r="S295" t="s">
        <v>2395</v>
      </c>
      <c r="V295">
        <v>2020</v>
      </c>
      <c r="X295" t="b">
        <f>IF(_xlfn.MAXIFS(Contact[Sequence],Contact[Full Name],Contact[[#This Row],[Full Name]],Contact[Season],Contact[[#This Row],[Season]])=Contact[[#This Row],[Sequence]],TRUE,FALSE)</f>
        <v>0</v>
      </c>
      <c r="Y295" t="s">
        <v>96</v>
      </c>
      <c r="Z295" t="s">
        <v>97</v>
      </c>
      <c r="AA295">
        <f>IF(Contact[[#This Row],[Latest]]=TRUE,_xlfn.XLOOKUP(Contact[[#This Row],[Final Decision]],Table3[Final Decision],Table3[Active],0),0)</f>
        <v>0</v>
      </c>
      <c r="AB295">
        <f>SUMIF(Contact[Full Name],Contact[[#This Row],[Full Name]],Contact[Active])</f>
        <v>0</v>
      </c>
    </row>
    <row r="296" spans="1:28">
      <c r="A296">
        <v>1</v>
      </c>
      <c r="B296" t="s">
        <v>513</v>
      </c>
      <c r="C296" t="s">
        <v>514</v>
      </c>
      <c r="E296" t="s">
        <v>2396</v>
      </c>
      <c r="F296" t="s">
        <v>95</v>
      </c>
      <c r="G296" t="s">
        <v>2092</v>
      </c>
      <c r="I296" s="1" t="s">
        <v>515</v>
      </c>
      <c r="J296" s="66" t="s">
        <v>2093</v>
      </c>
      <c r="L296" t="s">
        <v>2094</v>
      </c>
      <c r="M296" t="s">
        <v>185</v>
      </c>
      <c r="N296" t="s">
        <v>2095</v>
      </c>
      <c r="R296" t="s">
        <v>2093</v>
      </c>
      <c r="S296" t="s">
        <v>2093</v>
      </c>
      <c r="V296">
        <v>2020</v>
      </c>
      <c r="X296" t="b">
        <f>IF(_xlfn.MAXIFS(Contact[Sequence],Contact[Full Name],Contact[[#This Row],[Full Name]],Contact[Season],Contact[[#This Row],[Season]])=Contact[[#This Row],[Sequence]],TRUE,FALSE)</f>
        <v>1</v>
      </c>
      <c r="Y296" t="s">
        <v>190</v>
      </c>
      <c r="Z296">
        <v>0</v>
      </c>
      <c r="AA296">
        <f>IF(Contact[[#This Row],[Latest]]=TRUE,_xlfn.XLOOKUP(Contact[[#This Row],[Final Decision]],Table3[Final Decision],Table3[Active],0),0)</f>
        <v>0</v>
      </c>
      <c r="AB296">
        <f>SUMIF(Contact[Full Name],Contact[[#This Row],[Full Name]],Contact[Active])</f>
        <v>0</v>
      </c>
    </row>
    <row r="297" spans="1:28">
      <c r="A297">
        <v>1</v>
      </c>
      <c r="B297" t="s">
        <v>756</v>
      </c>
      <c r="C297" t="s">
        <v>757</v>
      </c>
      <c r="E297" t="s">
        <v>2397</v>
      </c>
      <c r="F297" t="s">
        <v>95</v>
      </c>
      <c r="G297" t="s">
        <v>2092</v>
      </c>
      <c r="I297" s="1" t="s">
        <v>758</v>
      </c>
      <c r="J297" s="66" t="s">
        <v>2093</v>
      </c>
      <c r="L297" t="s">
        <v>2094</v>
      </c>
      <c r="M297" t="s">
        <v>105</v>
      </c>
      <c r="N297" t="s">
        <v>2095</v>
      </c>
      <c r="P297" t="s">
        <v>760</v>
      </c>
      <c r="R297" t="s">
        <v>112</v>
      </c>
      <c r="S297" t="s">
        <v>678</v>
      </c>
      <c r="V297">
        <v>2020</v>
      </c>
      <c r="X297" t="b">
        <f>IF(_xlfn.MAXIFS(Contact[Sequence],Contact[Full Name],Contact[[#This Row],[Full Name]],Contact[Season],Contact[[#This Row],[Season]])=Contact[[#This Row],[Sequence]],TRUE,FALSE)</f>
        <v>1</v>
      </c>
      <c r="Y297" t="s">
        <v>96</v>
      </c>
      <c r="Z297" t="s">
        <v>760</v>
      </c>
      <c r="AA297">
        <f>IF(Contact[[#This Row],[Latest]]=TRUE,_xlfn.XLOOKUP(Contact[[#This Row],[Final Decision]],Table3[Final Decision],Table3[Active],0),0)</f>
        <v>0</v>
      </c>
      <c r="AB297">
        <f>SUMIF(Contact[Full Name],Contact[[#This Row],[Full Name]],Contact[Active])</f>
        <v>0</v>
      </c>
    </row>
    <row r="298" spans="1:28">
      <c r="A298">
        <v>1</v>
      </c>
      <c r="B298" t="s">
        <v>749</v>
      </c>
      <c r="C298" t="s">
        <v>1743</v>
      </c>
      <c r="E298" t="s">
        <v>2398</v>
      </c>
      <c r="F298" t="s">
        <v>95</v>
      </c>
      <c r="G298" t="s">
        <v>2092</v>
      </c>
      <c r="I298" s="1" t="s">
        <v>1744</v>
      </c>
      <c r="J298" s="66" t="s">
        <v>1745</v>
      </c>
      <c r="L298" t="s">
        <v>2094</v>
      </c>
      <c r="M298" t="s">
        <v>105</v>
      </c>
      <c r="N298" t="s">
        <v>2095</v>
      </c>
      <c r="R298" t="s">
        <v>2093</v>
      </c>
      <c r="S298" t="s">
        <v>2093</v>
      </c>
      <c r="V298">
        <v>2020</v>
      </c>
      <c r="X298" t="b">
        <f>IF(_xlfn.MAXIFS(Contact[Sequence],Contact[Full Name],Contact[[#This Row],[Full Name]],Contact[Season],Contact[[#This Row],[Season]])=Contact[[#This Row],[Sequence]],TRUE,FALSE)</f>
        <v>1</v>
      </c>
      <c r="Y298" t="s">
        <v>190</v>
      </c>
      <c r="Z298">
        <v>0</v>
      </c>
      <c r="AA298">
        <f>IF(Contact[[#This Row],[Latest]]=TRUE,_xlfn.XLOOKUP(Contact[[#This Row],[Final Decision]],Table3[Final Decision],Table3[Active],0),0)</f>
        <v>0</v>
      </c>
      <c r="AB298">
        <f>SUMIF(Contact[Full Name],Contact[[#This Row],[Full Name]],Contact[Active])</f>
        <v>0</v>
      </c>
    </row>
    <row r="299" spans="1:28">
      <c r="A299">
        <v>1</v>
      </c>
      <c r="B299" t="s">
        <v>749</v>
      </c>
      <c r="C299" t="s">
        <v>750</v>
      </c>
      <c r="E299" t="s">
        <v>2399</v>
      </c>
      <c r="F299" t="s">
        <v>98</v>
      </c>
      <c r="G299" t="s">
        <v>2100</v>
      </c>
      <c r="I299" s="1" t="s">
        <v>751</v>
      </c>
      <c r="J299" s="66"/>
      <c r="L299" t="s">
        <v>2094</v>
      </c>
      <c r="M299" t="s">
        <v>105</v>
      </c>
      <c r="N299" t="s">
        <v>2095</v>
      </c>
      <c r="P299" t="s">
        <v>754</v>
      </c>
      <c r="R299" t="s">
        <v>112</v>
      </c>
      <c r="S299" t="s">
        <v>635</v>
      </c>
      <c r="V299">
        <v>2020</v>
      </c>
      <c r="X299" t="b">
        <f>IF(_xlfn.MAXIFS(Contact[Sequence],Contact[Full Name],Contact[[#This Row],[Full Name]],Contact[Season],Contact[[#This Row],[Season]])=Contact[[#This Row],[Sequence]],TRUE,FALSE)</f>
        <v>1</v>
      </c>
      <c r="Y299" t="s">
        <v>96</v>
      </c>
      <c r="Z299" t="s">
        <v>687</v>
      </c>
      <c r="AA299">
        <f>IF(Contact[[#This Row],[Latest]]=TRUE,_xlfn.XLOOKUP(Contact[[#This Row],[Final Decision]],Table3[Final Decision],Table3[Active],0),0)</f>
        <v>0</v>
      </c>
      <c r="AB299">
        <f>SUMIF(Contact[Full Name],Contact[[#This Row],[Full Name]],Contact[Active])</f>
        <v>0</v>
      </c>
    </row>
    <row r="300" spans="1:28">
      <c r="A300">
        <v>1</v>
      </c>
      <c r="B300" t="s">
        <v>1515</v>
      </c>
      <c r="C300" t="s">
        <v>438</v>
      </c>
      <c r="E300" t="s">
        <v>2400</v>
      </c>
      <c r="F300" t="s">
        <v>98</v>
      </c>
      <c r="G300" t="s">
        <v>2092</v>
      </c>
      <c r="I300" s="1" t="s">
        <v>1516</v>
      </c>
      <c r="J300" s="66" t="s">
        <v>1517</v>
      </c>
      <c r="L300" t="s">
        <v>2094</v>
      </c>
      <c r="M300" t="s">
        <v>90</v>
      </c>
      <c r="N300" t="s">
        <v>2095</v>
      </c>
      <c r="R300" t="s">
        <v>2093</v>
      </c>
      <c r="S300" t="s">
        <v>2093</v>
      </c>
      <c r="V300">
        <v>2020</v>
      </c>
      <c r="X300" t="b">
        <f>IF(_xlfn.MAXIFS(Contact[Sequence],Contact[Full Name],Contact[[#This Row],[Full Name]],Contact[Season],Contact[[#This Row],[Season]])=Contact[[#This Row],[Sequence]],TRUE,FALSE)</f>
        <v>1</v>
      </c>
      <c r="Y300" t="s">
        <v>190</v>
      </c>
      <c r="Z300">
        <v>0</v>
      </c>
      <c r="AA300">
        <f>IF(Contact[[#This Row],[Latest]]=TRUE,_xlfn.XLOOKUP(Contact[[#This Row],[Final Decision]],Table3[Final Decision],Table3[Active],0),0)</f>
        <v>0</v>
      </c>
      <c r="AB300">
        <f>SUMIF(Contact[Full Name],Contact[[#This Row],[Full Name]],Contact[Active])</f>
        <v>0</v>
      </c>
    </row>
    <row r="301" spans="1:28">
      <c r="A301">
        <v>1</v>
      </c>
      <c r="B301" t="s">
        <v>1968</v>
      </c>
      <c r="C301" t="s">
        <v>298</v>
      </c>
      <c r="E301" t="s">
        <v>2401</v>
      </c>
      <c r="F301" t="s">
        <v>134</v>
      </c>
      <c r="G301" t="s">
        <v>2100</v>
      </c>
      <c r="I301" s="1" t="s">
        <v>1969</v>
      </c>
      <c r="J301" s="66" t="s">
        <v>2093</v>
      </c>
      <c r="L301" t="s">
        <v>2094</v>
      </c>
      <c r="M301" t="s">
        <v>105</v>
      </c>
      <c r="N301" t="s">
        <v>2095</v>
      </c>
      <c r="P301" t="s">
        <v>743</v>
      </c>
      <c r="R301" t="s">
        <v>112</v>
      </c>
      <c r="S301" t="s">
        <v>665</v>
      </c>
      <c r="V301">
        <v>2020</v>
      </c>
      <c r="X301" t="b">
        <f>IF(_xlfn.MAXIFS(Contact[Sequence],Contact[Full Name],Contact[[#This Row],[Full Name]],Contact[Season],Contact[[#This Row],[Season]])=Contact[[#This Row],[Sequence]],TRUE,FALSE)</f>
        <v>1</v>
      </c>
      <c r="Y301" t="s">
        <v>96</v>
      </c>
      <c r="Z301" t="s">
        <v>743</v>
      </c>
      <c r="AA301">
        <f>IF(Contact[[#This Row],[Latest]]=TRUE,_xlfn.XLOOKUP(Contact[[#This Row],[Final Decision]],Table3[Final Decision],Table3[Active],0),0)</f>
        <v>0</v>
      </c>
      <c r="AB301">
        <f>SUMIF(Contact[Full Name],Contact[[#This Row],[Full Name]],Contact[Active])</f>
        <v>0</v>
      </c>
    </row>
    <row r="302" spans="1:28">
      <c r="A302">
        <v>1</v>
      </c>
      <c r="B302" t="s">
        <v>517</v>
      </c>
      <c r="C302" t="s">
        <v>518</v>
      </c>
      <c r="E302" t="s">
        <v>2402</v>
      </c>
      <c r="F302" t="s">
        <v>95</v>
      </c>
      <c r="G302" t="s">
        <v>2092</v>
      </c>
      <c r="I302" s="1" t="s">
        <v>519</v>
      </c>
      <c r="J302" s="66" t="s">
        <v>2093</v>
      </c>
      <c r="L302" t="s">
        <v>2094</v>
      </c>
      <c r="M302" t="s">
        <v>90</v>
      </c>
      <c r="N302" t="s">
        <v>2095</v>
      </c>
      <c r="R302" t="s">
        <v>2093</v>
      </c>
      <c r="S302" t="s">
        <v>2093</v>
      </c>
      <c r="V302">
        <v>2020</v>
      </c>
      <c r="X302" t="b">
        <f>IF(_xlfn.MAXIFS(Contact[Sequence],Contact[Full Name],Contact[[#This Row],[Full Name]],Contact[Season],Contact[[#This Row],[Season]])=Contact[[#This Row],[Sequence]],TRUE,FALSE)</f>
        <v>1</v>
      </c>
      <c r="Y302" t="s">
        <v>190</v>
      </c>
      <c r="Z302">
        <v>0</v>
      </c>
      <c r="AA302">
        <f>IF(Contact[[#This Row],[Latest]]=TRUE,_xlfn.XLOOKUP(Contact[[#This Row],[Final Decision]],Table3[Final Decision],Table3[Active],0),0)</f>
        <v>0</v>
      </c>
      <c r="AB302">
        <f>SUMIF(Contact[Full Name],Contact[[#This Row],[Full Name]],Contact[Active])</f>
        <v>0</v>
      </c>
    </row>
    <row r="303" spans="1:28">
      <c r="A303">
        <v>1</v>
      </c>
      <c r="B303" t="s">
        <v>521</v>
      </c>
      <c r="C303" t="s">
        <v>522</v>
      </c>
      <c r="E303" t="s">
        <v>2403</v>
      </c>
      <c r="F303" t="s">
        <v>95</v>
      </c>
      <c r="G303" t="s">
        <v>2092</v>
      </c>
      <c r="I303" s="1" t="s">
        <v>523</v>
      </c>
      <c r="J303" s="66" t="s">
        <v>2093</v>
      </c>
      <c r="L303" t="s">
        <v>2094</v>
      </c>
      <c r="M303" t="s">
        <v>185</v>
      </c>
      <c r="N303" t="s">
        <v>2095</v>
      </c>
      <c r="R303" t="s">
        <v>2093</v>
      </c>
      <c r="S303" t="s">
        <v>2093</v>
      </c>
      <c r="V303">
        <v>2020</v>
      </c>
      <c r="X303" t="b">
        <f>IF(_xlfn.MAXIFS(Contact[Sequence],Contact[Full Name],Contact[[#This Row],[Full Name]],Contact[Season],Contact[[#This Row],[Season]])=Contact[[#This Row],[Sequence]],TRUE,FALSE)</f>
        <v>1</v>
      </c>
      <c r="Y303" t="s">
        <v>190</v>
      </c>
      <c r="Z303">
        <v>0</v>
      </c>
      <c r="AA303">
        <f>IF(Contact[[#This Row],[Latest]]=TRUE,_xlfn.XLOOKUP(Contact[[#This Row],[Final Decision]],Table3[Final Decision],Table3[Active],0),0)</f>
        <v>0</v>
      </c>
      <c r="AB303">
        <f>SUMIF(Contact[Full Name],Contact[[#This Row],[Full Name]],Contact[Active])</f>
        <v>0</v>
      </c>
    </row>
    <row r="304" spans="1:28">
      <c r="A304">
        <v>1</v>
      </c>
      <c r="B304" t="s">
        <v>1747</v>
      </c>
      <c r="C304" t="s">
        <v>1254</v>
      </c>
      <c r="E304" t="s">
        <v>2404</v>
      </c>
      <c r="F304" t="s">
        <v>98</v>
      </c>
      <c r="G304" t="s">
        <v>2092</v>
      </c>
      <c r="I304" s="1" t="s">
        <v>1748</v>
      </c>
      <c r="J304" s="66" t="s">
        <v>2093</v>
      </c>
      <c r="L304" t="s">
        <v>2094</v>
      </c>
      <c r="M304" t="s">
        <v>105</v>
      </c>
      <c r="N304" t="s">
        <v>2095</v>
      </c>
      <c r="R304" t="s">
        <v>2093</v>
      </c>
      <c r="S304" t="s">
        <v>2093</v>
      </c>
      <c r="V304">
        <v>2020</v>
      </c>
      <c r="X304" t="b">
        <f>IF(_xlfn.MAXIFS(Contact[Sequence],Contact[Full Name],Contact[[#This Row],[Full Name]],Contact[Season],Contact[[#This Row],[Season]])=Contact[[#This Row],[Sequence]],TRUE,FALSE)</f>
        <v>1</v>
      </c>
      <c r="Y304" t="s">
        <v>190</v>
      </c>
      <c r="Z304">
        <v>0</v>
      </c>
      <c r="AA304">
        <f>IF(Contact[[#This Row],[Latest]]=TRUE,_xlfn.XLOOKUP(Contact[[#This Row],[Final Decision]],Table3[Final Decision],Table3[Active],0),0)</f>
        <v>0</v>
      </c>
      <c r="AB304">
        <f>SUMIF(Contact[Full Name],Contact[[#This Row],[Full Name]],Contact[Active])</f>
        <v>0</v>
      </c>
    </row>
    <row r="305" spans="1:28">
      <c r="A305">
        <v>1</v>
      </c>
      <c r="B305" t="s">
        <v>965</v>
      </c>
      <c r="C305" t="s">
        <v>966</v>
      </c>
      <c r="E305" t="s">
        <v>2405</v>
      </c>
      <c r="F305" t="s">
        <v>95</v>
      </c>
      <c r="G305" t="s">
        <v>2092</v>
      </c>
      <c r="I305" s="1" t="s">
        <v>967</v>
      </c>
      <c r="J305" s="66" t="s">
        <v>968</v>
      </c>
      <c r="L305" t="s">
        <v>2094</v>
      </c>
      <c r="M305" t="s">
        <v>105</v>
      </c>
      <c r="N305" t="s">
        <v>2095</v>
      </c>
      <c r="P305" t="s">
        <v>665</v>
      </c>
      <c r="R305" t="s">
        <v>112</v>
      </c>
      <c r="S305" t="s">
        <v>2093</v>
      </c>
      <c r="V305">
        <v>2020</v>
      </c>
      <c r="X305" t="b">
        <f>IF(_xlfn.MAXIFS(Contact[Sequence],Contact[Full Name],Contact[[#This Row],[Full Name]],Contact[Season],Contact[[#This Row],[Season]])=Contact[[#This Row],[Sequence]],TRUE,FALSE)</f>
        <v>1</v>
      </c>
      <c r="Y305" t="s">
        <v>96</v>
      </c>
      <c r="Z305" t="s">
        <v>665</v>
      </c>
      <c r="AA305">
        <f>IF(Contact[[#This Row],[Latest]]=TRUE,_xlfn.XLOOKUP(Contact[[#This Row],[Final Decision]],Table3[Final Decision],Table3[Active],0),0)</f>
        <v>0</v>
      </c>
      <c r="AB305">
        <f>SUMIF(Contact[Full Name],Contact[[#This Row],[Full Name]],Contact[Active])</f>
        <v>0</v>
      </c>
    </row>
    <row r="306" spans="1:28">
      <c r="A306">
        <v>1</v>
      </c>
      <c r="B306" t="s">
        <v>1750</v>
      </c>
      <c r="C306" t="s">
        <v>1751</v>
      </c>
      <c r="E306" t="s">
        <v>2406</v>
      </c>
      <c r="F306" t="s">
        <v>95</v>
      </c>
      <c r="G306" t="s">
        <v>2092</v>
      </c>
      <c r="I306" s="1" t="s">
        <v>1752</v>
      </c>
      <c r="J306" s="66" t="s">
        <v>1753</v>
      </c>
      <c r="L306" t="s">
        <v>2094</v>
      </c>
      <c r="M306" t="s">
        <v>105</v>
      </c>
      <c r="N306" t="s">
        <v>2095</v>
      </c>
      <c r="R306" t="s">
        <v>2093</v>
      </c>
      <c r="S306" t="s">
        <v>2093</v>
      </c>
      <c r="V306">
        <v>2020</v>
      </c>
      <c r="X306" t="b">
        <f>IF(_xlfn.MAXIFS(Contact[Sequence],Contact[Full Name],Contact[[#This Row],[Full Name]],Contact[Season],Contact[[#This Row],[Season]])=Contact[[#This Row],[Sequence]],TRUE,FALSE)</f>
        <v>1</v>
      </c>
      <c r="Y306" t="s">
        <v>190</v>
      </c>
      <c r="Z306">
        <v>0</v>
      </c>
      <c r="AA306">
        <f>IF(Contact[[#This Row],[Latest]]=TRUE,_xlfn.XLOOKUP(Contact[[#This Row],[Final Decision]],Table3[Final Decision],Table3[Active],0),0)</f>
        <v>0</v>
      </c>
      <c r="AB306">
        <f>SUMIF(Contact[Full Name],Contact[[#This Row],[Full Name]],Contact[Active])</f>
        <v>0</v>
      </c>
    </row>
    <row r="307" spans="1:28">
      <c r="A307">
        <v>1</v>
      </c>
      <c r="B307" t="s">
        <v>961</v>
      </c>
      <c r="C307" t="s">
        <v>522</v>
      </c>
      <c r="E307" t="s">
        <v>2407</v>
      </c>
      <c r="F307" t="s">
        <v>95</v>
      </c>
      <c r="G307" t="s">
        <v>2092</v>
      </c>
      <c r="I307" s="1" t="s">
        <v>962</v>
      </c>
      <c r="J307" s="66"/>
      <c r="L307" t="s">
        <v>2094</v>
      </c>
      <c r="M307" t="s">
        <v>105</v>
      </c>
      <c r="N307" t="s">
        <v>2095</v>
      </c>
      <c r="P307" t="s">
        <v>964</v>
      </c>
      <c r="R307" t="s">
        <v>112</v>
      </c>
      <c r="S307" t="s">
        <v>2093</v>
      </c>
      <c r="V307">
        <v>2020</v>
      </c>
      <c r="X307" t="b">
        <f>IF(_xlfn.MAXIFS(Contact[Sequence],Contact[Full Name],Contact[[#This Row],[Full Name]],Contact[Season],Contact[[#This Row],[Season]])=Contact[[#This Row],[Sequence]],TRUE,FALSE)</f>
        <v>1</v>
      </c>
      <c r="Y307" t="s">
        <v>96</v>
      </c>
      <c r="Z307" t="s">
        <v>964</v>
      </c>
      <c r="AA307">
        <f>IF(Contact[[#This Row],[Latest]]=TRUE,_xlfn.XLOOKUP(Contact[[#This Row],[Final Decision]],Table3[Final Decision],Table3[Active],0),0)</f>
        <v>0</v>
      </c>
      <c r="AB307">
        <f>SUMIF(Contact[Full Name],Contact[[#This Row],[Full Name]],Contact[Active])</f>
        <v>0</v>
      </c>
    </row>
    <row r="308" spans="1:28">
      <c r="A308">
        <v>1</v>
      </c>
      <c r="B308" t="s">
        <v>1733</v>
      </c>
      <c r="C308" t="s">
        <v>1734</v>
      </c>
      <c r="E308" t="s">
        <v>2408</v>
      </c>
      <c r="F308" t="s">
        <v>98</v>
      </c>
      <c r="G308" t="s">
        <v>2092</v>
      </c>
      <c r="I308" s="1" t="s">
        <v>1735</v>
      </c>
      <c r="J308" s="66" t="s">
        <v>1736</v>
      </c>
      <c r="L308" t="s">
        <v>2094</v>
      </c>
      <c r="M308" t="s">
        <v>90</v>
      </c>
      <c r="N308" t="s">
        <v>2095</v>
      </c>
      <c r="R308" t="s">
        <v>2093</v>
      </c>
      <c r="S308" t="s">
        <v>2093</v>
      </c>
      <c r="V308">
        <v>2020</v>
      </c>
      <c r="X308" t="b">
        <f>IF(_xlfn.MAXIFS(Contact[Sequence],Contact[Full Name],Contact[[#This Row],[Full Name]],Contact[Season],Contact[[#This Row],[Season]])=Contact[[#This Row],[Sequence]],TRUE,FALSE)</f>
        <v>1</v>
      </c>
      <c r="Y308" t="s">
        <v>190</v>
      </c>
      <c r="Z308">
        <v>0</v>
      </c>
      <c r="AA308">
        <f>IF(Contact[[#This Row],[Latest]]=TRUE,_xlfn.XLOOKUP(Contact[[#This Row],[Final Decision]],Table3[Final Decision],Table3[Active],0),0)</f>
        <v>0</v>
      </c>
      <c r="AB308">
        <f>SUMIF(Contact[Full Name],Contact[[#This Row],[Full Name]],Contact[Active])</f>
        <v>0</v>
      </c>
    </row>
    <row r="309" spans="1:28">
      <c r="A309">
        <v>1</v>
      </c>
      <c r="B309" t="s">
        <v>1739</v>
      </c>
      <c r="C309" t="s">
        <v>1740</v>
      </c>
      <c r="E309" t="s">
        <v>2409</v>
      </c>
      <c r="F309" t="s">
        <v>98</v>
      </c>
      <c r="G309" t="s">
        <v>2092</v>
      </c>
      <c r="I309" s="1" t="s">
        <v>1741</v>
      </c>
      <c r="J309" s="66" t="s">
        <v>2093</v>
      </c>
      <c r="L309" t="s">
        <v>2094</v>
      </c>
      <c r="M309" t="s">
        <v>105</v>
      </c>
      <c r="N309" t="s">
        <v>2095</v>
      </c>
      <c r="R309" t="s">
        <v>2093</v>
      </c>
      <c r="S309" t="s">
        <v>2093</v>
      </c>
      <c r="V309">
        <v>2020</v>
      </c>
      <c r="X309" t="b">
        <f>IF(_xlfn.MAXIFS(Contact[Sequence],Contact[Full Name],Contact[[#This Row],[Full Name]],Contact[Season],Contact[[#This Row],[Season]])=Contact[[#This Row],[Sequence]],TRUE,FALSE)</f>
        <v>1</v>
      </c>
      <c r="Y309" t="s">
        <v>190</v>
      </c>
      <c r="Z309">
        <v>0</v>
      </c>
      <c r="AA309">
        <f>IF(Contact[[#This Row],[Latest]]=TRUE,_xlfn.XLOOKUP(Contact[[#This Row],[Final Decision]],Table3[Final Decision],Table3[Active],0),0)</f>
        <v>0</v>
      </c>
      <c r="AB309">
        <f>SUMIF(Contact[Full Name],Contact[[#This Row],[Full Name]],Contact[Active])</f>
        <v>0</v>
      </c>
    </row>
    <row r="310" spans="1:28">
      <c r="A310">
        <v>1</v>
      </c>
      <c r="B310" t="s">
        <v>1739</v>
      </c>
      <c r="C310" t="s">
        <v>1755</v>
      </c>
      <c r="E310" t="s">
        <v>2410</v>
      </c>
      <c r="F310" t="s">
        <v>98</v>
      </c>
      <c r="G310" t="s">
        <v>2092</v>
      </c>
      <c r="I310" s="1" t="s">
        <v>1756</v>
      </c>
      <c r="J310" s="66" t="s">
        <v>2093</v>
      </c>
      <c r="L310" t="s">
        <v>2094</v>
      </c>
      <c r="M310" t="s">
        <v>105</v>
      </c>
      <c r="N310" t="s">
        <v>2095</v>
      </c>
      <c r="R310" t="s">
        <v>2093</v>
      </c>
      <c r="S310" t="s">
        <v>2093</v>
      </c>
      <c r="V310">
        <v>2020</v>
      </c>
      <c r="X310" t="b">
        <f>IF(_xlfn.MAXIFS(Contact[Sequence],Contact[Full Name],Contact[[#This Row],[Full Name]],Contact[Season],Contact[[#This Row],[Season]])=Contact[[#This Row],[Sequence]],TRUE,FALSE)</f>
        <v>1</v>
      </c>
      <c r="Y310" t="s">
        <v>190</v>
      </c>
      <c r="Z310">
        <v>0</v>
      </c>
      <c r="AA310">
        <f>IF(Contact[[#This Row],[Latest]]=TRUE,_xlfn.XLOOKUP(Contact[[#This Row],[Final Decision]],Table3[Final Decision],Table3[Active],0),0)</f>
        <v>0</v>
      </c>
      <c r="AB310">
        <f>SUMIF(Contact[Full Name],Contact[[#This Row],[Full Name]],Contact[Active])</f>
        <v>0</v>
      </c>
    </row>
    <row r="311" spans="1:28">
      <c r="A311">
        <v>1</v>
      </c>
      <c r="B311" t="s">
        <v>1758</v>
      </c>
      <c r="C311" t="s">
        <v>1759</v>
      </c>
      <c r="E311" t="s">
        <v>2411</v>
      </c>
      <c r="F311" t="s">
        <v>95</v>
      </c>
      <c r="G311" t="s">
        <v>2092</v>
      </c>
      <c r="I311" s="1" t="s">
        <v>1760</v>
      </c>
      <c r="J311" s="66"/>
      <c r="L311" t="s">
        <v>2094</v>
      </c>
      <c r="M311" t="s">
        <v>105</v>
      </c>
      <c r="N311" t="s">
        <v>2095</v>
      </c>
      <c r="R311" t="s">
        <v>2093</v>
      </c>
      <c r="S311" t="s">
        <v>2093</v>
      </c>
      <c r="V311">
        <v>2020</v>
      </c>
      <c r="X311" t="b">
        <f>IF(_xlfn.MAXIFS(Contact[Sequence],Contact[Full Name],Contact[[#This Row],[Full Name]],Contact[Season],Contact[[#This Row],[Season]])=Contact[[#This Row],[Sequence]],TRUE,FALSE)</f>
        <v>1</v>
      </c>
      <c r="Y311" t="s">
        <v>190</v>
      </c>
      <c r="Z311">
        <v>0</v>
      </c>
      <c r="AA311">
        <f>IF(Contact[[#This Row],[Latest]]=TRUE,_xlfn.XLOOKUP(Contact[[#This Row],[Final Decision]],Table3[Final Decision],Table3[Active],0),0)</f>
        <v>0</v>
      </c>
      <c r="AB311">
        <f>SUMIF(Contact[Full Name],Contact[[#This Row],[Full Name]],Contact[Active])</f>
        <v>0</v>
      </c>
    </row>
    <row r="312" spans="1:28">
      <c r="A312">
        <v>1</v>
      </c>
      <c r="B312" t="s">
        <v>1762</v>
      </c>
      <c r="C312" t="s">
        <v>1763</v>
      </c>
      <c r="E312" t="s">
        <v>2412</v>
      </c>
      <c r="F312" t="s">
        <v>95</v>
      </c>
      <c r="G312" t="s">
        <v>2092</v>
      </c>
      <c r="I312" s="1" t="s">
        <v>1764</v>
      </c>
      <c r="J312" s="66"/>
      <c r="L312" t="s">
        <v>2094</v>
      </c>
      <c r="M312" t="s">
        <v>105</v>
      </c>
      <c r="N312" t="s">
        <v>2095</v>
      </c>
      <c r="R312" t="s">
        <v>2093</v>
      </c>
      <c r="S312" t="s">
        <v>2093</v>
      </c>
      <c r="V312">
        <v>2020</v>
      </c>
      <c r="X312" t="b">
        <f>IF(_xlfn.MAXIFS(Contact[Sequence],Contact[Full Name],Contact[[#This Row],[Full Name]],Contact[Season],Contact[[#This Row],[Season]])=Contact[[#This Row],[Sequence]],TRUE,FALSE)</f>
        <v>1</v>
      </c>
      <c r="Y312" t="s">
        <v>190</v>
      </c>
      <c r="Z312">
        <v>0</v>
      </c>
      <c r="AA312">
        <f>IF(Contact[[#This Row],[Latest]]=TRUE,_xlfn.XLOOKUP(Contact[[#This Row],[Final Decision]],Table3[Final Decision],Table3[Active],0),0)</f>
        <v>0</v>
      </c>
      <c r="AB312">
        <f>SUMIF(Contact[Full Name],Contact[[#This Row],[Full Name]],Contact[Active])</f>
        <v>0</v>
      </c>
    </row>
    <row r="313" spans="1:28">
      <c r="A313">
        <v>1</v>
      </c>
      <c r="B313" t="s">
        <v>134</v>
      </c>
      <c r="C313" t="s">
        <v>956</v>
      </c>
      <c r="E313" t="s">
        <v>2413</v>
      </c>
      <c r="F313" t="s">
        <v>95</v>
      </c>
      <c r="G313" t="s">
        <v>2092</v>
      </c>
      <c r="I313" s="1" t="s">
        <v>957</v>
      </c>
      <c r="J313" s="66"/>
      <c r="L313" t="s">
        <v>2094</v>
      </c>
      <c r="M313" t="s">
        <v>105</v>
      </c>
      <c r="N313" t="s">
        <v>2095</v>
      </c>
      <c r="P313" t="s">
        <v>960</v>
      </c>
      <c r="R313" t="s">
        <v>112</v>
      </c>
      <c r="S313" t="s">
        <v>2093</v>
      </c>
      <c r="V313">
        <v>2020</v>
      </c>
      <c r="X313" t="b">
        <f>IF(_xlfn.MAXIFS(Contact[Sequence],Contact[Full Name],Contact[[#This Row],[Full Name]],Contact[Season],Contact[[#This Row],[Season]])=Contact[[#This Row],[Sequence]],TRUE,FALSE)</f>
        <v>1</v>
      </c>
      <c r="Y313" t="s">
        <v>96</v>
      </c>
      <c r="Z313" t="s">
        <v>960</v>
      </c>
      <c r="AA313">
        <f>IF(Contact[[#This Row],[Latest]]=TRUE,_xlfn.XLOOKUP(Contact[[#This Row],[Final Decision]],Table3[Final Decision],Table3[Active],0),0)</f>
        <v>0</v>
      </c>
      <c r="AB313">
        <f>SUMIF(Contact[Full Name],Contact[[#This Row],[Full Name]],Contact[Active])</f>
        <v>0</v>
      </c>
    </row>
    <row r="314" spans="1:28">
      <c r="A314">
        <v>1</v>
      </c>
      <c r="B314" t="s">
        <v>1766</v>
      </c>
      <c r="C314" t="s">
        <v>1767</v>
      </c>
      <c r="E314" t="s">
        <v>2414</v>
      </c>
      <c r="F314" t="s">
        <v>95</v>
      </c>
      <c r="G314" t="s">
        <v>2092</v>
      </c>
      <c r="I314" s="1" t="s">
        <v>1768</v>
      </c>
      <c r="J314" s="66" t="s">
        <v>2093</v>
      </c>
      <c r="L314" t="s">
        <v>2094</v>
      </c>
      <c r="M314" t="s">
        <v>90</v>
      </c>
      <c r="N314" t="s">
        <v>2095</v>
      </c>
      <c r="R314" t="s">
        <v>2093</v>
      </c>
      <c r="S314" t="s">
        <v>2093</v>
      </c>
      <c r="V314">
        <v>2020</v>
      </c>
      <c r="X314" t="b">
        <f>IF(_xlfn.MAXIFS(Contact[Sequence],Contact[Full Name],Contact[[#This Row],[Full Name]],Contact[Season],Contact[[#This Row],[Season]])=Contact[[#This Row],[Sequence]],TRUE,FALSE)</f>
        <v>1</v>
      </c>
      <c r="Y314" t="s">
        <v>190</v>
      </c>
      <c r="Z314">
        <v>0</v>
      </c>
      <c r="AA314">
        <f>IF(Contact[[#This Row],[Latest]]=TRUE,_xlfn.XLOOKUP(Contact[[#This Row],[Final Decision]],Table3[Final Decision],Table3[Active],0),0)</f>
        <v>0</v>
      </c>
      <c r="AB314">
        <f>SUMIF(Contact[Full Name],Contact[[#This Row],[Full Name]],Contact[Active])</f>
        <v>0</v>
      </c>
    </row>
    <row r="315" spans="1:28">
      <c r="A315">
        <v>1</v>
      </c>
      <c r="B315" t="s">
        <v>653</v>
      </c>
      <c r="C315" t="s">
        <v>654</v>
      </c>
      <c r="E315" t="s">
        <v>2415</v>
      </c>
      <c r="F315" t="s">
        <v>102</v>
      </c>
      <c r="G315" t="s">
        <v>2100</v>
      </c>
      <c r="I315" s="1" t="s">
        <v>655</v>
      </c>
      <c r="J315" s="66" t="s">
        <v>656</v>
      </c>
      <c r="L315" t="s">
        <v>2094</v>
      </c>
      <c r="M315" t="s">
        <v>185</v>
      </c>
      <c r="N315" t="s">
        <v>2095</v>
      </c>
      <c r="P315" t="s">
        <v>659</v>
      </c>
      <c r="R315" t="s">
        <v>112</v>
      </c>
      <c r="S315" t="s">
        <v>306</v>
      </c>
      <c r="V315">
        <v>2020</v>
      </c>
      <c r="X315" t="b">
        <f>IF(_xlfn.MAXIFS(Contact[Sequence],Contact[Full Name],Contact[[#This Row],[Full Name]],Contact[Season],Contact[[#This Row],[Season]])=Contact[[#This Row],[Sequence]],TRUE,FALSE)</f>
        <v>1</v>
      </c>
      <c r="Y315" t="s">
        <v>96</v>
      </c>
      <c r="Z315" t="s">
        <v>658</v>
      </c>
      <c r="AA315">
        <f>IF(Contact[[#This Row],[Latest]]=TRUE,_xlfn.XLOOKUP(Contact[[#This Row],[Final Decision]],Table3[Final Decision],Table3[Active],0),0)</f>
        <v>0</v>
      </c>
      <c r="AB315">
        <f>SUMIF(Contact[Full Name],Contact[[#This Row],[Full Name]],Contact[Active])</f>
        <v>0</v>
      </c>
    </row>
    <row r="316" spans="1:28">
      <c r="A316">
        <v>1</v>
      </c>
      <c r="B316" t="s">
        <v>711</v>
      </c>
      <c r="C316" t="s">
        <v>712</v>
      </c>
      <c r="E316" t="s">
        <v>2416</v>
      </c>
      <c r="F316" t="s">
        <v>102</v>
      </c>
      <c r="G316" t="s">
        <v>2100</v>
      </c>
      <c r="I316" s="1" t="s">
        <v>713</v>
      </c>
      <c r="J316" s="66" t="s">
        <v>2093</v>
      </c>
      <c r="L316" t="s">
        <v>2094</v>
      </c>
      <c r="M316" t="s">
        <v>90</v>
      </c>
      <c r="N316" t="s">
        <v>2095</v>
      </c>
      <c r="P316" t="s">
        <v>715</v>
      </c>
      <c r="R316" t="s">
        <v>175</v>
      </c>
      <c r="S316" t="s">
        <v>678</v>
      </c>
      <c r="V316">
        <v>2020</v>
      </c>
      <c r="X316" t="b">
        <f>IF(_xlfn.MAXIFS(Contact[Sequence],Contact[Full Name],Contact[[#This Row],[Full Name]],Contact[Season],Contact[[#This Row],[Season]])=Contact[[#This Row],[Sequence]],TRUE,FALSE)</f>
        <v>1</v>
      </c>
      <c r="Y316" t="s">
        <v>96</v>
      </c>
      <c r="Z316" t="s">
        <v>707</v>
      </c>
      <c r="AA316">
        <f>IF(Contact[[#This Row],[Latest]]=TRUE,_xlfn.XLOOKUP(Contact[[#This Row],[Final Decision]],Table3[Final Decision],Table3[Active],0),0)</f>
        <v>0</v>
      </c>
      <c r="AB316">
        <f>SUMIF(Contact[Full Name],Contact[[#This Row],[Full Name]],Contact[Active])</f>
        <v>0</v>
      </c>
    </row>
    <row r="317" spans="1:28">
      <c r="A317">
        <v>1</v>
      </c>
      <c r="B317" t="s">
        <v>767</v>
      </c>
      <c r="C317" t="s">
        <v>768</v>
      </c>
      <c r="E317" t="s">
        <v>2417</v>
      </c>
      <c r="F317" t="s">
        <v>98</v>
      </c>
      <c r="G317" t="s">
        <v>2100</v>
      </c>
      <c r="I317" s="1" t="s">
        <v>769</v>
      </c>
      <c r="J317" s="66" t="s">
        <v>770</v>
      </c>
      <c r="L317" t="s">
        <v>2094</v>
      </c>
      <c r="M317" t="s">
        <v>105</v>
      </c>
      <c r="N317" t="s">
        <v>2095</v>
      </c>
      <c r="P317" t="s">
        <v>771</v>
      </c>
      <c r="R317" t="s">
        <v>112</v>
      </c>
      <c r="S317" t="s">
        <v>635</v>
      </c>
      <c r="V317">
        <v>2020</v>
      </c>
      <c r="X317" t="b">
        <f>IF(_xlfn.MAXIFS(Contact[Sequence],Contact[Full Name],Contact[[#This Row],[Full Name]],Contact[Season],Contact[[#This Row],[Season]])=Contact[[#This Row],[Sequence]],TRUE,FALSE)</f>
        <v>1</v>
      </c>
      <c r="Y317">
        <v>0</v>
      </c>
      <c r="Z317">
        <v>0</v>
      </c>
      <c r="AA317">
        <f>IF(Contact[[#This Row],[Latest]]=TRUE,_xlfn.XLOOKUP(Contact[[#This Row],[Final Decision]],Table3[Final Decision],Table3[Active],0),0)</f>
        <v>0</v>
      </c>
      <c r="AB317">
        <f>SUMIF(Contact[Full Name],Contact[[#This Row],[Full Name]],Contact[Active])</f>
        <v>0</v>
      </c>
    </row>
    <row r="318" spans="1:28">
      <c r="A318">
        <v>1</v>
      </c>
      <c r="B318" t="s">
        <v>1775</v>
      </c>
      <c r="C318" t="s">
        <v>1776</v>
      </c>
      <c r="E318" t="s">
        <v>2418</v>
      </c>
      <c r="F318" t="s">
        <v>98</v>
      </c>
      <c r="G318" t="s">
        <v>2092</v>
      </c>
      <c r="I318" s="1" t="s">
        <v>1777</v>
      </c>
      <c r="J318" s="66" t="s">
        <v>2093</v>
      </c>
      <c r="L318" t="s">
        <v>2094</v>
      </c>
      <c r="M318" t="s">
        <v>105</v>
      </c>
      <c r="N318" t="s">
        <v>2095</v>
      </c>
      <c r="R318" t="s">
        <v>2093</v>
      </c>
      <c r="S318" t="s">
        <v>2093</v>
      </c>
      <c r="V318">
        <v>2020</v>
      </c>
      <c r="X318" t="b">
        <f>IF(_xlfn.MAXIFS(Contact[Sequence],Contact[Full Name],Contact[[#This Row],[Full Name]],Contact[Season],Contact[[#This Row],[Season]])=Contact[[#This Row],[Sequence]],TRUE,FALSE)</f>
        <v>1</v>
      </c>
      <c r="Y318" t="s">
        <v>190</v>
      </c>
      <c r="Z318">
        <v>0</v>
      </c>
      <c r="AA318">
        <f>IF(Contact[[#This Row],[Latest]]=TRUE,_xlfn.XLOOKUP(Contact[[#This Row],[Final Decision]],Table3[Final Decision],Table3[Active],0),0)</f>
        <v>0</v>
      </c>
      <c r="AB318">
        <f>SUMIF(Contact[Full Name],Contact[[#This Row],[Full Name]],Contact[Active])</f>
        <v>0</v>
      </c>
    </row>
    <row r="319" spans="1:28">
      <c r="A319">
        <v>1</v>
      </c>
      <c r="B319" t="s">
        <v>525</v>
      </c>
      <c r="C319" t="s">
        <v>526</v>
      </c>
      <c r="E319" t="s">
        <v>2419</v>
      </c>
      <c r="F319" t="s">
        <v>95</v>
      </c>
      <c r="G319" t="s">
        <v>2092</v>
      </c>
      <c r="I319" s="1" t="s">
        <v>527</v>
      </c>
      <c r="J319" s="66" t="s">
        <v>2093</v>
      </c>
      <c r="L319" t="s">
        <v>2094</v>
      </c>
      <c r="M319" t="s">
        <v>185</v>
      </c>
      <c r="N319" t="s">
        <v>2095</v>
      </c>
      <c r="R319" t="s">
        <v>2093</v>
      </c>
      <c r="S319" t="s">
        <v>2093</v>
      </c>
      <c r="V319">
        <v>2020</v>
      </c>
      <c r="X319" t="b">
        <f>IF(_xlfn.MAXIFS(Contact[Sequence],Contact[Full Name],Contact[[#This Row],[Full Name]],Contact[Season],Contact[[#This Row],[Season]])=Contact[[#This Row],[Sequence]],TRUE,FALSE)</f>
        <v>1</v>
      </c>
      <c r="Y319" t="s">
        <v>190</v>
      </c>
      <c r="Z319">
        <v>0</v>
      </c>
      <c r="AA319">
        <f>IF(Contact[[#This Row],[Latest]]=TRUE,_xlfn.XLOOKUP(Contact[[#This Row],[Final Decision]],Table3[Final Decision],Table3[Active],0),0)</f>
        <v>0</v>
      </c>
      <c r="AB319">
        <f>SUMIF(Contact[Full Name],Contact[[#This Row],[Full Name]],Contact[Active])</f>
        <v>0</v>
      </c>
    </row>
    <row r="320" spans="1:28">
      <c r="A320">
        <v>1</v>
      </c>
      <c r="B320" t="s">
        <v>1971</v>
      </c>
      <c r="C320" t="s">
        <v>943</v>
      </c>
      <c r="E320" t="s">
        <v>2420</v>
      </c>
      <c r="F320" t="s">
        <v>102</v>
      </c>
      <c r="G320" t="s">
        <v>2100</v>
      </c>
      <c r="I320" s="1" t="s">
        <v>1972</v>
      </c>
      <c r="J320" s="66" t="s">
        <v>2093</v>
      </c>
      <c r="L320" t="s">
        <v>2094</v>
      </c>
      <c r="M320" t="s">
        <v>185</v>
      </c>
      <c r="N320" t="s">
        <v>2095</v>
      </c>
      <c r="P320" t="s">
        <v>1975</v>
      </c>
      <c r="R320" t="s">
        <v>112</v>
      </c>
      <c r="S320" t="s">
        <v>665</v>
      </c>
      <c r="V320">
        <v>2020</v>
      </c>
      <c r="X320" t="b">
        <f>IF(_xlfn.MAXIFS(Contact[Sequence],Contact[Full Name],Contact[[#This Row],[Full Name]],Contact[Season],Contact[[#This Row],[Season]])=Contact[[#This Row],[Sequence]],TRUE,FALSE)</f>
        <v>1</v>
      </c>
      <c r="Y320" t="s">
        <v>96</v>
      </c>
      <c r="Z320" t="s">
        <v>1974</v>
      </c>
      <c r="AA320">
        <f>IF(Contact[[#This Row],[Latest]]=TRUE,_xlfn.XLOOKUP(Contact[[#This Row],[Final Decision]],Table3[Final Decision],Table3[Active],0),0)</f>
        <v>0</v>
      </c>
      <c r="AB320">
        <f>SUMIF(Contact[Full Name],Contact[[#This Row],[Full Name]],Contact[Active])</f>
        <v>0</v>
      </c>
    </row>
    <row r="321" spans="1:28">
      <c r="A321">
        <v>1</v>
      </c>
      <c r="B321" t="s">
        <v>970</v>
      </c>
      <c r="C321" t="s">
        <v>298</v>
      </c>
      <c r="E321" t="s">
        <v>2421</v>
      </c>
      <c r="F321" t="s">
        <v>98</v>
      </c>
      <c r="G321" t="s">
        <v>2092</v>
      </c>
      <c r="I321" s="1" t="s">
        <v>971</v>
      </c>
      <c r="J321" s="66" t="s">
        <v>2093</v>
      </c>
      <c r="L321" t="s">
        <v>2094</v>
      </c>
      <c r="M321" t="s">
        <v>90</v>
      </c>
      <c r="N321" t="s">
        <v>2095</v>
      </c>
      <c r="P321" t="s">
        <v>974</v>
      </c>
      <c r="R321" t="s">
        <v>112</v>
      </c>
      <c r="S321" t="s">
        <v>2093</v>
      </c>
      <c r="V321">
        <v>2020</v>
      </c>
      <c r="X321" t="b">
        <f>IF(_xlfn.MAXIFS(Contact[Sequence],Contact[Full Name],Contact[[#This Row],[Full Name]],Contact[Season],Contact[[#This Row],[Season]])=Contact[[#This Row],[Sequence]],TRUE,FALSE)</f>
        <v>1</v>
      </c>
      <c r="Y321" t="s">
        <v>96</v>
      </c>
      <c r="Z321" t="s">
        <v>974</v>
      </c>
      <c r="AA321">
        <f>IF(Contact[[#This Row],[Latest]]=TRUE,_xlfn.XLOOKUP(Contact[[#This Row],[Final Decision]],Table3[Final Decision],Table3[Active],0),0)</f>
        <v>0</v>
      </c>
      <c r="AB321">
        <f>SUMIF(Contact[Full Name],Contact[[#This Row],[Full Name]],Contact[Active])</f>
        <v>0</v>
      </c>
    </row>
    <row r="322" spans="1:28">
      <c r="A322">
        <v>1</v>
      </c>
      <c r="B322" t="s">
        <v>1794</v>
      </c>
      <c r="C322" t="s">
        <v>1795</v>
      </c>
      <c r="E322" t="s">
        <v>2422</v>
      </c>
      <c r="F322" t="s">
        <v>95</v>
      </c>
      <c r="G322" t="s">
        <v>2092</v>
      </c>
      <c r="I322" s="1" t="s">
        <v>1796</v>
      </c>
      <c r="J322" s="66"/>
      <c r="L322" t="s">
        <v>2094</v>
      </c>
      <c r="M322" t="s">
        <v>105</v>
      </c>
      <c r="N322" t="s">
        <v>2095</v>
      </c>
      <c r="R322" t="s">
        <v>2093</v>
      </c>
      <c r="S322" t="s">
        <v>2093</v>
      </c>
      <c r="V322">
        <v>2020</v>
      </c>
      <c r="X322" t="b">
        <f>IF(_xlfn.MAXIFS(Contact[Sequence],Contact[Full Name],Contact[[#This Row],[Full Name]],Contact[Season],Contact[[#This Row],[Season]])=Contact[[#This Row],[Sequence]],TRUE,FALSE)</f>
        <v>1</v>
      </c>
      <c r="Y322" t="s">
        <v>190</v>
      </c>
      <c r="Z322">
        <v>0</v>
      </c>
      <c r="AA322">
        <f>IF(Contact[[#This Row],[Latest]]=TRUE,_xlfn.XLOOKUP(Contact[[#This Row],[Final Decision]],Table3[Final Decision],Table3[Active],0),0)</f>
        <v>0</v>
      </c>
      <c r="AB322">
        <f>SUMIF(Contact[Full Name],Contact[[#This Row],[Full Name]],Contact[Active])</f>
        <v>0</v>
      </c>
    </row>
    <row r="323" spans="1:28">
      <c r="A323">
        <v>1</v>
      </c>
      <c r="B323" t="s">
        <v>1779</v>
      </c>
      <c r="C323" t="s">
        <v>1780</v>
      </c>
      <c r="E323" t="s">
        <v>2423</v>
      </c>
      <c r="F323" t="s">
        <v>98</v>
      </c>
      <c r="G323" t="s">
        <v>2092</v>
      </c>
      <c r="I323" s="1" t="s">
        <v>1781</v>
      </c>
      <c r="J323" s="66" t="s">
        <v>2093</v>
      </c>
      <c r="L323" t="s">
        <v>2094</v>
      </c>
      <c r="M323" t="s">
        <v>105</v>
      </c>
      <c r="N323" t="s">
        <v>2095</v>
      </c>
      <c r="R323" t="s">
        <v>2093</v>
      </c>
      <c r="S323" t="s">
        <v>2093</v>
      </c>
      <c r="V323">
        <v>2020</v>
      </c>
      <c r="X323" t="b">
        <f>IF(_xlfn.MAXIFS(Contact[Sequence],Contact[Full Name],Contact[[#This Row],[Full Name]],Contact[Season],Contact[[#This Row],[Season]])=Contact[[#This Row],[Sequence]],TRUE,FALSE)</f>
        <v>1</v>
      </c>
      <c r="Y323" t="s">
        <v>190</v>
      </c>
      <c r="Z323">
        <v>0</v>
      </c>
      <c r="AA323">
        <f>IF(Contact[[#This Row],[Latest]]=TRUE,_xlfn.XLOOKUP(Contact[[#This Row],[Final Decision]],Table3[Final Decision],Table3[Active],0),0)</f>
        <v>0</v>
      </c>
      <c r="AB323">
        <f>SUMIF(Contact[Full Name],Contact[[#This Row],[Full Name]],Contact[Active])</f>
        <v>0</v>
      </c>
    </row>
    <row r="324" spans="1:28">
      <c r="A324">
        <v>1</v>
      </c>
      <c r="B324" t="s">
        <v>529</v>
      </c>
      <c r="C324" t="s">
        <v>530</v>
      </c>
      <c r="E324" t="s">
        <v>2424</v>
      </c>
      <c r="F324" t="s">
        <v>95</v>
      </c>
      <c r="G324" t="s">
        <v>2092</v>
      </c>
      <c r="I324" s="1" t="s">
        <v>531</v>
      </c>
      <c r="J324" s="66" t="s">
        <v>2093</v>
      </c>
      <c r="L324" t="s">
        <v>2094</v>
      </c>
      <c r="M324" t="s">
        <v>185</v>
      </c>
      <c r="N324" t="s">
        <v>2095</v>
      </c>
      <c r="R324" t="s">
        <v>2093</v>
      </c>
      <c r="S324" t="s">
        <v>2093</v>
      </c>
      <c r="V324">
        <v>2020</v>
      </c>
      <c r="X324" t="b">
        <f>IF(_xlfn.MAXIFS(Contact[Sequence],Contact[Full Name],Contact[[#This Row],[Full Name]],Contact[Season],Contact[[#This Row],[Season]])=Contact[[#This Row],[Sequence]],TRUE,FALSE)</f>
        <v>1</v>
      </c>
      <c r="Y324" t="s">
        <v>190</v>
      </c>
      <c r="Z324">
        <v>0</v>
      </c>
      <c r="AA324">
        <f>IF(Contact[[#This Row],[Latest]]=TRUE,_xlfn.XLOOKUP(Contact[[#This Row],[Final Decision]],Table3[Final Decision],Table3[Active],0),0)</f>
        <v>0</v>
      </c>
      <c r="AB324">
        <f>SUMIF(Contact[Full Name],Contact[[#This Row],[Full Name]],Contact[Active])</f>
        <v>0</v>
      </c>
    </row>
    <row r="325" spans="1:28">
      <c r="A325">
        <v>1</v>
      </c>
      <c r="B325" t="s">
        <v>975</v>
      </c>
      <c r="C325" t="s">
        <v>471</v>
      </c>
      <c r="E325" t="s">
        <v>2425</v>
      </c>
      <c r="F325" t="s">
        <v>95</v>
      </c>
      <c r="G325" t="s">
        <v>2092</v>
      </c>
      <c r="I325" s="1" t="s">
        <v>976</v>
      </c>
      <c r="J325" s="66" t="s">
        <v>977</v>
      </c>
      <c r="L325" t="s">
        <v>2094</v>
      </c>
      <c r="M325" t="s">
        <v>90</v>
      </c>
      <c r="N325" t="s">
        <v>2095</v>
      </c>
      <c r="P325" t="s">
        <v>951</v>
      </c>
      <c r="R325" t="s">
        <v>112</v>
      </c>
      <c r="S325" t="s">
        <v>2093</v>
      </c>
      <c r="V325">
        <v>2020</v>
      </c>
      <c r="X325" t="b">
        <f>IF(_xlfn.MAXIFS(Contact[Sequence],Contact[Full Name],Contact[[#This Row],[Full Name]],Contact[Season],Contact[[#This Row],[Season]])=Contact[[#This Row],[Sequence]],TRUE,FALSE)</f>
        <v>1</v>
      </c>
      <c r="Y325" t="s">
        <v>96</v>
      </c>
      <c r="Z325" t="s">
        <v>951</v>
      </c>
      <c r="AA325">
        <f>IF(Contact[[#This Row],[Latest]]=TRUE,_xlfn.XLOOKUP(Contact[[#This Row],[Final Decision]],Table3[Final Decision],Table3[Active],0),0)</f>
        <v>0</v>
      </c>
      <c r="AB325">
        <f>SUMIF(Contact[Full Name],Contact[[#This Row],[Full Name]],Contact[Active])</f>
        <v>0</v>
      </c>
    </row>
    <row r="326" spans="1:28">
      <c r="A326">
        <v>1</v>
      </c>
      <c r="B326" t="s">
        <v>1790</v>
      </c>
      <c r="C326" t="s">
        <v>1791</v>
      </c>
      <c r="E326" t="s">
        <v>2426</v>
      </c>
      <c r="F326" t="s">
        <v>98</v>
      </c>
      <c r="G326" t="s">
        <v>2092</v>
      </c>
      <c r="I326" s="1" t="s">
        <v>1792</v>
      </c>
      <c r="J326" s="66" t="s">
        <v>2093</v>
      </c>
      <c r="L326" t="s">
        <v>2094</v>
      </c>
      <c r="M326" t="s">
        <v>105</v>
      </c>
      <c r="N326" t="s">
        <v>2095</v>
      </c>
      <c r="R326" t="s">
        <v>2093</v>
      </c>
      <c r="S326" t="s">
        <v>2093</v>
      </c>
      <c r="V326">
        <v>2020</v>
      </c>
      <c r="X326" t="b">
        <f>IF(_xlfn.MAXIFS(Contact[Sequence],Contact[Full Name],Contact[[#This Row],[Full Name]],Contact[Season],Contact[[#This Row],[Season]])=Contact[[#This Row],[Sequence]],TRUE,FALSE)</f>
        <v>1</v>
      </c>
      <c r="Y326" t="s">
        <v>190</v>
      </c>
      <c r="Z326">
        <v>0</v>
      </c>
      <c r="AA326">
        <f>IF(Contact[[#This Row],[Latest]]=TRUE,_xlfn.XLOOKUP(Contact[[#This Row],[Final Decision]],Table3[Final Decision],Table3[Active],0),0)</f>
        <v>0</v>
      </c>
      <c r="AB326">
        <f>SUMIF(Contact[Full Name],Contact[[#This Row],[Full Name]],Contact[Active])</f>
        <v>0</v>
      </c>
    </row>
    <row r="327" spans="1:28">
      <c r="A327">
        <v>1</v>
      </c>
      <c r="B327" t="s">
        <v>1771</v>
      </c>
      <c r="C327" t="s">
        <v>1772</v>
      </c>
      <c r="E327" t="s">
        <v>2427</v>
      </c>
      <c r="F327" t="s">
        <v>95</v>
      </c>
      <c r="G327" t="s">
        <v>2092</v>
      </c>
      <c r="I327" s="1" t="s">
        <v>1773</v>
      </c>
      <c r="J327" s="66"/>
      <c r="L327" t="s">
        <v>2094</v>
      </c>
      <c r="M327" t="s">
        <v>105</v>
      </c>
      <c r="N327" t="s">
        <v>2095</v>
      </c>
      <c r="R327" t="s">
        <v>2093</v>
      </c>
      <c r="S327" t="s">
        <v>2093</v>
      </c>
      <c r="V327">
        <v>2020</v>
      </c>
      <c r="X327" t="b">
        <f>IF(_xlfn.MAXIFS(Contact[Sequence],Contact[Full Name],Contact[[#This Row],[Full Name]],Contact[Season],Contact[[#This Row],[Season]])=Contact[[#This Row],[Sequence]],TRUE,FALSE)</f>
        <v>1</v>
      </c>
      <c r="Y327" t="s">
        <v>190</v>
      </c>
      <c r="Z327">
        <v>0</v>
      </c>
      <c r="AA327">
        <f>IF(Contact[[#This Row],[Latest]]=TRUE,_xlfn.XLOOKUP(Contact[[#This Row],[Final Decision]],Table3[Final Decision],Table3[Active],0),0)</f>
        <v>0</v>
      </c>
      <c r="AB327">
        <f>SUMIF(Contact[Full Name],Contact[[#This Row],[Full Name]],Contact[Active])</f>
        <v>0</v>
      </c>
    </row>
    <row r="328" spans="1:28">
      <c r="A328">
        <v>1</v>
      </c>
      <c r="B328" t="s">
        <v>1856</v>
      </c>
      <c r="C328" t="s">
        <v>1857</v>
      </c>
      <c r="E328" t="s">
        <v>2428</v>
      </c>
      <c r="F328" t="s">
        <v>95</v>
      </c>
      <c r="G328" t="s">
        <v>2092</v>
      </c>
      <c r="I328" s="1" t="s">
        <v>1858</v>
      </c>
      <c r="J328" s="66" t="s">
        <v>1859</v>
      </c>
      <c r="L328" t="s">
        <v>2094</v>
      </c>
      <c r="M328" t="s">
        <v>105</v>
      </c>
      <c r="N328" t="s">
        <v>2095</v>
      </c>
      <c r="R328" t="s">
        <v>2093</v>
      </c>
      <c r="S328" t="s">
        <v>2093</v>
      </c>
      <c r="V328">
        <v>2020</v>
      </c>
      <c r="X328" t="b">
        <f>IF(_xlfn.MAXIFS(Contact[Sequence],Contact[Full Name],Contact[[#This Row],[Full Name]],Contact[Season],Contact[[#This Row],[Season]])=Contact[[#This Row],[Sequence]],TRUE,FALSE)</f>
        <v>1</v>
      </c>
      <c r="Y328" t="s">
        <v>190</v>
      </c>
      <c r="Z328">
        <v>0</v>
      </c>
      <c r="AA328">
        <f>IF(Contact[[#This Row],[Latest]]=TRUE,_xlfn.XLOOKUP(Contact[[#This Row],[Final Decision]],Table3[Final Decision],Table3[Active],0),0)</f>
        <v>0</v>
      </c>
      <c r="AB328">
        <f>SUMIF(Contact[Full Name],Contact[[#This Row],[Full Name]],Contact[Active])</f>
        <v>0</v>
      </c>
    </row>
    <row r="329" spans="1:28">
      <c r="A329">
        <v>1</v>
      </c>
      <c r="B329" t="s">
        <v>1827</v>
      </c>
      <c r="C329" t="s">
        <v>373</v>
      </c>
      <c r="E329" t="s">
        <v>2429</v>
      </c>
      <c r="F329" t="s">
        <v>98</v>
      </c>
      <c r="G329" t="s">
        <v>2092</v>
      </c>
      <c r="I329" s="1" t="s">
        <v>1828</v>
      </c>
      <c r="J329" s="66" t="s">
        <v>2093</v>
      </c>
      <c r="L329" t="s">
        <v>2094</v>
      </c>
      <c r="M329" t="s">
        <v>185</v>
      </c>
      <c r="N329" t="s">
        <v>2095</v>
      </c>
      <c r="R329" t="s">
        <v>2093</v>
      </c>
      <c r="S329" t="s">
        <v>2093</v>
      </c>
      <c r="V329">
        <v>2020</v>
      </c>
      <c r="X329" t="b">
        <f>IF(_xlfn.MAXIFS(Contact[Sequence],Contact[Full Name],Contact[[#This Row],[Full Name]],Contact[Season],Contact[[#This Row],[Season]])=Contact[[#This Row],[Sequence]],TRUE,FALSE)</f>
        <v>1</v>
      </c>
      <c r="Y329" t="s">
        <v>190</v>
      </c>
      <c r="Z329">
        <v>0</v>
      </c>
      <c r="AA329">
        <f>IF(Contact[[#This Row],[Latest]]=TRUE,_xlfn.XLOOKUP(Contact[[#This Row],[Final Decision]],Table3[Final Decision],Table3[Active],0),0)</f>
        <v>0</v>
      </c>
      <c r="AB329">
        <f>SUMIF(Contact[Full Name],Contact[[#This Row],[Full Name]],Contact[Active])</f>
        <v>0</v>
      </c>
    </row>
    <row r="330" spans="1:28">
      <c r="A330">
        <v>1</v>
      </c>
      <c r="B330" t="s">
        <v>538</v>
      </c>
      <c r="C330" t="s">
        <v>471</v>
      </c>
      <c r="E330" t="s">
        <v>2430</v>
      </c>
      <c r="F330" t="s">
        <v>95</v>
      </c>
      <c r="G330" t="s">
        <v>2092</v>
      </c>
      <c r="I330" s="1" t="s">
        <v>539</v>
      </c>
      <c r="J330" s="66" t="s">
        <v>540</v>
      </c>
      <c r="L330" t="s">
        <v>2094</v>
      </c>
      <c r="M330" t="s">
        <v>90</v>
      </c>
      <c r="N330" t="s">
        <v>2095</v>
      </c>
      <c r="R330" t="s">
        <v>2093</v>
      </c>
      <c r="S330" t="s">
        <v>2093</v>
      </c>
      <c r="V330">
        <v>2020</v>
      </c>
      <c r="X330" t="b">
        <f>IF(_xlfn.MAXIFS(Contact[Sequence],Contact[Full Name],Contact[[#This Row],[Full Name]],Contact[Season],Contact[[#This Row],[Season]])=Contact[[#This Row],[Sequence]],TRUE,FALSE)</f>
        <v>1</v>
      </c>
      <c r="Y330" t="s">
        <v>190</v>
      </c>
      <c r="Z330">
        <v>0</v>
      </c>
      <c r="AA330">
        <f>IF(Contact[[#This Row],[Latest]]=TRUE,_xlfn.XLOOKUP(Contact[[#This Row],[Final Decision]],Table3[Final Decision],Table3[Active],0),0)</f>
        <v>0</v>
      </c>
      <c r="AB330">
        <f>SUMIF(Contact[Full Name],Contact[[#This Row],[Full Name]],Contact[Active])</f>
        <v>0</v>
      </c>
    </row>
    <row r="331" spans="1:28">
      <c r="A331">
        <v>1</v>
      </c>
      <c r="B331" t="s">
        <v>1886</v>
      </c>
      <c r="C331" t="s">
        <v>1887</v>
      </c>
      <c r="E331" t="s">
        <v>2431</v>
      </c>
      <c r="F331" t="s">
        <v>98</v>
      </c>
      <c r="G331" t="s">
        <v>2092</v>
      </c>
      <c r="I331" s="1" t="s">
        <v>1888</v>
      </c>
      <c r="J331" s="66" t="s">
        <v>2093</v>
      </c>
      <c r="L331" t="s">
        <v>2094</v>
      </c>
      <c r="M331" t="s">
        <v>105</v>
      </c>
      <c r="N331" t="s">
        <v>2095</v>
      </c>
      <c r="R331" t="s">
        <v>2093</v>
      </c>
      <c r="S331" t="s">
        <v>2093</v>
      </c>
      <c r="V331">
        <v>2020</v>
      </c>
      <c r="X331" t="b">
        <f>IF(_xlfn.MAXIFS(Contact[Sequence],Contact[Full Name],Contact[[#This Row],[Full Name]],Contact[Season],Contact[[#This Row],[Season]])=Contact[[#This Row],[Sequence]],TRUE,FALSE)</f>
        <v>1</v>
      </c>
      <c r="Y331" t="s">
        <v>190</v>
      </c>
      <c r="Z331">
        <v>0</v>
      </c>
      <c r="AA331">
        <f>IF(Contact[[#This Row],[Latest]]=TRUE,_xlfn.XLOOKUP(Contact[[#This Row],[Final Decision]],Table3[Final Decision],Table3[Active],0),0)</f>
        <v>0</v>
      </c>
      <c r="AB331">
        <f>SUMIF(Contact[Full Name],Contact[[#This Row],[Full Name]],Contact[Active])</f>
        <v>0</v>
      </c>
    </row>
    <row r="332" spans="1:28">
      <c r="A332">
        <v>1</v>
      </c>
      <c r="B332" t="s">
        <v>1798</v>
      </c>
      <c r="C332" t="s">
        <v>1799</v>
      </c>
      <c r="E332" t="s">
        <v>2432</v>
      </c>
      <c r="F332" t="s">
        <v>98</v>
      </c>
      <c r="G332" t="s">
        <v>2092</v>
      </c>
      <c r="I332" s="1" t="s">
        <v>1800</v>
      </c>
      <c r="J332" s="66" t="s">
        <v>2093</v>
      </c>
      <c r="L332" t="s">
        <v>2094</v>
      </c>
      <c r="M332" t="s">
        <v>105</v>
      </c>
      <c r="N332" t="s">
        <v>2095</v>
      </c>
      <c r="R332" t="s">
        <v>2093</v>
      </c>
      <c r="S332" t="s">
        <v>2093</v>
      </c>
      <c r="V332">
        <v>2020</v>
      </c>
      <c r="X332" t="b">
        <f>IF(_xlfn.MAXIFS(Contact[Sequence],Contact[Full Name],Contact[[#This Row],[Full Name]],Contact[Season],Contact[[#This Row],[Season]])=Contact[[#This Row],[Sequence]],TRUE,FALSE)</f>
        <v>1</v>
      </c>
      <c r="Y332" t="s">
        <v>190</v>
      </c>
      <c r="Z332">
        <v>0</v>
      </c>
      <c r="AA332">
        <f>IF(Contact[[#This Row],[Latest]]=TRUE,_xlfn.XLOOKUP(Contact[[#This Row],[Final Decision]],Table3[Final Decision],Table3[Active],0),0)</f>
        <v>0</v>
      </c>
      <c r="AB332">
        <f>SUMIF(Contact[Full Name],Contact[[#This Row],[Full Name]],Contact[Active])</f>
        <v>0</v>
      </c>
    </row>
    <row r="333" spans="1:28">
      <c r="A333">
        <v>1</v>
      </c>
      <c r="B333" t="s">
        <v>1489</v>
      </c>
      <c r="C333" t="s">
        <v>1490</v>
      </c>
      <c r="E333" t="s">
        <v>2433</v>
      </c>
      <c r="F333" t="s">
        <v>98</v>
      </c>
      <c r="G333" t="s">
        <v>2092</v>
      </c>
      <c r="I333" s="1" t="s">
        <v>1491</v>
      </c>
      <c r="J333" s="66" t="s">
        <v>2093</v>
      </c>
      <c r="L333" t="s">
        <v>2094</v>
      </c>
      <c r="M333" t="s">
        <v>105</v>
      </c>
      <c r="N333" t="s">
        <v>2095</v>
      </c>
      <c r="R333" t="s">
        <v>2093</v>
      </c>
      <c r="S333" t="s">
        <v>2093</v>
      </c>
      <c r="V333">
        <v>2020</v>
      </c>
      <c r="X333" t="b">
        <f>IF(_xlfn.MAXIFS(Contact[Sequence],Contact[Full Name],Contact[[#This Row],[Full Name]],Contact[Season],Contact[[#This Row],[Season]])=Contact[[#This Row],[Sequence]],TRUE,FALSE)</f>
        <v>1</v>
      </c>
      <c r="Y333" t="s">
        <v>190</v>
      </c>
      <c r="Z333">
        <v>0</v>
      </c>
      <c r="AA333">
        <f>IF(Contact[[#This Row],[Latest]]=TRUE,_xlfn.XLOOKUP(Contact[[#This Row],[Final Decision]],Table3[Final Decision],Table3[Active],0),0)</f>
        <v>0</v>
      </c>
      <c r="AB333">
        <f>SUMIF(Contact[Full Name],Contact[[#This Row],[Full Name]],Contact[Active])</f>
        <v>0</v>
      </c>
    </row>
    <row r="334" spans="1:28">
      <c r="A334">
        <v>1</v>
      </c>
      <c r="B334" t="s">
        <v>551</v>
      </c>
      <c r="C334" t="s">
        <v>552</v>
      </c>
      <c r="E334" t="s">
        <v>2434</v>
      </c>
      <c r="F334" t="s">
        <v>95</v>
      </c>
      <c r="G334" t="s">
        <v>2092</v>
      </c>
      <c r="I334" s="1" t="s">
        <v>553</v>
      </c>
      <c r="J334" s="66" t="s">
        <v>554</v>
      </c>
      <c r="L334" t="s">
        <v>2094</v>
      </c>
      <c r="M334" t="s">
        <v>90</v>
      </c>
      <c r="N334" t="s">
        <v>2095</v>
      </c>
      <c r="R334" t="s">
        <v>2093</v>
      </c>
      <c r="S334" t="s">
        <v>2093</v>
      </c>
      <c r="V334">
        <v>2020</v>
      </c>
      <c r="X334" t="b">
        <f>IF(_xlfn.MAXIFS(Contact[Sequence],Contact[Full Name],Contact[[#This Row],[Full Name]],Contact[Season],Contact[[#This Row],[Season]])=Contact[[#This Row],[Sequence]],TRUE,FALSE)</f>
        <v>1</v>
      </c>
      <c r="Y334" t="s">
        <v>190</v>
      </c>
      <c r="Z334">
        <v>0</v>
      </c>
      <c r="AA334">
        <f>IF(Contact[[#This Row],[Latest]]=TRUE,_xlfn.XLOOKUP(Contact[[#This Row],[Final Decision]],Table3[Final Decision],Table3[Active],0),0)</f>
        <v>0</v>
      </c>
      <c r="AB334">
        <f>SUMIF(Contact[Full Name],Contact[[#This Row],[Full Name]],Contact[Active])</f>
        <v>0</v>
      </c>
    </row>
    <row r="335" spans="1:28">
      <c r="A335">
        <v>1</v>
      </c>
      <c r="B335" t="s">
        <v>614</v>
      </c>
      <c r="C335" t="s">
        <v>615</v>
      </c>
      <c r="E335" t="s">
        <v>2435</v>
      </c>
      <c r="F335" t="s">
        <v>95</v>
      </c>
      <c r="G335" t="s">
        <v>2092</v>
      </c>
      <c r="I335" s="1" t="s">
        <v>616</v>
      </c>
      <c r="J335" s="66" t="s">
        <v>617</v>
      </c>
      <c r="L335" t="s">
        <v>2094</v>
      </c>
      <c r="M335" t="s">
        <v>90</v>
      </c>
      <c r="N335" t="s">
        <v>2095</v>
      </c>
      <c r="R335" t="s">
        <v>2093</v>
      </c>
      <c r="S335" t="s">
        <v>2093</v>
      </c>
      <c r="V335">
        <v>2020</v>
      </c>
      <c r="X335" t="b">
        <f>IF(_xlfn.MAXIFS(Contact[Sequence],Contact[Full Name],Contact[[#This Row],[Full Name]],Contact[Season],Contact[[#This Row],[Season]])=Contact[[#This Row],[Sequence]],TRUE,FALSE)</f>
        <v>1</v>
      </c>
      <c r="Y335" t="s">
        <v>190</v>
      </c>
      <c r="Z335">
        <v>0</v>
      </c>
      <c r="AA335">
        <f>IF(Contact[[#This Row],[Latest]]=TRUE,_xlfn.XLOOKUP(Contact[[#This Row],[Final Decision]],Table3[Final Decision],Table3[Active],0),0)</f>
        <v>0</v>
      </c>
      <c r="AB335">
        <f>SUMIF(Contact[Full Name],Contact[[#This Row],[Full Name]],Contact[Active])</f>
        <v>0</v>
      </c>
    </row>
    <row r="336" spans="1:28">
      <c r="A336">
        <v>1</v>
      </c>
      <c r="B336" t="s">
        <v>1805</v>
      </c>
      <c r="C336" t="s">
        <v>238</v>
      </c>
      <c r="E336" t="s">
        <v>2436</v>
      </c>
      <c r="F336" t="s">
        <v>98</v>
      </c>
      <c r="G336" t="s">
        <v>2092</v>
      </c>
      <c r="I336" s="1" t="s">
        <v>1806</v>
      </c>
      <c r="J336" s="66" t="s">
        <v>2093</v>
      </c>
      <c r="L336" t="s">
        <v>2094</v>
      </c>
      <c r="M336" t="s">
        <v>105</v>
      </c>
      <c r="N336" t="s">
        <v>2095</v>
      </c>
      <c r="R336" t="s">
        <v>2093</v>
      </c>
      <c r="S336" t="s">
        <v>2093</v>
      </c>
      <c r="V336">
        <v>2020</v>
      </c>
      <c r="X336" t="b">
        <f>IF(_xlfn.MAXIFS(Contact[Sequence],Contact[Full Name],Contact[[#This Row],[Full Name]],Contact[Season],Contact[[#This Row],[Season]])=Contact[[#This Row],[Sequence]],TRUE,FALSE)</f>
        <v>1</v>
      </c>
      <c r="Y336" t="s">
        <v>190</v>
      </c>
      <c r="Z336">
        <v>0</v>
      </c>
      <c r="AA336">
        <f>IF(Contact[[#This Row],[Latest]]=TRUE,_xlfn.XLOOKUP(Contact[[#This Row],[Final Decision]],Table3[Final Decision],Table3[Active],0),0)</f>
        <v>0</v>
      </c>
      <c r="AB336">
        <f>SUMIF(Contact[Full Name],Contact[[#This Row],[Full Name]],Contact[Active])</f>
        <v>0</v>
      </c>
    </row>
    <row r="337" spans="1:28">
      <c r="A337">
        <v>1</v>
      </c>
      <c r="B337" t="s">
        <v>1805</v>
      </c>
      <c r="C337" t="s">
        <v>1545</v>
      </c>
      <c r="E337" t="s">
        <v>2437</v>
      </c>
      <c r="F337" t="s">
        <v>98</v>
      </c>
      <c r="G337" t="s">
        <v>2092</v>
      </c>
      <c r="I337" s="1" t="s">
        <v>1825</v>
      </c>
      <c r="J337" s="66" t="s">
        <v>2093</v>
      </c>
      <c r="L337" t="s">
        <v>2094</v>
      </c>
      <c r="M337" t="s">
        <v>105</v>
      </c>
      <c r="N337" t="s">
        <v>2095</v>
      </c>
      <c r="R337" t="s">
        <v>2093</v>
      </c>
      <c r="S337" t="s">
        <v>2093</v>
      </c>
      <c r="V337">
        <v>2020</v>
      </c>
      <c r="X337" t="b">
        <f>IF(_xlfn.MAXIFS(Contact[Sequence],Contact[Full Name],Contact[[#This Row],[Full Name]],Contact[Season],Contact[[#This Row],[Season]])=Contact[[#This Row],[Sequence]],TRUE,FALSE)</f>
        <v>1</v>
      </c>
      <c r="Y337" t="s">
        <v>190</v>
      </c>
      <c r="Z337">
        <v>0</v>
      </c>
      <c r="AA337">
        <f>IF(Contact[[#This Row],[Latest]]=TRUE,_xlfn.XLOOKUP(Contact[[#This Row],[Final Decision]],Table3[Final Decision],Table3[Active],0),0)</f>
        <v>0</v>
      </c>
      <c r="AB337">
        <f>SUMIF(Contact[Full Name],Contact[[#This Row],[Full Name]],Contact[Active])</f>
        <v>0</v>
      </c>
    </row>
    <row r="338" spans="1:28">
      <c r="A338">
        <v>1</v>
      </c>
      <c r="B338" t="s">
        <v>556</v>
      </c>
      <c r="C338" t="s">
        <v>557</v>
      </c>
      <c r="E338" t="s">
        <v>2438</v>
      </c>
      <c r="F338" t="s">
        <v>95</v>
      </c>
      <c r="G338" t="s">
        <v>2092</v>
      </c>
      <c r="I338" s="1" t="s">
        <v>558</v>
      </c>
      <c r="J338" s="66" t="s">
        <v>2093</v>
      </c>
      <c r="L338" t="s">
        <v>2094</v>
      </c>
      <c r="M338" t="s">
        <v>90</v>
      </c>
      <c r="N338" t="s">
        <v>2095</v>
      </c>
      <c r="R338" t="s">
        <v>2093</v>
      </c>
      <c r="S338" t="s">
        <v>2093</v>
      </c>
      <c r="V338">
        <v>2020</v>
      </c>
      <c r="X338" t="b">
        <f>IF(_xlfn.MAXIFS(Contact[Sequence],Contact[Full Name],Contact[[#This Row],[Full Name]],Contact[Season],Contact[[#This Row],[Season]])=Contact[[#This Row],[Sequence]],TRUE,FALSE)</f>
        <v>1</v>
      </c>
      <c r="Y338" t="s">
        <v>190</v>
      </c>
      <c r="Z338">
        <v>0</v>
      </c>
      <c r="AA338">
        <f>IF(Contact[[#This Row],[Latest]]=TRUE,_xlfn.XLOOKUP(Contact[[#This Row],[Final Decision]],Table3[Final Decision],Table3[Active],0),0)</f>
        <v>0</v>
      </c>
      <c r="AB338">
        <f>SUMIF(Contact[Full Name],Contact[[#This Row],[Full Name]],Contact[Active])</f>
        <v>0</v>
      </c>
    </row>
    <row r="339" spans="1:28">
      <c r="A339">
        <v>1</v>
      </c>
      <c r="B339" t="s">
        <v>560</v>
      </c>
      <c r="C339" t="s">
        <v>561</v>
      </c>
      <c r="E339" t="s">
        <v>2439</v>
      </c>
      <c r="F339" t="s">
        <v>95</v>
      </c>
      <c r="G339" t="s">
        <v>2092</v>
      </c>
      <c r="I339" s="1" t="s">
        <v>562</v>
      </c>
      <c r="J339" s="66" t="s">
        <v>563</v>
      </c>
      <c r="L339" t="s">
        <v>2094</v>
      </c>
      <c r="M339" t="s">
        <v>90</v>
      </c>
      <c r="N339" t="s">
        <v>2095</v>
      </c>
      <c r="R339" t="s">
        <v>2093</v>
      </c>
      <c r="S339" t="s">
        <v>2093</v>
      </c>
      <c r="V339">
        <v>2020</v>
      </c>
      <c r="X339" t="b">
        <f>IF(_xlfn.MAXIFS(Contact[Sequence],Contact[Full Name],Contact[[#This Row],[Full Name]],Contact[Season],Contact[[#This Row],[Season]])=Contact[[#This Row],[Sequence]],TRUE,FALSE)</f>
        <v>1</v>
      </c>
      <c r="Y339" t="s">
        <v>190</v>
      </c>
      <c r="Z339">
        <v>0</v>
      </c>
      <c r="AA339">
        <f>IF(Contact[[#This Row],[Latest]]=TRUE,_xlfn.XLOOKUP(Contact[[#This Row],[Final Decision]],Table3[Final Decision],Table3[Active],0),0)</f>
        <v>0</v>
      </c>
      <c r="AB339">
        <f>SUMIF(Contact[Full Name],Contact[[#This Row],[Full Name]],Contact[Active])</f>
        <v>0</v>
      </c>
    </row>
    <row r="340" spans="1:28">
      <c r="A340">
        <v>1</v>
      </c>
      <c r="B340" t="s">
        <v>1820</v>
      </c>
      <c r="C340" t="s">
        <v>1821</v>
      </c>
      <c r="E340" t="s">
        <v>2440</v>
      </c>
      <c r="F340" t="s">
        <v>95</v>
      </c>
      <c r="G340" t="s">
        <v>2092</v>
      </c>
      <c r="I340" s="1" t="s">
        <v>1822</v>
      </c>
      <c r="J340" s="66" t="s">
        <v>1823</v>
      </c>
      <c r="L340" t="s">
        <v>2094</v>
      </c>
      <c r="M340" t="s">
        <v>105</v>
      </c>
      <c r="N340" t="s">
        <v>2095</v>
      </c>
      <c r="R340" t="s">
        <v>2093</v>
      </c>
      <c r="S340" t="s">
        <v>2093</v>
      </c>
      <c r="V340">
        <v>2020</v>
      </c>
      <c r="X340" t="b">
        <f>IF(_xlfn.MAXIFS(Contact[Sequence],Contact[Full Name],Contact[[#This Row],[Full Name]],Contact[Season],Contact[[#This Row],[Season]])=Contact[[#This Row],[Sequence]],TRUE,FALSE)</f>
        <v>1</v>
      </c>
      <c r="Y340" t="s">
        <v>190</v>
      </c>
      <c r="Z340">
        <v>0</v>
      </c>
      <c r="AA340">
        <f>IF(Contact[[#This Row],[Latest]]=TRUE,_xlfn.XLOOKUP(Contact[[#This Row],[Final Decision]],Table3[Final Decision],Table3[Active],0),0)</f>
        <v>0</v>
      </c>
      <c r="AB340">
        <f>SUMIF(Contact[Full Name],Contact[[#This Row],[Full Name]],Contact[Active])</f>
        <v>0</v>
      </c>
    </row>
    <row r="341" spans="1:28">
      <c r="A341">
        <v>1</v>
      </c>
      <c r="B341" t="s">
        <v>979</v>
      </c>
      <c r="C341" t="s">
        <v>92</v>
      </c>
      <c r="E341" t="s">
        <v>2441</v>
      </c>
      <c r="F341" t="s">
        <v>95</v>
      </c>
      <c r="G341" t="s">
        <v>2092</v>
      </c>
      <c r="I341" s="1" t="s">
        <v>980</v>
      </c>
      <c r="J341" s="66" t="s">
        <v>981</v>
      </c>
      <c r="L341" t="s">
        <v>2094</v>
      </c>
      <c r="M341" t="s">
        <v>105</v>
      </c>
      <c r="N341" t="s">
        <v>2095</v>
      </c>
      <c r="P341" t="s">
        <v>983</v>
      </c>
      <c r="R341" t="s">
        <v>112</v>
      </c>
      <c r="S341" t="s">
        <v>2093</v>
      </c>
      <c r="V341">
        <v>2020</v>
      </c>
      <c r="X341" t="b">
        <f>IF(_xlfn.MAXIFS(Contact[Sequence],Contact[Full Name],Contact[[#This Row],[Full Name]],Contact[Season],Contact[[#This Row],[Season]])=Contact[[#This Row],[Sequence]],TRUE,FALSE)</f>
        <v>1</v>
      </c>
      <c r="Y341" t="s">
        <v>96</v>
      </c>
      <c r="Z341" t="s">
        <v>983</v>
      </c>
      <c r="AA341">
        <f>IF(Contact[[#This Row],[Latest]]=TRUE,_xlfn.XLOOKUP(Contact[[#This Row],[Final Decision]],Table3[Final Decision],Table3[Active],0),0)</f>
        <v>0</v>
      </c>
      <c r="AB341">
        <f>SUMIF(Contact[Full Name],Contact[[#This Row],[Full Name]],Contact[Active])</f>
        <v>0</v>
      </c>
    </row>
    <row r="342" spans="1:28">
      <c r="A342">
        <v>1</v>
      </c>
      <c r="B342" t="s">
        <v>565</v>
      </c>
      <c r="C342" t="s">
        <v>298</v>
      </c>
      <c r="E342" t="s">
        <v>2442</v>
      </c>
      <c r="F342" t="s">
        <v>95</v>
      </c>
      <c r="G342" t="s">
        <v>2092</v>
      </c>
      <c r="I342" s="1" t="s">
        <v>566</v>
      </c>
      <c r="J342" s="66" t="s">
        <v>567</v>
      </c>
      <c r="L342" t="s">
        <v>2094</v>
      </c>
      <c r="M342" t="s">
        <v>90</v>
      </c>
      <c r="N342" t="s">
        <v>2095</v>
      </c>
      <c r="R342" t="s">
        <v>2093</v>
      </c>
      <c r="S342" t="s">
        <v>2093</v>
      </c>
      <c r="V342">
        <v>2020</v>
      </c>
      <c r="X342" t="b">
        <f>IF(_xlfn.MAXIFS(Contact[Sequence],Contact[Full Name],Contact[[#This Row],[Full Name]],Contact[Season],Contact[[#This Row],[Season]])=Contact[[#This Row],[Sequence]],TRUE,FALSE)</f>
        <v>1</v>
      </c>
      <c r="Y342" t="s">
        <v>190</v>
      </c>
      <c r="Z342">
        <v>0</v>
      </c>
      <c r="AA342">
        <f>IF(Contact[[#This Row],[Latest]]=TRUE,_xlfn.XLOOKUP(Contact[[#This Row],[Final Decision]],Table3[Final Decision],Table3[Active],0),0)</f>
        <v>0</v>
      </c>
      <c r="AB342">
        <f>SUMIF(Contact[Full Name],Contact[[#This Row],[Full Name]],Contact[Active])</f>
        <v>0</v>
      </c>
    </row>
    <row r="343" spans="1:28">
      <c r="A343">
        <v>1</v>
      </c>
      <c r="B343" t="s">
        <v>1665</v>
      </c>
      <c r="C343" t="s">
        <v>1666</v>
      </c>
      <c r="E343" t="s">
        <v>2443</v>
      </c>
      <c r="F343" t="s">
        <v>98</v>
      </c>
      <c r="G343" t="s">
        <v>2092</v>
      </c>
      <c r="I343" s="1" t="s">
        <v>1667</v>
      </c>
      <c r="J343" s="66" t="s">
        <v>2093</v>
      </c>
      <c r="L343" t="s">
        <v>2094</v>
      </c>
      <c r="M343" t="s">
        <v>105</v>
      </c>
      <c r="N343" t="s">
        <v>2095</v>
      </c>
      <c r="R343" t="s">
        <v>2093</v>
      </c>
      <c r="S343" t="s">
        <v>2093</v>
      </c>
      <c r="V343">
        <v>2020</v>
      </c>
      <c r="X343" t="b">
        <f>IF(_xlfn.MAXIFS(Contact[Sequence],Contact[Full Name],Contact[[#This Row],[Full Name]],Contact[Season],Contact[[#This Row],[Season]])=Contact[[#This Row],[Sequence]],TRUE,FALSE)</f>
        <v>1</v>
      </c>
      <c r="Y343" t="s">
        <v>190</v>
      </c>
      <c r="Z343">
        <v>0</v>
      </c>
      <c r="AA343">
        <f>IF(Contact[[#This Row],[Latest]]=TRUE,_xlfn.XLOOKUP(Contact[[#This Row],[Final Decision]],Table3[Final Decision],Table3[Active],0),0)</f>
        <v>0</v>
      </c>
      <c r="AB343">
        <f>SUMIF(Contact[Full Name],Contact[[#This Row],[Full Name]],Contact[Active])</f>
        <v>0</v>
      </c>
    </row>
    <row r="344" spans="1:28">
      <c r="A344">
        <v>1</v>
      </c>
      <c r="B344" t="s">
        <v>1786</v>
      </c>
      <c r="C344" t="s">
        <v>1787</v>
      </c>
      <c r="E344" t="s">
        <v>2444</v>
      </c>
      <c r="F344" t="s">
        <v>98</v>
      </c>
      <c r="G344" t="s">
        <v>2092</v>
      </c>
      <c r="I344" s="1" t="s">
        <v>1788</v>
      </c>
      <c r="J344" s="66" t="s">
        <v>2093</v>
      </c>
      <c r="L344" t="s">
        <v>2094</v>
      </c>
      <c r="M344" t="s">
        <v>105</v>
      </c>
      <c r="N344" t="s">
        <v>2095</v>
      </c>
      <c r="R344" t="s">
        <v>2093</v>
      </c>
      <c r="S344" t="s">
        <v>2093</v>
      </c>
      <c r="V344">
        <v>2020</v>
      </c>
      <c r="X344" t="b">
        <f>IF(_xlfn.MAXIFS(Contact[Sequence],Contact[Full Name],Contact[[#This Row],[Full Name]],Contact[Season],Contact[[#This Row],[Season]])=Contact[[#This Row],[Sequence]],TRUE,FALSE)</f>
        <v>1</v>
      </c>
      <c r="Y344" t="s">
        <v>190</v>
      </c>
      <c r="Z344">
        <v>0</v>
      </c>
      <c r="AA344">
        <f>IF(Contact[[#This Row],[Latest]]=TRUE,_xlfn.XLOOKUP(Contact[[#This Row],[Final Decision]],Table3[Final Decision],Table3[Active],0),0)</f>
        <v>0</v>
      </c>
      <c r="AB344">
        <f>SUMIF(Contact[Full Name],Contact[[#This Row],[Full Name]],Contact[Active])</f>
        <v>0</v>
      </c>
    </row>
    <row r="345" spans="1:28">
      <c r="A345">
        <v>1</v>
      </c>
      <c r="B345" t="s">
        <v>1813</v>
      </c>
      <c r="C345" t="s">
        <v>459</v>
      </c>
      <c r="E345" t="s">
        <v>2445</v>
      </c>
      <c r="F345" t="s">
        <v>95</v>
      </c>
      <c r="G345" t="s">
        <v>2092</v>
      </c>
      <c r="I345" s="1" t="s">
        <v>1814</v>
      </c>
      <c r="J345" s="66" t="s">
        <v>1815</v>
      </c>
      <c r="L345" t="s">
        <v>2094</v>
      </c>
      <c r="M345" t="s">
        <v>105</v>
      </c>
      <c r="N345" t="s">
        <v>2095</v>
      </c>
      <c r="R345" t="s">
        <v>2093</v>
      </c>
      <c r="S345" t="s">
        <v>2093</v>
      </c>
      <c r="V345">
        <v>2020</v>
      </c>
      <c r="X345" t="b">
        <f>IF(_xlfn.MAXIFS(Contact[Sequence],Contact[Full Name],Contact[[#This Row],[Full Name]],Contact[Season],Contact[[#This Row],[Season]])=Contact[[#This Row],[Sequence]],TRUE,FALSE)</f>
        <v>1</v>
      </c>
      <c r="Y345" t="s">
        <v>190</v>
      </c>
      <c r="Z345">
        <v>0</v>
      </c>
      <c r="AA345">
        <f>IF(Contact[[#This Row],[Latest]]=TRUE,_xlfn.XLOOKUP(Contact[[#This Row],[Final Decision]],Table3[Final Decision],Table3[Active],0),0)</f>
        <v>0</v>
      </c>
      <c r="AB345">
        <f>SUMIF(Contact[Full Name],Contact[[#This Row],[Full Name]],Contact[Active])</f>
        <v>0</v>
      </c>
    </row>
    <row r="346" spans="1:28">
      <c r="A346">
        <v>1</v>
      </c>
      <c r="B346" t="s">
        <v>1817</v>
      </c>
      <c r="C346" t="s">
        <v>298</v>
      </c>
      <c r="E346" t="s">
        <v>2446</v>
      </c>
      <c r="F346" t="s">
        <v>98</v>
      </c>
      <c r="G346" t="s">
        <v>2092</v>
      </c>
      <c r="I346" s="1" t="s">
        <v>1818</v>
      </c>
      <c r="J346" s="66" t="s">
        <v>2093</v>
      </c>
      <c r="L346" t="s">
        <v>2094</v>
      </c>
      <c r="M346" t="s">
        <v>105</v>
      </c>
      <c r="N346" t="s">
        <v>2095</v>
      </c>
      <c r="R346" t="s">
        <v>2093</v>
      </c>
      <c r="S346" t="s">
        <v>2093</v>
      </c>
      <c r="V346">
        <v>2020</v>
      </c>
      <c r="X346" t="b">
        <f>IF(_xlfn.MAXIFS(Contact[Sequence],Contact[Full Name],Contact[[#This Row],[Full Name]],Contact[Season],Contact[[#This Row],[Season]])=Contact[[#This Row],[Sequence]],TRUE,FALSE)</f>
        <v>1</v>
      </c>
      <c r="Y346" t="s">
        <v>190</v>
      </c>
      <c r="Z346">
        <v>0</v>
      </c>
      <c r="AA346">
        <f>IF(Contact[[#This Row],[Latest]]=TRUE,_xlfn.XLOOKUP(Contact[[#This Row],[Final Decision]],Table3[Final Decision],Table3[Active],0),0)</f>
        <v>0</v>
      </c>
      <c r="AB346">
        <f>SUMIF(Contact[Full Name],Contact[[#This Row],[Full Name]],Contact[Active])</f>
        <v>0</v>
      </c>
    </row>
    <row r="347" spans="1:28">
      <c r="A347">
        <v>1</v>
      </c>
      <c r="B347" t="s">
        <v>2046</v>
      </c>
      <c r="C347" t="s">
        <v>2047</v>
      </c>
      <c r="E347" t="s">
        <v>2447</v>
      </c>
      <c r="F347" t="s">
        <v>98</v>
      </c>
      <c r="G347" t="s">
        <v>2092</v>
      </c>
      <c r="I347" s="1" t="s">
        <v>2048</v>
      </c>
      <c r="J347" s="66" t="s">
        <v>2093</v>
      </c>
      <c r="L347" t="s">
        <v>2094</v>
      </c>
      <c r="M347" t="s">
        <v>105</v>
      </c>
      <c r="N347" t="s">
        <v>2095</v>
      </c>
      <c r="P347" t="s">
        <v>2050</v>
      </c>
      <c r="R347" t="s">
        <v>112</v>
      </c>
      <c r="S347" t="s">
        <v>2093</v>
      </c>
      <c r="V347">
        <v>2020</v>
      </c>
      <c r="X347" t="b">
        <f>IF(_xlfn.MAXIFS(Contact[Sequence],Contact[Full Name],Contact[[#This Row],[Full Name]],Contact[Season],Contact[[#This Row],[Season]])=Contact[[#This Row],[Sequence]],TRUE,FALSE)</f>
        <v>1</v>
      </c>
      <c r="Y347" t="s">
        <v>96</v>
      </c>
      <c r="Z347" t="s">
        <v>2050</v>
      </c>
      <c r="AA347">
        <f>IF(Contact[[#This Row],[Latest]]=TRUE,_xlfn.XLOOKUP(Contact[[#This Row],[Final Decision]],Table3[Final Decision],Table3[Active],0),0)</f>
        <v>0</v>
      </c>
      <c r="AB347">
        <f>SUMIF(Contact[Full Name],Contact[[#This Row],[Full Name]],Contact[Active])</f>
        <v>0</v>
      </c>
    </row>
    <row r="348" spans="1:28">
      <c r="A348">
        <v>1</v>
      </c>
      <c r="B348" t="s">
        <v>1783</v>
      </c>
      <c r="C348" t="s">
        <v>1056</v>
      </c>
      <c r="E348" t="s">
        <v>2448</v>
      </c>
      <c r="F348" t="s">
        <v>98</v>
      </c>
      <c r="G348" t="s">
        <v>2092</v>
      </c>
      <c r="I348" s="1" t="s">
        <v>1784</v>
      </c>
      <c r="J348" s="66" t="s">
        <v>2093</v>
      </c>
      <c r="L348" t="s">
        <v>2094</v>
      </c>
      <c r="M348" t="s">
        <v>105</v>
      </c>
      <c r="N348" t="s">
        <v>2095</v>
      </c>
      <c r="R348" t="s">
        <v>2093</v>
      </c>
      <c r="S348" t="s">
        <v>2093</v>
      </c>
      <c r="V348">
        <v>2020</v>
      </c>
      <c r="X348" t="b">
        <f>IF(_xlfn.MAXIFS(Contact[Sequence],Contact[Full Name],Contact[[#This Row],[Full Name]],Contact[Season],Contact[[#This Row],[Season]])=Contact[[#This Row],[Sequence]],TRUE,FALSE)</f>
        <v>1</v>
      </c>
      <c r="Y348" t="s">
        <v>190</v>
      </c>
      <c r="Z348">
        <v>0</v>
      </c>
      <c r="AA348">
        <f>IF(Contact[[#This Row],[Latest]]=TRUE,_xlfn.XLOOKUP(Contact[[#This Row],[Final Decision]],Table3[Final Decision],Table3[Active],0),0)</f>
        <v>0</v>
      </c>
      <c r="AB348">
        <f>SUMIF(Contact[Full Name],Contact[[#This Row],[Full Name]],Contact[Active])</f>
        <v>0</v>
      </c>
    </row>
    <row r="349" spans="1:28">
      <c r="A349">
        <v>1</v>
      </c>
      <c r="B349" t="s">
        <v>1783</v>
      </c>
      <c r="C349" t="s">
        <v>1833</v>
      </c>
      <c r="E349" t="s">
        <v>2449</v>
      </c>
      <c r="F349" t="s">
        <v>95</v>
      </c>
      <c r="G349" t="s">
        <v>2092</v>
      </c>
      <c r="I349" s="1" t="s">
        <v>1834</v>
      </c>
      <c r="J349" s="66"/>
      <c r="L349" t="s">
        <v>2094</v>
      </c>
      <c r="M349" t="s">
        <v>105</v>
      </c>
      <c r="N349" t="s">
        <v>2095</v>
      </c>
      <c r="R349" t="s">
        <v>2093</v>
      </c>
      <c r="S349" t="s">
        <v>2093</v>
      </c>
      <c r="V349">
        <v>2020</v>
      </c>
      <c r="X349" t="b">
        <f>IF(_xlfn.MAXIFS(Contact[Sequence],Contact[Full Name],Contact[[#This Row],[Full Name]],Contact[Season],Contact[[#This Row],[Season]])=Contact[[#This Row],[Sequence]],TRUE,FALSE)</f>
        <v>1</v>
      </c>
      <c r="Y349" t="s">
        <v>190</v>
      </c>
      <c r="Z349">
        <v>0</v>
      </c>
      <c r="AA349">
        <f>IF(Contact[[#This Row],[Latest]]=TRUE,_xlfn.XLOOKUP(Contact[[#This Row],[Final Decision]],Table3[Final Decision],Table3[Active],0),0)</f>
        <v>0</v>
      </c>
      <c r="AB349">
        <f>SUMIF(Contact[Full Name],Contact[[#This Row],[Full Name]],Contact[Active])</f>
        <v>0</v>
      </c>
    </row>
    <row r="350" spans="1:28">
      <c r="A350">
        <v>1</v>
      </c>
      <c r="B350" t="s">
        <v>1783</v>
      </c>
      <c r="C350" t="s">
        <v>1853</v>
      </c>
      <c r="E350" t="s">
        <v>2450</v>
      </c>
      <c r="F350" t="s">
        <v>98</v>
      </c>
      <c r="G350" t="s">
        <v>2092</v>
      </c>
      <c r="I350" s="1" t="s">
        <v>1854</v>
      </c>
      <c r="J350" s="66" t="s">
        <v>2093</v>
      </c>
      <c r="L350" t="s">
        <v>2094</v>
      </c>
      <c r="M350" t="s">
        <v>105</v>
      </c>
      <c r="N350" t="s">
        <v>2095</v>
      </c>
      <c r="R350" t="s">
        <v>2093</v>
      </c>
      <c r="S350" t="s">
        <v>2093</v>
      </c>
      <c r="V350">
        <v>2020</v>
      </c>
      <c r="X350" t="b">
        <f>IF(_xlfn.MAXIFS(Contact[Sequence],Contact[Full Name],Contact[[#This Row],[Full Name]],Contact[Season],Contact[[#This Row],[Season]])=Contact[[#This Row],[Sequence]],TRUE,FALSE)</f>
        <v>1</v>
      </c>
      <c r="Y350" t="s">
        <v>190</v>
      </c>
      <c r="Z350">
        <v>0</v>
      </c>
      <c r="AA350">
        <f>IF(Contact[[#This Row],[Latest]]=TRUE,_xlfn.XLOOKUP(Contact[[#This Row],[Final Decision]],Table3[Final Decision],Table3[Active],0),0)</f>
        <v>0</v>
      </c>
      <c r="AB350">
        <f>SUMIF(Contact[Full Name],Contact[[#This Row],[Full Name]],Contact[Active])</f>
        <v>0</v>
      </c>
    </row>
    <row r="351" spans="1:28">
      <c r="A351">
        <v>1</v>
      </c>
      <c r="B351" t="s">
        <v>1783</v>
      </c>
      <c r="C351" t="s">
        <v>1830</v>
      </c>
      <c r="E351" t="s">
        <v>2451</v>
      </c>
      <c r="F351" t="s">
        <v>98</v>
      </c>
      <c r="G351" t="s">
        <v>2092</v>
      </c>
      <c r="I351" s="1" t="s">
        <v>1831</v>
      </c>
      <c r="J351" s="66" t="s">
        <v>2093</v>
      </c>
      <c r="L351" t="s">
        <v>2094</v>
      </c>
      <c r="M351" t="s">
        <v>105</v>
      </c>
      <c r="N351" t="s">
        <v>2095</v>
      </c>
      <c r="R351" t="s">
        <v>2093</v>
      </c>
      <c r="S351" t="s">
        <v>2093</v>
      </c>
      <c r="V351">
        <v>2020</v>
      </c>
      <c r="X351" t="b">
        <f>IF(_xlfn.MAXIFS(Contact[Sequence],Contact[Full Name],Contact[[#This Row],[Full Name]],Contact[Season],Contact[[#This Row],[Season]])=Contact[[#This Row],[Sequence]],TRUE,FALSE)</f>
        <v>1</v>
      </c>
      <c r="Y351" t="s">
        <v>190</v>
      </c>
      <c r="Z351">
        <v>0</v>
      </c>
      <c r="AA351">
        <f>IF(Contact[[#This Row],[Latest]]=TRUE,_xlfn.XLOOKUP(Contact[[#This Row],[Final Decision]],Table3[Final Decision],Table3[Active],0),0)</f>
        <v>0</v>
      </c>
      <c r="AB351">
        <f>SUMIF(Contact[Full Name],Contact[[#This Row],[Full Name]],Contact[Active])</f>
        <v>0</v>
      </c>
    </row>
    <row r="352" spans="1:28">
      <c r="A352">
        <v>1</v>
      </c>
      <c r="B352" t="s">
        <v>646</v>
      </c>
      <c r="C352" t="s">
        <v>463</v>
      </c>
      <c r="E352" t="s">
        <v>2452</v>
      </c>
      <c r="F352" t="s">
        <v>95</v>
      </c>
      <c r="G352" t="s">
        <v>2092</v>
      </c>
      <c r="I352" s="1" t="s">
        <v>647</v>
      </c>
      <c r="J352" s="66" t="s">
        <v>648</v>
      </c>
      <c r="L352" t="s">
        <v>2094</v>
      </c>
      <c r="M352" t="s">
        <v>105</v>
      </c>
      <c r="N352" t="s">
        <v>2095</v>
      </c>
      <c r="P352" t="s">
        <v>651</v>
      </c>
      <c r="R352" t="s">
        <v>112</v>
      </c>
      <c r="S352" t="s">
        <v>645</v>
      </c>
      <c r="V352">
        <v>2020</v>
      </c>
      <c r="X352" t="b">
        <f>IF(_xlfn.MAXIFS(Contact[Sequence],Contact[Full Name],Contact[[#This Row],[Full Name]],Contact[Season],Contact[[#This Row],[Season]])=Contact[[#This Row],[Sequence]],TRUE,FALSE)</f>
        <v>0</v>
      </c>
      <c r="Y352" t="s">
        <v>96</v>
      </c>
      <c r="Z352" t="s">
        <v>651</v>
      </c>
      <c r="AA352">
        <f>IF(Contact[[#This Row],[Latest]]=TRUE,_xlfn.XLOOKUP(Contact[[#This Row],[Final Decision]],Table3[Final Decision],Table3[Active],0),0)</f>
        <v>0</v>
      </c>
      <c r="AB352">
        <f>SUMIF(Contact[Full Name],Contact[[#This Row],[Full Name]],Contact[Active])</f>
        <v>0</v>
      </c>
    </row>
    <row r="353" spans="1:28">
      <c r="A353">
        <v>1</v>
      </c>
      <c r="B353" t="s">
        <v>810</v>
      </c>
      <c r="C353" t="s">
        <v>811</v>
      </c>
      <c r="E353" t="s">
        <v>2453</v>
      </c>
      <c r="F353" t="s">
        <v>95</v>
      </c>
      <c r="G353" t="s">
        <v>2092</v>
      </c>
      <c r="I353" s="1" t="s">
        <v>812</v>
      </c>
      <c r="J353" s="66" t="s">
        <v>2093</v>
      </c>
      <c r="L353" t="s">
        <v>2094</v>
      </c>
      <c r="M353" t="s">
        <v>90</v>
      </c>
      <c r="N353" t="s">
        <v>2095</v>
      </c>
      <c r="P353" t="s">
        <v>814</v>
      </c>
      <c r="R353" t="s">
        <v>112</v>
      </c>
      <c r="S353" t="s">
        <v>2093</v>
      </c>
      <c r="V353">
        <v>2020</v>
      </c>
      <c r="X353" t="b">
        <f>IF(_xlfn.MAXIFS(Contact[Sequence],Contact[Full Name],Contact[[#This Row],[Full Name]],Contact[Season],Contact[[#This Row],[Season]])=Contact[[#This Row],[Sequence]],TRUE,FALSE)</f>
        <v>1</v>
      </c>
      <c r="Y353" t="s">
        <v>96</v>
      </c>
      <c r="Z353" t="s">
        <v>814</v>
      </c>
      <c r="AA353">
        <f>IF(Contact[[#This Row],[Latest]]=TRUE,_xlfn.XLOOKUP(Contact[[#This Row],[Final Decision]],Table3[Final Decision],Table3[Active],0),0)</f>
        <v>0</v>
      </c>
      <c r="AB353">
        <f>SUMIF(Contact[Full Name],Contact[[#This Row],[Full Name]],Contact[Active])</f>
        <v>0</v>
      </c>
    </row>
    <row r="354" spans="1:28">
      <c r="A354">
        <v>1</v>
      </c>
      <c r="B354" t="s">
        <v>223</v>
      </c>
      <c r="C354" t="s">
        <v>224</v>
      </c>
      <c r="E354" t="s">
        <v>2454</v>
      </c>
      <c r="F354" t="s">
        <v>102</v>
      </c>
      <c r="G354" t="s">
        <v>2100</v>
      </c>
      <c r="I354" s="1" t="s">
        <v>225</v>
      </c>
      <c r="J354" s="66" t="s">
        <v>2093</v>
      </c>
      <c r="L354" t="s">
        <v>2094</v>
      </c>
      <c r="M354" t="s">
        <v>90</v>
      </c>
      <c r="N354" t="s">
        <v>2095</v>
      </c>
      <c r="P354" t="s">
        <v>229</v>
      </c>
      <c r="R354" t="s">
        <v>215</v>
      </c>
      <c r="S354" t="s">
        <v>216</v>
      </c>
      <c r="V354">
        <v>2020</v>
      </c>
      <c r="X354" t="b">
        <f>IF(_xlfn.MAXIFS(Contact[Sequence],Contact[Full Name],Contact[[#This Row],[Full Name]],Contact[Season],Contact[[#This Row],[Season]])=Contact[[#This Row],[Sequence]],TRUE,FALSE)</f>
        <v>1</v>
      </c>
      <c r="Y354" t="s">
        <v>96</v>
      </c>
      <c r="Z354" t="s">
        <v>228</v>
      </c>
      <c r="AA354">
        <f>IF(Contact[[#This Row],[Latest]]=TRUE,_xlfn.XLOOKUP(Contact[[#This Row],[Final Decision]],Table3[Final Decision],Table3[Active],0),0)</f>
        <v>0</v>
      </c>
      <c r="AB354">
        <f>SUMIF(Contact[Full Name],Contact[[#This Row],[Full Name]],Contact[Active])</f>
        <v>0</v>
      </c>
    </row>
    <row r="355" spans="1:28">
      <c r="A355">
        <v>1</v>
      </c>
      <c r="B355" t="s">
        <v>1840</v>
      </c>
      <c r="C355" t="s">
        <v>1138</v>
      </c>
      <c r="E355" t="s">
        <v>2455</v>
      </c>
      <c r="F355" t="s">
        <v>98</v>
      </c>
      <c r="G355" t="s">
        <v>2092</v>
      </c>
      <c r="I355" s="1" t="s">
        <v>1841</v>
      </c>
      <c r="J355" s="66" t="s">
        <v>2093</v>
      </c>
      <c r="L355" t="s">
        <v>2094</v>
      </c>
      <c r="M355" t="s">
        <v>185</v>
      </c>
      <c r="N355" t="s">
        <v>2095</v>
      </c>
      <c r="R355" t="s">
        <v>2093</v>
      </c>
      <c r="S355" t="s">
        <v>2093</v>
      </c>
      <c r="V355">
        <v>2020</v>
      </c>
      <c r="X355" t="b">
        <f>IF(_xlfn.MAXIFS(Contact[Sequence],Contact[Full Name],Contact[[#This Row],[Full Name]],Contact[Season],Contact[[#This Row],[Season]])=Contact[[#This Row],[Sequence]],TRUE,FALSE)</f>
        <v>1</v>
      </c>
      <c r="Y355" t="s">
        <v>190</v>
      </c>
      <c r="Z355">
        <v>0</v>
      </c>
      <c r="AA355">
        <f>IF(Contact[[#This Row],[Latest]]=TRUE,_xlfn.XLOOKUP(Contact[[#This Row],[Final Decision]],Table3[Final Decision],Table3[Active],0),0)</f>
        <v>0</v>
      </c>
      <c r="AB355">
        <f>SUMIF(Contact[Full Name],Contact[[#This Row],[Full Name]],Contact[Active])</f>
        <v>0</v>
      </c>
    </row>
    <row r="356" spans="1:28">
      <c r="A356">
        <v>1</v>
      </c>
      <c r="B356" t="s">
        <v>102</v>
      </c>
      <c r="C356" t="s">
        <v>471</v>
      </c>
      <c r="E356" t="s">
        <v>2456</v>
      </c>
      <c r="F356" t="s">
        <v>102</v>
      </c>
      <c r="G356" t="s">
        <v>2100</v>
      </c>
      <c r="I356" s="1" t="s">
        <v>2051</v>
      </c>
      <c r="J356" s="66" t="s">
        <v>2093</v>
      </c>
      <c r="L356" t="s">
        <v>2094</v>
      </c>
      <c r="M356" t="s">
        <v>90</v>
      </c>
      <c r="N356" t="s">
        <v>2095</v>
      </c>
      <c r="P356" t="s">
        <v>2053</v>
      </c>
      <c r="R356" t="s">
        <v>112</v>
      </c>
      <c r="S356" t="s">
        <v>2093</v>
      </c>
      <c r="V356">
        <v>2020</v>
      </c>
      <c r="X356" t="b">
        <f>IF(_xlfn.MAXIFS(Contact[Sequence],Contact[Full Name],Contact[[#This Row],[Full Name]],Contact[Season],Contact[[#This Row],[Season]])=Contact[[#This Row],[Sequence]],TRUE,FALSE)</f>
        <v>1</v>
      </c>
      <c r="Y356" t="s">
        <v>133</v>
      </c>
      <c r="Z356" t="s">
        <v>2052</v>
      </c>
      <c r="AA356">
        <f>IF(Contact[[#This Row],[Latest]]=TRUE,_xlfn.XLOOKUP(Contact[[#This Row],[Final Decision]],Table3[Final Decision],Table3[Active],0),0)</f>
        <v>0</v>
      </c>
      <c r="AB356">
        <f>SUMIF(Contact[Full Name],Contact[[#This Row],[Full Name]],Contact[Active])</f>
        <v>0</v>
      </c>
    </row>
    <row r="357" spans="1:28">
      <c r="A357">
        <v>1</v>
      </c>
      <c r="B357" t="s">
        <v>576</v>
      </c>
      <c r="C357" t="s">
        <v>577</v>
      </c>
      <c r="E357" t="s">
        <v>2457</v>
      </c>
      <c r="F357" t="s">
        <v>95</v>
      </c>
      <c r="G357" t="s">
        <v>2092</v>
      </c>
      <c r="I357" s="1" t="s">
        <v>578</v>
      </c>
      <c r="J357" s="66" t="s">
        <v>2093</v>
      </c>
      <c r="L357" t="s">
        <v>2094</v>
      </c>
      <c r="M357" t="s">
        <v>185</v>
      </c>
      <c r="N357" t="s">
        <v>2095</v>
      </c>
      <c r="R357" t="s">
        <v>2093</v>
      </c>
      <c r="S357" t="s">
        <v>2093</v>
      </c>
      <c r="V357">
        <v>2020</v>
      </c>
      <c r="X357" t="b">
        <f>IF(_xlfn.MAXIFS(Contact[Sequence],Contact[Full Name],Contact[[#This Row],[Full Name]],Contact[Season],Contact[[#This Row],[Season]])=Contact[[#This Row],[Sequence]],TRUE,FALSE)</f>
        <v>1</v>
      </c>
      <c r="Y357" t="s">
        <v>190</v>
      </c>
      <c r="Z357">
        <v>0</v>
      </c>
      <c r="AA357">
        <f>IF(Contact[[#This Row],[Latest]]=TRUE,_xlfn.XLOOKUP(Contact[[#This Row],[Final Decision]],Table3[Final Decision],Table3[Active],0),0)</f>
        <v>0</v>
      </c>
      <c r="AB357">
        <f>SUMIF(Contact[Full Name],Contact[[#This Row],[Full Name]],Contact[Active])</f>
        <v>0</v>
      </c>
    </row>
    <row r="358" spans="1:28">
      <c r="A358">
        <v>1</v>
      </c>
      <c r="B358" t="s">
        <v>165</v>
      </c>
      <c r="C358" t="s">
        <v>166</v>
      </c>
      <c r="E358" t="s">
        <v>2458</v>
      </c>
      <c r="F358" t="s">
        <v>95</v>
      </c>
      <c r="G358" t="s">
        <v>2092</v>
      </c>
      <c r="I358" s="1" t="s">
        <v>167</v>
      </c>
      <c r="J358" s="66" t="s">
        <v>168</v>
      </c>
      <c r="L358" t="s">
        <v>2094</v>
      </c>
      <c r="M358" t="s">
        <v>164</v>
      </c>
      <c r="N358" t="s">
        <v>2095</v>
      </c>
      <c r="P358" t="s">
        <v>159</v>
      </c>
      <c r="R358" t="s">
        <v>152</v>
      </c>
      <c r="S358" t="s">
        <v>153</v>
      </c>
      <c r="V358">
        <v>2020</v>
      </c>
      <c r="X358" t="b">
        <f>IF(_xlfn.MAXIFS(Contact[Sequence],Contact[Full Name],Contact[[#This Row],[Full Name]],Contact[Season],Contact[[#This Row],[Season]])=Contact[[#This Row],[Sequence]],TRUE,FALSE)</f>
        <v>0</v>
      </c>
      <c r="Y358" t="s">
        <v>96</v>
      </c>
      <c r="Z358" t="s">
        <v>159</v>
      </c>
      <c r="AA358">
        <f>IF(Contact[[#This Row],[Latest]]=TRUE,_xlfn.XLOOKUP(Contact[[#This Row],[Final Decision]],Table3[Final Decision],Table3[Active],0),0)</f>
        <v>0</v>
      </c>
      <c r="AB358">
        <f>SUMIF(Contact[Full Name],Contact[[#This Row],[Full Name]],Contact[Active])</f>
        <v>0</v>
      </c>
    </row>
    <row r="359" spans="1:28">
      <c r="A359">
        <v>1</v>
      </c>
      <c r="B359" t="s">
        <v>198</v>
      </c>
      <c r="C359" t="s">
        <v>199</v>
      </c>
      <c r="E359" t="s">
        <v>2459</v>
      </c>
      <c r="F359" t="s">
        <v>102</v>
      </c>
      <c r="G359" t="s">
        <v>2100</v>
      </c>
      <c r="I359" s="1" t="s">
        <v>200</v>
      </c>
      <c r="J359" s="66" t="s">
        <v>2093</v>
      </c>
      <c r="L359" t="s">
        <v>2094</v>
      </c>
      <c r="M359" t="s">
        <v>185</v>
      </c>
      <c r="N359" t="s">
        <v>2095</v>
      </c>
      <c r="P359" t="s">
        <v>204</v>
      </c>
      <c r="R359" t="s">
        <v>112</v>
      </c>
      <c r="S359" t="s">
        <v>175</v>
      </c>
      <c r="V359">
        <v>2020</v>
      </c>
      <c r="X359" t="b">
        <f>IF(_xlfn.MAXIFS(Contact[Sequence],Contact[Full Name],Contact[[#This Row],[Full Name]],Contact[Season],Contact[[#This Row],[Season]])=Contact[[#This Row],[Sequence]],TRUE,FALSE)</f>
        <v>0</v>
      </c>
      <c r="Y359" t="s">
        <v>96</v>
      </c>
      <c r="Z359" t="s">
        <v>203</v>
      </c>
      <c r="AA359">
        <f>IF(Contact[[#This Row],[Latest]]=TRUE,_xlfn.XLOOKUP(Contact[[#This Row],[Final Decision]],Table3[Final Decision],Table3[Active],0),0)</f>
        <v>0</v>
      </c>
      <c r="AB359">
        <f>SUMIF(Contact[Full Name],Contact[[#This Row],[Full Name]],Contact[Active])</f>
        <v>0</v>
      </c>
    </row>
    <row r="360" spans="1:28">
      <c r="A360">
        <v>1</v>
      </c>
      <c r="B360" t="s">
        <v>580</v>
      </c>
      <c r="C360" t="s">
        <v>581</v>
      </c>
      <c r="E360" t="s">
        <v>2460</v>
      </c>
      <c r="F360" t="s">
        <v>95</v>
      </c>
      <c r="G360" t="s">
        <v>2092</v>
      </c>
      <c r="I360" s="1" t="s">
        <v>582</v>
      </c>
      <c r="J360" s="66" t="s">
        <v>2093</v>
      </c>
      <c r="L360" t="s">
        <v>2094</v>
      </c>
      <c r="M360" t="s">
        <v>185</v>
      </c>
      <c r="N360" t="s">
        <v>2095</v>
      </c>
      <c r="R360" t="s">
        <v>2093</v>
      </c>
      <c r="S360" t="s">
        <v>2093</v>
      </c>
      <c r="V360">
        <v>2020</v>
      </c>
      <c r="X360" t="b">
        <f>IF(_xlfn.MAXIFS(Contact[Sequence],Contact[Full Name],Contact[[#This Row],[Full Name]],Contact[Season],Contact[[#This Row],[Season]])=Contact[[#This Row],[Sequence]],TRUE,FALSE)</f>
        <v>1</v>
      </c>
      <c r="Y360" t="s">
        <v>190</v>
      </c>
      <c r="Z360">
        <v>0</v>
      </c>
      <c r="AA360">
        <f>IF(Contact[[#This Row],[Latest]]=TRUE,_xlfn.XLOOKUP(Contact[[#This Row],[Final Decision]],Table3[Final Decision],Table3[Active],0),0)</f>
        <v>0</v>
      </c>
      <c r="AB360">
        <f>SUMIF(Contact[Full Name],Contact[[#This Row],[Full Name]],Contact[Active])</f>
        <v>0</v>
      </c>
    </row>
    <row r="361" spans="1:28">
      <c r="A361">
        <v>1</v>
      </c>
      <c r="B361" t="s">
        <v>580</v>
      </c>
      <c r="C361" t="s">
        <v>2054</v>
      </c>
      <c r="E361" t="s">
        <v>2461</v>
      </c>
      <c r="F361" t="s">
        <v>98</v>
      </c>
      <c r="G361" t="s">
        <v>2092</v>
      </c>
      <c r="I361" s="1" t="s">
        <v>2055</v>
      </c>
      <c r="J361" s="66" t="s">
        <v>2056</v>
      </c>
      <c r="L361" t="s">
        <v>2094</v>
      </c>
      <c r="M361" t="s">
        <v>185</v>
      </c>
      <c r="N361" t="s">
        <v>2095</v>
      </c>
      <c r="R361" t="s">
        <v>112</v>
      </c>
      <c r="S361" t="s">
        <v>2093</v>
      </c>
      <c r="V361">
        <v>2020</v>
      </c>
      <c r="X361" t="b">
        <f>IF(_xlfn.MAXIFS(Contact[Sequence],Contact[Full Name],Contact[[#This Row],[Full Name]],Contact[Season],Contact[[#This Row],[Season]])=Contact[[#This Row],[Sequence]],TRUE,FALSE)</f>
        <v>1</v>
      </c>
      <c r="Y361" t="s">
        <v>1051</v>
      </c>
      <c r="Z361">
        <v>0</v>
      </c>
      <c r="AA361">
        <f>IF(Contact[[#This Row],[Latest]]=TRUE,_xlfn.XLOOKUP(Contact[[#This Row],[Final Decision]],Table3[Final Decision],Table3[Active],0),0)</f>
        <v>0</v>
      </c>
      <c r="AB361">
        <f>SUMIF(Contact[Full Name],Contact[[#This Row],[Full Name]],Contact[Active])</f>
        <v>0</v>
      </c>
    </row>
    <row r="362" spans="1:28">
      <c r="A362">
        <v>1</v>
      </c>
      <c r="B362" t="s">
        <v>984</v>
      </c>
      <c r="C362" t="s">
        <v>985</v>
      </c>
      <c r="E362" t="s">
        <v>2462</v>
      </c>
      <c r="F362" t="s">
        <v>95</v>
      </c>
      <c r="G362" t="s">
        <v>2092</v>
      </c>
      <c r="I362" s="1" t="s">
        <v>986</v>
      </c>
      <c r="J362" s="66"/>
      <c r="L362" t="s">
        <v>2094</v>
      </c>
      <c r="M362" t="s">
        <v>105</v>
      </c>
      <c r="N362" t="s">
        <v>2095</v>
      </c>
      <c r="P362" t="s">
        <v>665</v>
      </c>
      <c r="R362" t="s">
        <v>112</v>
      </c>
      <c r="S362" t="s">
        <v>2093</v>
      </c>
      <c r="V362">
        <v>2020</v>
      </c>
      <c r="X362" t="b">
        <f>IF(_xlfn.MAXIFS(Contact[Sequence],Contact[Full Name],Contact[[#This Row],[Full Name]],Contact[Season],Contact[[#This Row],[Season]])=Contact[[#This Row],[Sequence]],TRUE,FALSE)</f>
        <v>1</v>
      </c>
      <c r="Y362" t="s">
        <v>96</v>
      </c>
      <c r="Z362" t="s">
        <v>665</v>
      </c>
      <c r="AA362">
        <f>IF(Contact[[#This Row],[Latest]]=TRUE,_xlfn.XLOOKUP(Contact[[#This Row],[Final Decision]],Table3[Final Decision],Table3[Active],0),0)</f>
        <v>0</v>
      </c>
      <c r="AB362">
        <f>SUMIF(Contact[Full Name],Contact[[#This Row],[Full Name]],Contact[Active])</f>
        <v>0</v>
      </c>
    </row>
    <row r="363" spans="1:28">
      <c r="A363">
        <v>1</v>
      </c>
      <c r="B363" t="s">
        <v>573</v>
      </c>
      <c r="C363" t="s">
        <v>471</v>
      </c>
      <c r="E363" t="s">
        <v>2463</v>
      </c>
      <c r="F363" t="s">
        <v>95</v>
      </c>
      <c r="G363" t="s">
        <v>2092</v>
      </c>
      <c r="I363" s="1" t="s">
        <v>574</v>
      </c>
      <c r="J363" s="66" t="s">
        <v>2093</v>
      </c>
      <c r="L363" t="s">
        <v>2094</v>
      </c>
      <c r="M363" t="s">
        <v>185</v>
      </c>
      <c r="N363" t="s">
        <v>2095</v>
      </c>
      <c r="R363" t="s">
        <v>2093</v>
      </c>
      <c r="S363" t="s">
        <v>2093</v>
      </c>
      <c r="V363">
        <v>2020</v>
      </c>
      <c r="X363" t="b">
        <f>IF(_xlfn.MAXIFS(Contact[Sequence],Contact[Full Name],Contact[[#This Row],[Full Name]],Contact[Season],Contact[[#This Row],[Season]])=Contact[[#This Row],[Sequence]],TRUE,FALSE)</f>
        <v>1</v>
      </c>
      <c r="Y363" t="s">
        <v>190</v>
      </c>
      <c r="Z363">
        <v>0</v>
      </c>
      <c r="AA363">
        <f>IF(Contact[[#This Row],[Latest]]=TRUE,_xlfn.XLOOKUP(Contact[[#This Row],[Final Decision]],Table3[Final Decision],Table3[Active],0),0)</f>
        <v>0</v>
      </c>
      <c r="AB363">
        <f>SUMIF(Contact[Full Name],Contact[[#This Row],[Full Name]],Contact[Active])</f>
        <v>0</v>
      </c>
    </row>
    <row r="364" spans="1:28">
      <c r="A364">
        <v>1</v>
      </c>
      <c r="B364" t="s">
        <v>495</v>
      </c>
      <c r="C364" t="s">
        <v>496</v>
      </c>
      <c r="E364" t="s">
        <v>2464</v>
      </c>
      <c r="F364" t="s">
        <v>95</v>
      </c>
      <c r="G364" t="s">
        <v>2092</v>
      </c>
      <c r="I364" s="1" t="s">
        <v>497</v>
      </c>
      <c r="J364" s="66"/>
      <c r="L364" t="s">
        <v>2094</v>
      </c>
      <c r="M364" t="s">
        <v>90</v>
      </c>
      <c r="N364" t="s">
        <v>2095</v>
      </c>
      <c r="R364" t="s">
        <v>2093</v>
      </c>
      <c r="S364" t="s">
        <v>2093</v>
      </c>
      <c r="V364">
        <v>2020</v>
      </c>
      <c r="X364" t="b">
        <f>IF(_xlfn.MAXIFS(Contact[Sequence],Contact[Full Name],Contact[[#This Row],[Full Name]],Contact[Season],Contact[[#This Row],[Season]])=Contact[[#This Row],[Sequence]],TRUE,FALSE)</f>
        <v>1</v>
      </c>
      <c r="Y364" t="s">
        <v>190</v>
      </c>
      <c r="Z364">
        <v>0</v>
      </c>
      <c r="AA364">
        <f>IF(Contact[[#This Row],[Latest]]=TRUE,_xlfn.XLOOKUP(Contact[[#This Row],[Final Decision]],Table3[Final Decision],Table3[Active],0),0)</f>
        <v>0</v>
      </c>
      <c r="AB364">
        <f>SUMIF(Contact[Full Name],Contact[[#This Row],[Full Name]],Contact[Active])</f>
        <v>0</v>
      </c>
    </row>
    <row r="365" spans="1:28">
      <c r="A365">
        <v>1</v>
      </c>
      <c r="B365" t="s">
        <v>584</v>
      </c>
      <c r="C365" t="s">
        <v>585</v>
      </c>
      <c r="E365" t="s">
        <v>2465</v>
      </c>
      <c r="F365" t="s">
        <v>95</v>
      </c>
      <c r="G365" t="s">
        <v>2092</v>
      </c>
      <c r="I365" s="1" t="s">
        <v>586</v>
      </c>
      <c r="J365" s="66" t="s">
        <v>587</v>
      </c>
      <c r="L365" t="s">
        <v>2094</v>
      </c>
      <c r="M365" t="s">
        <v>90</v>
      </c>
      <c r="N365" t="s">
        <v>2095</v>
      </c>
      <c r="R365" t="s">
        <v>2093</v>
      </c>
      <c r="S365" t="s">
        <v>2093</v>
      </c>
      <c r="V365">
        <v>2020</v>
      </c>
      <c r="X365" t="b">
        <f>IF(_xlfn.MAXIFS(Contact[Sequence],Contact[Full Name],Contact[[#This Row],[Full Name]],Contact[Season],Contact[[#This Row],[Season]])=Contact[[#This Row],[Sequence]],TRUE,FALSE)</f>
        <v>1</v>
      </c>
      <c r="Y365" t="s">
        <v>190</v>
      </c>
      <c r="Z365">
        <v>0</v>
      </c>
      <c r="AA365">
        <f>IF(Contact[[#This Row],[Latest]]=TRUE,_xlfn.XLOOKUP(Contact[[#This Row],[Final Decision]],Table3[Final Decision],Table3[Active],0),0)</f>
        <v>0</v>
      </c>
      <c r="AB365">
        <f>SUMIF(Contact[Full Name],Contact[[#This Row],[Full Name]],Contact[Active])</f>
        <v>0</v>
      </c>
    </row>
    <row r="366" spans="1:28">
      <c r="A366">
        <v>1</v>
      </c>
      <c r="B366" t="s">
        <v>589</v>
      </c>
      <c r="C366" t="s">
        <v>590</v>
      </c>
      <c r="E366" t="s">
        <v>2466</v>
      </c>
      <c r="F366" t="s">
        <v>95</v>
      </c>
      <c r="G366" t="s">
        <v>2092</v>
      </c>
      <c r="I366" s="1" t="s">
        <v>591</v>
      </c>
      <c r="J366" s="66" t="s">
        <v>592</v>
      </c>
      <c r="L366" t="s">
        <v>2094</v>
      </c>
      <c r="M366" t="s">
        <v>90</v>
      </c>
      <c r="N366" t="s">
        <v>2095</v>
      </c>
      <c r="R366" t="s">
        <v>2093</v>
      </c>
      <c r="S366" t="s">
        <v>2093</v>
      </c>
      <c r="V366">
        <v>2020</v>
      </c>
      <c r="X366" t="b">
        <f>IF(_xlfn.MAXIFS(Contact[Sequence],Contact[Full Name],Contact[[#This Row],[Full Name]],Contact[Season],Contact[[#This Row],[Season]])=Contact[[#This Row],[Sequence]],TRUE,FALSE)</f>
        <v>1</v>
      </c>
      <c r="Y366" t="s">
        <v>190</v>
      </c>
      <c r="Z366">
        <v>0</v>
      </c>
      <c r="AA366">
        <f>IF(Contact[[#This Row],[Latest]]=TRUE,_xlfn.XLOOKUP(Contact[[#This Row],[Final Decision]],Table3[Final Decision],Table3[Active],0),0)</f>
        <v>0</v>
      </c>
      <c r="AB366">
        <f>SUMIF(Contact[Full Name],Contact[[#This Row],[Full Name]],Contact[Active])</f>
        <v>0</v>
      </c>
    </row>
    <row r="367" spans="1:28">
      <c r="A367">
        <v>1</v>
      </c>
      <c r="B367" t="s">
        <v>988</v>
      </c>
      <c r="C367" t="s">
        <v>680</v>
      </c>
      <c r="E367" t="s">
        <v>2467</v>
      </c>
      <c r="F367" t="s">
        <v>95</v>
      </c>
      <c r="G367" t="s">
        <v>2092</v>
      </c>
      <c r="I367" s="1" t="s">
        <v>989</v>
      </c>
      <c r="J367" s="66" t="s">
        <v>990</v>
      </c>
      <c r="L367" t="s">
        <v>2094</v>
      </c>
      <c r="M367" t="s">
        <v>90</v>
      </c>
      <c r="N367" t="s">
        <v>2095</v>
      </c>
      <c r="P367" t="s">
        <v>951</v>
      </c>
      <c r="R367" t="s">
        <v>112</v>
      </c>
      <c r="S367" t="s">
        <v>2093</v>
      </c>
      <c r="V367">
        <v>2020</v>
      </c>
      <c r="X367" t="b">
        <f>IF(_xlfn.MAXIFS(Contact[Sequence],Contact[Full Name],Contact[[#This Row],[Full Name]],Contact[Season],Contact[[#This Row],[Season]])=Contact[[#This Row],[Sequence]],TRUE,FALSE)</f>
        <v>1</v>
      </c>
      <c r="Y367" t="s">
        <v>96</v>
      </c>
      <c r="Z367" t="s">
        <v>951</v>
      </c>
      <c r="AA367">
        <f>IF(Contact[[#This Row],[Latest]]=TRUE,_xlfn.XLOOKUP(Contact[[#This Row],[Final Decision]],Table3[Final Decision],Table3[Active],0),0)</f>
        <v>0</v>
      </c>
      <c r="AB367">
        <f>SUMIF(Contact[Full Name],Contact[[#This Row],[Full Name]],Contact[Active])</f>
        <v>0</v>
      </c>
    </row>
    <row r="368" spans="1:28">
      <c r="A368">
        <v>1</v>
      </c>
      <c r="B368" t="s">
        <v>1861</v>
      </c>
      <c r="C368" t="s">
        <v>463</v>
      </c>
      <c r="E368" t="s">
        <v>2468</v>
      </c>
      <c r="F368" t="s">
        <v>95</v>
      </c>
      <c r="G368" t="s">
        <v>2092</v>
      </c>
      <c r="I368" s="1" t="s">
        <v>1862</v>
      </c>
      <c r="J368" s="66" t="s">
        <v>1863</v>
      </c>
      <c r="L368" t="s">
        <v>2094</v>
      </c>
      <c r="M368" t="s">
        <v>105</v>
      </c>
      <c r="N368" t="s">
        <v>2095</v>
      </c>
      <c r="R368" t="s">
        <v>2093</v>
      </c>
      <c r="S368" t="s">
        <v>2093</v>
      </c>
      <c r="V368">
        <v>2020</v>
      </c>
      <c r="X368" t="b">
        <f>IF(_xlfn.MAXIFS(Contact[Sequence],Contact[Full Name],Contact[[#This Row],[Full Name]],Contact[Season],Contact[[#This Row],[Season]])=Contact[[#This Row],[Sequence]],TRUE,FALSE)</f>
        <v>1</v>
      </c>
      <c r="Y368" t="s">
        <v>190</v>
      </c>
      <c r="Z368">
        <v>0</v>
      </c>
      <c r="AA368">
        <f>IF(Contact[[#This Row],[Latest]]=TRUE,_xlfn.XLOOKUP(Contact[[#This Row],[Final Decision]],Table3[Final Decision],Table3[Active],0),0)</f>
        <v>0</v>
      </c>
      <c r="AB368">
        <f>SUMIF(Contact[Full Name],Contact[[#This Row],[Full Name]],Contact[Active])</f>
        <v>0</v>
      </c>
    </row>
    <row r="369" spans="1:28">
      <c r="A369">
        <v>1</v>
      </c>
      <c r="B369" t="s">
        <v>996</v>
      </c>
      <c r="C369" t="s">
        <v>997</v>
      </c>
      <c r="E369" t="s">
        <v>2469</v>
      </c>
      <c r="F369" t="s">
        <v>95</v>
      </c>
      <c r="G369" t="s">
        <v>2092</v>
      </c>
      <c r="I369" s="1" t="s">
        <v>998</v>
      </c>
      <c r="J369" s="66" t="s">
        <v>2093</v>
      </c>
      <c r="L369" t="s">
        <v>2094</v>
      </c>
      <c r="M369" t="s">
        <v>185</v>
      </c>
      <c r="N369" t="s">
        <v>2095</v>
      </c>
      <c r="P369" t="s">
        <v>898</v>
      </c>
      <c r="R369" t="s">
        <v>112</v>
      </c>
      <c r="S369" t="s">
        <v>2093</v>
      </c>
      <c r="V369">
        <v>2020</v>
      </c>
      <c r="X369" t="b">
        <f>IF(_xlfn.MAXIFS(Contact[Sequence],Contact[Full Name],Contact[[#This Row],[Full Name]],Contact[Season],Contact[[#This Row],[Season]])=Contact[[#This Row],[Sequence]],TRUE,FALSE)</f>
        <v>1</v>
      </c>
      <c r="Y369" t="s">
        <v>96</v>
      </c>
      <c r="Z369" t="s">
        <v>898</v>
      </c>
      <c r="AA369">
        <f>IF(Contact[[#This Row],[Latest]]=TRUE,_xlfn.XLOOKUP(Contact[[#This Row],[Final Decision]],Table3[Final Decision],Table3[Active],0),0)</f>
        <v>0</v>
      </c>
      <c r="AB369">
        <f>SUMIF(Contact[Full Name],Contact[[#This Row],[Full Name]],Contact[Active])</f>
        <v>0</v>
      </c>
    </row>
    <row r="370" spans="1:28">
      <c r="A370">
        <v>1</v>
      </c>
      <c r="B370" t="s">
        <v>1001</v>
      </c>
      <c r="C370" t="s">
        <v>1002</v>
      </c>
      <c r="E370" t="s">
        <v>2470</v>
      </c>
      <c r="F370" t="s">
        <v>95</v>
      </c>
      <c r="G370" t="s">
        <v>2092</v>
      </c>
      <c r="I370" s="1" t="s">
        <v>1003</v>
      </c>
      <c r="J370" s="66" t="s">
        <v>1004</v>
      </c>
      <c r="L370" t="s">
        <v>2094</v>
      </c>
      <c r="M370" t="s">
        <v>105</v>
      </c>
      <c r="N370" t="s">
        <v>2095</v>
      </c>
      <c r="P370" t="s">
        <v>665</v>
      </c>
      <c r="R370" t="s">
        <v>112</v>
      </c>
      <c r="S370" t="s">
        <v>2093</v>
      </c>
      <c r="V370">
        <v>2020</v>
      </c>
      <c r="X370" t="b">
        <f>IF(_xlfn.MAXIFS(Contact[Sequence],Contact[Full Name],Contact[[#This Row],[Full Name]],Contact[Season],Contact[[#This Row],[Season]])=Contact[[#This Row],[Sequence]],TRUE,FALSE)</f>
        <v>1</v>
      </c>
      <c r="Y370" t="s">
        <v>96</v>
      </c>
      <c r="Z370" t="s">
        <v>665</v>
      </c>
      <c r="AA370">
        <f>IF(Contact[[#This Row],[Latest]]=TRUE,_xlfn.XLOOKUP(Contact[[#This Row],[Final Decision]],Table3[Final Decision],Table3[Active],0),0)</f>
        <v>0</v>
      </c>
      <c r="AB370">
        <f>SUMIF(Contact[Full Name],Contact[[#This Row],[Full Name]],Contact[Active])</f>
        <v>0</v>
      </c>
    </row>
    <row r="371" spans="1:28">
      <c r="A371">
        <v>1</v>
      </c>
      <c r="B371" t="s">
        <v>1875</v>
      </c>
      <c r="C371" t="s">
        <v>1876</v>
      </c>
      <c r="E371" t="s">
        <v>2471</v>
      </c>
      <c r="F371" t="s">
        <v>98</v>
      </c>
      <c r="G371" t="s">
        <v>2092</v>
      </c>
      <c r="I371" s="1" t="s">
        <v>1877</v>
      </c>
      <c r="J371" s="66" t="s">
        <v>2093</v>
      </c>
      <c r="L371" t="s">
        <v>2094</v>
      </c>
      <c r="M371" t="s">
        <v>105</v>
      </c>
      <c r="N371" t="s">
        <v>2095</v>
      </c>
      <c r="R371" t="s">
        <v>2093</v>
      </c>
      <c r="S371" t="s">
        <v>2093</v>
      </c>
      <c r="V371">
        <v>2020</v>
      </c>
      <c r="X371" t="b">
        <f>IF(_xlfn.MAXIFS(Contact[Sequence],Contact[Full Name],Contact[[#This Row],[Full Name]],Contact[Season],Contact[[#This Row],[Season]])=Contact[[#This Row],[Sequence]],TRUE,FALSE)</f>
        <v>1</v>
      </c>
      <c r="Y371" t="s">
        <v>190</v>
      </c>
      <c r="Z371">
        <v>0</v>
      </c>
      <c r="AA371">
        <f>IF(Contact[[#This Row],[Latest]]=TRUE,_xlfn.XLOOKUP(Contact[[#This Row],[Final Decision]],Table3[Final Decision],Table3[Active],0),0)</f>
        <v>0</v>
      </c>
      <c r="AB371">
        <f>SUMIF(Contact[Full Name],Contact[[#This Row],[Full Name]],Contact[Active])</f>
        <v>0</v>
      </c>
    </row>
    <row r="372" spans="1:28">
      <c r="A372">
        <v>1</v>
      </c>
      <c r="B372" t="s">
        <v>1006</v>
      </c>
      <c r="C372" t="s">
        <v>1007</v>
      </c>
      <c r="E372" t="s">
        <v>2472</v>
      </c>
      <c r="F372" t="s">
        <v>95</v>
      </c>
      <c r="G372" t="s">
        <v>2092</v>
      </c>
      <c r="I372" s="1" t="s">
        <v>1008</v>
      </c>
      <c r="J372" s="66" t="s">
        <v>1009</v>
      </c>
      <c r="L372" t="s">
        <v>2094</v>
      </c>
      <c r="M372" t="s">
        <v>105</v>
      </c>
      <c r="N372" t="s">
        <v>2095</v>
      </c>
      <c r="P372" t="s">
        <v>1011</v>
      </c>
      <c r="R372" t="s">
        <v>112</v>
      </c>
      <c r="S372" t="s">
        <v>2093</v>
      </c>
      <c r="V372">
        <v>2020</v>
      </c>
      <c r="X372" t="b">
        <f>IF(_xlfn.MAXIFS(Contact[Sequence],Contact[Full Name],Contact[[#This Row],[Full Name]],Contact[Season],Contact[[#This Row],[Season]])=Contact[[#This Row],[Sequence]],TRUE,FALSE)</f>
        <v>1</v>
      </c>
      <c r="Y372" t="s">
        <v>96</v>
      </c>
      <c r="Z372" t="s">
        <v>1011</v>
      </c>
      <c r="AA372">
        <f>IF(Contact[[#This Row],[Latest]]=TRUE,_xlfn.XLOOKUP(Contact[[#This Row],[Final Decision]],Table3[Final Decision],Table3[Active],0),0)</f>
        <v>0</v>
      </c>
      <c r="AB372">
        <f>SUMIF(Contact[Full Name],Contact[[#This Row],[Full Name]],Contact[Active])</f>
        <v>0</v>
      </c>
    </row>
    <row r="373" spans="1:28">
      <c r="A373">
        <v>1</v>
      </c>
      <c r="B373" t="s">
        <v>594</v>
      </c>
      <c r="C373" t="s">
        <v>595</v>
      </c>
      <c r="E373" t="s">
        <v>2473</v>
      </c>
      <c r="F373" t="s">
        <v>95</v>
      </c>
      <c r="G373" t="s">
        <v>2092</v>
      </c>
      <c r="I373" s="1" t="s">
        <v>596</v>
      </c>
      <c r="J373" s="66"/>
      <c r="L373" t="s">
        <v>2094</v>
      </c>
      <c r="M373" t="s">
        <v>90</v>
      </c>
      <c r="N373" t="s">
        <v>2095</v>
      </c>
      <c r="R373" t="s">
        <v>2093</v>
      </c>
      <c r="S373" t="s">
        <v>2093</v>
      </c>
      <c r="V373">
        <v>2020</v>
      </c>
      <c r="X373" t="b">
        <f>IF(_xlfn.MAXIFS(Contact[Sequence],Contact[Full Name],Contact[[#This Row],[Full Name]],Contact[Season],Contact[[#This Row],[Season]])=Contact[[#This Row],[Sequence]],TRUE,FALSE)</f>
        <v>1</v>
      </c>
      <c r="Y373" t="s">
        <v>190</v>
      </c>
      <c r="Z373">
        <v>0</v>
      </c>
      <c r="AA373">
        <f>IF(Contact[[#This Row],[Latest]]=TRUE,_xlfn.XLOOKUP(Contact[[#This Row],[Final Decision]],Table3[Final Decision],Table3[Active],0),0)</f>
        <v>0</v>
      </c>
      <c r="AB373">
        <f>SUMIF(Contact[Full Name],Contact[[#This Row],[Full Name]],Contact[Active])</f>
        <v>0</v>
      </c>
    </row>
    <row r="374" spans="1:28">
      <c r="A374">
        <v>1</v>
      </c>
      <c r="B374" t="s">
        <v>1017</v>
      </c>
      <c r="C374" t="s">
        <v>1018</v>
      </c>
      <c r="E374" t="s">
        <v>2474</v>
      </c>
      <c r="F374" t="s">
        <v>95</v>
      </c>
      <c r="G374" t="s">
        <v>2092</v>
      </c>
      <c r="I374" s="1" t="s">
        <v>1019</v>
      </c>
      <c r="J374" s="66"/>
      <c r="L374" t="s">
        <v>2094</v>
      </c>
      <c r="M374" t="s">
        <v>90</v>
      </c>
      <c r="N374" t="s">
        <v>2095</v>
      </c>
      <c r="P374" t="s">
        <v>1021</v>
      </c>
      <c r="R374" t="s">
        <v>112</v>
      </c>
      <c r="S374" t="s">
        <v>2093</v>
      </c>
      <c r="V374">
        <v>2020</v>
      </c>
      <c r="X374" t="b">
        <f>IF(_xlfn.MAXIFS(Contact[Sequence],Contact[Full Name],Contact[[#This Row],[Full Name]],Contact[Season],Contact[[#This Row],[Season]])=Contact[[#This Row],[Sequence]],TRUE,FALSE)</f>
        <v>1</v>
      </c>
      <c r="Y374" t="s">
        <v>96</v>
      </c>
      <c r="Z374" t="s">
        <v>1021</v>
      </c>
      <c r="AA374">
        <f>IF(Contact[[#This Row],[Latest]]=TRUE,_xlfn.XLOOKUP(Contact[[#This Row],[Final Decision]],Table3[Final Decision],Table3[Active],0),0)</f>
        <v>0</v>
      </c>
      <c r="AB374">
        <f>SUMIF(Contact[Full Name],Contact[[#This Row],[Full Name]],Contact[Active])</f>
        <v>0</v>
      </c>
    </row>
    <row r="375" spans="1:28">
      <c r="A375">
        <v>1</v>
      </c>
      <c r="B375" t="s">
        <v>570</v>
      </c>
      <c r="C375" t="s">
        <v>608</v>
      </c>
      <c r="E375" t="s">
        <v>2475</v>
      </c>
      <c r="F375" t="s">
        <v>95</v>
      </c>
      <c r="G375" t="s">
        <v>2092</v>
      </c>
      <c r="I375" s="1" t="s">
        <v>609</v>
      </c>
      <c r="J375" s="66"/>
      <c r="L375" t="s">
        <v>2094</v>
      </c>
      <c r="M375" t="s">
        <v>90</v>
      </c>
      <c r="N375" t="s">
        <v>2095</v>
      </c>
      <c r="R375" t="s">
        <v>2093</v>
      </c>
      <c r="S375" t="s">
        <v>2093</v>
      </c>
      <c r="V375">
        <v>2020</v>
      </c>
      <c r="X375" t="b">
        <f>IF(_xlfn.MAXIFS(Contact[Sequence],Contact[Full Name],Contact[[#This Row],[Full Name]],Contact[Season],Contact[[#This Row],[Season]])=Contact[[#This Row],[Sequence]],TRUE,FALSE)</f>
        <v>1</v>
      </c>
      <c r="Y375" t="s">
        <v>190</v>
      </c>
      <c r="Z375">
        <v>0</v>
      </c>
      <c r="AA375">
        <f>IF(Contact[[#This Row],[Latest]]=TRUE,_xlfn.XLOOKUP(Contact[[#This Row],[Final Decision]],Table3[Final Decision],Table3[Active],0),0)</f>
        <v>0</v>
      </c>
      <c r="AB375">
        <f>SUMIF(Contact[Full Name],Contact[[#This Row],[Full Name]],Contact[Active])</f>
        <v>0</v>
      </c>
    </row>
    <row r="376" spans="1:28">
      <c r="A376">
        <v>1</v>
      </c>
      <c r="B376" t="s">
        <v>631</v>
      </c>
      <c r="C376" t="s">
        <v>632</v>
      </c>
      <c r="E376" t="s">
        <v>2476</v>
      </c>
      <c r="F376" t="s">
        <v>95</v>
      </c>
      <c r="G376" t="s">
        <v>2092</v>
      </c>
      <c r="I376" s="1" t="s">
        <v>633</v>
      </c>
      <c r="J376" s="66" t="s">
        <v>2093</v>
      </c>
      <c r="L376" t="s">
        <v>2094</v>
      </c>
      <c r="M376" t="s">
        <v>193</v>
      </c>
      <c r="N376" t="s">
        <v>2095</v>
      </c>
      <c r="P376" t="s">
        <v>159</v>
      </c>
      <c r="R376" t="s">
        <v>112</v>
      </c>
      <c r="S376" t="s">
        <v>2093</v>
      </c>
      <c r="V376">
        <v>2020</v>
      </c>
      <c r="X376" t="b">
        <f>IF(_xlfn.MAXIFS(Contact[Sequence],Contact[Full Name],Contact[[#This Row],[Full Name]],Contact[Season],Contact[[#This Row],[Season]])=Contact[[#This Row],[Sequence]],TRUE,FALSE)</f>
        <v>0</v>
      </c>
      <c r="Y376" t="s">
        <v>96</v>
      </c>
      <c r="Z376" t="s">
        <v>159</v>
      </c>
      <c r="AA376">
        <f>IF(Contact[[#This Row],[Latest]]=TRUE,_xlfn.XLOOKUP(Contact[[#This Row],[Final Decision]],Table3[Final Decision],Table3[Active],0),0)</f>
        <v>0</v>
      </c>
      <c r="AB376">
        <f>SUMIF(Contact[Full Name],Contact[[#This Row],[Full Name]],Contact[Active])</f>
        <v>0</v>
      </c>
    </row>
    <row r="377" spans="1:28">
      <c r="A377">
        <v>1</v>
      </c>
      <c r="B377" t="s">
        <v>598</v>
      </c>
      <c r="C377" t="s">
        <v>599</v>
      </c>
      <c r="E377" t="s">
        <v>2477</v>
      </c>
      <c r="F377" t="s">
        <v>95</v>
      </c>
      <c r="G377" t="s">
        <v>2092</v>
      </c>
      <c r="I377" s="1" t="s">
        <v>600</v>
      </c>
      <c r="J377" s="66" t="s">
        <v>601</v>
      </c>
      <c r="L377" t="s">
        <v>2094</v>
      </c>
      <c r="M377" t="s">
        <v>90</v>
      </c>
      <c r="N377" t="s">
        <v>2095</v>
      </c>
      <c r="R377" t="s">
        <v>2093</v>
      </c>
      <c r="S377" t="s">
        <v>2093</v>
      </c>
      <c r="V377">
        <v>2020</v>
      </c>
      <c r="X377" t="b">
        <f>IF(_xlfn.MAXIFS(Contact[Sequence],Contact[Full Name],Contact[[#This Row],[Full Name]],Contact[Season],Contact[[#This Row],[Season]])=Contact[[#This Row],[Sequence]],TRUE,FALSE)</f>
        <v>1</v>
      </c>
      <c r="Y377" t="s">
        <v>190</v>
      </c>
      <c r="Z377">
        <v>0</v>
      </c>
      <c r="AA377">
        <f>IF(Contact[[#This Row],[Latest]]=TRUE,_xlfn.XLOOKUP(Contact[[#This Row],[Final Decision]],Table3[Final Decision],Table3[Active],0),0)</f>
        <v>0</v>
      </c>
      <c r="AB377">
        <f>SUMIF(Contact[Full Name],Contact[[#This Row],[Full Name]],Contact[Active])</f>
        <v>0</v>
      </c>
    </row>
    <row r="378" spans="1:28">
      <c r="A378">
        <v>1</v>
      </c>
      <c r="B378" t="s">
        <v>1570</v>
      </c>
      <c r="C378" t="s">
        <v>1571</v>
      </c>
      <c r="E378" t="s">
        <v>2478</v>
      </c>
      <c r="F378" t="s">
        <v>98</v>
      </c>
      <c r="G378" t="s">
        <v>2092</v>
      </c>
      <c r="I378" s="1" t="s">
        <v>1572</v>
      </c>
      <c r="J378" s="66" t="s">
        <v>2093</v>
      </c>
      <c r="L378" t="s">
        <v>2094</v>
      </c>
      <c r="M378" t="s">
        <v>90</v>
      </c>
      <c r="N378" t="s">
        <v>2095</v>
      </c>
      <c r="R378" t="s">
        <v>2093</v>
      </c>
      <c r="S378" t="s">
        <v>2093</v>
      </c>
      <c r="V378">
        <v>2020</v>
      </c>
      <c r="X378" t="b">
        <f>IF(_xlfn.MAXIFS(Contact[Sequence],Contact[Full Name],Contact[[#This Row],[Full Name]],Contact[Season],Contact[[#This Row],[Season]])=Contact[[#This Row],[Sequence]],TRUE,FALSE)</f>
        <v>1</v>
      </c>
      <c r="Y378" t="s">
        <v>190</v>
      </c>
      <c r="Z378">
        <v>0</v>
      </c>
      <c r="AA378">
        <f>IF(Contact[[#This Row],[Latest]]=TRUE,_xlfn.XLOOKUP(Contact[[#This Row],[Final Decision]],Table3[Final Decision],Table3[Active],0),0)</f>
        <v>0</v>
      </c>
      <c r="AB378">
        <f>SUMIF(Contact[Full Name],Contact[[#This Row],[Full Name]],Contact[Active])</f>
        <v>0</v>
      </c>
    </row>
    <row r="379" spans="1:28">
      <c r="A379">
        <v>1</v>
      </c>
      <c r="B379" t="s">
        <v>864</v>
      </c>
      <c r="C379" t="s">
        <v>1254</v>
      </c>
      <c r="E379" t="s">
        <v>2479</v>
      </c>
      <c r="F379" t="s">
        <v>95</v>
      </c>
      <c r="G379" t="s">
        <v>2092</v>
      </c>
      <c r="I379" s="1" t="s">
        <v>1866</v>
      </c>
      <c r="J379" s="66"/>
      <c r="L379" t="s">
        <v>2094</v>
      </c>
      <c r="M379" t="s">
        <v>105</v>
      </c>
      <c r="N379" t="s">
        <v>2095</v>
      </c>
      <c r="R379" t="s">
        <v>2093</v>
      </c>
      <c r="S379" t="s">
        <v>2093</v>
      </c>
      <c r="V379">
        <v>2020</v>
      </c>
      <c r="X379" t="b">
        <f>IF(_xlfn.MAXIFS(Contact[Sequence],Contact[Full Name],Contact[[#This Row],[Full Name]],Contact[Season],Contact[[#This Row],[Season]])=Contact[[#This Row],[Sequence]],TRUE,FALSE)</f>
        <v>1</v>
      </c>
      <c r="Y379" t="s">
        <v>190</v>
      </c>
      <c r="Z379">
        <v>0</v>
      </c>
      <c r="AA379">
        <f>IF(Contact[[#This Row],[Latest]]=TRUE,_xlfn.XLOOKUP(Contact[[#This Row],[Final Decision]],Table3[Final Decision],Table3[Active],0),0)</f>
        <v>0</v>
      </c>
      <c r="AB379">
        <f>SUMIF(Contact[Full Name],Contact[[#This Row],[Full Name]],Contact[Active])</f>
        <v>0</v>
      </c>
    </row>
    <row r="380" spans="1:28">
      <c r="A380">
        <v>1</v>
      </c>
      <c r="B380" t="s">
        <v>864</v>
      </c>
      <c r="C380" t="s">
        <v>599</v>
      </c>
      <c r="E380" t="s">
        <v>2480</v>
      </c>
      <c r="F380" t="s">
        <v>95</v>
      </c>
      <c r="G380" t="s">
        <v>2092</v>
      </c>
      <c r="I380" s="1" t="s">
        <v>1524</v>
      </c>
      <c r="J380" s="66" t="s">
        <v>1525</v>
      </c>
      <c r="L380" t="s">
        <v>2094</v>
      </c>
      <c r="M380" t="s">
        <v>105</v>
      </c>
      <c r="N380" t="s">
        <v>2095</v>
      </c>
      <c r="R380" t="s">
        <v>2093</v>
      </c>
      <c r="S380" t="s">
        <v>2093</v>
      </c>
      <c r="V380">
        <v>2020</v>
      </c>
      <c r="X380" t="b">
        <f>IF(_xlfn.MAXIFS(Contact[Sequence],Contact[Full Name],Contact[[#This Row],[Full Name]],Contact[Season],Contact[[#This Row],[Season]])=Contact[[#This Row],[Sequence]],TRUE,FALSE)</f>
        <v>1</v>
      </c>
      <c r="Y380" t="s">
        <v>190</v>
      </c>
      <c r="Z380">
        <v>0</v>
      </c>
      <c r="AA380">
        <f>IF(Contact[[#This Row],[Latest]]=TRUE,_xlfn.XLOOKUP(Contact[[#This Row],[Final Decision]],Table3[Final Decision],Table3[Active],0),0)</f>
        <v>0</v>
      </c>
      <c r="AB380">
        <f>SUMIF(Contact[Full Name],Contact[[#This Row],[Full Name]],Contact[Active])</f>
        <v>0</v>
      </c>
    </row>
    <row r="381" spans="1:28">
      <c r="A381">
        <v>1</v>
      </c>
      <c r="B381" t="s">
        <v>864</v>
      </c>
      <c r="C381" t="s">
        <v>860</v>
      </c>
      <c r="E381" t="s">
        <v>2481</v>
      </c>
      <c r="F381" t="s">
        <v>95</v>
      </c>
      <c r="G381" t="s">
        <v>2092</v>
      </c>
      <c r="I381" s="1" t="s">
        <v>865</v>
      </c>
      <c r="J381" s="66"/>
      <c r="L381" t="s">
        <v>2094</v>
      </c>
      <c r="M381" t="s">
        <v>105</v>
      </c>
      <c r="N381" t="s">
        <v>2095</v>
      </c>
      <c r="P381" t="s">
        <v>867</v>
      </c>
      <c r="R381" t="s">
        <v>112</v>
      </c>
      <c r="S381" t="s">
        <v>2093</v>
      </c>
      <c r="V381">
        <v>2020</v>
      </c>
      <c r="X381" t="b">
        <f>IF(_xlfn.MAXIFS(Contact[Sequence],Contact[Full Name],Contact[[#This Row],[Full Name]],Contact[Season],Contact[[#This Row],[Season]])=Contact[[#This Row],[Sequence]],TRUE,FALSE)</f>
        <v>1</v>
      </c>
      <c r="Y381" t="s">
        <v>96</v>
      </c>
      <c r="Z381" t="s">
        <v>867</v>
      </c>
      <c r="AA381">
        <f>IF(Contact[[#This Row],[Latest]]=TRUE,_xlfn.XLOOKUP(Contact[[#This Row],[Final Decision]],Table3[Final Decision],Table3[Active],0),0)</f>
        <v>0</v>
      </c>
      <c r="AB381">
        <f>SUMIF(Contact[Full Name],Contact[[#This Row],[Full Name]],Contact[Active])</f>
        <v>0</v>
      </c>
    </row>
    <row r="382" spans="1:28">
      <c r="A382">
        <v>1</v>
      </c>
      <c r="B382" t="s">
        <v>442</v>
      </c>
      <c r="C382" t="s">
        <v>443</v>
      </c>
      <c r="E382" t="s">
        <v>2482</v>
      </c>
      <c r="F382" t="s">
        <v>95</v>
      </c>
      <c r="G382" t="s">
        <v>2092</v>
      </c>
      <c r="I382" s="1" t="s">
        <v>444</v>
      </c>
      <c r="J382" s="66" t="s">
        <v>2093</v>
      </c>
      <c r="L382" t="s">
        <v>2094</v>
      </c>
      <c r="M382" t="s">
        <v>90</v>
      </c>
      <c r="N382" t="s">
        <v>2095</v>
      </c>
      <c r="R382" t="s">
        <v>2093</v>
      </c>
      <c r="S382" t="s">
        <v>2093</v>
      </c>
      <c r="V382">
        <v>2020</v>
      </c>
      <c r="X382" t="b">
        <f>IF(_xlfn.MAXIFS(Contact[Sequence],Contact[Full Name],Contact[[#This Row],[Full Name]],Contact[Season],Contact[[#This Row],[Season]])=Contact[[#This Row],[Sequence]],TRUE,FALSE)</f>
        <v>1</v>
      </c>
      <c r="Y382" t="s">
        <v>190</v>
      </c>
      <c r="Z382">
        <v>0</v>
      </c>
      <c r="AA382">
        <f>IF(Contact[[#This Row],[Latest]]=TRUE,_xlfn.XLOOKUP(Contact[[#This Row],[Final Decision]],Table3[Final Decision],Table3[Active],0),0)</f>
        <v>0</v>
      </c>
      <c r="AB382">
        <f>SUMIF(Contact[Full Name],Contact[[#This Row],[Full Name]],Contact[Active])</f>
        <v>0</v>
      </c>
    </row>
    <row r="383" spans="1:28">
      <c r="A383">
        <v>1</v>
      </c>
      <c r="B383" t="s">
        <v>603</v>
      </c>
      <c r="C383" t="s">
        <v>604</v>
      </c>
      <c r="E383" t="s">
        <v>2483</v>
      </c>
      <c r="F383" t="s">
        <v>95</v>
      </c>
      <c r="G383" t="s">
        <v>2092</v>
      </c>
      <c r="I383" s="1" t="s">
        <v>605</v>
      </c>
      <c r="J383" s="66" t="s">
        <v>606</v>
      </c>
      <c r="L383" t="s">
        <v>2094</v>
      </c>
      <c r="M383" t="s">
        <v>90</v>
      </c>
      <c r="N383" t="s">
        <v>2095</v>
      </c>
      <c r="R383" t="s">
        <v>2093</v>
      </c>
      <c r="S383" t="s">
        <v>2093</v>
      </c>
      <c r="V383">
        <v>2020</v>
      </c>
      <c r="X383" t="b">
        <f>IF(_xlfn.MAXIFS(Contact[Sequence],Contact[Full Name],Contact[[#This Row],[Full Name]],Contact[Season],Contact[[#This Row],[Season]])=Contact[[#This Row],[Sequence]],TRUE,FALSE)</f>
        <v>1</v>
      </c>
      <c r="Y383" t="s">
        <v>190</v>
      </c>
      <c r="Z383">
        <v>0</v>
      </c>
      <c r="AA383">
        <f>IF(Contact[[#This Row],[Latest]]=TRUE,_xlfn.XLOOKUP(Contact[[#This Row],[Final Decision]],Table3[Final Decision],Table3[Active],0),0)</f>
        <v>0</v>
      </c>
      <c r="AB383">
        <f>SUMIF(Contact[Full Name],Contact[[#This Row],[Full Name]],Contact[Active])</f>
        <v>0</v>
      </c>
    </row>
    <row r="384" spans="1:28">
      <c r="A384">
        <v>1</v>
      </c>
      <c r="B384" t="s">
        <v>1012</v>
      </c>
      <c r="C384" t="s">
        <v>1013</v>
      </c>
      <c r="E384" t="s">
        <v>2484</v>
      </c>
      <c r="F384" t="s">
        <v>95</v>
      </c>
      <c r="G384" t="s">
        <v>2092</v>
      </c>
      <c r="I384" s="1" t="s">
        <v>1014</v>
      </c>
      <c r="J384" s="66"/>
      <c r="L384" t="s">
        <v>2094</v>
      </c>
      <c r="M384" t="s">
        <v>105</v>
      </c>
      <c r="N384" t="s">
        <v>2095</v>
      </c>
      <c r="P384" t="s">
        <v>787</v>
      </c>
      <c r="R384" t="s">
        <v>112</v>
      </c>
      <c r="S384" t="s">
        <v>2093</v>
      </c>
      <c r="V384">
        <v>2020</v>
      </c>
      <c r="X384" t="b">
        <f>IF(_xlfn.MAXIFS(Contact[Sequence],Contact[Full Name],Contact[[#This Row],[Full Name]],Contact[Season],Contact[[#This Row],[Season]])=Contact[[#This Row],[Sequence]],TRUE,FALSE)</f>
        <v>1</v>
      </c>
      <c r="Y384" t="s">
        <v>96</v>
      </c>
      <c r="Z384" t="s">
        <v>787</v>
      </c>
      <c r="AA384">
        <f>IF(Contact[[#This Row],[Latest]]=TRUE,_xlfn.XLOOKUP(Contact[[#This Row],[Final Decision]],Table3[Final Decision],Table3[Active],0),0)</f>
        <v>0</v>
      </c>
      <c r="AB384">
        <f>SUMIF(Contact[Full Name],Contact[[#This Row],[Full Name]],Contact[Active])</f>
        <v>0</v>
      </c>
    </row>
    <row r="385" spans="1:28">
      <c r="A385">
        <v>1</v>
      </c>
      <c r="B385" t="s">
        <v>1869</v>
      </c>
      <c r="C385" t="s">
        <v>1870</v>
      </c>
      <c r="E385" t="s">
        <v>2485</v>
      </c>
      <c r="F385" t="s">
        <v>95</v>
      </c>
      <c r="G385" t="s">
        <v>2092</v>
      </c>
      <c r="I385" s="1" t="s">
        <v>1871</v>
      </c>
      <c r="J385" s="66"/>
      <c r="L385" t="s">
        <v>2094</v>
      </c>
      <c r="M385" t="s">
        <v>105</v>
      </c>
      <c r="N385" t="s">
        <v>2095</v>
      </c>
      <c r="R385" t="s">
        <v>2093</v>
      </c>
      <c r="S385" t="s">
        <v>2093</v>
      </c>
      <c r="V385">
        <v>2020</v>
      </c>
      <c r="X385" t="b">
        <f>IF(_xlfn.MAXIFS(Contact[Sequence],Contact[Full Name],Contact[[#This Row],[Full Name]],Contact[Season],Contact[[#This Row],[Season]])=Contact[[#This Row],[Sequence]],TRUE,FALSE)</f>
        <v>1</v>
      </c>
      <c r="Y385" t="s">
        <v>190</v>
      </c>
      <c r="Z385">
        <v>0</v>
      </c>
      <c r="AA385">
        <f>IF(Contact[[#This Row],[Latest]]=TRUE,_xlfn.XLOOKUP(Contact[[#This Row],[Final Decision]],Table3[Final Decision],Table3[Active],0),0)</f>
        <v>0</v>
      </c>
      <c r="AB385">
        <f>SUMIF(Contact[Full Name],Contact[[#This Row],[Full Name]],Contact[Active])</f>
        <v>0</v>
      </c>
    </row>
    <row r="386" spans="1:28">
      <c r="A386">
        <v>1</v>
      </c>
      <c r="B386" t="s">
        <v>1022</v>
      </c>
      <c r="C386" t="s">
        <v>997</v>
      </c>
      <c r="E386" t="s">
        <v>2486</v>
      </c>
      <c r="F386" t="s">
        <v>95</v>
      </c>
      <c r="G386" t="s">
        <v>2092</v>
      </c>
      <c r="I386" s="1" t="s">
        <v>1023</v>
      </c>
      <c r="J386" s="66" t="s">
        <v>1024</v>
      </c>
      <c r="L386" t="s">
        <v>2094</v>
      </c>
      <c r="M386" t="s">
        <v>105</v>
      </c>
      <c r="N386" t="s">
        <v>2095</v>
      </c>
      <c r="P386" t="s">
        <v>1026</v>
      </c>
      <c r="R386" t="s">
        <v>112</v>
      </c>
      <c r="S386" t="s">
        <v>2093</v>
      </c>
      <c r="V386">
        <v>2020</v>
      </c>
      <c r="X386" t="b">
        <f>IF(_xlfn.MAXIFS(Contact[Sequence],Contact[Full Name],Contact[[#This Row],[Full Name]],Contact[Season],Contact[[#This Row],[Season]])=Contact[[#This Row],[Sequence]],TRUE,FALSE)</f>
        <v>1</v>
      </c>
      <c r="Y386" t="s">
        <v>96</v>
      </c>
      <c r="Z386" t="s">
        <v>1026</v>
      </c>
      <c r="AA386">
        <f>IF(Contact[[#This Row],[Latest]]=TRUE,_xlfn.XLOOKUP(Contact[[#This Row],[Final Decision]],Table3[Final Decision],Table3[Active],0),0)</f>
        <v>0</v>
      </c>
      <c r="AB386">
        <f>SUMIF(Contact[Full Name],Contact[[#This Row],[Full Name]],Contact[Active])</f>
        <v>0</v>
      </c>
    </row>
    <row r="387" spans="1:28">
      <c r="A387">
        <v>1</v>
      </c>
      <c r="B387" t="s">
        <v>1879</v>
      </c>
      <c r="C387" t="s">
        <v>1347</v>
      </c>
      <c r="E387" t="s">
        <v>2487</v>
      </c>
      <c r="F387" t="s">
        <v>95</v>
      </c>
      <c r="G387" t="s">
        <v>2092</v>
      </c>
      <c r="I387" s="1" t="s">
        <v>1880</v>
      </c>
      <c r="J387" s="66" t="s">
        <v>2093</v>
      </c>
      <c r="L387" t="s">
        <v>2094</v>
      </c>
      <c r="M387" t="s">
        <v>185</v>
      </c>
      <c r="N387" t="s">
        <v>2095</v>
      </c>
      <c r="R387" t="s">
        <v>2093</v>
      </c>
      <c r="S387" t="s">
        <v>2093</v>
      </c>
      <c r="V387">
        <v>2020</v>
      </c>
      <c r="X387" t="b">
        <f>IF(_xlfn.MAXIFS(Contact[Sequence],Contact[Full Name],Contact[[#This Row],[Full Name]],Contact[Season],Contact[[#This Row],[Season]])=Contact[[#This Row],[Sequence]],TRUE,FALSE)</f>
        <v>1</v>
      </c>
      <c r="Y387" t="s">
        <v>190</v>
      </c>
      <c r="Z387">
        <v>0</v>
      </c>
      <c r="AA387">
        <f>IF(Contact[[#This Row],[Latest]]=TRUE,_xlfn.XLOOKUP(Contact[[#This Row],[Final Decision]],Table3[Final Decision],Table3[Active],0),0)</f>
        <v>0</v>
      </c>
      <c r="AB387">
        <f>SUMIF(Contact[Full Name],Contact[[#This Row],[Full Name]],Contact[Active])</f>
        <v>0</v>
      </c>
    </row>
    <row r="388" spans="1:28">
      <c r="A388">
        <v>1</v>
      </c>
      <c r="B388" t="s">
        <v>666</v>
      </c>
      <c r="C388" t="s">
        <v>595</v>
      </c>
      <c r="E388" t="s">
        <v>2488</v>
      </c>
      <c r="F388" t="s">
        <v>95</v>
      </c>
      <c r="G388" t="s">
        <v>2092</v>
      </c>
      <c r="I388" s="1" t="s">
        <v>667</v>
      </c>
      <c r="J388" s="66" t="s">
        <v>2093</v>
      </c>
      <c r="L388" t="s">
        <v>2094</v>
      </c>
      <c r="M388" t="s">
        <v>90</v>
      </c>
      <c r="N388" t="s">
        <v>2095</v>
      </c>
      <c r="P388" t="s">
        <v>669</v>
      </c>
      <c r="R388" t="s">
        <v>112</v>
      </c>
      <c r="S388" t="s">
        <v>2093</v>
      </c>
      <c r="V388">
        <v>2020</v>
      </c>
      <c r="X388" t="b">
        <f>IF(_xlfn.MAXIFS(Contact[Sequence],Contact[Full Name],Contact[[#This Row],[Full Name]],Contact[Season],Contact[[#This Row],[Season]])=Contact[[#This Row],[Sequence]],TRUE,FALSE)</f>
        <v>1</v>
      </c>
      <c r="Y388" t="s">
        <v>96</v>
      </c>
      <c r="Z388" t="s">
        <v>669</v>
      </c>
      <c r="AA388">
        <f>IF(Contact[[#This Row],[Latest]]=TRUE,_xlfn.XLOOKUP(Contact[[#This Row],[Final Decision]],Table3[Final Decision],Table3[Active],0),0)</f>
        <v>0</v>
      </c>
      <c r="AB388">
        <f>SUMIF(Contact[Full Name],Contact[[#This Row],[Full Name]],Contact[Active])</f>
        <v>0</v>
      </c>
    </row>
    <row r="389" spans="1:28">
      <c r="A389">
        <v>1</v>
      </c>
      <c r="B389" t="s">
        <v>136</v>
      </c>
      <c r="C389" t="s">
        <v>137</v>
      </c>
      <c r="E389" t="s">
        <v>2489</v>
      </c>
      <c r="F389" t="s">
        <v>95</v>
      </c>
      <c r="G389" t="s">
        <v>2092</v>
      </c>
      <c r="I389" s="1" t="s">
        <v>138</v>
      </c>
      <c r="J389" s="66" t="s">
        <v>139</v>
      </c>
      <c r="L389" t="s">
        <v>2094</v>
      </c>
      <c r="M389" t="s">
        <v>105</v>
      </c>
      <c r="N389" t="s">
        <v>2095</v>
      </c>
      <c r="R389" t="s">
        <v>2093</v>
      </c>
      <c r="S389" t="s">
        <v>2093</v>
      </c>
      <c r="V389">
        <v>2020</v>
      </c>
      <c r="X389" t="b">
        <f>IF(_xlfn.MAXIFS(Contact[Sequence],Contact[Full Name],Contact[[#This Row],[Full Name]],Contact[Season],Contact[[#This Row],[Season]])=Contact[[#This Row],[Sequence]],TRUE,FALSE)</f>
        <v>1</v>
      </c>
      <c r="Y389" t="s">
        <v>97</v>
      </c>
      <c r="Z389">
        <v>0</v>
      </c>
      <c r="AA389">
        <f>IF(Contact[[#This Row],[Latest]]=TRUE,_xlfn.XLOOKUP(Contact[[#This Row],[Final Decision]],Table3[Final Decision],Table3[Active],0),0)</f>
        <v>0</v>
      </c>
      <c r="AB389">
        <f>SUMIF(Contact[Full Name],Contact[[#This Row],[Full Name]],Contact[Active])</f>
        <v>1</v>
      </c>
    </row>
    <row r="390" spans="1:28">
      <c r="A390">
        <v>1</v>
      </c>
      <c r="B390" t="s">
        <v>136</v>
      </c>
      <c r="C390" t="s">
        <v>1848</v>
      </c>
      <c r="E390" t="s">
        <v>2490</v>
      </c>
      <c r="F390" t="s">
        <v>98</v>
      </c>
      <c r="G390" t="s">
        <v>2092</v>
      </c>
      <c r="I390" s="1" t="s">
        <v>1849</v>
      </c>
      <c r="J390" s="66" t="s">
        <v>1850</v>
      </c>
      <c r="L390" t="s">
        <v>2094</v>
      </c>
      <c r="M390" t="s">
        <v>90</v>
      </c>
      <c r="N390" t="s">
        <v>2095</v>
      </c>
      <c r="R390" t="s">
        <v>2093</v>
      </c>
      <c r="S390" t="s">
        <v>2093</v>
      </c>
      <c r="V390">
        <v>2020</v>
      </c>
      <c r="X390" t="b">
        <f>IF(_xlfn.MAXIFS(Contact[Sequence],Contact[Full Name],Contact[[#This Row],[Full Name]],Contact[Season],Contact[[#This Row],[Season]])=Contact[[#This Row],[Sequence]],TRUE,FALSE)</f>
        <v>1</v>
      </c>
      <c r="Y390" t="s">
        <v>190</v>
      </c>
      <c r="Z390">
        <v>0</v>
      </c>
      <c r="AA390">
        <f>IF(Contact[[#This Row],[Latest]]=TRUE,_xlfn.XLOOKUP(Contact[[#This Row],[Final Decision]],Table3[Final Decision],Table3[Active],0),0)</f>
        <v>0</v>
      </c>
      <c r="AB390">
        <f>SUMIF(Contact[Full Name],Contact[[#This Row],[Full Name]],Contact[Active])</f>
        <v>0</v>
      </c>
    </row>
    <row r="391" spans="1:28">
      <c r="A391">
        <v>1</v>
      </c>
      <c r="B391" t="s">
        <v>297</v>
      </c>
      <c r="C391" t="s">
        <v>298</v>
      </c>
      <c r="E391" t="s">
        <v>2491</v>
      </c>
      <c r="F391" t="s">
        <v>102</v>
      </c>
      <c r="G391" t="s">
        <v>2100</v>
      </c>
      <c r="I391" s="1" t="s">
        <v>299</v>
      </c>
      <c r="J391" s="66" t="s">
        <v>300</v>
      </c>
      <c r="L391" t="s">
        <v>2094</v>
      </c>
      <c r="M391" t="s">
        <v>90</v>
      </c>
      <c r="N391" t="s">
        <v>2095</v>
      </c>
      <c r="P391" t="s">
        <v>303</v>
      </c>
      <c r="R391" t="s">
        <v>112</v>
      </c>
      <c r="S391" t="s">
        <v>296</v>
      </c>
      <c r="V391">
        <v>2020</v>
      </c>
      <c r="X391" t="b">
        <f>IF(_xlfn.MAXIFS(Contact[Sequence],Contact[Full Name],Contact[[#This Row],[Full Name]],Contact[Season],Contact[[#This Row],[Season]])=Contact[[#This Row],[Sequence]],TRUE,FALSE)</f>
        <v>0</v>
      </c>
      <c r="Y391" t="s">
        <v>96</v>
      </c>
      <c r="Z391" t="s">
        <v>203</v>
      </c>
      <c r="AA391">
        <f>IF(Contact[[#This Row],[Latest]]=TRUE,_xlfn.XLOOKUP(Contact[[#This Row],[Final Decision]],Table3[Final Decision],Table3[Active],0),0)</f>
        <v>0</v>
      </c>
      <c r="AB391">
        <f>SUMIF(Contact[Full Name],Contact[[#This Row],[Full Name]],Contact[Active])</f>
        <v>0</v>
      </c>
    </row>
    <row r="392" spans="1:28">
      <c r="A392">
        <v>1</v>
      </c>
      <c r="B392" t="s">
        <v>724</v>
      </c>
      <c r="C392" t="s">
        <v>725</v>
      </c>
      <c r="E392" t="s">
        <v>2492</v>
      </c>
      <c r="F392" t="s">
        <v>102</v>
      </c>
      <c r="G392" t="s">
        <v>2100</v>
      </c>
      <c r="I392" s="1" t="s">
        <v>726</v>
      </c>
      <c r="J392" s="66" t="s">
        <v>727</v>
      </c>
      <c r="L392" t="s">
        <v>2094</v>
      </c>
      <c r="M392" t="s">
        <v>90</v>
      </c>
      <c r="N392" t="s">
        <v>2095</v>
      </c>
      <c r="P392" t="s">
        <v>729</v>
      </c>
      <c r="R392" t="s">
        <v>723</v>
      </c>
      <c r="S392" t="s">
        <v>678</v>
      </c>
      <c r="V392">
        <v>2020</v>
      </c>
      <c r="X392" t="b">
        <f>IF(_xlfn.MAXIFS(Contact[Sequence],Contact[Full Name],Contact[[#This Row],[Full Name]],Contact[Season],Contact[[#This Row],[Season]])=Contact[[#This Row],[Sequence]],TRUE,FALSE)</f>
        <v>1</v>
      </c>
      <c r="Y392" t="s">
        <v>96</v>
      </c>
      <c r="Z392" t="s">
        <v>203</v>
      </c>
      <c r="AA392">
        <f>IF(Contact[[#This Row],[Latest]]=TRUE,_xlfn.XLOOKUP(Contact[[#This Row],[Final Decision]],Table3[Final Decision],Table3[Active],0),0)</f>
        <v>0</v>
      </c>
      <c r="AB392">
        <f>SUMIF(Contact[Full Name],Contact[[#This Row],[Full Name]],Contact[Active])</f>
        <v>0</v>
      </c>
    </row>
    <row r="393" spans="1:28">
      <c r="A393">
        <v>1</v>
      </c>
      <c r="B393" t="s">
        <v>611</v>
      </c>
      <c r="C393" t="s">
        <v>298</v>
      </c>
      <c r="E393" t="s">
        <v>2493</v>
      </c>
      <c r="F393" t="s">
        <v>95</v>
      </c>
      <c r="G393" t="s">
        <v>2092</v>
      </c>
      <c r="I393" s="1" t="s">
        <v>612</v>
      </c>
      <c r="J393" s="66" t="s">
        <v>2093</v>
      </c>
      <c r="L393" t="s">
        <v>2094</v>
      </c>
      <c r="M393" t="s">
        <v>90</v>
      </c>
      <c r="N393" t="s">
        <v>2095</v>
      </c>
      <c r="R393" t="s">
        <v>2093</v>
      </c>
      <c r="S393" t="s">
        <v>2093</v>
      </c>
      <c r="V393">
        <v>2020</v>
      </c>
      <c r="X393" t="b">
        <f>IF(_xlfn.MAXIFS(Contact[Sequence],Contact[Full Name],Contact[[#This Row],[Full Name]],Contact[Season],Contact[[#This Row],[Season]])=Contact[[#This Row],[Sequence]],TRUE,FALSE)</f>
        <v>1</v>
      </c>
      <c r="Y393" t="s">
        <v>190</v>
      </c>
      <c r="Z393">
        <v>0</v>
      </c>
      <c r="AA393">
        <f>IF(Contact[[#This Row],[Latest]]=TRUE,_xlfn.XLOOKUP(Contact[[#This Row],[Final Decision]],Table3[Final Decision],Table3[Active],0),0)</f>
        <v>0</v>
      </c>
      <c r="AB393">
        <f>SUMIF(Contact[Full Name],Contact[[#This Row],[Full Name]],Contact[Active])</f>
        <v>0</v>
      </c>
    </row>
    <row r="394" spans="1:28">
      <c r="A394">
        <v>1</v>
      </c>
      <c r="B394" t="s">
        <v>868</v>
      </c>
      <c r="C394" t="s">
        <v>869</v>
      </c>
      <c r="E394" t="s">
        <v>2494</v>
      </c>
      <c r="F394" t="s">
        <v>95</v>
      </c>
      <c r="G394" t="s">
        <v>2092</v>
      </c>
      <c r="I394" s="1" t="s">
        <v>870</v>
      </c>
      <c r="J394" s="66" t="s">
        <v>871</v>
      </c>
      <c r="L394" t="s">
        <v>2094</v>
      </c>
      <c r="M394" t="s">
        <v>90</v>
      </c>
      <c r="N394" t="s">
        <v>2095</v>
      </c>
      <c r="P394" t="s">
        <v>873</v>
      </c>
      <c r="R394" t="s">
        <v>112</v>
      </c>
      <c r="S394" t="s">
        <v>2093</v>
      </c>
      <c r="V394">
        <v>2020</v>
      </c>
      <c r="X394" t="b">
        <f>IF(_xlfn.MAXIFS(Contact[Sequence],Contact[Full Name],Contact[[#This Row],[Full Name]],Contact[Season],Contact[[#This Row],[Season]])=Contact[[#This Row],[Sequence]],TRUE,FALSE)</f>
        <v>1</v>
      </c>
      <c r="Y394" t="s">
        <v>96</v>
      </c>
      <c r="Z394" t="s">
        <v>873</v>
      </c>
      <c r="AA394">
        <f>IF(Contact[[#This Row],[Latest]]=TRUE,_xlfn.XLOOKUP(Contact[[#This Row],[Final Decision]],Table3[Final Decision],Table3[Active],0),0)</f>
        <v>0</v>
      </c>
      <c r="AB394">
        <f>SUMIF(Contact[Full Name],Contact[[#This Row],[Full Name]],Contact[Active])</f>
        <v>0</v>
      </c>
    </row>
    <row r="395" spans="1:28">
      <c r="A395">
        <v>1</v>
      </c>
      <c r="B395" t="s">
        <v>1678</v>
      </c>
      <c r="C395" t="s">
        <v>1679</v>
      </c>
      <c r="E395" t="s">
        <v>2495</v>
      </c>
      <c r="F395" t="s">
        <v>95</v>
      </c>
      <c r="G395" t="s">
        <v>2092</v>
      </c>
      <c r="I395" s="1" t="s">
        <v>1680</v>
      </c>
      <c r="J395" s="66" t="s">
        <v>1681</v>
      </c>
      <c r="L395" t="s">
        <v>2094</v>
      </c>
      <c r="M395" t="s">
        <v>105</v>
      </c>
      <c r="N395" t="s">
        <v>2095</v>
      </c>
      <c r="R395" t="s">
        <v>2093</v>
      </c>
      <c r="S395" t="s">
        <v>2093</v>
      </c>
      <c r="V395">
        <v>2020</v>
      </c>
      <c r="X395" t="b">
        <f>IF(_xlfn.MAXIFS(Contact[Sequence],Contact[Full Name],Contact[[#This Row],[Full Name]],Contact[Season],Contact[[#This Row],[Season]])=Contact[[#This Row],[Sequence]],TRUE,FALSE)</f>
        <v>1</v>
      </c>
      <c r="Y395" t="s">
        <v>190</v>
      </c>
      <c r="Z395">
        <v>0</v>
      </c>
      <c r="AA395">
        <f>IF(Contact[[#This Row],[Latest]]=TRUE,_xlfn.XLOOKUP(Contact[[#This Row],[Final Decision]],Table3[Final Decision],Table3[Active],0),0)</f>
        <v>0</v>
      </c>
      <c r="AB395">
        <f>SUMIF(Contact[Full Name],Contact[[#This Row],[Full Name]],Contact[Active])</f>
        <v>0</v>
      </c>
    </row>
    <row r="396" spans="1:28">
      <c r="A396">
        <v>1</v>
      </c>
      <c r="B396" t="s">
        <v>619</v>
      </c>
      <c r="C396" t="s">
        <v>1890</v>
      </c>
      <c r="E396" t="s">
        <v>2496</v>
      </c>
      <c r="F396" t="s">
        <v>98</v>
      </c>
      <c r="G396" t="s">
        <v>2092</v>
      </c>
      <c r="I396" s="1" t="s">
        <v>1891</v>
      </c>
      <c r="J396" s="66" t="s">
        <v>1892</v>
      </c>
      <c r="L396" t="s">
        <v>2094</v>
      </c>
      <c r="M396" t="s">
        <v>105</v>
      </c>
      <c r="N396" t="s">
        <v>2095</v>
      </c>
      <c r="R396" t="s">
        <v>2093</v>
      </c>
      <c r="S396" t="s">
        <v>2093</v>
      </c>
      <c r="V396">
        <v>2020</v>
      </c>
      <c r="X396" t="b">
        <f>IF(_xlfn.MAXIFS(Contact[Sequence],Contact[Full Name],Contact[[#This Row],[Full Name]],Contact[Season],Contact[[#This Row],[Season]])=Contact[[#This Row],[Sequence]],TRUE,FALSE)</f>
        <v>1</v>
      </c>
      <c r="Y396" t="s">
        <v>190</v>
      </c>
      <c r="Z396">
        <v>0</v>
      </c>
      <c r="AA396">
        <f>IF(Contact[[#This Row],[Latest]]=TRUE,_xlfn.XLOOKUP(Contact[[#This Row],[Final Decision]],Table3[Final Decision],Table3[Active],0),0)</f>
        <v>0</v>
      </c>
      <c r="AB396">
        <f>SUMIF(Contact[Full Name],Contact[[#This Row],[Full Name]],Contact[Active])</f>
        <v>0</v>
      </c>
    </row>
    <row r="397" spans="1:28">
      <c r="A397">
        <v>1</v>
      </c>
      <c r="B397" t="s">
        <v>619</v>
      </c>
      <c r="C397" t="s">
        <v>425</v>
      </c>
      <c r="E397" t="s">
        <v>2497</v>
      </c>
      <c r="F397" t="s">
        <v>95</v>
      </c>
      <c r="G397" t="s">
        <v>2092</v>
      </c>
      <c r="I397" s="1" t="s">
        <v>620</v>
      </c>
      <c r="J397" s="66" t="s">
        <v>2093</v>
      </c>
      <c r="L397" t="s">
        <v>2094</v>
      </c>
      <c r="M397" t="s">
        <v>90</v>
      </c>
      <c r="N397" t="s">
        <v>2095</v>
      </c>
      <c r="R397" t="s">
        <v>2093</v>
      </c>
      <c r="S397" t="s">
        <v>2093</v>
      </c>
      <c r="V397">
        <v>2020</v>
      </c>
      <c r="X397" t="b">
        <f>IF(_xlfn.MAXIFS(Contact[Sequence],Contact[Full Name],Contact[[#This Row],[Full Name]],Contact[Season],Contact[[#This Row],[Season]])=Contact[[#This Row],[Sequence]],TRUE,FALSE)</f>
        <v>1</v>
      </c>
      <c r="Y397" t="s">
        <v>190</v>
      </c>
      <c r="Z397">
        <v>0</v>
      </c>
      <c r="AA397">
        <f>IF(Contact[[#This Row],[Latest]]=TRUE,_xlfn.XLOOKUP(Contact[[#This Row],[Final Decision]],Table3[Final Decision],Table3[Active],0),0)</f>
        <v>0</v>
      </c>
      <c r="AB397">
        <f>SUMIF(Contact[Full Name],Contact[[#This Row],[Full Name]],Contact[Active])</f>
        <v>0</v>
      </c>
    </row>
    <row r="398" spans="1:28">
      <c r="A398">
        <v>1</v>
      </c>
      <c r="B398" t="s">
        <v>1894</v>
      </c>
      <c r="C398" t="s">
        <v>1895</v>
      </c>
      <c r="E398" t="s">
        <v>2498</v>
      </c>
      <c r="F398" t="s">
        <v>98</v>
      </c>
      <c r="G398" t="s">
        <v>2092</v>
      </c>
      <c r="I398" s="1" t="s">
        <v>1896</v>
      </c>
      <c r="J398" s="66" t="s">
        <v>2093</v>
      </c>
      <c r="L398" t="s">
        <v>2094</v>
      </c>
      <c r="M398" t="s">
        <v>105</v>
      </c>
      <c r="N398" t="s">
        <v>2095</v>
      </c>
      <c r="R398" t="s">
        <v>2093</v>
      </c>
      <c r="S398" t="s">
        <v>2093</v>
      </c>
      <c r="V398">
        <v>2020</v>
      </c>
      <c r="X398" t="b">
        <f>IF(_xlfn.MAXIFS(Contact[Sequence],Contact[Full Name],Contact[[#This Row],[Full Name]],Contact[Season],Contact[[#This Row],[Season]])=Contact[[#This Row],[Sequence]],TRUE,FALSE)</f>
        <v>1</v>
      </c>
      <c r="Y398" t="s">
        <v>190</v>
      </c>
      <c r="Z398">
        <v>0</v>
      </c>
      <c r="AA398">
        <f>IF(Contact[[#This Row],[Latest]]=TRUE,_xlfn.XLOOKUP(Contact[[#This Row],[Final Decision]],Table3[Final Decision],Table3[Active],0),0)</f>
        <v>0</v>
      </c>
      <c r="AB398">
        <f>SUMIF(Contact[Full Name],Contact[[#This Row],[Full Name]],Contact[Active])</f>
        <v>0</v>
      </c>
    </row>
    <row r="399" spans="1:28">
      <c r="A399">
        <v>1</v>
      </c>
      <c r="B399" t="s">
        <v>622</v>
      </c>
      <c r="C399" t="s">
        <v>623</v>
      </c>
      <c r="E399" t="s">
        <v>2499</v>
      </c>
      <c r="F399" t="s">
        <v>95</v>
      </c>
      <c r="G399" t="s">
        <v>2092</v>
      </c>
      <c r="I399" s="1" t="s">
        <v>624</v>
      </c>
      <c r="J399" s="66" t="s">
        <v>625</v>
      </c>
      <c r="L399" t="s">
        <v>2094</v>
      </c>
      <c r="M399" t="s">
        <v>90</v>
      </c>
      <c r="N399" t="s">
        <v>2095</v>
      </c>
      <c r="R399" t="s">
        <v>2093</v>
      </c>
      <c r="S399" t="s">
        <v>2093</v>
      </c>
      <c r="V399">
        <v>2020</v>
      </c>
      <c r="X399" t="b">
        <f>IF(_xlfn.MAXIFS(Contact[Sequence],Contact[Full Name],Contact[[#This Row],[Full Name]],Contact[Season],Contact[[#This Row],[Season]])=Contact[[#This Row],[Sequence]],TRUE,FALSE)</f>
        <v>1</v>
      </c>
      <c r="Y399" t="s">
        <v>190</v>
      </c>
      <c r="Z399">
        <v>0</v>
      </c>
      <c r="AA399">
        <f>IF(Contact[[#This Row],[Latest]]=TRUE,_xlfn.XLOOKUP(Contact[[#This Row],[Final Decision]],Table3[Final Decision],Table3[Active],0),0)</f>
        <v>0</v>
      </c>
      <c r="AB399">
        <f>SUMIF(Contact[Full Name],Contact[[#This Row],[Full Name]],Contact[Active])</f>
        <v>0</v>
      </c>
    </row>
    <row r="400" spans="1:28">
      <c r="A400">
        <v>1</v>
      </c>
      <c r="B400" t="s">
        <v>627</v>
      </c>
      <c r="C400" t="s">
        <v>255</v>
      </c>
      <c r="E400" t="s">
        <v>2500</v>
      </c>
      <c r="F400" t="s">
        <v>95</v>
      </c>
      <c r="G400" t="s">
        <v>2092</v>
      </c>
      <c r="I400" s="1" t="s">
        <v>628</v>
      </c>
      <c r="J400" s="66" t="s">
        <v>629</v>
      </c>
      <c r="L400" t="s">
        <v>2094</v>
      </c>
      <c r="M400" t="s">
        <v>90</v>
      </c>
      <c r="N400" t="s">
        <v>2095</v>
      </c>
      <c r="R400" t="s">
        <v>2093</v>
      </c>
      <c r="S400" t="s">
        <v>2093</v>
      </c>
      <c r="V400">
        <v>2020</v>
      </c>
      <c r="X400" t="b">
        <f>IF(_xlfn.MAXIFS(Contact[Sequence],Contact[Full Name],Contact[[#This Row],[Full Name]],Contact[Season],Contact[[#This Row],[Season]])=Contact[[#This Row],[Sequence]],TRUE,FALSE)</f>
        <v>1</v>
      </c>
      <c r="Y400" t="s">
        <v>190</v>
      </c>
      <c r="Z400">
        <v>0</v>
      </c>
      <c r="AA400">
        <f>IF(Contact[[#This Row],[Latest]]=TRUE,_xlfn.XLOOKUP(Contact[[#This Row],[Final Decision]],Table3[Final Decision],Table3[Active],0),0)</f>
        <v>0</v>
      </c>
      <c r="AB400">
        <f>SUMIF(Contact[Full Name],Contact[[#This Row],[Full Name]],Contact[Active])</f>
        <v>0</v>
      </c>
    </row>
    <row r="401" spans="1:28">
      <c r="A401">
        <v>1</v>
      </c>
      <c r="B401" t="s">
        <v>1898</v>
      </c>
      <c r="C401" t="s">
        <v>1899</v>
      </c>
      <c r="E401" t="s">
        <v>2501</v>
      </c>
      <c r="F401" t="s">
        <v>95</v>
      </c>
      <c r="G401" t="s">
        <v>2092</v>
      </c>
      <c r="I401" s="1" t="s">
        <v>1900</v>
      </c>
      <c r="J401" s="66" t="s">
        <v>1901</v>
      </c>
      <c r="L401" t="s">
        <v>2094</v>
      </c>
      <c r="M401" t="s">
        <v>105</v>
      </c>
      <c r="N401" t="s">
        <v>2095</v>
      </c>
      <c r="R401" t="s">
        <v>2093</v>
      </c>
      <c r="S401" t="s">
        <v>2093</v>
      </c>
      <c r="V401">
        <v>2020</v>
      </c>
      <c r="X401" t="b">
        <f>IF(_xlfn.MAXIFS(Contact[Sequence],Contact[Full Name],Contact[[#This Row],[Full Name]],Contact[Season],Contact[[#This Row],[Season]])=Contact[[#This Row],[Sequence]],TRUE,FALSE)</f>
        <v>1</v>
      </c>
      <c r="Y401" t="s">
        <v>190</v>
      </c>
      <c r="Z401">
        <v>0</v>
      </c>
      <c r="AA401">
        <f>IF(Contact[[#This Row],[Latest]]=TRUE,_xlfn.XLOOKUP(Contact[[#This Row],[Final Decision]],Table3[Final Decision],Table3[Active],0),0)</f>
        <v>0</v>
      </c>
      <c r="AB401">
        <f>SUMIF(Contact[Full Name],Contact[[#This Row],[Full Name]],Contact[Active])</f>
        <v>0</v>
      </c>
    </row>
    <row r="402" spans="1:28">
      <c r="A402">
        <v>1</v>
      </c>
      <c r="B402" t="s">
        <v>1138</v>
      </c>
      <c r="C402" t="s">
        <v>438</v>
      </c>
      <c r="E402" t="s">
        <v>2502</v>
      </c>
      <c r="F402" t="s">
        <v>95</v>
      </c>
      <c r="G402" t="s">
        <v>2092</v>
      </c>
      <c r="I402" s="1" t="s">
        <v>1908</v>
      </c>
      <c r="J402" s="66" t="s">
        <v>2093</v>
      </c>
      <c r="L402" t="s">
        <v>2094</v>
      </c>
      <c r="M402" t="s">
        <v>185</v>
      </c>
      <c r="N402" t="s">
        <v>2095</v>
      </c>
      <c r="R402" t="s">
        <v>2093</v>
      </c>
      <c r="S402" t="s">
        <v>2093</v>
      </c>
      <c r="V402">
        <v>2020</v>
      </c>
      <c r="X402" t="b">
        <f>IF(_xlfn.MAXIFS(Contact[Sequence],Contact[Full Name],Contact[[#This Row],[Full Name]],Contact[Season],Contact[[#This Row],[Season]])=Contact[[#This Row],[Sequence]],TRUE,FALSE)</f>
        <v>1</v>
      </c>
      <c r="Y402" t="s">
        <v>190</v>
      </c>
      <c r="Z402">
        <v>0</v>
      </c>
      <c r="AA402">
        <f>IF(Contact[[#This Row],[Latest]]=TRUE,_xlfn.XLOOKUP(Contact[[#This Row],[Final Decision]],Table3[Final Decision],Table3[Active],0),0)</f>
        <v>0</v>
      </c>
      <c r="AB402">
        <f>SUMIF(Contact[Full Name],Contact[[#This Row],[Full Name]],Contact[Active])</f>
        <v>0</v>
      </c>
    </row>
    <row r="403" spans="1:28">
      <c r="A403">
        <v>1</v>
      </c>
      <c r="B403" t="s">
        <v>1903</v>
      </c>
      <c r="C403" t="s">
        <v>1904</v>
      </c>
      <c r="E403" t="s">
        <v>2503</v>
      </c>
      <c r="F403" t="s">
        <v>95</v>
      </c>
      <c r="G403" t="s">
        <v>2092</v>
      </c>
      <c r="I403" s="1" t="s">
        <v>1905</v>
      </c>
      <c r="J403" s="66" t="s">
        <v>2093</v>
      </c>
      <c r="L403" t="s">
        <v>2094</v>
      </c>
      <c r="M403" t="s">
        <v>185</v>
      </c>
      <c r="N403" t="s">
        <v>2095</v>
      </c>
      <c r="R403" t="s">
        <v>2093</v>
      </c>
      <c r="S403" t="s">
        <v>2093</v>
      </c>
      <c r="V403">
        <v>2020</v>
      </c>
      <c r="X403" t="b">
        <f>IF(_xlfn.MAXIFS(Contact[Sequence],Contact[Full Name],Contact[[#This Row],[Full Name]],Contact[Season],Contact[[#This Row],[Season]])=Contact[[#This Row],[Sequence]],TRUE,FALSE)</f>
        <v>1</v>
      </c>
      <c r="Y403" t="s">
        <v>190</v>
      </c>
      <c r="Z403">
        <v>0</v>
      </c>
      <c r="AA403">
        <f>IF(Contact[[#This Row],[Latest]]=TRUE,_xlfn.XLOOKUP(Contact[[#This Row],[Final Decision]],Table3[Final Decision],Table3[Active],0),0)</f>
        <v>0</v>
      </c>
      <c r="AB403">
        <f>SUMIF(Contact[Full Name],Contact[[#This Row],[Full Name]],Contact[Active])</f>
        <v>0</v>
      </c>
    </row>
    <row r="404" spans="1:28">
      <c r="A404">
        <v>1</v>
      </c>
      <c r="B404" t="s">
        <v>825</v>
      </c>
      <c r="C404" t="s">
        <v>826</v>
      </c>
      <c r="E404" t="s">
        <v>2504</v>
      </c>
      <c r="F404" t="s">
        <v>95</v>
      </c>
      <c r="G404" t="s">
        <v>2092</v>
      </c>
      <c r="I404" s="1" t="s">
        <v>827</v>
      </c>
      <c r="J404" s="66" t="s">
        <v>2093</v>
      </c>
      <c r="L404" t="s">
        <v>2094</v>
      </c>
      <c r="M404" t="s">
        <v>90</v>
      </c>
      <c r="N404" t="s">
        <v>2095</v>
      </c>
      <c r="P404" t="s">
        <v>787</v>
      </c>
      <c r="R404" t="s">
        <v>112</v>
      </c>
      <c r="S404" t="s">
        <v>2093</v>
      </c>
      <c r="V404">
        <v>2020</v>
      </c>
      <c r="X404" t="b">
        <f>IF(_xlfn.MAXIFS(Contact[Sequence],Contact[Full Name],Contact[[#This Row],[Full Name]],Contact[Season],Contact[[#This Row],[Season]])=Contact[[#This Row],[Sequence]],TRUE,FALSE)</f>
        <v>1</v>
      </c>
      <c r="Y404" t="s">
        <v>96</v>
      </c>
      <c r="Z404" t="s">
        <v>787</v>
      </c>
      <c r="AA404">
        <f>IF(Contact[[#This Row],[Latest]]=TRUE,_xlfn.XLOOKUP(Contact[[#This Row],[Final Decision]],Table3[Final Decision],Table3[Active],0),0)</f>
        <v>0</v>
      </c>
      <c r="AB404">
        <f>SUMIF(Contact[Full Name],Contact[[#This Row],[Full Name]],Contact[Active])</f>
        <v>0</v>
      </c>
    </row>
    <row r="405" spans="1:28">
      <c r="A405">
        <v>1</v>
      </c>
      <c r="B405" t="s">
        <v>569</v>
      </c>
      <c r="C405" t="s">
        <v>570</v>
      </c>
      <c r="E405" t="s">
        <v>2505</v>
      </c>
      <c r="F405" t="s">
        <v>95</v>
      </c>
      <c r="G405" t="s">
        <v>2092</v>
      </c>
      <c r="I405" s="1" t="s">
        <v>571</v>
      </c>
      <c r="J405" s="66" t="s">
        <v>2093</v>
      </c>
      <c r="L405" t="s">
        <v>2094</v>
      </c>
      <c r="M405" t="s">
        <v>90</v>
      </c>
      <c r="N405" t="s">
        <v>2095</v>
      </c>
      <c r="R405" t="s">
        <v>2093</v>
      </c>
      <c r="S405" t="s">
        <v>2093</v>
      </c>
      <c r="V405">
        <v>2020</v>
      </c>
      <c r="X405" t="b">
        <f>IF(_xlfn.MAXIFS(Contact[Sequence],Contact[Full Name],Contact[[#This Row],[Full Name]],Contact[Season],Contact[[#This Row],[Season]])=Contact[[#This Row],[Sequence]],TRUE,FALSE)</f>
        <v>1</v>
      </c>
      <c r="Y405" t="s">
        <v>190</v>
      </c>
      <c r="Z405">
        <v>0</v>
      </c>
      <c r="AA405">
        <f>IF(Contact[[#This Row],[Latest]]=TRUE,_xlfn.XLOOKUP(Contact[[#This Row],[Final Decision]],Table3[Final Decision],Table3[Active],0),0)</f>
        <v>0</v>
      </c>
      <c r="AB405">
        <f>SUMIF(Contact[Full Name],Contact[[#This Row],[Full Name]],Contact[Active])</f>
        <v>0</v>
      </c>
    </row>
    <row r="406" spans="1:28">
      <c r="A406">
        <v>1</v>
      </c>
      <c r="B406" t="s">
        <v>1917</v>
      </c>
      <c r="C406" t="s">
        <v>1918</v>
      </c>
      <c r="E406" t="s">
        <v>2506</v>
      </c>
      <c r="F406" t="s">
        <v>95</v>
      </c>
      <c r="G406" t="s">
        <v>2092</v>
      </c>
      <c r="I406" s="1" t="s">
        <v>1919</v>
      </c>
      <c r="J406" s="66" t="s">
        <v>2093</v>
      </c>
      <c r="L406" t="s">
        <v>2094</v>
      </c>
      <c r="M406" t="s">
        <v>185</v>
      </c>
      <c r="N406" t="s">
        <v>2095</v>
      </c>
      <c r="R406" t="s">
        <v>2093</v>
      </c>
      <c r="S406" t="s">
        <v>2093</v>
      </c>
      <c r="V406">
        <v>2020</v>
      </c>
      <c r="X406" t="b">
        <f>IF(_xlfn.MAXIFS(Contact[Sequence],Contact[Full Name],Contact[[#This Row],[Full Name]],Contact[Season],Contact[[#This Row],[Season]])=Contact[[#This Row],[Sequence]],TRUE,FALSE)</f>
        <v>1</v>
      </c>
      <c r="Y406" t="s">
        <v>190</v>
      </c>
      <c r="Z406">
        <v>0</v>
      </c>
      <c r="AA406">
        <f>IF(Contact[[#This Row],[Latest]]=TRUE,_xlfn.XLOOKUP(Contact[[#This Row],[Final Decision]],Table3[Final Decision],Table3[Active],0),0)</f>
        <v>0</v>
      </c>
      <c r="AB406">
        <f>SUMIF(Contact[Full Name],Contact[[#This Row],[Full Name]],Contact[Active])</f>
        <v>0</v>
      </c>
    </row>
    <row r="407" spans="1:28">
      <c r="A407">
        <v>1</v>
      </c>
      <c r="B407" t="s">
        <v>1921</v>
      </c>
      <c r="C407" t="s">
        <v>1922</v>
      </c>
      <c r="E407" t="s">
        <v>2507</v>
      </c>
      <c r="F407" t="s">
        <v>98</v>
      </c>
      <c r="G407" t="s">
        <v>2092</v>
      </c>
      <c r="I407" s="1" t="s">
        <v>1923</v>
      </c>
      <c r="J407" s="66" t="s">
        <v>2093</v>
      </c>
      <c r="L407" t="s">
        <v>2094</v>
      </c>
      <c r="M407" t="s">
        <v>105</v>
      </c>
      <c r="N407" t="s">
        <v>2095</v>
      </c>
      <c r="R407" t="s">
        <v>2093</v>
      </c>
      <c r="S407" t="s">
        <v>2093</v>
      </c>
      <c r="V407">
        <v>2020</v>
      </c>
      <c r="X407" t="b">
        <f>IF(_xlfn.MAXIFS(Contact[Sequence],Contact[Full Name],Contact[[#This Row],[Full Name]],Contact[Season],Contact[[#This Row],[Season]])=Contact[[#This Row],[Sequence]],TRUE,FALSE)</f>
        <v>1</v>
      </c>
      <c r="Y407" t="s">
        <v>1051</v>
      </c>
      <c r="Z407">
        <v>0</v>
      </c>
      <c r="AA407">
        <f>IF(Contact[[#This Row],[Latest]]=TRUE,_xlfn.XLOOKUP(Contact[[#This Row],[Final Decision]],Table3[Final Decision],Table3[Active],0),0)</f>
        <v>0</v>
      </c>
      <c r="AB407">
        <f>SUMIF(Contact[Full Name],Contact[[#This Row],[Full Name]],Contact[Active])</f>
        <v>0</v>
      </c>
    </row>
    <row r="408" spans="1:28">
      <c r="A408">
        <v>1</v>
      </c>
      <c r="B408" t="s">
        <v>2059</v>
      </c>
      <c r="C408" t="s">
        <v>2060</v>
      </c>
      <c r="E408" t="s">
        <v>2508</v>
      </c>
      <c r="F408" t="s">
        <v>98</v>
      </c>
      <c r="G408" t="s">
        <v>2092</v>
      </c>
      <c r="I408" s="1" t="s">
        <v>2061</v>
      </c>
      <c r="J408" s="66" t="s">
        <v>2093</v>
      </c>
      <c r="L408" t="s">
        <v>2094</v>
      </c>
      <c r="M408" t="s">
        <v>105</v>
      </c>
      <c r="N408" t="s">
        <v>2095</v>
      </c>
      <c r="P408" t="s">
        <v>2050</v>
      </c>
      <c r="R408" t="s">
        <v>112</v>
      </c>
      <c r="S408" t="s">
        <v>2093</v>
      </c>
      <c r="V408">
        <v>2020</v>
      </c>
      <c r="X408" t="b">
        <f>IF(_xlfn.MAXIFS(Contact[Sequence],Contact[Full Name],Contact[[#This Row],[Full Name]],Contact[Season],Contact[[#This Row],[Season]])=Contact[[#This Row],[Sequence]],TRUE,FALSE)</f>
        <v>1</v>
      </c>
      <c r="Y408" t="s">
        <v>96</v>
      </c>
      <c r="Z408" t="s">
        <v>2050</v>
      </c>
      <c r="AA408">
        <f>IF(Contact[[#This Row],[Latest]]=TRUE,_xlfn.XLOOKUP(Contact[[#This Row],[Final Decision]],Table3[Final Decision],Table3[Active],0),0)</f>
        <v>0</v>
      </c>
      <c r="AB408">
        <f>SUMIF(Contact[Full Name],Contact[[#This Row],[Full Name]],Contact[Active])</f>
        <v>0</v>
      </c>
    </row>
    <row r="409" spans="1:28">
      <c r="A409">
        <v>1</v>
      </c>
      <c r="B409" t="s">
        <v>2031</v>
      </c>
      <c r="C409" t="s">
        <v>459</v>
      </c>
      <c r="E409" t="s">
        <v>2509</v>
      </c>
      <c r="F409" t="s">
        <v>102</v>
      </c>
      <c r="G409" t="s">
        <v>2100</v>
      </c>
      <c r="I409" s="1" t="s">
        <v>2032</v>
      </c>
      <c r="J409" s="66" t="s">
        <v>2093</v>
      </c>
      <c r="L409" t="s">
        <v>2094</v>
      </c>
      <c r="M409" t="s">
        <v>90</v>
      </c>
      <c r="N409" t="s">
        <v>2095</v>
      </c>
      <c r="P409" t="s">
        <v>2036</v>
      </c>
      <c r="R409" t="s">
        <v>112</v>
      </c>
      <c r="S409" t="s">
        <v>2093</v>
      </c>
      <c r="V409">
        <v>2020</v>
      </c>
      <c r="X409" t="b">
        <f>IF(_xlfn.MAXIFS(Contact[Sequence],Contact[Full Name],Contact[[#This Row],[Full Name]],Contact[Season],Contact[[#This Row],[Season]])=Contact[[#This Row],[Sequence]],TRUE,FALSE)</f>
        <v>1</v>
      </c>
      <c r="Y409" t="s">
        <v>96</v>
      </c>
      <c r="Z409" t="s">
        <v>2035</v>
      </c>
      <c r="AA409">
        <f>IF(Contact[[#This Row],[Latest]]=TRUE,_xlfn.XLOOKUP(Contact[[#This Row],[Final Decision]],Table3[Final Decision],Table3[Active],0),0)</f>
        <v>0</v>
      </c>
      <c r="AB409">
        <f>SUMIF(Contact[Full Name],Contact[[#This Row],[Full Name]],Contact[Active])</f>
        <v>0</v>
      </c>
    </row>
    <row r="410" spans="1:28">
      <c r="A410">
        <v>1</v>
      </c>
      <c r="B410" t="s">
        <v>1926</v>
      </c>
      <c r="C410" t="s">
        <v>1429</v>
      </c>
      <c r="E410" t="s">
        <v>2510</v>
      </c>
      <c r="F410" t="s">
        <v>98</v>
      </c>
      <c r="G410" t="s">
        <v>2092</v>
      </c>
      <c r="I410" s="1" t="s">
        <v>1927</v>
      </c>
      <c r="J410" s="66" t="s">
        <v>2093</v>
      </c>
      <c r="L410" t="s">
        <v>2094</v>
      </c>
      <c r="M410" t="s">
        <v>105</v>
      </c>
      <c r="N410" t="s">
        <v>2095</v>
      </c>
      <c r="R410" t="s">
        <v>2093</v>
      </c>
      <c r="S410" t="s">
        <v>2093</v>
      </c>
      <c r="V410">
        <v>2020</v>
      </c>
      <c r="X410" t="b">
        <f>IF(_xlfn.MAXIFS(Contact[Sequence],Contact[Full Name],Contact[[#This Row],[Full Name]],Contact[Season],Contact[[#This Row],[Season]])=Contact[[#This Row],[Sequence]],TRUE,FALSE)</f>
        <v>1</v>
      </c>
      <c r="Y410" t="s">
        <v>190</v>
      </c>
      <c r="Z410">
        <v>0</v>
      </c>
      <c r="AA410">
        <f>IF(Contact[[#This Row],[Latest]]=TRUE,_xlfn.XLOOKUP(Contact[[#This Row],[Final Decision]],Table3[Final Decision],Table3[Active],0),0)</f>
        <v>0</v>
      </c>
      <c r="AB410">
        <f>SUMIF(Contact[Full Name],Contact[[#This Row],[Full Name]],Contact[Active])</f>
        <v>0</v>
      </c>
    </row>
    <row r="411" spans="1:28">
      <c r="A411">
        <v>4</v>
      </c>
      <c r="B411" t="s">
        <v>287</v>
      </c>
      <c r="C411" t="s">
        <v>186</v>
      </c>
      <c r="E411" t="s">
        <v>2153</v>
      </c>
      <c r="F411" t="s">
        <v>95</v>
      </c>
      <c r="G411" t="s">
        <v>2100</v>
      </c>
      <c r="I411" s="1" t="s">
        <v>288</v>
      </c>
      <c r="J411" s="66" t="s">
        <v>289</v>
      </c>
      <c r="L411" t="s">
        <v>2094</v>
      </c>
      <c r="M411" t="s">
        <v>123</v>
      </c>
      <c r="N411" t="s">
        <v>2095</v>
      </c>
      <c r="P411" t="s">
        <v>291</v>
      </c>
      <c r="Q411" t="s">
        <v>2511</v>
      </c>
      <c r="R411" t="s">
        <v>112</v>
      </c>
      <c r="S411" t="s">
        <v>153</v>
      </c>
      <c r="T411" t="s">
        <v>98</v>
      </c>
      <c r="V411">
        <v>2020</v>
      </c>
      <c r="X411" t="b">
        <f>IF(_xlfn.MAXIFS(Contact[Sequence],Contact[Full Name],Contact[[#This Row],[Full Name]],Contact[Season],Contact[[#This Row],[Season]])=Contact[[#This Row],[Sequence]],TRUE,FALSE)</f>
        <v>0</v>
      </c>
      <c r="Y411" t="s">
        <v>96</v>
      </c>
      <c r="Z411" t="s">
        <v>290</v>
      </c>
      <c r="AA411">
        <f>IF(Contact[[#This Row],[Latest]]=TRUE,_xlfn.XLOOKUP(Contact[[#This Row],[Final Decision]],Table3[Final Decision],Table3[Active],0),0)</f>
        <v>0</v>
      </c>
      <c r="AB411">
        <f>SUMIF(Contact[Full Name],Contact[[#This Row],[Full Name]],Contact[Active])</f>
        <v>0</v>
      </c>
    </row>
    <row r="412" spans="1:28">
      <c r="A412">
        <v>2</v>
      </c>
      <c r="B412" t="s">
        <v>154</v>
      </c>
      <c r="C412" t="s">
        <v>155</v>
      </c>
      <c r="E412" t="s">
        <v>2371</v>
      </c>
      <c r="F412" t="s">
        <v>102</v>
      </c>
      <c r="G412" t="s">
        <v>2100</v>
      </c>
      <c r="I412" s="1" t="s">
        <v>156</v>
      </c>
      <c r="J412" s="66" t="s">
        <v>157</v>
      </c>
      <c r="L412" t="s">
        <v>2094</v>
      </c>
      <c r="M412" t="s">
        <v>90</v>
      </c>
      <c r="N412" t="s">
        <v>2095</v>
      </c>
      <c r="P412" t="s">
        <v>159</v>
      </c>
      <c r="Q412" t="s">
        <v>2511</v>
      </c>
      <c r="R412" t="s">
        <v>152</v>
      </c>
      <c r="S412" t="s">
        <v>153</v>
      </c>
      <c r="T412" t="s">
        <v>98</v>
      </c>
      <c r="V412">
        <v>2020</v>
      </c>
      <c r="X412" t="b">
        <f>IF(_xlfn.MAXIFS(Contact[Sequence],Contact[Full Name],Contact[[#This Row],[Full Name]],Contact[Season],Contact[[#This Row],[Season]])=Contact[[#This Row],[Sequence]],TRUE,FALSE)</f>
        <v>0</v>
      </c>
      <c r="Y412" t="s">
        <v>96</v>
      </c>
      <c r="Z412" t="s">
        <v>159</v>
      </c>
      <c r="AA412">
        <f>IF(Contact[[#This Row],[Latest]]=TRUE,_xlfn.XLOOKUP(Contact[[#This Row],[Final Decision]],Table3[Final Decision],Table3[Active],0),0)</f>
        <v>0</v>
      </c>
      <c r="AB412">
        <f>SUMIF(Contact[Full Name],Contact[[#This Row],[Full Name]],Contact[Active])</f>
        <v>0</v>
      </c>
    </row>
    <row r="413" spans="1:28">
      <c r="A413">
        <v>2</v>
      </c>
      <c r="B413" t="s">
        <v>297</v>
      </c>
      <c r="C413" t="s">
        <v>298</v>
      </c>
      <c r="E413" t="s">
        <v>2491</v>
      </c>
      <c r="F413" t="s">
        <v>95</v>
      </c>
      <c r="G413" t="s">
        <v>2100</v>
      </c>
      <c r="I413" s="1" t="s">
        <v>299</v>
      </c>
      <c r="J413" s="66" t="s">
        <v>300</v>
      </c>
      <c r="L413" t="s">
        <v>2094</v>
      </c>
      <c r="M413" t="s">
        <v>90</v>
      </c>
      <c r="N413" t="s">
        <v>2095</v>
      </c>
      <c r="P413" t="s">
        <v>302</v>
      </c>
      <c r="R413" t="s">
        <v>112</v>
      </c>
      <c r="S413" t="s">
        <v>296</v>
      </c>
      <c r="T413" t="s">
        <v>98</v>
      </c>
      <c r="V413">
        <v>2020</v>
      </c>
      <c r="X413" t="b">
        <f>IF(_xlfn.MAXIFS(Contact[Sequence],Contact[Full Name],Contact[[#This Row],[Full Name]],Contact[Season],Contact[[#This Row],[Season]])=Contact[[#This Row],[Sequence]],TRUE,FALSE)</f>
        <v>1</v>
      </c>
      <c r="Y413" t="s">
        <v>96</v>
      </c>
      <c r="Z413" t="s">
        <v>203</v>
      </c>
      <c r="AA413">
        <f>IF(Contact[[#This Row],[Latest]]=TRUE,_xlfn.XLOOKUP(Contact[[#This Row],[Final Decision]],Table3[Final Decision],Table3[Active],0),0)</f>
        <v>0</v>
      </c>
      <c r="AB413">
        <f>SUMIF(Contact[Full Name],Contact[[#This Row],[Full Name]],Contact[Active])</f>
        <v>0</v>
      </c>
    </row>
    <row r="414" spans="1:28">
      <c r="A414">
        <v>2</v>
      </c>
      <c r="B414" t="s">
        <v>165</v>
      </c>
      <c r="C414" t="s">
        <v>166</v>
      </c>
      <c r="E414" t="s">
        <v>2458</v>
      </c>
      <c r="F414" t="s">
        <v>102</v>
      </c>
      <c r="G414" t="s">
        <v>2100</v>
      </c>
      <c r="I414" s="1" t="s">
        <v>167</v>
      </c>
      <c r="J414" s="66" t="s">
        <v>168</v>
      </c>
      <c r="L414" t="s">
        <v>2094</v>
      </c>
      <c r="M414" t="s">
        <v>164</v>
      </c>
      <c r="N414" t="s">
        <v>2095</v>
      </c>
      <c r="P414" t="s">
        <v>159</v>
      </c>
      <c r="R414" t="s">
        <v>152</v>
      </c>
      <c r="S414" t="s">
        <v>153</v>
      </c>
      <c r="T414" t="s">
        <v>98</v>
      </c>
      <c r="V414">
        <v>2020</v>
      </c>
      <c r="X414" t="b">
        <f>IF(_xlfn.MAXIFS(Contact[Sequence],Contact[Full Name],Contact[[#This Row],[Full Name]],Contact[Season],Contact[[#This Row],[Season]])=Contact[[#This Row],[Sequence]],TRUE,FALSE)</f>
        <v>0</v>
      </c>
      <c r="Y414" t="s">
        <v>96</v>
      </c>
      <c r="Z414" t="s">
        <v>159</v>
      </c>
      <c r="AA414">
        <f>IF(Contact[[#This Row],[Latest]]=TRUE,_xlfn.XLOOKUP(Contact[[#This Row],[Final Decision]],Table3[Final Decision],Table3[Active],0),0)</f>
        <v>0</v>
      </c>
      <c r="AB414">
        <f>SUMIF(Contact[Full Name],Contact[[#This Row],[Full Name]],Contact[Active])</f>
        <v>0</v>
      </c>
    </row>
    <row r="415" spans="1:28">
      <c r="A415">
        <v>2</v>
      </c>
      <c r="B415" t="s">
        <v>177</v>
      </c>
      <c r="C415" t="s">
        <v>178</v>
      </c>
      <c r="E415" t="s">
        <v>2221</v>
      </c>
      <c r="F415" t="s">
        <v>95</v>
      </c>
      <c r="G415" t="s">
        <v>2100</v>
      </c>
      <c r="I415" s="1" t="s">
        <v>179</v>
      </c>
      <c r="J415" s="66" t="s">
        <v>180</v>
      </c>
      <c r="L415" t="s">
        <v>2094</v>
      </c>
      <c r="M415" t="s">
        <v>164</v>
      </c>
      <c r="N415" t="s">
        <v>2095</v>
      </c>
      <c r="P415" t="s">
        <v>182</v>
      </c>
      <c r="Q415" t="s">
        <v>2511</v>
      </c>
      <c r="R415" t="s">
        <v>175</v>
      </c>
      <c r="S415" t="s">
        <v>176</v>
      </c>
      <c r="T415" t="s">
        <v>98</v>
      </c>
      <c r="V415">
        <v>2020</v>
      </c>
      <c r="X415" t="b">
        <f>IF(_xlfn.MAXIFS(Contact[Sequence],Contact[Full Name],Contact[[#This Row],[Full Name]],Contact[Season],Contact[[#This Row],[Season]])=Contact[[#This Row],[Sequence]],TRUE,FALSE)</f>
        <v>0</v>
      </c>
      <c r="Y415" t="s">
        <v>96</v>
      </c>
      <c r="Z415">
        <v>0</v>
      </c>
      <c r="AA415">
        <f>IF(Contact[[#This Row],[Latest]]=TRUE,_xlfn.XLOOKUP(Contact[[#This Row],[Final Decision]],Table3[Final Decision],Table3[Active],0),0)</f>
        <v>0</v>
      </c>
      <c r="AB415">
        <f>SUMIF(Contact[Full Name],Contact[[#This Row],[Full Name]],Contact[Active])</f>
        <v>0</v>
      </c>
    </row>
    <row r="416" spans="1:28">
      <c r="A416">
        <v>2</v>
      </c>
      <c r="B416" t="s">
        <v>186</v>
      </c>
      <c r="C416" t="s">
        <v>187</v>
      </c>
      <c r="E416" t="s">
        <v>2345</v>
      </c>
      <c r="F416" t="s">
        <v>100</v>
      </c>
      <c r="G416" t="s">
        <v>2100</v>
      </c>
      <c r="I416" s="1" t="s">
        <v>188</v>
      </c>
      <c r="J416" s="66" t="s">
        <v>189</v>
      </c>
      <c r="L416" t="s">
        <v>2094</v>
      </c>
      <c r="M416" t="s">
        <v>185</v>
      </c>
      <c r="N416" t="s">
        <v>2095</v>
      </c>
      <c r="P416" t="s">
        <v>2512</v>
      </c>
      <c r="R416" t="s">
        <v>112</v>
      </c>
      <c r="S416" t="s">
        <v>70</v>
      </c>
      <c r="T416" t="s">
        <v>98</v>
      </c>
      <c r="V416">
        <v>2020</v>
      </c>
      <c r="X416" t="b">
        <f>IF(_xlfn.MAXIFS(Contact[Sequence],Contact[Full Name],Contact[[#This Row],[Full Name]],Contact[Season],Contact[[#This Row],[Season]])=Contact[[#This Row],[Sequence]],TRUE,FALSE)</f>
        <v>1</v>
      </c>
      <c r="Y416" t="s">
        <v>190</v>
      </c>
      <c r="Z416" t="s">
        <v>159</v>
      </c>
      <c r="AA416">
        <f>IF(Contact[[#This Row],[Latest]]=TRUE,_xlfn.XLOOKUP(Contact[[#This Row],[Final Decision]],Table3[Final Decision],Table3[Active],0),0)</f>
        <v>1</v>
      </c>
      <c r="AB416">
        <f>SUMIF(Contact[Full Name],Contact[[#This Row],[Full Name]],Contact[Active])</f>
        <v>1</v>
      </c>
    </row>
    <row r="417" spans="1:28">
      <c r="A417">
        <v>2</v>
      </c>
      <c r="B417" t="s">
        <v>194</v>
      </c>
      <c r="C417" t="s">
        <v>195</v>
      </c>
      <c r="E417" t="s">
        <v>2319</v>
      </c>
      <c r="F417" t="s">
        <v>100</v>
      </c>
      <c r="G417" t="s">
        <v>2100</v>
      </c>
      <c r="I417" s="1" t="s">
        <v>196</v>
      </c>
      <c r="J417" s="66" t="s">
        <v>2093</v>
      </c>
      <c r="L417" t="s">
        <v>2094</v>
      </c>
      <c r="M417" t="s">
        <v>193</v>
      </c>
      <c r="N417" t="s">
        <v>2095</v>
      </c>
      <c r="P417" t="s">
        <v>197</v>
      </c>
      <c r="R417" t="s">
        <v>112</v>
      </c>
      <c r="T417" t="s">
        <v>98</v>
      </c>
      <c r="V417">
        <v>2020</v>
      </c>
      <c r="X417" t="b">
        <f>IF(_xlfn.MAXIFS(Contact[Sequence],Contact[Full Name],Contact[[#This Row],[Full Name]],Contact[Season],Contact[[#This Row],[Season]])=Contact[[#This Row],[Sequence]],TRUE,FALSE)</f>
        <v>1</v>
      </c>
      <c r="Y417" t="s">
        <v>96</v>
      </c>
      <c r="Z417" t="s">
        <v>159</v>
      </c>
      <c r="AA417">
        <f>IF(Contact[[#This Row],[Latest]]=TRUE,_xlfn.XLOOKUP(Contact[[#This Row],[Final Decision]],Table3[Final Decision],Table3[Active],0),0)</f>
        <v>0</v>
      </c>
      <c r="AB417">
        <f>SUMIF(Contact[Full Name],Contact[[#This Row],[Full Name]],Contact[Active])</f>
        <v>0</v>
      </c>
    </row>
    <row r="418" spans="1:28">
      <c r="A418">
        <v>2</v>
      </c>
      <c r="B418" t="s">
        <v>198</v>
      </c>
      <c r="C418" t="s">
        <v>199</v>
      </c>
      <c r="E418" t="s">
        <v>2459</v>
      </c>
      <c r="F418" t="s">
        <v>100</v>
      </c>
      <c r="G418" t="s">
        <v>2100</v>
      </c>
      <c r="I418" s="1" t="s">
        <v>200</v>
      </c>
      <c r="J418" s="66" t="s">
        <v>2093</v>
      </c>
      <c r="L418" t="s">
        <v>2094</v>
      </c>
      <c r="M418" t="s">
        <v>185</v>
      </c>
      <c r="N418" t="s">
        <v>2095</v>
      </c>
      <c r="P418" t="s">
        <v>203</v>
      </c>
      <c r="R418" t="s">
        <v>112</v>
      </c>
      <c r="S418" t="s">
        <v>175</v>
      </c>
      <c r="T418" t="s">
        <v>98</v>
      </c>
      <c r="V418">
        <v>2020</v>
      </c>
      <c r="X418" t="b">
        <f>IF(_xlfn.MAXIFS(Contact[Sequence],Contact[Full Name],Contact[[#This Row],[Full Name]],Contact[Season],Contact[[#This Row],[Season]])=Contact[[#This Row],[Sequence]],TRUE,FALSE)</f>
        <v>1</v>
      </c>
      <c r="Y418" t="s">
        <v>96</v>
      </c>
      <c r="Z418" t="s">
        <v>203</v>
      </c>
      <c r="AA418">
        <f>IF(Contact[[#This Row],[Latest]]=TRUE,_xlfn.XLOOKUP(Contact[[#This Row],[Final Decision]],Table3[Final Decision],Table3[Active],0),0)</f>
        <v>0</v>
      </c>
      <c r="AB418">
        <f>SUMIF(Contact[Full Name],Contact[[#This Row],[Full Name]],Contact[Active])</f>
        <v>0</v>
      </c>
    </row>
    <row r="419" spans="1:28">
      <c r="A419">
        <v>2</v>
      </c>
      <c r="B419" t="s">
        <v>230</v>
      </c>
      <c r="C419" t="s">
        <v>231</v>
      </c>
      <c r="E419" t="s">
        <v>2381</v>
      </c>
      <c r="F419" t="s">
        <v>95</v>
      </c>
      <c r="G419" t="s">
        <v>2100</v>
      </c>
      <c r="I419" s="1" t="s">
        <v>232</v>
      </c>
      <c r="J419" s="66" t="s">
        <v>2093</v>
      </c>
      <c r="L419" t="s">
        <v>2094</v>
      </c>
      <c r="M419" t="s">
        <v>105</v>
      </c>
      <c r="N419" t="s">
        <v>2095</v>
      </c>
      <c r="P419" t="s">
        <v>234</v>
      </c>
      <c r="R419" t="s">
        <v>112</v>
      </c>
      <c r="T419" t="s">
        <v>98</v>
      </c>
      <c r="V419">
        <v>2020</v>
      </c>
      <c r="X419" t="b">
        <f>IF(_xlfn.MAXIFS(Contact[Sequence],Contact[Full Name],Contact[[#This Row],[Full Name]],Contact[Season],Contact[[#This Row],[Season]])=Contact[[#This Row],[Sequence]],TRUE,FALSE)</f>
        <v>1</v>
      </c>
      <c r="Y419" t="s">
        <v>96</v>
      </c>
      <c r="Z419" t="s">
        <v>159</v>
      </c>
      <c r="AA419">
        <f>IF(Contact[[#This Row],[Latest]]=TRUE,_xlfn.XLOOKUP(Contact[[#This Row],[Final Decision]],Table3[Final Decision],Table3[Active],0),0)</f>
        <v>0</v>
      </c>
      <c r="AB419">
        <f>SUMIF(Contact[Full Name],Contact[[#This Row],[Full Name]],Contact[Active])</f>
        <v>0</v>
      </c>
    </row>
    <row r="420" spans="1:28">
      <c r="A420">
        <v>2</v>
      </c>
      <c r="B420" t="s">
        <v>237</v>
      </c>
      <c r="C420" t="s">
        <v>238</v>
      </c>
      <c r="E420" t="s">
        <v>2295</v>
      </c>
      <c r="F420" t="s">
        <v>102</v>
      </c>
      <c r="G420" t="s">
        <v>2100</v>
      </c>
      <c r="I420" s="1" t="s">
        <v>239</v>
      </c>
      <c r="J420" s="66" t="s">
        <v>2093</v>
      </c>
      <c r="L420" t="s">
        <v>2094</v>
      </c>
      <c r="M420" t="s">
        <v>164</v>
      </c>
      <c r="N420" t="s">
        <v>2095</v>
      </c>
      <c r="P420" t="s">
        <v>242</v>
      </c>
      <c r="Q420" t="s">
        <v>2511</v>
      </c>
      <c r="R420" t="s">
        <v>112</v>
      </c>
      <c r="S420" t="s">
        <v>236</v>
      </c>
      <c r="T420" t="s">
        <v>98</v>
      </c>
      <c r="V420">
        <v>2020</v>
      </c>
      <c r="X420" t="b">
        <f>IF(_xlfn.MAXIFS(Contact[Sequence],Contact[Full Name],Contact[[#This Row],[Full Name]],Contact[Season],Contact[[#This Row],[Season]])=Contact[[#This Row],[Sequence]],TRUE,FALSE)</f>
        <v>0</v>
      </c>
      <c r="Y420" t="s">
        <v>96</v>
      </c>
      <c r="Z420" t="s">
        <v>159</v>
      </c>
      <c r="AA420">
        <f>IF(Contact[[#This Row],[Latest]]=TRUE,_xlfn.XLOOKUP(Contact[[#This Row],[Final Decision]],Table3[Final Decision],Table3[Active],0),0)</f>
        <v>0</v>
      </c>
      <c r="AB420">
        <f>SUMIF(Contact[Full Name],Contact[[#This Row],[Full Name]],Contact[Active])</f>
        <v>0</v>
      </c>
    </row>
    <row r="421" spans="1:28">
      <c r="A421">
        <v>2</v>
      </c>
      <c r="B421" t="s">
        <v>91</v>
      </c>
      <c r="C421" t="s">
        <v>92</v>
      </c>
      <c r="E421" t="s">
        <v>2299</v>
      </c>
      <c r="F421" t="s">
        <v>98</v>
      </c>
      <c r="G421" t="s">
        <v>2100</v>
      </c>
      <c r="I421" s="1" t="s">
        <v>93</v>
      </c>
      <c r="J421" s="66" t="s">
        <v>2093</v>
      </c>
      <c r="L421" t="s">
        <v>2094</v>
      </c>
      <c r="M421" t="s">
        <v>90</v>
      </c>
      <c r="N421" t="s">
        <v>2095</v>
      </c>
      <c r="P421" t="s">
        <v>99</v>
      </c>
      <c r="Q421" t="s">
        <v>2511</v>
      </c>
      <c r="R421" t="s">
        <v>215</v>
      </c>
      <c r="S421" t="s">
        <v>266</v>
      </c>
      <c r="T421" t="s">
        <v>98</v>
      </c>
      <c r="V421">
        <v>2020</v>
      </c>
      <c r="X421" t="b">
        <f>IF(_xlfn.MAXIFS(Contact[Sequence],Contact[Full Name],Contact[[#This Row],[Full Name]],Contact[Season],Contact[[#This Row],[Season]])=Contact[[#This Row],[Sequence]],TRUE,FALSE)</f>
        <v>0</v>
      </c>
      <c r="Y421" t="s">
        <v>96</v>
      </c>
      <c r="Z421" t="s">
        <v>97</v>
      </c>
      <c r="AA421">
        <f>IF(Contact[[#This Row],[Latest]]=TRUE,_xlfn.XLOOKUP(Contact[[#This Row],[Final Decision]],Table3[Final Decision],Table3[Active],0),0)</f>
        <v>0</v>
      </c>
      <c r="AB421">
        <f>SUMIF(Contact[Full Name],Contact[[#This Row],[Full Name]],Contact[Active])</f>
        <v>0</v>
      </c>
    </row>
    <row r="422" spans="1:28">
      <c r="A422">
        <v>2</v>
      </c>
      <c r="B422" t="s">
        <v>254</v>
      </c>
      <c r="C422" t="s">
        <v>255</v>
      </c>
      <c r="E422" t="s">
        <v>2259</v>
      </c>
      <c r="F422" t="s">
        <v>98</v>
      </c>
      <c r="G422" t="s">
        <v>2100</v>
      </c>
      <c r="I422" s="1" t="s">
        <v>256</v>
      </c>
      <c r="J422" s="66" t="s">
        <v>2093</v>
      </c>
      <c r="L422" t="s">
        <v>2094</v>
      </c>
      <c r="M422" t="s">
        <v>185</v>
      </c>
      <c r="N422" t="s">
        <v>2095</v>
      </c>
      <c r="P422" t="s">
        <v>257</v>
      </c>
      <c r="R422" t="s">
        <v>112</v>
      </c>
      <c r="S422" t="s">
        <v>253</v>
      </c>
      <c r="T422" t="s">
        <v>98</v>
      </c>
      <c r="V422">
        <v>2020</v>
      </c>
      <c r="X422" t="b">
        <f>IF(_xlfn.MAXIFS(Contact[Sequence],Contact[Full Name],Contact[[#This Row],[Full Name]],Contact[Season],Contact[[#This Row],[Season]])=Contact[[#This Row],[Sequence]],TRUE,FALSE)</f>
        <v>1</v>
      </c>
      <c r="Y422" t="s">
        <v>96</v>
      </c>
      <c r="Z422" t="s">
        <v>159</v>
      </c>
      <c r="AA422">
        <f>IF(Contact[[#This Row],[Latest]]=TRUE,_xlfn.XLOOKUP(Contact[[#This Row],[Final Decision]],Table3[Final Decision],Table3[Active],0),0)</f>
        <v>0</v>
      </c>
      <c r="AB422">
        <f>SUMIF(Contact[Full Name],Contact[[#This Row],[Full Name]],Contact[Active])</f>
        <v>0</v>
      </c>
    </row>
    <row r="423" spans="1:28">
      <c r="A423">
        <v>2</v>
      </c>
      <c r="B423" t="s">
        <v>129</v>
      </c>
      <c r="C423" t="s">
        <v>130</v>
      </c>
      <c r="E423" t="s">
        <v>2394</v>
      </c>
      <c r="F423" t="s">
        <v>134</v>
      </c>
      <c r="G423" t="s">
        <v>2100</v>
      </c>
      <c r="I423" s="1" t="s">
        <v>131</v>
      </c>
      <c r="J423" s="66" t="s">
        <v>132</v>
      </c>
      <c r="L423" t="s">
        <v>2094</v>
      </c>
      <c r="M423" t="s">
        <v>105</v>
      </c>
      <c r="N423" t="s">
        <v>2095</v>
      </c>
      <c r="P423" t="s">
        <v>135</v>
      </c>
      <c r="Q423" t="s">
        <v>215</v>
      </c>
      <c r="R423" t="s">
        <v>215</v>
      </c>
      <c r="S423" t="s">
        <v>2395</v>
      </c>
      <c r="T423" t="s">
        <v>98</v>
      </c>
      <c r="V423">
        <v>2020</v>
      </c>
      <c r="X423" t="b">
        <f>IF(_xlfn.MAXIFS(Contact[Sequence],Contact[Full Name],Contact[[#This Row],[Full Name]],Contact[Season],Contact[[#This Row],[Season]])=Contact[[#This Row],[Sequence]],TRUE,FALSE)</f>
        <v>1</v>
      </c>
      <c r="Y423" t="s">
        <v>96</v>
      </c>
      <c r="Z423" t="s">
        <v>97</v>
      </c>
      <c r="AA423">
        <f>IF(Contact[[#This Row],[Latest]]=TRUE,_xlfn.XLOOKUP(Contact[[#This Row],[Final Decision]],Table3[Final Decision],Table3[Active],0),0)</f>
        <v>0</v>
      </c>
      <c r="AB423">
        <f>SUMIF(Contact[Full Name],Contact[[#This Row],[Full Name]],Contact[Active])</f>
        <v>0</v>
      </c>
    </row>
    <row r="424" spans="1:28">
      <c r="A424">
        <v>2</v>
      </c>
      <c r="B424" t="s">
        <v>259</v>
      </c>
      <c r="C424" t="s">
        <v>260</v>
      </c>
      <c r="E424" t="s">
        <v>2379</v>
      </c>
      <c r="F424" t="s">
        <v>102</v>
      </c>
      <c r="G424" t="s">
        <v>2100</v>
      </c>
      <c r="I424" s="1" t="s">
        <v>261</v>
      </c>
      <c r="J424" s="66" t="s">
        <v>262</v>
      </c>
      <c r="L424" t="s">
        <v>2094</v>
      </c>
      <c r="M424" t="s">
        <v>193</v>
      </c>
      <c r="N424" t="s">
        <v>2095</v>
      </c>
      <c r="P424" t="s">
        <v>263</v>
      </c>
      <c r="Q424" t="s">
        <v>215</v>
      </c>
      <c r="R424" t="s">
        <v>215</v>
      </c>
      <c r="S424" t="s">
        <v>258</v>
      </c>
      <c r="T424" t="s">
        <v>98</v>
      </c>
      <c r="V424">
        <v>2020</v>
      </c>
      <c r="X424" t="b">
        <f>IF(_xlfn.MAXIFS(Contact[Sequence],Contact[Full Name],Contact[[#This Row],[Full Name]],Contact[Season],Contact[[#This Row],[Season]])=Contact[[#This Row],[Sequence]],TRUE,FALSE)</f>
        <v>1</v>
      </c>
      <c r="Y424" t="s">
        <v>96</v>
      </c>
      <c r="Z424" t="s">
        <v>159</v>
      </c>
      <c r="AA424">
        <f>IF(Contact[[#This Row],[Latest]]=TRUE,_xlfn.XLOOKUP(Contact[[#This Row],[Final Decision]],Table3[Final Decision],Table3[Active],0),0)</f>
        <v>0</v>
      </c>
      <c r="AB424">
        <f>SUMIF(Contact[Full Name],Contact[[#This Row],[Full Name]],Contact[Active])</f>
        <v>0</v>
      </c>
    </row>
    <row r="425" spans="1:28">
      <c r="A425">
        <v>2</v>
      </c>
      <c r="B425" t="s">
        <v>267</v>
      </c>
      <c r="C425" t="s">
        <v>268</v>
      </c>
      <c r="E425" t="s">
        <v>2294</v>
      </c>
      <c r="F425" t="s">
        <v>102</v>
      </c>
      <c r="G425" t="s">
        <v>2100</v>
      </c>
      <c r="I425" s="1" t="s">
        <v>269</v>
      </c>
      <c r="J425" s="66">
        <v>0</v>
      </c>
      <c r="L425" t="s">
        <v>2094</v>
      </c>
      <c r="M425" t="s">
        <v>90</v>
      </c>
      <c r="N425" t="s">
        <v>2095</v>
      </c>
      <c r="P425" t="s">
        <v>273</v>
      </c>
      <c r="Q425" t="s">
        <v>215</v>
      </c>
      <c r="R425" t="s">
        <v>265</v>
      </c>
      <c r="S425" t="s">
        <v>2513</v>
      </c>
      <c r="T425" t="s">
        <v>98</v>
      </c>
      <c r="V425">
        <v>2020</v>
      </c>
      <c r="X425" t="b">
        <f>IF(_xlfn.MAXIFS(Contact[Sequence],Contact[Full Name],Contact[[#This Row],[Full Name]],Contact[Season],Contact[[#This Row],[Season]])=Contact[[#This Row],[Sequence]],TRUE,FALSE)</f>
        <v>1</v>
      </c>
      <c r="Y425" t="s">
        <v>96</v>
      </c>
      <c r="Z425" t="s">
        <v>272</v>
      </c>
      <c r="AA425">
        <f>IF(Contact[[#This Row],[Latest]]=TRUE,_xlfn.XLOOKUP(Contact[[#This Row],[Final Decision]],Table3[Final Decision],Table3[Active],0),0)</f>
        <v>0</v>
      </c>
      <c r="AB425">
        <f>SUMIF(Contact[Full Name],Contact[[#This Row],[Full Name]],Contact[Active])</f>
        <v>0</v>
      </c>
    </row>
    <row r="426" spans="1:28">
      <c r="A426">
        <v>2</v>
      </c>
      <c r="B426" t="s">
        <v>274</v>
      </c>
      <c r="C426" t="s">
        <v>275</v>
      </c>
      <c r="E426" t="s">
        <v>2162</v>
      </c>
      <c r="F426" t="s">
        <v>102</v>
      </c>
      <c r="G426" t="s">
        <v>2100</v>
      </c>
      <c r="I426" s="1" t="s">
        <v>276</v>
      </c>
      <c r="J426" s="66" t="s">
        <v>277</v>
      </c>
      <c r="L426" t="s">
        <v>2094</v>
      </c>
      <c r="M426" t="s">
        <v>90</v>
      </c>
      <c r="N426" t="s">
        <v>2095</v>
      </c>
      <c r="P426" t="s">
        <v>280</v>
      </c>
      <c r="Q426" t="s">
        <v>2511</v>
      </c>
      <c r="R426" t="s">
        <v>112</v>
      </c>
      <c r="T426" t="s">
        <v>98</v>
      </c>
      <c r="V426">
        <v>2020</v>
      </c>
      <c r="X426" t="b">
        <f>IF(_xlfn.MAXIFS(Contact[Sequence],Contact[Full Name],Contact[[#This Row],[Full Name]],Contact[Season],Contact[[#This Row],[Season]])=Contact[[#This Row],[Sequence]],TRUE,FALSE)</f>
        <v>0</v>
      </c>
      <c r="Y426" t="s">
        <v>96</v>
      </c>
      <c r="Z426" t="s">
        <v>159</v>
      </c>
      <c r="AA426">
        <f>IF(Contact[[#This Row],[Latest]]=TRUE,_xlfn.XLOOKUP(Contact[[#This Row],[Final Decision]],Table3[Final Decision],Table3[Active],0),0)</f>
        <v>0</v>
      </c>
      <c r="AB426">
        <f>SUMIF(Contact[Full Name],Contact[[#This Row],[Full Name]],Contact[Active])</f>
        <v>0</v>
      </c>
    </row>
    <row r="427" spans="1:28">
      <c r="A427">
        <v>2</v>
      </c>
      <c r="B427" t="s">
        <v>282</v>
      </c>
      <c r="C427" t="s">
        <v>283</v>
      </c>
      <c r="E427" t="s">
        <v>2356</v>
      </c>
      <c r="F427" t="s">
        <v>102</v>
      </c>
      <c r="G427" t="s">
        <v>2100</v>
      </c>
      <c r="I427" s="1" t="s">
        <v>284</v>
      </c>
      <c r="J427" s="66" t="s">
        <v>2093</v>
      </c>
      <c r="L427" t="s">
        <v>2094</v>
      </c>
      <c r="M427" t="s">
        <v>90</v>
      </c>
      <c r="N427" t="s">
        <v>2095</v>
      </c>
      <c r="P427" t="s">
        <v>286</v>
      </c>
      <c r="R427" t="s">
        <v>112</v>
      </c>
      <c r="T427" t="s">
        <v>98</v>
      </c>
      <c r="V427">
        <v>2020</v>
      </c>
      <c r="X427" t="b">
        <f>IF(_xlfn.MAXIFS(Contact[Sequence],Contact[Full Name],Contact[[#This Row],[Full Name]],Contact[Season],Contact[[#This Row],[Season]])=Contact[[#This Row],[Sequence]],TRUE,FALSE)</f>
        <v>1</v>
      </c>
      <c r="Y427" t="s">
        <v>96</v>
      </c>
      <c r="Z427" t="s">
        <v>159</v>
      </c>
      <c r="AA427">
        <f>IF(Contact[[#This Row],[Latest]]=TRUE,_xlfn.XLOOKUP(Contact[[#This Row],[Final Decision]],Table3[Final Decision],Table3[Active],0),0)</f>
        <v>0</v>
      </c>
      <c r="AB427">
        <f>SUMIF(Contact[Full Name],Contact[[#This Row],[Full Name]],Contact[Active])</f>
        <v>0</v>
      </c>
    </row>
    <row r="428" spans="1:28">
      <c r="A428">
        <v>2</v>
      </c>
      <c r="B428" t="s">
        <v>245</v>
      </c>
      <c r="C428" t="s">
        <v>246</v>
      </c>
      <c r="E428" t="s">
        <v>2124</v>
      </c>
      <c r="F428" t="s">
        <v>102</v>
      </c>
      <c r="G428" t="s">
        <v>2100</v>
      </c>
      <c r="I428" s="1" t="s">
        <v>247</v>
      </c>
      <c r="J428" s="66" t="s">
        <v>2093</v>
      </c>
      <c r="L428" t="s">
        <v>2094</v>
      </c>
      <c r="M428" t="s">
        <v>90</v>
      </c>
      <c r="N428" t="s">
        <v>2095</v>
      </c>
      <c r="P428" t="s">
        <v>250</v>
      </c>
      <c r="Q428" t="s">
        <v>2511</v>
      </c>
      <c r="R428" t="s">
        <v>215</v>
      </c>
      <c r="S428" t="s">
        <v>244</v>
      </c>
      <c r="T428" t="s">
        <v>98</v>
      </c>
      <c r="V428">
        <v>2020</v>
      </c>
      <c r="X428" t="b">
        <f>IF(_xlfn.MAXIFS(Contact[Sequence],Contact[Full Name],Contact[[#This Row],[Full Name]],Contact[Season],Contact[[#This Row],[Season]])=Contact[[#This Row],[Sequence]],TRUE,FALSE)</f>
        <v>0</v>
      </c>
      <c r="Y428" t="s">
        <v>96</v>
      </c>
      <c r="Z428" t="s">
        <v>249</v>
      </c>
      <c r="AA428">
        <f>IF(Contact[[#This Row],[Latest]]=TRUE,_xlfn.XLOOKUP(Contact[[#This Row],[Final Decision]],Table3[Final Decision],Table3[Active],0),0)</f>
        <v>0</v>
      </c>
      <c r="AB428">
        <f>SUMIF(Contact[Full Name],Contact[[#This Row],[Full Name]],Contact[Active])</f>
        <v>0</v>
      </c>
    </row>
    <row r="429" spans="1:28">
      <c r="A429">
        <v>2</v>
      </c>
      <c r="B429" t="s">
        <v>631</v>
      </c>
      <c r="C429" t="s">
        <v>632</v>
      </c>
      <c r="E429" t="s">
        <v>2476</v>
      </c>
      <c r="F429" t="s">
        <v>98</v>
      </c>
      <c r="G429" t="s">
        <v>2100</v>
      </c>
      <c r="I429" s="1" t="s">
        <v>633</v>
      </c>
      <c r="J429" s="66" t="s">
        <v>2093</v>
      </c>
      <c r="L429" t="s">
        <v>2094</v>
      </c>
      <c r="M429" t="s">
        <v>193</v>
      </c>
      <c r="N429" t="s">
        <v>2095</v>
      </c>
      <c r="P429" t="s">
        <v>634</v>
      </c>
      <c r="R429" t="s">
        <v>112</v>
      </c>
      <c r="T429" t="s">
        <v>98</v>
      </c>
      <c r="V429">
        <v>2020</v>
      </c>
      <c r="X429" t="b">
        <f>IF(_xlfn.MAXIFS(Contact[Sequence],Contact[Full Name],Contact[[#This Row],[Full Name]],Contact[Season],Contact[[#This Row],[Season]])=Contact[[#This Row],[Sequence]],TRUE,FALSE)</f>
        <v>1</v>
      </c>
      <c r="Y429" t="s">
        <v>96</v>
      </c>
      <c r="Z429" t="s">
        <v>159</v>
      </c>
      <c r="AA429">
        <f>IF(Contact[[#This Row],[Latest]]=TRUE,_xlfn.XLOOKUP(Contact[[#This Row],[Final Decision]],Table3[Final Decision],Table3[Active],0),0)</f>
        <v>0</v>
      </c>
      <c r="AB429">
        <f>SUMIF(Contact[Full Name],Contact[[#This Row],[Full Name]],Contact[Active])</f>
        <v>0</v>
      </c>
    </row>
    <row r="430" spans="1:28">
      <c r="A430">
        <v>2</v>
      </c>
      <c r="B430" t="s">
        <v>636</v>
      </c>
      <c r="C430" t="s">
        <v>637</v>
      </c>
      <c r="E430" t="s">
        <v>2330</v>
      </c>
      <c r="F430" t="s">
        <v>95</v>
      </c>
      <c r="G430" t="s">
        <v>2100</v>
      </c>
      <c r="I430" s="1" t="s">
        <v>638</v>
      </c>
      <c r="J430" s="66" t="s">
        <v>2093</v>
      </c>
      <c r="L430" t="s">
        <v>2094</v>
      </c>
      <c r="M430" t="s">
        <v>90</v>
      </c>
      <c r="N430" t="s">
        <v>2095</v>
      </c>
      <c r="P430" t="s">
        <v>639</v>
      </c>
      <c r="R430" t="s">
        <v>112</v>
      </c>
      <c r="S430" t="s">
        <v>635</v>
      </c>
      <c r="T430" t="s">
        <v>98</v>
      </c>
      <c r="V430">
        <v>2020</v>
      </c>
      <c r="X430" t="b">
        <f>IF(_xlfn.MAXIFS(Contact[Sequence],Contact[Full Name],Contact[[#This Row],[Full Name]],Contact[Season],Contact[[#This Row],[Season]])=Contact[[#This Row],[Sequence]],TRUE,FALSE)</f>
        <v>1</v>
      </c>
      <c r="Y430" t="s">
        <v>96</v>
      </c>
      <c r="Z430" t="s">
        <v>203</v>
      </c>
      <c r="AA430">
        <f>IF(Contact[[#This Row],[Latest]]=TRUE,_xlfn.XLOOKUP(Contact[[#This Row],[Final Decision]],Table3[Final Decision],Table3[Active],0),0)</f>
        <v>0</v>
      </c>
      <c r="AB430">
        <f>SUMIF(Contact[Full Name],Contact[[#This Row],[Full Name]],Contact[Active])</f>
        <v>0</v>
      </c>
    </row>
    <row r="431" spans="1:28">
      <c r="A431">
        <v>2</v>
      </c>
      <c r="B431" t="s">
        <v>646</v>
      </c>
      <c r="C431" t="s">
        <v>463</v>
      </c>
      <c r="E431" t="s">
        <v>2452</v>
      </c>
      <c r="F431" t="s">
        <v>95</v>
      </c>
      <c r="G431" t="s">
        <v>2100</v>
      </c>
      <c r="I431" s="1" t="s">
        <v>647</v>
      </c>
      <c r="J431" s="66" t="s">
        <v>648</v>
      </c>
      <c r="L431" t="s">
        <v>2094</v>
      </c>
      <c r="M431" t="s">
        <v>105</v>
      </c>
      <c r="N431" t="s">
        <v>2095</v>
      </c>
      <c r="P431" t="s">
        <v>652</v>
      </c>
      <c r="R431" t="s">
        <v>112</v>
      </c>
      <c r="S431" t="s">
        <v>645</v>
      </c>
      <c r="T431" t="s">
        <v>98</v>
      </c>
      <c r="V431">
        <v>2020</v>
      </c>
      <c r="X431" t="b">
        <f>IF(_xlfn.MAXIFS(Contact[Sequence],Contact[Full Name],Contact[[#This Row],[Full Name]],Contact[Season],Contact[[#This Row],[Season]])=Contact[[#This Row],[Sequence]],TRUE,FALSE)</f>
        <v>1</v>
      </c>
      <c r="Y431" t="s">
        <v>96</v>
      </c>
      <c r="Z431" t="s">
        <v>651</v>
      </c>
      <c r="AA431">
        <f>IF(Contact[[#This Row],[Latest]]=TRUE,_xlfn.XLOOKUP(Contact[[#This Row],[Final Decision]],Table3[Final Decision],Table3[Active],0),0)</f>
        <v>0</v>
      </c>
      <c r="AB431">
        <f>SUMIF(Contact[Full Name],Contact[[#This Row],[Full Name]],Contact[Active])</f>
        <v>0</v>
      </c>
    </row>
    <row r="432" spans="1:28">
      <c r="A432">
        <v>5</v>
      </c>
      <c r="B432" t="s">
        <v>287</v>
      </c>
      <c r="C432" t="s">
        <v>186</v>
      </c>
      <c r="E432" t="s">
        <v>2153</v>
      </c>
      <c r="F432" t="s">
        <v>100</v>
      </c>
      <c r="G432" t="s">
        <v>2100</v>
      </c>
      <c r="I432" s="1" t="s">
        <v>288</v>
      </c>
      <c r="J432" s="66" t="s">
        <v>289</v>
      </c>
      <c r="L432" t="s">
        <v>2094</v>
      </c>
      <c r="M432" t="s">
        <v>123</v>
      </c>
      <c r="N432" t="s">
        <v>2095</v>
      </c>
      <c r="P432" t="s">
        <v>292</v>
      </c>
      <c r="R432" t="s">
        <v>112</v>
      </c>
      <c r="S432" t="s">
        <v>153</v>
      </c>
      <c r="T432" t="s">
        <v>98</v>
      </c>
      <c r="V432">
        <v>2020</v>
      </c>
      <c r="X432" t="b">
        <f>IF(_xlfn.MAXIFS(Contact[Sequence],Contact[Full Name],Contact[[#This Row],[Full Name]],Contact[Season],Contact[[#This Row],[Season]])=Contact[[#This Row],[Sequence]],TRUE,FALSE)</f>
        <v>1</v>
      </c>
      <c r="Y432" t="s">
        <v>96</v>
      </c>
      <c r="Z432" t="s">
        <v>290</v>
      </c>
      <c r="AA432">
        <f>IF(Contact[[#This Row],[Latest]]=TRUE,_xlfn.XLOOKUP(Contact[[#This Row],[Final Decision]],Table3[Final Decision],Table3[Active],0),0)</f>
        <v>0</v>
      </c>
      <c r="AB432">
        <f>SUMIF(Contact[Full Name],Contact[[#This Row],[Full Name]],Contact[Active])</f>
        <v>0</v>
      </c>
    </row>
    <row r="433" spans="1:28">
      <c r="A433">
        <v>3</v>
      </c>
      <c r="B433" t="s">
        <v>154</v>
      </c>
      <c r="C433" t="s">
        <v>155</v>
      </c>
      <c r="E433" t="s">
        <v>2371</v>
      </c>
      <c r="F433" t="s">
        <v>98</v>
      </c>
      <c r="G433" t="s">
        <v>2100</v>
      </c>
      <c r="I433" s="1" t="s">
        <v>156</v>
      </c>
      <c r="J433" s="66" t="s">
        <v>157</v>
      </c>
      <c r="L433" t="s">
        <v>2094</v>
      </c>
      <c r="M433" t="s">
        <v>90</v>
      </c>
      <c r="N433" t="s">
        <v>2095</v>
      </c>
      <c r="P433" t="s">
        <v>159</v>
      </c>
      <c r="R433" t="s">
        <v>152</v>
      </c>
      <c r="S433" t="s">
        <v>153</v>
      </c>
      <c r="T433" t="s">
        <v>98</v>
      </c>
      <c r="V433">
        <v>2020</v>
      </c>
      <c r="X433" t="b">
        <f>IF(_xlfn.MAXIFS(Contact[Sequence],Contact[Full Name],Contact[[#This Row],[Full Name]],Contact[Season],Contact[[#This Row],[Season]])=Contact[[#This Row],[Sequence]],TRUE,FALSE)</f>
        <v>0</v>
      </c>
      <c r="Y433" t="s">
        <v>96</v>
      </c>
      <c r="Z433" t="s">
        <v>159</v>
      </c>
      <c r="AA433">
        <f>IF(Contact[[#This Row],[Latest]]=TRUE,_xlfn.XLOOKUP(Contact[[#This Row],[Final Decision]],Table3[Final Decision],Table3[Active],0),0)</f>
        <v>0</v>
      </c>
      <c r="AB433">
        <f>SUMIF(Contact[Full Name],Contact[[#This Row],[Full Name]],Contact[Active])</f>
        <v>0</v>
      </c>
    </row>
    <row r="434" spans="1:28">
      <c r="A434">
        <v>3</v>
      </c>
      <c r="B434" t="s">
        <v>165</v>
      </c>
      <c r="C434" t="s">
        <v>166</v>
      </c>
      <c r="E434" t="s">
        <v>2458</v>
      </c>
      <c r="F434" t="s">
        <v>95</v>
      </c>
      <c r="G434" t="s">
        <v>2100</v>
      </c>
      <c r="I434" s="1" t="s">
        <v>167</v>
      </c>
      <c r="J434" s="66" t="s">
        <v>168</v>
      </c>
      <c r="L434" t="s">
        <v>2094</v>
      </c>
      <c r="M434" t="s">
        <v>164</v>
      </c>
      <c r="N434" t="s">
        <v>2095</v>
      </c>
      <c r="P434" t="s">
        <v>159</v>
      </c>
      <c r="R434" t="s">
        <v>152</v>
      </c>
      <c r="S434" t="s">
        <v>153</v>
      </c>
      <c r="T434" t="s">
        <v>98</v>
      </c>
      <c r="V434">
        <v>2020</v>
      </c>
      <c r="X434" t="b">
        <f>IF(_xlfn.MAXIFS(Contact[Sequence],Contact[Full Name],Contact[[#This Row],[Full Name]],Contact[Season],Contact[[#This Row],[Season]])=Contact[[#This Row],[Sequence]],TRUE,FALSE)</f>
        <v>0</v>
      </c>
      <c r="Y434" t="s">
        <v>96</v>
      </c>
      <c r="Z434" t="s">
        <v>159</v>
      </c>
      <c r="AA434">
        <f>IF(Contact[[#This Row],[Latest]]=TRUE,_xlfn.XLOOKUP(Contact[[#This Row],[Final Decision]],Table3[Final Decision],Table3[Active],0),0)</f>
        <v>0</v>
      </c>
      <c r="AB434">
        <f>SUMIF(Contact[Full Name],Contact[[#This Row],[Full Name]],Contact[Active])</f>
        <v>0</v>
      </c>
    </row>
    <row r="435" spans="1:28">
      <c r="A435">
        <v>3</v>
      </c>
      <c r="B435" t="s">
        <v>177</v>
      </c>
      <c r="C435" t="s">
        <v>178</v>
      </c>
      <c r="E435" t="s">
        <v>2221</v>
      </c>
      <c r="F435" t="s">
        <v>98</v>
      </c>
      <c r="G435" t="s">
        <v>2100</v>
      </c>
      <c r="I435" s="1" t="s">
        <v>179</v>
      </c>
      <c r="J435" s="66" t="s">
        <v>180</v>
      </c>
      <c r="L435" t="s">
        <v>2094</v>
      </c>
      <c r="M435" t="s">
        <v>164</v>
      </c>
      <c r="N435" t="s">
        <v>2095</v>
      </c>
      <c r="P435" t="s">
        <v>183</v>
      </c>
      <c r="R435" t="s">
        <v>175</v>
      </c>
      <c r="S435" t="s">
        <v>176</v>
      </c>
      <c r="T435" t="s">
        <v>98</v>
      </c>
      <c r="V435">
        <v>2020</v>
      </c>
      <c r="X435" t="b">
        <f>IF(_xlfn.MAXIFS(Contact[Sequence],Contact[Full Name],Contact[[#This Row],[Full Name]],Contact[Season],Contact[[#This Row],[Season]])=Contact[[#This Row],[Sequence]],TRUE,FALSE)</f>
        <v>1</v>
      </c>
      <c r="Y435" t="s">
        <v>96</v>
      </c>
      <c r="Z435">
        <v>0</v>
      </c>
      <c r="AA435">
        <f>IF(Contact[[#This Row],[Latest]]=TRUE,_xlfn.XLOOKUP(Contact[[#This Row],[Final Decision]],Table3[Final Decision],Table3[Active],0),0)</f>
        <v>0</v>
      </c>
      <c r="AB435">
        <f>SUMIF(Contact[Full Name],Contact[[#This Row],[Full Name]],Contact[Active])</f>
        <v>0</v>
      </c>
    </row>
    <row r="436" spans="1:28">
      <c r="A436">
        <v>3</v>
      </c>
      <c r="B436" t="s">
        <v>237</v>
      </c>
      <c r="C436" t="s">
        <v>238</v>
      </c>
      <c r="E436" t="s">
        <v>2295</v>
      </c>
      <c r="F436" t="s">
        <v>95</v>
      </c>
      <c r="G436" t="s">
        <v>2100</v>
      </c>
      <c r="I436" s="1" t="s">
        <v>239</v>
      </c>
      <c r="J436" s="66" t="s">
        <v>2093</v>
      </c>
      <c r="L436" t="s">
        <v>2094</v>
      </c>
      <c r="M436" t="s">
        <v>164</v>
      </c>
      <c r="N436" t="s">
        <v>2095</v>
      </c>
      <c r="P436" t="s">
        <v>243</v>
      </c>
      <c r="R436" t="s">
        <v>112</v>
      </c>
      <c r="S436" t="s">
        <v>236</v>
      </c>
      <c r="T436" t="s">
        <v>98</v>
      </c>
      <c r="V436">
        <v>2020</v>
      </c>
      <c r="X436" t="b">
        <f>IF(_xlfn.MAXIFS(Contact[Sequence],Contact[Full Name],Contact[[#This Row],[Full Name]],Contact[Season],Contact[[#This Row],[Season]])=Contact[[#This Row],[Sequence]],TRUE,FALSE)</f>
        <v>1</v>
      </c>
      <c r="Y436" t="s">
        <v>96</v>
      </c>
      <c r="Z436" t="s">
        <v>159</v>
      </c>
      <c r="AA436">
        <f>IF(Contact[[#This Row],[Latest]]=TRUE,_xlfn.XLOOKUP(Contact[[#This Row],[Final Decision]],Table3[Final Decision],Table3[Active],0),0)</f>
        <v>0</v>
      </c>
      <c r="AB436">
        <f>SUMIF(Contact[Full Name],Contact[[#This Row],[Full Name]],Contact[Active])</f>
        <v>0</v>
      </c>
    </row>
    <row r="437" spans="1:28">
      <c r="A437">
        <v>3</v>
      </c>
      <c r="B437" t="s">
        <v>91</v>
      </c>
      <c r="C437" t="s">
        <v>92</v>
      </c>
      <c r="E437" t="s">
        <v>2299</v>
      </c>
      <c r="F437" t="s">
        <v>100</v>
      </c>
      <c r="G437" t="s">
        <v>2100</v>
      </c>
      <c r="I437" s="1" t="s">
        <v>93</v>
      </c>
      <c r="J437" s="66" t="s">
        <v>2093</v>
      </c>
      <c r="L437" t="s">
        <v>2094</v>
      </c>
      <c r="M437" t="s">
        <v>90</v>
      </c>
      <c r="N437" t="s">
        <v>2095</v>
      </c>
      <c r="P437" t="s">
        <v>101</v>
      </c>
      <c r="R437" t="s">
        <v>215</v>
      </c>
      <c r="S437" t="s">
        <v>266</v>
      </c>
      <c r="T437" t="s">
        <v>98</v>
      </c>
      <c r="V437">
        <v>2020</v>
      </c>
      <c r="X437" t="b">
        <f>IF(_xlfn.MAXIFS(Contact[Sequence],Contact[Full Name],Contact[[#This Row],[Full Name]],Contact[Season],Contact[[#This Row],[Season]])=Contact[[#This Row],[Sequence]],TRUE,FALSE)</f>
        <v>1</v>
      </c>
      <c r="Y437" t="s">
        <v>96</v>
      </c>
      <c r="Z437" t="s">
        <v>97</v>
      </c>
      <c r="AA437">
        <f>IF(Contact[[#This Row],[Latest]]=TRUE,_xlfn.XLOOKUP(Contact[[#This Row],[Final Decision]],Table3[Final Decision],Table3[Active],0),0)</f>
        <v>0</v>
      </c>
      <c r="AB437">
        <f>SUMIF(Contact[Full Name],Contact[[#This Row],[Full Name]],Contact[Active])</f>
        <v>0</v>
      </c>
    </row>
    <row r="438" spans="1:28">
      <c r="A438">
        <v>3</v>
      </c>
      <c r="B438" t="s">
        <v>274</v>
      </c>
      <c r="C438" t="s">
        <v>275</v>
      </c>
      <c r="E438" t="s">
        <v>2162</v>
      </c>
      <c r="F438" t="s">
        <v>100</v>
      </c>
      <c r="G438" t="s">
        <v>2100</v>
      </c>
      <c r="I438" s="1" t="s">
        <v>276</v>
      </c>
      <c r="J438" s="66" t="s">
        <v>277</v>
      </c>
      <c r="L438" t="s">
        <v>2094</v>
      </c>
      <c r="M438" t="s">
        <v>90</v>
      </c>
      <c r="N438" t="s">
        <v>2095</v>
      </c>
      <c r="P438" t="s">
        <v>281</v>
      </c>
      <c r="R438" t="s">
        <v>112</v>
      </c>
      <c r="T438" t="s">
        <v>98</v>
      </c>
      <c r="V438">
        <v>2020</v>
      </c>
      <c r="X438" t="b">
        <f>IF(_xlfn.MAXIFS(Contact[Sequence],Contact[Full Name],Contact[[#This Row],[Full Name]],Contact[Season],Contact[[#This Row],[Season]])=Contact[[#This Row],[Sequence]],TRUE,FALSE)</f>
        <v>1</v>
      </c>
      <c r="Y438" t="s">
        <v>96</v>
      </c>
      <c r="Z438" t="s">
        <v>159</v>
      </c>
      <c r="AA438">
        <f>IF(Contact[[#This Row],[Latest]]=TRUE,_xlfn.XLOOKUP(Contact[[#This Row],[Final Decision]],Table3[Final Decision],Table3[Active],0),0)</f>
        <v>0</v>
      </c>
      <c r="AB438">
        <f>SUMIF(Contact[Full Name],Contact[[#This Row],[Full Name]],Contact[Active])</f>
        <v>0</v>
      </c>
    </row>
    <row r="439" spans="1:28">
      <c r="A439">
        <v>3</v>
      </c>
      <c r="B439" t="s">
        <v>245</v>
      </c>
      <c r="C439" t="s">
        <v>246</v>
      </c>
      <c r="E439" t="s">
        <v>2124</v>
      </c>
      <c r="F439" t="s">
        <v>98</v>
      </c>
      <c r="G439" t="s">
        <v>2100</v>
      </c>
      <c r="I439" s="1" t="s">
        <v>247</v>
      </c>
      <c r="J439" s="66" t="s">
        <v>2093</v>
      </c>
      <c r="L439" t="s">
        <v>2094</v>
      </c>
      <c r="M439" t="s">
        <v>90</v>
      </c>
      <c r="N439" t="s">
        <v>2095</v>
      </c>
      <c r="P439" t="s">
        <v>251</v>
      </c>
      <c r="R439" t="s">
        <v>215</v>
      </c>
      <c r="S439" t="s">
        <v>244</v>
      </c>
      <c r="T439" t="s">
        <v>98</v>
      </c>
      <c r="V439">
        <v>2020</v>
      </c>
      <c r="X439" t="b">
        <f>IF(_xlfn.MAXIFS(Contact[Sequence],Contact[Full Name],Contact[[#This Row],[Full Name]],Contact[Season],Contact[[#This Row],[Season]])=Contact[[#This Row],[Sequence]],TRUE,FALSE)</f>
        <v>0</v>
      </c>
      <c r="Y439" t="s">
        <v>96</v>
      </c>
      <c r="Z439" t="s">
        <v>249</v>
      </c>
      <c r="AA439">
        <f>IF(Contact[[#This Row],[Latest]]=TRUE,_xlfn.XLOOKUP(Contact[[#This Row],[Final Decision]],Table3[Final Decision],Table3[Active],0),0)</f>
        <v>0</v>
      </c>
      <c r="AB439">
        <f>SUMIF(Contact[Full Name],Contact[[#This Row],[Full Name]],Contact[Active])</f>
        <v>0</v>
      </c>
    </row>
    <row r="440" spans="1:28">
      <c r="A440">
        <v>4</v>
      </c>
      <c r="B440" t="s">
        <v>154</v>
      </c>
      <c r="C440" t="s">
        <v>155</v>
      </c>
      <c r="E440" t="s">
        <v>2371</v>
      </c>
      <c r="F440" t="s">
        <v>95</v>
      </c>
      <c r="G440" t="s">
        <v>2514</v>
      </c>
      <c r="I440" s="1" t="s">
        <v>156</v>
      </c>
      <c r="J440" s="66" t="s">
        <v>157</v>
      </c>
      <c r="L440" t="s">
        <v>2094</v>
      </c>
      <c r="M440" t="s">
        <v>90</v>
      </c>
      <c r="N440" t="s">
        <v>2095</v>
      </c>
      <c r="P440" t="s">
        <v>159</v>
      </c>
      <c r="R440" t="s">
        <v>152</v>
      </c>
      <c r="S440" t="s">
        <v>153</v>
      </c>
      <c r="T440" t="s">
        <v>98</v>
      </c>
      <c r="V440">
        <v>2020</v>
      </c>
      <c r="X440" t="b">
        <f>IF(_xlfn.MAXIFS(Contact[Sequence],Contact[Full Name],Contact[[#This Row],[Full Name]],Contact[Season],Contact[[#This Row],[Season]])=Contact[[#This Row],[Sequence]],TRUE,FALSE)</f>
        <v>0</v>
      </c>
      <c r="Y440" t="s">
        <v>96</v>
      </c>
      <c r="Z440" t="s">
        <v>159</v>
      </c>
      <c r="AA440">
        <f>IF(Contact[[#This Row],[Latest]]=TRUE,_xlfn.XLOOKUP(Contact[[#This Row],[Final Decision]],Table3[Final Decision],Table3[Active],0),0)</f>
        <v>0</v>
      </c>
      <c r="AB440">
        <f>SUMIF(Contact[Full Name],Contact[[#This Row],[Full Name]],Contact[Active])</f>
        <v>0</v>
      </c>
    </row>
    <row r="441" spans="1:28">
      <c r="A441">
        <v>4</v>
      </c>
      <c r="B441" t="s">
        <v>165</v>
      </c>
      <c r="C441" t="s">
        <v>166</v>
      </c>
      <c r="E441" t="s">
        <v>2458</v>
      </c>
      <c r="F441" t="s">
        <v>173</v>
      </c>
      <c r="G441" t="s">
        <v>2514</v>
      </c>
      <c r="I441" s="1" t="s">
        <v>167</v>
      </c>
      <c r="J441" s="66" t="s">
        <v>168</v>
      </c>
      <c r="L441" t="s">
        <v>2094</v>
      </c>
      <c r="M441" t="s">
        <v>164</v>
      </c>
      <c r="N441" t="s">
        <v>2095</v>
      </c>
      <c r="P441" t="s">
        <v>159</v>
      </c>
      <c r="R441" t="s">
        <v>152</v>
      </c>
      <c r="S441" t="s">
        <v>153</v>
      </c>
      <c r="T441" t="s">
        <v>98</v>
      </c>
      <c r="V441">
        <v>2020</v>
      </c>
      <c r="X441" t="b">
        <f>IF(_xlfn.MAXIFS(Contact[Sequence],Contact[Full Name],Contact[[#This Row],[Full Name]],Contact[Season],Contact[[#This Row],[Season]])=Contact[[#This Row],[Sequence]],TRUE,FALSE)</f>
        <v>1</v>
      </c>
      <c r="Y441" t="s">
        <v>96</v>
      </c>
      <c r="Z441" t="s">
        <v>159</v>
      </c>
      <c r="AA441">
        <f>IF(Contact[[#This Row],[Latest]]=TRUE,_xlfn.XLOOKUP(Contact[[#This Row],[Final Decision]],Table3[Final Decision],Table3[Active],0),0)</f>
        <v>0</v>
      </c>
      <c r="AB441">
        <f>SUMIF(Contact[Full Name],Contact[[#This Row],[Full Name]],Contact[Active])</f>
        <v>0</v>
      </c>
    </row>
    <row r="442" spans="1:28">
      <c r="A442">
        <v>4</v>
      </c>
      <c r="B442" t="s">
        <v>245</v>
      </c>
      <c r="C442" t="s">
        <v>246</v>
      </c>
      <c r="E442" t="s">
        <v>2124</v>
      </c>
      <c r="F442" t="s">
        <v>95</v>
      </c>
      <c r="G442" t="s">
        <v>2514</v>
      </c>
      <c r="I442" s="1" t="s">
        <v>247</v>
      </c>
      <c r="J442" s="66" t="s">
        <v>2093</v>
      </c>
      <c r="L442" t="s">
        <v>2094</v>
      </c>
      <c r="M442" t="s">
        <v>90</v>
      </c>
      <c r="N442" t="s">
        <v>2095</v>
      </c>
      <c r="P442" t="s">
        <v>252</v>
      </c>
      <c r="R442" t="s">
        <v>215</v>
      </c>
      <c r="S442" t="s">
        <v>244</v>
      </c>
      <c r="T442" t="s">
        <v>98</v>
      </c>
      <c r="V442">
        <v>2020</v>
      </c>
      <c r="X442" t="b">
        <f>IF(_xlfn.MAXIFS(Contact[Sequence],Contact[Full Name],Contact[[#This Row],[Full Name]],Contact[Season],Contact[[#This Row],[Season]])=Contact[[#This Row],[Sequence]],TRUE,FALSE)</f>
        <v>1</v>
      </c>
      <c r="Y442" t="s">
        <v>96</v>
      </c>
      <c r="Z442" t="s">
        <v>249</v>
      </c>
      <c r="AA442">
        <f>IF(Contact[[#This Row],[Latest]]=TRUE,_xlfn.XLOOKUP(Contact[[#This Row],[Final Decision]],Table3[Final Decision],Table3[Active],0),0)</f>
        <v>0</v>
      </c>
      <c r="AB442">
        <f>SUMIF(Contact[Full Name],Contact[[#This Row],[Full Name]],Contact[Active])</f>
        <v>0</v>
      </c>
    </row>
    <row r="443" spans="1:28">
      <c r="A443">
        <v>5</v>
      </c>
      <c r="B443" t="s">
        <v>154</v>
      </c>
      <c r="C443" t="s">
        <v>155</v>
      </c>
      <c r="E443" t="s">
        <v>2371</v>
      </c>
      <c r="F443" t="s">
        <v>100</v>
      </c>
      <c r="G443" t="s">
        <v>2514</v>
      </c>
      <c r="I443" s="1" t="s">
        <v>156</v>
      </c>
      <c r="J443" s="66" t="s">
        <v>157</v>
      </c>
      <c r="L443" t="s">
        <v>2094</v>
      </c>
      <c r="M443" t="s">
        <v>90</v>
      </c>
      <c r="N443" t="s">
        <v>2095</v>
      </c>
      <c r="P443" t="s">
        <v>159</v>
      </c>
      <c r="R443" t="s">
        <v>152</v>
      </c>
      <c r="S443" t="s">
        <v>153</v>
      </c>
      <c r="T443" t="s">
        <v>98</v>
      </c>
      <c r="V443">
        <v>2020</v>
      </c>
      <c r="X443" t="b">
        <f>IF(_xlfn.MAXIFS(Contact[Sequence],Contact[Full Name],Contact[[#This Row],[Full Name]],Contact[Season],Contact[[#This Row],[Season]])=Contact[[#This Row],[Sequence]],TRUE,FALSE)</f>
        <v>1</v>
      </c>
      <c r="Y443" t="s">
        <v>96</v>
      </c>
      <c r="Z443" t="s">
        <v>159</v>
      </c>
      <c r="AA443">
        <f>IF(Contact[[#This Row],[Latest]]=TRUE,_xlfn.XLOOKUP(Contact[[#This Row],[Final Decision]],Table3[Final Decision],Table3[Active],0),0)</f>
        <v>0</v>
      </c>
      <c r="AB443">
        <f>SUMIF(Contact[Full Name],Contact[[#This Row],[Full Name]],Contact[Active])</f>
        <v>0</v>
      </c>
    </row>
    <row r="444" spans="1:28">
      <c r="A444">
        <v>2</v>
      </c>
      <c r="B444" t="s">
        <v>335</v>
      </c>
      <c r="C444" t="s">
        <v>425</v>
      </c>
      <c r="E444" t="s">
        <v>2134</v>
      </c>
      <c r="F444" t="s">
        <v>102</v>
      </c>
      <c r="G444" t="s">
        <v>2100</v>
      </c>
      <c r="I444" s="1" t="s">
        <v>718</v>
      </c>
      <c r="J444" s="66" t="s">
        <v>719</v>
      </c>
      <c r="L444" t="s">
        <v>2094</v>
      </c>
      <c r="M444" t="s">
        <v>105</v>
      </c>
      <c r="N444" t="s">
        <v>2095</v>
      </c>
      <c r="P444" t="s">
        <v>722</v>
      </c>
      <c r="R444" t="s">
        <v>717</v>
      </c>
      <c r="S444" t="s">
        <v>678</v>
      </c>
      <c r="V444">
        <v>2020</v>
      </c>
      <c r="X444" t="b">
        <f>IF(_xlfn.MAXIFS(Contact[Sequence],Contact[Full Name],Contact[[#This Row],[Full Name]],Contact[Season],Contact[[#This Row],[Season]])=Contact[[#This Row],[Sequence]],TRUE,FALSE)</f>
        <v>1</v>
      </c>
      <c r="Y444" t="s">
        <v>96</v>
      </c>
      <c r="Z444" t="s">
        <v>159</v>
      </c>
      <c r="AA444">
        <f>IF(Contact[[#This Row],[Latest]]=TRUE,_xlfn.XLOOKUP(Contact[[#This Row],[Final Decision]],Table3[Final Decision],Table3[Active],0),0)</f>
        <v>0</v>
      </c>
      <c r="AB444">
        <f>SUMIF(Contact[Full Name],Contact[[#This Row],[Full Name]],Contact[Active])</f>
        <v>0</v>
      </c>
    </row>
    <row r="445" spans="1:28">
      <c r="A445">
        <v>2</v>
      </c>
      <c r="B445" t="s">
        <v>287</v>
      </c>
      <c r="C445" t="s">
        <v>186</v>
      </c>
      <c r="E445" t="s">
        <v>2153</v>
      </c>
      <c r="F445" t="s">
        <v>95</v>
      </c>
      <c r="G445" t="s">
        <v>2100</v>
      </c>
      <c r="I445" s="1" t="s">
        <v>288</v>
      </c>
      <c r="J445" s="66" t="s">
        <v>289</v>
      </c>
      <c r="L445" t="s">
        <v>2094</v>
      </c>
      <c r="M445" t="s">
        <v>123</v>
      </c>
      <c r="N445" t="s">
        <v>2095</v>
      </c>
      <c r="P445" t="s">
        <v>294</v>
      </c>
      <c r="R445" t="s">
        <v>112</v>
      </c>
      <c r="S445" t="s">
        <v>153</v>
      </c>
      <c r="V445">
        <v>2019</v>
      </c>
      <c r="X445" t="b">
        <f>IF(_xlfn.MAXIFS(Contact[Sequence],Contact[Full Name],Contact[[#This Row],[Full Name]],Contact[Season],Contact[[#This Row],[Season]])=Contact[[#This Row],[Sequence]],TRUE,FALSE)</f>
        <v>0</v>
      </c>
      <c r="Y445" t="s">
        <v>96</v>
      </c>
      <c r="Z445" t="s">
        <v>290</v>
      </c>
      <c r="AA445">
        <f>IF(Contact[[#This Row],[Latest]]=TRUE,_xlfn.XLOOKUP(Contact[[#This Row],[Final Decision]],Table3[Final Decision],Table3[Active],0),0)</f>
        <v>0</v>
      </c>
      <c r="AB445">
        <f>SUMIF(Contact[Full Name],Contact[[#This Row],[Full Name]],Contact[Active])</f>
        <v>0</v>
      </c>
    </row>
    <row r="446" spans="1:28">
      <c r="A446">
        <v>2</v>
      </c>
      <c r="B446" t="s">
        <v>679</v>
      </c>
      <c r="C446" t="s">
        <v>680</v>
      </c>
      <c r="E446" t="s">
        <v>2173</v>
      </c>
      <c r="F446" t="s">
        <v>95</v>
      </c>
      <c r="G446" t="s">
        <v>2100</v>
      </c>
      <c r="I446" s="1" t="s">
        <v>681</v>
      </c>
      <c r="J446" s="66" t="s">
        <v>2093</v>
      </c>
      <c r="L446" t="s">
        <v>2094</v>
      </c>
      <c r="M446" t="s">
        <v>105</v>
      </c>
      <c r="N446" t="s">
        <v>2095</v>
      </c>
      <c r="P446" t="s">
        <v>686</v>
      </c>
      <c r="R446" t="s">
        <v>677</v>
      </c>
      <c r="S446" t="s">
        <v>678</v>
      </c>
      <c r="V446">
        <v>2020</v>
      </c>
      <c r="X446" t="b">
        <f>IF(_xlfn.MAXIFS(Contact[Sequence],Contact[Full Name],Contact[[#This Row],[Full Name]],Contact[Season],Contact[[#This Row],[Season]])=Contact[[#This Row],[Sequence]],TRUE,FALSE)</f>
        <v>1</v>
      </c>
      <c r="Y446" t="s">
        <v>96</v>
      </c>
      <c r="Z446" t="s">
        <v>683</v>
      </c>
      <c r="AA446">
        <f>IF(Contact[[#This Row],[Latest]]=TRUE,_xlfn.XLOOKUP(Contact[[#This Row],[Final Decision]],Table3[Final Decision],Table3[Active],0),0)</f>
        <v>0</v>
      </c>
      <c r="AB446">
        <f>SUMIF(Contact[Full Name],Contact[[#This Row],[Full Name]],Contact[Active])</f>
        <v>0</v>
      </c>
    </row>
    <row r="447" spans="1:28">
      <c r="A447">
        <v>2</v>
      </c>
      <c r="B447" t="s">
        <v>688</v>
      </c>
      <c r="C447" t="s">
        <v>689</v>
      </c>
      <c r="E447" t="s">
        <v>2209</v>
      </c>
      <c r="F447" t="s">
        <v>95</v>
      </c>
      <c r="G447" t="s">
        <v>2100</v>
      </c>
      <c r="I447" s="1" t="s">
        <v>690</v>
      </c>
      <c r="J447" s="66" t="s">
        <v>691</v>
      </c>
      <c r="L447" t="s">
        <v>2094</v>
      </c>
      <c r="M447" t="s">
        <v>105</v>
      </c>
      <c r="N447" t="s">
        <v>2095</v>
      </c>
      <c r="P447" t="s">
        <v>693</v>
      </c>
      <c r="R447" t="s">
        <v>677</v>
      </c>
      <c r="S447" t="s">
        <v>678</v>
      </c>
      <c r="V447">
        <v>2019</v>
      </c>
      <c r="X447" t="b">
        <f>IF(_xlfn.MAXIFS(Contact[Sequence],Contact[Full Name],Contact[[#This Row],[Full Name]],Contact[Season],Contact[[#This Row],[Season]])=Contact[[#This Row],[Sequence]],TRUE,FALSE)</f>
        <v>1</v>
      </c>
      <c r="Y447" t="s">
        <v>96</v>
      </c>
      <c r="Z447" t="s">
        <v>159</v>
      </c>
      <c r="AA447">
        <f>IF(Contact[[#This Row],[Latest]]=TRUE,_xlfn.XLOOKUP(Contact[[#This Row],[Final Decision]],Table3[Final Decision],Table3[Active],0),0)</f>
        <v>0</v>
      </c>
      <c r="AB447">
        <f>SUMIF(Contact[Full Name],Contact[[#This Row],[Full Name]],Contact[Active])</f>
        <v>0</v>
      </c>
    </row>
    <row r="448" spans="1:28">
      <c r="A448">
        <v>2</v>
      </c>
      <c r="B448" t="s">
        <v>701</v>
      </c>
      <c r="C448" t="s">
        <v>702</v>
      </c>
      <c r="E448" t="s">
        <v>2214</v>
      </c>
      <c r="F448" t="s">
        <v>95</v>
      </c>
      <c r="G448" t="s">
        <v>2100</v>
      </c>
      <c r="I448" s="1" t="s">
        <v>703</v>
      </c>
      <c r="J448" s="66" t="s">
        <v>704</v>
      </c>
      <c r="L448" t="s">
        <v>2094</v>
      </c>
      <c r="M448" t="s">
        <v>90</v>
      </c>
      <c r="N448" t="s">
        <v>2095</v>
      </c>
      <c r="P448" t="s">
        <v>709</v>
      </c>
      <c r="R448" t="s">
        <v>175</v>
      </c>
      <c r="S448" t="s">
        <v>678</v>
      </c>
      <c r="V448">
        <v>2019</v>
      </c>
      <c r="X448" t="b">
        <f>IF(_xlfn.MAXIFS(Contact[Sequence],Contact[Full Name],Contact[[#This Row],[Full Name]],Contact[Season],Contact[[#This Row],[Season]])=Contact[[#This Row],[Sequence]],TRUE,FALSE)</f>
        <v>0</v>
      </c>
      <c r="Y448" t="s">
        <v>96</v>
      </c>
      <c r="Z448" t="s">
        <v>707</v>
      </c>
      <c r="AA448">
        <f>IF(Contact[[#This Row],[Latest]]=TRUE,_xlfn.XLOOKUP(Contact[[#This Row],[Final Decision]],Table3[Final Decision],Table3[Active],0),0)</f>
        <v>0</v>
      </c>
      <c r="AB448">
        <f>SUMIF(Contact[Full Name],Contact[[#This Row],[Full Name]],Contact[Active])</f>
        <v>0</v>
      </c>
    </row>
    <row r="449" spans="1:28">
      <c r="A449">
        <v>2</v>
      </c>
      <c r="B449" t="s">
        <v>694</v>
      </c>
      <c r="C449" t="s">
        <v>695</v>
      </c>
      <c r="E449" t="s">
        <v>2303</v>
      </c>
      <c r="F449" t="s">
        <v>95</v>
      </c>
      <c r="G449" t="s">
        <v>2100</v>
      </c>
      <c r="I449" s="1" t="s">
        <v>696</v>
      </c>
      <c r="J449" s="66" t="s">
        <v>2093</v>
      </c>
      <c r="L449" t="s">
        <v>2094</v>
      </c>
      <c r="M449" t="s">
        <v>105</v>
      </c>
      <c r="N449" t="s">
        <v>2095</v>
      </c>
      <c r="P449" t="s">
        <v>700</v>
      </c>
      <c r="R449" t="s">
        <v>677</v>
      </c>
      <c r="S449" t="s">
        <v>678</v>
      </c>
      <c r="V449">
        <v>2019</v>
      </c>
      <c r="X449" t="b">
        <f>IF(_xlfn.MAXIFS(Contact[Sequence],Contact[Full Name],Contact[[#This Row],[Full Name]],Contact[Season],Contact[[#This Row],[Season]])=Contact[[#This Row],[Sequence]],TRUE,FALSE)</f>
        <v>1</v>
      </c>
      <c r="Y449" t="s">
        <v>96</v>
      </c>
      <c r="Z449" t="s">
        <v>698</v>
      </c>
      <c r="AA449">
        <f>IF(Contact[[#This Row],[Latest]]=TRUE,_xlfn.XLOOKUP(Contact[[#This Row],[Final Decision]],Table3[Final Decision],Table3[Active],0),0)</f>
        <v>0</v>
      </c>
      <c r="AB449">
        <f>SUMIF(Contact[Full Name],Contact[[#This Row],[Full Name]],Contact[Active])</f>
        <v>0</v>
      </c>
    </row>
    <row r="450" spans="1:28">
      <c r="A450">
        <v>2</v>
      </c>
      <c r="B450" t="s">
        <v>670</v>
      </c>
      <c r="C450" t="s">
        <v>671</v>
      </c>
      <c r="E450" t="s">
        <v>2389</v>
      </c>
      <c r="F450" t="s">
        <v>95</v>
      </c>
      <c r="G450" t="s">
        <v>2100</v>
      </c>
      <c r="I450" s="1" t="s">
        <v>672</v>
      </c>
      <c r="J450" s="66" t="s">
        <v>673</v>
      </c>
      <c r="L450" t="s">
        <v>2094</v>
      </c>
      <c r="M450" t="s">
        <v>90</v>
      </c>
      <c r="N450" t="s">
        <v>2095</v>
      </c>
      <c r="P450" t="s">
        <v>675</v>
      </c>
      <c r="R450" t="s">
        <v>112</v>
      </c>
      <c r="S450" t="s">
        <v>2093</v>
      </c>
      <c r="V450">
        <v>2019</v>
      </c>
      <c r="X450" t="b">
        <f>IF(_xlfn.MAXIFS(Contact[Sequence],Contact[Full Name],Contact[[#This Row],[Full Name]],Contact[Season],Contact[[#This Row],[Season]])=Contact[[#This Row],[Sequence]],TRUE,FALSE)</f>
        <v>1</v>
      </c>
      <c r="Y450" t="s">
        <v>96</v>
      </c>
      <c r="Z450" t="s">
        <v>675</v>
      </c>
      <c r="AA450">
        <f>IF(Contact[[#This Row],[Latest]]=TRUE,_xlfn.XLOOKUP(Contact[[#This Row],[Final Decision]],Table3[Final Decision],Table3[Active],0),0)</f>
        <v>0</v>
      </c>
      <c r="AB450">
        <f>SUMIF(Contact[Full Name],Contact[[#This Row],[Full Name]],Contact[Active])</f>
        <v>0</v>
      </c>
    </row>
    <row r="451" spans="1:28">
      <c r="A451">
        <v>2</v>
      </c>
      <c r="B451" t="s">
        <v>749</v>
      </c>
      <c r="C451" t="s">
        <v>750</v>
      </c>
      <c r="E451" t="s">
        <v>2399</v>
      </c>
      <c r="F451" t="s">
        <v>95</v>
      </c>
      <c r="G451" t="s">
        <v>2100</v>
      </c>
      <c r="I451" s="1" t="s">
        <v>751</v>
      </c>
      <c r="J451" s="66">
        <v>0</v>
      </c>
      <c r="L451" t="s">
        <v>2094</v>
      </c>
      <c r="M451" t="s">
        <v>105</v>
      </c>
      <c r="N451" t="s">
        <v>2095</v>
      </c>
      <c r="P451" t="s">
        <v>755</v>
      </c>
      <c r="R451" t="s">
        <v>112</v>
      </c>
      <c r="S451" t="s">
        <v>635</v>
      </c>
      <c r="V451">
        <v>2019</v>
      </c>
      <c r="X451" t="b">
        <f>IF(_xlfn.MAXIFS(Contact[Sequence],Contact[Full Name],Contact[[#This Row],[Full Name]],Contact[Season],Contact[[#This Row],[Season]])=Contact[[#This Row],[Sequence]],TRUE,FALSE)</f>
        <v>1</v>
      </c>
      <c r="Y451" t="s">
        <v>96</v>
      </c>
      <c r="Z451" t="s">
        <v>687</v>
      </c>
      <c r="AA451">
        <f>IF(Contact[[#This Row],[Latest]]=TRUE,_xlfn.XLOOKUP(Contact[[#This Row],[Final Decision]],Table3[Final Decision],Table3[Active],0),0)</f>
        <v>0</v>
      </c>
      <c r="AB451">
        <f>SUMIF(Contact[Full Name],Contact[[#This Row],[Full Name]],Contact[Active])</f>
        <v>0</v>
      </c>
    </row>
    <row r="452" spans="1:28">
      <c r="A452">
        <v>2</v>
      </c>
      <c r="B452" t="s">
        <v>711</v>
      </c>
      <c r="C452" t="s">
        <v>712</v>
      </c>
      <c r="E452" t="s">
        <v>2416</v>
      </c>
      <c r="F452" t="s">
        <v>95</v>
      </c>
      <c r="G452" t="s">
        <v>2100</v>
      </c>
      <c r="I452" s="1" t="s">
        <v>713</v>
      </c>
      <c r="J452" s="66" t="s">
        <v>2093</v>
      </c>
      <c r="L452" t="s">
        <v>2094</v>
      </c>
      <c r="M452" t="s">
        <v>90</v>
      </c>
      <c r="N452" t="s">
        <v>2095</v>
      </c>
      <c r="P452" t="s">
        <v>716</v>
      </c>
      <c r="R452" t="s">
        <v>175</v>
      </c>
      <c r="S452" t="s">
        <v>678</v>
      </c>
      <c r="V452">
        <v>2019</v>
      </c>
      <c r="X452" t="b">
        <f>IF(_xlfn.MAXIFS(Contact[Sequence],Contact[Full Name],Contact[[#This Row],[Full Name]],Contact[Season],Contact[[#This Row],[Season]])=Contact[[#This Row],[Sequence]],TRUE,FALSE)</f>
        <v>1</v>
      </c>
      <c r="Y452" t="s">
        <v>96</v>
      </c>
      <c r="Z452" t="s">
        <v>707</v>
      </c>
      <c r="AA452">
        <f>IF(Contact[[#This Row],[Latest]]=TRUE,_xlfn.XLOOKUP(Contact[[#This Row],[Final Decision]],Table3[Final Decision],Table3[Active],0),0)</f>
        <v>0</v>
      </c>
      <c r="AB452">
        <f>SUMIF(Contact[Full Name],Contact[[#This Row],[Full Name]],Contact[Active])</f>
        <v>0</v>
      </c>
    </row>
    <row r="453" spans="1:28">
      <c r="A453">
        <v>2</v>
      </c>
      <c r="B453" t="s">
        <v>767</v>
      </c>
      <c r="C453" t="s">
        <v>768</v>
      </c>
      <c r="E453" t="s">
        <v>2417</v>
      </c>
      <c r="F453" t="s">
        <v>95</v>
      </c>
      <c r="G453" t="s">
        <v>2100</v>
      </c>
      <c r="I453" s="1" t="s">
        <v>769</v>
      </c>
      <c r="J453" s="66" t="s">
        <v>770</v>
      </c>
      <c r="L453" t="s">
        <v>2094</v>
      </c>
      <c r="M453" t="s">
        <v>105</v>
      </c>
      <c r="N453" t="s">
        <v>2095</v>
      </c>
      <c r="P453" t="s">
        <v>772</v>
      </c>
      <c r="R453" t="s">
        <v>112</v>
      </c>
      <c r="S453" t="s">
        <v>635</v>
      </c>
      <c r="V453">
        <v>2019</v>
      </c>
      <c r="X453" t="b">
        <f>IF(_xlfn.MAXIFS(Contact[Sequence],Contact[Full Name],Contact[[#This Row],[Full Name]],Contact[Season],Contact[[#This Row],[Season]])=Contact[[#This Row],[Sequence]],TRUE,FALSE)</f>
        <v>1</v>
      </c>
      <c r="Y453">
        <v>0</v>
      </c>
      <c r="Z453">
        <v>0</v>
      </c>
      <c r="AA453">
        <f>IF(Contact[[#This Row],[Latest]]=TRUE,_xlfn.XLOOKUP(Contact[[#This Row],[Final Decision]],Table3[Final Decision],Table3[Active],0),0)</f>
        <v>0</v>
      </c>
      <c r="AB453">
        <f>SUMIF(Contact[Full Name],Contact[[#This Row],[Full Name]],Contact[Active])</f>
        <v>0</v>
      </c>
    </row>
    <row r="454" spans="1:28">
      <c r="A454">
        <v>2</v>
      </c>
      <c r="B454" t="s">
        <v>198</v>
      </c>
      <c r="C454" t="s">
        <v>199</v>
      </c>
      <c r="E454" t="s">
        <v>2459</v>
      </c>
      <c r="F454" t="s">
        <v>95</v>
      </c>
      <c r="G454" t="s">
        <v>2100</v>
      </c>
      <c r="I454" s="1" t="s">
        <v>200</v>
      </c>
      <c r="J454" s="66" t="s">
        <v>2093</v>
      </c>
      <c r="L454" t="s">
        <v>2094</v>
      </c>
      <c r="M454" t="s">
        <v>185</v>
      </c>
      <c r="N454" t="s">
        <v>2095</v>
      </c>
      <c r="P454" t="s">
        <v>205</v>
      </c>
      <c r="R454" t="s">
        <v>112</v>
      </c>
      <c r="S454" t="s">
        <v>175</v>
      </c>
      <c r="V454">
        <v>2019</v>
      </c>
      <c r="X454" t="b">
        <f>IF(_xlfn.MAXIFS(Contact[Sequence],Contact[Full Name],Contact[[#This Row],[Full Name]],Contact[Season],Contact[[#This Row],[Season]])=Contact[[#This Row],[Sequence]],TRUE,FALSE)</f>
        <v>0</v>
      </c>
      <c r="Y454" t="s">
        <v>96</v>
      </c>
      <c r="Z454" t="s">
        <v>203</v>
      </c>
      <c r="AA454">
        <f>IF(Contact[[#This Row],[Latest]]=TRUE,_xlfn.XLOOKUP(Contact[[#This Row],[Final Decision]],Table3[Final Decision],Table3[Active],0),0)</f>
        <v>0</v>
      </c>
      <c r="AB454">
        <f>SUMIF(Contact[Full Name],Contact[[#This Row],[Full Name]],Contact[Active])</f>
        <v>0</v>
      </c>
    </row>
    <row r="455" spans="1:28">
      <c r="A455">
        <v>2</v>
      </c>
      <c r="B455" t="s">
        <v>297</v>
      </c>
      <c r="C455" t="s">
        <v>298</v>
      </c>
      <c r="E455" t="s">
        <v>2491</v>
      </c>
      <c r="F455" t="s">
        <v>95</v>
      </c>
      <c r="G455" t="s">
        <v>2100</v>
      </c>
      <c r="I455" s="1" t="s">
        <v>299</v>
      </c>
      <c r="J455" s="66" t="s">
        <v>300</v>
      </c>
      <c r="L455" t="s">
        <v>2094</v>
      </c>
      <c r="M455" t="s">
        <v>90</v>
      </c>
      <c r="N455" t="s">
        <v>2095</v>
      </c>
      <c r="P455" t="s">
        <v>304</v>
      </c>
      <c r="R455" t="s">
        <v>112</v>
      </c>
      <c r="S455" t="s">
        <v>296</v>
      </c>
      <c r="V455">
        <v>2019</v>
      </c>
      <c r="X455" t="b">
        <f>IF(_xlfn.MAXIFS(Contact[Sequence],Contact[Full Name],Contact[[#This Row],[Full Name]],Contact[Season],Contact[[#This Row],[Season]])=Contact[[#This Row],[Sequence]],TRUE,FALSE)</f>
        <v>0</v>
      </c>
      <c r="Y455" t="s">
        <v>96</v>
      </c>
      <c r="Z455" t="s">
        <v>203</v>
      </c>
      <c r="AA455">
        <f>IF(Contact[[#This Row],[Latest]]=TRUE,_xlfn.XLOOKUP(Contact[[#This Row],[Final Decision]],Table3[Final Decision],Table3[Active],0),0)</f>
        <v>0</v>
      </c>
      <c r="AB455">
        <f>SUMIF(Contact[Full Name],Contact[[#This Row],[Full Name]],Contact[Active])</f>
        <v>0</v>
      </c>
    </row>
    <row r="456" spans="1:28">
      <c r="A456">
        <v>3</v>
      </c>
      <c r="B456" t="s">
        <v>287</v>
      </c>
      <c r="C456" t="s">
        <v>186</v>
      </c>
      <c r="E456" t="s">
        <v>2153</v>
      </c>
      <c r="F456" t="s">
        <v>102</v>
      </c>
      <c r="G456" t="s">
        <v>2100</v>
      </c>
      <c r="I456" s="1" t="s">
        <v>288</v>
      </c>
      <c r="J456" s="66" t="s">
        <v>289</v>
      </c>
      <c r="L456" t="s">
        <v>2094</v>
      </c>
      <c r="M456" t="s">
        <v>123</v>
      </c>
      <c r="N456" t="s">
        <v>2095</v>
      </c>
      <c r="P456" t="s">
        <v>295</v>
      </c>
      <c r="V456">
        <v>2019</v>
      </c>
      <c r="X456" t="b">
        <f>IF(_xlfn.MAXIFS(Contact[Sequence],Contact[Full Name],Contact[[#This Row],[Full Name]],Contact[Season],Contact[[#This Row],[Season]])=Contact[[#This Row],[Sequence]],TRUE,FALSE)</f>
        <v>1</v>
      </c>
      <c r="Y456" t="s">
        <v>96</v>
      </c>
      <c r="Z456" t="s">
        <v>290</v>
      </c>
      <c r="AA456">
        <f>IF(Contact[[#This Row],[Latest]]=TRUE,_xlfn.XLOOKUP(Contact[[#This Row],[Final Decision]],Table3[Final Decision],Table3[Active],0),0)</f>
        <v>0</v>
      </c>
      <c r="AB456">
        <f>SUMIF(Contact[Full Name],Contact[[#This Row],[Full Name]],Contact[Active])</f>
        <v>0</v>
      </c>
    </row>
    <row r="457" spans="1:28">
      <c r="A457">
        <v>3</v>
      </c>
      <c r="B457" t="s">
        <v>701</v>
      </c>
      <c r="C457" t="s">
        <v>702</v>
      </c>
      <c r="E457" t="s">
        <v>2214</v>
      </c>
      <c r="F457" t="s">
        <v>95</v>
      </c>
      <c r="G457" t="s">
        <v>2100</v>
      </c>
      <c r="I457" s="1" t="s">
        <v>703</v>
      </c>
      <c r="J457" s="66" t="s">
        <v>704</v>
      </c>
      <c r="L457" t="s">
        <v>2094</v>
      </c>
      <c r="M457" t="s">
        <v>90</v>
      </c>
      <c r="N457" t="s">
        <v>2095</v>
      </c>
      <c r="P457" t="s">
        <v>710</v>
      </c>
      <c r="V457">
        <v>2019</v>
      </c>
      <c r="X457" t="b">
        <f>IF(_xlfn.MAXIFS(Contact[Sequence],Contact[Full Name],Contact[[#This Row],[Full Name]],Contact[Season],Contact[[#This Row],[Season]])=Contact[[#This Row],[Sequence]],TRUE,FALSE)</f>
        <v>1</v>
      </c>
      <c r="Y457" t="s">
        <v>96</v>
      </c>
      <c r="Z457" t="s">
        <v>707</v>
      </c>
      <c r="AA457">
        <f>IF(Contact[[#This Row],[Latest]]=TRUE,_xlfn.XLOOKUP(Contact[[#This Row],[Final Decision]],Table3[Final Decision],Table3[Active],0),0)</f>
        <v>0</v>
      </c>
      <c r="AB457">
        <f>SUMIF(Contact[Full Name],Contact[[#This Row],[Full Name]],Contact[Active])</f>
        <v>0</v>
      </c>
    </row>
    <row r="458" spans="1:28">
      <c r="A458">
        <v>3</v>
      </c>
      <c r="B458" t="s">
        <v>198</v>
      </c>
      <c r="C458" t="s">
        <v>199</v>
      </c>
      <c r="E458" t="s">
        <v>2459</v>
      </c>
      <c r="F458" t="s">
        <v>98</v>
      </c>
      <c r="G458" t="s">
        <v>2100</v>
      </c>
      <c r="I458" s="1" t="s">
        <v>200</v>
      </c>
      <c r="J458" s="66" t="s">
        <v>2093</v>
      </c>
      <c r="L458" t="s">
        <v>2094</v>
      </c>
      <c r="M458" t="s">
        <v>185</v>
      </c>
      <c r="N458" t="s">
        <v>2095</v>
      </c>
      <c r="P458" t="s">
        <v>206</v>
      </c>
      <c r="V458">
        <v>2019</v>
      </c>
      <c r="X458" t="b">
        <f>IF(_xlfn.MAXIFS(Contact[Sequence],Contact[Full Name],Contact[[#This Row],[Full Name]],Contact[Season],Contact[[#This Row],[Season]])=Contact[[#This Row],[Sequence]],TRUE,FALSE)</f>
        <v>1</v>
      </c>
      <c r="Y458" t="s">
        <v>96</v>
      </c>
      <c r="Z458" t="s">
        <v>203</v>
      </c>
      <c r="AA458">
        <f>IF(Contact[[#This Row],[Latest]]=TRUE,_xlfn.XLOOKUP(Contact[[#This Row],[Final Decision]],Table3[Final Decision],Table3[Active],0),0)</f>
        <v>0</v>
      </c>
      <c r="AB458">
        <f>SUMIF(Contact[Full Name],Contact[[#This Row],[Full Name]],Contact[Active])</f>
        <v>0</v>
      </c>
    </row>
    <row r="459" spans="1:28">
      <c r="A459">
        <v>3</v>
      </c>
      <c r="B459" t="s">
        <v>297</v>
      </c>
      <c r="C459" t="s">
        <v>298</v>
      </c>
      <c r="E459" t="s">
        <v>2491</v>
      </c>
      <c r="F459" t="s">
        <v>98</v>
      </c>
      <c r="G459" t="s">
        <v>2100</v>
      </c>
      <c r="I459" s="1" t="s">
        <v>299</v>
      </c>
      <c r="J459" s="66" t="s">
        <v>300</v>
      </c>
      <c r="L459" t="s">
        <v>2094</v>
      </c>
      <c r="M459" t="s">
        <v>90</v>
      </c>
      <c r="N459" t="s">
        <v>2095</v>
      </c>
      <c r="P459" t="s">
        <v>305</v>
      </c>
      <c r="V459">
        <v>2019</v>
      </c>
      <c r="X459" t="b">
        <f>IF(_xlfn.MAXIFS(Contact[Sequence],Contact[Full Name],Contact[[#This Row],[Full Name]],Contact[Season],Contact[[#This Row],[Season]])=Contact[[#This Row],[Sequence]],TRUE,FALSE)</f>
        <v>1</v>
      </c>
      <c r="Y459" t="s">
        <v>96</v>
      </c>
      <c r="Z459" t="s">
        <v>203</v>
      </c>
      <c r="AA459">
        <f>IF(Contact[[#This Row],[Latest]]=TRUE,_xlfn.XLOOKUP(Contact[[#This Row],[Final Decision]],Table3[Final Decision],Table3[Active],0),0)</f>
        <v>0</v>
      </c>
      <c r="AB459">
        <f>SUMIF(Contact[Full Name],Contact[[#This Row],[Full Name]],Contact[Active])</f>
        <v>0</v>
      </c>
    </row>
    <row r="460" spans="1:28">
      <c r="A460">
        <v>1</v>
      </c>
      <c r="B460" t="s">
        <v>106</v>
      </c>
      <c r="C460" t="s">
        <v>107</v>
      </c>
      <c r="E460" t="str">
        <f>B460&amp;" "&amp;C460</f>
        <v>Kanika Pasricha</v>
      </c>
      <c r="F460" t="s">
        <v>95</v>
      </c>
      <c r="G460" t="s">
        <v>2092</v>
      </c>
      <c r="H460" s="39">
        <v>44431</v>
      </c>
      <c r="I460" s="1" t="s">
        <v>108</v>
      </c>
      <c r="J460" s="66" t="s">
        <v>2515</v>
      </c>
      <c r="K460" t="s">
        <v>2516</v>
      </c>
      <c r="L460" t="s">
        <v>2094</v>
      </c>
      <c r="M460" t="s">
        <v>105</v>
      </c>
      <c r="N460" t="s">
        <v>2095</v>
      </c>
      <c r="O460" t="s">
        <v>2517</v>
      </c>
      <c r="P460" t="s">
        <v>2518</v>
      </c>
      <c r="Q460" t="s">
        <v>2511</v>
      </c>
      <c r="R460" t="s">
        <v>2519</v>
      </c>
      <c r="T460" t="s">
        <v>98</v>
      </c>
      <c r="U460" s="97">
        <v>44431.712978124997</v>
      </c>
      <c r="V460">
        <v>2021</v>
      </c>
      <c r="W460" t="s">
        <v>2079</v>
      </c>
      <c r="X460" t="b">
        <f>IF(_xlfn.MAXIFS(Contact[Sequence],Contact[Full Name],Contact[[#This Row],[Full Name]],Contact[Season],Contact[[#This Row],[Season]])=Contact[[#This Row],[Sequence]],TRUE,FALSE)</f>
        <v>0</v>
      </c>
      <c r="Y460">
        <v>0</v>
      </c>
      <c r="Z460" t="s">
        <v>97</v>
      </c>
      <c r="AA460">
        <f>IF(Contact[[#This Row],[Latest]]=TRUE,_xlfn.XLOOKUP(Contact[[#This Row],[Final Decision]],Table3[Final Decision],Table3[Active],0),0)</f>
        <v>0</v>
      </c>
      <c r="AB460">
        <f>SUMIF(Contact[Full Name],Contact[[#This Row],[Full Name]],Contact[Active])</f>
        <v>1</v>
      </c>
    </row>
    <row r="461" spans="1:28">
      <c r="A461">
        <v>1</v>
      </c>
      <c r="B461" t="s">
        <v>114</v>
      </c>
      <c r="C461" t="s">
        <v>115</v>
      </c>
      <c r="D461">
        <v>0</v>
      </c>
      <c r="E461" t="s">
        <v>2520</v>
      </c>
      <c r="F461" t="s">
        <v>95</v>
      </c>
      <c r="G461" t="s">
        <v>2521</v>
      </c>
      <c r="I461" s="1" t="s">
        <v>116</v>
      </c>
      <c r="J461" s="66" t="s">
        <v>117</v>
      </c>
      <c r="K461" t="s">
        <v>2522</v>
      </c>
      <c r="L461" t="s">
        <v>2094</v>
      </c>
      <c r="M461" t="s">
        <v>264</v>
      </c>
      <c r="N461" t="s">
        <v>2095</v>
      </c>
      <c r="O461" t="s">
        <v>2523</v>
      </c>
      <c r="P461">
        <v>0</v>
      </c>
      <c r="T461" t="s">
        <v>98</v>
      </c>
      <c r="U461" s="97">
        <f ca="1">NOW()</f>
        <v>44749.467283101854</v>
      </c>
      <c r="V461">
        <v>2021</v>
      </c>
      <c r="W461" t="s">
        <v>2524</v>
      </c>
      <c r="X461" t="b">
        <f>IF(_xlfn.MAXIFS(Contact[Sequence],Contact[Full Name],Contact[[#This Row],[Full Name]],Contact[Season],Contact[[#This Row],[Season]])=Contact[[#This Row],[Sequence]],TRUE,FALSE)</f>
        <v>0</v>
      </c>
      <c r="Y461">
        <v>0</v>
      </c>
      <c r="Z461" t="s">
        <v>97</v>
      </c>
      <c r="AA461">
        <f>IF(Contact[[#This Row],[Latest]]=TRUE,_xlfn.XLOOKUP(Contact[[#This Row],[Final Decision]],Table3[Final Decision],Table3[Active],0),0)</f>
        <v>0</v>
      </c>
      <c r="AB461">
        <f>SUMIF(Contact[Full Name],Contact[[#This Row],[Full Name]],Contact[Active])</f>
        <v>0</v>
      </c>
    </row>
    <row r="462" spans="1:28">
      <c r="A462">
        <v>2</v>
      </c>
      <c r="B462" t="s">
        <v>114</v>
      </c>
      <c r="C462" t="s">
        <v>115</v>
      </c>
      <c r="D462">
        <v>0</v>
      </c>
      <c r="E462" t="s">
        <v>2520</v>
      </c>
      <c r="F462" t="s">
        <v>98</v>
      </c>
      <c r="G462" t="s">
        <v>11</v>
      </c>
      <c r="H462" s="39">
        <v>44432</v>
      </c>
      <c r="I462" s="1" t="s">
        <v>116</v>
      </c>
      <c r="J462" s="66" t="s">
        <v>117</v>
      </c>
      <c r="K462" t="s">
        <v>2522</v>
      </c>
      <c r="L462" t="s">
        <v>2094</v>
      </c>
      <c r="M462" t="s">
        <v>264</v>
      </c>
      <c r="N462" t="s">
        <v>2095</v>
      </c>
      <c r="O462" t="s">
        <v>2523</v>
      </c>
      <c r="P462" t="s">
        <v>2525</v>
      </c>
      <c r="Q462" t="s">
        <v>2100</v>
      </c>
      <c r="R462" t="s">
        <v>2519</v>
      </c>
      <c r="S462" t="s">
        <v>2127</v>
      </c>
      <c r="T462" t="s">
        <v>98</v>
      </c>
      <c r="U462" s="97">
        <v>44432.358189351849</v>
      </c>
      <c r="V462">
        <v>2021</v>
      </c>
      <c r="W462" t="s">
        <v>2079</v>
      </c>
      <c r="X462" t="b">
        <f>IF(_xlfn.MAXIFS(Contact[Sequence],Contact[Full Name],Contact[[#This Row],[Full Name]],Contact[Season],Contact[[#This Row],[Season]])=Contact[[#This Row],[Sequence]],TRUE,FALSE)</f>
        <v>0</v>
      </c>
      <c r="Y462">
        <v>0</v>
      </c>
      <c r="Z462" t="s">
        <v>97</v>
      </c>
      <c r="AA462">
        <f>IF(Contact[[#This Row],[Latest]]=TRUE,_xlfn.XLOOKUP(Contact[[#This Row],[Final Decision]],Table3[Final Decision],Table3[Active],0),0)</f>
        <v>0</v>
      </c>
      <c r="AB462">
        <f>SUMIF(Contact[Full Name],Contact[[#This Row],[Full Name]],Contact[Active])</f>
        <v>0</v>
      </c>
    </row>
    <row r="463" spans="1:28">
      <c r="A463">
        <v>1</v>
      </c>
      <c r="B463" t="s">
        <v>124</v>
      </c>
      <c r="C463" t="s">
        <v>125</v>
      </c>
      <c r="D463" t="s">
        <v>2526</v>
      </c>
      <c r="E463" t="str">
        <f>B463&amp;" "&amp;C463</f>
        <v>Muhammad Hasan Shakil</v>
      </c>
      <c r="F463" t="s">
        <v>95</v>
      </c>
      <c r="G463" t="s">
        <v>2521</v>
      </c>
      <c r="H463" s="39">
        <v>44432</v>
      </c>
      <c r="I463" s="1" t="s">
        <v>126</v>
      </c>
      <c r="J463" s="77" t="s">
        <v>127</v>
      </c>
      <c r="K463" t="s">
        <v>2527</v>
      </c>
      <c r="L463" t="s">
        <v>2094</v>
      </c>
      <c r="M463" t="s">
        <v>264</v>
      </c>
      <c r="N463" t="s">
        <v>1070</v>
      </c>
      <c r="O463" t="s">
        <v>2528</v>
      </c>
      <c r="T463" t="s">
        <v>98</v>
      </c>
      <c r="U463" s="97">
        <v>44432.478607060184</v>
      </c>
      <c r="V463">
        <v>2021</v>
      </c>
      <c r="W463" t="s">
        <v>2524</v>
      </c>
      <c r="X463" t="b">
        <f>IF(_xlfn.MAXIFS(Contact[Sequence],Contact[Full Name],Contact[[#This Row],[Full Name]],Contact[Season],Contact[[#This Row],[Season]])=Contact[[#This Row],[Sequence]],TRUE,FALSE)</f>
        <v>0</v>
      </c>
      <c r="Y463">
        <v>0</v>
      </c>
      <c r="Z463" t="s">
        <v>97</v>
      </c>
      <c r="AA463">
        <f>IF(Contact[[#This Row],[Latest]]=TRUE,_xlfn.XLOOKUP(Contact[[#This Row],[Final Decision]],Table3[Final Decision],Table3[Active],0),0)</f>
        <v>0</v>
      </c>
      <c r="AB463">
        <f>SUMIF(Contact[Full Name],Contact[[#This Row],[Full Name]],Contact[Active])</f>
        <v>0</v>
      </c>
    </row>
    <row r="464" spans="1:28">
      <c r="A464">
        <v>2</v>
      </c>
      <c r="B464" t="s">
        <v>106</v>
      </c>
      <c r="C464" t="s">
        <v>107</v>
      </c>
      <c r="D464">
        <v>0</v>
      </c>
      <c r="E464" t="s">
        <v>2529</v>
      </c>
      <c r="F464" t="s">
        <v>2524</v>
      </c>
      <c r="G464" t="s">
        <v>2100</v>
      </c>
      <c r="H464" s="39">
        <v>44432</v>
      </c>
      <c r="I464" s="1" t="s">
        <v>108</v>
      </c>
      <c r="J464" s="66" t="s">
        <v>2515</v>
      </c>
      <c r="K464" t="s">
        <v>2516</v>
      </c>
      <c r="L464" t="s">
        <v>2094</v>
      </c>
      <c r="M464" t="s">
        <v>105</v>
      </c>
      <c r="N464" t="s">
        <v>2095</v>
      </c>
      <c r="O464" t="s">
        <v>2517</v>
      </c>
      <c r="P464" t="s">
        <v>2530</v>
      </c>
      <c r="Q464" t="s">
        <v>2511</v>
      </c>
      <c r="R464" t="s">
        <v>2519</v>
      </c>
      <c r="S464" t="s">
        <v>2127</v>
      </c>
      <c r="T464" t="s">
        <v>2524</v>
      </c>
      <c r="U464" s="97">
        <v>44432.723727662036</v>
      </c>
      <c r="V464">
        <v>2021</v>
      </c>
      <c r="W464" t="s">
        <v>2079</v>
      </c>
      <c r="X464" t="b">
        <f>IF(_xlfn.MAXIFS(Contact[Sequence],Contact[Full Name],Contact[[#This Row],[Full Name]],Contact[Season],Contact[[#This Row],[Season]])=Contact[[#This Row],[Sequence]],TRUE,FALSE)</f>
        <v>1</v>
      </c>
      <c r="Y464">
        <v>0</v>
      </c>
      <c r="Z464" t="s">
        <v>97</v>
      </c>
      <c r="AA464">
        <f>IF(Contact[[#This Row],[Latest]]=TRUE,_xlfn.XLOOKUP(Contact[[#This Row],[Final Decision]],Table3[Final Decision],Table3[Active],0),0)</f>
        <v>1</v>
      </c>
      <c r="AB464">
        <f>SUMIF(Contact[Full Name],Contact[[#This Row],[Full Name]],Contact[Active])</f>
        <v>1</v>
      </c>
    </row>
    <row r="465" spans="1:28">
      <c r="A465">
        <v>3</v>
      </c>
      <c r="B465" t="s">
        <v>114</v>
      </c>
      <c r="C465" t="s">
        <v>115</v>
      </c>
      <c r="D465">
        <v>0</v>
      </c>
      <c r="E465" t="s">
        <v>2520</v>
      </c>
      <c r="F465" t="s">
        <v>2524</v>
      </c>
      <c r="G465" t="s">
        <v>2100</v>
      </c>
      <c r="H465" s="39">
        <v>44433</v>
      </c>
      <c r="I465" s="1" t="s">
        <v>116</v>
      </c>
      <c r="J465" s="66" t="s">
        <v>117</v>
      </c>
      <c r="K465" t="s">
        <v>2522</v>
      </c>
      <c r="L465" t="s">
        <v>2094</v>
      </c>
      <c r="M465" t="s">
        <v>264</v>
      </c>
      <c r="N465" t="s">
        <v>2095</v>
      </c>
      <c r="O465" t="s">
        <v>2523</v>
      </c>
      <c r="P465" t="s">
        <v>2531</v>
      </c>
      <c r="Q465" t="s">
        <v>2511</v>
      </c>
      <c r="R465" t="s">
        <v>2519</v>
      </c>
      <c r="S465" t="s">
        <v>2127</v>
      </c>
      <c r="T465" t="s">
        <v>2524</v>
      </c>
      <c r="U465" s="97">
        <v>44433.866860416667</v>
      </c>
      <c r="V465">
        <v>2021</v>
      </c>
      <c r="W465" t="s">
        <v>2079</v>
      </c>
      <c r="X465" t="b">
        <f>IF(_xlfn.MAXIFS(Contact[Sequence],Contact[Full Name],Contact[[#This Row],[Full Name]],Contact[Season],Contact[[#This Row],[Season]])=Contact[[#This Row],[Sequence]],TRUE,FALSE)</f>
        <v>0</v>
      </c>
      <c r="Y465">
        <v>0</v>
      </c>
      <c r="Z465" t="s">
        <v>97</v>
      </c>
      <c r="AA465">
        <f>IF(Contact[[#This Row],[Latest]]=TRUE,_xlfn.XLOOKUP(Contact[[#This Row],[Final Decision]],Table3[Final Decision],Table3[Active],0),0)</f>
        <v>0</v>
      </c>
      <c r="AB465">
        <f>SUMIF(Contact[Full Name],Contact[[#This Row],[Full Name]],Contact[Active])</f>
        <v>0</v>
      </c>
    </row>
    <row r="466" spans="1:28">
      <c r="A466">
        <v>1</v>
      </c>
      <c r="B466" t="s">
        <v>2532</v>
      </c>
      <c r="C466" t="s">
        <v>2533</v>
      </c>
      <c r="E466" t="str">
        <f>B466&amp;" "&amp;C466</f>
        <v>Jayant Sewak</v>
      </c>
      <c r="F466" t="s">
        <v>2524</v>
      </c>
      <c r="G466" t="s">
        <v>2521</v>
      </c>
      <c r="H466" s="39">
        <v>44434</v>
      </c>
      <c r="I466" s="1" t="s">
        <v>2534</v>
      </c>
      <c r="J466" s="77" t="s">
        <v>2535</v>
      </c>
      <c r="K466" t="s">
        <v>2536</v>
      </c>
      <c r="L466" t="s">
        <v>2094</v>
      </c>
      <c r="M466" t="s">
        <v>105</v>
      </c>
      <c r="N466" t="s">
        <v>1070</v>
      </c>
      <c r="O466" t="s">
        <v>2528</v>
      </c>
      <c r="V466">
        <v>2021</v>
      </c>
      <c r="X466" t="b">
        <f>IF(_xlfn.MAXIFS(Contact[Sequence],Contact[Full Name],Contact[[#This Row],[Full Name]],Contact[Season],Contact[[#This Row],[Season]])=Contact[[#This Row],[Sequence]],TRUE,FALSE)</f>
        <v>1</v>
      </c>
      <c r="Y466" t="s">
        <v>270</v>
      </c>
      <c r="Z466" t="s">
        <v>2537</v>
      </c>
      <c r="AA466">
        <f>IF(Contact[[#This Row],[Latest]]=TRUE,_xlfn.XLOOKUP(Contact[[#This Row],[Final Decision]],Table3[Final Decision],Table3[Active],0),0)</f>
        <v>0</v>
      </c>
      <c r="AB466">
        <f>SUMIF(Contact[Full Name],Contact[[#This Row],[Full Name]],Contact[Active])</f>
        <v>0</v>
      </c>
    </row>
    <row r="467" spans="1:28">
      <c r="A467">
        <v>2</v>
      </c>
      <c r="B467" t="s">
        <v>124</v>
      </c>
      <c r="C467" t="s">
        <v>125</v>
      </c>
      <c r="D467" t="s">
        <v>2526</v>
      </c>
      <c r="E467" t="s">
        <v>2538</v>
      </c>
      <c r="F467" t="s">
        <v>2524</v>
      </c>
      <c r="G467" t="s">
        <v>2100</v>
      </c>
      <c r="H467" s="39">
        <v>44435</v>
      </c>
      <c r="I467" s="1" t="s">
        <v>126</v>
      </c>
      <c r="J467" s="66" t="s">
        <v>127</v>
      </c>
      <c r="K467" t="s">
        <v>2527</v>
      </c>
      <c r="L467" t="s">
        <v>2094</v>
      </c>
      <c r="M467" t="s">
        <v>264</v>
      </c>
      <c r="N467" t="s">
        <v>1070</v>
      </c>
      <c r="O467" t="s">
        <v>2528</v>
      </c>
      <c r="P467" t="s">
        <v>2539</v>
      </c>
      <c r="Q467" t="s">
        <v>2511</v>
      </c>
      <c r="R467" t="s">
        <v>2519</v>
      </c>
      <c r="S467" t="s">
        <v>112</v>
      </c>
      <c r="T467" t="s">
        <v>2524</v>
      </c>
      <c r="U467" s="97">
        <v>44435.39096261574</v>
      </c>
      <c r="V467">
        <v>2021</v>
      </c>
      <c r="W467" t="s">
        <v>2079</v>
      </c>
      <c r="X467" t="b">
        <f>IF(_xlfn.MAXIFS(Contact[Sequence],Contact[Full Name],Contact[[#This Row],[Full Name]],Contact[Season],Contact[[#This Row],[Season]])=Contact[[#This Row],[Sequence]],TRUE,FALSE)</f>
        <v>1</v>
      </c>
      <c r="Y467">
        <v>0</v>
      </c>
      <c r="Z467" t="s">
        <v>97</v>
      </c>
      <c r="AA467">
        <f>IF(Contact[[#This Row],[Latest]]=TRUE,_xlfn.XLOOKUP(Contact[[#This Row],[Final Decision]],Table3[Final Decision],Table3[Active],0),0)</f>
        <v>0</v>
      </c>
      <c r="AB467">
        <f>SUMIF(Contact[Full Name],Contact[[#This Row],[Full Name]],Contact[Active])</f>
        <v>0</v>
      </c>
    </row>
    <row r="468" spans="1:28">
      <c r="A468">
        <v>1</v>
      </c>
      <c r="B468" t="s">
        <v>2540</v>
      </c>
      <c r="C468" t="s">
        <v>2541</v>
      </c>
      <c r="E468" t="str">
        <f>B468&amp;" "&amp;C468</f>
        <v>Debjit Das</v>
      </c>
      <c r="F468" t="s">
        <v>2524</v>
      </c>
      <c r="G468" t="s">
        <v>2521</v>
      </c>
      <c r="H468" s="39">
        <v>44440</v>
      </c>
      <c r="I468" s="1" t="s">
        <v>2542</v>
      </c>
      <c r="J468" s="66"/>
      <c r="K468" t="s">
        <v>2536</v>
      </c>
      <c r="L468" t="s">
        <v>2094</v>
      </c>
      <c r="M468" t="s">
        <v>105</v>
      </c>
      <c r="N468" t="s">
        <v>2095</v>
      </c>
      <c r="O468" t="s">
        <v>2543</v>
      </c>
      <c r="V468">
        <v>2021</v>
      </c>
      <c r="X468" t="b">
        <f>IF(_xlfn.MAXIFS(Contact[Sequence],Contact[Full Name],Contact[[#This Row],[Full Name]],Contact[Season],Contact[[#This Row],[Season]])=Contact[[#This Row],[Sequence]],TRUE,FALSE)</f>
        <v>0</v>
      </c>
      <c r="Y468" t="s">
        <v>270</v>
      </c>
      <c r="Z468" t="s">
        <v>2537</v>
      </c>
      <c r="AA468">
        <f>IF(Contact[[#This Row],[Latest]]=TRUE,_xlfn.XLOOKUP(Contact[[#This Row],[Final Decision]],Table3[Final Decision],Table3[Active],0),0)</f>
        <v>0</v>
      </c>
      <c r="AB468">
        <f>SUMIF(Contact[Full Name],Contact[[#This Row],[Full Name]],Contact[Active])</f>
        <v>0</v>
      </c>
    </row>
    <row r="469" spans="1:28">
      <c r="A469">
        <v>2</v>
      </c>
      <c r="B469" t="s">
        <v>2540</v>
      </c>
      <c r="C469" t="s">
        <v>2541</v>
      </c>
      <c r="D469">
        <v>0</v>
      </c>
      <c r="E469" t="s">
        <v>2544</v>
      </c>
      <c r="F469" t="s">
        <v>2524</v>
      </c>
      <c r="G469" t="s">
        <v>2100</v>
      </c>
      <c r="H469" s="39">
        <v>44441</v>
      </c>
      <c r="I469" s="1" t="s">
        <v>2542</v>
      </c>
      <c r="J469" s="66"/>
      <c r="K469" t="s">
        <v>2536</v>
      </c>
      <c r="L469" t="s">
        <v>2094</v>
      </c>
      <c r="M469" t="s">
        <v>105</v>
      </c>
      <c r="N469" t="s">
        <v>2095</v>
      </c>
      <c r="O469" t="s">
        <v>2543</v>
      </c>
      <c r="P469" t="s">
        <v>2545</v>
      </c>
      <c r="Q469" t="s">
        <v>2100</v>
      </c>
      <c r="R469" t="s">
        <v>2519</v>
      </c>
      <c r="S469" t="s">
        <v>2127</v>
      </c>
      <c r="T469" t="s">
        <v>2524</v>
      </c>
      <c r="U469" s="97">
        <v>44441.705715856478</v>
      </c>
      <c r="V469">
        <v>2021</v>
      </c>
      <c r="W469" t="s">
        <v>2524</v>
      </c>
      <c r="X469" t="b">
        <f>IF(_xlfn.MAXIFS(Contact[Sequence],Contact[Full Name],Contact[[#This Row],[Full Name]],Contact[Season],Contact[[#This Row],[Season]])=Contact[[#This Row],[Sequence]],TRUE,FALSE)</f>
        <v>0</v>
      </c>
      <c r="Y469" t="s">
        <v>270</v>
      </c>
      <c r="Z469" t="s">
        <v>2537</v>
      </c>
      <c r="AA469">
        <f>IF(Contact[[#This Row],[Latest]]=TRUE,_xlfn.XLOOKUP(Contact[[#This Row],[Final Decision]],Table3[Final Decision],Table3[Active],0),0)</f>
        <v>0</v>
      </c>
      <c r="AB469">
        <f>SUMIF(Contact[Full Name],Contact[[#This Row],[Full Name]],Contact[Active])</f>
        <v>0</v>
      </c>
    </row>
    <row r="470" spans="1:28">
      <c r="A470">
        <v>3</v>
      </c>
      <c r="B470" t="s">
        <v>2540</v>
      </c>
      <c r="C470" t="s">
        <v>2541</v>
      </c>
      <c r="D470">
        <v>0</v>
      </c>
      <c r="E470" t="s">
        <v>2544</v>
      </c>
      <c r="F470" t="s">
        <v>2524</v>
      </c>
      <c r="G470" t="s">
        <v>2100</v>
      </c>
      <c r="H470" s="39">
        <v>44447</v>
      </c>
      <c r="I470" s="1" t="s">
        <v>2542</v>
      </c>
      <c r="J470" s="66"/>
      <c r="K470" t="s">
        <v>2536</v>
      </c>
      <c r="L470" t="s">
        <v>2094</v>
      </c>
      <c r="M470" t="s">
        <v>105</v>
      </c>
      <c r="N470" t="s">
        <v>2095</v>
      </c>
      <c r="O470" t="s">
        <v>2543</v>
      </c>
      <c r="P470" t="s">
        <v>2546</v>
      </c>
      <c r="Q470" t="s">
        <v>2547</v>
      </c>
      <c r="R470" t="s">
        <v>2548</v>
      </c>
      <c r="S470" t="s">
        <v>112</v>
      </c>
      <c r="T470" t="s">
        <v>2524</v>
      </c>
      <c r="U470" s="97">
        <v>44447.612799884257</v>
      </c>
      <c r="V470">
        <v>2021</v>
      </c>
      <c r="W470" t="s">
        <v>2079</v>
      </c>
      <c r="X470" t="b">
        <f>IF(_xlfn.MAXIFS(Contact[Sequence],Contact[Full Name],Contact[[#This Row],[Full Name]],Contact[Season],Contact[[#This Row],[Season]])=Contact[[#This Row],[Sequence]],TRUE,FALSE)</f>
        <v>1</v>
      </c>
      <c r="Y470" t="s">
        <v>270</v>
      </c>
      <c r="Z470" t="s">
        <v>2537</v>
      </c>
      <c r="AA470">
        <f>IF(Contact[[#This Row],[Latest]]=TRUE,_xlfn.XLOOKUP(Contact[[#This Row],[Final Decision]],Table3[Final Decision],Table3[Active],0),0)</f>
        <v>0</v>
      </c>
      <c r="AB470">
        <f>SUMIF(Contact[Full Name],Contact[[#This Row],[Full Name]],Contact[Active])</f>
        <v>0</v>
      </c>
    </row>
    <row r="471" spans="1:28">
      <c r="A471">
        <v>4</v>
      </c>
      <c r="B471" t="s">
        <v>114</v>
      </c>
      <c r="C471" t="s">
        <v>115</v>
      </c>
      <c r="D471">
        <v>0</v>
      </c>
      <c r="E471" t="s">
        <v>2520</v>
      </c>
      <c r="F471" t="s">
        <v>2079</v>
      </c>
      <c r="G471" t="s">
        <v>2549</v>
      </c>
      <c r="H471" s="39">
        <v>44440</v>
      </c>
      <c r="I471" s="1" t="s">
        <v>116</v>
      </c>
      <c r="J471" s="66" t="s">
        <v>117</v>
      </c>
      <c r="K471" t="s">
        <v>2522</v>
      </c>
      <c r="L471" t="s">
        <v>2094</v>
      </c>
      <c r="M471" t="s">
        <v>264</v>
      </c>
      <c r="N471" t="s">
        <v>2095</v>
      </c>
      <c r="O471" t="s">
        <v>2523</v>
      </c>
      <c r="P471" t="s">
        <v>2550</v>
      </c>
      <c r="Q471" t="s">
        <v>2547</v>
      </c>
      <c r="R471" t="s">
        <v>2548</v>
      </c>
      <c r="S471" t="s">
        <v>112</v>
      </c>
      <c r="T471" t="s">
        <v>2079</v>
      </c>
      <c r="U471" s="97">
        <v>44448.448533449075</v>
      </c>
      <c r="V471">
        <v>2021</v>
      </c>
      <c r="W471" t="s">
        <v>2524</v>
      </c>
      <c r="X471" t="b">
        <f>IF(_xlfn.MAXIFS(Contact[Sequence],Contact[Full Name],Contact[[#This Row],[Full Name]],Contact[Season],Contact[[#This Row],[Season]])=Contact[[#This Row],[Sequence]],TRUE,FALSE)</f>
        <v>1</v>
      </c>
      <c r="Y471">
        <v>0</v>
      </c>
      <c r="Z471" t="s">
        <v>97</v>
      </c>
      <c r="AA471">
        <f>IF(Contact[[#This Row],[Latest]]=TRUE,_xlfn.XLOOKUP(Contact[[#This Row],[Final Decision]],Table3[Final Decision],Table3[Active],0),0)</f>
        <v>0</v>
      </c>
      <c r="AB471">
        <f>SUMIF(Contact[Full Name],Contact[[#This Row],[Full Name]],Contact[Active])</f>
        <v>0</v>
      </c>
    </row>
    <row r="472" spans="1:28">
      <c r="A472">
        <v>1</v>
      </c>
      <c r="B472" t="s">
        <v>2551</v>
      </c>
      <c r="C472" t="s">
        <v>2552</v>
      </c>
      <c r="E472" t="str">
        <f>B472&amp;" "&amp;C472</f>
        <v>Alessio Damato</v>
      </c>
      <c r="I472" s="1"/>
      <c r="J472" s="66"/>
      <c r="K472" t="s">
        <v>2553</v>
      </c>
      <c r="L472" t="s">
        <v>2094</v>
      </c>
      <c r="M472" t="s">
        <v>264</v>
      </c>
      <c r="N472" t="s">
        <v>2095</v>
      </c>
      <c r="T472" t="s">
        <v>2524</v>
      </c>
      <c r="V472">
        <v>2021</v>
      </c>
      <c r="W472" t="s">
        <v>2554</v>
      </c>
      <c r="X472" t="b">
        <f>IF(_xlfn.MAXIFS(Contact[Sequence],Contact[Full Name],Contact[[#This Row],[Full Name]],Contact[Season],Contact[[#This Row],[Season]])=Contact[[#This Row],[Sequence]],TRUE,FALSE)</f>
        <v>1</v>
      </c>
      <c r="Y472" t="s">
        <v>270</v>
      </c>
      <c r="Z472" t="s">
        <v>2537</v>
      </c>
      <c r="AA472">
        <f>IF(Contact[[#This Row],[Latest]]=TRUE,_xlfn.XLOOKUP(Contact[[#This Row],[Final Decision]],Table3[Final Decision],Table3[Active],0),0)</f>
        <v>0</v>
      </c>
      <c r="AB472">
        <f>SUMIF(Contact[Full Name],Contact[[#This Row],[Full Name]],Contact[Active])</f>
        <v>0</v>
      </c>
    </row>
    <row r="473" spans="1:28">
      <c r="A473">
        <v>1</v>
      </c>
      <c r="B473" t="s">
        <v>2555</v>
      </c>
      <c r="C473" t="s">
        <v>2556</v>
      </c>
      <c r="D473" t="s">
        <v>270</v>
      </c>
      <c r="E473" t="s">
        <v>2557</v>
      </c>
      <c r="F473" t="s">
        <v>2524</v>
      </c>
      <c r="G473" t="s">
        <v>2558</v>
      </c>
      <c r="H473" s="39">
        <v>44543</v>
      </c>
      <c r="I473" s="1" t="s">
        <v>2559</v>
      </c>
      <c r="J473" s="66">
        <v>2677525084</v>
      </c>
      <c r="K473" t="s">
        <v>2560</v>
      </c>
      <c r="L473" t="s">
        <v>2561</v>
      </c>
      <c r="M473" t="s">
        <v>105</v>
      </c>
      <c r="N473" t="s">
        <v>1070</v>
      </c>
      <c r="O473" t="s">
        <v>2528</v>
      </c>
      <c r="T473" t="s">
        <v>2524</v>
      </c>
      <c r="U473" s="97">
        <v>44543</v>
      </c>
      <c r="V473">
        <v>2022</v>
      </c>
      <c r="W473" t="s">
        <v>2524</v>
      </c>
      <c r="X473" t="b">
        <f>IF(_xlfn.MAXIFS(Contact[Sequence],Contact[Full Name],Contact[[#This Row],[Full Name]],Contact[Season],Contact[[#This Row],[Season]])=Contact[[#This Row],[Sequence]],TRUE,FALSE)</f>
        <v>0</v>
      </c>
      <c r="Y473" t="s">
        <v>270</v>
      </c>
      <c r="Z473" t="s">
        <v>2537</v>
      </c>
      <c r="AA473">
        <f>IF(Contact[[#This Row],[Latest]]=TRUE,_xlfn.XLOOKUP(Contact[[#This Row],[Final Decision]],Table3[Final Decision],Table3[Active],0),0)</f>
        <v>0</v>
      </c>
      <c r="AB473">
        <f>SUMIF(Contact[Full Name],Contact[[#This Row],[Full Name]],Contact[Active])</f>
        <v>0</v>
      </c>
    </row>
    <row r="474" spans="1:28">
      <c r="A474">
        <v>2</v>
      </c>
      <c r="B474" t="s">
        <v>2555</v>
      </c>
      <c r="C474" t="s">
        <v>2556</v>
      </c>
      <c r="D474" t="s">
        <v>2562</v>
      </c>
      <c r="E474" t="s">
        <v>2557</v>
      </c>
      <c r="F474" t="s">
        <v>2524</v>
      </c>
      <c r="G474" t="s">
        <v>11</v>
      </c>
      <c r="H474" s="39">
        <v>44543</v>
      </c>
      <c r="I474" s="1" t="s">
        <v>2559</v>
      </c>
      <c r="J474" s="66">
        <v>2677525084</v>
      </c>
      <c r="K474" t="s">
        <v>2560</v>
      </c>
      <c r="L474" t="s">
        <v>2561</v>
      </c>
      <c r="M474" t="s">
        <v>105</v>
      </c>
      <c r="N474" t="s">
        <v>1070</v>
      </c>
      <c r="O474" t="s">
        <v>2528</v>
      </c>
      <c r="P474" t="s">
        <v>2563</v>
      </c>
      <c r="Q474" t="s">
        <v>2100</v>
      </c>
      <c r="R474" t="s">
        <v>2519</v>
      </c>
      <c r="S474" t="s">
        <v>2127</v>
      </c>
      <c r="T474" t="s">
        <v>2524</v>
      </c>
      <c r="U474" s="97">
        <v>44543.664187499999</v>
      </c>
      <c r="V474">
        <v>2022</v>
      </c>
      <c r="W474" t="s">
        <v>2524</v>
      </c>
      <c r="X474" t="b">
        <f>IF(_xlfn.MAXIFS(Contact[Sequence],Contact[Full Name],Contact[[#This Row],[Full Name]],Contact[Season],Contact[[#This Row],[Season]])=Contact[[#This Row],[Sequence]],TRUE,FALSE)</f>
        <v>0</v>
      </c>
      <c r="Y474" t="s">
        <v>270</v>
      </c>
      <c r="Z474" t="s">
        <v>2537</v>
      </c>
      <c r="AA474">
        <f>IF(Contact[[#This Row],[Latest]]=TRUE,_xlfn.XLOOKUP(Contact[[#This Row],[Final Decision]],Table3[Final Decision],Table3[Active],0),0)</f>
        <v>0</v>
      </c>
      <c r="AB474">
        <f>SUMIF(Contact[Full Name],Contact[[#This Row],[Full Name]],Contact[Active])</f>
        <v>0</v>
      </c>
    </row>
    <row r="475" spans="1:28">
      <c r="A475">
        <v>1</v>
      </c>
      <c r="B475" t="s">
        <v>2564</v>
      </c>
      <c r="C475" t="s">
        <v>2565</v>
      </c>
      <c r="D475" t="s">
        <v>2562</v>
      </c>
      <c r="E475" t="s">
        <v>2566</v>
      </c>
      <c r="F475" t="s">
        <v>2079</v>
      </c>
      <c r="G475" t="s">
        <v>2558</v>
      </c>
      <c r="H475" s="39">
        <v>44544</v>
      </c>
      <c r="I475" s="1" t="s">
        <v>2567</v>
      </c>
      <c r="J475" s="66">
        <v>9795711543</v>
      </c>
      <c r="K475" t="s">
        <v>2568</v>
      </c>
      <c r="L475" t="s">
        <v>2561</v>
      </c>
      <c r="M475" t="s">
        <v>105</v>
      </c>
      <c r="N475" t="s">
        <v>1070</v>
      </c>
      <c r="O475" t="s">
        <v>2528</v>
      </c>
      <c r="P475" t="s">
        <v>2562</v>
      </c>
      <c r="Q475" t="s">
        <v>2100</v>
      </c>
      <c r="T475" t="s">
        <v>2079</v>
      </c>
      <c r="U475" s="97">
        <v>44544</v>
      </c>
      <c r="V475">
        <v>2022</v>
      </c>
      <c r="W475" t="s">
        <v>14</v>
      </c>
      <c r="X475" t="b">
        <f>IF(_xlfn.MAXIFS(Contact[Sequence],Contact[Full Name],Contact[[#This Row],[Full Name]],Contact[Season],Contact[[#This Row],[Season]])=Contact[[#This Row],[Sequence]],TRUE,FALSE)</f>
        <v>0</v>
      </c>
      <c r="Y475" t="s">
        <v>270</v>
      </c>
      <c r="Z475" t="s">
        <v>2537</v>
      </c>
      <c r="AA475">
        <f>IF(Contact[[#This Row],[Latest]]=TRUE,_xlfn.XLOOKUP(Contact[[#This Row],[Final Decision]],Table3[Final Decision],Table3[Active],0),0)</f>
        <v>0</v>
      </c>
      <c r="AB475">
        <f>SUMIF(Contact[Full Name],Contact[[#This Row],[Full Name]],Contact[Active])</f>
        <v>0</v>
      </c>
    </row>
    <row r="476" spans="1:28">
      <c r="A476">
        <v>1</v>
      </c>
      <c r="B476" t="s">
        <v>136</v>
      </c>
      <c r="C476" t="s">
        <v>137</v>
      </c>
      <c r="D476" t="s">
        <v>2569</v>
      </c>
      <c r="E476" t="s">
        <v>2489</v>
      </c>
      <c r="F476" t="s">
        <v>2079</v>
      </c>
      <c r="G476" t="s">
        <v>2558</v>
      </c>
      <c r="H476" s="39">
        <v>44545</v>
      </c>
      <c r="I476" s="1" t="s">
        <v>138</v>
      </c>
      <c r="J476" s="66">
        <v>8322898189</v>
      </c>
      <c r="K476" t="s">
        <v>2560</v>
      </c>
      <c r="L476" t="s">
        <v>2561</v>
      </c>
      <c r="M476" t="s">
        <v>105</v>
      </c>
      <c r="N476" t="s">
        <v>2095</v>
      </c>
      <c r="O476" t="s">
        <v>2570</v>
      </c>
      <c r="Q476" t="s">
        <v>2100</v>
      </c>
      <c r="T476" t="s">
        <v>2079</v>
      </c>
      <c r="U476" s="97">
        <v>44545</v>
      </c>
      <c r="V476">
        <v>2022</v>
      </c>
      <c r="W476" t="s">
        <v>2524</v>
      </c>
      <c r="X476" t="b">
        <f>IF(_xlfn.MAXIFS(Contact[Sequence],Contact[Full Name],Contact[[#This Row],[Full Name]],Contact[Season],Contact[[#This Row],[Season]])=Contact[[#This Row],[Sequence]],TRUE,FALSE)</f>
        <v>0</v>
      </c>
      <c r="Y476" t="s">
        <v>97</v>
      </c>
      <c r="Z476">
        <v>0</v>
      </c>
      <c r="AA476">
        <f>IF(Contact[[#This Row],[Latest]]=TRUE,_xlfn.XLOOKUP(Contact[[#This Row],[Final Decision]],Table3[Final Decision],Table3[Active],0),0)</f>
        <v>0</v>
      </c>
      <c r="AB476">
        <f>SUMIF(Contact[Full Name],Contact[[#This Row],[Full Name]],Contact[Active])</f>
        <v>1</v>
      </c>
    </row>
    <row r="477" spans="1:28">
      <c r="A477">
        <v>3</v>
      </c>
      <c r="B477" t="s">
        <v>2555</v>
      </c>
      <c r="C477" t="s">
        <v>2556</v>
      </c>
      <c r="D477" t="s">
        <v>2562</v>
      </c>
      <c r="E477" t="s">
        <v>2557</v>
      </c>
      <c r="F477" t="s">
        <v>2524</v>
      </c>
      <c r="G477" t="s">
        <v>2100</v>
      </c>
      <c r="H477" s="39">
        <v>44545</v>
      </c>
      <c r="I477" s="1" t="s">
        <v>2559</v>
      </c>
      <c r="J477" s="66">
        <v>2677525084</v>
      </c>
      <c r="K477" t="s">
        <v>2560</v>
      </c>
      <c r="L477" t="s">
        <v>2561</v>
      </c>
      <c r="M477" t="s">
        <v>105</v>
      </c>
      <c r="N477" t="s">
        <v>1070</v>
      </c>
      <c r="O477" t="s">
        <v>2528</v>
      </c>
      <c r="P477" t="s">
        <v>2571</v>
      </c>
      <c r="Q477" t="s">
        <v>2547</v>
      </c>
      <c r="R477" t="s">
        <v>2548</v>
      </c>
      <c r="S477" t="s">
        <v>112</v>
      </c>
      <c r="T477" t="s">
        <v>2524</v>
      </c>
      <c r="U477" s="97">
        <v>44545.586345254633</v>
      </c>
      <c r="V477">
        <v>2022</v>
      </c>
      <c r="W477" t="s">
        <v>2079</v>
      </c>
      <c r="X477" t="b">
        <f>IF(_xlfn.MAXIFS(Contact[Sequence],Contact[Full Name],Contact[[#This Row],[Full Name]],Contact[Season],Contact[[#This Row],[Season]])=Contact[[#This Row],[Sequence]],TRUE,FALSE)</f>
        <v>1</v>
      </c>
      <c r="Y477" t="s">
        <v>270</v>
      </c>
      <c r="Z477" t="s">
        <v>2537</v>
      </c>
      <c r="AA477">
        <f>IF(Contact[[#This Row],[Latest]]=TRUE,_xlfn.XLOOKUP(Contact[[#This Row],[Final Decision]],Table3[Final Decision],Table3[Active],0),0)</f>
        <v>0</v>
      </c>
      <c r="AB477">
        <f>SUMIF(Contact[Full Name],Contact[[#This Row],[Full Name]],Contact[Active])</f>
        <v>0</v>
      </c>
    </row>
    <row r="478" spans="1:28">
      <c r="A478">
        <v>2</v>
      </c>
      <c r="B478" t="s">
        <v>136</v>
      </c>
      <c r="C478" t="s">
        <v>137</v>
      </c>
      <c r="D478" t="s">
        <v>2569</v>
      </c>
      <c r="E478" t="s">
        <v>2489</v>
      </c>
      <c r="F478" t="s">
        <v>2524</v>
      </c>
      <c r="G478" t="s">
        <v>11</v>
      </c>
      <c r="H478" s="39">
        <v>44545</v>
      </c>
      <c r="I478" s="1" t="s">
        <v>138</v>
      </c>
      <c r="J478" s="66">
        <v>8322898189</v>
      </c>
      <c r="K478" t="s">
        <v>2560</v>
      </c>
      <c r="L478" t="s">
        <v>2561</v>
      </c>
      <c r="M478" t="s">
        <v>105</v>
      </c>
      <c r="N478" t="s">
        <v>2095</v>
      </c>
      <c r="O478" t="s">
        <v>2570</v>
      </c>
      <c r="P478" t="s">
        <v>2572</v>
      </c>
      <c r="Q478" t="s">
        <v>2100</v>
      </c>
      <c r="R478" t="s">
        <v>2519</v>
      </c>
      <c r="S478" t="s">
        <v>2127</v>
      </c>
      <c r="T478" t="s">
        <v>2524</v>
      </c>
      <c r="U478" s="97">
        <v>44545.622897685185</v>
      </c>
      <c r="V478">
        <v>2022</v>
      </c>
      <c r="W478" t="s">
        <v>2524</v>
      </c>
      <c r="X478" t="b">
        <f>IF(_xlfn.MAXIFS(Contact[Sequence],Contact[Full Name],Contact[[#This Row],[Full Name]],Contact[Season],Contact[[#This Row],[Season]])=Contact[[#This Row],[Sequence]],TRUE,FALSE)</f>
        <v>0</v>
      </c>
      <c r="Y478" t="s">
        <v>97</v>
      </c>
      <c r="Z478">
        <v>0</v>
      </c>
      <c r="AA478">
        <f>IF(Contact[[#This Row],[Latest]]=TRUE,_xlfn.XLOOKUP(Contact[[#This Row],[Final Decision]],Table3[Final Decision],Table3[Active],0),0)</f>
        <v>0</v>
      </c>
      <c r="AB478">
        <f>SUMIF(Contact[Full Name],Contact[[#This Row],[Full Name]],Contact[Active])</f>
        <v>1</v>
      </c>
    </row>
    <row r="479" spans="1:28">
      <c r="A479">
        <v>2</v>
      </c>
      <c r="B479" t="s">
        <v>2564</v>
      </c>
      <c r="C479" t="s">
        <v>2565</v>
      </c>
      <c r="D479" t="s">
        <v>2562</v>
      </c>
      <c r="E479" t="s">
        <v>2566</v>
      </c>
      <c r="F479" t="s">
        <v>14</v>
      </c>
      <c r="G479" t="s">
        <v>2100</v>
      </c>
      <c r="H479" s="39">
        <v>44546</v>
      </c>
      <c r="I479" s="1" t="s">
        <v>2567</v>
      </c>
      <c r="J479" s="66">
        <v>9795711543</v>
      </c>
      <c r="K479" t="s">
        <v>2568</v>
      </c>
      <c r="L479" t="s">
        <v>2561</v>
      </c>
      <c r="M479" t="s">
        <v>105</v>
      </c>
      <c r="N479" t="s">
        <v>1070</v>
      </c>
      <c r="O479" t="s">
        <v>2528</v>
      </c>
      <c r="P479" t="s">
        <v>2573</v>
      </c>
      <c r="Q479" t="s">
        <v>2574</v>
      </c>
      <c r="R479" t="s">
        <v>2519</v>
      </c>
      <c r="S479" t="s">
        <v>2127</v>
      </c>
      <c r="T479" t="s">
        <v>14</v>
      </c>
      <c r="U479" s="97">
        <v>44546.610669791669</v>
      </c>
      <c r="V479">
        <v>2022</v>
      </c>
      <c r="W479" t="s">
        <v>2524</v>
      </c>
      <c r="X479" t="b">
        <f>IF(_xlfn.MAXIFS(Contact[Sequence],Contact[Full Name],Contact[[#This Row],[Full Name]],Contact[Season],Contact[[#This Row],[Season]])=Contact[[#This Row],[Sequence]],TRUE,FALSE)</f>
        <v>0</v>
      </c>
      <c r="Y479" t="s">
        <v>270</v>
      </c>
      <c r="Z479" t="s">
        <v>2537</v>
      </c>
      <c r="AA479">
        <f>IF(Contact[[#This Row],[Latest]]=TRUE,_xlfn.XLOOKUP(Contact[[#This Row],[Final Decision]],Table3[Final Decision],Table3[Active],0),0)</f>
        <v>0</v>
      </c>
      <c r="AB479">
        <f>SUMIF(Contact[Full Name],Contact[[#This Row],[Full Name]],Contact[Active])</f>
        <v>0</v>
      </c>
    </row>
    <row r="480" spans="1:28">
      <c r="A480">
        <v>3</v>
      </c>
      <c r="B480" t="s">
        <v>136</v>
      </c>
      <c r="C480" t="s">
        <v>137</v>
      </c>
      <c r="D480" t="s">
        <v>2569</v>
      </c>
      <c r="E480" t="s">
        <v>2489</v>
      </c>
      <c r="F480" t="s">
        <v>2524</v>
      </c>
      <c r="G480" t="s">
        <v>2100</v>
      </c>
      <c r="H480" s="39">
        <v>44547</v>
      </c>
      <c r="I480" s="1" t="s">
        <v>138</v>
      </c>
      <c r="J480" s="66">
        <v>8322898189</v>
      </c>
      <c r="K480" t="s">
        <v>2568</v>
      </c>
      <c r="L480" t="s">
        <v>2561</v>
      </c>
      <c r="M480" t="s">
        <v>105</v>
      </c>
      <c r="N480" t="s">
        <v>2095</v>
      </c>
      <c r="O480" t="s">
        <v>2570</v>
      </c>
      <c r="P480" t="s">
        <v>2575</v>
      </c>
      <c r="Q480" t="s">
        <v>2574</v>
      </c>
      <c r="R480" t="s">
        <v>2519</v>
      </c>
      <c r="S480" t="s">
        <v>2127</v>
      </c>
      <c r="T480" t="s">
        <v>2524</v>
      </c>
      <c r="U480" s="97">
        <v>44547.668914930553</v>
      </c>
      <c r="V480">
        <v>2022</v>
      </c>
      <c r="W480" t="s">
        <v>2079</v>
      </c>
      <c r="X480" t="b">
        <f>IF(_xlfn.MAXIFS(Contact[Sequence],Contact[Full Name],Contact[[#This Row],[Full Name]],Contact[Season],Contact[[#This Row],[Season]])=Contact[[#This Row],[Sequence]],TRUE,FALSE)</f>
        <v>0</v>
      </c>
      <c r="Y480" t="s">
        <v>97</v>
      </c>
      <c r="Z480">
        <v>0</v>
      </c>
      <c r="AA480">
        <f>IF(Contact[[#This Row],[Latest]]=TRUE,_xlfn.XLOOKUP(Contact[[#This Row],[Final Decision]],Table3[Final Decision],Table3[Active],0),0)</f>
        <v>0</v>
      </c>
      <c r="AB480">
        <f>SUMIF(Contact[Full Name],Contact[[#This Row],[Full Name]],Contact[Active])</f>
        <v>1</v>
      </c>
    </row>
    <row r="481" spans="1:28">
      <c r="A481">
        <v>1</v>
      </c>
      <c r="B481" t="s">
        <v>2576</v>
      </c>
      <c r="C481" t="s">
        <v>2577</v>
      </c>
      <c r="D481">
        <v>0</v>
      </c>
      <c r="E481" t="s">
        <v>2578</v>
      </c>
      <c r="F481" t="s">
        <v>2554</v>
      </c>
      <c r="G481" t="s">
        <v>2558</v>
      </c>
      <c r="H481" s="39">
        <v>44551</v>
      </c>
      <c r="I481" s="1" t="s">
        <v>2579</v>
      </c>
      <c r="J481" s="66" t="s">
        <v>2580</v>
      </c>
      <c r="K481" t="s">
        <v>2581</v>
      </c>
      <c r="L481" t="s">
        <v>2561</v>
      </c>
      <c r="M481" t="s">
        <v>2582</v>
      </c>
      <c r="N481" t="s">
        <v>1070</v>
      </c>
      <c r="O481" t="s">
        <v>2583</v>
      </c>
      <c r="T481" t="s">
        <v>2554</v>
      </c>
      <c r="U481" s="97">
        <v>44551</v>
      </c>
      <c r="V481">
        <v>2022</v>
      </c>
      <c r="W481" t="s">
        <v>2371</v>
      </c>
      <c r="X481" t="b">
        <f>IF(_xlfn.MAXIFS(Contact[Sequence],Contact[Full Name],Contact[[#This Row],[Full Name]],Contact[Season],Contact[[#This Row],[Season]])=Contact[[#This Row],[Sequence]],TRUE,FALSE)</f>
        <v>0</v>
      </c>
      <c r="Y481" t="s">
        <v>270</v>
      </c>
      <c r="Z481" t="s">
        <v>2537</v>
      </c>
      <c r="AA481">
        <f>IF(Contact[[#This Row],[Latest]]=TRUE,_xlfn.XLOOKUP(Contact[[#This Row],[Final Decision]],Table3[Final Decision],Table3[Active],0),0)</f>
        <v>0</v>
      </c>
      <c r="AB481">
        <f>SUMIF(Contact[Full Name],Contact[[#This Row],[Full Name]],Contact[Active])</f>
        <v>1</v>
      </c>
    </row>
    <row r="482" spans="1:28">
      <c r="A482">
        <v>2</v>
      </c>
      <c r="B482" t="s">
        <v>2576</v>
      </c>
      <c r="C482" t="s">
        <v>2577</v>
      </c>
      <c r="D482">
        <v>0</v>
      </c>
      <c r="E482" t="s">
        <v>2578</v>
      </c>
      <c r="F482" t="s">
        <v>2554</v>
      </c>
      <c r="G482" t="s">
        <v>2100</v>
      </c>
      <c r="H482" s="39">
        <v>44547</v>
      </c>
      <c r="I482" s="1" t="s">
        <v>2579</v>
      </c>
      <c r="J482" s="66" t="s">
        <v>2580</v>
      </c>
      <c r="K482" t="s">
        <v>2581</v>
      </c>
      <c r="L482" t="s">
        <v>2561</v>
      </c>
      <c r="M482" t="s">
        <v>2582</v>
      </c>
      <c r="N482" t="s">
        <v>1070</v>
      </c>
      <c r="O482" t="s">
        <v>2583</v>
      </c>
      <c r="P482" t="s">
        <v>2584</v>
      </c>
      <c r="Q482" t="s">
        <v>2100</v>
      </c>
      <c r="R482" t="s">
        <v>2519</v>
      </c>
      <c r="S482" t="s">
        <v>2127</v>
      </c>
      <c r="T482" t="s">
        <v>2554</v>
      </c>
      <c r="U482" s="97">
        <v>44558.852246759256</v>
      </c>
      <c r="V482">
        <v>2022</v>
      </c>
      <c r="W482" t="s">
        <v>2371</v>
      </c>
      <c r="X482" t="b">
        <f>IF(_xlfn.MAXIFS(Contact[Sequence],Contact[Full Name],Contact[[#This Row],[Full Name]],Contact[Season],Contact[[#This Row],[Season]])=Contact[[#This Row],[Sequence]],TRUE,FALSE)</f>
        <v>1</v>
      </c>
      <c r="Y482" t="s">
        <v>270</v>
      </c>
      <c r="Z482" t="s">
        <v>2537</v>
      </c>
      <c r="AA482">
        <f>IF(Contact[[#This Row],[Latest]]=TRUE,_xlfn.XLOOKUP(Contact[[#This Row],[Final Decision]],Table3[Final Decision],Table3[Active],0),0)</f>
        <v>1</v>
      </c>
      <c r="AB482">
        <f>SUMIF(Contact[Full Name],Contact[[#This Row],[Full Name]],Contact[Active])</f>
        <v>1</v>
      </c>
    </row>
    <row r="483" spans="1:28">
      <c r="A483">
        <v>3</v>
      </c>
      <c r="B483" t="s">
        <v>2564</v>
      </c>
      <c r="C483" t="s">
        <v>2565</v>
      </c>
      <c r="D483" t="s">
        <v>2562</v>
      </c>
      <c r="E483" t="s">
        <v>2566</v>
      </c>
      <c r="F483" t="s">
        <v>14</v>
      </c>
      <c r="G483" t="s">
        <v>2100</v>
      </c>
      <c r="H483" s="39">
        <v>44558</v>
      </c>
      <c r="I483" s="1" t="s">
        <v>2567</v>
      </c>
      <c r="J483" s="66">
        <v>9795711543</v>
      </c>
      <c r="K483" t="s">
        <v>2568</v>
      </c>
      <c r="L483" t="s">
        <v>2561</v>
      </c>
      <c r="M483" t="s">
        <v>105</v>
      </c>
      <c r="N483" t="s">
        <v>1070</v>
      </c>
      <c r="O483" t="s">
        <v>2528</v>
      </c>
      <c r="P483" t="s">
        <v>2585</v>
      </c>
      <c r="Q483" t="s">
        <v>2574</v>
      </c>
      <c r="R483" t="s">
        <v>2519</v>
      </c>
      <c r="S483" t="s">
        <v>2127</v>
      </c>
      <c r="T483" t="s">
        <v>14</v>
      </c>
      <c r="U483" s="97">
        <v>44558.854459953705</v>
      </c>
      <c r="V483">
        <v>2022</v>
      </c>
      <c r="W483" t="s">
        <v>2079</v>
      </c>
      <c r="X483" t="b">
        <f>IF(_xlfn.MAXIFS(Contact[Sequence],Contact[Full Name],Contact[[#This Row],[Full Name]],Contact[Season],Contact[[#This Row],[Season]])=Contact[[#This Row],[Sequence]],TRUE,FALSE)</f>
        <v>0</v>
      </c>
      <c r="Y483" t="s">
        <v>270</v>
      </c>
      <c r="Z483" t="s">
        <v>2537</v>
      </c>
      <c r="AA483">
        <f>IF(Contact[[#This Row],[Latest]]=TRUE,_xlfn.XLOOKUP(Contact[[#This Row],[Final Decision]],Table3[Final Decision],Table3[Active],0),0)</f>
        <v>0</v>
      </c>
      <c r="AB483">
        <f>SUMIF(Contact[Full Name],Contact[[#This Row],[Full Name]],Contact[Active])</f>
        <v>0</v>
      </c>
    </row>
    <row r="484" spans="1:28">
      <c r="A484">
        <v>1</v>
      </c>
      <c r="B484" t="s">
        <v>2586</v>
      </c>
      <c r="C484" t="s">
        <v>2587</v>
      </c>
      <c r="D484">
        <v>0</v>
      </c>
      <c r="E484" t="s">
        <v>2588</v>
      </c>
      <c r="F484" t="s">
        <v>2524</v>
      </c>
      <c r="G484" t="s">
        <v>2558</v>
      </c>
      <c r="H484" s="39">
        <v>44573</v>
      </c>
      <c r="I484" s="1" t="s">
        <v>2589</v>
      </c>
      <c r="J484" s="66">
        <v>9176087840</v>
      </c>
      <c r="K484" t="s">
        <v>2590</v>
      </c>
      <c r="L484" t="s">
        <v>2561</v>
      </c>
      <c r="M484" t="s">
        <v>105</v>
      </c>
      <c r="N484" t="s">
        <v>2095</v>
      </c>
      <c r="O484" t="s">
        <v>2591</v>
      </c>
      <c r="T484" t="s">
        <v>2524</v>
      </c>
      <c r="U484" s="97">
        <v>44573</v>
      </c>
      <c r="V484">
        <v>2022</v>
      </c>
      <c r="W484" t="s">
        <v>2524</v>
      </c>
      <c r="X484" t="b">
        <f>IF(_xlfn.MAXIFS(Contact[Sequence],Contact[Full Name],Contact[[#This Row],[Full Name]],Contact[Season],Contact[[#This Row],[Season]])=Contact[[#This Row],[Sequence]],TRUE,FALSE)</f>
        <v>0</v>
      </c>
      <c r="Y484" t="s">
        <v>270</v>
      </c>
      <c r="Z484" t="s">
        <v>2537</v>
      </c>
      <c r="AA484">
        <f>IF(Contact[[#This Row],[Latest]]=TRUE,_xlfn.XLOOKUP(Contact[[#This Row],[Final Decision]],Table3[Final Decision],Table3[Active],0),0)</f>
        <v>0</v>
      </c>
      <c r="AB484">
        <f>SUMIF(Contact[Full Name],Contact[[#This Row],[Full Name]],Contact[Active])</f>
        <v>0</v>
      </c>
    </row>
    <row r="485" spans="1:28">
      <c r="A485">
        <v>2</v>
      </c>
      <c r="B485" t="s">
        <v>2586</v>
      </c>
      <c r="C485" t="s">
        <v>2587</v>
      </c>
      <c r="D485">
        <v>0</v>
      </c>
      <c r="E485" t="s">
        <v>2588</v>
      </c>
      <c r="F485" t="s">
        <v>2524</v>
      </c>
      <c r="G485" t="s">
        <v>11</v>
      </c>
      <c r="H485" s="39">
        <v>44573</v>
      </c>
      <c r="I485" s="1" t="s">
        <v>2589</v>
      </c>
      <c r="J485" s="66">
        <v>9176087840</v>
      </c>
      <c r="K485" t="s">
        <v>2590</v>
      </c>
      <c r="L485" t="s">
        <v>2561</v>
      </c>
      <c r="M485" t="s">
        <v>105</v>
      </c>
      <c r="N485" t="s">
        <v>2095</v>
      </c>
      <c r="O485" t="s">
        <v>2591</v>
      </c>
      <c r="P485" t="s">
        <v>2592</v>
      </c>
      <c r="Q485" t="s">
        <v>2100</v>
      </c>
      <c r="R485" t="s">
        <v>2593</v>
      </c>
      <c r="S485" t="s">
        <v>2127</v>
      </c>
      <c r="T485" t="s">
        <v>2524</v>
      </c>
      <c r="U485" s="97">
        <v>44573.708863541666</v>
      </c>
      <c r="V485">
        <v>2022</v>
      </c>
      <c r="W485" t="s">
        <v>2524</v>
      </c>
      <c r="X485" t="b">
        <f>IF(_xlfn.MAXIFS(Contact[Sequence],Contact[Full Name],Contact[[#This Row],[Full Name]],Contact[Season],Contact[[#This Row],[Season]])=Contact[[#This Row],[Sequence]],TRUE,FALSE)</f>
        <v>0</v>
      </c>
      <c r="Y485" t="s">
        <v>270</v>
      </c>
      <c r="Z485" t="s">
        <v>2537</v>
      </c>
      <c r="AA485">
        <f>IF(Contact[[#This Row],[Latest]]=TRUE,_xlfn.XLOOKUP(Contact[[#This Row],[Final Decision]],Table3[Final Decision],Table3[Active],0),0)</f>
        <v>0</v>
      </c>
      <c r="AB485">
        <f>SUMIF(Contact[Full Name],Contact[[#This Row],[Full Name]],Contact[Active])</f>
        <v>0</v>
      </c>
    </row>
    <row r="486" spans="1:28">
      <c r="A486">
        <v>3</v>
      </c>
      <c r="B486" t="s">
        <v>2586</v>
      </c>
      <c r="C486" t="s">
        <v>2587</v>
      </c>
      <c r="D486">
        <v>0</v>
      </c>
      <c r="E486" t="s">
        <v>2588</v>
      </c>
      <c r="F486" t="s">
        <v>2524</v>
      </c>
      <c r="G486" t="s">
        <v>2100</v>
      </c>
      <c r="H486" s="39">
        <v>44575</v>
      </c>
      <c r="I486" s="1" t="s">
        <v>2589</v>
      </c>
      <c r="J486" s="66">
        <v>9176087840</v>
      </c>
      <c r="K486" t="s">
        <v>2590</v>
      </c>
      <c r="L486" t="s">
        <v>2561</v>
      </c>
      <c r="M486" t="s">
        <v>105</v>
      </c>
      <c r="N486" t="s">
        <v>2095</v>
      </c>
      <c r="O486" t="s">
        <v>2591</v>
      </c>
      <c r="P486" t="s">
        <v>2594</v>
      </c>
      <c r="Q486" t="s">
        <v>2547</v>
      </c>
      <c r="R486" t="s">
        <v>2519</v>
      </c>
      <c r="S486" t="s">
        <v>2127</v>
      </c>
      <c r="T486" t="s">
        <v>2524</v>
      </c>
      <c r="U486" s="97">
        <v>44575.668906828701</v>
      </c>
      <c r="V486">
        <v>2022</v>
      </c>
      <c r="W486" t="s">
        <v>2079</v>
      </c>
      <c r="X486" t="b">
        <f>IF(_xlfn.MAXIFS(Contact[Sequence],Contact[Full Name],Contact[[#This Row],[Full Name]],Contact[Season],Contact[[#This Row],[Season]])=Contact[[#This Row],[Sequence]],TRUE,FALSE)</f>
        <v>0</v>
      </c>
      <c r="Y486" t="s">
        <v>270</v>
      </c>
      <c r="Z486" t="s">
        <v>2537</v>
      </c>
      <c r="AA486">
        <f>IF(Contact[[#This Row],[Latest]]=TRUE,_xlfn.XLOOKUP(Contact[[#This Row],[Final Decision]],Table3[Final Decision],Table3[Active],0),0)</f>
        <v>0</v>
      </c>
      <c r="AB486">
        <f>SUMIF(Contact[Full Name],Contact[[#This Row],[Full Name]],Contact[Active])</f>
        <v>0</v>
      </c>
    </row>
    <row r="487" spans="1:28">
      <c r="A487">
        <v>1</v>
      </c>
      <c r="B487" t="s">
        <v>2595</v>
      </c>
      <c r="C487" t="s">
        <v>2596</v>
      </c>
      <c r="D487">
        <v>0</v>
      </c>
      <c r="E487" t="s">
        <v>2597</v>
      </c>
      <c r="F487" t="s">
        <v>14</v>
      </c>
      <c r="G487" t="s">
        <v>2558</v>
      </c>
      <c r="H487" s="39">
        <v>44579</v>
      </c>
      <c r="I487" s="1" t="s">
        <v>2598</v>
      </c>
      <c r="J487" s="66" t="s">
        <v>2599</v>
      </c>
      <c r="K487" t="s">
        <v>2600</v>
      </c>
      <c r="L487" t="s">
        <v>2561</v>
      </c>
      <c r="M487" t="s">
        <v>105</v>
      </c>
      <c r="N487" t="s">
        <v>687</v>
      </c>
      <c r="O487" t="s">
        <v>2528</v>
      </c>
      <c r="T487" t="s">
        <v>14</v>
      </c>
      <c r="U487" s="97">
        <v>44579</v>
      </c>
      <c r="V487">
        <v>2022</v>
      </c>
      <c r="W487" t="s">
        <v>14</v>
      </c>
      <c r="X487" t="b">
        <f>IF(_xlfn.MAXIFS(Contact[Sequence],Contact[Full Name],Contact[[#This Row],[Full Name]],Contact[Season],Contact[[#This Row],[Season]])=Contact[[#This Row],[Sequence]],TRUE,FALSE)</f>
        <v>0</v>
      </c>
      <c r="Y487" t="s">
        <v>270</v>
      </c>
      <c r="Z487" t="s">
        <v>2537</v>
      </c>
      <c r="AA487">
        <f>IF(Contact[[#This Row],[Latest]]=TRUE,_xlfn.XLOOKUP(Contact[[#This Row],[Final Decision]],Table3[Final Decision],Table3[Active],0),0)</f>
        <v>0</v>
      </c>
      <c r="AB487">
        <f>SUMIF(Contact[Full Name],Contact[[#This Row],[Full Name]],Contact[Active])</f>
        <v>0</v>
      </c>
    </row>
    <row r="488" spans="1:28">
      <c r="A488">
        <v>2</v>
      </c>
      <c r="B488" t="s">
        <v>2595</v>
      </c>
      <c r="C488" t="s">
        <v>2596</v>
      </c>
      <c r="D488">
        <v>0</v>
      </c>
      <c r="E488" t="s">
        <v>2597</v>
      </c>
      <c r="F488" t="s">
        <v>14</v>
      </c>
      <c r="G488" t="s">
        <v>2100</v>
      </c>
      <c r="H488" s="39">
        <v>44579</v>
      </c>
      <c r="I488" s="1" t="s">
        <v>2598</v>
      </c>
      <c r="J488" s="66" t="s">
        <v>2599</v>
      </c>
      <c r="K488" t="s">
        <v>2600</v>
      </c>
      <c r="L488" t="s">
        <v>2561</v>
      </c>
      <c r="M488" t="s">
        <v>105</v>
      </c>
      <c r="N488" t="s">
        <v>687</v>
      </c>
      <c r="O488" t="s">
        <v>2528</v>
      </c>
      <c r="P488" t="s">
        <v>2601</v>
      </c>
      <c r="Q488" t="s">
        <v>2574</v>
      </c>
      <c r="R488" t="s">
        <v>2519</v>
      </c>
      <c r="S488" t="s">
        <v>2127</v>
      </c>
      <c r="T488" t="s">
        <v>14</v>
      </c>
      <c r="U488" s="97">
        <v>44579.39315196759</v>
      </c>
      <c r="V488">
        <v>2022</v>
      </c>
      <c r="W488" t="s">
        <v>2079</v>
      </c>
      <c r="X488" t="b">
        <f>IF(_xlfn.MAXIFS(Contact[Sequence],Contact[Full Name],Contact[[#This Row],[Full Name]],Contact[Season],Contact[[#This Row],[Season]])=Contact[[#This Row],[Sequence]],TRUE,FALSE)</f>
        <v>0</v>
      </c>
      <c r="Y488" t="s">
        <v>270</v>
      </c>
      <c r="Z488" t="s">
        <v>2537</v>
      </c>
      <c r="AA488">
        <f>IF(Contact[[#This Row],[Latest]]=TRUE,_xlfn.XLOOKUP(Contact[[#This Row],[Final Decision]],Table3[Final Decision],Table3[Active],0),0)</f>
        <v>0</v>
      </c>
      <c r="AB488">
        <f>SUMIF(Contact[Full Name],Contact[[#This Row],[Full Name]],Contact[Active])</f>
        <v>0</v>
      </c>
    </row>
    <row r="489" spans="1:28">
      <c r="A489">
        <v>1</v>
      </c>
      <c r="B489" t="s">
        <v>2602</v>
      </c>
      <c r="C489" t="s">
        <v>2603</v>
      </c>
      <c r="D489">
        <v>0</v>
      </c>
      <c r="E489" t="s">
        <v>2604</v>
      </c>
      <c r="F489" t="s">
        <v>2524</v>
      </c>
      <c r="G489" t="s">
        <v>2558</v>
      </c>
      <c r="H489" s="39">
        <v>44583</v>
      </c>
      <c r="I489" s="1" t="s">
        <v>2605</v>
      </c>
      <c r="J489" s="66">
        <v>8147777450</v>
      </c>
      <c r="K489" t="s">
        <v>2606</v>
      </c>
      <c r="L489" t="s">
        <v>2561</v>
      </c>
      <c r="M489" t="s">
        <v>105</v>
      </c>
      <c r="N489" t="s">
        <v>2607</v>
      </c>
      <c r="O489" t="s">
        <v>2528</v>
      </c>
      <c r="T489" t="s">
        <v>2524</v>
      </c>
      <c r="U489" s="97">
        <v>44583</v>
      </c>
      <c r="V489">
        <v>2022</v>
      </c>
      <c r="W489" t="s">
        <v>2524</v>
      </c>
      <c r="X489" t="b">
        <f>IF(_xlfn.MAXIFS(Contact[Sequence],Contact[Full Name],Contact[[#This Row],[Full Name]],Contact[Season],Contact[[#This Row],[Season]])=Contact[[#This Row],[Sequence]],TRUE,FALSE)</f>
        <v>0</v>
      </c>
      <c r="AA489">
        <f>IF(Contact[[#This Row],[Latest]]=TRUE,_xlfn.XLOOKUP(Contact[[#This Row],[Final Decision]],Table3[Final Decision],Table3[Active],0),0)</f>
        <v>0</v>
      </c>
      <c r="AB489">
        <f>SUMIF(Contact[Full Name],Contact[[#This Row],[Full Name]],Contact[Active])</f>
        <v>1</v>
      </c>
    </row>
    <row r="490" spans="1:28">
      <c r="A490">
        <v>2</v>
      </c>
      <c r="B490" t="s">
        <v>2602</v>
      </c>
      <c r="C490" t="s">
        <v>2603</v>
      </c>
      <c r="D490">
        <v>0</v>
      </c>
      <c r="E490" t="s">
        <v>2604</v>
      </c>
      <c r="F490" t="s">
        <v>2524</v>
      </c>
      <c r="G490" t="s">
        <v>11</v>
      </c>
      <c r="H490" s="39">
        <v>44583</v>
      </c>
      <c r="I490" s="1" t="s">
        <v>2605</v>
      </c>
      <c r="J490" s="66">
        <v>8147777450</v>
      </c>
      <c r="K490" t="s">
        <v>2606</v>
      </c>
      <c r="L490" t="s">
        <v>2561</v>
      </c>
      <c r="M490" t="s">
        <v>105</v>
      </c>
      <c r="N490" t="s">
        <v>2607</v>
      </c>
      <c r="O490" t="s">
        <v>2528</v>
      </c>
      <c r="P490" t="s">
        <v>2608</v>
      </c>
      <c r="Q490" t="s">
        <v>2100</v>
      </c>
      <c r="R490" t="s">
        <v>2519</v>
      </c>
      <c r="S490" t="s">
        <v>2127</v>
      </c>
      <c r="T490" t="s">
        <v>2524</v>
      </c>
      <c r="U490" s="97">
        <v>44583.556857870368</v>
      </c>
      <c r="V490">
        <v>2022</v>
      </c>
      <c r="W490" t="s">
        <v>2524</v>
      </c>
      <c r="X490" t="b">
        <f>IF(_xlfn.MAXIFS(Contact[Sequence],Contact[Full Name],Contact[[#This Row],[Full Name]],Contact[Season],Contact[[#This Row],[Season]])=Contact[[#This Row],[Sequence]],TRUE,FALSE)</f>
        <v>0</v>
      </c>
      <c r="AA490">
        <f>IF(Contact[[#This Row],[Latest]]=TRUE,_xlfn.XLOOKUP(Contact[[#This Row],[Final Decision]],Table3[Final Decision],Table3[Active],0),0)</f>
        <v>0</v>
      </c>
      <c r="AB490">
        <f>SUMIF(Contact[Full Name],Contact[[#This Row],[Full Name]],Contact[Active])</f>
        <v>1</v>
      </c>
    </row>
    <row r="491" spans="1:28">
      <c r="A491">
        <v>3</v>
      </c>
      <c r="B491" t="s">
        <v>2595</v>
      </c>
      <c r="C491" t="s">
        <v>2596</v>
      </c>
      <c r="D491">
        <v>0</v>
      </c>
      <c r="E491" t="s">
        <v>2597</v>
      </c>
      <c r="F491" t="s">
        <v>2079</v>
      </c>
      <c r="G491" t="s">
        <v>2609</v>
      </c>
      <c r="H491" s="39">
        <v>44585</v>
      </c>
      <c r="I491" s="1" t="s">
        <v>2598</v>
      </c>
      <c r="J491" s="66" t="s">
        <v>2599</v>
      </c>
      <c r="K491" t="s">
        <v>2600</v>
      </c>
      <c r="L491" t="s">
        <v>2561</v>
      </c>
      <c r="M491" t="s">
        <v>105</v>
      </c>
      <c r="N491" t="s">
        <v>687</v>
      </c>
      <c r="O491" t="s">
        <v>2528</v>
      </c>
      <c r="P491" t="s">
        <v>2610</v>
      </c>
      <c r="Q491" t="s">
        <v>2547</v>
      </c>
      <c r="R491" t="s">
        <v>2548</v>
      </c>
      <c r="S491" t="s">
        <v>112</v>
      </c>
      <c r="T491" t="s">
        <v>2079</v>
      </c>
      <c r="U491" s="97">
        <v>44585.399152777776</v>
      </c>
      <c r="V491">
        <v>2022</v>
      </c>
      <c r="W491" t="s">
        <v>2611</v>
      </c>
      <c r="X491" t="b">
        <f>IF(_xlfn.MAXIFS(Contact[Sequence],Contact[Full Name],Contact[[#This Row],[Full Name]],Contact[Season],Contact[[#This Row],[Season]])=Contact[[#This Row],[Sequence]],TRUE,FALSE)</f>
        <v>1</v>
      </c>
      <c r="AA491">
        <f>IF(Contact[[#This Row],[Latest]]=TRUE,_xlfn.XLOOKUP(Contact[[#This Row],[Final Decision]],Table3[Final Decision],Table3[Active],0),0)</f>
        <v>0</v>
      </c>
      <c r="AB491">
        <f>SUMIF(Contact[Full Name],Contact[[#This Row],[Full Name]],Contact[Active])</f>
        <v>0</v>
      </c>
    </row>
    <row r="492" spans="1:28">
      <c r="A492">
        <v>3</v>
      </c>
      <c r="B492" t="s">
        <v>2602</v>
      </c>
      <c r="C492" t="s">
        <v>2603</v>
      </c>
      <c r="D492">
        <v>0</v>
      </c>
      <c r="E492" t="s">
        <v>2604</v>
      </c>
      <c r="F492" t="s">
        <v>2524</v>
      </c>
      <c r="G492" t="s">
        <v>2100</v>
      </c>
      <c r="H492" s="39">
        <v>44585</v>
      </c>
      <c r="I492" s="1" t="s">
        <v>2605</v>
      </c>
      <c r="J492" s="66">
        <v>8147777450</v>
      </c>
      <c r="K492" t="s">
        <v>2606</v>
      </c>
      <c r="L492" t="s">
        <v>2561</v>
      </c>
      <c r="M492" t="s">
        <v>105</v>
      </c>
      <c r="N492" t="s">
        <v>2607</v>
      </c>
      <c r="O492" t="s">
        <v>2528</v>
      </c>
      <c r="P492" t="s">
        <v>2612</v>
      </c>
      <c r="Q492" t="s">
        <v>2511</v>
      </c>
      <c r="R492" t="s">
        <v>2519</v>
      </c>
      <c r="S492" t="s">
        <v>2127</v>
      </c>
      <c r="T492" t="s">
        <v>2524</v>
      </c>
      <c r="U492" s="97">
        <v>44585.666417245367</v>
      </c>
      <c r="V492">
        <v>2022</v>
      </c>
      <c r="W492" t="s">
        <v>2079</v>
      </c>
      <c r="X492" t="b">
        <f>IF(_xlfn.MAXIFS(Contact[Sequence],Contact[Full Name],Contact[[#This Row],[Full Name]],Contact[Season],Contact[[#This Row],[Season]])=Contact[[#This Row],[Sequence]],TRUE,FALSE)</f>
        <v>0</v>
      </c>
      <c r="AA492">
        <f>IF(Contact[[#This Row],[Latest]]=TRUE,_xlfn.XLOOKUP(Contact[[#This Row],[Final Decision]],Table3[Final Decision],Table3[Active],0),0)</f>
        <v>0</v>
      </c>
      <c r="AB492">
        <f>SUMIF(Contact[Full Name],Contact[[#This Row],[Full Name]],Contact[Active])</f>
        <v>1</v>
      </c>
    </row>
    <row r="493" spans="1:28">
      <c r="A493">
        <v>4</v>
      </c>
      <c r="B493" t="s">
        <v>2564</v>
      </c>
      <c r="C493" t="s">
        <v>2565</v>
      </c>
      <c r="D493" t="s">
        <v>2562</v>
      </c>
      <c r="E493" t="s">
        <v>2566</v>
      </c>
      <c r="F493" t="s">
        <v>2079</v>
      </c>
      <c r="G493" t="s">
        <v>2100</v>
      </c>
      <c r="H493" s="39">
        <v>44586</v>
      </c>
      <c r="I493" s="1" t="s">
        <v>2567</v>
      </c>
      <c r="J493" s="66">
        <v>9795711543</v>
      </c>
      <c r="K493" t="s">
        <v>2568</v>
      </c>
      <c r="L493" t="s">
        <v>2561</v>
      </c>
      <c r="M493" t="s">
        <v>105</v>
      </c>
      <c r="N493" t="s">
        <v>1070</v>
      </c>
      <c r="O493" t="s">
        <v>2528</v>
      </c>
      <c r="P493" t="s">
        <v>2613</v>
      </c>
      <c r="Q493" t="s">
        <v>2511</v>
      </c>
      <c r="R493" t="s">
        <v>2519</v>
      </c>
      <c r="S493" t="s">
        <v>2127</v>
      </c>
      <c r="T493" t="s">
        <v>2079</v>
      </c>
      <c r="U493" s="97">
        <v>44586.771590046294</v>
      </c>
      <c r="V493">
        <v>2022</v>
      </c>
      <c r="W493" t="s">
        <v>2524</v>
      </c>
      <c r="X493" t="b">
        <f>IF(_xlfn.MAXIFS(Contact[Sequence],Contact[Full Name],Contact[[#This Row],[Full Name]],Contact[Season],Contact[[#This Row],[Season]])=Contact[[#This Row],[Sequence]],TRUE,FALSE)</f>
        <v>0</v>
      </c>
      <c r="AA493">
        <f>IF(Contact[[#This Row],[Latest]]=TRUE,_xlfn.XLOOKUP(Contact[[#This Row],[Final Decision]],Table3[Final Decision],Table3[Active],0),0)</f>
        <v>0</v>
      </c>
      <c r="AB493">
        <f>SUMIF(Contact[Full Name],Contact[[#This Row],[Full Name]],Contact[Active])</f>
        <v>0</v>
      </c>
    </row>
    <row r="494" spans="1:28">
      <c r="A494">
        <v>4</v>
      </c>
      <c r="B494" t="s">
        <v>136</v>
      </c>
      <c r="C494" t="s">
        <v>137</v>
      </c>
      <c r="D494" t="s">
        <v>2569</v>
      </c>
      <c r="E494" t="s">
        <v>2489</v>
      </c>
      <c r="F494" t="s">
        <v>2079</v>
      </c>
      <c r="G494" t="s">
        <v>2609</v>
      </c>
      <c r="H494" s="39">
        <v>44585</v>
      </c>
      <c r="I494" s="1" t="s">
        <v>138</v>
      </c>
      <c r="J494" s="66">
        <v>8322898189</v>
      </c>
      <c r="K494" t="s">
        <v>2568</v>
      </c>
      <c r="L494" t="s">
        <v>2561</v>
      </c>
      <c r="M494" t="s">
        <v>105</v>
      </c>
      <c r="N494" t="s">
        <v>2095</v>
      </c>
      <c r="O494" t="s">
        <v>2570</v>
      </c>
      <c r="P494" t="s">
        <v>2614</v>
      </c>
      <c r="Q494" t="s">
        <v>215</v>
      </c>
      <c r="R494" t="s">
        <v>2519</v>
      </c>
      <c r="S494" t="s">
        <v>70</v>
      </c>
      <c r="T494" t="s">
        <v>2079</v>
      </c>
      <c r="U494" s="97">
        <v>44586.776956018519</v>
      </c>
      <c r="V494">
        <v>2022</v>
      </c>
      <c r="W494" t="s">
        <v>2611</v>
      </c>
      <c r="X494" t="b">
        <f>IF(_xlfn.MAXIFS(Contact[Sequence],Contact[Full Name],Contact[[#This Row],[Full Name]],Contact[Season],Contact[[#This Row],[Season]])=Contact[[#This Row],[Sequence]],TRUE,FALSE)</f>
        <v>1</v>
      </c>
      <c r="AA494">
        <f>IF(Contact[[#This Row],[Latest]]=TRUE,_xlfn.XLOOKUP(Contact[[#This Row],[Final Decision]],Table3[Final Decision],Table3[Active],0),0)</f>
        <v>1</v>
      </c>
      <c r="AB494">
        <f>SUMIF(Contact[Full Name],Contact[[#This Row],[Full Name]],Contact[Active])</f>
        <v>1</v>
      </c>
    </row>
    <row r="495" spans="1:28">
      <c r="A495">
        <v>5</v>
      </c>
      <c r="B495" t="s">
        <v>2564</v>
      </c>
      <c r="C495" t="s">
        <v>2565</v>
      </c>
      <c r="D495" t="s">
        <v>2562</v>
      </c>
      <c r="E495" t="s">
        <v>2566</v>
      </c>
      <c r="F495" t="s">
        <v>2524</v>
      </c>
      <c r="G495" t="s">
        <v>2100</v>
      </c>
      <c r="H495" s="39">
        <v>44587</v>
      </c>
      <c r="I495" s="1" t="s">
        <v>2567</v>
      </c>
      <c r="J495" s="66">
        <v>9795711543</v>
      </c>
      <c r="K495" t="s">
        <v>2568</v>
      </c>
      <c r="L495" t="s">
        <v>2561</v>
      </c>
      <c r="M495" t="s">
        <v>105</v>
      </c>
      <c r="N495" t="s">
        <v>1070</v>
      </c>
      <c r="O495" t="s">
        <v>2528</v>
      </c>
      <c r="P495" t="s">
        <v>2615</v>
      </c>
      <c r="Q495" t="s">
        <v>2511</v>
      </c>
      <c r="R495" t="s">
        <v>2519</v>
      </c>
      <c r="S495" t="s">
        <v>2127</v>
      </c>
      <c r="T495" t="s">
        <v>2524</v>
      </c>
      <c r="U495" s="97">
        <v>44593.538628819442</v>
      </c>
      <c r="V495">
        <v>2022</v>
      </c>
      <c r="W495" t="s">
        <v>2524</v>
      </c>
      <c r="X495" t="b">
        <f>IF(_xlfn.MAXIFS(Contact[Sequence],Contact[Full Name],Contact[[#This Row],[Full Name]],Contact[Season],Contact[[#This Row],[Season]])=Contact[[#This Row],[Sequence]],TRUE,FALSE)</f>
        <v>0</v>
      </c>
      <c r="AA495">
        <f>IF(Contact[[#This Row],[Latest]]=TRUE,_xlfn.XLOOKUP(Contact[[#This Row],[Final Decision]],Table3[Final Decision],Table3[Active],0),0)</f>
        <v>0</v>
      </c>
      <c r="AB495">
        <f>SUMIF(Contact[Full Name],Contact[[#This Row],[Full Name]],Contact[Active])</f>
        <v>0</v>
      </c>
    </row>
    <row r="496" spans="1:28">
      <c r="A496">
        <v>6</v>
      </c>
      <c r="B496" t="s">
        <v>2564</v>
      </c>
      <c r="C496" t="s">
        <v>2565</v>
      </c>
      <c r="D496" t="s">
        <v>2562</v>
      </c>
      <c r="E496" t="s">
        <v>2566</v>
      </c>
      <c r="F496" t="s">
        <v>2524</v>
      </c>
      <c r="G496" t="s">
        <v>2100</v>
      </c>
      <c r="H496" s="39">
        <v>44593</v>
      </c>
      <c r="I496" s="1" t="s">
        <v>2567</v>
      </c>
      <c r="J496" s="66">
        <v>9795711543</v>
      </c>
      <c r="K496" t="s">
        <v>2568</v>
      </c>
      <c r="L496" t="s">
        <v>2561</v>
      </c>
      <c r="M496" t="s">
        <v>105</v>
      </c>
      <c r="N496" t="s">
        <v>1070</v>
      </c>
      <c r="O496" t="s">
        <v>2528</v>
      </c>
      <c r="P496" t="s">
        <v>2616</v>
      </c>
      <c r="Q496" t="s">
        <v>2547</v>
      </c>
      <c r="R496" t="s">
        <v>2519</v>
      </c>
      <c r="S496" t="s">
        <v>2127</v>
      </c>
      <c r="T496" t="s">
        <v>2524</v>
      </c>
      <c r="U496" s="97">
        <v>44593.57799849537</v>
      </c>
      <c r="V496">
        <v>2022</v>
      </c>
      <c r="W496" t="s">
        <v>2079</v>
      </c>
      <c r="X496" t="b">
        <f>IF(_xlfn.MAXIFS(Contact[Sequence],Contact[Full Name],Contact[[#This Row],[Full Name]],Contact[Season],Contact[[#This Row],[Season]])=Contact[[#This Row],[Sequence]],TRUE,FALSE)</f>
        <v>0</v>
      </c>
      <c r="AA496">
        <f>IF(Contact[[#This Row],[Latest]]=TRUE,_xlfn.XLOOKUP(Contact[[#This Row],[Final Decision]],Table3[Final Decision],Table3[Active],0),0)</f>
        <v>0</v>
      </c>
      <c r="AB496">
        <f>SUMIF(Contact[Full Name],Contact[[#This Row],[Full Name]],Contact[Active])</f>
        <v>0</v>
      </c>
    </row>
    <row r="497" spans="1:28">
      <c r="A497">
        <v>1</v>
      </c>
      <c r="B497" t="s">
        <v>2617</v>
      </c>
      <c r="C497" t="s">
        <v>2618</v>
      </c>
      <c r="D497" t="s">
        <v>2619</v>
      </c>
      <c r="E497" t="s">
        <v>2620</v>
      </c>
      <c r="F497" t="s">
        <v>2524</v>
      </c>
      <c r="G497" t="s">
        <v>2558</v>
      </c>
      <c r="H497" s="39">
        <v>44610</v>
      </c>
      <c r="I497" s="1" t="s">
        <v>2621</v>
      </c>
      <c r="J497" s="66">
        <v>8632548847</v>
      </c>
      <c r="K497" t="s">
        <v>2622</v>
      </c>
      <c r="L497" t="s">
        <v>2561</v>
      </c>
      <c r="M497" t="s">
        <v>105</v>
      </c>
      <c r="N497" t="s">
        <v>2095</v>
      </c>
      <c r="O497" t="s">
        <v>2623</v>
      </c>
      <c r="T497" t="s">
        <v>2524</v>
      </c>
      <c r="U497" s="97">
        <v>44610</v>
      </c>
      <c r="V497">
        <v>2022</v>
      </c>
      <c r="W497" t="s">
        <v>2524</v>
      </c>
      <c r="X497" t="b">
        <f>IF(_xlfn.MAXIFS(Contact[Sequence],Contact[Full Name],Contact[[#This Row],[Full Name]],Contact[Season],Contact[[#This Row],[Season]])=Contact[[#This Row],[Sequence]],TRUE,FALSE)</f>
        <v>0</v>
      </c>
      <c r="AA497">
        <f>IF(Contact[[#This Row],[Latest]]=TRUE,_xlfn.XLOOKUP(Contact[[#This Row],[Final Decision]],Table3[Final Decision],Table3[Active],0),0)</f>
        <v>0</v>
      </c>
      <c r="AB497">
        <f>SUMIF(Contact[Full Name],Contact[[#This Row],[Full Name]],Contact[Active])</f>
        <v>1</v>
      </c>
    </row>
    <row r="498" spans="1:28">
      <c r="A498">
        <v>1</v>
      </c>
      <c r="B498" t="s">
        <v>330</v>
      </c>
      <c r="C498" t="s">
        <v>2037</v>
      </c>
      <c r="D498">
        <v>0</v>
      </c>
      <c r="E498" t="s">
        <v>2624</v>
      </c>
      <c r="F498" t="s">
        <v>2079</v>
      </c>
      <c r="G498" t="s">
        <v>2558</v>
      </c>
      <c r="H498" s="39">
        <v>44613</v>
      </c>
      <c r="I498" s="1" t="s">
        <v>2625</v>
      </c>
      <c r="J498" s="66" t="s">
        <v>2626</v>
      </c>
      <c r="K498" t="s">
        <v>2568</v>
      </c>
      <c r="L498" t="s">
        <v>2561</v>
      </c>
      <c r="M498" t="s">
        <v>105</v>
      </c>
      <c r="N498" t="s">
        <v>1070</v>
      </c>
      <c r="O498" t="s">
        <v>2528</v>
      </c>
      <c r="T498" t="s">
        <v>2079</v>
      </c>
      <c r="U498" s="97">
        <v>44613</v>
      </c>
      <c r="V498">
        <v>2022</v>
      </c>
      <c r="W498" t="s">
        <v>2079</v>
      </c>
      <c r="X498" t="b">
        <f>IF(_xlfn.MAXIFS(Contact[Sequence],Contact[Full Name],Contact[[#This Row],[Full Name]],Contact[Season],Contact[[#This Row],[Season]])=Contact[[#This Row],[Sequence]],TRUE,FALSE)</f>
        <v>0</v>
      </c>
      <c r="AA498">
        <f>IF(Contact[[#This Row],[Latest]]=TRUE,_xlfn.XLOOKUP(Contact[[#This Row],[Final Decision]],Table3[Final Decision],Table3[Active],0),0)</f>
        <v>0</v>
      </c>
      <c r="AB498">
        <f>SUMIF(Contact[Full Name],Contact[[#This Row],[Full Name]],Contact[Active])</f>
        <v>1</v>
      </c>
    </row>
    <row r="499" spans="1:28">
      <c r="A499">
        <v>2</v>
      </c>
      <c r="B499" t="s">
        <v>330</v>
      </c>
      <c r="C499" t="s">
        <v>2037</v>
      </c>
      <c r="D499">
        <v>0</v>
      </c>
      <c r="E499" t="s">
        <v>2624</v>
      </c>
      <c r="F499" t="s">
        <v>2079</v>
      </c>
      <c r="G499" t="s">
        <v>2100</v>
      </c>
      <c r="H499" s="39">
        <v>44613</v>
      </c>
      <c r="I499" s="1" t="s">
        <v>2625</v>
      </c>
      <c r="J499" s="66" t="s">
        <v>2626</v>
      </c>
      <c r="K499" t="s">
        <v>2568</v>
      </c>
      <c r="L499" t="s">
        <v>2561</v>
      </c>
      <c r="M499" t="s">
        <v>105</v>
      </c>
      <c r="N499" t="s">
        <v>1070</v>
      </c>
      <c r="O499" t="s">
        <v>2528</v>
      </c>
      <c r="P499" t="s">
        <v>2627</v>
      </c>
      <c r="Q499" t="s">
        <v>2100</v>
      </c>
      <c r="R499" t="s">
        <v>2519</v>
      </c>
      <c r="S499" t="s">
        <v>2127</v>
      </c>
      <c r="T499" t="s">
        <v>2079</v>
      </c>
      <c r="U499" s="97">
        <v>44613.677271412038</v>
      </c>
      <c r="V499">
        <v>2022</v>
      </c>
      <c r="W499" t="s">
        <v>2524</v>
      </c>
      <c r="X499" t="b">
        <f>IF(_xlfn.MAXIFS(Contact[Sequence],Contact[Full Name],Contact[[#This Row],[Full Name]],Contact[Season],Contact[[#This Row],[Season]])=Contact[[#This Row],[Sequence]],TRUE,FALSE)</f>
        <v>0</v>
      </c>
      <c r="AA499">
        <f>IF(Contact[[#This Row],[Latest]]=TRUE,_xlfn.XLOOKUP(Contact[[#This Row],[Final Decision]],Table3[Final Decision],Table3[Active],0),0)</f>
        <v>0</v>
      </c>
      <c r="AB499">
        <f>SUMIF(Contact[Full Name],Contact[[#This Row],[Full Name]],Contact[Active])</f>
        <v>1</v>
      </c>
    </row>
    <row r="500" spans="1:28">
      <c r="A500">
        <v>3</v>
      </c>
      <c r="B500" t="s">
        <v>330</v>
      </c>
      <c r="C500" t="s">
        <v>2037</v>
      </c>
      <c r="D500">
        <v>0</v>
      </c>
      <c r="E500" t="s">
        <v>2624</v>
      </c>
      <c r="F500" t="s">
        <v>2524</v>
      </c>
      <c r="G500" t="s">
        <v>2100</v>
      </c>
      <c r="H500" s="39">
        <v>44255</v>
      </c>
      <c r="I500" s="114" t="s">
        <v>2625</v>
      </c>
      <c r="J500" s="66" t="s">
        <v>2626</v>
      </c>
      <c r="K500" t="s">
        <v>2568</v>
      </c>
      <c r="L500" t="s">
        <v>2561</v>
      </c>
      <c r="M500" t="s">
        <v>105</v>
      </c>
      <c r="N500" t="s">
        <v>1070</v>
      </c>
      <c r="O500" t="s">
        <v>2528</v>
      </c>
      <c r="P500" t="s">
        <v>2628</v>
      </c>
      <c r="Q500" t="s">
        <v>2574</v>
      </c>
      <c r="R500" t="s">
        <v>2519</v>
      </c>
      <c r="S500" t="s">
        <v>2127</v>
      </c>
      <c r="T500" t="s">
        <v>2524</v>
      </c>
      <c r="U500" s="97">
        <v>44620.510118402781</v>
      </c>
      <c r="V500">
        <v>2022</v>
      </c>
      <c r="W500" t="s">
        <v>2079</v>
      </c>
      <c r="X500" t="b">
        <f>IF(_xlfn.MAXIFS(Contact[Sequence],Contact[Full Name],Contact[[#This Row],[Full Name]],Contact[Season],Contact[[#This Row],[Season]])=Contact[[#This Row],[Sequence]],TRUE,FALSE)</f>
        <v>1</v>
      </c>
      <c r="AA500">
        <f>IF(Contact[[#This Row],[Latest]]=TRUE,_xlfn.XLOOKUP(Contact[[#This Row],[Final Decision]],Table3[Final Decision],Table3[Active],0),0)</f>
        <v>1</v>
      </c>
      <c r="AB500">
        <f>SUMIF(Contact[Full Name],Contact[[#This Row],[Full Name]],Contact[Active])</f>
        <v>1</v>
      </c>
    </row>
    <row r="501" spans="1:28">
      <c r="A501">
        <v>1</v>
      </c>
      <c r="B501" t="s">
        <v>95</v>
      </c>
      <c r="C501" t="s">
        <v>2629</v>
      </c>
      <c r="D501" t="s">
        <v>2599</v>
      </c>
      <c r="E501" t="s">
        <v>2630</v>
      </c>
      <c r="F501" t="s">
        <v>14</v>
      </c>
      <c r="G501" t="s">
        <v>2558</v>
      </c>
      <c r="H501" s="39">
        <v>44620</v>
      </c>
      <c r="I501" s="1" t="s">
        <v>2631</v>
      </c>
      <c r="J501" s="66" t="s">
        <v>2599</v>
      </c>
      <c r="K501" t="s">
        <v>2632</v>
      </c>
      <c r="L501" t="s">
        <v>2561</v>
      </c>
      <c r="M501" t="s">
        <v>105</v>
      </c>
      <c r="N501" t="s">
        <v>687</v>
      </c>
      <c r="O501" t="s">
        <v>2633</v>
      </c>
      <c r="T501" t="s">
        <v>14</v>
      </c>
      <c r="U501" s="97">
        <v>44620</v>
      </c>
      <c r="V501">
        <v>2022</v>
      </c>
      <c r="W501" t="s">
        <v>14</v>
      </c>
      <c r="X501" t="b">
        <f>IF(_xlfn.MAXIFS(Contact[Sequence],Contact[Full Name],Contact[[#This Row],[Full Name]],Contact[Season],Contact[[#This Row],[Season]])=Contact[[#This Row],[Sequence]],TRUE,FALSE)</f>
        <v>0</v>
      </c>
      <c r="AA501">
        <f>IF(Contact[[#This Row],[Latest]]=TRUE,_xlfn.XLOOKUP(Contact[[#This Row],[Final Decision]],Table3[Final Decision],Table3[Active],0),0)</f>
        <v>0</v>
      </c>
      <c r="AB501">
        <f>SUMIF(Contact[Full Name],Contact[[#This Row],[Full Name]],Contact[Active])</f>
        <v>1</v>
      </c>
    </row>
    <row r="502" spans="1:28">
      <c r="A502">
        <v>2</v>
      </c>
      <c r="B502" t="s">
        <v>95</v>
      </c>
      <c r="C502" t="s">
        <v>2629</v>
      </c>
      <c r="D502" t="s">
        <v>2599</v>
      </c>
      <c r="E502" t="s">
        <v>2630</v>
      </c>
      <c r="F502" t="s">
        <v>14</v>
      </c>
      <c r="G502" t="s">
        <v>2100</v>
      </c>
      <c r="H502" s="39">
        <v>44620</v>
      </c>
      <c r="I502" s="1" t="s">
        <v>2631</v>
      </c>
      <c r="J502" s="66" t="s">
        <v>2599</v>
      </c>
      <c r="K502" t="s">
        <v>2632</v>
      </c>
      <c r="L502" t="s">
        <v>2561</v>
      </c>
      <c r="M502" t="s">
        <v>105</v>
      </c>
      <c r="N502" t="s">
        <v>687</v>
      </c>
      <c r="O502" t="s">
        <v>2633</v>
      </c>
      <c r="P502" t="s">
        <v>2634</v>
      </c>
      <c r="Q502" t="s">
        <v>2574</v>
      </c>
      <c r="R502" t="s">
        <v>2519</v>
      </c>
      <c r="S502" t="s">
        <v>2127</v>
      </c>
      <c r="T502" t="s">
        <v>14</v>
      </c>
      <c r="U502" s="97">
        <v>44620.5505505787</v>
      </c>
      <c r="V502">
        <v>2022</v>
      </c>
      <c r="W502" t="s">
        <v>2524</v>
      </c>
      <c r="X502" t="b">
        <f>IF(_xlfn.MAXIFS(Contact[Sequence],Contact[Full Name],Contact[[#This Row],[Full Name]],Contact[Season],Contact[[#This Row],[Season]])=Contact[[#This Row],[Sequence]],TRUE,FALSE)</f>
        <v>0</v>
      </c>
      <c r="AA502">
        <f>IF(Contact[[#This Row],[Latest]]=TRUE,_xlfn.XLOOKUP(Contact[[#This Row],[Final Decision]],Table3[Final Decision],Table3[Active],0),0)</f>
        <v>0</v>
      </c>
      <c r="AB502">
        <f>SUMIF(Contact[Full Name],Contact[[#This Row],[Full Name]],Contact[Active])</f>
        <v>1</v>
      </c>
    </row>
    <row r="503" spans="1:28">
      <c r="A503">
        <v>3</v>
      </c>
      <c r="B503" t="s">
        <v>95</v>
      </c>
      <c r="C503" t="s">
        <v>2629</v>
      </c>
      <c r="D503" t="s">
        <v>2599</v>
      </c>
      <c r="E503" t="s">
        <v>2630</v>
      </c>
      <c r="F503" t="s">
        <v>2524</v>
      </c>
      <c r="G503" t="s">
        <v>2100</v>
      </c>
      <c r="H503" s="39">
        <v>44624</v>
      </c>
      <c r="I503" s="1" t="s">
        <v>2631</v>
      </c>
      <c r="J503" s="66" t="s">
        <v>2599</v>
      </c>
      <c r="K503" t="s">
        <v>2632</v>
      </c>
      <c r="L503" t="s">
        <v>2561</v>
      </c>
      <c r="M503" t="s">
        <v>105</v>
      </c>
      <c r="N503" t="s">
        <v>687</v>
      </c>
      <c r="O503" t="s">
        <v>2633</v>
      </c>
      <c r="P503" t="s">
        <v>2635</v>
      </c>
      <c r="Q503" t="s">
        <v>2574</v>
      </c>
      <c r="R503" t="s">
        <v>2519</v>
      </c>
      <c r="S503" t="s">
        <v>2127</v>
      </c>
      <c r="T503" t="s">
        <v>2524</v>
      </c>
      <c r="U503" s="97">
        <v>44624.458218171298</v>
      </c>
      <c r="V503">
        <v>2022</v>
      </c>
      <c r="W503" t="s">
        <v>2079</v>
      </c>
      <c r="X503" t="b">
        <f>IF(_xlfn.MAXIFS(Contact[Sequence],Contact[Full Name],Contact[[#This Row],[Full Name]],Contact[Season],Contact[[#This Row],[Season]])=Contact[[#This Row],[Sequence]],TRUE,FALSE)</f>
        <v>1</v>
      </c>
      <c r="AA503">
        <f>IF(Contact[[#This Row],[Latest]]=TRUE,_xlfn.XLOOKUP(Contact[[#This Row],[Final Decision]],Table3[Final Decision],Table3[Active],0),0)</f>
        <v>1</v>
      </c>
      <c r="AB503">
        <f>SUMIF(Contact[Full Name],Contact[[#This Row],[Full Name]],Contact[Active])</f>
        <v>1</v>
      </c>
    </row>
    <row r="504" spans="1:28">
      <c r="A504">
        <v>2</v>
      </c>
      <c r="B504" t="s">
        <v>2617</v>
      </c>
      <c r="C504" t="s">
        <v>2618</v>
      </c>
      <c r="D504" t="s">
        <v>2619</v>
      </c>
      <c r="E504" t="s">
        <v>2620</v>
      </c>
      <c r="F504" t="s">
        <v>2524</v>
      </c>
      <c r="G504" t="s">
        <v>2100</v>
      </c>
      <c r="H504" s="39">
        <v>44624</v>
      </c>
      <c r="I504" s="1" t="s">
        <v>2621</v>
      </c>
      <c r="J504" s="66">
        <v>8632548847</v>
      </c>
      <c r="K504" t="s">
        <v>2622</v>
      </c>
      <c r="L504" t="s">
        <v>2561</v>
      </c>
      <c r="M504" t="s">
        <v>105</v>
      </c>
      <c r="N504" t="s">
        <v>2095</v>
      </c>
      <c r="O504" t="s">
        <v>2623</v>
      </c>
      <c r="P504" t="s">
        <v>2636</v>
      </c>
      <c r="Q504" t="s">
        <v>2511</v>
      </c>
      <c r="R504" t="s">
        <v>2519</v>
      </c>
      <c r="S504" t="s">
        <v>2127</v>
      </c>
      <c r="T504" t="s">
        <v>2524</v>
      </c>
      <c r="U504" s="97">
        <v>44624.477341666665</v>
      </c>
      <c r="V504">
        <v>2022</v>
      </c>
      <c r="W504" t="s">
        <v>2079</v>
      </c>
      <c r="X504" t="b">
        <f>IF(_xlfn.MAXIFS(Contact[Sequence],Contact[Full Name],Contact[[#This Row],[Full Name]],Contact[Season],Contact[[#This Row],[Season]])=Contact[[#This Row],[Sequence]],TRUE,FALSE)</f>
        <v>1</v>
      </c>
      <c r="AA504">
        <f>IF(Contact[[#This Row],[Latest]]=TRUE,_xlfn.XLOOKUP(Contact[[#This Row],[Final Decision]],Table3[Final Decision],Table3[Active],0),0)</f>
        <v>1</v>
      </c>
      <c r="AB504">
        <f>SUMIF(Contact[Full Name],Contact[[#This Row],[Full Name]],Contact[Active])</f>
        <v>1</v>
      </c>
    </row>
    <row r="505" spans="1:28">
      <c r="A505">
        <v>4</v>
      </c>
      <c r="B505" t="s">
        <v>2586</v>
      </c>
      <c r="C505" t="s">
        <v>2587</v>
      </c>
      <c r="D505">
        <v>0</v>
      </c>
      <c r="E505" t="s">
        <v>2588</v>
      </c>
      <c r="F505" t="s">
        <v>2079</v>
      </c>
      <c r="G505" t="s">
        <v>2549</v>
      </c>
      <c r="H505" s="39">
        <v>44575</v>
      </c>
      <c r="I505" s="1" t="s">
        <v>2589</v>
      </c>
      <c r="J505" s="66">
        <v>9176087840</v>
      </c>
      <c r="K505" t="s">
        <v>2590</v>
      </c>
      <c r="L505" t="s">
        <v>2561</v>
      </c>
      <c r="M505" t="s">
        <v>105</v>
      </c>
      <c r="N505" t="s">
        <v>2095</v>
      </c>
      <c r="O505" t="s">
        <v>2591</v>
      </c>
      <c r="P505" t="s">
        <v>2637</v>
      </c>
      <c r="Q505" t="s">
        <v>2547</v>
      </c>
      <c r="R505" t="s">
        <v>2548</v>
      </c>
      <c r="S505" t="s">
        <v>112</v>
      </c>
      <c r="T505" t="s">
        <v>2079</v>
      </c>
      <c r="U505" s="97">
        <v>44628.528342939811</v>
      </c>
      <c r="V505">
        <v>2022</v>
      </c>
      <c r="W505">
        <v>0</v>
      </c>
      <c r="X505" t="b">
        <f>IF(_xlfn.MAXIFS(Contact[Sequence],Contact[Full Name],Contact[[#This Row],[Full Name]],Contact[Season],Contact[[#This Row],[Season]])=Contact[[#This Row],[Sequence]],TRUE,FALSE)</f>
        <v>1</v>
      </c>
      <c r="AA505">
        <f>IF(Contact[[#This Row],[Latest]]=TRUE,_xlfn.XLOOKUP(Contact[[#This Row],[Final Decision]],Table3[Final Decision],Table3[Active],0),0)</f>
        <v>0</v>
      </c>
      <c r="AB505">
        <f>SUMIF(Contact[Full Name],Contact[[#This Row],[Full Name]],Contact[Active])</f>
        <v>0</v>
      </c>
    </row>
    <row r="506" spans="1:28">
      <c r="A506">
        <v>1</v>
      </c>
      <c r="B506" t="s">
        <v>2638</v>
      </c>
      <c r="C506" t="s">
        <v>2639</v>
      </c>
      <c r="D506">
        <v>0</v>
      </c>
      <c r="E506" t="s">
        <v>2640</v>
      </c>
      <c r="F506" t="s">
        <v>2079</v>
      </c>
      <c r="G506" t="s">
        <v>2558</v>
      </c>
      <c r="H506" s="39">
        <v>44662</v>
      </c>
      <c r="I506" s="1" t="s">
        <v>2641</v>
      </c>
      <c r="J506" s="66" t="s">
        <v>2642</v>
      </c>
      <c r="K506" t="s">
        <v>2643</v>
      </c>
      <c r="L506" t="s">
        <v>2561</v>
      </c>
      <c r="M506" t="s">
        <v>105</v>
      </c>
      <c r="N506" t="s">
        <v>2095</v>
      </c>
      <c r="O506" t="s">
        <v>2644</v>
      </c>
      <c r="T506" t="s">
        <v>2079</v>
      </c>
      <c r="U506" s="97">
        <v>44662</v>
      </c>
      <c r="V506">
        <v>2022</v>
      </c>
      <c r="W506" t="s">
        <v>2079</v>
      </c>
      <c r="X506" t="b">
        <f>IF(_xlfn.MAXIFS(Contact[Sequence],Contact[Full Name],Contact[[#This Row],[Full Name]],Contact[Season],Contact[[#This Row],[Season]])=Contact[[#This Row],[Sequence]],TRUE,FALSE)</f>
        <v>0</v>
      </c>
      <c r="AA506">
        <f>IF(Contact[[#This Row],[Latest]]=TRUE,_xlfn.XLOOKUP(Contact[[#This Row],[Final Decision]],Table3[Final Decision],Table3[Active],0),0)</f>
        <v>0</v>
      </c>
      <c r="AB506">
        <f>SUMIF(Contact[Full Name],Contact[[#This Row],[Full Name]],Contact[Active])</f>
        <v>1</v>
      </c>
    </row>
    <row r="507" spans="1:28">
      <c r="A507">
        <v>2</v>
      </c>
      <c r="B507" t="s">
        <v>2638</v>
      </c>
      <c r="C507" t="s">
        <v>2639</v>
      </c>
      <c r="D507">
        <v>0</v>
      </c>
      <c r="E507" t="s">
        <v>2640</v>
      </c>
      <c r="F507" t="s">
        <v>2079</v>
      </c>
      <c r="G507" t="s">
        <v>2100</v>
      </c>
      <c r="H507" s="39">
        <v>44662</v>
      </c>
      <c r="I507" s="1" t="s">
        <v>2641</v>
      </c>
      <c r="J507" s="66" t="s">
        <v>2642</v>
      </c>
      <c r="K507" t="s">
        <v>2643</v>
      </c>
      <c r="L507" t="s">
        <v>2561</v>
      </c>
      <c r="M507" t="s">
        <v>105</v>
      </c>
      <c r="N507" t="s">
        <v>2095</v>
      </c>
      <c r="O507" t="s">
        <v>2644</v>
      </c>
      <c r="P507" t="s">
        <v>2645</v>
      </c>
      <c r="Q507" t="s">
        <v>2100</v>
      </c>
      <c r="R507" t="s">
        <v>2519</v>
      </c>
      <c r="S507" t="s">
        <v>2127</v>
      </c>
      <c r="T507" t="s">
        <v>2079</v>
      </c>
      <c r="U507" s="97">
        <v>44662.660717708335</v>
      </c>
      <c r="V507">
        <v>2022</v>
      </c>
      <c r="W507" t="s">
        <v>14</v>
      </c>
      <c r="X507" t="b">
        <f>IF(_xlfn.MAXIFS(Contact[Sequence],Contact[Full Name],Contact[[#This Row],[Full Name]],Contact[Season],Contact[[#This Row],[Season]])=Contact[[#This Row],[Sequence]],TRUE,FALSE)</f>
        <v>0</v>
      </c>
      <c r="AA507">
        <f>IF(Contact[[#This Row],[Latest]]=TRUE,_xlfn.XLOOKUP(Contact[[#This Row],[Final Decision]],Table3[Final Decision],Table3[Active],0),0)</f>
        <v>0</v>
      </c>
      <c r="AB507">
        <f>SUMIF(Contact[Full Name],Contact[[#This Row],[Full Name]],Contact[Active])</f>
        <v>1</v>
      </c>
    </row>
    <row r="508" spans="1:28">
      <c r="A508">
        <v>3</v>
      </c>
      <c r="B508" t="s">
        <v>2638</v>
      </c>
      <c r="C508" t="s">
        <v>2639</v>
      </c>
      <c r="D508">
        <v>0</v>
      </c>
      <c r="E508" t="s">
        <v>2640</v>
      </c>
      <c r="F508" t="s">
        <v>14</v>
      </c>
      <c r="G508" t="s">
        <v>2100</v>
      </c>
      <c r="H508" s="39">
        <v>44663</v>
      </c>
      <c r="I508" s="1" t="s">
        <v>2641</v>
      </c>
      <c r="J508" s="66" t="s">
        <v>2642</v>
      </c>
      <c r="K508" t="s">
        <v>2643</v>
      </c>
      <c r="L508" t="s">
        <v>2561</v>
      </c>
      <c r="M508" t="s">
        <v>105</v>
      </c>
      <c r="N508" t="s">
        <v>2095</v>
      </c>
      <c r="O508" t="s">
        <v>2644</v>
      </c>
      <c r="P508" t="s">
        <v>2646</v>
      </c>
      <c r="Q508" t="s">
        <v>2574</v>
      </c>
      <c r="R508" t="s">
        <v>2519</v>
      </c>
      <c r="S508" t="s">
        <v>2127</v>
      </c>
      <c r="T508" t="s">
        <v>14</v>
      </c>
      <c r="U508" s="97">
        <v>44663.575954745371</v>
      </c>
      <c r="V508">
        <v>2022</v>
      </c>
      <c r="W508" t="s">
        <v>2524</v>
      </c>
      <c r="X508" t="b">
        <f>IF(_xlfn.MAXIFS(Contact[Sequence],Contact[Full Name],Contact[[#This Row],[Full Name]],Contact[Season],Contact[[#This Row],[Season]])=Contact[[#This Row],[Sequence]],TRUE,FALSE)</f>
        <v>0</v>
      </c>
      <c r="AA508">
        <f>IF(Contact[[#This Row],[Latest]]=TRUE,_xlfn.XLOOKUP(Contact[[#This Row],[Final Decision]],Table3[Final Decision],Table3[Active],0),0)</f>
        <v>0</v>
      </c>
      <c r="AB508">
        <f>SUMIF(Contact[Full Name],Contact[[#This Row],[Full Name]],Contact[Active])</f>
        <v>1</v>
      </c>
    </row>
    <row r="509" spans="1:28">
      <c r="A509">
        <v>4</v>
      </c>
      <c r="B509" t="s">
        <v>2638</v>
      </c>
      <c r="C509" t="s">
        <v>2639</v>
      </c>
      <c r="D509">
        <v>0</v>
      </c>
      <c r="E509" t="s">
        <v>2640</v>
      </c>
      <c r="F509" t="s">
        <v>2524</v>
      </c>
      <c r="G509" t="s">
        <v>2100</v>
      </c>
      <c r="H509" s="39">
        <v>44671</v>
      </c>
      <c r="I509" s="1" t="s">
        <v>2641</v>
      </c>
      <c r="J509" s="66" t="s">
        <v>2642</v>
      </c>
      <c r="K509" t="s">
        <v>2643</v>
      </c>
      <c r="L509" t="s">
        <v>2561</v>
      </c>
      <c r="M509" t="s">
        <v>105</v>
      </c>
      <c r="N509" t="s">
        <v>2095</v>
      </c>
      <c r="O509" t="s">
        <v>2644</v>
      </c>
      <c r="P509" t="s">
        <v>2647</v>
      </c>
      <c r="Q509" t="s">
        <v>2574</v>
      </c>
      <c r="R509" t="s">
        <v>2519</v>
      </c>
      <c r="S509" t="s">
        <v>2127</v>
      </c>
      <c r="T509" t="s">
        <v>2524</v>
      </c>
      <c r="U509" s="97">
        <v>44671.55267986111</v>
      </c>
      <c r="V509">
        <v>2022</v>
      </c>
      <c r="W509" t="s">
        <v>2079</v>
      </c>
      <c r="X509" t="b">
        <f>IF(_xlfn.MAXIFS(Contact[Sequence],Contact[Full Name],Contact[[#This Row],[Full Name]],Contact[Season],Contact[[#This Row],[Season]])=Contact[[#This Row],[Sequence]],TRUE,FALSE)</f>
        <v>0</v>
      </c>
      <c r="AA509">
        <f>IF(Contact[[#This Row],[Latest]]=TRUE,_xlfn.XLOOKUP(Contact[[#This Row],[Final Decision]],Table3[Final Decision],Table3[Active],0),0)</f>
        <v>0</v>
      </c>
      <c r="AB509">
        <f>SUMIF(Contact[Full Name],Contact[[#This Row],[Full Name]],Contact[Active])</f>
        <v>1</v>
      </c>
    </row>
    <row r="510" spans="1:28" ht="16.899999999999999" customHeight="1">
      <c r="A510">
        <v>5</v>
      </c>
      <c r="B510" t="s">
        <v>2638</v>
      </c>
      <c r="C510" t="s">
        <v>2639</v>
      </c>
      <c r="D510">
        <v>0</v>
      </c>
      <c r="E510" t="s">
        <v>2640</v>
      </c>
      <c r="F510" t="s">
        <v>2079</v>
      </c>
      <c r="G510" t="s">
        <v>2549</v>
      </c>
      <c r="H510" s="39">
        <v>44684</v>
      </c>
      <c r="I510" s="1" t="s">
        <v>2641</v>
      </c>
      <c r="J510" s="66" t="s">
        <v>2642</v>
      </c>
      <c r="K510" t="s">
        <v>2643</v>
      </c>
      <c r="L510" t="s">
        <v>2561</v>
      </c>
      <c r="M510" t="s">
        <v>105</v>
      </c>
      <c r="N510" t="s">
        <v>2095</v>
      </c>
      <c r="O510" t="s">
        <v>2644</v>
      </c>
      <c r="P510" t="s">
        <v>2648</v>
      </c>
      <c r="Q510" t="s">
        <v>2511</v>
      </c>
      <c r="R510" t="s">
        <v>2519</v>
      </c>
      <c r="S510" t="s">
        <v>2127</v>
      </c>
      <c r="T510" t="s">
        <v>2079</v>
      </c>
      <c r="U510" s="97">
        <v>44684.59937546296</v>
      </c>
      <c r="V510">
        <v>2022</v>
      </c>
      <c r="W510" t="s">
        <v>2554</v>
      </c>
      <c r="X510" t="b">
        <f>IF(_xlfn.MAXIFS(Contact[Sequence],Contact[Full Name],Contact[[#This Row],[Full Name]],Contact[Season],Contact[[#This Row],[Season]])=Contact[[#This Row],[Sequence]],TRUE,FALSE)</f>
        <v>0</v>
      </c>
      <c r="AA510">
        <f>IF(Contact[[#This Row],[Latest]]=TRUE,_xlfn.XLOOKUP(Contact[[#This Row],[Final Decision]],Table3[Final Decision],Table3[Active],0),0)</f>
        <v>0</v>
      </c>
      <c r="AB510">
        <f>SUMIF(Contact[Full Name],Contact[[#This Row],[Full Name]],Contact[Active])</f>
        <v>1</v>
      </c>
    </row>
    <row r="511" spans="1:28" ht="16.899999999999999" customHeight="1">
      <c r="A511">
        <v>6</v>
      </c>
      <c r="B511" t="s">
        <v>2638</v>
      </c>
      <c r="C511" t="s">
        <v>2639</v>
      </c>
      <c r="D511">
        <v>0</v>
      </c>
      <c r="E511" t="s">
        <v>2640</v>
      </c>
      <c r="F511" t="s">
        <v>2554</v>
      </c>
      <c r="G511" t="s">
        <v>2100</v>
      </c>
      <c r="H511" s="39">
        <v>44687</v>
      </c>
      <c r="I511" s="1" t="s">
        <v>2641</v>
      </c>
      <c r="J511" s="66" t="s">
        <v>2642</v>
      </c>
      <c r="K511" t="s">
        <v>2643</v>
      </c>
      <c r="L511" t="s">
        <v>2561</v>
      </c>
      <c r="M511" t="s">
        <v>105</v>
      </c>
      <c r="N511" t="s">
        <v>2095</v>
      </c>
      <c r="O511" t="s">
        <v>2644</v>
      </c>
      <c r="P511" s="50" t="s">
        <v>2649</v>
      </c>
      <c r="Q511" t="s">
        <v>2574</v>
      </c>
      <c r="R511" t="s">
        <v>2519</v>
      </c>
      <c r="S511" t="s">
        <v>2127</v>
      </c>
      <c r="T511" t="s">
        <v>2554</v>
      </c>
      <c r="U511" s="97">
        <v>44687.716496064815</v>
      </c>
      <c r="V511">
        <v>2022</v>
      </c>
      <c r="W511" t="s">
        <v>2079</v>
      </c>
      <c r="X511" t="b">
        <f>IF(_xlfn.MAXIFS(Contact[Sequence],Contact[Full Name],Contact[[#This Row],[Full Name]],Contact[Season],Contact[[#This Row],[Season]])=Contact[[#This Row],[Sequence]],TRUE,FALSE)</f>
        <v>0</v>
      </c>
      <c r="AA511">
        <f>IF(Contact[[#This Row],[Latest]]=TRUE,_xlfn.XLOOKUP(Contact[[#This Row],[Final Decision]],Table3[Final Decision],Table3[Active],0),0)</f>
        <v>0</v>
      </c>
      <c r="AB511">
        <f>SUMIF(Contact[Full Name],Contact[[#This Row],[Full Name]],Contact[Active])</f>
        <v>1</v>
      </c>
    </row>
    <row r="512" spans="1:28">
      <c r="A512">
        <v>4</v>
      </c>
      <c r="B512" t="s">
        <v>2602</v>
      </c>
      <c r="C512" t="s">
        <v>2603</v>
      </c>
      <c r="D512">
        <v>0</v>
      </c>
      <c r="E512" t="s">
        <v>2604</v>
      </c>
      <c r="F512" t="s">
        <v>2079</v>
      </c>
      <c r="G512" t="s">
        <v>2549</v>
      </c>
      <c r="H512" s="39">
        <v>44691</v>
      </c>
      <c r="I512" s="1" t="s">
        <v>2605</v>
      </c>
      <c r="J512" s="66">
        <v>8147777450</v>
      </c>
      <c r="K512" t="s">
        <v>2606</v>
      </c>
      <c r="L512" t="s">
        <v>2561</v>
      </c>
      <c r="M512" t="s">
        <v>105</v>
      </c>
      <c r="N512" t="s">
        <v>2607</v>
      </c>
      <c r="O512" t="s">
        <v>2528</v>
      </c>
      <c r="P512" t="s">
        <v>2650</v>
      </c>
      <c r="Q512" t="s">
        <v>215</v>
      </c>
      <c r="R512" t="s">
        <v>2519</v>
      </c>
      <c r="S512" t="s">
        <v>2127</v>
      </c>
      <c r="T512" t="s">
        <v>2079</v>
      </c>
      <c r="U512" s="97">
        <v>44691.411924537038</v>
      </c>
      <c r="V512">
        <v>2022</v>
      </c>
      <c r="W512" t="s">
        <v>2611</v>
      </c>
      <c r="X512" t="b">
        <f>IF(_xlfn.MAXIFS(Contact[Sequence],Contact[Full Name],Contact[[#This Row],[Full Name]],Contact[Season],Contact[[#This Row],[Season]])=Contact[[#This Row],[Sequence]],TRUE,FALSE)</f>
        <v>1</v>
      </c>
      <c r="AA512">
        <f>IF(Contact[[#This Row],[Latest]]=TRUE,_xlfn.XLOOKUP(Contact[[#This Row],[Final Decision]],Table3[Final Decision],Table3[Active],0),0)</f>
        <v>1</v>
      </c>
      <c r="AB512">
        <f>SUMIF(Contact[Full Name],Contact[[#This Row],[Full Name]],Contact[Active])</f>
        <v>1</v>
      </c>
    </row>
    <row r="513" spans="1:28">
      <c r="A513">
        <v>7</v>
      </c>
      <c r="B513" t="s">
        <v>2564</v>
      </c>
      <c r="C513" t="s">
        <v>2565</v>
      </c>
      <c r="D513" t="s">
        <v>2562</v>
      </c>
      <c r="E513" t="s">
        <v>2566</v>
      </c>
      <c r="F513" t="s">
        <v>2079</v>
      </c>
      <c r="G513" t="s">
        <v>2549</v>
      </c>
      <c r="H513" s="39">
        <v>44691</v>
      </c>
      <c r="I513" s="1" t="s">
        <v>2567</v>
      </c>
      <c r="J513" s="66">
        <v>9795711543</v>
      </c>
      <c r="K513" t="s">
        <v>2568</v>
      </c>
      <c r="L513" t="s">
        <v>2561</v>
      </c>
      <c r="M513" t="s">
        <v>105</v>
      </c>
      <c r="N513" t="s">
        <v>1070</v>
      </c>
      <c r="O513" t="s">
        <v>2528</v>
      </c>
      <c r="P513" t="s">
        <v>2651</v>
      </c>
      <c r="Q513" t="s">
        <v>2547</v>
      </c>
      <c r="R513" t="s">
        <v>2548</v>
      </c>
      <c r="S513" t="s">
        <v>112</v>
      </c>
      <c r="T513" t="s">
        <v>2079</v>
      </c>
      <c r="U513" s="97">
        <v>44691.412834606483</v>
      </c>
      <c r="V513">
        <v>2022</v>
      </c>
      <c r="W513" t="s">
        <v>2611</v>
      </c>
      <c r="X513" t="b">
        <f>IF(_xlfn.MAXIFS(Contact[Sequence],Contact[Full Name],Contact[[#This Row],[Full Name]],Contact[Season],Contact[[#This Row],[Season]])=Contact[[#This Row],[Sequence]],TRUE,FALSE)</f>
        <v>1</v>
      </c>
      <c r="AA513">
        <f>IF(Contact[[#This Row],[Latest]]=TRUE,_xlfn.XLOOKUP(Contact[[#This Row],[Final Decision]],Table3[Final Decision],Table3[Active],0),0)</f>
        <v>0</v>
      </c>
      <c r="AB513">
        <f>SUMIF(Contact[Full Name],Contact[[#This Row],[Full Name]],Contact[Active])</f>
        <v>0</v>
      </c>
    </row>
    <row r="514" spans="1:28">
      <c r="A514">
        <v>7</v>
      </c>
      <c r="B514" t="s">
        <v>2638</v>
      </c>
      <c r="C514" t="s">
        <v>2639</v>
      </c>
      <c r="D514">
        <v>0</v>
      </c>
      <c r="E514" t="s">
        <v>2640</v>
      </c>
      <c r="F514" t="s">
        <v>2079</v>
      </c>
      <c r="G514" t="s">
        <v>2549</v>
      </c>
      <c r="H514" s="39">
        <v>44692</v>
      </c>
      <c r="I514" s="1" t="s">
        <v>2641</v>
      </c>
      <c r="J514" s="66" t="s">
        <v>2642</v>
      </c>
      <c r="K514" t="s">
        <v>2643</v>
      </c>
      <c r="L514" t="s">
        <v>2561</v>
      </c>
      <c r="M514" t="s">
        <v>105</v>
      </c>
      <c r="N514" t="s">
        <v>2095</v>
      </c>
      <c r="O514" t="s">
        <v>2644</v>
      </c>
      <c r="P514" t="s">
        <v>2652</v>
      </c>
      <c r="Q514" t="s">
        <v>2511</v>
      </c>
      <c r="R514" t="s">
        <v>2519</v>
      </c>
      <c r="S514" t="s">
        <v>2127</v>
      </c>
      <c r="T514" t="s">
        <v>2079</v>
      </c>
      <c r="U514" s="97">
        <v>44692.507044791666</v>
      </c>
      <c r="V514">
        <v>2022</v>
      </c>
      <c r="W514" t="s">
        <v>2371</v>
      </c>
      <c r="X514" t="b">
        <f>IF(_xlfn.MAXIFS(Contact[Sequence],Contact[Full Name],Contact[[#This Row],[Full Name]],Contact[Season],Contact[[#This Row],[Season]])=Contact[[#This Row],[Sequence]],TRUE,FALSE)</f>
        <v>0</v>
      </c>
      <c r="AA514">
        <f>IF(Contact[[#This Row],[Latest]]=TRUE,_xlfn.XLOOKUP(Contact[[#This Row],[Final Decision]],Table3[Final Decision],Table3[Active],0),0)</f>
        <v>0</v>
      </c>
      <c r="AB514">
        <f>SUMIF(Contact[Full Name],Contact[[#This Row],[Full Name]],Contact[Active])</f>
        <v>1</v>
      </c>
    </row>
    <row r="515" spans="1:28">
      <c r="A515">
        <v>8</v>
      </c>
      <c r="B515" t="s">
        <v>2638</v>
      </c>
      <c r="C515" t="s">
        <v>2639</v>
      </c>
      <c r="D515">
        <v>0</v>
      </c>
      <c r="E515" t="s">
        <v>2640</v>
      </c>
      <c r="F515" t="s">
        <v>2371</v>
      </c>
      <c r="G515" t="s">
        <v>2100</v>
      </c>
      <c r="H515" s="39">
        <v>44694</v>
      </c>
      <c r="I515" s="1" t="s">
        <v>2641</v>
      </c>
      <c r="J515" s="66" t="s">
        <v>2642</v>
      </c>
      <c r="K515" t="s">
        <v>2643</v>
      </c>
      <c r="L515" t="s">
        <v>2561</v>
      </c>
      <c r="M515" t="s">
        <v>105</v>
      </c>
      <c r="N515" t="s">
        <v>2095</v>
      </c>
      <c r="O515" t="s">
        <v>2644</v>
      </c>
      <c r="P515" t="s">
        <v>2653</v>
      </c>
      <c r="Q515" t="s">
        <v>2574</v>
      </c>
      <c r="R515" t="s">
        <v>2519</v>
      </c>
      <c r="S515" t="s">
        <v>2127</v>
      </c>
      <c r="T515" t="s">
        <v>2371</v>
      </c>
      <c r="U515" s="97">
        <v>44694.663603703702</v>
      </c>
      <c r="V515">
        <v>2022</v>
      </c>
      <c r="W515" t="s">
        <v>2079</v>
      </c>
      <c r="X515" t="b">
        <f>IF(_xlfn.MAXIFS(Contact[Sequence],Contact[Full Name],Contact[[#This Row],[Full Name]],Contact[Season],Contact[[#This Row],[Season]])=Contact[[#This Row],[Sequence]],TRUE,FALSE)</f>
        <v>1</v>
      </c>
      <c r="AA515">
        <f>IF(Contact[[#This Row],[Latest]]=TRUE,_xlfn.XLOOKUP(Contact[[#This Row],[Final Decision]],Table3[Final Decision],Table3[Active],0),0)</f>
        <v>1</v>
      </c>
      <c r="AB515">
        <f>SUMIF(Contact[Full Name],Contact[[#This Row],[Full Name]],Contact[Active])</f>
        <v>1</v>
      </c>
    </row>
  </sheetData>
  <hyperlinks>
    <hyperlink ref="I468" r:id="rId1" xr:uid="{3E3EC271-5890-48D2-ADC5-CEE0E9D126D0}"/>
    <hyperlink ref="I466" r:id="rId2" xr:uid="{9B3FA237-B1E7-470C-88FA-DFF2C7CF64A1}"/>
    <hyperlink ref="I463" r:id="rId3" xr:uid="{5704F90B-E6B4-4D94-85FD-0743B63BBE0C}"/>
    <hyperlink ref="I460" r:id="rId4" xr:uid="{521F9F05-74FA-4AA6-A710-3C0C3A518FD9}"/>
  </hyperlinks>
  <pageMargins left="0.7" right="0.7" top="0.75" bottom="0.75" header="0.3" footer="0.3"/>
  <pageSetup orientation="portrait" r:id="rId5"/>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8A583-53D2-411C-85E2-96669F61D6D8}">
  <sheetPr codeName="Sheet10"/>
  <dimension ref="B1:AU404"/>
  <sheetViews>
    <sheetView showGridLines="0" zoomScale="90" zoomScaleNormal="90" workbookViewId="0">
      <selection activeCell="B14" sqref="B14"/>
    </sheetView>
  </sheetViews>
  <sheetFormatPr defaultRowHeight="14.45"/>
  <cols>
    <col min="1" max="1" width="5.85546875" bestFit="1" customWidth="1"/>
    <col min="2" max="2" width="13.42578125" customWidth="1"/>
    <col min="3" max="3" width="26.28515625" customWidth="1"/>
    <col min="4" max="4" width="13" customWidth="1"/>
    <col min="5" max="5" width="13.7109375" customWidth="1"/>
    <col min="6" max="6" width="13.140625" customWidth="1"/>
    <col min="7" max="7" width="13.7109375" customWidth="1"/>
    <col min="8" max="9" width="16" customWidth="1"/>
    <col min="10" max="10" width="78.7109375" style="135" customWidth="1"/>
    <col min="11" max="11" width="17.28515625" customWidth="1"/>
    <col min="12" max="12" width="18.5703125" customWidth="1"/>
    <col min="13" max="18" width="17.28515625" customWidth="1"/>
    <col min="19" max="21" width="16" customWidth="1"/>
    <col min="22" max="22" width="11.7109375" customWidth="1"/>
    <col min="23" max="23" width="20.7109375" customWidth="1"/>
    <col min="24" max="31" width="11.7109375" customWidth="1"/>
  </cols>
  <sheetData>
    <row r="1" spans="2:47" ht="15" thickBot="1">
      <c r="F1" s="1" t="s">
        <v>1</v>
      </c>
      <c r="H1" s="1" t="s">
        <v>2654</v>
      </c>
      <c r="J1" s="50"/>
      <c r="M1" s="2" t="s">
        <v>2655</v>
      </c>
      <c r="N1" s="2" t="s">
        <v>2656</v>
      </c>
      <c r="S1" s="2" t="s">
        <v>2657</v>
      </c>
      <c r="AA1" t="str" cm="1">
        <f t="array" aca="1" ref="AA1:AA11" ca="1">(INDIRECT("AK13:AK"&amp;AD11+12))</f>
        <v>Sequence</v>
      </c>
    </row>
    <row r="2" spans="2:47" ht="15.6" thickTop="1" thickBot="1">
      <c r="B2" s="2" t="s">
        <v>23</v>
      </c>
      <c r="C2" s="61">
        <v>2022</v>
      </c>
      <c r="D2" s="52"/>
      <c r="J2" s="50"/>
      <c r="M2" t="s">
        <v>2658</v>
      </c>
      <c r="N2" t="s">
        <v>2659</v>
      </c>
      <c r="S2" t="s">
        <v>2660</v>
      </c>
      <c r="T2" s="5" t="s">
        <v>2661</v>
      </c>
      <c r="AA2" t="str">
        <f ca="1"/>
        <v>Full Name</v>
      </c>
      <c r="AD2" t="s">
        <v>22</v>
      </c>
      <c r="AE2" t="s">
        <v>37</v>
      </c>
      <c r="AF2" t="s">
        <v>39</v>
      </c>
      <c r="AG2" t="s">
        <v>44</v>
      </c>
      <c r="AH2" t="s">
        <v>45</v>
      </c>
      <c r="AI2" t="s">
        <v>24</v>
      </c>
      <c r="AJ2" t="s">
        <v>42</v>
      </c>
    </row>
    <row r="3" spans="2:47" ht="15.6" thickTop="1" thickBot="1">
      <c r="B3" s="2" t="s">
        <v>22</v>
      </c>
      <c r="C3" s="61" t="s">
        <v>2640</v>
      </c>
      <c r="D3" s="52" t="s">
        <v>2662</v>
      </c>
      <c r="H3" s="2" t="s">
        <v>2077</v>
      </c>
      <c r="I3" s="96">
        <f ca="1">TODAY()</f>
        <v>44749</v>
      </c>
      <c r="J3" s="50"/>
      <c r="M3" t="s">
        <v>2658</v>
      </c>
      <c r="N3" t="s">
        <v>2663</v>
      </c>
      <c r="S3" s="3" t="s">
        <v>2664</v>
      </c>
      <c r="T3" s="5" t="s">
        <v>2665</v>
      </c>
      <c r="AA3" t="str">
        <f ca="1"/>
        <v>Current Location</v>
      </c>
    </row>
    <row r="4" spans="2:47" ht="15" thickTop="1">
      <c r="B4" s="50"/>
      <c r="J4" s="50"/>
      <c r="M4" t="s">
        <v>2666</v>
      </c>
      <c r="N4" t="s">
        <v>70</v>
      </c>
      <c r="AA4" t="str">
        <f ca="1"/>
        <v>Position Location</v>
      </c>
      <c r="AO4" s="5" t="s">
        <v>2667</v>
      </c>
    </row>
    <row r="5" spans="2:47">
      <c r="B5" s="50"/>
      <c r="C5" s="52"/>
      <c r="J5" s="50"/>
      <c r="M5" t="s">
        <v>2658</v>
      </c>
      <c r="N5" t="s">
        <v>2668</v>
      </c>
      <c r="AA5" t="str">
        <f ca="1"/>
        <v>Status</v>
      </c>
      <c r="AO5" s="5" t="s">
        <v>2669</v>
      </c>
    </row>
    <row r="6" spans="2:47">
      <c r="B6" s="50"/>
      <c r="M6" t="s">
        <v>2658</v>
      </c>
      <c r="N6" t="s">
        <v>112</v>
      </c>
      <c r="AA6" t="str">
        <f ca="1"/>
        <v>Final Decision</v>
      </c>
    </row>
    <row r="7" spans="2:47">
      <c r="B7" s="50"/>
      <c r="D7" s="62"/>
      <c r="M7" t="s">
        <v>2666</v>
      </c>
      <c r="N7" t="s">
        <v>2127</v>
      </c>
      <c r="AA7" t="str">
        <f ca="1"/>
        <v>Contactor</v>
      </c>
    </row>
    <row r="8" spans="2:47">
      <c r="B8" s="50"/>
      <c r="C8" s="52"/>
      <c r="AA8" t="str">
        <f ca="1"/>
        <v>Type of Contact</v>
      </c>
    </row>
    <row r="9" spans="2:47" ht="15" thickBot="1">
      <c r="B9" s="50"/>
      <c r="C9" s="52" t="s">
        <v>2670</v>
      </c>
      <c r="E9" s="52" t="s">
        <v>2671</v>
      </c>
      <c r="F9" s="3"/>
      <c r="G9" s="3"/>
      <c r="L9" s="2"/>
      <c r="AA9" t="str">
        <f ca="1"/>
        <v>Contact Notes</v>
      </c>
    </row>
    <row r="10" spans="2:47" s="3" customFormat="1" ht="18" customHeight="1" thickBot="1">
      <c r="B10" s="50"/>
      <c r="C10"/>
      <c r="D10"/>
      <c r="E10"/>
      <c r="H10"/>
      <c r="M10"/>
      <c r="P10"/>
      <c r="Q10"/>
      <c r="R10"/>
      <c r="S10" s="21" t="s">
        <v>2672</v>
      </c>
      <c r="T10" s="22">
        <f>ROWS(Contact[])+1</f>
        <v>515</v>
      </c>
      <c r="U10"/>
      <c r="V10"/>
      <c r="W10" s="12" t="s">
        <v>2673</v>
      </c>
      <c r="X10"/>
      <c r="Y10"/>
      <c r="Z10"/>
      <c r="AA10" t="str">
        <f ca="1"/>
        <v>Recommendation</v>
      </c>
      <c r="AB10"/>
      <c r="AC10"/>
      <c r="AD10" s="10" t="s">
        <v>2674</v>
      </c>
      <c r="AE10"/>
      <c r="AG10" s="10" t="s">
        <v>2675</v>
      </c>
      <c r="AH10" s="10" t="s">
        <v>2676</v>
      </c>
      <c r="AK10" s="10" t="s">
        <v>2677</v>
      </c>
    </row>
    <row r="11" spans="2:47" s="3" customFormat="1" ht="15.6" customHeight="1">
      <c r="B11" s="50"/>
      <c r="C11"/>
      <c r="D11"/>
      <c r="E11"/>
      <c r="H11"/>
      <c r="I11"/>
      <c r="J11" s="50"/>
      <c r="K11"/>
      <c r="L11"/>
      <c r="M11"/>
      <c r="N11"/>
      <c r="O11"/>
      <c r="P11"/>
      <c r="Q11"/>
      <c r="R11"/>
      <c r="S11"/>
      <c r="T11"/>
      <c r="U11"/>
      <c r="V11"/>
      <c r="W11"/>
      <c r="X11"/>
      <c r="Y11"/>
      <c r="Z11">
        <f>MAX(Table25[order])</f>
        <v>11</v>
      </c>
      <c r="AA11" t="str">
        <f ca="1"/>
        <v>Asssigned</v>
      </c>
      <c r="AB11"/>
      <c r="AC11"/>
      <c r="AD11">
        <f ca="1">SUM(INDIRECT(AD10&amp;AE11+12))</f>
        <v>11</v>
      </c>
      <c r="AE11">
        <f>ROWS(Table25[])</f>
        <v>24</v>
      </c>
    </row>
    <row r="12" spans="2:47" s="3" customFormat="1" ht="30" customHeight="1">
      <c r="B12" s="90" t="s">
        <v>2678</v>
      </c>
      <c r="C12" s="91"/>
      <c r="D12" s="92"/>
      <c r="E12" s="91"/>
      <c r="F12" s="91"/>
      <c r="G12" s="91"/>
      <c r="H12" s="91"/>
      <c r="I12" s="91"/>
      <c r="J12" s="91"/>
      <c r="K12" s="91"/>
      <c r="L12" s="91"/>
      <c r="R12"/>
      <c r="S12" s="15" t="s">
        <v>2679</v>
      </c>
      <c r="T12" s="16" t="s">
        <v>2680</v>
      </c>
      <c r="U12" s="16" t="s">
        <v>2681</v>
      </c>
      <c r="W12" s="3" t="s">
        <v>2680</v>
      </c>
      <c r="X12" s="3" t="s">
        <v>2682</v>
      </c>
      <c r="Y12" s="3" t="s">
        <v>2683</v>
      </c>
      <c r="Z12" s="3" t="s">
        <v>2684</v>
      </c>
      <c r="AB12" s="6" t="s">
        <v>2680</v>
      </c>
      <c r="AC12" s="7" t="s">
        <v>2682</v>
      </c>
      <c r="AD12" s="7" t="s">
        <v>2683</v>
      </c>
      <c r="AE12" s="8" t="s">
        <v>2684</v>
      </c>
      <c r="AG12" s="11" t="s">
        <v>2685</v>
      </c>
      <c r="AH12" s="11" t="s">
        <v>2686</v>
      </c>
      <c r="AI12" s="11" t="s">
        <v>2687</v>
      </c>
      <c r="AJ12" s="11" t="s">
        <v>2688</v>
      </c>
      <c r="AK12" s="3" t="str" cm="1">
        <f t="array" aca="1" ref="AK12:AU12" ca="1">TRANSPOSE(INDIRECT(AK10&amp;AD11+12))</f>
        <v>Sequence</v>
      </c>
      <c r="AL12" s="3" t="str">
        <f ca="1"/>
        <v>Full Name</v>
      </c>
      <c r="AM12" s="3" t="str">
        <f ca="1"/>
        <v>Current Location</v>
      </c>
      <c r="AN12" s="3" t="str">
        <f ca="1"/>
        <v>Position Location</v>
      </c>
      <c r="AO12" s="3" t="str">
        <f ca="1"/>
        <v>Status</v>
      </c>
      <c r="AP12" s="3" t="str">
        <f ca="1"/>
        <v>Final Decision</v>
      </c>
      <c r="AQ12" s="3" t="str">
        <f ca="1"/>
        <v>Contactor</v>
      </c>
      <c r="AR12" s="3" t="str">
        <f ca="1"/>
        <v>Type of Contact</v>
      </c>
      <c r="AS12" s="3" t="str">
        <f ca="1"/>
        <v>Contact Notes</v>
      </c>
      <c r="AT12" s="3" t="str">
        <f ca="1"/>
        <v>Recommendation</v>
      </c>
      <c r="AU12" s="3" t="str">
        <f ca="1"/>
        <v>Asssigned</v>
      </c>
    </row>
    <row r="13" spans="2:47" s="3" customFormat="1" ht="30" customHeight="1">
      <c r="B13" s="9" t="str" cm="1">
        <f t="array" aca="1" ref="B13:L13" ca="1">TRANSPOSE(INDIRECT("AK13:AK"&amp;AD11+12))</f>
        <v>Sequence</v>
      </c>
      <c r="C13" s="9" t="str">
        <f ca="1"/>
        <v>Full Name</v>
      </c>
      <c r="D13" s="9" t="str">
        <f ca="1"/>
        <v>Current Location</v>
      </c>
      <c r="E13" s="9" t="str">
        <f ca="1"/>
        <v>Position Location</v>
      </c>
      <c r="F13" s="9" t="str">
        <f ca="1"/>
        <v>Status</v>
      </c>
      <c r="G13" s="9" t="str">
        <f ca="1"/>
        <v>Final Decision</v>
      </c>
      <c r="H13" s="9" t="str">
        <f ca="1"/>
        <v>Contactor</v>
      </c>
      <c r="I13" s="9" t="str">
        <f ca="1"/>
        <v>Type of Contact</v>
      </c>
      <c r="J13" s="9" t="str">
        <f ca="1"/>
        <v>Contact Notes</v>
      </c>
      <c r="K13" s="9" t="str">
        <f ca="1"/>
        <v>Recommendation</v>
      </c>
      <c r="L13" s="9" t="str">
        <f ca="1"/>
        <v>Asssigned</v>
      </c>
      <c r="M13" s="9"/>
      <c r="N13" s="9"/>
      <c r="O13" s="9"/>
      <c r="P13" s="9"/>
      <c r="Q13" s="9"/>
      <c r="R13"/>
      <c r="S13" s="9" cm="1">
        <f t="array" ref="S13:S40">TRANSPOSE(_xlfn._xlws.FILTER(Contact[],(Contact[Latest]=TRUE)*(Contact[Full Name]=$C$3)*(Contact[Season]=$C$2),"Select name"))</f>
        <v>8</v>
      </c>
      <c r="T13" s="14" t="str" cm="1">
        <f t="array" ref="T13:T36">Table25[Field]</f>
        <v>Sequence</v>
      </c>
      <c r="U13" s="17">
        <f>G4+1</f>
        <v>1</v>
      </c>
      <c r="V13"/>
      <c r="W13" s="3" t="s">
        <v>29</v>
      </c>
      <c r="X13" s="3">
        <v>1</v>
      </c>
      <c r="Y13" s="3">
        <f>IF(ISNUMBER(Table25[[#This Row],[order]]),1,"")</f>
        <v>1</v>
      </c>
      <c r="Z13" s="3">
        <v>1</v>
      </c>
      <c r="AB13" s="3" t="str" cm="1">
        <f t="array" ref="AB13:AE36">_xlfn.SORTBY(Table25[],Table25[order],1)</f>
        <v>Sequence</v>
      </c>
      <c r="AC13" s="3">
        <v>1</v>
      </c>
      <c r="AD13" s="3">
        <v>1</v>
      </c>
      <c r="AE13" s="3">
        <v>1</v>
      </c>
      <c r="AG13" s="3" cm="1">
        <f t="array" aca="1" ref="AG13:AG36" ca="1">INDIRECT(AG10&amp;AE11+12)</f>
        <v>1</v>
      </c>
      <c r="AH13" s="3" cm="1">
        <f t="array" aca="1" ref="AH13:AH36" ca="1">INDIRECT(AH10&amp;AE11+12)</f>
        <v>1</v>
      </c>
      <c r="AI13" s="3" cm="1">
        <f t="array" aca="1" ref="AI13:AI36" ca="1">_xlfn.SORTBY(_xlfn.ANCHORARRAY(AG13),_xlfn.ANCHORARRAY(AH13),1)</f>
        <v>2</v>
      </c>
      <c r="AJ13" s="3" cm="1">
        <f t="array" aca="1" ref="AJ13:AJ23" ca="1">_xlfn._xlws.FILTER(_xlfn.ANCHORARRAY(AG13),_xlfn.ANCHORARRAY(AH13)&lt;&gt;0)</f>
        <v>1</v>
      </c>
      <c r="AK13" s="3" t="str" cm="1">
        <f t="array" aca="1" ref="AK13:AN23" ca="1">_xlfn._xlws.FILTER(_xlfn.ANCHORARRAY(AB13),_xlfn.ANCHORARRAY(AH13)&lt;&gt;0)</f>
        <v>Sequence</v>
      </c>
      <c r="AL13" s="3">
        <f ca="1"/>
        <v>1</v>
      </c>
      <c r="AM13" s="3">
        <f ca="1"/>
        <v>1</v>
      </c>
      <c r="AN13" s="3">
        <f ca="1"/>
        <v>1</v>
      </c>
    </row>
    <row r="14" spans="2:47" s="14" customFormat="1" ht="187.15">
      <c r="B14" s="4" cm="1">
        <f t="array" aca="1" ref="B14:L21" ca="1">IF(C3="",
_xlfn.SORTBY(_xlfn._xlws.FILTER(INDEX(Contact[#Data],_xlfn.SEQUENCE(ROWS(Contact[#Data])),TRANSPOSE(_xlfn.ANCHORARRAY(AJ13))),(Contact[Season]=$C$2)*(Contact[Active Flag]=1),"Select valid name"),_xlfn._xlws.FILTER(Contact[Full Name],(Contact[Season]=$C$2)*(Contact[Active Flag]=1)),-1,_xlfn._xlws.FILTER(Contact[Sequence],(Contact[Season]=$C$2)*(Contact[Active Flag]=1)),-1),
_xlfn.SORTBY(_xlfn._xlws.FILTER(INDEX(Contact[#Data],_xlfn.SEQUENCE(ROWS(Contact[#Data])),TRANSPOSE(_xlfn.ANCHORARRAY(AJ13))),(Contact[Season]=$C$2)*(Contact[Full Name]=$C$3),"Select valid name"),_xlfn._xlws.FILTER(Contact[Full Name],(Contact[Season]=$C$2)*(Contact[Full Name]=$C$3)),-1,_xlfn._xlws.FILTER(Contact[Sequence],(Contact[Season]=$C$2)*(Contact[Full Name]=$C$3)),-1))</f>
        <v>8</v>
      </c>
      <c r="C14" s="13" t="str">
        <f ca="1"/>
        <v>Sumitaka Koga</v>
      </c>
      <c r="D14" s="13" t="str">
        <f ca="1"/>
        <v>Austin</v>
      </c>
      <c r="E14" s="4" t="str">
        <f ca="1"/>
        <v>Bentonville</v>
      </c>
      <c r="F14" s="4" t="str">
        <f ca="1"/>
        <v>In process</v>
      </c>
      <c r="G14" s="4" t="str">
        <f ca="1"/>
        <v>Pending</v>
      </c>
      <c r="H14" s="4" t="str">
        <f ca="1"/>
        <v>Pranav Potbhare</v>
      </c>
      <c r="I14" s="82" t="str">
        <f ca="1"/>
        <v>Phone Screen</v>
      </c>
      <c r="J14" s="82" t="str">
        <f ca="1"/>
        <v>Besides an overall understanding of the psat roles, checked via two mini-cases: 1. COO diversification at Dell, 2. setting category strategy for a 'difficult' GS VP. 
Strengths: 1. Reasonably good at structuring, picked up the right pillars / components in above mini-cases; 2. Good at common sense approach to relationship building with clients - "listening", "build on VP's measures", etc; 3. Great attitude, keen to take up new industry challenges; 
Unproven / gaps: 1. Agree with prev. feedback about past focus on projects vs. strategy. Not able to clearly highlight impact via core strategy vs. program initiatives in past roles; 2. Dell Data Gov. experience in working with multiple leaders as stakeholders on individual projects - however not owned the relationship with a leader consistently.  3. Might require support to 'own' a GS leader fully.
Summary: Entreprising candidate, great pedigree &amp; experience, EM toolkit not fully developed but we could help bridge gaps in a year to help him scale up.</v>
      </c>
      <c r="K14" s="3" t="str">
        <f ca="1"/>
        <v>Invite for Interview</v>
      </c>
      <c r="L14" s="3" t="str">
        <f ca="1"/>
        <v>Miguel Sanchez</v>
      </c>
      <c r="R14"/>
      <c r="S14" s="14" t="str">
        <v>Sumitaka</v>
      </c>
      <c r="T14" s="14" t="str">
        <v>First Name</v>
      </c>
      <c r="U14" s="14" t="str">
        <f>S14</f>
        <v>Sumitaka</v>
      </c>
      <c r="V14"/>
      <c r="W14" s="14" t="s">
        <v>30</v>
      </c>
      <c r="X14" s="14">
        <v>2</v>
      </c>
      <c r="Y14" s="14" t="str">
        <f>IF(ISNUMBER(Table25[[#This Row],[order]]),1,"")</f>
        <v/>
      </c>
      <c r="AB14" s="14" t="str">
        <v>Full Name</v>
      </c>
      <c r="AC14" s="14">
        <v>5</v>
      </c>
      <c r="AD14" s="14">
        <v>1</v>
      </c>
      <c r="AE14" s="14">
        <v>2</v>
      </c>
      <c r="AG14" s="14">
        <f ca="1"/>
        <v>5</v>
      </c>
      <c r="AH14" s="14">
        <f ca="1"/>
        <v>2</v>
      </c>
      <c r="AI14" s="14">
        <f ca="1"/>
        <v>3</v>
      </c>
      <c r="AJ14" s="14">
        <f ca="1"/>
        <v>5</v>
      </c>
      <c r="AK14" s="14" t="str">
        <f ca="1"/>
        <v>Full Name</v>
      </c>
      <c r="AL14" s="14">
        <f ca="1"/>
        <v>5</v>
      </c>
      <c r="AM14" s="14">
        <f ca="1"/>
        <v>1</v>
      </c>
      <c r="AN14" s="14">
        <f ca="1"/>
        <v>2</v>
      </c>
    </row>
    <row r="15" spans="2:47" s="14" customFormat="1" ht="28.9">
      <c r="B15" s="4">
        <f ca="1"/>
        <v>7</v>
      </c>
      <c r="C15" s="13" t="str">
        <f ca="1"/>
        <v>Sumitaka Koga</v>
      </c>
      <c r="D15" s="13" t="str">
        <f ca="1"/>
        <v>Austin</v>
      </c>
      <c r="E15" s="4" t="str">
        <f ca="1"/>
        <v>Bentonville</v>
      </c>
      <c r="F15" s="4" t="str">
        <f ca="1"/>
        <v>In process</v>
      </c>
      <c r="G15" s="4" t="str">
        <f ca="1"/>
        <v>Pending</v>
      </c>
      <c r="H15" s="4" t="str">
        <f ca="1"/>
        <v>Miguel Sanchez</v>
      </c>
      <c r="I15" s="82" t="str">
        <f ca="1"/>
        <v>Review and Decision</v>
      </c>
      <c r="J15" s="82" t="str">
        <f ca="1"/>
        <v>Assigned to Pranav as advised by Miguel</v>
      </c>
      <c r="K15" s="3" t="str">
        <f ca="1"/>
        <v>Additional phone screen</v>
      </c>
      <c r="L15" s="3" t="str">
        <f ca="1"/>
        <v>Pranav Potbhare</v>
      </c>
      <c r="R15"/>
      <c r="S15" s="14" t="str">
        <v>Koga</v>
      </c>
      <c r="T15" s="14" t="str">
        <v>Last Name</v>
      </c>
      <c r="U15" s="14" t="str">
        <f t="shared" ref="U15:U36" si="0">S15</f>
        <v>Koga</v>
      </c>
      <c r="V15"/>
      <c r="W15" s="14" t="s">
        <v>31</v>
      </c>
      <c r="X15" s="14">
        <v>3</v>
      </c>
      <c r="Y15" s="14" t="str">
        <f>IF(ISNUMBER(Table25[[#This Row],[order]]),1,"")</f>
        <v/>
      </c>
      <c r="AB15" s="14" t="str">
        <v>Current Location</v>
      </c>
      <c r="AC15" s="14">
        <v>11</v>
      </c>
      <c r="AD15" s="14">
        <v>1</v>
      </c>
      <c r="AE15" s="14">
        <v>3</v>
      </c>
      <c r="AG15" s="14">
        <f ca="1"/>
        <v>11</v>
      </c>
      <c r="AH15" s="14">
        <f ca="1"/>
        <v>3</v>
      </c>
      <c r="AI15" s="14">
        <f ca="1"/>
        <v>4</v>
      </c>
      <c r="AJ15" s="14">
        <f ca="1"/>
        <v>11</v>
      </c>
      <c r="AK15" s="14" t="str">
        <f ca="1"/>
        <v>Current Location</v>
      </c>
      <c r="AL15" s="14">
        <f ca="1"/>
        <v>11</v>
      </c>
      <c r="AM15" s="14">
        <f ca="1"/>
        <v>1</v>
      </c>
      <c r="AN15" s="14">
        <f ca="1"/>
        <v>3</v>
      </c>
    </row>
    <row r="16" spans="2:47" s="14" customFormat="1" ht="172.9">
      <c r="B16" s="4">
        <f ca="1"/>
        <v>6</v>
      </c>
      <c r="C16" s="13" t="str">
        <f ca="1"/>
        <v>Sumitaka Koga</v>
      </c>
      <c r="D16" s="13" t="str">
        <f ca="1"/>
        <v>Austin</v>
      </c>
      <c r="E16" s="4" t="str">
        <f ca="1"/>
        <v>Bentonville</v>
      </c>
      <c r="F16" s="4" t="str">
        <f ca="1"/>
        <v>In process</v>
      </c>
      <c r="G16" s="4" t="str">
        <f ca="1"/>
        <v>Pending</v>
      </c>
      <c r="H16" s="4" t="str">
        <f ca="1"/>
        <v>Sumit Narang</v>
      </c>
      <c r="I16" s="82" t="str">
        <f ca="1"/>
        <v>Phone Screen</v>
      </c>
      <c r="J16" s="82" t="str">
        <f ca="1"/>
        <v xml:space="preserve">Sharp &amp; picks up things quickly. Should be able to navigate between multiple teams. Strong bent towards data driven approach to PS. In case of lack of reliable data, leans towards hypothesis driven approach but will require some handholding (not as strong). Strong on execution, willing to roll-up sleeves - will be good for PMO, driving on-ground progress. Comfortable in switching from a manager role back to IC role. Would prefer to transition to Tech in 2-3 years. 
3 key concern areas - 1.) Retaining him for long might be a challenge  (given his experience, ambition, WM WoW)?; 2.) Did not come across as self driven - seems to rely on direction being set (needs further evaluation); 3.) May need repolishing on Executive presence (unkempt apperance, call wearing a nightsuit). 
Overall - Can move forward. Not a slam dunk case but a very good option. Sharp &amp; good cultural fit for team. Will require handholding initially on finding his way. </v>
      </c>
      <c r="K16" s="3" t="str">
        <f ca="1"/>
        <v>Invite for Interview</v>
      </c>
      <c r="L16" s="3" t="str">
        <f ca="1"/>
        <v>Miguel Sanchez</v>
      </c>
      <c r="S16" s="14">
        <v>0</v>
      </c>
      <c r="T16" s="14" t="str">
        <v>Name Descriptor</v>
      </c>
      <c r="U16" s="14">
        <f t="shared" si="0"/>
        <v>0</v>
      </c>
      <c r="V16"/>
      <c r="W16" s="14" t="s">
        <v>32</v>
      </c>
      <c r="X16" s="14">
        <v>4</v>
      </c>
      <c r="Y16" s="14" t="str">
        <f>IF(ISNUMBER(Table25[[#This Row],[order]]),1,"")</f>
        <v/>
      </c>
      <c r="AB16" s="14" t="str">
        <v>Position Location</v>
      </c>
      <c r="AC16" s="14">
        <v>13</v>
      </c>
      <c r="AD16" s="14">
        <v>1</v>
      </c>
      <c r="AE16" s="14">
        <v>4</v>
      </c>
      <c r="AG16" s="14">
        <f ca="1"/>
        <v>13</v>
      </c>
      <c r="AH16" s="14">
        <f ca="1"/>
        <v>4</v>
      </c>
      <c r="AI16" s="14">
        <f ca="1"/>
        <v>8</v>
      </c>
      <c r="AJ16" s="14">
        <f ca="1"/>
        <v>13</v>
      </c>
      <c r="AK16" s="14" t="str">
        <f ca="1"/>
        <v>Position Location</v>
      </c>
      <c r="AL16" s="14">
        <f ca="1"/>
        <v>13</v>
      </c>
      <c r="AM16" s="14">
        <f ca="1"/>
        <v>1</v>
      </c>
      <c r="AN16" s="14">
        <f ca="1"/>
        <v>4</v>
      </c>
    </row>
    <row r="17" spans="2:40" s="14" customFormat="1" ht="28.9">
      <c r="B17" s="4">
        <f ca="1"/>
        <v>5</v>
      </c>
      <c r="C17" s="13" t="str">
        <f ca="1"/>
        <v>Sumitaka Koga</v>
      </c>
      <c r="D17" s="13" t="str">
        <f ca="1"/>
        <v>Austin</v>
      </c>
      <c r="E17" s="4" t="str">
        <f ca="1"/>
        <v>Bentonville</v>
      </c>
      <c r="F17" s="4" t="str">
        <f ca="1"/>
        <v>In process</v>
      </c>
      <c r="G17" s="4" t="str">
        <f ca="1"/>
        <v>Pending</v>
      </c>
      <c r="H17" s="4" t="str">
        <f ca="1"/>
        <v>Miguel Sanchez</v>
      </c>
      <c r="I17" s="82" t="str">
        <f ca="1"/>
        <v>Review and Decision</v>
      </c>
      <c r="J17" s="82" t="str">
        <f ca="1"/>
        <v>As per Miguel's instruction, Sumit to set up time and talk to Sumitaka</v>
      </c>
      <c r="K17" s="3" t="str">
        <f ca="1"/>
        <v>Additional phone screen</v>
      </c>
      <c r="L17" s="3" t="str">
        <f ca="1"/>
        <v>Sumit Narang</v>
      </c>
      <c r="S17" s="14" t="str">
        <v>Sumitaka Koga</v>
      </c>
      <c r="T17" s="14" t="str">
        <v>Full Name</v>
      </c>
      <c r="U17" s="14" t="str">
        <f t="shared" si="0"/>
        <v>Sumitaka Koga</v>
      </c>
      <c r="V17"/>
      <c r="W17" s="14" t="s">
        <v>22</v>
      </c>
      <c r="X17" s="14">
        <v>5</v>
      </c>
      <c r="Y17" s="14">
        <f>IF(ISNUMBER(Table25[[#This Row],[order]]),1,"")</f>
        <v>1</v>
      </c>
      <c r="Z17" s="14">
        <v>2</v>
      </c>
      <c r="AB17" s="14" t="str">
        <v>Status</v>
      </c>
      <c r="AC17" s="14">
        <v>18</v>
      </c>
      <c r="AD17" s="14">
        <v>1</v>
      </c>
      <c r="AE17" s="14">
        <v>5</v>
      </c>
      <c r="AG17" s="14">
        <f ca="1"/>
        <v>18</v>
      </c>
      <c r="AH17" s="14">
        <f ca="1"/>
        <v>5</v>
      </c>
      <c r="AI17" s="14">
        <f ca="1"/>
        <v>9</v>
      </c>
      <c r="AJ17" s="14">
        <f ca="1"/>
        <v>18</v>
      </c>
      <c r="AK17" s="14" t="str">
        <f ca="1"/>
        <v>Status</v>
      </c>
      <c r="AL17" s="14">
        <f ca="1"/>
        <v>18</v>
      </c>
      <c r="AM17" s="14">
        <f ca="1"/>
        <v>1</v>
      </c>
      <c r="AN17" s="14">
        <f ca="1"/>
        <v>5</v>
      </c>
    </row>
    <row r="18" spans="2:40" s="14" customFormat="1" ht="100.9">
      <c r="B18" s="4">
        <f ca="1"/>
        <v>4</v>
      </c>
      <c r="C18" s="13" t="str">
        <f ca="1"/>
        <v>Sumitaka Koga</v>
      </c>
      <c r="D18" s="13" t="str">
        <f ca="1"/>
        <v>Austin</v>
      </c>
      <c r="E18" s="4" t="str">
        <f ca="1"/>
        <v>Bentonville</v>
      </c>
      <c r="F18" s="4" t="str">
        <f ca="1"/>
        <v>In process</v>
      </c>
      <c r="G18" s="4" t="str">
        <f ca="1"/>
        <v>Pending</v>
      </c>
      <c r="H18" s="4" t="str">
        <f ca="1"/>
        <v>Richeek Maitra</v>
      </c>
      <c r="I18" s="82" t="str">
        <f ca="1"/>
        <v>Phone Screen</v>
      </c>
      <c r="J18" s="82" t="str">
        <f ca="1"/>
        <v>Good fit for the strategy role in its current description and future changes and scope additions we would think of - has strategy and recent line management expereince (40 people in supply chain analytics) - wants to step into a new role, organization and culture
Looking to move now after retirement of SVP of Supply chain and other people in current oragnization who were focused on strategic actions - current leadership is very good at and focused on execution - delayed his search with the start of pandemic due to birth of son in 2020</v>
      </c>
      <c r="K18" s="3" t="str">
        <f ca="1"/>
        <v>Invite for Interview</v>
      </c>
      <c r="L18" s="3" t="str">
        <f ca="1"/>
        <v>Miguel Sanchez</v>
      </c>
      <c r="S18" s="14" t="str">
        <v>Pranav Potbhare</v>
      </c>
      <c r="T18" s="14" t="str">
        <v>Contactor</v>
      </c>
      <c r="U18" s="17">
        <f>C4</f>
        <v>0</v>
      </c>
      <c r="V18"/>
      <c r="W18" s="14" t="s">
        <v>33</v>
      </c>
      <c r="X18" s="14">
        <v>6</v>
      </c>
      <c r="Y18" s="14">
        <f>IF(ISNUMBER(Table25[[#This Row],[order]]),1,"")</f>
        <v>1</v>
      </c>
      <c r="Z18" s="14">
        <v>7</v>
      </c>
      <c r="AB18" s="14" t="str">
        <v>Final Decision</v>
      </c>
      <c r="AC18" s="14">
        <v>19</v>
      </c>
      <c r="AD18" s="14">
        <v>1</v>
      </c>
      <c r="AE18" s="14">
        <v>6</v>
      </c>
      <c r="AG18" s="14">
        <f ca="1"/>
        <v>19</v>
      </c>
      <c r="AH18" s="14">
        <f ca="1"/>
        <v>6</v>
      </c>
      <c r="AI18" s="14">
        <f ca="1"/>
        <v>10</v>
      </c>
      <c r="AJ18" s="14">
        <f ca="1"/>
        <v>19</v>
      </c>
      <c r="AK18" s="14" t="str">
        <f ca="1"/>
        <v>Final Decision</v>
      </c>
      <c r="AL18" s="14">
        <f ca="1"/>
        <v>19</v>
      </c>
      <c r="AM18" s="14">
        <f ca="1"/>
        <v>1</v>
      </c>
      <c r="AN18" s="14">
        <f ca="1"/>
        <v>6</v>
      </c>
    </row>
    <row r="19" spans="2:40" s="14" customFormat="1" ht="115.15">
      <c r="B19" s="4">
        <f ca="1"/>
        <v>3</v>
      </c>
      <c r="C19" s="13" t="str">
        <f ca="1"/>
        <v>Sumitaka Koga</v>
      </c>
      <c r="D19" s="3" t="str">
        <f ca="1"/>
        <v>Austin</v>
      </c>
      <c r="E19" s="4" t="str">
        <f ca="1"/>
        <v>Bentonville</v>
      </c>
      <c r="F19" s="4" t="str">
        <f ca="1"/>
        <v>In process</v>
      </c>
      <c r="G19" s="4" t="str">
        <f ca="1"/>
        <v>Pending</v>
      </c>
      <c r="H19" s="4" t="str">
        <f ca="1"/>
        <v>Marco Vigato</v>
      </c>
      <c r="I19" s="82" t="str">
        <f ca="1"/>
        <v>Phone Screen</v>
      </c>
      <c r="J19" s="82" t="str">
        <f ca="1"/>
        <v>Could be a good fit for GS Strategy or other teams (Supply Chain, Technology). McKinsey BA in the Tokyo office, then corporate strategy experience (most recently at Dell) , focusing on transformational projects and supply chain strategy. Interested in using data-driven insights for decision support - Enjoys problem solving and analytics. 
Attracted by Walmart because of scale of impact, opportunity to solve complex problems and global nature of business. 
Based in Austin, but flexible location-wise (Would prefer to stay in US, but open to international locations as well).</v>
      </c>
      <c r="K19" s="3" t="str">
        <f ca="1"/>
        <v>Invite for Interview</v>
      </c>
      <c r="L19" s="3" t="str">
        <f ca="1"/>
        <v>Richeek Maitra</v>
      </c>
      <c r="S19" s="14" t="str">
        <v>Phone Screen</v>
      </c>
      <c r="T19" s="14" t="str">
        <v>Type of Contact</v>
      </c>
      <c r="U19" s="17">
        <f>$C$10</f>
        <v>0</v>
      </c>
      <c r="V19"/>
      <c r="W19" s="14" t="s">
        <v>12</v>
      </c>
      <c r="X19" s="14">
        <v>7</v>
      </c>
      <c r="Y19" s="14">
        <f>IF(ISNUMBER(Table25[[#This Row],[order]]),1,"")</f>
        <v>1</v>
      </c>
      <c r="Z19" s="14">
        <v>8</v>
      </c>
      <c r="AB19" s="14" t="str">
        <v>Contactor</v>
      </c>
      <c r="AC19" s="14">
        <v>6</v>
      </c>
      <c r="AD19" s="14">
        <v>1</v>
      </c>
      <c r="AE19" s="14">
        <v>7</v>
      </c>
      <c r="AG19" s="14">
        <f ca="1"/>
        <v>6</v>
      </c>
      <c r="AH19" s="14">
        <f ca="1"/>
        <v>7</v>
      </c>
      <c r="AI19" s="14">
        <f ca="1"/>
        <v>12</v>
      </c>
      <c r="AJ19" s="14">
        <f ca="1"/>
        <v>6</v>
      </c>
      <c r="AK19" s="14" t="str">
        <f ca="1"/>
        <v>Contactor</v>
      </c>
      <c r="AL19" s="14">
        <f ca="1"/>
        <v>6</v>
      </c>
      <c r="AM19" s="14">
        <f ca="1"/>
        <v>1</v>
      </c>
      <c r="AN19" s="14">
        <f ca="1"/>
        <v>7</v>
      </c>
    </row>
    <row r="20" spans="2:40" s="14" customFormat="1" ht="115.15">
      <c r="B20" s="4">
        <f ca="1"/>
        <v>2</v>
      </c>
      <c r="C20" s="13" t="str">
        <f ca="1"/>
        <v>Sumitaka Koga</v>
      </c>
      <c r="D20" s="3" t="str">
        <f ca="1"/>
        <v>Austin</v>
      </c>
      <c r="E20" s="4" t="str">
        <f ca="1"/>
        <v>Bentonville</v>
      </c>
      <c r="F20" s="4" t="str">
        <f ca="1"/>
        <v>In process</v>
      </c>
      <c r="G20" s="4" t="str">
        <f ca="1"/>
        <v>Pending</v>
      </c>
      <c r="H20" s="4" t="str">
        <f ca="1"/>
        <v>Miguel Sanchez</v>
      </c>
      <c r="I20" s="82" t="str">
        <f ca="1"/>
        <v>Phone Screen</v>
      </c>
      <c r="J20" s="82" t="str">
        <f ca="1"/>
        <v>Interesting profile. Could be a fit, seems very eager, flexible to learn new things not obsessed with leveraging current supply chain/technology experience. Very short tenure at McK but extensive corp strategy work afterwards. Would have to check toolkit if we decide to give him a chance. Could be good for other teams too.
Left McK after getting married. Move from Japan to Austin and joined Dell -liked the people, wanted the non-japanese experience. Motivated about impact, likes high tech, operations, strategic initiatives. No special pressure for quick promotion but earning it through building strong support.</v>
      </c>
      <c r="K20" s="3" t="str">
        <f ca="1"/>
        <v>Phone Screen</v>
      </c>
      <c r="L20" s="3" t="str">
        <f ca="1"/>
        <v>Marco Vigato</v>
      </c>
      <c r="S20" s="14">
        <v>44694</v>
      </c>
      <c r="T20" s="14" t="str">
        <v>Contact Date</v>
      </c>
      <c r="U20" s="18">
        <f>$B$10</f>
        <v>0</v>
      </c>
      <c r="V20"/>
      <c r="W20" s="14" t="s">
        <v>34</v>
      </c>
      <c r="X20" s="14">
        <v>8</v>
      </c>
      <c r="Y20" s="14" t="str">
        <f>IF(ISNUMBER(Table25[[#This Row],[order]]),1,"")</f>
        <v/>
      </c>
      <c r="AB20" s="14" t="str">
        <v>Type of Contact</v>
      </c>
      <c r="AC20" s="14">
        <v>7</v>
      </c>
      <c r="AD20" s="14">
        <v>1</v>
      </c>
      <c r="AE20" s="14">
        <v>8</v>
      </c>
      <c r="AG20" s="14">
        <f ca="1"/>
        <v>7</v>
      </c>
      <c r="AH20" s="14">
        <f ca="1"/>
        <v>8</v>
      </c>
      <c r="AI20" s="14">
        <f ca="1"/>
        <v>14</v>
      </c>
      <c r="AJ20" s="14">
        <f ca="1"/>
        <v>7</v>
      </c>
      <c r="AK20" s="14" t="str">
        <f ca="1"/>
        <v>Type of Contact</v>
      </c>
      <c r="AL20" s="14">
        <f ca="1"/>
        <v>7</v>
      </c>
      <c r="AM20" s="14">
        <f ca="1"/>
        <v>1</v>
      </c>
      <c r="AN20" s="14">
        <f ca="1"/>
        <v>8</v>
      </c>
    </row>
    <row r="21" spans="2:40">
      <c r="B21" s="4">
        <f ca="1"/>
        <v>1</v>
      </c>
      <c r="C21" s="13" t="str">
        <f ca="1"/>
        <v>Sumitaka Koga</v>
      </c>
      <c r="D21" s="3" t="str">
        <f ca="1"/>
        <v>Austin</v>
      </c>
      <c r="E21" s="4" t="str">
        <f ca="1"/>
        <v>Bentonville</v>
      </c>
      <c r="F21" s="4">
        <f ca="1"/>
        <v>0</v>
      </c>
      <c r="G21" s="4">
        <f ca="1"/>
        <v>0</v>
      </c>
      <c r="H21" s="4" t="str">
        <f ca="1"/>
        <v>Miguel Sanchez</v>
      </c>
      <c r="I21" s="82" t="str">
        <f ca="1"/>
        <v>Resume Screen</v>
      </c>
      <c r="J21" s="82">
        <f ca="1"/>
        <v>0</v>
      </c>
      <c r="K21" s="3">
        <f ca="1"/>
        <v>0</v>
      </c>
      <c r="L21" s="3" t="str">
        <f ca="1"/>
        <v>Miguel Sanchez</v>
      </c>
      <c r="S21" s="14" t="str">
        <v>sumitaka.koga@gmail.com</v>
      </c>
      <c r="T21" s="14" t="str">
        <v>E-mail</v>
      </c>
      <c r="U21" s="14" t="str">
        <f t="shared" si="0"/>
        <v>sumitaka.koga@gmail.com</v>
      </c>
      <c r="W21" t="s">
        <v>35</v>
      </c>
      <c r="X21">
        <v>9</v>
      </c>
      <c r="Y21" s="14" t="str">
        <f>IF(ISNUMBER(Table25[[#This Row],[order]]),1,"")</f>
        <v/>
      </c>
      <c r="AB21" t="str">
        <v>Contact Notes</v>
      </c>
      <c r="AC21">
        <v>16</v>
      </c>
      <c r="AD21">
        <v>1</v>
      </c>
      <c r="AE21">
        <v>9</v>
      </c>
      <c r="AG21">
        <f ca="1"/>
        <v>16</v>
      </c>
      <c r="AH21">
        <f ca="1"/>
        <v>9</v>
      </c>
      <c r="AI21">
        <f ca="1"/>
        <v>15</v>
      </c>
      <c r="AJ21">
        <f ca="1"/>
        <v>16</v>
      </c>
      <c r="AK21" t="str">
        <f ca="1"/>
        <v>Contact Notes</v>
      </c>
      <c r="AL21">
        <f ca="1"/>
        <v>16</v>
      </c>
      <c r="AM21">
        <f ca="1"/>
        <v>1</v>
      </c>
      <c r="AN21">
        <f ca="1"/>
        <v>9</v>
      </c>
    </row>
    <row r="22" spans="2:40">
      <c r="B22" s="4"/>
      <c r="C22" s="13"/>
      <c r="D22" s="3"/>
      <c r="E22" s="4"/>
      <c r="F22" s="4"/>
      <c r="G22" s="4"/>
      <c r="H22" s="4"/>
      <c r="I22" s="82"/>
      <c r="J22" s="82"/>
      <c r="K22" s="3"/>
      <c r="L22" s="3"/>
      <c r="S22" s="14" t="str">
        <v xml:space="preserve">(+1) 512-994-8806 </v>
      </c>
      <c r="T22" s="14" t="str">
        <v>Phone</v>
      </c>
      <c r="U22" s="14" t="str">
        <f t="shared" si="0"/>
        <v xml:space="preserve">(+1) 512-994-8806 </v>
      </c>
      <c r="W22" t="s">
        <v>36</v>
      </c>
      <c r="X22">
        <v>10</v>
      </c>
      <c r="Y22" s="14" t="str">
        <f>IF(ISNUMBER(Table25[[#This Row],[order]]),1,"")</f>
        <v/>
      </c>
      <c r="AB22" t="str">
        <v>Recommendation</v>
      </c>
      <c r="AC22">
        <v>17</v>
      </c>
      <c r="AD22">
        <v>1</v>
      </c>
      <c r="AE22">
        <v>10</v>
      </c>
      <c r="AG22">
        <f ca="1"/>
        <v>17</v>
      </c>
      <c r="AH22">
        <f ca="1"/>
        <v>10</v>
      </c>
      <c r="AI22">
        <f ca="1"/>
        <v>20</v>
      </c>
      <c r="AJ22">
        <f ca="1"/>
        <v>17</v>
      </c>
      <c r="AK22" t="str">
        <f ca="1"/>
        <v>Recommendation</v>
      </c>
      <c r="AL22">
        <f ca="1"/>
        <v>17</v>
      </c>
      <c r="AM22">
        <f ca="1"/>
        <v>1</v>
      </c>
      <c r="AN22">
        <f ca="1"/>
        <v>10</v>
      </c>
    </row>
    <row r="23" spans="2:40">
      <c r="B23" s="4"/>
      <c r="C23" s="13"/>
      <c r="D23" s="3"/>
      <c r="E23" s="4"/>
      <c r="F23" s="4"/>
      <c r="G23" s="4"/>
      <c r="H23" s="4"/>
      <c r="I23" s="82"/>
      <c r="J23" s="82"/>
      <c r="K23" s="3"/>
      <c r="L23" s="3"/>
      <c r="S23" s="14" t="str">
        <v>Austin</v>
      </c>
      <c r="T23" s="14" t="str">
        <v>Current Location</v>
      </c>
      <c r="U23" s="14" t="str">
        <f t="shared" si="0"/>
        <v>Austin</v>
      </c>
      <c r="W23" t="s">
        <v>37</v>
      </c>
      <c r="X23">
        <v>11</v>
      </c>
      <c r="Y23" s="14">
        <f>IF(ISNUMBER(Table25[[#This Row],[order]]),1,"")</f>
        <v>1</v>
      </c>
      <c r="Z23">
        <v>3</v>
      </c>
      <c r="AB23" t="str">
        <v>Asssigned</v>
      </c>
      <c r="AC23">
        <v>23</v>
      </c>
      <c r="AD23">
        <v>1</v>
      </c>
      <c r="AE23">
        <v>11</v>
      </c>
      <c r="AG23">
        <f ca="1"/>
        <v>23</v>
      </c>
      <c r="AH23">
        <f ca="1"/>
        <v>11</v>
      </c>
      <c r="AI23">
        <f ca="1"/>
        <v>21</v>
      </c>
      <c r="AJ23">
        <f ca="1"/>
        <v>23</v>
      </c>
      <c r="AK23" t="str">
        <f ca="1"/>
        <v>Asssigned</v>
      </c>
      <c r="AL23">
        <f ca="1"/>
        <v>23</v>
      </c>
      <c r="AM23">
        <f ca="1"/>
        <v>1</v>
      </c>
      <c r="AN23">
        <f ca="1"/>
        <v>11</v>
      </c>
    </row>
    <row r="24" spans="2:40">
      <c r="B24" s="4"/>
      <c r="C24" s="13"/>
      <c r="D24" s="3"/>
      <c r="E24" s="4"/>
      <c r="F24" s="4"/>
      <c r="G24" s="4"/>
      <c r="H24" s="4"/>
      <c r="I24" s="82"/>
      <c r="J24" s="82"/>
      <c r="K24" s="3"/>
      <c r="L24" s="3"/>
      <c r="S24" s="14" t="str">
        <v>Director, Global Sourcing Commercial Strategy and Business Development</v>
      </c>
      <c r="T24" s="14" t="str">
        <v xml:space="preserve">Position </v>
      </c>
      <c r="U24" s="14" t="str">
        <f t="shared" si="0"/>
        <v>Director, Global Sourcing Commercial Strategy and Business Development</v>
      </c>
      <c r="W24" t="s">
        <v>38</v>
      </c>
      <c r="X24">
        <v>12</v>
      </c>
      <c r="Y24" s="14" t="str">
        <f>IF(ISNUMBER(Table25[[#This Row],[order]]),1,"")</f>
        <v/>
      </c>
      <c r="AB24" t="str">
        <v>First Name</v>
      </c>
      <c r="AC24">
        <v>2</v>
      </c>
      <c r="AD24" t="str">
        <v/>
      </c>
      <c r="AE24">
        <v>0</v>
      </c>
      <c r="AG24">
        <f ca="1"/>
        <v>2</v>
      </c>
      <c r="AH24">
        <f ca="1"/>
        <v>0</v>
      </c>
      <c r="AI24">
        <f ca="1"/>
        <v>22</v>
      </c>
    </row>
    <row r="25" spans="2:40">
      <c r="B25" s="4"/>
      <c r="C25" s="13"/>
      <c r="D25" s="3"/>
      <c r="E25" s="4"/>
      <c r="F25" s="4"/>
      <c r="G25" s="4"/>
      <c r="H25" s="4"/>
      <c r="I25" s="82"/>
      <c r="J25" s="82"/>
      <c r="K25" s="3"/>
      <c r="L25" s="3"/>
      <c r="S25" s="14" t="str">
        <v>Bentonville</v>
      </c>
      <c r="T25" s="14" t="str">
        <v>Position Location</v>
      </c>
      <c r="U25" s="14" t="str">
        <f t="shared" si="0"/>
        <v>Bentonville</v>
      </c>
      <c r="W25" t="s">
        <v>39</v>
      </c>
      <c r="X25">
        <v>13</v>
      </c>
      <c r="Y25" s="14">
        <f>IF(ISNUMBER(Table25[[#This Row],[order]]),1,"")</f>
        <v>1</v>
      </c>
      <c r="Z25">
        <v>4</v>
      </c>
      <c r="AB25" t="str">
        <v>Last Name</v>
      </c>
      <c r="AC25">
        <v>3</v>
      </c>
      <c r="AD25" t="str">
        <v/>
      </c>
      <c r="AE25">
        <v>0</v>
      </c>
      <c r="AG25">
        <f ca="1"/>
        <v>3</v>
      </c>
      <c r="AH25">
        <f ca="1"/>
        <v>0</v>
      </c>
      <c r="AI25">
        <f ca="1"/>
        <v>24</v>
      </c>
    </row>
    <row r="26" spans="2:40">
      <c r="B26" s="4"/>
      <c r="C26" s="13"/>
      <c r="D26" s="3"/>
      <c r="E26" s="4"/>
      <c r="F26" s="4"/>
      <c r="G26" s="4"/>
      <c r="H26" s="4"/>
      <c r="I26" s="82"/>
      <c r="J26" s="82"/>
      <c r="K26" s="3"/>
      <c r="L26" s="3"/>
      <c r="S26" s="14" t="str">
        <v>Alum</v>
      </c>
      <c r="T26" s="14" t="str">
        <v>McK Alum Status</v>
      </c>
      <c r="U26" s="14" t="str">
        <f t="shared" si="0"/>
        <v>Alum</v>
      </c>
      <c r="W26" t="s">
        <v>40</v>
      </c>
      <c r="X26">
        <v>14</v>
      </c>
      <c r="Y26" s="14" t="str">
        <f>IF(ISNUMBER(Table25[[#This Row],[order]]),1,"")</f>
        <v/>
      </c>
      <c r="AB26" t="str">
        <v>Name Descriptor</v>
      </c>
      <c r="AC26">
        <v>4</v>
      </c>
      <c r="AD26" t="str">
        <v/>
      </c>
      <c r="AE26">
        <v>0</v>
      </c>
      <c r="AG26">
        <f ca="1"/>
        <v>4</v>
      </c>
      <c r="AH26">
        <f ca="1"/>
        <v>0</v>
      </c>
      <c r="AI26">
        <f ca="1"/>
        <v>1</v>
      </c>
    </row>
    <row r="27" spans="2:40">
      <c r="B27" s="4"/>
      <c r="C27" s="13"/>
      <c r="D27" s="3"/>
      <c r="E27" s="4"/>
      <c r="F27" s="4"/>
      <c r="G27" s="4"/>
      <c r="H27" s="4"/>
      <c r="I27" s="82"/>
      <c r="J27" s="82"/>
      <c r="K27" s="3"/>
      <c r="L27" s="3"/>
      <c r="S27" s="14" t="str">
        <v>Dell</v>
      </c>
      <c r="T27" s="14" t="str">
        <v>Current Org</v>
      </c>
      <c r="U27" s="14" t="str">
        <f t="shared" si="0"/>
        <v>Dell</v>
      </c>
      <c r="W27" t="s">
        <v>41</v>
      </c>
      <c r="X27">
        <v>15</v>
      </c>
      <c r="Y27" s="14" t="str">
        <f>IF(ISNUMBER(Table25[[#This Row],[order]]),1,"")</f>
        <v/>
      </c>
      <c r="AB27" t="str">
        <v>Contact Date</v>
      </c>
      <c r="AC27">
        <v>8</v>
      </c>
      <c r="AD27" t="str">
        <v/>
      </c>
      <c r="AE27">
        <v>0</v>
      </c>
      <c r="AG27">
        <f ca="1"/>
        <v>8</v>
      </c>
      <c r="AH27">
        <f ca="1"/>
        <v>0</v>
      </c>
      <c r="AI27">
        <f ca="1"/>
        <v>5</v>
      </c>
    </row>
    <row r="28" spans="2:40">
      <c r="B28" s="4"/>
      <c r="C28" s="13"/>
      <c r="D28" s="3"/>
      <c r="E28" s="4"/>
      <c r="F28" s="4"/>
      <c r="G28" s="4"/>
      <c r="H28" s="4"/>
      <c r="I28" s="82"/>
      <c r="J28" s="82"/>
      <c r="K28" s="3"/>
      <c r="L28" s="3"/>
      <c r="S28" s="14" t="str">
        <v>Besides an overall understanding of the psat roles, checked via two mini-cases: 1. COO diversification at Dell, 2. setting category strategy for a 'difficult' GS VP. 
Strengths: 1. Reasonably good at structuring, picked up the right pillars / components in above mini-cases; 2. Good at common sense approach to relationship building with clients - "listening", "build on VP's measures", etc; 3. Great attitude, keen to take up new industry challenges; 
Unproven / gaps: 1. Agree with prev. feedback about past focus on projects vs. strategy. Not able to clearly highlight impact via core strategy vs. program initiatives in past roles; 2. Dell Data Gov. experience in working with multiple leaders as stakeholders on individual projects - however not owned the relationship with a leader consistently.  3. Might require support to 'own' a GS leader fully.
Summary: Entreprising candidate, great pedigree &amp; experience, EM toolkit not fully developed but we could help bridge gaps in a year to help him scale up.</v>
      </c>
      <c r="T28" s="14" t="str">
        <v>Contact Notes</v>
      </c>
      <c r="U28" s="17">
        <f>$D$10</f>
        <v>0</v>
      </c>
      <c r="W28" t="s">
        <v>42</v>
      </c>
      <c r="X28">
        <v>16</v>
      </c>
      <c r="Y28" s="14">
        <f>IF(ISNUMBER(Table25[[#This Row],[order]]),1,"")</f>
        <v>1</v>
      </c>
      <c r="Z28">
        <v>9</v>
      </c>
      <c r="AB28" t="str">
        <v>E-mail</v>
      </c>
      <c r="AC28">
        <v>9</v>
      </c>
      <c r="AD28" t="str">
        <v/>
      </c>
      <c r="AE28">
        <v>0</v>
      </c>
      <c r="AG28">
        <f ca="1"/>
        <v>9</v>
      </c>
      <c r="AH28">
        <f ca="1"/>
        <v>0</v>
      </c>
      <c r="AI28">
        <f ca="1"/>
        <v>11</v>
      </c>
    </row>
    <row r="29" spans="2:40">
      <c r="B29" s="4"/>
      <c r="C29" s="13"/>
      <c r="D29" s="3"/>
      <c r="E29" s="4"/>
      <c r="F29" s="4"/>
      <c r="G29" s="4"/>
      <c r="H29" s="4"/>
      <c r="I29" s="82"/>
      <c r="J29" s="82"/>
      <c r="K29" s="3"/>
      <c r="L29" s="3"/>
      <c r="S29" s="14" t="str">
        <v>Invite for Interview</v>
      </c>
      <c r="T29" s="14" t="str">
        <v>Recommendation</v>
      </c>
      <c r="U29" s="17">
        <f>$E$10</f>
        <v>0</v>
      </c>
      <c r="W29" t="s">
        <v>43</v>
      </c>
      <c r="X29">
        <v>17</v>
      </c>
      <c r="Y29" s="14">
        <f>IF(ISNUMBER(Table25[[#This Row],[order]]),1,"")</f>
        <v>1</v>
      </c>
      <c r="Z29">
        <v>10</v>
      </c>
      <c r="AB29" t="str">
        <v>Phone</v>
      </c>
      <c r="AC29">
        <v>10</v>
      </c>
      <c r="AD29" t="str">
        <v/>
      </c>
      <c r="AE29">
        <v>0</v>
      </c>
      <c r="AG29">
        <f ca="1"/>
        <v>10</v>
      </c>
      <c r="AH29">
        <f ca="1"/>
        <v>0</v>
      </c>
      <c r="AI29">
        <f ca="1"/>
        <v>13</v>
      </c>
    </row>
    <row r="30" spans="2:40">
      <c r="B30" s="4"/>
      <c r="C30" s="13"/>
      <c r="D30" s="3"/>
      <c r="E30" s="4"/>
      <c r="F30" s="4"/>
      <c r="G30" s="4"/>
      <c r="H30" s="4"/>
      <c r="I30" s="82"/>
      <c r="J30" s="82"/>
      <c r="K30" s="3"/>
      <c r="L30" s="3"/>
      <c r="S30" s="14" t="str">
        <v>In process</v>
      </c>
      <c r="T30" s="14" t="str">
        <v>Status</v>
      </c>
      <c r="U30" s="17">
        <f>$F$10</f>
        <v>0</v>
      </c>
      <c r="W30" t="s">
        <v>44</v>
      </c>
      <c r="X30">
        <v>18</v>
      </c>
      <c r="Y30" s="14">
        <f>IF(ISNUMBER(Table25[[#This Row],[order]]),1,"")</f>
        <v>1</v>
      </c>
      <c r="Z30">
        <v>5</v>
      </c>
      <c r="AB30" t="str">
        <v xml:space="preserve">Position </v>
      </c>
      <c r="AC30">
        <v>12</v>
      </c>
      <c r="AD30" t="str">
        <v/>
      </c>
      <c r="AE30">
        <v>0</v>
      </c>
      <c r="AG30">
        <f ca="1"/>
        <v>12</v>
      </c>
      <c r="AH30">
        <f ca="1"/>
        <v>0</v>
      </c>
      <c r="AI30">
        <f ca="1"/>
        <v>18</v>
      </c>
    </row>
    <row r="31" spans="2:40">
      <c r="B31" s="4"/>
      <c r="C31" s="13"/>
      <c r="D31" s="3"/>
      <c r="E31" s="4"/>
      <c r="F31" s="4"/>
      <c r="G31" s="4"/>
      <c r="H31" s="4"/>
      <c r="I31" s="82"/>
      <c r="J31" s="82"/>
      <c r="K31" s="3"/>
      <c r="L31" s="3"/>
      <c r="S31" s="14" t="str">
        <v>Pending</v>
      </c>
      <c r="T31" s="14" t="str">
        <v>Final Decision</v>
      </c>
      <c r="U31" s="17">
        <f>$G$10</f>
        <v>0</v>
      </c>
      <c r="W31" t="s">
        <v>45</v>
      </c>
      <c r="X31">
        <v>19</v>
      </c>
      <c r="Y31" s="14">
        <f>IF(ISNUMBER(Table25[[#This Row],[order]]),1,"")</f>
        <v>1</v>
      </c>
      <c r="Z31">
        <v>6</v>
      </c>
      <c r="AB31" t="str">
        <v>McK Alum Status</v>
      </c>
      <c r="AC31">
        <v>14</v>
      </c>
      <c r="AD31" t="str">
        <v/>
      </c>
      <c r="AE31">
        <v>0</v>
      </c>
      <c r="AG31">
        <f ca="1"/>
        <v>14</v>
      </c>
      <c r="AH31">
        <f ca="1"/>
        <v>0</v>
      </c>
      <c r="AI31">
        <f ca="1"/>
        <v>19</v>
      </c>
    </row>
    <row r="32" spans="2:40">
      <c r="B32" s="41"/>
      <c r="C32" s="120"/>
      <c r="D32" s="14"/>
      <c r="E32" s="41"/>
      <c r="F32" s="41"/>
      <c r="G32" s="41"/>
      <c r="H32" s="41"/>
      <c r="I32" s="118"/>
      <c r="J32" s="82"/>
      <c r="K32" s="14"/>
      <c r="L32" s="14"/>
      <c r="S32" s="14" t="str">
        <v>Pranav Potbhare</v>
      </c>
      <c r="T32" s="14" t="str">
        <v>Updated by</v>
      </c>
      <c r="U32" s="17">
        <f>C4</f>
        <v>0</v>
      </c>
      <c r="W32" t="s">
        <v>25</v>
      </c>
      <c r="X32">
        <v>20</v>
      </c>
      <c r="Y32" s="14" t="str">
        <f>IF(ISNUMBER(Table25[[#This Row],[order]]),1,"")</f>
        <v/>
      </c>
      <c r="AB32" t="str">
        <v>Current Org</v>
      </c>
      <c r="AC32">
        <v>15</v>
      </c>
      <c r="AD32" t="str">
        <v/>
      </c>
      <c r="AE32">
        <v>0</v>
      </c>
      <c r="AG32">
        <f ca="1"/>
        <v>15</v>
      </c>
      <c r="AH32">
        <f ca="1"/>
        <v>0</v>
      </c>
      <c r="AI32">
        <f ca="1"/>
        <v>6</v>
      </c>
    </row>
    <row r="33" spans="2:41">
      <c r="B33" s="41"/>
      <c r="C33" s="120"/>
      <c r="D33" s="14"/>
      <c r="E33" s="41"/>
      <c r="F33" s="41"/>
      <c r="G33" s="41"/>
      <c r="H33" s="41"/>
      <c r="I33" s="118"/>
      <c r="J33" s="82"/>
      <c r="K33" s="14"/>
      <c r="L33" s="14"/>
      <c r="S33" s="14">
        <v>44694.663603703702</v>
      </c>
      <c r="T33" s="14" t="str">
        <v>Update Date</v>
      </c>
      <c r="U33" s="19">
        <f ca="1">I3</f>
        <v>44749</v>
      </c>
      <c r="W33" t="s">
        <v>46</v>
      </c>
      <c r="X33">
        <v>21</v>
      </c>
      <c r="Y33" s="14" t="str">
        <f>IF(ISNUMBER(Table25[[#This Row],[order]]),1,"")</f>
        <v/>
      </c>
      <c r="AB33" t="str">
        <v>Updated by</v>
      </c>
      <c r="AC33">
        <v>20</v>
      </c>
      <c r="AD33" t="str">
        <v/>
      </c>
      <c r="AE33">
        <v>0</v>
      </c>
      <c r="AG33">
        <f ca="1"/>
        <v>20</v>
      </c>
      <c r="AH33">
        <f ca="1"/>
        <v>0</v>
      </c>
      <c r="AI33">
        <f ca="1"/>
        <v>7</v>
      </c>
    </row>
    <row r="34" spans="2:41">
      <c r="B34" s="41"/>
      <c r="C34" s="120"/>
      <c r="D34" s="14"/>
      <c r="E34" s="41"/>
      <c r="F34" s="41"/>
      <c r="G34" s="41"/>
      <c r="H34" s="41"/>
      <c r="I34" s="118"/>
      <c r="J34" s="82"/>
      <c r="K34" s="14"/>
      <c r="L34" s="14"/>
      <c r="S34" s="14">
        <v>2022</v>
      </c>
      <c r="T34" s="14" t="str">
        <v>Season</v>
      </c>
      <c r="U34" s="20">
        <f t="shared" si="0"/>
        <v>2022</v>
      </c>
      <c r="W34" t="s">
        <v>23</v>
      </c>
      <c r="X34">
        <v>22</v>
      </c>
      <c r="Y34" s="14" t="str">
        <f>IF(ISNUMBER(Table25[[#This Row],[order]]),1,"")</f>
        <v/>
      </c>
      <c r="AB34" t="str">
        <v>Update Date</v>
      </c>
      <c r="AC34">
        <v>21</v>
      </c>
      <c r="AD34" t="str">
        <v/>
      </c>
      <c r="AE34">
        <v>0</v>
      </c>
      <c r="AG34">
        <f ca="1"/>
        <v>21</v>
      </c>
      <c r="AH34">
        <f ca="1"/>
        <v>0</v>
      </c>
      <c r="AI34">
        <f ca="1"/>
        <v>16</v>
      </c>
    </row>
    <row r="35" spans="2:41">
      <c r="B35" s="41"/>
      <c r="C35" s="120"/>
      <c r="D35" s="14"/>
      <c r="E35" s="41"/>
      <c r="F35" s="41"/>
      <c r="G35" s="41"/>
      <c r="H35" s="41"/>
      <c r="I35" s="118"/>
      <c r="J35" s="82"/>
      <c r="K35" s="14"/>
      <c r="L35" s="14"/>
      <c r="S35" t="str">
        <v>Miguel Sanchez</v>
      </c>
      <c r="T35" t="str">
        <v>Asssigned</v>
      </c>
      <c r="U35" s="20">
        <f>H10</f>
        <v>0</v>
      </c>
      <c r="W35" t="s">
        <v>47</v>
      </c>
      <c r="X35">
        <v>23</v>
      </c>
      <c r="Y35" s="14">
        <f>IF(ISNUMBER(Table25[[#This Row],[order]]),1,"")</f>
        <v>1</v>
      </c>
      <c r="Z35">
        <v>11</v>
      </c>
      <c r="AB35" t="str">
        <v>Season</v>
      </c>
      <c r="AC35">
        <v>22</v>
      </c>
      <c r="AD35" t="str">
        <v/>
      </c>
      <c r="AE35">
        <v>0</v>
      </c>
      <c r="AG35">
        <f ca="1"/>
        <v>22</v>
      </c>
      <c r="AH35">
        <f ca="1"/>
        <v>0</v>
      </c>
      <c r="AI35">
        <f ca="1"/>
        <v>17</v>
      </c>
    </row>
    <row r="36" spans="2:41">
      <c r="B36" s="41"/>
      <c r="C36" s="120"/>
      <c r="D36" s="14"/>
      <c r="E36" s="41"/>
      <c r="F36" s="41"/>
      <c r="G36" s="41"/>
      <c r="H36" s="41"/>
      <c r="I36" s="118"/>
      <c r="J36" s="82"/>
      <c r="K36" s="14"/>
      <c r="L36" s="14"/>
      <c r="S36" t="b">
        <v>1</v>
      </c>
      <c r="T36" t="str">
        <v>Latest</v>
      </c>
      <c r="U36" s="20" t="b">
        <f t="shared" si="0"/>
        <v>1</v>
      </c>
      <c r="W36" t="s">
        <v>48</v>
      </c>
      <c r="X36">
        <v>24</v>
      </c>
      <c r="Y36" s="14" t="str">
        <f>IF(ISNUMBER(Table25[[#This Row],[order]]),1,"")</f>
        <v/>
      </c>
      <c r="AB36" t="str">
        <v>Latest</v>
      </c>
      <c r="AC36">
        <v>24</v>
      </c>
      <c r="AD36" t="str">
        <v/>
      </c>
      <c r="AE36">
        <v>0</v>
      </c>
      <c r="AG36">
        <f ca="1"/>
        <v>24</v>
      </c>
      <c r="AH36">
        <f ca="1"/>
        <v>0</v>
      </c>
      <c r="AI36">
        <f ca="1"/>
        <v>23</v>
      </c>
    </row>
    <row r="37" spans="2:41">
      <c r="B37" s="41"/>
      <c r="C37" s="120"/>
      <c r="D37" s="14"/>
      <c r="E37" s="41"/>
      <c r="F37" s="41"/>
      <c r="G37" s="41"/>
      <c r="H37" s="41"/>
      <c r="I37" s="118"/>
      <c r="J37" s="82"/>
      <c r="K37" s="14"/>
      <c r="L37" s="14"/>
      <c r="S37">
        <v>0</v>
      </c>
    </row>
    <row r="38" spans="2:41">
      <c r="B38" s="41"/>
      <c r="C38" s="120"/>
      <c r="D38" s="14"/>
      <c r="E38" s="41"/>
      <c r="F38" s="41"/>
      <c r="G38" s="41"/>
      <c r="H38" s="41"/>
      <c r="I38" s="118"/>
      <c r="J38" s="82"/>
      <c r="K38" s="14"/>
      <c r="L38" s="14"/>
      <c r="S38">
        <v>0</v>
      </c>
    </row>
    <row r="39" spans="2:41">
      <c r="B39" s="41"/>
      <c r="C39" s="120"/>
      <c r="D39" s="14"/>
      <c r="E39" s="41"/>
      <c r="F39" s="41"/>
      <c r="G39" s="41"/>
      <c r="H39" s="41"/>
      <c r="I39" s="118"/>
      <c r="J39" s="82"/>
      <c r="K39" s="14"/>
      <c r="L39" s="14"/>
      <c r="S39">
        <v>1</v>
      </c>
    </row>
    <row r="40" spans="2:41">
      <c r="B40" s="41"/>
      <c r="C40" s="120"/>
      <c r="D40" s="14"/>
      <c r="E40" s="41"/>
      <c r="F40" s="41"/>
      <c r="G40" s="41"/>
      <c r="H40" s="41"/>
      <c r="I40" s="118"/>
      <c r="J40" s="82"/>
      <c r="K40" s="14"/>
      <c r="L40" s="14"/>
      <c r="S40">
        <v>1</v>
      </c>
    </row>
    <row r="41" spans="2:41">
      <c r="B41" s="41"/>
      <c r="C41" s="120"/>
      <c r="D41" s="14"/>
      <c r="E41" s="41"/>
      <c r="F41" s="41"/>
      <c r="G41" s="41"/>
      <c r="H41" s="41"/>
      <c r="I41" s="118"/>
      <c r="J41" s="82"/>
      <c r="K41" s="14"/>
      <c r="L41" s="14"/>
    </row>
    <row r="42" spans="2:41">
      <c r="B42" s="41"/>
      <c r="C42" s="120"/>
      <c r="D42" s="14"/>
      <c r="E42" s="41"/>
      <c r="F42" s="41"/>
      <c r="G42" s="41"/>
      <c r="H42" s="41"/>
      <c r="I42" s="118"/>
      <c r="J42" s="82"/>
      <c r="K42" s="14"/>
      <c r="L42" s="14"/>
    </row>
    <row r="43" spans="2:41">
      <c r="B43" s="41"/>
      <c r="C43" s="120"/>
      <c r="D43" s="14"/>
      <c r="E43" s="41"/>
      <c r="F43" s="41"/>
      <c r="G43" s="41"/>
      <c r="H43" s="41"/>
      <c r="I43" s="118"/>
      <c r="J43" s="82"/>
      <c r="K43" s="14"/>
      <c r="L43" s="14"/>
    </row>
    <row r="44" spans="2:41">
      <c r="B44" s="41"/>
      <c r="C44" s="120"/>
      <c r="D44" s="14"/>
      <c r="E44" s="41"/>
      <c r="F44" s="41"/>
      <c r="G44" s="41"/>
      <c r="H44" s="41"/>
      <c r="I44" s="118"/>
      <c r="J44" s="82"/>
      <c r="K44" s="14"/>
      <c r="L44" s="14"/>
    </row>
    <row r="45" spans="2:41">
      <c r="B45" s="41"/>
      <c r="C45" s="120"/>
      <c r="D45" s="14"/>
      <c r="E45" s="41"/>
      <c r="F45" s="41"/>
      <c r="G45" s="41"/>
      <c r="H45" s="41"/>
      <c r="I45" s="118"/>
      <c r="J45" s="82"/>
      <c r="K45" s="14"/>
      <c r="L45" s="14"/>
    </row>
    <row r="46" spans="2:41">
      <c r="B46" s="41"/>
      <c r="C46" s="120"/>
      <c r="D46" s="14"/>
      <c r="E46" s="41"/>
      <c r="F46" s="41"/>
      <c r="G46" s="41"/>
      <c r="H46" s="41"/>
      <c r="I46" s="118"/>
      <c r="J46" s="82"/>
      <c r="K46" s="14"/>
      <c r="L46" s="14"/>
    </row>
    <row r="47" spans="2:41">
      <c r="B47" s="41"/>
      <c r="C47" s="120"/>
      <c r="D47" s="14"/>
      <c r="E47" s="41"/>
      <c r="F47" s="41"/>
      <c r="G47" s="41"/>
      <c r="H47" s="41"/>
      <c r="I47" s="118"/>
      <c r="J47" s="82"/>
      <c r="K47" s="14"/>
      <c r="L47" s="14"/>
    </row>
    <row r="48" spans="2:41">
      <c r="B48" s="41"/>
      <c r="C48" s="120"/>
      <c r="D48" s="14"/>
      <c r="E48" s="41"/>
      <c r="F48" s="41"/>
      <c r="G48" s="41"/>
      <c r="H48" s="41"/>
      <c r="I48" s="118"/>
      <c r="J48" s="82"/>
      <c r="K48" s="14"/>
      <c r="L48" s="14"/>
      <c r="U48">
        <v>4</v>
      </c>
      <c r="V48" t="s">
        <v>154</v>
      </c>
      <c r="AA48" t="s">
        <v>2609</v>
      </c>
      <c r="AB48">
        <v>44277</v>
      </c>
      <c r="AC48" t="s">
        <v>2689</v>
      </c>
      <c r="AD48" t="s">
        <v>2690</v>
      </c>
      <c r="AE48" t="s">
        <v>164</v>
      </c>
      <c r="AF48" t="s">
        <v>2094</v>
      </c>
      <c r="AG48" t="s">
        <v>164</v>
      </c>
      <c r="AH48" t="s">
        <v>2095</v>
      </c>
      <c r="AI48" t="s">
        <v>2691</v>
      </c>
      <c r="AJ48" t="s">
        <v>68</v>
      </c>
      <c r="AK48" t="s">
        <v>2659</v>
      </c>
      <c r="AL48" t="s">
        <v>2593</v>
      </c>
      <c r="AM48" t="s">
        <v>2659</v>
      </c>
      <c r="AN48" t="s">
        <v>2524</v>
      </c>
      <c r="AO48">
        <v>44430.610570717596</v>
      </c>
    </row>
    <row r="49" spans="2:26">
      <c r="B49" s="41"/>
      <c r="C49" s="120"/>
      <c r="D49" s="14"/>
      <c r="E49" s="41"/>
      <c r="F49" s="41"/>
      <c r="G49" s="41"/>
      <c r="H49" s="41"/>
      <c r="I49" s="118"/>
      <c r="J49" s="82"/>
      <c r="K49" s="14"/>
      <c r="L49" s="14"/>
    </row>
    <row r="50" spans="2:26">
      <c r="B50" s="41"/>
      <c r="C50" s="120"/>
      <c r="D50" s="14"/>
      <c r="E50" s="41"/>
      <c r="F50" s="41"/>
      <c r="G50" s="41"/>
      <c r="H50" s="41"/>
      <c r="I50" s="118"/>
      <c r="J50" s="82"/>
      <c r="K50" s="14"/>
      <c r="L50" s="14"/>
      <c r="W50" t="s">
        <v>155</v>
      </c>
      <c r="X50">
        <v>0</v>
      </c>
      <c r="Y50" t="s">
        <v>2371</v>
      </c>
      <c r="Z50" t="s">
        <v>2524</v>
      </c>
    </row>
    <row r="51" spans="2:26">
      <c r="B51" s="41"/>
      <c r="C51" s="120"/>
      <c r="D51" s="14"/>
      <c r="E51" s="41"/>
      <c r="F51" s="41"/>
      <c r="G51" s="41"/>
      <c r="H51" s="41"/>
      <c r="I51" s="118"/>
      <c r="J51" s="82"/>
      <c r="K51" s="14"/>
      <c r="L51" s="14"/>
    </row>
    <row r="52" spans="2:26">
      <c r="B52" s="41"/>
      <c r="C52" s="120"/>
      <c r="D52" s="14"/>
      <c r="E52" s="41"/>
      <c r="F52" s="41"/>
      <c r="G52" s="41"/>
      <c r="H52" s="41"/>
      <c r="I52" s="118"/>
      <c r="J52" s="82"/>
      <c r="K52" s="14"/>
      <c r="L52" s="14"/>
    </row>
    <row r="53" spans="2:26">
      <c r="B53" s="41"/>
      <c r="C53" s="120"/>
      <c r="D53" s="14"/>
      <c r="E53" s="41"/>
      <c r="F53" s="41"/>
      <c r="G53" s="41"/>
      <c r="H53" s="41"/>
      <c r="I53" s="118"/>
      <c r="J53" s="82"/>
      <c r="K53" s="14"/>
      <c r="L53" s="14"/>
    </row>
    <row r="54" spans="2:26">
      <c r="B54" s="41"/>
      <c r="C54" s="120"/>
      <c r="D54" s="14"/>
      <c r="E54" s="41"/>
      <c r="F54" s="41"/>
      <c r="G54" s="41"/>
      <c r="H54" s="41"/>
      <c r="I54" s="118"/>
      <c r="J54" s="82"/>
      <c r="K54" s="14"/>
      <c r="L54" s="14"/>
    </row>
    <row r="55" spans="2:26">
      <c r="B55" s="41"/>
      <c r="C55" s="120"/>
      <c r="D55" s="14"/>
      <c r="E55" s="41"/>
      <c r="F55" s="41"/>
      <c r="G55" s="41"/>
      <c r="H55" s="41"/>
      <c r="I55" s="118"/>
      <c r="J55" s="82"/>
      <c r="K55" s="14"/>
      <c r="L55" s="14"/>
    </row>
    <row r="56" spans="2:26">
      <c r="B56" s="41"/>
      <c r="C56" s="120"/>
      <c r="D56" s="14"/>
      <c r="E56" s="41"/>
      <c r="F56" s="41"/>
      <c r="G56" s="41"/>
      <c r="H56" s="41"/>
      <c r="I56" s="118"/>
      <c r="J56" s="82"/>
      <c r="K56" s="14"/>
      <c r="L56" s="14"/>
    </row>
    <row r="57" spans="2:26">
      <c r="B57" s="41"/>
      <c r="C57" s="120"/>
      <c r="D57" s="14"/>
      <c r="E57" s="41"/>
      <c r="F57" s="41"/>
      <c r="G57" s="41"/>
      <c r="H57" s="41"/>
      <c r="I57" s="118"/>
      <c r="J57" s="82"/>
      <c r="K57" s="14"/>
      <c r="L57" s="14"/>
    </row>
    <row r="58" spans="2:26">
      <c r="B58" s="41"/>
      <c r="C58" s="120"/>
      <c r="D58" s="14"/>
      <c r="E58" s="41"/>
      <c r="F58" s="41"/>
      <c r="G58" s="41"/>
      <c r="H58" s="41"/>
      <c r="I58" s="118"/>
      <c r="J58" s="82"/>
      <c r="K58" s="14"/>
      <c r="L58" s="14"/>
    </row>
    <row r="59" spans="2:26">
      <c r="B59" s="41"/>
      <c r="C59" s="120"/>
      <c r="D59" s="14"/>
      <c r="E59" s="41"/>
      <c r="F59" s="41"/>
      <c r="G59" s="41"/>
      <c r="H59" s="41"/>
      <c r="I59" s="118"/>
      <c r="J59" s="82"/>
      <c r="K59" s="14"/>
      <c r="L59" s="14"/>
    </row>
    <row r="60" spans="2:26">
      <c r="B60" s="41"/>
      <c r="C60" s="120"/>
      <c r="D60" s="14"/>
      <c r="E60" s="41"/>
      <c r="F60" s="41"/>
      <c r="G60" s="41"/>
      <c r="H60" s="41"/>
      <c r="I60" s="118"/>
      <c r="J60" s="82"/>
      <c r="K60" s="14"/>
      <c r="L60" s="14"/>
    </row>
    <row r="61" spans="2:26" ht="15" customHeight="1">
      <c r="B61" s="41"/>
      <c r="C61" s="120"/>
      <c r="D61" s="14"/>
      <c r="E61" s="41"/>
      <c r="F61" s="41"/>
      <c r="G61" s="41"/>
      <c r="H61" s="41"/>
      <c r="I61" s="118"/>
      <c r="J61" s="82"/>
      <c r="K61" s="14"/>
      <c r="L61" s="14"/>
    </row>
    <row r="62" spans="2:26" ht="15" customHeight="1">
      <c r="B62" s="41"/>
      <c r="C62" s="120"/>
      <c r="D62" s="14"/>
      <c r="E62" s="41"/>
      <c r="F62" s="41"/>
      <c r="G62" s="41"/>
      <c r="H62" s="41"/>
      <c r="I62" s="118"/>
      <c r="J62" s="82"/>
      <c r="K62" s="14"/>
      <c r="L62" s="14"/>
    </row>
    <row r="63" spans="2:26" ht="15" customHeight="1">
      <c r="B63" s="41"/>
      <c r="C63" s="120"/>
      <c r="D63" s="14"/>
      <c r="E63" s="41"/>
      <c r="F63" s="41"/>
      <c r="G63" s="41"/>
      <c r="H63" s="41"/>
      <c r="I63" s="118"/>
      <c r="J63" s="82"/>
      <c r="K63" s="14"/>
      <c r="L63" s="14"/>
    </row>
    <row r="64" spans="2:26" ht="15" customHeight="1">
      <c r="B64" s="41"/>
      <c r="C64" s="120"/>
      <c r="D64" s="14"/>
      <c r="E64" s="41"/>
      <c r="F64" s="41"/>
      <c r="G64" s="41"/>
      <c r="H64" s="41"/>
      <c r="I64" s="118"/>
      <c r="J64" s="82"/>
      <c r="K64" s="14"/>
      <c r="L64" s="14"/>
    </row>
    <row r="65" spans="2:12" ht="15" customHeight="1">
      <c r="B65" s="41"/>
      <c r="C65" s="120"/>
      <c r="D65" s="14"/>
      <c r="E65" s="41"/>
      <c r="F65" s="41"/>
      <c r="G65" s="41"/>
      <c r="H65" s="41"/>
      <c r="I65" s="118"/>
      <c r="J65" s="82"/>
      <c r="K65" s="14"/>
      <c r="L65" s="14"/>
    </row>
    <row r="66" spans="2:12" ht="15" customHeight="1">
      <c r="B66" s="41"/>
      <c r="C66" s="120"/>
      <c r="D66" s="14"/>
      <c r="E66" s="41"/>
      <c r="F66" s="41"/>
      <c r="G66" s="41"/>
      <c r="H66" s="41"/>
      <c r="I66" s="118"/>
      <c r="J66" s="82"/>
      <c r="K66" s="14"/>
      <c r="L66" s="14"/>
    </row>
    <row r="67" spans="2:12" ht="15" customHeight="1">
      <c r="B67" s="41"/>
      <c r="C67" s="120"/>
      <c r="D67" s="14"/>
      <c r="E67" s="41"/>
      <c r="F67" s="41"/>
      <c r="G67" s="41"/>
      <c r="H67" s="41"/>
      <c r="I67" s="118"/>
      <c r="J67" s="82"/>
      <c r="K67" s="14"/>
      <c r="L67" s="14"/>
    </row>
    <row r="68" spans="2:12" ht="15" customHeight="1">
      <c r="B68" s="41"/>
      <c r="C68" s="120"/>
      <c r="D68" s="14"/>
      <c r="E68" s="41"/>
      <c r="F68" s="41"/>
      <c r="G68" s="41"/>
      <c r="H68" s="41"/>
      <c r="I68" s="118"/>
      <c r="J68" s="82"/>
      <c r="K68" s="14"/>
      <c r="L68" s="14"/>
    </row>
    <row r="69" spans="2:12" ht="15" customHeight="1">
      <c r="B69" s="41"/>
      <c r="C69" s="120"/>
      <c r="D69" s="14"/>
      <c r="E69" s="41"/>
      <c r="F69" s="41"/>
      <c r="G69" s="41"/>
      <c r="H69" s="41"/>
      <c r="I69" s="118"/>
      <c r="J69" s="82"/>
      <c r="K69" s="14"/>
      <c r="L69" s="14"/>
    </row>
    <row r="70" spans="2:12" ht="15" customHeight="1">
      <c r="B70" s="41"/>
      <c r="C70" s="120"/>
      <c r="D70" s="14"/>
      <c r="E70" s="41"/>
      <c r="F70" s="41"/>
      <c r="G70" s="41"/>
      <c r="H70" s="41"/>
      <c r="I70" s="118"/>
      <c r="J70" s="82"/>
      <c r="K70" s="14"/>
      <c r="L70" s="14"/>
    </row>
    <row r="71" spans="2:12" ht="15" customHeight="1">
      <c r="B71" s="41"/>
      <c r="C71" s="120"/>
      <c r="D71" s="14"/>
      <c r="E71" s="41"/>
      <c r="F71" s="41"/>
      <c r="G71" s="41"/>
      <c r="H71" s="41"/>
      <c r="I71" s="118"/>
      <c r="J71" s="82"/>
      <c r="K71" s="14"/>
      <c r="L71" s="14"/>
    </row>
    <row r="72" spans="2:12" ht="15" customHeight="1">
      <c r="B72" s="41"/>
      <c r="C72" s="120"/>
      <c r="D72" s="14"/>
      <c r="E72" s="41"/>
      <c r="F72" s="41"/>
      <c r="G72" s="41"/>
      <c r="H72" s="41"/>
      <c r="I72" s="118"/>
      <c r="J72" s="82"/>
      <c r="K72" s="14"/>
      <c r="L72" s="14"/>
    </row>
    <row r="73" spans="2:12" ht="15" customHeight="1">
      <c r="B73" s="41"/>
      <c r="C73" s="120"/>
      <c r="D73" s="14"/>
      <c r="E73" s="41"/>
      <c r="F73" s="41"/>
      <c r="G73" s="41"/>
      <c r="H73" s="41"/>
      <c r="I73" s="118"/>
      <c r="J73" s="82"/>
      <c r="K73" s="14"/>
      <c r="L73" s="14"/>
    </row>
    <row r="74" spans="2:12" ht="15" customHeight="1">
      <c r="B74" s="41"/>
      <c r="C74" s="120"/>
      <c r="D74" s="14"/>
      <c r="E74" s="41"/>
      <c r="F74" s="41"/>
      <c r="G74" s="41"/>
      <c r="H74" s="41"/>
      <c r="I74" s="118"/>
      <c r="J74" s="82"/>
      <c r="K74" s="14"/>
      <c r="L74" s="14"/>
    </row>
    <row r="75" spans="2:12" ht="15" customHeight="1">
      <c r="B75" s="41"/>
      <c r="C75" s="120"/>
      <c r="D75" s="14"/>
      <c r="E75" s="41"/>
      <c r="F75" s="41"/>
      <c r="G75" s="41"/>
      <c r="H75" s="41"/>
      <c r="I75" s="118"/>
      <c r="J75" s="82"/>
      <c r="K75" s="14"/>
      <c r="L75" s="14"/>
    </row>
    <row r="76" spans="2:12" ht="15" customHeight="1">
      <c r="B76" s="41"/>
      <c r="C76" s="120"/>
      <c r="D76" s="14"/>
      <c r="E76" s="41"/>
      <c r="F76" s="41"/>
      <c r="G76" s="41"/>
      <c r="H76" s="41"/>
      <c r="I76" s="118"/>
      <c r="J76" s="82"/>
      <c r="K76" s="14"/>
      <c r="L76" s="14"/>
    </row>
    <row r="77" spans="2:12" ht="15" customHeight="1">
      <c r="B77" s="41"/>
      <c r="C77" s="120"/>
      <c r="D77" s="14"/>
      <c r="E77" s="41"/>
      <c r="F77" s="41"/>
      <c r="G77" s="41"/>
      <c r="H77" s="41"/>
      <c r="I77" s="118"/>
      <c r="J77" s="82"/>
      <c r="K77" s="14"/>
      <c r="L77" s="14"/>
    </row>
    <row r="78" spans="2:12" ht="15" customHeight="1">
      <c r="B78" s="41"/>
      <c r="C78" s="120"/>
      <c r="D78" s="14"/>
      <c r="E78" s="41"/>
      <c r="F78" s="41"/>
      <c r="G78" s="41"/>
      <c r="H78" s="41"/>
      <c r="I78" s="118"/>
      <c r="J78" s="82"/>
      <c r="K78" s="14"/>
      <c r="L78" s="14"/>
    </row>
    <row r="79" spans="2:12" ht="15" customHeight="1">
      <c r="B79" s="41"/>
      <c r="C79" s="120"/>
      <c r="D79" s="14"/>
      <c r="E79" s="41"/>
      <c r="F79" s="41"/>
      <c r="G79" s="41"/>
      <c r="H79" s="41"/>
      <c r="I79" s="118"/>
      <c r="J79" s="82"/>
      <c r="K79" s="14"/>
      <c r="L79" s="14"/>
    </row>
    <row r="80" spans="2:12" ht="15" customHeight="1">
      <c r="B80" s="41"/>
      <c r="C80" s="120"/>
      <c r="D80" s="14"/>
      <c r="E80" s="41"/>
      <c r="F80" s="41"/>
      <c r="G80" s="41"/>
      <c r="H80" s="41"/>
      <c r="I80" s="118"/>
      <c r="J80" s="82"/>
      <c r="K80" s="14"/>
      <c r="L80" s="14"/>
    </row>
    <row r="81" spans="2:12" ht="15" customHeight="1">
      <c r="B81" s="41"/>
      <c r="C81" s="120"/>
      <c r="D81" s="14"/>
      <c r="E81" s="41"/>
      <c r="F81" s="41"/>
      <c r="G81" s="41"/>
      <c r="H81" s="41"/>
      <c r="I81" s="118"/>
      <c r="J81" s="82"/>
      <c r="K81" s="14"/>
      <c r="L81" s="14"/>
    </row>
    <row r="82" spans="2:12" ht="15" customHeight="1">
      <c r="B82" s="41"/>
      <c r="C82" s="120"/>
      <c r="D82" s="14"/>
      <c r="E82" s="41"/>
      <c r="F82" s="41"/>
      <c r="G82" s="41"/>
      <c r="H82" s="41"/>
      <c r="I82" s="118"/>
      <c r="J82" s="82"/>
      <c r="K82" s="14"/>
      <c r="L82" s="14"/>
    </row>
    <row r="83" spans="2:12" ht="15" customHeight="1">
      <c r="B83" s="41"/>
      <c r="C83" s="120"/>
      <c r="D83" s="14"/>
      <c r="E83" s="41"/>
      <c r="F83" s="41"/>
      <c r="G83" s="41"/>
      <c r="H83" s="41"/>
      <c r="I83" s="118"/>
      <c r="J83" s="82"/>
      <c r="K83" s="14"/>
      <c r="L83" s="14"/>
    </row>
    <row r="84" spans="2:12" ht="15" customHeight="1">
      <c r="B84" s="41"/>
      <c r="C84" s="120"/>
      <c r="D84" s="14"/>
      <c r="E84" s="41"/>
      <c r="F84" s="41"/>
      <c r="G84" s="41"/>
      <c r="H84" s="41"/>
      <c r="I84" s="118"/>
      <c r="J84" s="82"/>
      <c r="K84" s="14"/>
      <c r="L84" s="14"/>
    </row>
    <row r="85" spans="2:12" ht="15" customHeight="1">
      <c r="B85" s="41"/>
      <c r="C85" s="120"/>
      <c r="D85" s="14"/>
      <c r="E85" s="41"/>
      <c r="F85" s="41"/>
      <c r="G85" s="41"/>
      <c r="H85" s="41"/>
      <c r="I85" s="118"/>
      <c r="J85" s="82"/>
      <c r="K85" s="14"/>
      <c r="L85" s="14"/>
    </row>
    <row r="86" spans="2:12" ht="15" customHeight="1">
      <c r="B86" s="41"/>
      <c r="C86" s="120"/>
      <c r="D86" s="14"/>
      <c r="E86" s="41"/>
      <c r="F86" s="41"/>
      <c r="G86" s="41"/>
      <c r="H86" s="41"/>
      <c r="I86" s="118"/>
      <c r="J86" s="82"/>
      <c r="K86" s="14"/>
      <c r="L86" s="14"/>
    </row>
    <row r="87" spans="2:12" ht="15" customHeight="1">
      <c r="B87" s="41"/>
      <c r="C87" s="120"/>
      <c r="D87" s="14"/>
      <c r="E87" s="41"/>
      <c r="F87" s="41"/>
      <c r="G87" s="41"/>
      <c r="H87" s="41"/>
      <c r="I87" s="118"/>
      <c r="J87" s="82"/>
      <c r="K87" s="14"/>
      <c r="L87" s="14"/>
    </row>
    <row r="88" spans="2:12" ht="15" customHeight="1">
      <c r="B88" s="41"/>
      <c r="C88" s="120"/>
      <c r="D88" s="14"/>
      <c r="E88" s="41"/>
      <c r="F88" s="41"/>
      <c r="G88" s="41"/>
      <c r="H88" s="41"/>
      <c r="I88" s="118"/>
      <c r="J88" s="82"/>
      <c r="K88" s="14"/>
      <c r="L88" s="14"/>
    </row>
    <row r="89" spans="2:12" ht="15" customHeight="1">
      <c r="B89" s="41"/>
      <c r="C89" s="120"/>
      <c r="D89" s="14"/>
      <c r="E89" s="41"/>
      <c r="F89" s="41"/>
      <c r="G89" s="41"/>
      <c r="H89" s="41"/>
      <c r="I89" s="118"/>
      <c r="J89" s="82"/>
      <c r="K89" s="14"/>
      <c r="L89" s="14"/>
    </row>
    <row r="90" spans="2:12" ht="15" customHeight="1">
      <c r="B90" s="41"/>
      <c r="C90" s="120"/>
      <c r="D90" s="14"/>
      <c r="E90" s="41"/>
      <c r="F90" s="41"/>
      <c r="G90" s="41"/>
      <c r="H90" s="41"/>
      <c r="I90" s="118"/>
      <c r="J90" s="82"/>
      <c r="K90" s="14"/>
      <c r="L90" s="14"/>
    </row>
    <row r="91" spans="2:12" ht="15" customHeight="1">
      <c r="B91" s="41"/>
      <c r="C91" s="120"/>
      <c r="D91" s="14"/>
      <c r="E91" s="41"/>
      <c r="F91" s="41"/>
      <c r="G91" s="41"/>
      <c r="H91" s="41"/>
      <c r="I91" s="118"/>
      <c r="J91" s="82"/>
      <c r="K91" s="14"/>
      <c r="L91" s="14"/>
    </row>
    <row r="92" spans="2:12" ht="15" customHeight="1">
      <c r="B92" s="41"/>
      <c r="C92" s="120"/>
      <c r="D92" s="14"/>
      <c r="E92" s="41"/>
      <c r="F92" s="41"/>
      <c r="G92" s="41"/>
      <c r="H92" s="41"/>
      <c r="I92" s="118"/>
      <c r="J92" s="82"/>
      <c r="K92" s="14"/>
      <c r="L92" s="14"/>
    </row>
    <row r="93" spans="2:12" ht="15" customHeight="1">
      <c r="B93" s="41"/>
      <c r="C93" s="120"/>
      <c r="D93" s="14"/>
      <c r="E93" s="41"/>
      <c r="F93" s="41"/>
      <c r="G93" s="41"/>
      <c r="H93" s="41"/>
      <c r="I93" s="118"/>
      <c r="J93" s="82"/>
      <c r="K93" s="14"/>
      <c r="L93" s="14"/>
    </row>
    <row r="94" spans="2:12" ht="15" customHeight="1">
      <c r="B94" s="41"/>
      <c r="C94" s="120"/>
      <c r="D94" s="14"/>
      <c r="E94" s="41"/>
      <c r="F94" s="41"/>
      <c r="G94" s="41"/>
      <c r="H94" s="41"/>
      <c r="I94" s="118"/>
      <c r="J94" s="82"/>
      <c r="K94" s="14"/>
      <c r="L94" s="14"/>
    </row>
    <row r="95" spans="2:12" ht="15" customHeight="1">
      <c r="B95" s="41"/>
      <c r="C95" s="120"/>
      <c r="D95" s="14"/>
      <c r="E95" s="41"/>
      <c r="F95" s="41"/>
      <c r="G95" s="41"/>
      <c r="H95" s="41"/>
      <c r="I95" s="118"/>
      <c r="J95" s="82"/>
      <c r="K95" s="14"/>
      <c r="L95" s="14"/>
    </row>
    <row r="96" spans="2:12" ht="15" customHeight="1">
      <c r="B96" s="41"/>
      <c r="C96" s="120"/>
      <c r="D96" s="14"/>
      <c r="E96" s="41"/>
      <c r="F96" s="41"/>
      <c r="G96" s="41"/>
      <c r="H96" s="41"/>
      <c r="I96" s="118"/>
      <c r="J96" s="82"/>
      <c r="K96" s="14"/>
      <c r="L96" s="14"/>
    </row>
    <row r="97" spans="2:12" ht="15" customHeight="1">
      <c r="B97" s="41"/>
      <c r="C97" s="120"/>
      <c r="D97" s="14"/>
      <c r="E97" s="41"/>
      <c r="F97" s="41"/>
      <c r="G97" s="41"/>
      <c r="H97" s="41"/>
      <c r="I97" s="118"/>
      <c r="J97" s="82"/>
      <c r="K97" s="14"/>
      <c r="L97" s="14"/>
    </row>
    <row r="98" spans="2:12" ht="15" customHeight="1">
      <c r="B98" s="41"/>
      <c r="C98" s="120"/>
      <c r="D98" s="14"/>
      <c r="E98" s="41"/>
      <c r="F98" s="41"/>
      <c r="G98" s="41"/>
      <c r="H98" s="41"/>
      <c r="I98" s="118"/>
      <c r="J98" s="82"/>
      <c r="K98" s="14"/>
      <c r="L98" s="14"/>
    </row>
    <row r="99" spans="2:12" ht="15" customHeight="1">
      <c r="B99" s="41"/>
      <c r="C99" s="120"/>
      <c r="D99" s="14"/>
      <c r="E99" s="41"/>
      <c r="F99" s="41"/>
      <c r="G99" s="41"/>
      <c r="H99" s="41"/>
      <c r="I99" s="118"/>
      <c r="J99" s="82"/>
      <c r="K99" s="14"/>
      <c r="L99" s="14"/>
    </row>
    <row r="100" spans="2:12" ht="15" customHeight="1">
      <c r="B100" s="41"/>
      <c r="C100" s="120"/>
      <c r="D100" s="14"/>
      <c r="E100" s="41"/>
      <c r="F100" s="41"/>
      <c r="G100" s="41"/>
      <c r="H100" s="41"/>
      <c r="I100" s="118"/>
      <c r="J100" s="82"/>
      <c r="K100" s="14"/>
      <c r="L100" s="14"/>
    </row>
    <row r="101" spans="2:12" ht="15" customHeight="1">
      <c r="B101" s="41"/>
      <c r="C101" s="120"/>
      <c r="D101" s="14"/>
      <c r="E101" s="41"/>
      <c r="F101" s="41"/>
      <c r="G101" s="41"/>
      <c r="H101" s="41"/>
      <c r="I101" s="118"/>
      <c r="J101" s="82"/>
      <c r="K101" s="14"/>
      <c r="L101" s="14"/>
    </row>
    <row r="102" spans="2:12" ht="15" customHeight="1">
      <c r="B102" s="41"/>
      <c r="C102" s="120"/>
      <c r="D102" s="14"/>
      <c r="E102" s="41"/>
      <c r="F102" s="41"/>
      <c r="G102" s="41"/>
      <c r="H102" s="41"/>
      <c r="I102" s="118"/>
      <c r="J102" s="82"/>
      <c r="K102" s="14"/>
      <c r="L102" s="14"/>
    </row>
    <row r="103" spans="2:12" ht="15" customHeight="1">
      <c r="B103" s="41"/>
      <c r="C103" s="120"/>
      <c r="D103" s="14"/>
      <c r="E103" s="41"/>
      <c r="F103" s="41"/>
      <c r="G103" s="41"/>
      <c r="H103" s="41"/>
      <c r="I103" s="118"/>
      <c r="J103" s="82"/>
      <c r="K103" s="14"/>
      <c r="L103" s="14"/>
    </row>
    <row r="104" spans="2:12" ht="15" customHeight="1">
      <c r="B104" s="41"/>
      <c r="C104" s="120"/>
      <c r="D104" s="14"/>
      <c r="E104" s="41"/>
      <c r="F104" s="41"/>
      <c r="G104" s="41"/>
      <c r="H104" s="41"/>
      <c r="I104" s="118"/>
      <c r="J104" s="82"/>
      <c r="K104" s="14"/>
      <c r="L104" s="14"/>
    </row>
    <row r="105" spans="2:12" ht="15" customHeight="1">
      <c r="B105" s="41"/>
      <c r="C105" s="120"/>
      <c r="D105" s="14"/>
      <c r="E105" s="41"/>
      <c r="F105" s="41"/>
      <c r="G105" s="41"/>
      <c r="H105" s="41"/>
      <c r="I105" s="118"/>
      <c r="J105" s="82"/>
      <c r="K105" s="14"/>
      <c r="L105" s="14"/>
    </row>
    <row r="106" spans="2:12" ht="15" customHeight="1">
      <c r="B106" s="41"/>
      <c r="C106" s="120"/>
      <c r="D106" s="14"/>
      <c r="E106" s="41"/>
      <c r="F106" s="41"/>
      <c r="G106" s="41"/>
      <c r="H106" s="41"/>
      <c r="I106" s="118"/>
      <c r="J106" s="82"/>
      <c r="K106" s="14"/>
      <c r="L106" s="14"/>
    </row>
    <row r="107" spans="2:12" ht="15" customHeight="1">
      <c r="B107" s="41"/>
      <c r="C107" s="120"/>
      <c r="D107" s="14"/>
      <c r="E107" s="41"/>
      <c r="F107" s="41"/>
      <c r="G107" s="41"/>
      <c r="H107" s="41"/>
      <c r="I107" s="118"/>
      <c r="J107" s="82"/>
      <c r="K107" s="14"/>
      <c r="L107" s="14"/>
    </row>
    <row r="108" spans="2:12" ht="15" customHeight="1">
      <c r="B108" s="41"/>
      <c r="C108" s="120"/>
      <c r="D108" s="14"/>
      <c r="E108" s="41"/>
      <c r="F108" s="41"/>
      <c r="G108" s="41"/>
      <c r="H108" s="41"/>
      <c r="I108" s="118"/>
      <c r="J108" s="82"/>
      <c r="K108" s="14"/>
      <c r="L108" s="14"/>
    </row>
    <row r="109" spans="2:12" ht="15" customHeight="1">
      <c r="B109" s="41"/>
      <c r="C109" s="120"/>
      <c r="D109" s="14"/>
      <c r="E109" s="41"/>
      <c r="F109" s="41"/>
      <c r="G109" s="41"/>
      <c r="H109" s="41"/>
      <c r="I109" s="118"/>
      <c r="J109" s="82"/>
      <c r="K109" s="14"/>
      <c r="L109" s="14"/>
    </row>
    <row r="110" spans="2:12" ht="15" customHeight="1">
      <c r="B110" s="41"/>
      <c r="C110" s="120"/>
      <c r="D110" s="14"/>
      <c r="E110" s="41"/>
      <c r="F110" s="41"/>
      <c r="G110" s="41"/>
      <c r="H110" s="41"/>
      <c r="I110" s="118"/>
      <c r="J110" s="82"/>
      <c r="K110" s="14"/>
      <c r="L110" s="14"/>
    </row>
    <row r="111" spans="2:12">
      <c r="B111" s="41"/>
      <c r="C111" s="13"/>
      <c r="D111" s="3"/>
      <c r="E111" s="4"/>
      <c r="F111" s="4"/>
      <c r="G111" s="4"/>
      <c r="H111" s="4"/>
      <c r="I111" s="82"/>
      <c r="J111" s="82"/>
      <c r="K111" s="3"/>
      <c r="L111" s="3"/>
    </row>
    <row r="112" spans="2:12">
      <c r="B112" s="41"/>
      <c r="C112" s="13"/>
      <c r="D112" s="3"/>
      <c r="E112" s="4"/>
      <c r="F112" s="4"/>
      <c r="G112" s="4"/>
      <c r="H112" s="4"/>
      <c r="I112" s="82"/>
      <c r="J112" s="82"/>
      <c r="K112" s="3"/>
      <c r="L112" s="3"/>
    </row>
    <row r="113" spans="2:12">
      <c r="B113" s="41"/>
      <c r="C113" s="13"/>
      <c r="D113" s="3"/>
      <c r="E113" s="4"/>
      <c r="F113" s="4"/>
      <c r="G113" s="4"/>
      <c r="H113" s="4"/>
      <c r="I113" s="82"/>
      <c r="J113" s="82"/>
      <c r="K113" s="3"/>
      <c r="L113" s="3"/>
    </row>
    <row r="114" spans="2:12">
      <c r="B114" s="41"/>
      <c r="C114" s="13"/>
      <c r="D114" s="3"/>
      <c r="E114" s="4"/>
      <c r="F114" s="4"/>
      <c r="G114" s="4"/>
      <c r="H114" s="4"/>
      <c r="I114" s="82"/>
      <c r="J114" s="82"/>
      <c r="K114" s="3"/>
      <c r="L114" s="3"/>
    </row>
    <row r="115" spans="2:12">
      <c r="B115" s="41"/>
      <c r="C115" s="13"/>
      <c r="D115" s="3"/>
      <c r="E115" s="4"/>
      <c r="F115" s="4"/>
      <c r="G115" s="4"/>
      <c r="H115" s="4"/>
      <c r="I115" s="82"/>
      <c r="J115" s="82"/>
      <c r="K115" s="3"/>
      <c r="L115" s="3"/>
    </row>
    <row r="116" spans="2:12">
      <c r="B116" s="41"/>
      <c r="C116" s="13"/>
      <c r="D116" s="3"/>
      <c r="E116" s="4"/>
      <c r="F116" s="4"/>
      <c r="G116" s="4"/>
      <c r="H116" s="4"/>
      <c r="I116" s="82"/>
      <c r="J116" s="82"/>
      <c r="K116" s="3"/>
      <c r="L116" s="3"/>
    </row>
    <row r="117" spans="2:12">
      <c r="B117" s="41"/>
      <c r="C117" s="13"/>
      <c r="D117" s="3"/>
      <c r="E117" s="4"/>
      <c r="F117" s="4"/>
      <c r="G117" s="4"/>
      <c r="H117" s="4"/>
      <c r="I117" s="82"/>
      <c r="J117" s="82"/>
      <c r="K117" s="3"/>
      <c r="L117" s="3"/>
    </row>
    <row r="118" spans="2:12">
      <c r="B118" s="41"/>
      <c r="C118" s="13"/>
      <c r="D118" s="3"/>
      <c r="E118" s="4"/>
      <c r="F118" s="4"/>
      <c r="G118" s="4"/>
      <c r="H118" s="4"/>
      <c r="I118" s="82"/>
      <c r="J118" s="82"/>
      <c r="K118" s="3"/>
      <c r="L118" s="3"/>
    </row>
    <row r="119" spans="2:12">
      <c r="B119" s="41"/>
      <c r="C119" s="13"/>
      <c r="D119" s="3"/>
      <c r="E119" s="4"/>
      <c r="F119" s="4"/>
      <c r="G119" s="4"/>
      <c r="H119" s="4"/>
      <c r="I119" s="82"/>
      <c r="J119" s="82"/>
      <c r="K119" s="3"/>
      <c r="L119" s="3"/>
    </row>
    <row r="120" spans="2:12">
      <c r="B120" s="41"/>
      <c r="C120" s="13"/>
      <c r="D120" s="3"/>
      <c r="E120" s="4"/>
      <c r="F120" s="4"/>
      <c r="G120" s="4"/>
      <c r="H120" s="4"/>
      <c r="I120" s="82"/>
      <c r="J120" s="82"/>
      <c r="K120" s="3"/>
      <c r="L120" s="3"/>
    </row>
    <row r="121" spans="2:12">
      <c r="B121" s="41"/>
      <c r="C121" s="13"/>
      <c r="D121" s="3"/>
      <c r="E121" s="4"/>
      <c r="F121" s="4"/>
      <c r="G121" s="4"/>
      <c r="H121" s="4"/>
      <c r="I121" s="82"/>
      <c r="J121" s="82"/>
      <c r="K121" s="3"/>
      <c r="L121" s="3"/>
    </row>
    <row r="122" spans="2:12">
      <c r="B122" s="41"/>
      <c r="C122" s="13"/>
      <c r="D122" s="3"/>
      <c r="E122" s="4"/>
      <c r="F122" s="4"/>
      <c r="G122" s="4"/>
      <c r="H122" s="4"/>
      <c r="I122" s="82"/>
      <c r="J122" s="82"/>
      <c r="K122" s="3"/>
      <c r="L122" s="3"/>
    </row>
    <row r="123" spans="2:12">
      <c r="B123" s="41"/>
      <c r="C123" s="13"/>
      <c r="D123" s="3"/>
      <c r="E123" s="4"/>
      <c r="F123" s="4"/>
      <c r="G123" s="4"/>
      <c r="H123" s="4"/>
      <c r="I123" s="82"/>
      <c r="J123" s="82"/>
      <c r="K123" s="3"/>
      <c r="L123" s="3"/>
    </row>
    <row r="124" spans="2:12">
      <c r="B124" s="41"/>
      <c r="C124" s="13"/>
      <c r="D124" s="3"/>
      <c r="E124" s="4"/>
      <c r="F124" s="4"/>
      <c r="G124" s="4"/>
      <c r="H124" s="4"/>
      <c r="I124" s="82"/>
      <c r="J124" s="82"/>
      <c r="K124" s="3"/>
      <c r="L124" s="3"/>
    </row>
    <row r="125" spans="2:12">
      <c r="B125" s="41"/>
      <c r="C125" s="13"/>
      <c r="D125" s="3"/>
      <c r="E125" s="4"/>
      <c r="F125" s="4"/>
      <c r="G125" s="4"/>
      <c r="H125" s="4"/>
      <c r="I125" s="82"/>
      <c r="J125" s="82"/>
      <c r="K125" s="3"/>
      <c r="L125" s="3"/>
    </row>
    <row r="126" spans="2:12">
      <c r="B126" s="41"/>
      <c r="C126" s="13"/>
      <c r="D126" s="3"/>
      <c r="E126" s="4"/>
      <c r="F126" s="4"/>
      <c r="G126" s="4"/>
      <c r="H126" s="4"/>
      <c r="I126" s="82"/>
      <c r="J126" s="82"/>
      <c r="K126" s="3"/>
      <c r="L126" s="3"/>
    </row>
    <row r="127" spans="2:12">
      <c r="B127" s="41"/>
      <c r="C127" s="13"/>
      <c r="D127" s="3"/>
      <c r="E127" s="4"/>
      <c r="F127" s="4"/>
      <c r="G127" s="4"/>
      <c r="H127" s="4"/>
      <c r="I127" s="82"/>
      <c r="J127" s="82"/>
      <c r="K127" s="3"/>
      <c r="L127" s="3"/>
    </row>
    <row r="128" spans="2:12">
      <c r="B128" s="41"/>
      <c r="C128" s="13"/>
      <c r="D128" s="3"/>
      <c r="E128" s="4"/>
      <c r="F128" s="4"/>
      <c r="G128" s="4"/>
      <c r="H128" s="4"/>
      <c r="I128" s="82"/>
      <c r="J128" s="82"/>
      <c r="K128" s="3"/>
      <c r="L128" s="3"/>
    </row>
    <row r="129" spans="2:12">
      <c r="B129" s="41"/>
      <c r="C129" s="13"/>
      <c r="D129" s="3"/>
      <c r="E129" s="4"/>
      <c r="F129" s="4"/>
      <c r="G129" s="4"/>
      <c r="H129" s="4"/>
      <c r="I129" s="82"/>
      <c r="J129" s="82"/>
      <c r="K129" s="3"/>
      <c r="L129" s="3"/>
    </row>
    <row r="130" spans="2:12">
      <c r="B130" s="41"/>
      <c r="C130" s="13"/>
      <c r="D130" s="3"/>
      <c r="E130" s="4"/>
      <c r="F130" s="4"/>
      <c r="G130" s="4"/>
      <c r="H130" s="4"/>
      <c r="I130" s="82"/>
      <c r="J130" s="82"/>
      <c r="K130" s="3"/>
      <c r="L130" s="3"/>
    </row>
    <row r="131" spans="2:12">
      <c r="B131" s="41"/>
      <c r="C131" s="13"/>
      <c r="D131" s="3"/>
      <c r="E131" s="4"/>
      <c r="F131" s="4"/>
      <c r="G131" s="4"/>
      <c r="H131" s="4"/>
      <c r="I131" s="82"/>
      <c r="J131" s="82"/>
      <c r="K131" s="3"/>
      <c r="L131" s="3"/>
    </row>
    <row r="132" spans="2:12">
      <c r="B132" s="41"/>
      <c r="C132" s="13"/>
      <c r="D132" s="3"/>
      <c r="E132" s="4"/>
      <c r="F132" s="4"/>
      <c r="G132" s="4"/>
      <c r="H132" s="4"/>
      <c r="I132" s="82"/>
      <c r="J132" s="82"/>
      <c r="K132" s="3"/>
      <c r="L132" s="3"/>
    </row>
    <row r="133" spans="2:12">
      <c r="B133" s="41"/>
      <c r="C133" s="13"/>
      <c r="D133" s="3"/>
      <c r="E133" s="4"/>
      <c r="F133" s="4"/>
      <c r="G133" s="4"/>
      <c r="H133" s="4"/>
      <c r="I133" s="82"/>
      <c r="J133" s="82"/>
      <c r="K133" s="3"/>
      <c r="L133" s="3"/>
    </row>
    <row r="134" spans="2:12">
      <c r="B134" s="41"/>
      <c r="C134" s="13"/>
      <c r="D134" s="3"/>
      <c r="E134" s="4"/>
      <c r="F134" s="4"/>
      <c r="G134" s="4"/>
      <c r="H134" s="4"/>
      <c r="I134" s="82"/>
      <c r="J134" s="82"/>
      <c r="K134" s="3"/>
      <c r="L134" s="3"/>
    </row>
    <row r="135" spans="2:12">
      <c r="B135" s="41"/>
      <c r="C135" s="13"/>
      <c r="D135" s="3"/>
      <c r="E135" s="4"/>
      <c r="F135" s="4"/>
      <c r="G135" s="4"/>
      <c r="H135" s="4"/>
      <c r="I135" s="82"/>
      <c r="J135" s="82"/>
      <c r="K135" s="3"/>
      <c r="L135" s="3"/>
    </row>
    <row r="136" spans="2:12">
      <c r="B136" s="41"/>
      <c r="C136" s="13"/>
      <c r="D136" s="3"/>
      <c r="E136" s="4"/>
      <c r="F136" s="4"/>
      <c r="G136" s="4"/>
      <c r="H136" s="4"/>
      <c r="I136" s="82"/>
      <c r="J136" s="82"/>
      <c r="K136" s="3"/>
      <c r="L136" s="3"/>
    </row>
    <row r="137" spans="2:12">
      <c r="B137" s="41"/>
      <c r="C137" s="13"/>
      <c r="D137" s="3"/>
      <c r="E137" s="4"/>
      <c r="F137" s="4"/>
      <c r="G137" s="4"/>
      <c r="H137" s="4"/>
      <c r="I137" s="82"/>
      <c r="J137" s="82"/>
      <c r="K137" s="3"/>
      <c r="L137" s="3"/>
    </row>
    <row r="138" spans="2:12">
      <c r="B138" s="41"/>
      <c r="C138" s="13"/>
      <c r="D138" s="3"/>
      <c r="E138" s="4"/>
      <c r="F138" s="4"/>
      <c r="G138" s="4"/>
      <c r="H138" s="4"/>
      <c r="I138" s="82"/>
      <c r="J138" s="82"/>
      <c r="K138" s="3"/>
      <c r="L138" s="3"/>
    </row>
    <row r="139" spans="2:12">
      <c r="B139" s="41"/>
      <c r="C139" s="13"/>
      <c r="D139" s="3"/>
      <c r="E139" s="4"/>
      <c r="F139" s="4"/>
      <c r="G139" s="4"/>
      <c r="H139" s="4"/>
      <c r="I139" s="82"/>
      <c r="J139" s="82"/>
      <c r="K139" s="3"/>
      <c r="L139" s="3"/>
    </row>
    <row r="140" spans="2:12">
      <c r="B140" s="41"/>
      <c r="C140" s="13"/>
      <c r="D140" s="3"/>
      <c r="E140" s="4"/>
      <c r="F140" s="4"/>
      <c r="G140" s="4"/>
      <c r="H140" s="4"/>
      <c r="I140" s="82"/>
      <c r="J140" s="82"/>
      <c r="K140" s="3"/>
      <c r="L140" s="3"/>
    </row>
    <row r="141" spans="2:12">
      <c r="B141" s="41"/>
      <c r="C141" s="13"/>
      <c r="D141" s="3"/>
      <c r="E141" s="4"/>
      <c r="F141" s="4"/>
      <c r="G141" s="4"/>
      <c r="H141" s="4"/>
      <c r="I141" s="82"/>
      <c r="J141" s="82"/>
      <c r="K141" s="3"/>
      <c r="L141" s="3"/>
    </row>
    <row r="142" spans="2:12">
      <c r="B142" s="41"/>
      <c r="C142" s="13"/>
      <c r="D142" s="3"/>
      <c r="E142" s="4"/>
      <c r="F142" s="4"/>
      <c r="G142" s="4"/>
      <c r="H142" s="4"/>
      <c r="I142" s="82"/>
      <c r="J142" s="82"/>
      <c r="K142" s="3"/>
      <c r="L142" s="3"/>
    </row>
    <row r="143" spans="2:12">
      <c r="B143" s="41"/>
      <c r="C143" s="13"/>
      <c r="D143" s="3"/>
      <c r="E143" s="4"/>
      <c r="F143" s="4"/>
      <c r="G143" s="4"/>
      <c r="H143" s="4"/>
      <c r="I143" s="82"/>
      <c r="J143" s="82"/>
      <c r="K143" s="3"/>
      <c r="L143" s="3"/>
    </row>
    <row r="144" spans="2:12">
      <c r="B144" s="41"/>
      <c r="C144" s="13"/>
      <c r="D144" s="3"/>
      <c r="E144" s="4"/>
      <c r="F144" s="4"/>
      <c r="G144" s="4"/>
      <c r="H144" s="4"/>
      <c r="I144" s="82"/>
      <c r="J144" s="82"/>
      <c r="K144" s="3"/>
      <c r="L144" s="3"/>
    </row>
    <row r="145" spans="2:12">
      <c r="B145" s="41"/>
      <c r="C145" s="13"/>
      <c r="D145" s="3"/>
      <c r="E145" s="4"/>
      <c r="F145" s="4"/>
      <c r="G145" s="4"/>
      <c r="H145" s="4"/>
      <c r="I145" s="82"/>
      <c r="J145" s="82"/>
      <c r="K145" s="3"/>
      <c r="L145" s="3"/>
    </row>
    <row r="146" spans="2:12">
      <c r="B146" s="41"/>
      <c r="C146" s="13"/>
      <c r="D146" s="3"/>
      <c r="E146" s="4"/>
      <c r="F146" s="4"/>
      <c r="G146" s="4"/>
      <c r="H146" s="4"/>
      <c r="I146" s="82"/>
      <c r="J146" s="82"/>
      <c r="K146" s="3"/>
      <c r="L146" s="3"/>
    </row>
    <row r="147" spans="2:12">
      <c r="B147" s="41"/>
      <c r="C147" s="13"/>
      <c r="D147" s="3"/>
      <c r="E147" s="4"/>
      <c r="F147" s="4"/>
      <c r="G147" s="4"/>
      <c r="H147" s="4"/>
      <c r="I147" s="82"/>
      <c r="J147" s="82"/>
      <c r="K147" s="3"/>
      <c r="L147" s="3"/>
    </row>
    <row r="148" spans="2:12">
      <c r="B148" s="41"/>
      <c r="C148" s="13"/>
      <c r="D148" s="3"/>
      <c r="E148" s="4"/>
      <c r="F148" s="4"/>
      <c r="G148" s="4"/>
      <c r="H148" s="4"/>
      <c r="I148" s="82"/>
      <c r="J148" s="82"/>
      <c r="K148" s="3"/>
      <c r="L148" s="3"/>
    </row>
    <row r="149" spans="2:12">
      <c r="B149" s="41"/>
      <c r="C149" s="13"/>
      <c r="D149" s="3"/>
      <c r="E149" s="4"/>
      <c r="F149" s="4"/>
      <c r="G149" s="4"/>
      <c r="H149" s="4"/>
      <c r="I149" s="82"/>
      <c r="J149" s="82"/>
      <c r="K149" s="3"/>
      <c r="L149" s="3"/>
    </row>
    <row r="150" spans="2:12">
      <c r="B150" s="41"/>
      <c r="C150" s="13"/>
      <c r="D150" s="3"/>
      <c r="E150" s="4"/>
      <c r="F150" s="4"/>
      <c r="G150" s="4"/>
      <c r="H150" s="4"/>
      <c r="I150" s="82"/>
      <c r="J150" s="82"/>
      <c r="K150" s="3"/>
      <c r="L150" s="3"/>
    </row>
    <row r="151" spans="2:12">
      <c r="B151" s="41"/>
      <c r="C151" s="13"/>
      <c r="D151" s="3"/>
      <c r="E151" s="4"/>
      <c r="F151" s="4"/>
      <c r="G151" s="4"/>
      <c r="H151" s="4"/>
      <c r="I151" s="82"/>
      <c r="J151" s="82"/>
      <c r="K151" s="3"/>
      <c r="L151" s="3"/>
    </row>
    <row r="152" spans="2:12">
      <c r="B152" s="41"/>
      <c r="C152" s="13"/>
      <c r="D152" s="3"/>
      <c r="E152" s="4"/>
      <c r="F152" s="4"/>
      <c r="G152" s="4"/>
      <c r="H152" s="4"/>
      <c r="I152" s="82"/>
      <c r="J152" s="82"/>
      <c r="K152" s="3"/>
      <c r="L152" s="3"/>
    </row>
    <row r="153" spans="2:12">
      <c r="B153" s="41"/>
      <c r="C153" s="13"/>
      <c r="D153" s="3"/>
      <c r="E153" s="4"/>
      <c r="F153" s="4"/>
      <c r="G153" s="4"/>
      <c r="H153" s="4"/>
      <c r="I153" s="82"/>
      <c r="J153" s="82"/>
      <c r="K153" s="3"/>
      <c r="L153" s="3"/>
    </row>
    <row r="154" spans="2:12">
      <c r="B154" s="41"/>
      <c r="C154" s="13"/>
      <c r="D154" s="3"/>
      <c r="E154" s="4"/>
      <c r="F154" s="4"/>
      <c r="G154" s="4"/>
      <c r="H154" s="4"/>
      <c r="I154" s="82"/>
      <c r="J154" s="82"/>
      <c r="K154" s="3"/>
      <c r="L154" s="3"/>
    </row>
    <row r="155" spans="2:12">
      <c r="B155" s="41"/>
      <c r="C155" s="13"/>
      <c r="D155" s="3"/>
      <c r="E155" s="4"/>
      <c r="F155" s="4"/>
      <c r="G155" s="4"/>
      <c r="H155" s="4"/>
      <c r="I155" s="82"/>
      <c r="J155" s="82"/>
      <c r="K155" s="3"/>
      <c r="L155" s="3"/>
    </row>
    <row r="156" spans="2:12">
      <c r="B156" s="41"/>
      <c r="C156" s="13"/>
      <c r="D156" s="3"/>
      <c r="E156" s="4"/>
      <c r="F156" s="4"/>
      <c r="G156" s="4"/>
      <c r="H156" s="4"/>
      <c r="I156" s="82"/>
      <c r="J156" s="82"/>
      <c r="K156" s="3"/>
      <c r="L156" s="3"/>
    </row>
    <row r="157" spans="2:12">
      <c r="B157" s="41"/>
      <c r="C157" s="13"/>
      <c r="D157" s="3"/>
      <c r="E157" s="4"/>
      <c r="F157" s="4"/>
      <c r="G157" s="4"/>
      <c r="H157" s="4"/>
      <c r="I157" s="82"/>
      <c r="J157" s="82"/>
      <c r="K157" s="3"/>
      <c r="L157" s="3"/>
    </row>
    <row r="158" spans="2:12">
      <c r="B158" s="41"/>
      <c r="C158" s="13"/>
      <c r="D158" s="3"/>
      <c r="E158" s="4"/>
      <c r="F158" s="4"/>
      <c r="G158" s="4"/>
      <c r="H158" s="4"/>
      <c r="I158" s="82"/>
      <c r="J158" s="82"/>
      <c r="K158" s="3"/>
      <c r="L158" s="3"/>
    </row>
    <row r="159" spans="2:12">
      <c r="B159" s="41"/>
      <c r="C159" s="13"/>
      <c r="D159" s="3"/>
      <c r="E159" s="4"/>
      <c r="F159" s="4"/>
      <c r="G159" s="4"/>
      <c r="H159" s="4"/>
      <c r="I159" s="82"/>
      <c r="J159" s="82"/>
      <c r="K159" s="3"/>
      <c r="L159" s="3"/>
    </row>
    <row r="160" spans="2:12">
      <c r="B160" s="41"/>
      <c r="C160" s="13"/>
      <c r="D160" s="3"/>
      <c r="E160" s="4"/>
      <c r="F160" s="4"/>
      <c r="G160" s="4"/>
      <c r="H160" s="4"/>
      <c r="I160" s="82"/>
      <c r="J160" s="82"/>
      <c r="K160" s="3"/>
      <c r="L160" s="3"/>
    </row>
    <row r="161" spans="2:12">
      <c r="B161" s="41"/>
      <c r="C161" s="13"/>
      <c r="D161" s="3"/>
      <c r="E161" s="4"/>
      <c r="F161" s="4"/>
      <c r="G161" s="4"/>
      <c r="H161" s="4"/>
      <c r="I161" s="82"/>
      <c r="J161" s="82"/>
      <c r="K161" s="3"/>
      <c r="L161" s="3"/>
    </row>
    <row r="162" spans="2:12">
      <c r="B162" s="41"/>
      <c r="C162" s="13"/>
      <c r="D162" s="3"/>
      <c r="E162" s="4"/>
      <c r="F162" s="4"/>
      <c r="G162" s="4"/>
      <c r="H162" s="4"/>
      <c r="I162" s="82"/>
      <c r="J162" s="82"/>
      <c r="K162" s="3"/>
      <c r="L162" s="3"/>
    </row>
    <row r="163" spans="2:12">
      <c r="B163" s="41"/>
      <c r="C163" s="13"/>
      <c r="D163" s="3"/>
      <c r="E163" s="4"/>
      <c r="F163" s="4"/>
      <c r="G163" s="4"/>
      <c r="H163" s="4"/>
      <c r="I163" s="82"/>
      <c r="J163" s="82"/>
      <c r="K163" s="3"/>
      <c r="L163" s="3"/>
    </row>
    <row r="164" spans="2:12">
      <c r="B164" s="41"/>
      <c r="C164" s="13"/>
      <c r="D164" s="3"/>
      <c r="E164" s="4"/>
      <c r="F164" s="4"/>
      <c r="G164" s="4"/>
      <c r="H164" s="4"/>
      <c r="I164" s="82"/>
      <c r="J164" s="82"/>
      <c r="K164" s="3"/>
      <c r="L164" s="3"/>
    </row>
    <row r="165" spans="2:12">
      <c r="B165" s="41"/>
      <c r="C165" s="13"/>
      <c r="D165" s="3"/>
      <c r="E165" s="4"/>
      <c r="F165" s="4"/>
      <c r="G165" s="4"/>
      <c r="H165" s="4"/>
      <c r="I165" s="82"/>
      <c r="J165" s="82"/>
      <c r="K165" s="3"/>
      <c r="L165" s="3"/>
    </row>
    <row r="166" spans="2:12">
      <c r="B166" s="41"/>
      <c r="C166" s="13"/>
      <c r="D166" s="3"/>
      <c r="E166" s="4"/>
      <c r="F166" s="4"/>
      <c r="G166" s="4"/>
      <c r="H166" s="4"/>
      <c r="I166" s="82"/>
      <c r="J166" s="82"/>
      <c r="K166" s="3"/>
      <c r="L166" s="3"/>
    </row>
    <row r="167" spans="2:12">
      <c r="B167" s="41"/>
      <c r="C167" s="13"/>
      <c r="D167" s="3"/>
      <c r="E167" s="4"/>
      <c r="F167" s="4"/>
      <c r="G167" s="4"/>
      <c r="H167" s="4"/>
      <c r="I167" s="82"/>
      <c r="J167" s="82"/>
      <c r="K167" s="3"/>
      <c r="L167" s="3"/>
    </row>
    <row r="168" spans="2:12">
      <c r="B168" s="41"/>
      <c r="C168" s="13"/>
      <c r="D168" s="3"/>
      <c r="E168" s="4"/>
      <c r="F168" s="4"/>
      <c r="G168" s="4"/>
      <c r="H168" s="4"/>
      <c r="I168" s="82"/>
      <c r="J168" s="82"/>
      <c r="K168" s="3"/>
      <c r="L168" s="3"/>
    </row>
    <row r="169" spans="2:12">
      <c r="B169" s="41"/>
      <c r="C169" s="13"/>
      <c r="D169" s="3"/>
      <c r="E169" s="4"/>
      <c r="F169" s="4"/>
      <c r="G169" s="4"/>
      <c r="H169" s="4"/>
      <c r="I169" s="82"/>
      <c r="J169" s="82"/>
      <c r="K169" s="3"/>
      <c r="L169" s="3"/>
    </row>
    <row r="170" spans="2:12">
      <c r="B170" s="41"/>
      <c r="C170" s="13"/>
      <c r="D170" s="3"/>
      <c r="E170" s="4"/>
      <c r="F170" s="4"/>
      <c r="G170" s="4"/>
      <c r="H170" s="4"/>
      <c r="I170" s="82"/>
      <c r="J170" s="82"/>
      <c r="K170" s="3"/>
      <c r="L170" s="3"/>
    </row>
    <row r="171" spans="2:12">
      <c r="B171" s="41"/>
      <c r="C171" s="13"/>
      <c r="D171" s="3"/>
      <c r="E171" s="4"/>
      <c r="F171" s="4"/>
      <c r="G171" s="4"/>
      <c r="H171" s="4"/>
      <c r="I171" s="82"/>
      <c r="J171" s="82"/>
      <c r="K171" s="3"/>
      <c r="L171" s="3"/>
    </row>
    <row r="172" spans="2:12">
      <c r="B172" s="41"/>
      <c r="C172" s="13"/>
      <c r="D172" s="3"/>
      <c r="E172" s="4"/>
      <c r="F172" s="4"/>
      <c r="G172" s="4"/>
      <c r="H172" s="4"/>
      <c r="I172" s="82"/>
      <c r="J172" s="82"/>
      <c r="K172" s="3"/>
      <c r="L172" s="3"/>
    </row>
    <row r="173" spans="2:12">
      <c r="B173" s="41"/>
      <c r="C173" s="13"/>
      <c r="D173" s="3"/>
      <c r="E173" s="4"/>
      <c r="F173" s="4"/>
      <c r="G173" s="4"/>
      <c r="H173" s="4"/>
      <c r="I173" s="82"/>
      <c r="J173" s="82"/>
      <c r="K173" s="3"/>
      <c r="L173" s="3"/>
    </row>
    <row r="174" spans="2:12">
      <c r="B174" s="41"/>
      <c r="C174" s="13"/>
      <c r="D174" s="3"/>
      <c r="E174" s="4"/>
      <c r="F174" s="4"/>
      <c r="G174" s="4"/>
      <c r="H174" s="4"/>
      <c r="I174" s="82"/>
      <c r="J174" s="82"/>
      <c r="K174" s="3"/>
      <c r="L174" s="3"/>
    </row>
    <row r="175" spans="2:12">
      <c r="B175" s="41"/>
      <c r="C175" s="13"/>
      <c r="D175" s="3"/>
      <c r="E175" s="4"/>
      <c r="F175" s="4"/>
      <c r="G175" s="4"/>
      <c r="H175" s="4"/>
      <c r="I175" s="82"/>
      <c r="J175" s="82"/>
      <c r="K175" s="3"/>
      <c r="L175" s="3"/>
    </row>
    <row r="176" spans="2:12">
      <c r="B176" s="41"/>
      <c r="C176" s="13"/>
      <c r="D176" s="3"/>
      <c r="E176" s="4"/>
      <c r="F176" s="4"/>
      <c r="G176" s="4"/>
      <c r="H176" s="4"/>
      <c r="I176" s="82"/>
      <c r="J176" s="82"/>
      <c r="K176" s="3"/>
      <c r="L176" s="3"/>
    </row>
    <row r="177" spans="2:12">
      <c r="B177" s="41"/>
      <c r="C177" s="13"/>
      <c r="D177" s="3"/>
      <c r="E177" s="4"/>
      <c r="F177" s="4"/>
      <c r="G177" s="4"/>
      <c r="H177" s="4"/>
      <c r="I177" s="82"/>
      <c r="J177" s="82"/>
      <c r="K177" s="3"/>
      <c r="L177" s="3"/>
    </row>
    <row r="178" spans="2:12">
      <c r="B178" s="41"/>
      <c r="C178" s="13"/>
      <c r="D178" s="3"/>
      <c r="E178" s="4"/>
      <c r="F178" s="4"/>
      <c r="G178" s="4"/>
      <c r="H178" s="4"/>
      <c r="I178" s="82"/>
      <c r="J178" s="82"/>
      <c r="K178" s="3"/>
      <c r="L178" s="3"/>
    </row>
    <row r="179" spans="2:12">
      <c r="B179" s="41"/>
      <c r="C179" s="13"/>
      <c r="D179" s="3"/>
      <c r="E179" s="4"/>
      <c r="F179" s="4"/>
      <c r="G179" s="4"/>
      <c r="H179" s="4"/>
      <c r="I179" s="82"/>
      <c r="J179" s="82"/>
      <c r="K179" s="3"/>
      <c r="L179" s="3"/>
    </row>
    <row r="180" spans="2:12">
      <c r="B180" s="41"/>
      <c r="C180" s="13"/>
      <c r="D180" s="3"/>
      <c r="E180" s="4"/>
      <c r="F180" s="4"/>
      <c r="G180" s="4"/>
      <c r="H180" s="4"/>
      <c r="I180" s="82"/>
      <c r="J180" s="82"/>
      <c r="K180" s="3"/>
      <c r="L180" s="3"/>
    </row>
    <row r="181" spans="2:12">
      <c r="B181" s="41"/>
      <c r="C181" s="13"/>
      <c r="D181" s="3"/>
      <c r="E181" s="4"/>
      <c r="F181" s="4"/>
      <c r="G181" s="4"/>
      <c r="H181" s="4"/>
      <c r="I181" s="82"/>
      <c r="J181" s="82"/>
      <c r="K181" s="3"/>
      <c r="L181" s="3"/>
    </row>
    <row r="182" spans="2:12">
      <c r="B182" s="41"/>
      <c r="C182" s="13"/>
      <c r="D182" s="3"/>
      <c r="E182" s="4"/>
      <c r="F182" s="4"/>
      <c r="G182" s="4"/>
      <c r="H182" s="4"/>
      <c r="I182" s="82"/>
      <c r="J182" s="82"/>
      <c r="K182" s="3"/>
      <c r="L182" s="3"/>
    </row>
    <row r="183" spans="2:12">
      <c r="B183" s="41"/>
      <c r="C183" s="13"/>
      <c r="D183" s="3"/>
      <c r="E183" s="4"/>
      <c r="F183" s="4"/>
      <c r="G183" s="4"/>
      <c r="H183" s="4"/>
      <c r="I183" s="82"/>
      <c r="J183" s="82"/>
      <c r="K183" s="3"/>
      <c r="L183" s="3"/>
    </row>
    <row r="184" spans="2:12">
      <c r="B184" s="41"/>
      <c r="C184" s="13"/>
      <c r="D184" s="3"/>
      <c r="E184" s="4"/>
      <c r="F184" s="4"/>
      <c r="G184" s="4"/>
      <c r="H184" s="4"/>
      <c r="I184" s="82"/>
      <c r="J184" s="82"/>
      <c r="K184" s="3"/>
      <c r="L184" s="3"/>
    </row>
    <row r="185" spans="2:12">
      <c r="B185" s="41"/>
      <c r="C185" s="13"/>
      <c r="D185" s="3"/>
      <c r="E185" s="4"/>
      <c r="F185" s="4"/>
      <c r="G185" s="4"/>
      <c r="H185" s="4"/>
      <c r="I185" s="82"/>
      <c r="J185" s="82"/>
      <c r="K185" s="3"/>
      <c r="L185" s="3"/>
    </row>
    <row r="186" spans="2:12">
      <c r="B186" s="41"/>
      <c r="C186" s="13"/>
      <c r="D186" s="3"/>
      <c r="E186" s="4"/>
      <c r="F186" s="4"/>
      <c r="G186" s="4"/>
      <c r="H186" s="4"/>
      <c r="I186" s="82"/>
      <c r="J186" s="82"/>
      <c r="K186" s="3"/>
      <c r="L186" s="3"/>
    </row>
    <row r="187" spans="2:12">
      <c r="B187" s="41"/>
      <c r="C187" s="13"/>
      <c r="D187" s="3"/>
      <c r="E187" s="4"/>
      <c r="F187" s="4"/>
      <c r="G187" s="4"/>
      <c r="H187" s="4"/>
      <c r="I187" s="82"/>
      <c r="J187" s="82"/>
      <c r="K187" s="3"/>
      <c r="L187" s="3"/>
    </row>
    <row r="188" spans="2:12">
      <c r="B188" s="41"/>
      <c r="C188" s="13"/>
      <c r="D188" s="3"/>
      <c r="E188" s="4"/>
      <c r="F188" s="4"/>
      <c r="G188" s="4"/>
      <c r="H188" s="4"/>
      <c r="I188" s="82"/>
      <c r="J188" s="82"/>
      <c r="K188" s="3"/>
      <c r="L188" s="3"/>
    </row>
    <row r="189" spans="2:12">
      <c r="B189" s="41"/>
      <c r="C189" s="13"/>
      <c r="D189" s="3"/>
      <c r="E189" s="4"/>
      <c r="F189" s="4"/>
      <c r="G189" s="4"/>
      <c r="H189" s="4"/>
      <c r="I189" s="82"/>
      <c r="J189" s="82"/>
      <c r="K189" s="3"/>
      <c r="L189" s="3"/>
    </row>
    <row r="190" spans="2:12">
      <c r="B190" s="41"/>
      <c r="C190" s="13"/>
      <c r="D190" s="3"/>
      <c r="E190" s="4"/>
      <c r="F190" s="4"/>
      <c r="G190" s="4"/>
      <c r="H190" s="4"/>
      <c r="I190" s="82"/>
      <c r="J190" s="82"/>
      <c r="K190" s="3"/>
      <c r="L190" s="3"/>
    </row>
    <row r="191" spans="2:12">
      <c r="B191" s="41"/>
      <c r="C191" s="13"/>
      <c r="D191" s="3"/>
      <c r="E191" s="4"/>
      <c r="F191" s="4"/>
      <c r="G191" s="4"/>
      <c r="H191" s="4"/>
      <c r="I191" s="82"/>
      <c r="J191" s="82"/>
      <c r="K191" s="3"/>
      <c r="L191" s="3"/>
    </row>
    <row r="192" spans="2:12">
      <c r="B192" s="41"/>
      <c r="C192" s="13"/>
      <c r="D192" s="3"/>
      <c r="E192" s="4"/>
      <c r="F192" s="4"/>
      <c r="G192" s="4"/>
      <c r="H192" s="4"/>
      <c r="I192" s="82"/>
      <c r="J192" s="82"/>
      <c r="K192" s="3"/>
      <c r="L192" s="3"/>
    </row>
    <row r="193" spans="2:12">
      <c r="B193" s="41"/>
      <c r="C193" s="13"/>
      <c r="D193" s="3"/>
      <c r="E193" s="4"/>
      <c r="F193" s="4"/>
      <c r="G193" s="4"/>
      <c r="H193" s="4"/>
      <c r="I193" s="82"/>
      <c r="J193" s="82"/>
      <c r="K193" s="3"/>
      <c r="L193" s="3"/>
    </row>
    <row r="194" spans="2:12">
      <c r="B194" s="41"/>
      <c r="C194" s="13"/>
      <c r="D194" s="3"/>
      <c r="E194" s="4"/>
      <c r="F194" s="4"/>
      <c r="G194" s="4"/>
      <c r="H194" s="4"/>
      <c r="I194" s="82"/>
      <c r="J194" s="82"/>
      <c r="K194" s="3"/>
      <c r="L194" s="3"/>
    </row>
    <row r="195" spans="2:12">
      <c r="B195" s="41"/>
      <c r="C195" s="13"/>
      <c r="D195" s="3"/>
      <c r="E195" s="4"/>
      <c r="F195" s="4"/>
      <c r="G195" s="4"/>
      <c r="H195" s="4"/>
      <c r="I195" s="82"/>
      <c r="J195" s="82"/>
      <c r="K195" s="3"/>
      <c r="L195" s="3"/>
    </row>
    <row r="196" spans="2:12">
      <c r="B196" s="41"/>
      <c r="C196" s="13"/>
      <c r="D196" s="3"/>
      <c r="E196" s="4"/>
      <c r="F196" s="4"/>
      <c r="G196" s="4"/>
      <c r="H196" s="4"/>
      <c r="I196" s="82"/>
      <c r="J196" s="82"/>
      <c r="K196" s="3"/>
      <c r="L196" s="3"/>
    </row>
    <row r="197" spans="2:12">
      <c r="B197" s="41"/>
      <c r="C197" s="13"/>
      <c r="D197" s="3"/>
      <c r="E197" s="4"/>
      <c r="F197" s="4"/>
      <c r="G197" s="4"/>
      <c r="H197" s="4"/>
      <c r="I197" s="82"/>
      <c r="J197" s="82"/>
      <c r="K197" s="3"/>
      <c r="L197" s="3"/>
    </row>
    <row r="198" spans="2:12">
      <c r="B198" s="41"/>
      <c r="C198" s="13"/>
      <c r="D198" s="3"/>
      <c r="E198" s="4"/>
      <c r="F198" s="4"/>
      <c r="G198" s="4"/>
      <c r="H198" s="4"/>
      <c r="I198" s="82"/>
      <c r="J198" s="82"/>
      <c r="K198" s="3"/>
      <c r="L198" s="3"/>
    </row>
    <row r="199" spans="2:12">
      <c r="B199" s="41"/>
      <c r="C199" s="13"/>
      <c r="D199" s="3"/>
      <c r="E199" s="4"/>
      <c r="F199" s="4"/>
      <c r="G199" s="4"/>
      <c r="H199" s="4"/>
      <c r="I199" s="82"/>
      <c r="J199" s="82"/>
      <c r="K199" s="3"/>
      <c r="L199" s="3"/>
    </row>
    <row r="200" spans="2:12">
      <c r="B200" s="41"/>
      <c r="C200" s="13"/>
      <c r="D200" s="3"/>
      <c r="E200" s="4"/>
      <c r="F200" s="4"/>
      <c r="G200" s="4"/>
      <c r="H200" s="4"/>
      <c r="I200" s="82"/>
      <c r="J200" s="82"/>
      <c r="K200" s="3"/>
      <c r="L200" s="3"/>
    </row>
    <row r="201" spans="2:12">
      <c r="B201" s="41"/>
      <c r="C201" s="13"/>
      <c r="D201" s="3"/>
      <c r="E201" s="4"/>
      <c r="F201" s="4"/>
      <c r="G201" s="4"/>
      <c r="H201" s="4"/>
      <c r="I201" s="82"/>
      <c r="J201" s="82"/>
      <c r="K201" s="3"/>
      <c r="L201" s="3"/>
    </row>
    <row r="202" spans="2:12">
      <c r="B202" s="41"/>
      <c r="C202" s="13"/>
      <c r="D202" s="3"/>
      <c r="E202" s="4"/>
      <c r="F202" s="4"/>
      <c r="G202" s="4"/>
      <c r="H202" s="4"/>
      <c r="I202" s="82"/>
      <c r="J202" s="82"/>
      <c r="K202" s="3"/>
      <c r="L202" s="3"/>
    </row>
    <row r="203" spans="2:12">
      <c r="B203" s="41"/>
      <c r="C203" s="13"/>
      <c r="D203" s="3"/>
      <c r="E203" s="4"/>
      <c r="F203" s="4"/>
      <c r="G203" s="4"/>
      <c r="H203" s="4"/>
      <c r="I203" s="82"/>
      <c r="J203" s="82"/>
      <c r="K203" s="3"/>
      <c r="L203" s="3"/>
    </row>
    <row r="204" spans="2:12">
      <c r="B204" s="41"/>
      <c r="C204" s="13"/>
      <c r="D204" s="3"/>
      <c r="E204" s="4"/>
      <c r="F204" s="4"/>
      <c r="G204" s="4"/>
      <c r="H204" s="4"/>
      <c r="I204" s="82"/>
      <c r="J204" s="82"/>
      <c r="K204" s="3"/>
      <c r="L204" s="3"/>
    </row>
    <row r="205" spans="2:12">
      <c r="B205" s="41"/>
      <c r="C205" s="13"/>
      <c r="D205" s="3"/>
      <c r="E205" s="4"/>
      <c r="F205" s="4"/>
      <c r="G205" s="4"/>
      <c r="H205" s="4"/>
      <c r="I205" s="82"/>
      <c r="J205" s="82"/>
      <c r="K205" s="3"/>
      <c r="L205" s="3"/>
    </row>
    <row r="206" spans="2:12">
      <c r="B206" s="41"/>
      <c r="C206" s="13"/>
      <c r="D206" s="3"/>
      <c r="E206" s="4"/>
      <c r="F206" s="4"/>
      <c r="G206" s="4"/>
      <c r="H206" s="4"/>
      <c r="I206" s="82"/>
      <c r="J206" s="82"/>
      <c r="K206" s="3"/>
      <c r="L206" s="3"/>
    </row>
    <row r="207" spans="2:12">
      <c r="B207" s="41"/>
      <c r="C207" s="13"/>
      <c r="D207" s="3"/>
      <c r="E207" s="4"/>
      <c r="F207" s="4"/>
      <c r="G207" s="4"/>
      <c r="H207" s="4"/>
      <c r="I207" s="82"/>
      <c r="J207" s="82"/>
      <c r="K207" s="3"/>
      <c r="L207" s="3"/>
    </row>
    <row r="208" spans="2:12">
      <c r="B208" s="41"/>
      <c r="C208" s="13"/>
      <c r="D208" s="3"/>
      <c r="E208" s="4"/>
      <c r="F208" s="4"/>
      <c r="G208" s="4"/>
      <c r="H208" s="4"/>
      <c r="I208" s="82"/>
      <c r="J208" s="82"/>
      <c r="K208" s="3"/>
      <c r="L208" s="3"/>
    </row>
    <row r="209" spans="2:12">
      <c r="B209" s="41"/>
      <c r="C209" s="13"/>
      <c r="D209" s="3"/>
      <c r="E209" s="4"/>
      <c r="F209" s="4"/>
      <c r="G209" s="4"/>
      <c r="H209" s="4"/>
      <c r="I209" s="82"/>
      <c r="J209" s="82"/>
      <c r="K209" s="3"/>
      <c r="L209" s="3"/>
    </row>
    <row r="210" spans="2:12">
      <c r="B210" s="41"/>
      <c r="C210" s="13"/>
      <c r="D210" s="3"/>
      <c r="E210" s="4"/>
      <c r="F210" s="4"/>
      <c r="G210" s="4"/>
      <c r="H210" s="4"/>
      <c r="I210" s="82"/>
      <c r="J210" s="82"/>
      <c r="K210" s="3"/>
      <c r="L210" s="3"/>
    </row>
    <row r="211" spans="2:12">
      <c r="B211" s="41"/>
      <c r="C211" s="13"/>
      <c r="D211" s="3"/>
      <c r="E211" s="4"/>
      <c r="F211" s="4"/>
      <c r="G211" s="4"/>
      <c r="H211" s="4"/>
      <c r="I211" s="82"/>
      <c r="J211" s="82"/>
      <c r="K211" s="3"/>
      <c r="L211" s="3"/>
    </row>
    <row r="212" spans="2:12">
      <c r="B212" s="41"/>
      <c r="C212" s="13"/>
      <c r="D212" s="3"/>
      <c r="E212" s="4"/>
      <c r="F212" s="4"/>
      <c r="G212" s="4"/>
      <c r="H212" s="4"/>
      <c r="I212" s="82"/>
      <c r="J212" s="82"/>
      <c r="K212" s="3"/>
      <c r="L212" s="3"/>
    </row>
    <row r="213" spans="2:12">
      <c r="B213" s="41"/>
      <c r="C213" s="13"/>
      <c r="D213" s="3"/>
      <c r="E213" s="4"/>
      <c r="F213" s="4"/>
      <c r="G213" s="4"/>
      <c r="H213" s="4"/>
      <c r="I213" s="82"/>
      <c r="J213" s="82"/>
      <c r="K213" s="3"/>
      <c r="L213" s="3"/>
    </row>
    <row r="214" spans="2:12">
      <c r="B214" s="41"/>
      <c r="C214" s="13"/>
      <c r="D214" s="3"/>
      <c r="E214" s="4"/>
      <c r="F214" s="4"/>
      <c r="G214" s="4"/>
      <c r="H214" s="4"/>
      <c r="I214" s="82"/>
      <c r="J214" s="82"/>
      <c r="K214" s="3"/>
      <c r="L214" s="3"/>
    </row>
    <row r="215" spans="2:12">
      <c r="B215" s="41"/>
      <c r="C215" s="13"/>
      <c r="D215" s="3"/>
      <c r="E215" s="4"/>
      <c r="F215" s="4"/>
      <c r="G215" s="4"/>
      <c r="H215" s="4"/>
      <c r="I215" s="82"/>
      <c r="J215" s="82"/>
      <c r="K215" s="3"/>
      <c r="L215" s="3"/>
    </row>
    <row r="216" spans="2:12">
      <c r="B216" s="41"/>
      <c r="C216" s="13"/>
      <c r="D216" s="3"/>
      <c r="E216" s="4"/>
      <c r="F216" s="4"/>
      <c r="G216" s="4"/>
      <c r="H216" s="4"/>
      <c r="I216" s="82"/>
      <c r="J216" s="82"/>
      <c r="K216" s="3"/>
      <c r="L216" s="3"/>
    </row>
    <row r="217" spans="2:12">
      <c r="B217" s="41"/>
      <c r="C217" s="13"/>
      <c r="D217" s="3"/>
      <c r="E217" s="4"/>
      <c r="F217" s="4"/>
      <c r="G217" s="4"/>
      <c r="H217" s="4"/>
      <c r="I217" s="82"/>
      <c r="J217" s="82"/>
      <c r="K217" s="3"/>
      <c r="L217" s="3"/>
    </row>
    <row r="218" spans="2:12">
      <c r="B218" s="41"/>
      <c r="C218" s="13"/>
      <c r="D218" s="3"/>
      <c r="E218" s="4"/>
      <c r="F218" s="4"/>
      <c r="G218" s="4"/>
      <c r="H218" s="4"/>
      <c r="I218" s="82"/>
      <c r="J218" s="82"/>
      <c r="K218" s="3"/>
      <c r="L218" s="3"/>
    </row>
    <row r="219" spans="2:12">
      <c r="B219" s="41"/>
      <c r="C219" s="13"/>
      <c r="D219" s="3"/>
      <c r="E219" s="4"/>
      <c r="F219" s="4"/>
      <c r="G219" s="4"/>
      <c r="H219" s="4"/>
      <c r="I219" s="82"/>
      <c r="J219" s="82"/>
      <c r="K219" s="3"/>
      <c r="L219" s="3"/>
    </row>
    <row r="220" spans="2:12">
      <c r="B220" s="41"/>
      <c r="C220" s="13"/>
      <c r="D220" s="3"/>
      <c r="E220" s="4"/>
      <c r="F220" s="4"/>
      <c r="G220" s="4"/>
      <c r="H220" s="4"/>
      <c r="I220" s="82"/>
      <c r="J220" s="82"/>
      <c r="K220" s="3"/>
      <c r="L220" s="3"/>
    </row>
    <row r="221" spans="2:12">
      <c r="B221" s="41"/>
      <c r="C221" s="13"/>
      <c r="D221" s="3"/>
      <c r="E221" s="4"/>
      <c r="F221" s="4"/>
      <c r="G221" s="4"/>
      <c r="H221" s="4"/>
      <c r="I221" s="82"/>
      <c r="J221" s="82"/>
      <c r="K221" s="3"/>
      <c r="L221" s="3"/>
    </row>
    <row r="222" spans="2:12">
      <c r="B222" s="41"/>
      <c r="C222" s="13"/>
      <c r="D222" s="3"/>
      <c r="E222" s="4"/>
      <c r="F222" s="4"/>
      <c r="G222" s="4"/>
      <c r="H222" s="4"/>
      <c r="I222" s="82"/>
      <c r="J222" s="82"/>
      <c r="K222" s="3"/>
      <c r="L222" s="3"/>
    </row>
    <row r="223" spans="2:12">
      <c r="B223" s="41"/>
      <c r="C223" s="13"/>
      <c r="D223" s="3"/>
      <c r="E223" s="4"/>
      <c r="F223" s="4"/>
      <c r="G223" s="4"/>
      <c r="H223" s="4"/>
      <c r="I223" s="82"/>
      <c r="J223" s="82"/>
      <c r="K223" s="3"/>
      <c r="L223" s="3"/>
    </row>
    <row r="224" spans="2:12">
      <c r="B224" s="41"/>
      <c r="C224" s="13"/>
      <c r="D224" s="3"/>
      <c r="E224" s="4"/>
      <c r="F224" s="4"/>
      <c r="G224" s="4"/>
      <c r="H224" s="4"/>
      <c r="I224" s="82"/>
      <c r="J224" s="82"/>
      <c r="K224" s="3"/>
      <c r="L224" s="3"/>
    </row>
    <row r="225" spans="2:12">
      <c r="B225" s="41"/>
      <c r="C225" s="13"/>
      <c r="D225" s="3"/>
      <c r="E225" s="4"/>
      <c r="F225" s="4"/>
      <c r="G225" s="4"/>
      <c r="H225" s="4"/>
      <c r="I225" s="82"/>
      <c r="J225" s="82"/>
      <c r="K225" s="3"/>
      <c r="L225" s="3"/>
    </row>
    <row r="226" spans="2:12">
      <c r="B226" s="41"/>
      <c r="C226" s="13"/>
      <c r="D226" s="3"/>
      <c r="E226" s="4"/>
      <c r="F226" s="4"/>
      <c r="G226" s="4"/>
      <c r="H226" s="4"/>
      <c r="I226" s="82"/>
      <c r="J226" s="82"/>
      <c r="K226" s="3"/>
      <c r="L226" s="3"/>
    </row>
    <row r="227" spans="2:12">
      <c r="B227" s="41"/>
      <c r="C227" s="13"/>
      <c r="D227" s="3"/>
      <c r="E227" s="4"/>
      <c r="F227" s="4"/>
      <c r="G227" s="4"/>
      <c r="H227" s="4"/>
      <c r="I227" s="82"/>
      <c r="J227" s="82"/>
      <c r="K227" s="3"/>
      <c r="L227" s="3"/>
    </row>
    <row r="228" spans="2:12">
      <c r="B228" s="41"/>
      <c r="C228" s="13"/>
      <c r="D228" s="3"/>
      <c r="E228" s="4"/>
      <c r="F228" s="4"/>
      <c r="G228" s="4"/>
      <c r="H228" s="4"/>
      <c r="I228" s="82"/>
      <c r="J228" s="82"/>
      <c r="K228" s="3"/>
      <c r="L228" s="3"/>
    </row>
    <row r="229" spans="2:12">
      <c r="B229" s="41"/>
      <c r="C229" s="13"/>
      <c r="D229" s="3"/>
      <c r="E229" s="4"/>
      <c r="F229" s="4"/>
      <c r="G229" s="4"/>
      <c r="H229" s="4"/>
      <c r="I229" s="82"/>
      <c r="J229" s="82"/>
      <c r="K229" s="3"/>
      <c r="L229" s="3"/>
    </row>
    <row r="230" spans="2:12">
      <c r="B230" s="41"/>
      <c r="C230" s="13"/>
      <c r="D230" s="3"/>
      <c r="E230" s="4"/>
      <c r="F230" s="4"/>
      <c r="G230" s="4"/>
      <c r="H230" s="4"/>
      <c r="I230" s="82"/>
      <c r="J230" s="82"/>
      <c r="K230" s="3"/>
      <c r="L230" s="3"/>
    </row>
    <row r="231" spans="2:12">
      <c r="B231" s="41"/>
      <c r="C231" s="13"/>
      <c r="D231" s="3"/>
      <c r="E231" s="4"/>
      <c r="F231" s="4"/>
      <c r="G231" s="4"/>
      <c r="H231" s="4"/>
      <c r="I231" s="82"/>
      <c r="J231" s="82"/>
      <c r="K231" s="3"/>
      <c r="L231" s="3"/>
    </row>
    <row r="232" spans="2:12">
      <c r="B232" s="41"/>
      <c r="C232" s="13"/>
      <c r="D232" s="3"/>
      <c r="E232" s="4"/>
      <c r="F232" s="4"/>
      <c r="G232" s="4"/>
      <c r="H232" s="4"/>
      <c r="I232" s="82"/>
      <c r="J232" s="82"/>
      <c r="K232" s="3"/>
      <c r="L232" s="3"/>
    </row>
    <row r="233" spans="2:12">
      <c r="B233" s="41"/>
      <c r="C233" s="13"/>
      <c r="D233" s="3"/>
      <c r="E233" s="4"/>
      <c r="F233" s="4"/>
      <c r="G233" s="4"/>
      <c r="H233" s="4"/>
      <c r="I233" s="82"/>
      <c r="J233" s="82"/>
      <c r="K233" s="3"/>
      <c r="L233" s="3"/>
    </row>
    <row r="234" spans="2:12">
      <c r="B234" s="41"/>
      <c r="C234" s="13"/>
      <c r="D234" s="3"/>
      <c r="E234" s="4"/>
      <c r="F234" s="4"/>
      <c r="G234" s="4"/>
      <c r="H234" s="4"/>
      <c r="I234" s="82"/>
      <c r="J234" s="82"/>
      <c r="K234" s="3"/>
      <c r="L234" s="3"/>
    </row>
    <row r="235" spans="2:12">
      <c r="B235" s="41"/>
      <c r="C235" s="13"/>
      <c r="D235" s="3"/>
      <c r="E235" s="4"/>
      <c r="F235" s="4"/>
      <c r="G235" s="4"/>
      <c r="H235" s="4"/>
      <c r="I235" s="82"/>
      <c r="J235" s="82"/>
      <c r="K235" s="3"/>
      <c r="L235" s="3"/>
    </row>
    <row r="236" spans="2:12">
      <c r="B236" s="41"/>
      <c r="C236" s="13"/>
      <c r="D236" s="3"/>
      <c r="E236" s="4"/>
      <c r="F236" s="4"/>
      <c r="G236" s="4"/>
      <c r="H236" s="4"/>
      <c r="I236" s="82"/>
      <c r="J236" s="82"/>
      <c r="K236" s="3"/>
      <c r="L236" s="3"/>
    </row>
    <row r="237" spans="2:12">
      <c r="B237" s="41"/>
      <c r="C237" s="13"/>
      <c r="D237" s="3"/>
      <c r="E237" s="4"/>
      <c r="F237" s="4"/>
      <c r="G237" s="4"/>
      <c r="H237" s="4"/>
      <c r="I237" s="82"/>
      <c r="J237" s="82"/>
      <c r="K237" s="3"/>
      <c r="L237" s="3"/>
    </row>
    <row r="238" spans="2:12">
      <c r="B238" s="41"/>
      <c r="C238" s="13"/>
      <c r="D238" s="3"/>
      <c r="E238" s="4"/>
      <c r="F238" s="4"/>
      <c r="G238" s="4"/>
      <c r="H238" s="4"/>
      <c r="I238" s="82"/>
      <c r="J238" s="82"/>
      <c r="K238" s="3"/>
      <c r="L238" s="3"/>
    </row>
    <row r="239" spans="2:12">
      <c r="B239" s="41"/>
      <c r="C239" s="13"/>
      <c r="D239" s="3"/>
      <c r="E239" s="4"/>
      <c r="F239" s="4"/>
      <c r="G239" s="4"/>
      <c r="H239" s="4"/>
      <c r="I239" s="82"/>
      <c r="J239" s="82"/>
      <c r="K239" s="3"/>
      <c r="L239" s="3"/>
    </row>
    <row r="240" spans="2:12">
      <c r="B240" s="41"/>
      <c r="C240" s="13"/>
      <c r="D240" s="3"/>
      <c r="E240" s="4"/>
      <c r="F240" s="4"/>
      <c r="G240" s="4"/>
      <c r="H240" s="4"/>
      <c r="I240" s="82"/>
      <c r="J240" s="82"/>
      <c r="K240" s="3"/>
      <c r="L240" s="3"/>
    </row>
    <row r="241" spans="2:12">
      <c r="B241" s="41"/>
      <c r="C241" s="13"/>
      <c r="D241" s="3"/>
      <c r="E241" s="4"/>
      <c r="F241" s="4"/>
      <c r="G241" s="4"/>
      <c r="H241" s="4"/>
      <c r="I241" s="82"/>
      <c r="J241" s="82"/>
      <c r="K241" s="3"/>
      <c r="L241" s="3"/>
    </row>
    <row r="242" spans="2:12">
      <c r="B242" s="41"/>
      <c r="C242" s="13"/>
      <c r="D242" s="3"/>
      <c r="E242" s="4"/>
      <c r="F242" s="4"/>
      <c r="G242" s="4"/>
      <c r="H242" s="4"/>
      <c r="I242" s="82"/>
      <c r="J242" s="82"/>
      <c r="K242" s="3"/>
      <c r="L242" s="3"/>
    </row>
    <row r="243" spans="2:12">
      <c r="B243" s="41"/>
      <c r="C243" s="13"/>
      <c r="D243" s="3"/>
      <c r="E243" s="4"/>
      <c r="F243" s="4"/>
      <c r="G243" s="4"/>
      <c r="H243" s="4"/>
      <c r="I243" s="82"/>
      <c r="J243" s="82"/>
      <c r="K243" s="3"/>
      <c r="L243" s="3"/>
    </row>
    <row r="244" spans="2:12">
      <c r="B244" s="41"/>
      <c r="C244" s="13"/>
      <c r="D244" s="3"/>
      <c r="E244" s="4"/>
      <c r="F244" s="4"/>
      <c r="G244" s="4"/>
      <c r="H244" s="4"/>
      <c r="I244" s="82"/>
      <c r="J244" s="82"/>
      <c r="K244" s="3"/>
      <c r="L244" s="3"/>
    </row>
    <row r="245" spans="2:12">
      <c r="B245" s="41"/>
      <c r="C245" s="13"/>
      <c r="D245" s="3"/>
      <c r="E245" s="4"/>
      <c r="F245" s="4"/>
      <c r="G245" s="4"/>
      <c r="H245" s="4"/>
      <c r="I245" s="82"/>
      <c r="J245" s="82"/>
      <c r="K245" s="3"/>
      <c r="L245" s="3"/>
    </row>
    <row r="246" spans="2:12">
      <c r="B246" s="41"/>
      <c r="C246" s="13"/>
      <c r="D246" s="3"/>
      <c r="E246" s="4"/>
      <c r="F246" s="4"/>
      <c r="G246" s="4"/>
      <c r="H246" s="4"/>
      <c r="I246" s="82"/>
      <c r="J246" s="82"/>
      <c r="K246" s="3"/>
      <c r="L246" s="3"/>
    </row>
    <row r="247" spans="2:12">
      <c r="B247" s="41"/>
      <c r="C247" s="13"/>
      <c r="D247" s="3"/>
      <c r="E247" s="4"/>
      <c r="F247" s="4"/>
      <c r="G247" s="4"/>
      <c r="H247" s="4"/>
      <c r="I247" s="82"/>
      <c r="J247" s="82"/>
      <c r="K247" s="3"/>
      <c r="L247" s="3"/>
    </row>
    <row r="248" spans="2:12">
      <c r="B248" s="41"/>
      <c r="C248" s="13"/>
      <c r="D248" s="3"/>
      <c r="E248" s="4"/>
      <c r="F248" s="4"/>
      <c r="G248" s="4"/>
      <c r="H248" s="4"/>
      <c r="I248" s="82"/>
      <c r="J248" s="82"/>
      <c r="K248" s="3"/>
      <c r="L248" s="3"/>
    </row>
    <row r="249" spans="2:12">
      <c r="B249" s="41"/>
      <c r="C249" s="13"/>
      <c r="D249" s="3"/>
      <c r="E249" s="4"/>
      <c r="F249" s="4"/>
      <c r="G249" s="4"/>
      <c r="H249" s="4"/>
      <c r="I249" s="82"/>
      <c r="J249" s="82"/>
      <c r="K249" s="3"/>
      <c r="L249" s="3"/>
    </row>
    <row r="250" spans="2:12">
      <c r="B250" s="41"/>
      <c r="C250" s="13"/>
      <c r="D250" s="3"/>
      <c r="E250" s="4"/>
      <c r="F250" s="4"/>
      <c r="G250" s="4"/>
      <c r="H250" s="4"/>
      <c r="I250" s="82"/>
      <c r="J250" s="82"/>
      <c r="K250" s="3"/>
      <c r="L250" s="3"/>
    </row>
    <row r="251" spans="2:12">
      <c r="B251" s="41"/>
      <c r="C251" s="13"/>
      <c r="D251" s="3"/>
      <c r="E251" s="4"/>
      <c r="F251" s="4"/>
      <c r="G251" s="4"/>
      <c r="H251" s="4"/>
      <c r="I251" s="82"/>
      <c r="J251" s="82"/>
      <c r="K251" s="3"/>
      <c r="L251" s="3"/>
    </row>
    <row r="252" spans="2:12">
      <c r="B252" s="41"/>
      <c r="C252" s="13"/>
      <c r="D252" s="3"/>
      <c r="E252" s="4"/>
      <c r="F252" s="4"/>
      <c r="G252" s="4"/>
      <c r="H252" s="4"/>
      <c r="I252" s="82"/>
      <c r="J252" s="82"/>
      <c r="K252" s="3"/>
      <c r="L252" s="3"/>
    </row>
    <row r="253" spans="2:12">
      <c r="B253" s="41"/>
      <c r="C253" s="13"/>
      <c r="D253" s="3"/>
      <c r="E253" s="4"/>
      <c r="F253" s="4"/>
      <c r="G253" s="4"/>
      <c r="H253" s="4"/>
      <c r="I253" s="82"/>
      <c r="J253" s="82"/>
      <c r="K253" s="3"/>
      <c r="L253" s="3"/>
    </row>
    <row r="254" spans="2:12">
      <c r="B254" s="41"/>
      <c r="C254" s="13"/>
      <c r="D254" s="3"/>
      <c r="E254" s="4"/>
      <c r="F254" s="4"/>
      <c r="G254" s="4"/>
      <c r="H254" s="4"/>
      <c r="I254" s="82"/>
      <c r="J254" s="82"/>
      <c r="K254" s="3"/>
      <c r="L254" s="3"/>
    </row>
    <row r="255" spans="2:12">
      <c r="B255" s="41"/>
      <c r="C255" s="13"/>
      <c r="D255" s="3"/>
      <c r="E255" s="4"/>
      <c r="F255" s="4"/>
      <c r="G255" s="4"/>
      <c r="H255" s="4"/>
      <c r="I255" s="82"/>
      <c r="J255" s="82"/>
      <c r="K255" s="3"/>
      <c r="L255" s="3"/>
    </row>
    <row r="256" spans="2:12">
      <c r="B256" s="41"/>
      <c r="C256" s="13"/>
      <c r="D256" s="3"/>
      <c r="E256" s="4"/>
      <c r="F256" s="4"/>
      <c r="G256" s="4"/>
      <c r="H256" s="4"/>
      <c r="I256" s="82"/>
      <c r="J256" s="82"/>
      <c r="K256" s="3"/>
      <c r="L256" s="3"/>
    </row>
    <row r="257" spans="2:12">
      <c r="B257" s="41"/>
      <c r="C257" s="13"/>
      <c r="D257" s="3"/>
      <c r="E257" s="4"/>
      <c r="F257" s="4"/>
      <c r="G257" s="4"/>
      <c r="H257" s="4"/>
      <c r="I257" s="82"/>
      <c r="J257" s="82"/>
      <c r="K257" s="3"/>
      <c r="L257" s="3"/>
    </row>
    <row r="258" spans="2:12">
      <c r="B258" s="41"/>
      <c r="C258" s="13"/>
      <c r="D258" s="3"/>
      <c r="E258" s="4"/>
      <c r="F258" s="4"/>
      <c r="G258" s="4"/>
      <c r="H258" s="4"/>
      <c r="I258" s="82"/>
      <c r="J258" s="82"/>
      <c r="K258" s="3"/>
      <c r="L258" s="3"/>
    </row>
    <row r="259" spans="2:12">
      <c r="B259" s="41"/>
      <c r="C259" s="13"/>
      <c r="D259" s="3"/>
      <c r="E259" s="4"/>
      <c r="F259" s="4"/>
      <c r="G259" s="4"/>
      <c r="H259" s="4"/>
      <c r="I259" s="82"/>
      <c r="J259" s="82"/>
      <c r="K259" s="3"/>
      <c r="L259" s="3"/>
    </row>
    <row r="260" spans="2:12">
      <c r="B260" s="41"/>
      <c r="C260" s="13"/>
      <c r="D260" s="3"/>
      <c r="E260" s="4"/>
      <c r="F260" s="4"/>
      <c r="G260" s="4"/>
      <c r="H260" s="4"/>
      <c r="I260" s="82"/>
      <c r="J260" s="82"/>
      <c r="K260" s="3"/>
      <c r="L260" s="3"/>
    </row>
    <row r="261" spans="2:12">
      <c r="B261" s="41"/>
      <c r="C261" s="13"/>
      <c r="D261" s="3"/>
      <c r="E261" s="4"/>
      <c r="F261" s="4"/>
      <c r="G261" s="4"/>
      <c r="H261" s="4"/>
      <c r="I261" s="82"/>
      <c r="J261" s="82"/>
      <c r="K261" s="3"/>
      <c r="L261" s="3"/>
    </row>
    <row r="262" spans="2:12">
      <c r="B262" s="41"/>
      <c r="C262" s="13"/>
      <c r="D262" s="3"/>
      <c r="E262" s="4"/>
      <c r="F262" s="4"/>
      <c r="G262" s="4"/>
      <c r="H262" s="4"/>
      <c r="I262" s="82"/>
      <c r="J262" s="82"/>
      <c r="K262" s="3"/>
      <c r="L262" s="3"/>
    </row>
    <row r="263" spans="2:12">
      <c r="B263" s="41"/>
      <c r="C263" s="13"/>
      <c r="D263" s="3"/>
      <c r="E263" s="4"/>
      <c r="F263" s="4"/>
      <c r="G263" s="4"/>
      <c r="H263" s="4"/>
      <c r="I263" s="82"/>
      <c r="J263" s="82"/>
      <c r="K263" s="3"/>
      <c r="L263" s="3"/>
    </row>
    <row r="264" spans="2:12">
      <c r="B264" s="41"/>
      <c r="C264" s="13"/>
      <c r="D264" s="3"/>
      <c r="E264" s="4"/>
      <c r="F264" s="4"/>
      <c r="G264" s="4"/>
      <c r="H264" s="4"/>
      <c r="I264" s="82"/>
      <c r="J264" s="82"/>
      <c r="K264" s="3"/>
      <c r="L264" s="3"/>
    </row>
    <row r="265" spans="2:12">
      <c r="B265" s="41"/>
      <c r="C265" s="13"/>
      <c r="D265" s="3"/>
      <c r="E265" s="4"/>
      <c r="F265" s="4"/>
      <c r="G265" s="4"/>
      <c r="H265" s="4"/>
      <c r="I265" s="82"/>
      <c r="J265" s="82"/>
      <c r="K265" s="3"/>
      <c r="L265" s="3"/>
    </row>
    <row r="266" spans="2:12">
      <c r="B266" s="41"/>
      <c r="C266" s="13"/>
      <c r="D266" s="3"/>
      <c r="E266" s="4"/>
      <c r="F266" s="4"/>
      <c r="G266" s="4"/>
      <c r="H266" s="4"/>
      <c r="I266" s="82"/>
      <c r="J266" s="82"/>
      <c r="K266" s="3"/>
      <c r="L266" s="3"/>
    </row>
    <row r="267" spans="2:12">
      <c r="B267" s="41"/>
      <c r="C267" s="13"/>
      <c r="D267" s="3"/>
      <c r="E267" s="4"/>
      <c r="F267" s="4"/>
      <c r="G267" s="4"/>
      <c r="H267" s="4"/>
      <c r="I267" s="82"/>
      <c r="J267" s="82"/>
      <c r="K267" s="3"/>
      <c r="L267" s="3"/>
    </row>
    <row r="268" spans="2:12">
      <c r="B268" s="41"/>
      <c r="C268" s="13"/>
      <c r="D268" s="3"/>
      <c r="E268" s="4"/>
      <c r="F268" s="4"/>
      <c r="G268" s="4"/>
      <c r="H268" s="4"/>
      <c r="I268" s="82"/>
      <c r="J268" s="82"/>
      <c r="K268" s="3"/>
      <c r="L268" s="3"/>
    </row>
    <row r="269" spans="2:12">
      <c r="B269" s="41"/>
      <c r="C269" s="13"/>
      <c r="D269" s="3"/>
      <c r="E269" s="4"/>
      <c r="F269" s="4"/>
      <c r="G269" s="4"/>
      <c r="H269" s="4"/>
      <c r="I269" s="82"/>
      <c r="J269" s="82"/>
      <c r="K269" s="3"/>
      <c r="L269" s="3"/>
    </row>
    <row r="270" spans="2:12">
      <c r="B270" s="41"/>
      <c r="C270" s="13"/>
      <c r="D270" s="3"/>
      <c r="E270" s="4"/>
      <c r="F270" s="4"/>
      <c r="G270" s="4"/>
      <c r="H270" s="4"/>
      <c r="I270" s="82"/>
      <c r="J270" s="82"/>
      <c r="K270" s="3"/>
      <c r="L270" s="3"/>
    </row>
    <row r="271" spans="2:12">
      <c r="B271" s="41"/>
      <c r="C271" s="13"/>
      <c r="D271" s="3"/>
      <c r="E271" s="4"/>
      <c r="F271" s="4"/>
      <c r="G271" s="4"/>
      <c r="H271" s="4"/>
      <c r="I271" s="82"/>
      <c r="J271" s="82"/>
      <c r="K271" s="3"/>
      <c r="L271" s="3"/>
    </row>
    <row r="272" spans="2:12">
      <c r="B272" s="41"/>
      <c r="C272" s="13"/>
      <c r="D272" s="3"/>
      <c r="E272" s="4"/>
      <c r="F272" s="4"/>
      <c r="G272" s="4"/>
      <c r="H272" s="4"/>
      <c r="I272" s="82"/>
      <c r="J272" s="82"/>
      <c r="K272" s="3"/>
      <c r="L272" s="3"/>
    </row>
    <row r="273" spans="2:12">
      <c r="B273" s="41"/>
      <c r="C273" s="13"/>
      <c r="D273" s="3"/>
      <c r="E273" s="4"/>
      <c r="F273" s="4"/>
      <c r="G273" s="4"/>
      <c r="H273" s="4"/>
      <c r="I273" s="82"/>
      <c r="J273" s="82"/>
      <c r="K273" s="3"/>
      <c r="L273" s="3"/>
    </row>
    <row r="274" spans="2:12">
      <c r="B274" s="41"/>
      <c r="C274" s="13"/>
      <c r="D274" s="3"/>
      <c r="E274" s="4"/>
      <c r="F274" s="4"/>
      <c r="G274" s="4"/>
      <c r="H274" s="4"/>
      <c r="I274" s="82"/>
      <c r="J274" s="82"/>
      <c r="K274" s="3"/>
      <c r="L274" s="3"/>
    </row>
    <row r="275" spans="2:12">
      <c r="B275" s="41"/>
      <c r="C275" s="13"/>
      <c r="D275" s="3"/>
      <c r="E275" s="4"/>
      <c r="F275" s="4"/>
      <c r="G275" s="4"/>
      <c r="H275" s="4"/>
      <c r="I275" s="82"/>
      <c r="J275" s="82"/>
      <c r="K275" s="3"/>
      <c r="L275" s="3"/>
    </row>
    <row r="276" spans="2:12">
      <c r="B276" s="41"/>
      <c r="C276" s="13"/>
      <c r="D276" s="3"/>
      <c r="E276" s="4"/>
      <c r="F276" s="4"/>
      <c r="G276" s="4"/>
      <c r="H276" s="4"/>
      <c r="I276" s="82"/>
      <c r="J276" s="82"/>
      <c r="K276" s="3"/>
      <c r="L276" s="3"/>
    </row>
    <row r="277" spans="2:12">
      <c r="B277" s="41"/>
      <c r="C277" s="13"/>
      <c r="D277" s="3"/>
      <c r="E277" s="4"/>
      <c r="F277" s="4"/>
      <c r="G277" s="4"/>
      <c r="H277" s="4"/>
      <c r="I277" s="82"/>
      <c r="J277" s="82"/>
      <c r="K277" s="3"/>
      <c r="L277" s="3"/>
    </row>
    <row r="278" spans="2:12">
      <c r="B278" s="41"/>
      <c r="C278" s="13"/>
      <c r="D278" s="3"/>
      <c r="E278" s="4"/>
      <c r="F278" s="4"/>
      <c r="G278" s="4"/>
      <c r="H278" s="4"/>
      <c r="I278" s="82"/>
      <c r="J278" s="82"/>
      <c r="K278" s="3"/>
      <c r="L278" s="3"/>
    </row>
    <row r="279" spans="2:12">
      <c r="B279" s="41"/>
      <c r="C279" s="13"/>
      <c r="D279" s="3"/>
      <c r="E279" s="4"/>
      <c r="F279" s="4"/>
      <c r="G279" s="4"/>
      <c r="H279" s="4"/>
      <c r="I279" s="82"/>
      <c r="J279" s="82"/>
      <c r="K279" s="3"/>
      <c r="L279" s="3"/>
    </row>
    <row r="280" spans="2:12">
      <c r="B280" s="41"/>
      <c r="C280" s="13"/>
      <c r="D280" s="3"/>
      <c r="E280" s="4"/>
      <c r="F280" s="4"/>
      <c r="G280" s="4"/>
      <c r="H280" s="4"/>
      <c r="I280" s="82"/>
      <c r="J280" s="82"/>
      <c r="K280" s="3"/>
      <c r="L280" s="3"/>
    </row>
    <row r="281" spans="2:12">
      <c r="B281" s="41"/>
      <c r="C281" s="13"/>
      <c r="D281" s="3"/>
      <c r="E281" s="4"/>
      <c r="F281" s="4"/>
      <c r="G281" s="4"/>
      <c r="H281" s="4"/>
      <c r="I281" s="82"/>
      <c r="J281" s="82"/>
      <c r="K281" s="3"/>
      <c r="L281" s="3"/>
    </row>
    <row r="282" spans="2:12">
      <c r="B282" s="41"/>
      <c r="C282" s="13"/>
      <c r="D282" s="3"/>
      <c r="E282" s="4"/>
      <c r="F282" s="4"/>
      <c r="G282" s="4"/>
      <c r="H282" s="4"/>
      <c r="I282" s="82"/>
      <c r="J282" s="82"/>
      <c r="K282" s="3"/>
      <c r="L282" s="3"/>
    </row>
    <row r="283" spans="2:12">
      <c r="B283" s="41"/>
      <c r="C283" s="13"/>
      <c r="D283" s="3"/>
      <c r="E283" s="4"/>
      <c r="F283" s="4"/>
      <c r="G283" s="4"/>
      <c r="H283" s="4"/>
      <c r="I283" s="82"/>
      <c r="J283" s="82"/>
      <c r="K283" s="3"/>
      <c r="L283" s="3"/>
    </row>
    <row r="284" spans="2:12">
      <c r="B284" s="41"/>
      <c r="C284" s="13"/>
      <c r="D284" s="3"/>
      <c r="E284" s="4"/>
      <c r="F284" s="4"/>
      <c r="G284" s="4"/>
      <c r="H284" s="4"/>
      <c r="I284" s="82"/>
      <c r="J284" s="82"/>
      <c r="K284" s="3"/>
      <c r="L284" s="3"/>
    </row>
    <row r="285" spans="2:12">
      <c r="B285" s="41"/>
      <c r="C285" s="13"/>
      <c r="D285" s="3"/>
      <c r="E285" s="4"/>
      <c r="F285" s="4"/>
      <c r="G285" s="4"/>
      <c r="H285" s="4"/>
      <c r="I285" s="82"/>
      <c r="J285" s="82"/>
      <c r="K285" s="3"/>
      <c r="L285" s="3"/>
    </row>
    <row r="286" spans="2:12">
      <c r="B286" s="41"/>
      <c r="C286" s="13"/>
      <c r="D286" s="3"/>
      <c r="E286" s="4"/>
      <c r="F286" s="4"/>
      <c r="G286" s="4"/>
      <c r="H286" s="4"/>
      <c r="I286" s="82"/>
      <c r="J286" s="82"/>
      <c r="K286" s="3"/>
      <c r="L286" s="3"/>
    </row>
    <row r="287" spans="2:12">
      <c r="B287" s="41"/>
      <c r="C287" s="13"/>
      <c r="D287" s="3"/>
      <c r="E287" s="4"/>
      <c r="F287" s="4"/>
      <c r="G287" s="4"/>
      <c r="H287" s="4"/>
      <c r="I287" s="82"/>
      <c r="J287" s="82"/>
      <c r="K287" s="3"/>
      <c r="L287" s="3"/>
    </row>
    <row r="288" spans="2:12">
      <c r="B288" s="41"/>
      <c r="C288" s="13"/>
      <c r="D288" s="3"/>
      <c r="E288" s="4"/>
      <c r="F288" s="4"/>
      <c r="G288" s="4"/>
      <c r="H288" s="4"/>
      <c r="I288" s="82"/>
      <c r="J288" s="82"/>
      <c r="K288" s="3"/>
      <c r="L288" s="3"/>
    </row>
    <row r="289" spans="2:12">
      <c r="B289" s="41"/>
      <c r="C289" s="13"/>
      <c r="D289" s="3"/>
      <c r="E289" s="4"/>
      <c r="F289" s="4"/>
      <c r="G289" s="4"/>
      <c r="H289" s="4"/>
      <c r="I289" s="82"/>
      <c r="J289" s="82"/>
      <c r="K289" s="3"/>
      <c r="L289" s="3"/>
    </row>
    <row r="290" spans="2:12">
      <c r="B290" s="41"/>
      <c r="C290" s="13"/>
      <c r="D290" s="3"/>
      <c r="E290" s="4"/>
      <c r="F290" s="4"/>
      <c r="G290" s="4"/>
      <c r="H290" s="4"/>
      <c r="I290" s="82"/>
      <c r="J290" s="82"/>
      <c r="K290" s="3"/>
      <c r="L290" s="3"/>
    </row>
    <row r="291" spans="2:12">
      <c r="B291" s="41"/>
      <c r="C291" s="13"/>
      <c r="D291" s="3"/>
      <c r="E291" s="4"/>
      <c r="F291" s="4"/>
      <c r="G291" s="4"/>
      <c r="H291" s="4"/>
      <c r="I291" s="82"/>
      <c r="J291" s="82"/>
      <c r="K291" s="3"/>
      <c r="L291" s="3"/>
    </row>
    <row r="292" spans="2:12">
      <c r="B292" s="41"/>
      <c r="C292" s="13"/>
      <c r="D292" s="3"/>
      <c r="E292" s="4"/>
      <c r="F292" s="4"/>
      <c r="G292" s="4"/>
      <c r="H292" s="4"/>
      <c r="I292" s="82"/>
      <c r="J292" s="82"/>
      <c r="K292" s="3"/>
      <c r="L292" s="3"/>
    </row>
    <row r="293" spans="2:12">
      <c r="B293" s="41"/>
      <c r="C293" s="13"/>
      <c r="D293" s="3"/>
      <c r="E293" s="4"/>
      <c r="F293" s="4"/>
      <c r="G293" s="4"/>
      <c r="H293" s="4"/>
      <c r="I293" s="82"/>
      <c r="J293" s="82"/>
      <c r="K293" s="3"/>
      <c r="L293" s="3"/>
    </row>
    <row r="294" spans="2:12">
      <c r="B294" s="41"/>
      <c r="C294" s="13"/>
      <c r="D294" s="3"/>
      <c r="E294" s="4"/>
      <c r="F294" s="4"/>
      <c r="G294" s="4"/>
      <c r="H294" s="4"/>
      <c r="I294" s="82"/>
      <c r="J294" s="82"/>
      <c r="K294" s="3"/>
      <c r="L294" s="3"/>
    </row>
    <row r="295" spans="2:12">
      <c r="B295" s="41"/>
      <c r="C295" s="13"/>
      <c r="D295" s="3"/>
      <c r="E295" s="4"/>
      <c r="F295" s="4"/>
      <c r="G295" s="4"/>
      <c r="H295" s="4"/>
      <c r="I295" s="82"/>
      <c r="J295" s="82"/>
      <c r="K295" s="3"/>
      <c r="L295" s="3"/>
    </row>
    <row r="296" spans="2:12">
      <c r="B296" s="41"/>
      <c r="C296" s="13"/>
      <c r="D296" s="3"/>
      <c r="E296" s="4"/>
      <c r="F296" s="4"/>
      <c r="G296" s="4"/>
      <c r="H296" s="4"/>
      <c r="I296" s="82"/>
      <c r="J296" s="82"/>
      <c r="K296" s="3"/>
      <c r="L296" s="3"/>
    </row>
    <row r="297" spans="2:12">
      <c r="B297" s="41"/>
      <c r="C297" s="13"/>
      <c r="D297" s="3"/>
      <c r="E297" s="4"/>
      <c r="F297" s="4"/>
      <c r="G297" s="4"/>
      <c r="H297" s="4"/>
      <c r="I297" s="82"/>
      <c r="J297" s="82"/>
      <c r="K297" s="3"/>
      <c r="L297" s="3"/>
    </row>
    <row r="298" spans="2:12">
      <c r="B298" s="41"/>
      <c r="C298" s="13"/>
      <c r="D298" s="3"/>
      <c r="E298" s="4"/>
      <c r="F298" s="4"/>
      <c r="G298" s="4"/>
      <c r="H298" s="4"/>
      <c r="I298" s="82"/>
      <c r="J298" s="82"/>
      <c r="K298" s="3"/>
      <c r="L298" s="3"/>
    </row>
    <row r="299" spans="2:12">
      <c r="B299" s="41"/>
      <c r="C299" s="13"/>
      <c r="D299" s="3"/>
      <c r="E299" s="4"/>
      <c r="F299" s="4"/>
      <c r="G299" s="4"/>
      <c r="H299" s="4"/>
      <c r="I299" s="82"/>
      <c r="J299" s="82"/>
      <c r="K299" s="3"/>
      <c r="L299" s="3"/>
    </row>
    <row r="300" spans="2:12">
      <c r="B300" s="41"/>
      <c r="C300" s="13"/>
      <c r="D300" s="3"/>
      <c r="E300" s="4"/>
      <c r="F300" s="4"/>
      <c r="G300" s="4"/>
      <c r="H300" s="4"/>
      <c r="I300" s="82"/>
      <c r="J300" s="82"/>
      <c r="K300" s="3"/>
      <c r="L300" s="3"/>
    </row>
    <row r="301" spans="2:12">
      <c r="B301" s="41"/>
      <c r="C301" s="13"/>
      <c r="D301" s="3"/>
      <c r="E301" s="4"/>
      <c r="F301" s="4"/>
      <c r="G301" s="4"/>
      <c r="H301" s="4"/>
      <c r="I301" s="82"/>
      <c r="J301" s="82"/>
      <c r="K301" s="3"/>
      <c r="L301" s="3"/>
    </row>
    <row r="302" spans="2:12">
      <c r="B302" s="41"/>
      <c r="C302" s="13"/>
      <c r="D302" s="3"/>
      <c r="E302" s="4"/>
      <c r="F302" s="4"/>
      <c r="G302" s="4"/>
      <c r="H302" s="4"/>
      <c r="I302" s="82"/>
      <c r="J302" s="82"/>
      <c r="K302" s="3"/>
      <c r="L302" s="3"/>
    </row>
    <row r="303" spans="2:12">
      <c r="B303" s="41"/>
      <c r="C303" s="13"/>
      <c r="D303" s="3"/>
      <c r="E303" s="4"/>
      <c r="F303" s="4"/>
      <c r="G303" s="4"/>
      <c r="H303" s="4"/>
      <c r="I303" s="82"/>
      <c r="J303" s="82"/>
      <c r="K303" s="3"/>
      <c r="L303" s="3"/>
    </row>
    <row r="304" spans="2:12">
      <c r="B304" s="41"/>
      <c r="C304" s="13"/>
      <c r="D304" s="3"/>
      <c r="E304" s="4"/>
      <c r="F304" s="4"/>
      <c r="G304" s="4"/>
      <c r="H304" s="4"/>
      <c r="I304" s="82"/>
      <c r="J304" s="82"/>
      <c r="K304" s="3"/>
      <c r="L304" s="3"/>
    </row>
    <row r="305" spans="2:12">
      <c r="B305" s="41"/>
      <c r="C305" s="13"/>
      <c r="D305" s="3"/>
      <c r="E305" s="4"/>
      <c r="F305" s="4"/>
      <c r="G305" s="4"/>
      <c r="H305" s="4"/>
      <c r="I305" s="82"/>
      <c r="J305" s="82"/>
      <c r="K305" s="3"/>
      <c r="L305" s="3"/>
    </row>
    <row r="306" spans="2:12">
      <c r="B306" s="41"/>
      <c r="C306" s="13"/>
      <c r="D306" s="3"/>
      <c r="E306" s="4"/>
      <c r="F306" s="4"/>
      <c r="G306" s="4"/>
      <c r="H306" s="4"/>
      <c r="I306" s="82"/>
      <c r="J306" s="82"/>
      <c r="K306" s="3"/>
      <c r="L306" s="3"/>
    </row>
    <row r="307" spans="2:12">
      <c r="B307" s="41"/>
      <c r="C307" s="13"/>
      <c r="D307" s="3"/>
      <c r="E307" s="4"/>
      <c r="F307" s="4"/>
      <c r="G307" s="4"/>
      <c r="H307" s="4"/>
      <c r="I307" s="82"/>
      <c r="J307" s="82"/>
      <c r="K307" s="3"/>
      <c r="L307" s="3"/>
    </row>
    <row r="308" spans="2:12">
      <c r="B308" s="41"/>
      <c r="C308" s="13"/>
      <c r="D308" s="3"/>
      <c r="E308" s="4"/>
      <c r="F308" s="4"/>
      <c r="G308" s="4"/>
      <c r="H308" s="4"/>
      <c r="I308" s="82"/>
      <c r="J308" s="82"/>
      <c r="K308" s="3"/>
      <c r="L308" s="3"/>
    </row>
    <row r="309" spans="2:12">
      <c r="B309" s="41"/>
      <c r="C309" s="13"/>
      <c r="D309" s="3"/>
      <c r="E309" s="4"/>
      <c r="F309" s="4"/>
      <c r="G309" s="4"/>
      <c r="H309" s="4"/>
      <c r="I309" s="82"/>
      <c r="J309" s="82"/>
      <c r="K309" s="3"/>
      <c r="L309" s="3"/>
    </row>
    <row r="310" spans="2:12">
      <c r="B310" s="41"/>
      <c r="C310" s="13"/>
      <c r="D310" s="3"/>
      <c r="E310" s="4"/>
      <c r="F310" s="4"/>
      <c r="G310" s="4"/>
      <c r="H310" s="4"/>
      <c r="I310" s="82"/>
      <c r="J310" s="82"/>
      <c r="K310" s="3"/>
      <c r="L310" s="3"/>
    </row>
    <row r="311" spans="2:12">
      <c r="B311" s="41"/>
      <c r="C311" s="13"/>
      <c r="D311" s="3"/>
      <c r="E311" s="4"/>
      <c r="F311" s="4"/>
      <c r="G311" s="4"/>
      <c r="H311" s="4"/>
      <c r="I311" s="82"/>
      <c r="J311" s="82"/>
      <c r="K311" s="3"/>
      <c r="L311" s="3"/>
    </row>
    <row r="312" spans="2:12">
      <c r="B312" s="41"/>
      <c r="C312" s="13"/>
      <c r="D312" s="3"/>
      <c r="E312" s="4"/>
      <c r="F312" s="4"/>
      <c r="G312" s="4"/>
      <c r="H312" s="4"/>
      <c r="I312" s="82"/>
      <c r="J312" s="82"/>
      <c r="K312" s="3"/>
      <c r="L312" s="3"/>
    </row>
    <row r="313" spans="2:12">
      <c r="B313" s="41"/>
      <c r="C313" s="13"/>
      <c r="D313" s="3"/>
      <c r="E313" s="4"/>
      <c r="F313" s="4"/>
      <c r="G313" s="4"/>
      <c r="H313" s="4"/>
      <c r="I313" s="82"/>
      <c r="J313" s="82"/>
      <c r="K313" s="3"/>
      <c r="L313" s="3"/>
    </row>
    <row r="314" spans="2:12">
      <c r="B314" s="41"/>
      <c r="C314" s="13"/>
      <c r="D314" s="3"/>
      <c r="E314" s="4"/>
      <c r="F314" s="4"/>
      <c r="G314" s="4"/>
      <c r="H314" s="4"/>
      <c r="I314" s="82"/>
      <c r="J314" s="82"/>
      <c r="K314" s="3"/>
      <c r="L314" s="3"/>
    </row>
    <row r="315" spans="2:12">
      <c r="B315" s="41"/>
      <c r="C315" s="13"/>
      <c r="D315" s="3"/>
      <c r="E315" s="4"/>
      <c r="F315" s="4"/>
      <c r="G315" s="4"/>
      <c r="H315" s="4"/>
      <c r="I315" s="82"/>
      <c r="J315" s="82"/>
      <c r="K315" s="3"/>
      <c r="L315" s="3"/>
    </row>
    <row r="316" spans="2:12">
      <c r="B316" s="41"/>
      <c r="C316" s="13"/>
      <c r="D316" s="3"/>
      <c r="E316" s="4"/>
      <c r="F316" s="4"/>
      <c r="G316" s="4"/>
      <c r="H316" s="4"/>
      <c r="I316" s="82"/>
      <c r="J316" s="82"/>
      <c r="K316" s="3"/>
      <c r="L316" s="3"/>
    </row>
    <row r="317" spans="2:12">
      <c r="B317" s="41"/>
      <c r="C317" s="13"/>
      <c r="D317" s="3"/>
      <c r="E317" s="4"/>
      <c r="F317" s="4"/>
      <c r="G317" s="4"/>
      <c r="H317" s="4"/>
      <c r="I317" s="82"/>
      <c r="J317" s="82"/>
      <c r="K317" s="3"/>
      <c r="L317" s="3"/>
    </row>
    <row r="318" spans="2:12">
      <c r="B318" s="41"/>
      <c r="C318" s="13"/>
      <c r="D318" s="3"/>
      <c r="E318" s="4"/>
      <c r="F318" s="4"/>
      <c r="G318" s="4"/>
      <c r="H318" s="4"/>
      <c r="I318" s="82"/>
      <c r="J318" s="82"/>
      <c r="K318" s="3"/>
      <c r="L318" s="3"/>
    </row>
    <row r="319" spans="2:12">
      <c r="B319" s="41"/>
      <c r="C319" s="13"/>
      <c r="D319" s="3"/>
      <c r="E319" s="4"/>
      <c r="F319" s="4"/>
      <c r="G319" s="4"/>
      <c r="H319" s="4"/>
      <c r="I319" s="82"/>
      <c r="J319" s="82"/>
      <c r="K319" s="3"/>
      <c r="L319" s="3"/>
    </row>
    <row r="320" spans="2:12">
      <c r="B320" s="41"/>
      <c r="C320" s="13"/>
      <c r="D320" s="3"/>
      <c r="E320" s="4"/>
      <c r="F320" s="4"/>
      <c r="G320" s="4"/>
      <c r="H320" s="4"/>
      <c r="I320" s="82"/>
      <c r="J320" s="82"/>
      <c r="K320" s="3"/>
      <c r="L320" s="3"/>
    </row>
    <row r="321" spans="2:12">
      <c r="B321" s="41"/>
      <c r="C321" s="13"/>
      <c r="D321" s="3"/>
      <c r="E321" s="4"/>
      <c r="F321" s="4"/>
      <c r="G321" s="4"/>
      <c r="H321" s="4"/>
      <c r="I321" s="82"/>
      <c r="J321" s="82"/>
      <c r="K321" s="3"/>
      <c r="L321" s="3"/>
    </row>
    <row r="322" spans="2:12">
      <c r="B322" s="41"/>
      <c r="C322" s="13"/>
      <c r="D322" s="3"/>
      <c r="E322" s="4"/>
      <c r="F322" s="4"/>
      <c r="G322" s="4"/>
      <c r="H322" s="4"/>
      <c r="I322" s="82"/>
      <c r="J322" s="82"/>
      <c r="K322" s="3"/>
      <c r="L322" s="3"/>
    </row>
    <row r="323" spans="2:12">
      <c r="B323" s="41"/>
      <c r="C323" s="13"/>
      <c r="D323" s="3"/>
      <c r="E323" s="4"/>
      <c r="F323" s="4"/>
      <c r="G323" s="4"/>
      <c r="H323" s="4"/>
      <c r="I323" s="82"/>
      <c r="J323" s="82"/>
      <c r="K323" s="3"/>
      <c r="L323" s="3"/>
    </row>
    <row r="324" spans="2:12">
      <c r="B324" s="41"/>
      <c r="C324" s="13"/>
      <c r="D324" s="3"/>
      <c r="E324" s="4"/>
      <c r="F324" s="4"/>
      <c r="G324" s="4"/>
      <c r="H324" s="4"/>
      <c r="I324" s="82"/>
      <c r="J324" s="82"/>
      <c r="K324" s="3"/>
      <c r="L324" s="3"/>
    </row>
    <row r="325" spans="2:12">
      <c r="B325" s="41"/>
      <c r="C325" s="13"/>
      <c r="D325" s="3"/>
      <c r="E325" s="4"/>
      <c r="F325" s="4"/>
      <c r="G325" s="4"/>
      <c r="H325" s="4"/>
      <c r="I325" s="82"/>
      <c r="J325" s="82"/>
      <c r="K325" s="3"/>
      <c r="L325" s="3"/>
    </row>
    <row r="326" spans="2:12">
      <c r="B326" s="41"/>
      <c r="C326" s="13"/>
      <c r="D326" s="3"/>
      <c r="E326" s="4"/>
      <c r="F326" s="4"/>
      <c r="G326" s="4"/>
      <c r="H326" s="4"/>
      <c r="I326" s="82"/>
      <c r="J326" s="82"/>
      <c r="K326" s="3"/>
      <c r="L326" s="3"/>
    </row>
    <row r="327" spans="2:12">
      <c r="B327" s="41"/>
      <c r="C327" s="13"/>
      <c r="D327" s="3"/>
      <c r="E327" s="4"/>
      <c r="F327" s="4"/>
      <c r="G327" s="4"/>
      <c r="H327" s="4"/>
      <c r="I327" s="82"/>
      <c r="J327" s="82"/>
      <c r="K327" s="3"/>
      <c r="L327" s="3"/>
    </row>
    <row r="328" spans="2:12">
      <c r="B328" s="41"/>
      <c r="C328" s="13"/>
      <c r="D328" s="3"/>
      <c r="E328" s="4"/>
      <c r="F328" s="4"/>
      <c r="G328" s="4"/>
      <c r="H328" s="4"/>
      <c r="I328" s="82"/>
      <c r="J328" s="82"/>
      <c r="K328" s="3"/>
      <c r="L328" s="3"/>
    </row>
    <row r="329" spans="2:12">
      <c r="B329" s="41"/>
      <c r="C329" s="13"/>
      <c r="D329" s="3"/>
      <c r="E329" s="4"/>
      <c r="F329" s="4"/>
      <c r="G329" s="4"/>
      <c r="H329" s="4"/>
      <c r="I329" s="82"/>
      <c r="J329" s="82"/>
      <c r="K329" s="3"/>
      <c r="L329" s="3"/>
    </row>
    <row r="330" spans="2:12">
      <c r="B330" s="41"/>
      <c r="C330" s="13"/>
      <c r="D330" s="3"/>
      <c r="E330" s="4"/>
      <c r="F330" s="4"/>
      <c r="G330" s="4"/>
      <c r="H330" s="4"/>
      <c r="I330" s="82"/>
      <c r="J330" s="82"/>
      <c r="K330" s="3"/>
      <c r="L330" s="3"/>
    </row>
    <row r="331" spans="2:12">
      <c r="B331" s="41"/>
      <c r="C331" s="13"/>
      <c r="D331" s="3"/>
      <c r="E331" s="4"/>
      <c r="F331" s="4"/>
      <c r="G331" s="4"/>
      <c r="H331" s="4"/>
      <c r="I331" s="82"/>
      <c r="J331" s="82"/>
      <c r="K331" s="3"/>
      <c r="L331" s="3"/>
    </row>
    <row r="332" spans="2:12">
      <c r="B332" s="41"/>
      <c r="C332" s="13"/>
      <c r="D332" s="3"/>
      <c r="E332" s="4"/>
      <c r="F332" s="4"/>
      <c r="G332" s="4"/>
      <c r="H332" s="4"/>
      <c r="I332" s="82"/>
      <c r="J332" s="82"/>
      <c r="K332" s="3"/>
      <c r="L332" s="3"/>
    </row>
    <row r="333" spans="2:12">
      <c r="B333" s="41"/>
      <c r="C333" s="13"/>
      <c r="D333" s="3"/>
      <c r="E333" s="4"/>
      <c r="F333" s="4"/>
      <c r="G333" s="4"/>
      <c r="H333" s="4"/>
      <c r="I333" s="82"/>
      <c r="J333" s="82"/>
      <c r="K333" s="3"/>
      <c r="L333" s="3"/>
    </row>
    <row r="334" spans="2:12">
      <c r="B334" s="41"/>
      <c r="C334" s="13"/>
      <c r="D334" s="3"/>
      <c r="E334" s="4"/>
      <c r="F334" s="4"/>
      <c r="G334" s="4"/>
      <c r="H334" s="4"/>
      <c r="I334" s="82"/>
      <c r="J334" s="82"/>
      <c r="K334" s="3"/>
      <c r="L334" s="3"/>
    </row>
    <row r="335" spans="2:12">
      <c r="B335" s="41"/>
      <c r="C335" s="13"/>
      <c r="D335" s="3"/>
      <c r="E335" s="4"/>
      <c r="F335" s="4"/>
      <c r="G335" s="4"/>
      <c r="H335" s="4"/>
      <c r="I335" s="82"/>
      <c r="J335" s="82"/>
      <c r="K335" s="3"/>
      <c r="L335" s="3"/>
    </row>
    <row r="336" spans="2:12">
      <c r="B336" s="41"/>
      <c r="C336" s="13"/>
      <c r="D336" s="3"/>
      <c r="E336" s="4"/>
      <c r="F336" s="4"/>
      <c r="G336" s="4"/>
      <c r="H336" s="4"/>
      <c r="I336" s="82"/>
      <c r="J336" s="82"/>
      <c r="K336" s="3"/>
      <c r="L336" s="3"/>
    </row>
    <row r="337" spans="2:12">
      <c r="B337" s="41"/>
      <c r="C337" s="13"/>
      <c r="D337" s="3"/>
      <c r="E337" s="4"/>
      <c r="F337" s="4"/>
      <c r="G337" s="4"/>
      <c r="H337" s="4"/>
      <c r="I337" s="82"/>
      <c r="J337" s="82"/>
      <c r="K337" s="3"/>
      <c r="L337" s="3"/>
    </row>
    <row r="338" spans="2:12">
      <c r="B338" s="41"/>
      <c r="C338" s="13"/>
      <c r="D338" s="3"/>
      <c r="E338" s="4"/>
      <c r="F338" s="4"/>
      <c r="G338" s="4"/>
      <c r="H338" s="4"/>
      <c r="I338" s="82"/>
      <c r="J338" s="82"/>
      <c r="K338" s="3"/>
      <c r="L338" s="3"/>
    </row>
    <row r="339" spans="2:12">
      <c r="B339" s="41"/>
      <c r="C339" s="13"/>
      <c r="D339" s="3"/>
      <c r="E339" s="4"/>
      <c r="F339" s="4"/>
      <c r="G339" s="4"/>
      <c r="H339" s="4"/>
      <c r="I339" s="82"/>
      <c r="J339" s="82"/>
      <c r="K339" s="3"/>
      <c r="L339" s="3"/>
    </row>
    <row r="340" spans="2:12">
      <c r="B340" s="41"/>
      <c r="C340" s="13"/>
      <c r="D340" s="3"/>
      <c r="E340" s="4"/>
      <c r="F340" s="4"/>
      <c r="G340" s="4"/>
      <c r="H340" s="4"/>
      <c r="I340" s="82"/>
      <c r="J340" s="82"/>
      <c r="K340" s="3"/>
      <c r="L340" s="3"/>
    </row>
    <row r="341" spans="2:12">
      <c r="B341" s="41"/>
      <c r="C341" s="13"/>
      <c r="D341" s="3"/>
      <c r="E341" s="4"/>
      <c r="F341" s="4"/>
      <c r="G341" s="4"/>
      <c r="H341" s="4"/>
      <c r="I341" s="82"/>
      <c r="J341" s="82"/>
      <c r="K341" s="3"/>
      <c r="L341" s="3"/>
    </row>
    <row r="342" spans="2:12">
      <c r="B342" s="41"/>
      <c r="C342" s="13"/>
      <c r="D342" s="3"/>
      <c r="E342" s="4"/>
      <c r="F342" s="4"/>
      <c r="G342" s="4"/>
      <c r="H342" s="4"/>
      <c r="I342" s="82"/>
      <c r="J342" s="82"/>
      <c r="K342" s="3"/>
      <c r="L342" s="3"/>
    </row>
    <row r="343" spans="2:12">
      <c r="B343" s="41"/>
      <c r="C343" s="13"/>
      <c r="D343" s="3"/>
      <c r="E343" s="4"/>
      <c r="F343" s="4"/>
      <c r="G343" s="4"/>
      <c r="H343" s="4"/>
      <c r="I343" s="82"/>
      <c r="J343" s="82"/>
      <c r="K343" s="3"/>
      <c r="L343" s="3"/>
    </row>
    <row r="344" spans="2:12">
      <c r="B344" s="41"/>
      <c r="C344" s="13"/>
      <c r="D344" s="3"/>
      <c r="E344" s="4"/>
      <c r="F344" s="4"/>
      <c r="G344" s="4"/>
      <c r="H344" s="4"/>
      <c r="I344" s="82"/>
      <c r="J344" s="82"/>
      <c r="K344" s="3"/>
      <c r="L344" s="3"/>
    </row>
    <row r="345" spans="2:12">
      <c r="B345" s="41"/>
      <c r="C345" s="13"/>
      <c r="D345" s="3"/>
      <c r="E345" s="4"/>
      <c r="F345" s="4"/>
      <c r="G345" s="4"/>
      <c r="H345" s="4"/>
      <c r="I345" s="82"/>
      <c r="J345" s="82"/>
      <c r="K345" s="3"/>
      <c r="L345" s="3"/>
    </row>
    <row r="346" spans="2:12">
      <c r="B346" s="41"/>
      <c r="C346" s="13"/>
      <c r="D346" s="3"/>
      <c r="E346" s="4"/>
      <c r="F346" s="4"/>
      <c r="G346" s="4"/>
      <c r="H346" s="4"/>
      <c r="I346" s="82"/>
      <c r="J346" s="82"/>
      <c r="K346" s="3"/>
      <c r="L346" s="3"/>
    </row>
    <row r="347" spans="2:12">
      <c r="B347" s="41"/>
      <c r="C347" s="13"/>
      <c r="D347" s="3"/>
      <c r="E347" s="4"/>
      <c r="F347" s="4"/>
      <c r="G347" s="4"/>
      <c r="H347" s="4"/>
      <c r="I347" s="82"/>
      <c r="J347" s="82"/>
      <c r="K347" s="3"/>
      <c r="L347" s="3"/>
    </row>
    <row r="348" spans="2:12">
      <c r="B348" s="41"/>
      <c r="C348" s="13"/>
      <c r="D348" s="3"/>
      <c r="E348" s="4"/>
      <c r="F348" s="4"/>
      <c r="G348" s="4"/>
      <c r="H348" s="4"/>
      <c r="I348" s="82"/>
      <c r="J348" s="82"/>
      <c r="K348" s="3"/>
      <c r="L348" s="3"/>
    </row>
    <row r="349" spans="2:12">
      <c r="B349" s="41"/>
      <c r="C349" s="13"/>
      <c r="D349" s="3"/>
      <c r="E349" s="4"/>
      <c r="F349" s="4"/>
      <c r="G349" s="4"/>
      <c r="H349" s="4"/>
      <c r="I349" s="82"/>
      <c r="J349" s="82"/>
      <c r="K349" s="3"/>
      <c r="L349" s="3"/>
    </row>
    <row r="350" spans="2:12">
      <c r="B350" s="41"/>
      <c r="C350" s="13"/>
      <c r="D350" s="3"/>
      <c r="E350" s="4"/>
      <c r="F350" s="4"/>
      <c r="G350" s="4"/>
      <c r="H350" s="4"/>
      <c r="I350" s="82"/>
      <c r="J350" s="82"/>
      <c r="K350" s="3"/>
      <c r="L350" s="3"/>
    </row>
    <row r="351" spans="2:12">
      <c r="B351" s="41"/>
      <c r="C351" s="13"/>
      <c r="D351" s="3"/>
      <c r="E351" s="4"/>
      <c r="F351" s="4"/>
      <c r="G351" s="4"/>
      <c r="H351" s="4"/>
      <c r="I351" s="82"/>
      <c r="J351" s="82"/>
      <c r="K351" s="3"/>
      <c r="L351" s="3"/>
    </row>
    <row r="352" spans="2:12">
      <c r="B352" s="41"/>
      <c r="C352" s="13"/>
      <c r="D352" s="3"/>
      <c r="E352" s="4"/>
      <c r="F352" s="4"/>
      <c r="G352" s="4"/>
      <c r="H352" s="4"/>
      <c r="I352" s="82"/>
      <c r="J352" s="82"/>
      <c r="K352" s="3"/>
      <c r="L352" s="3"/>
    </row>
    <row r="353" spans="2:12">
      <c r="B353" s="41"/>
      <c r="C353" s="13"/>
      <c r="D353" s="3"/>
      <c r="E353" s="4"/>
      <c r="F353" s="4"/>
      <c r="G353" s="4"/>
      <c r="H353" s="4"/>
      <c r="I353" s="82"/>
      <c r="J353" s="82"/>
      <c r="K353" s="3"/>
      <c r="L353" s="3"/>
    </row>
    <row r="354" spans="2:12">
      <c r="B354" s="41"/>
      <c r="C354" s="13"/>
      <c r="D354" s="3"/>
      <c r="E354" s="4"/>
      <c r="F354" s="4"/>
      <c r="G354" s="4"/>
      <c r="H354" s="4"/>
      <c r="I354" s="82"/>
      <c r="J354" s="82"/>
      <c r="K354" s="3"/>
      <c r="L354" s="3"/>
    </row>
    <row r="355" spans="2:12">
      <c r="B355" s="41"/>
      <c r="C355" s="13"/>
      <c r="D355" s="3"/>
      <c r="E355" s="4"/>
      <c r="F355" s="4"/>
      <c r="G355" s="4"/>
      <c r="H355" s="4"/>
      <c r="I355" s="82"/>
      <c r="J355" s="82"/>
      <c r="K355" s="3"/>
      <c r="L355" s="3"/>
    </row>
    <row r="356" spans="2:12">
      <c r="B356" s="41"/>
      <c r="C356" s="13"/>
      <c r="D356" s="3"/>
      <c r="E356" s="4"/>
      <c r="F356" s="4"/>
      <c r="G356" s="4"/>
      <c r="H356" s="4"/>
      <c r="I356" s="82"/>
      <c r="J356" s="82"/>
      <c r="K356" s="3"/>
      <c r="L356" s="3"/>
    </row>
    <row r="357" spans="2:12">
      <c r="B357" s="41"/>
      <c r="C357" s="13"/>
      <c r="D357" s="3"/>
      <c r="E357" s="4"/>
      <c r="F357" s="4"/>
      <c r="G357" s="4"/>
      <c r="H357" s="4"/>
      <c r="I357" s="82"/>
      <c r="J357" s="82"/>
      <c r="K357" s="3"/>
      <c r="L357" s="3"/>
    </row>
    <row r="358" spans="2:12">
      <c r="B358" s="41"/>
      <c r="C358" s="13"/>
      <c r="D358" s="3"/>
      <c r="E358" s="4"/>
      <c r="F358" s="4"/>
      <c r="G358" s="4"/>
      <c r="H358" s="4"/>
      <c r="I358" s="82"/>
      <c r="J358" s="82"/>
      <c r="K358" s="3"/>
      <c r="L358" s="3"/>
    </row>
    <row r="359" spans="2:12">
      <c r="B359" s="41"/>
      <c r="C359" s="13"/>
      <c r="D359" s="3"/>
      <c r="E359" s="4"/>
      <c r="F359" s="4"/>
      <c r="G359" s="4"/>
      <c r="H359" s="4"/>
      <c r="I359" s="82"/>
      <c r="J359" s="82"/>
      <c r="K359" s="3"/>
      <c r="L359" s="3"/>
    </row>
    <row r="360" spans="2:12">
      <c r="B360" s="41"/>
      <c r="C360" s="13"/>
      <c r="D360" s="3"/>
      <c r="E360" s="4"/>
      <c r="F360" s="4"/>
      <c r="G360" s="4"/>
      <c r="H360" s="4"/>
      <c r="I360" s="82"/>
      <c r="J360" s="82"/>
      <c r="K360" s="3"/>
      <c r="L360" s="3"/>
    </row>
    <row r="361" spans="2:12">
      <c r="B361" s="41"/>
      <c r="C361" s="13"/>
      <c r="D361" s="3"/>
      <c r="E361" s="4"/>
      <c r="F361" s="4"/>
      <c r="G361" s="4"/>
      <c r="H361" s="4"/>
      <c r="I361" s="82"/>
      <c r="J361" s="82"/>
      <c r="K361" s="3"/>
      <c r="L361" s="3"/>
    </row>
    <row r="362" spans="2:12">
      <c r="B362" s="41"/>
      <c r="C362" s="13"/>
      <c r="D362" s="3"/>
      <c r="E362" s="4"/>
      <c r="F362" s="4"/>
      <c r="G362" s="4"/>
      <c r="H362" s="4"/>
      <c r="I362" s="82"/>
      <c r="J362" s="82"/>
      <c r="K362" s="3"/>
      <c r="L362" s="3"/>
    </row>
    <row r="363" spans="2:12">
      <c r="B363" s="41"/>
      <c r="C363" s="13"/>
      <c r="D363" s="3"/>
      <c r="E363" s="4"/>
      <c r="F363" s="4"/>
      <c r="G363" s="4"/>
      <c r="H363" s="4"/>
      <c r="I363" s="82"/>
      <c r="J363" s="82"/>
      <c r="K363" s="3"/>
      <c r="L363" s="3"/>
    </row>
    <row r="364" spans="2:12">
      <c r="B364" s="41"/>
      <c r="C364" s="13"/>
      <c r="D364" s="3"/>
      <c r="E364" s="4"/>
      <c r="F364" s="4"/>
      <c r="G364" s="4"/>
      <c r="H364" s="4"/>
      <c r="I364" s="82"/>
      <c r="J364" s="82"/>
      <c r="K364" s="3"/>
      <c r="L364" s="3"/>
    </row>
    <row r="365" spans="2:12">
      <c r="B365" s="41"/>
      <c r="C365" s="13"/>
      <c r="D365" s="3"/>
      <c r="E365" s="4"/>
      <c r="F365" s="4"/>
      <c r="G365" s="4"/>
      <c r="H365" s="4"/>
      <c r="I365" s="82"/>
      <c r="J365" s="82"/>
      <c r="K365" s="3"/>
      <c r="L365" s="3"/>
    </row>
    <row r="366" spans="2:12">
      <c r="B366" s="41"/>
      <c r="C366" s="13"/>
      <c r="D366" s="3"/>
      <c r="E366" s="4"/>
      <c r="F366" s="4"/>
      <c r="G366" s="4"/>
      <c r="H366" s="4"/>
      <c r="I366" s="82"/>
      <c r="J366" s="82"/>
      <c r="K366" s="3"/>
      <c r="L366" s="3"/>
    </row>
    <row r="367" spans="2:12">
      <c r="B367" s="41"/>
      <c r="C367" s="13"/>
      <c r="D367" s="3"/>
      <c r="E367" s="4"/>
      <c r="F367" s="4"/>
      <c r="G367" s="4"/>
      <c r="H367" s="4"/>
      <c r="I367" s="82"/>
      <c r="J367" s="82"/>
      <c r="K367" s="3"/>
      <c r="L367" s="3"/>
    </row>
    <row r="368" spans="2:12">
      <c r="B368" s="41"/>
      <c r="C368" s="13"/>
      <c r="D368" s="3"/>
      <c r="E368" s="4"/>
      <c r="F368" s="4"/>
      <c r="G368" s="4"/>
      <c r="H368" s="4"/>
      <c r="I368" s="82"/>
      <c r="J368" s="82"/>
      <c r="K368" s="3"/>
      <c r="L368" s="3"/>
    </row>
    <row r="369" spans="2:12">
      <c r="B369" s="41"/>
      <c r="C369" s="13"/>
      <c r="D369" s="3"/>
      <c r="E369" s="4"/>
      <c r="F369" s="4"/>
      <c r="G369" s="4"/>
      <c r="H369" s="4"/>
      <c r="I369" s="82"/>
      <c r="J369" s="82"/>
      <c r="K369" s="3"/>
      <c r="L369" s="3"/>
    </row>
    <row r="370" spans="2:12">
      <c r="B370" s="41"/>
      <c r="C370" s="13"/>
      <c r="D370" s="3"/>
      <c r="E370" s="4"/>
      <c r="F370" s="4"/>
      <c r="G370" s="4"/>
      <c r="H370" s="4"/>
      <c r="I370" s="82"/>
      <c r="J370" s="82"/>
      <c r="K370" s="3"/>
      <c r="L370" s="3"/>
    </row>
    <row r="371" spans="2:12">
      <c r="B371" s="41"/>
      <c r="C371" s="13"/>
      <c r="D371" s="3"/>
      <c r="E371" s="4"/>
      <c r="F371" s="4"/>
      <c r="G371" s="4"/>
      <c r="H371" s="4"/>
      <c r="I371" s="82"/>
      <c r="J371" s="82"/>
      <c r="K371" s="3"/>
      <c r="L371" s="3"/>
    </row>
    <row r="372" spans="2:12">
      <c r="B372" s="41"/>
      <c r="C372" s="13"/>
      <c r="D372" s="3"/>
      <c r="E372" s="4"/>
      <c r="F372" s="4"/>
      <c r="G372" s="4"/>
      <c r="H372" s="4"/>
      <c r="I372" s="82"/>
      <c r="J372" s="82"/>
      <c r="K372" s="3"/>
      <c r="L372" s="3"/>
    </row>
    <row r="373" spans="2:12">
      <c r="B373" s="41"/>
      <c r="C373" s="13"/>
      <c r="D373" s="3"/>
      <c r="E373" s="4"/>
      <c r="F373" s="4"/>
      <c r="G373" s="4"/>
      <c r="H373" s="4"/>
      <c r="I373" s="82"/>
      <c r="J373" s="82"/>
      <c r="K373" s="3"/>
      <c r="L373" s="3"/>
    </row>
    <row r="374" spans="2:12">
      <c r="B374" s="41"/>
      <c r="C374" s="13"/>
      <c r="D374" s="3"/>
      <c r="E374" s="4"/>
      <c r="F374" s="4"/>
      <c r="G374" s="4"/>
      <c r="H374" s="4"/>
      <c r="I374" s="82"/>
      <c r="J374" s="82"/>
      <c r="K374" s="3"/>
      <c r="L374" s="3"/>
    </row>
    <row r="375" spans="2:12">
      <c r="B375" s="41"/>
      <c r="C375" s="13"/>
      <c r="D375" s="3"/>
      <c r="E375" s="4"/>
      <c r="F375" s="4"/>
      <c r="G375" s="4"/>
      <c r="H375" s="4"/>
      <c r="I375" s="82"/>
      <c r="J375" s="82"/>
      <c r="K375" s="3"/>
      <c r="L375" s="3"/>
    </row>
    <row r="376" spans="2:12">
      <c r="B376" s="41"/>
      <c r="C376" s="13"/>
      <c r="D376" s="3"/>
      <c r="E376" s="4"/>
      <c r="F376" s="4"/>
      <c r="G376" s="4"/>
      <c r="H376" s="4"/>
      <c r="I376" s="82"/>
      <c r="J376" s="82"/>
      <c r="K376" s="3"/>
      <c r="L376" s="3"/>
    </row>
    <row r="377" spans="2:12">
      <c r="B377" s="41"/>
      <c r="C377" s="13"/>
      <c r="D377" s="3"/>
      <c r="E377" s="4"/>
      <c r="F377" s="4"/>
      <c r="G377" s="4"/>
      <c r="H377" s="4"/>
      <c r="I377" s="82"/>
      <c r="J377" s="82"/>
      <c r="K377" s="3"/>
      <c r="L377" s="3"/>
    </row>
    <row r="378" spans="2:12">
      <c r="B378" s="41"/>
      <c r="C378" s="13"/>
      <c r="D378" s="3"/>
      <c r="E378" s="4"/>
      <c r="F378" s="4"/>
      <c r="G378" s="4"/>
      <c r="H378" s="4"/>
      <c r="I378" s="82"/>
      <c r="J378" s="82"/>
      <c r="K378" s="3"/>
      <c r="L378" s="3"/>
    </row>
    <row r="379" spans="2:12">
      <c r="B379" s="41"/>
      <c r="C379" s="13"/>
      <c r="D379" s="3"/>
      <c r="E379" s="4"/>
      <c r="F379" s="4"/>
      <c r="G379" s="4"/>
      <c r="H379" s="4"/>
      <c r="I379" s="82"/>
      <c r="J379" s="82"/>
      <c r="K379" s="3"/>
      <c r="L379" s="3"/>
    </row>
    <row r="380" spans="2:12">
      <c r="B380" s="41"/>
      <c r="C380" s="13"/>
      <c r="D380" s="3"/>
      <c r="E380" s="4"/>
      <c r="F380" s="4"/>
      <c r="G380" s="4"/>
      <c r="H380" s="4"/>
      <c r="I380" s="82"/>
      <c r="J380" s="82"/>
      <c r="K380" s="3"/>
      <c r="L380" s="3"/>
    </row>
    <row r="381" spans="2:12">
      <c r="B381" s="41"/>
      <c r="C381" s="13"/>
      <c r="D381" s="3"/>
      <c r="E381" s="4"/>
      <c r="F381" s="4"/>
      <c r="G381" s="4"/>
      <c r="H381" s="4"/>
      <c r="I381" s="82"/>
      <c r="J381" s="82"/>
      <c r="K381" s="3"/>
      <c r="L381" s="3"/>
    </row>
    <row r="382" spans="2:12">
      <c r="B382" s="41"/>
      <c r="C382" s="13"/>
      <c r="D382" s="3"/>
      <c r="E382" s="4"/>
      <c r="F382" s="4"/>
      <c r="G382" s="4"/>
      <c r="H382" s="4"/>
      <c r="I382" s="82"/>
      <c r="J382" s="82"/>
      <c r="K382" s="3"/>
      <c r="L382" s="3"/>
    </row>
    <row r="383" spans="2:12">
      <c r="B383" s="41"/>
      <c r="C383" s="13"/>
      <c r="D383" s="3"/>
      <c r="E383" s="4"/>
      <c r="F383" s="4"/>
      <c r="G383" s="4"/>
      <c r="H383" s="4"/>
      <c r="I383" s="82"/>
      <c r="J383" s="82"/>
      <c r="K383" s="3"/>
      <c r="L383" s="3"/>
    </row>
    <row r="384" spans="2:12">
      <c r="B384" s="41"/>
      <c r="C384" s="13"/>
      <c r="D384" s="3"/>
      <c r="E384" s="4"/>
      <c r="F384" s="4"/>
      <c r="G384" s="4"/>
      <c r="H384" s="4"/>
      <c r="I384" s="82"/>
      <c r="J384" s="82"/>
      <c r="K384" s="3"/>
      <c r="L384" s="3"/>
    </row>
    <row r="385" spans="2:12">
      <c r="B385" s="41"/>
      <c r="C385" s="13"/>
      <c r="D385" s="3"/>
      <c r="E385" s="4"/>
      <c r="F385" s="4"/>
      <c r="G385" s="4"/>
      <c r="H385" s="4"/>
      <c r="I385" s="82"/>
      <c r="J385" s="82"/>
      <c r="K385" s="3"/>
      <c r="L385" s="3"/>
    </row>
    <row r="386" spans="2:12">
      <c r="B386" s="41"/>
      <c r="C386" s="13"/>
      <c r="D386" s="3"/>
      <c r="E386" s="4"/>
      <c r="F386" s="4"/>
      <c r="G386" s="4"/>
      <c r="H386" s="4"/>
      <c r="I386" s="82"/>
      <c r="J386" s="82"/>
      <c r="K386" s="3"/>
      <c r="L386" s="3"/>
    </row>
    <row r="387" spans="2:12">
      <c r="B387" s="41"/>
      <c r="C387" s="13"/>
      <c r="D387" s="3"/>
      <c r="E387" s="4"/>
      <c r="F387" s="4"/>
      <c r="G387" s="4"/>
      <c r="H387" s="4"/>
      <c r="I387" s="82"/>
      <c r="J387" s="82"/>
      <c r="K387" s="3"/>
      <c r="L387" s="3"/>
    </row>
    <row r="388" spans="2:12">
      <c r="B388" s="41"/>
      <c r="C388" s="13"/>
      <c r="D388" s="3"/>
      <c r="E388" s="4"/>
      <c r="F388" s="4"/>
      <c r="G388" s="4"/>
      <c r="H388" s="4"/>
      <c r="I388" s="82"/>
      <c r="J388" s="82"/>
      <c r="K388" s="3"/>
      <c r="L388" s="3"/>
    </row>
    <row r="389" spans="2:12">
      <c r="B389" s="41"/>
      <c r="C389" s="13"/>
      <c r="D389" s="3"/>
      <c r="E389" s="4"/>
      <c r="F389" s="4"/>
      <c r="G389" s="4"/>
      <c r="H389" s="4"/>
      <c r="I389" s="82"/>
      <c r="J389" s="82"/>
      <c r="K389" s="3"/>
      <c r="L389" s="3"/>
    </row>
    <row r="390" spans="2:12">
      <c r="B390" s="41"/>
      <c r="C390" s="13"/>
      <c r="D390" s="3"/>
      <c r="E390" s="4"/>
      <c r="F390" s="4"/>
      <c r="G390" s="4"/>
      <c r="H390" s="4"/>
      <c r="I390" s="82"/>
      <c r="J390" s="82"/>
      <c r="K390" s="3"/>
      <c r="L390" s="3"/>
    </row>
    <row r="391" spans="2:12">
      <c r="B391" s="41"/>
      <c r="C391" s="13"/>
      <c r="D391" s="3"/>
      <c r="E391" s="4"/>
      <c r="F391" s="4"/>
      <c r="G391" s="4"/>
      <c r="H391" s="4"/>
      <c r="I391" s="82"/>
      <c r="J391" s="82"/>
      <c r="K391" s="3"/>
      <c r="L391" s="3"/>
    </row>
    <row r="392" spans="2:12">
      <c r="B392" s="41"/>
      <c r="C392" s="13"/>
      <c r="D392" s="3"/>
      <c r="E392" s="4"/>
      <c r="F392" s="4"/>
      <c r="G392" s="4"/>
      <c r="H392" s="4"/>
      <c r="I392" s="82"/>
      <c r="J392" s="82"/>
      <c r="K392" s="3"/>
      <c r="L392" s="3"/>
    </row>
    <row r="393" spans="2:12">
      <c r="B393" s="41"/>
      <c r="C393" s="13"/>
      <c r="D393" s="3"/>
      <c r="E393" s="4"/>
      <c r="F393" s="4"/>
      <c r="G393" s="4"/>
      <c r="H393" s="4"/>
      <c r="I393" s="82"/>
      <c r="J393" s="82"/>
      <c r="K393" s="3"/>
      <c r="L393" s="3"/>
    </row>
    <row r="394" spans="2:12">
      <c r="B394" s="41"/>
      <c r="C394" s="13"/>
      <c r="D394" s="3"/>
      <c r="E394" s="4"/>
      <c r="F394" s="4"/>
      <c r="G394" s="4"/>
      <c r="H394" s="4"/>
      <c r="I394" s="82"/>
      <c r="J394" s="82"/>
      <c r="K394" s="3"/>
      <c r="L394" s="3"/>
    </row>
    <row r="395" spans="2:12">
      <c r="B395" s="41"/>
      <c r="C395" s="13"/>
      <c r="D395" s="3"/>
      <c r="E395" s="4"/>
      <c r="F395" s="4"/>
      <c r="G395" s="4"/>
      <c r="H395" s="4"/>
      <c r="I395" s="82"/>
      <c r="J395" s="82"/>
      <c r="K395" s="3"/>
      <c r="L395" s="3"/>
    </row>
    <row r="396" spans="2:12">
      <c r="B396" s="41"/>
      <c r="C396" s="13"/>
      <c r="D396" s="3"/>
      <c r="E396" s="4"/>
      <c r="F396" s="4"/>
      <c r="G396" s="4"/>
      <c r="H396" s="4"/>
      <c r="I396" s="82"/>
      <c r="J396" s="82"/>
      <c r="K396" s="3"/>
      <c r="L396" s="3"/>
    </row>
    <row r="397" spans="2:12">
      <c r="B397" s="41"/>
      <c r="C397" s="13"/>
      <c r="D397" s="3"/>
      <c r="E397" s="4"/>
      <c r="F397" s="4"/>
      <c r="G397" s="4"/>
      <c r="H397" s="4"/>
      <c r="I397" s="82"/>
      <c r="J397" s="82"/>
      <c r="K397" s="3"/>
      <c r="L397" s="3"/>
    </row>
    <row r="398" spans="2:12">
      <c r="B398" s="41"/>
      <c r="C398" s="13"/>
      <c r="D398" s="3"/>
      <c r="E398" s="4"/>
      <c r="F398" s="4"/>
      <c r="G398" s="4"/>
      <c r="H398" s="4"/>
      <c r="I398" s="82"/>
      <c r="J398" s="82"/>
      <c r="K398" s="3"/>
      <c r="L398" s="3"/>
    </row>
    <row r="399" spans="2:12">
      <c r="B399" s="41"/>
      <c r="C399" s="13"/>
      <c r="D399" s="3"/>
      <c r="E399" s="4"/>
      <c r="F399" s="4"/>
      <c r="G399" s="4"/>
      <c r="H399" s="4"/>
      <c r="I399" s="82"/>
      <c r="J399" s="82"/>
      <c r="K399" s="3"/>
      <c r="L399" s="3"/>
    </row>
    <row r="400" spans="2:12">
      <c r="B400" s="41"/>
      <c r="C400" s="13"/>
      <c r="D400" s="3"/>
      <c r="E400" s="4"/>
      <c r="F400" s="4"/>
      <c r="G400" s="4"/>
      <c r="H400" s="4"/>
      <c r="I400" s="82"/>
      <c r="J400" s="82"/>
      <c r="K400" s="3"/>
      <c r="L400" s="3"/>
    </row>
    <row r="401" spans="2:12">
      <c r="B401" s="41"/>
      <c r="C401" s="13"/>
      <c r="D401" s="3"/>
      <c r="E401" s="4"/>
      <c r="F401" s="4"/>
      <c r="G401" s="4"/>
      <c r="H401" s="4"/>
      <c r="I401" s="82"/>
      <c r="J401" s="82"/>
      <c r="K401" s="3"/>
      <c r="L401" s="3"/>
    </row>
    <row r="402" spans="2:12">
      <c r="B402" s="41"/>
      <c r="C402" s="13"/>
      <c r="D402" s="3"/>
      <c r="E402" s="4"/>
      <c r="F402" s="4"/>
      <c r="G402" s="4"/>
      <c r="H402" s="4"/>
      <c r="I402" s="82"/>
      <c r="J402" s="82"/>
      <c r="K402" s="3"/>
      <c r="L402" s="3"/>
    </row>
    <row r="403" spans="2:12">
      <c r="B403" s="41"/>
      <c r="C403" s="13"/>
      <c r="D403" s="3"/>
      <c r="E403" s="4"/>
      <c r="F403" s="4"/>
      <c r="G403" s="4"/>
      <c r="H403" s="4"/>
      <c r="I403" s="82"/>
      <c r="J403" s="82"/>
      <c r="K403" s="3"/>
      <c r="L403" s="3"/>
    </row>
    <row r="404" spans="2:12">
      <c r="B404" s="41"/>
      <c r="C404" s="13"/>
      <c r="D404" s="3"/>
      <c r="E404" s="4"/>
      <c r="F404" s="4"/>
      <c r="G404" s="4"/>
      <c r="H404" s="4"/>
      <c r="I404" s="82"/>
      <c r="J404" s="82"/>
      <c r="K404" s="3"/>
      <c r="L404" s="3"/>
    </row>
  </sheetData>
  <conditionalFormatting sqref="D14:F20">
    <cfRule type="notContainsBlanks" dxfId="65" priority="44">
      <formula>LEN(TRIM(D14))&gt;0</formula>
    </cfRule>
  </conditionalFormatting>
  <conditionalFormatting sqref="K14:Q14 K15:K24 M15:Q15 M16:R16">
    <cfRule type="notContainsBlanks" dxfId="64" priority="43">
      <formula>LEN(TRIM(K14))&gt;0</formula>
    </cfRule>
  </conditionalFormatting>
  <conditionalFormatting sqref="C13:Q13">
    <cfRule type="notContainsBlanks" dxfId="63" priority="42">
      <formula>LEN(TRIM(C13))&gt;0</formula>
    </cfRule>
  </conditionalFormatting>
  <conditionalFormatting sqref="D14:D18">
    <cfRule type="cellIs" dxfId="62" priority="41" operator="equal">
      <formula>0</formula>
    </cfRule>
  </conditionalFormatting>
  <conditionalFormatting sqref="G14:J21">
    <cfRule type="notContainsBlanks" dxfId="61" priority="40">
      <formula>LEN(TRIM(G14))&gt;0</formula>
    </cfRule>
  </conditionalFormatting>
  <conditionalFormatting sqref="G14:J21">
    <cfRule type="cellIs" dxfId="60" priority="39" operator="equal">
      <formula>0</formula>
    </cfRule>
  </conditionalFormatting>
  <conditionalFormatting sqref="B13">
    <cfRule type="notContainsBlanks" dxfId="59" priority="36">
      <formula>LEN(TRIM(B13))&gt;0</formula>
    </cfRule>
  </conditionalFormatting>
  <conditionalFormatting sqref="C14:C21 C23:C24">
    <cfRule type="notContainsBlanks" dxfId="58" priority="35">
      <formula>LEN(TRIM(C14))&gt;0</formula>
    </cfRule>
  </conditionalFormatting>
  <conditionalFormatting sqref="C14:C21 C23:C24">
    <cfRule type="cellIs" dxfId="57" priority="34" operator="equal">
      <formula>0</formula>
    </cfRule>
  </conditionalFormatting>
  <conditionalFormatting sqref="B15:B21">
    <cfRule type="notContainsBlanks" dxfId="56" priority="31">
      <formula>LEN(TRIM(B15))&gt;0</formula>
    </cfRule>
  </conditionalFormatting>
  <conditionalFormatting sqref="B15:B21">
    <cfRule type="containsText" dxfId="55" priority="30" operator="containsText" text="Select valid name">
      <formula>NOT(ISERROR(SEARCH("Select valid name",B15)))</formula>
    </cfRule>
  </conditionalFormatting>
  <conditionalFormatting sqref="B14">
    <cfRule type="notContainsBlanks" dxfId="54" priority="29">
      <formula>LEN(TRIM(B14))&gt;0</formula>
    </cfRule>
  </conditionalFormatting>
  <conditionalFormatting sqref="B14">
    <cfRule type="containsText" dxfId="53" priority="28" operator="containsText" text="Select valid name">
      <formula>NOT(ISERROR(SEARCH("Select valid name",B14)))</formula>
    </cfRule>
  </conditionalFormatting>
  <conditionalFormatting sqref="D21:F21">
    <cfRule type="notContainsBlanks" dxfId="52" priority="27">
      <formula>LEN(TRIM(D21))&gt;0</formula>
    </cfRule>
  </conditionalFormatting>
  <conditionalFormatting sqref="D22:F22">
    <cfRule type="notContainsBlanks" dxfId="51" priority="26">
      <formula>LEN(TRIM(D22))&gt;0</formula>
    </cfRule>
  </conditionalFormatting>
  <conditionalFormatting sqref="G22:J22">
    <cfRule type="notContainsBlanks" dxfId="50" priority="25">
      <formula>LEN(TRIM(G22))&gt;0</formula>
    </cfRule>
  </conditionalFormatting>
  <conditionalFormatting sqref="G22:J22">
    <cfRule type="cellIs" dxfId="49" priority="24" operator="equal">
      <formula>0</formula>
    </cfRule>
  </conditionalFormatting>
  <conditionalFormatting sqref="C22">
    <cfRule type="notContainsBlanks" dxfId="48" priority="23">
      <formula>LEN(TRIM(C22))&gt;0</formula>
    </cfRule>
  </conditionalFormatting>
  <conditionalFormatting sqref="C22">
    <cfRule type="cellIs" dxfId="47" priority="22" operator="equal">
      <formula>0</formula>
    </cfRule>
  </conditionalFormatting>
  <conditionalFormatting sqref="B22">
    <cfRule type="notContainsBlanks" dxfId="46" priority="21">
      <formula>LEN(TRIM(B22))&gt;0</formula>
    </cfRule>
  </conditionalFormatting>
  <conditionalFormatting sqref="B22">
    <cfRule type="containsText" dxfId="45" priority="20" operator="containsText" text="Select valid name">
      <formula>NOT(ISERROR(SEARCH("Select valid name",B22)))</formula>
    </cfRule>
  </conditionalFormatting>
  <conditionalFormatting sqref="B23:B24">
    <cfRule type="notContainsBlanks" dxfId="44" priority="19">
      <formula>LEN(TRIM(B23))&gt;0</formula>
    </cfRule>
  </conditionalFormatting>
  <conditionalFormatting sqref="B23:B24">
    <cfRule type="containsText" dxfId="43" priority="18" operator="containsText" text="Select valid name">
      <formula>NOT(ISERROR(SEARCH("Select valid name",B23)))</formula>
    </cfRule>
  </conditionalFormatting>
  <conditionalFormatting sqref="L15:L24">
    <cfRule type="notContainsBlanks" dxfId="42" priority="17">
      <formula>LEN(TRIM(L15))&gt;0</formula>
    </cfRule>
  </conditionalFormatting>
  <conditionalFormatting sqref="J23:J24">
    <cfRule type="notContainsBlanks" dxfId="41" priority="16">
      <formula>LEN(TRIM(J23))&gt;0</formula>
    </cfRule>
  </conditionalFormatting>
  <conditionalFormatting sqref="J23:J24">
    <cfRule type="cellIs" dxfId="40" priority="15" operator="equal">
      <formula>0</formula>
    </cfRule>
  </conditionalFormatting>
  <conditionalFormatting sqref="D23:F24">
    <cfRule type="notContainsBlanks" dxfId="39" priority="14">
      <formula>LEN(TRIM(D23))&gt;0</formula>
    </cfRule>
  </conditionalFormatting>
  <conditionalFormatting sqref="G23:I24">
    <cfRule type="notContainsBlanks" dxfId="38" priority="13">
      <formula>LEN(TRIM(G23))&gt;0</formula>
    </cfRule>
  </conditionalFormatting>
  <conditionalFormatting sqref="G23:I24">
    <cfRule type="cellIs" dxfId="37" priority="12" operator="equal">
      <formula>0</formula>
    </cfRule>
  </conditionalFormatting>
  <conditionalFormatting sqref="K25:K404">
    <cfRule type="notContainsBlanks" dxfId="36" priority="11">
      <formula>LEN(TRIM(K25))&gt;0</formula>
    </cfRule>
  </conditionalFormatting>
  <conditionalFormatting sqref="C25:C404">
    <cfRule type="notContainsBlanks" dxfId="35" priority="10">
      <formula>LEN(TRIM(C25))&gt;0</formula>
    </cfRule>
  </conditionalFormatting>
  <conditionalFormatting sqref="C25:C404">
    <cfRule type="cellIs" dxfId="34" priority="9" operator="equal">
      <formula>0</formula>
    </cfRule>
  </conditionalFormatting>
  <conditionalFormatting sqref="B25:B404">
    <cfRule type="notContainsBlanks" dxfId="33" priority="8">
      <formula>LEN(TRIM(B25))&gt;0</formula>
    </cfRule>
  </conditionalFormatting>
  <conditionalFormatting sqref="B25:B404">
    <cfRule type="containsText" dxfId="32" priority="7" operator="containsText" text="Select valid name">
      <formula>NOT(ISERROR(SEARCH("Select valid name",B25)))</formula>
    </cfRule>
  </conditionalFormatting>
  <conditionalFormatting sqref="L25:L404">
    <cfRule type="notContainsBlanks" dxfId="31" priority="6">
      <formula>LEN(TRIM(L25))&gt;0</formula>
    </cfRule>
  </conditionalFormatting>
  <conditionalFormatting sqref="J25:J404">
    <cfRule type="notContainsBlanks" dxfId="30" priority="5">
      <formula>LEN(TRIM(J25))&gt;0</formula>
    </cfRule>
  </conditionalFormatting>
  <conditionalFormatting sqref="J25:J404">
    <cfRule type="cellIs" dxfId="29" priority="4" operator="equal">
      <formula>0</formula>
    </cfRule>
  </conditionalFormatting>
  <conditionalFormatting sqref="D25:F404">
    <cfRule type="notContainsBlanks" dxfId="28" priority="3">
      <formula>LEN(TRIM(D25))&gt;0</formula>
    </cfRule>
  </conditionalFormatting>
  <conditionalFormatting sqref="G25:I404">
    <cfRule type="notContainsBlanks" dxfId="27" priority="2">
      <formula>LEN(TRIM(G25))&gt;0</formula>
    </cfRule>
  </conditionalFormatting>
  <conditionalFormatting sqref="G25:I404">
    <cfRule type="cellIs" dxfId="26" priority="1" operator="equal">
      <formula>0</formula>
    </cfRule>
  </conditionalFormatting>
  <hyperlinks>
    <hyperlink ref="F1" location="Menu!A1" display="Back to Menu" xr:uid="{E16D887D-814D-4CF0-8ED1-9F4F8E2CFB4C}"/>
    <hyperlink ref="H1" location="MyTasks!A1" display="To MyTasks" xr:uid="{B72049B3-00DE-4AEE-AE32-0AF602473DB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filter_active_view">
                <anchor moveWithCells="1">
                  <from>
                    <xdr:col>5</xdr:col>
                    <xdr:colOff>114300</xdr:colOff>
                    <xdr:row>5</xdr:row>
                    <xdr:rowOff>129540</xdr:rowOff>
                  </from>
                  <to>
                    <xdr:col>6</xdr:col>
                    <xdr:colOff>129540</xdr:colOff>
                    <xdr:row>7</xdr:row>
                    <xdr:rowOff>30480</xdr:rowOff>
                  </to>
                </anchor>
              </controlPr>
            </control>
          </mc:Choice>
        </mc:AlternateContent>
        <mc:AlternateContent xmlns:mc="http://schemas.openxmlformats.org/markup-compatibility/2006">
          <mc:Choice Requires="x14">
            <control shapeId="7175" r:id="rId5" name="Button 7">
              <controlPr defaultSize="0" print="0" autoFill="0" autoPict="0" macro="[0]!Clear_Active_View">
                <anchor moveWithCells="1">
                  <from>
                    <xdr:col>2</xdr:col>
                    <xdr:colOff>259080</xdr:colOff>
                    <xdr:row>5</xdr:row>
                    <xdr:rowOff>129540</xdr:rowOff>
                  </from>
                  <to>
                    <xdr:col>2</xdr:col>
                    <xdr:colOff>1181100</xdr:colOff>
                    <xdr:row>7</xdr:row>
                    <xdr:rowOff>30480</xdr:rowOff>
                  </to>
                </anchor>
              </controlPr>
            </control>
          </mc:Choice>
        </mc:AlternateContent>
        <mc:AlternateContent xmlns:mc="http://schemas.openxmlformats.org/markup-compatibility/2006">
          <mc:Choice Requires="x14">
            <control shapeId="7178" r:id="rId6" name="Button 10">
              <controlPr defaultSize="0" print="0" autoFill="0" autoPict="0" macro="[0]!Adjust_Row_Height">
                <anchor moveWithCells="1">
                  <from>
                    <xdr:col>8</xdr:col>
                    <xdr:colOff>213360</xdr:colOff>
                    <xdr:row>5</xdr:row>
                    <xdr:rowOff>99060</xdr:rowOff>
                  </from>
                  <to>
                    <xdr:col>8</xdr:col>
                    <xdr:colOff>1005840</xdr:colOff>
                    <xdr:row>7</xdr:row>
                    <xdr:rowOff>60960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r:uid="{83984D71-FA1E-4ECE-93D1-D4432A148C01}">
          <x14:formula1>
            <xm:f>_xlfn.ANCHORARRAY(Lookups!$O$2)</xm:f>
          </x14:formula1>
          <xm:sqref>C2</xm:sqref>
        </x14:dataValidation>
        <x14:dataValidation type="list" allowBlank="1" showInputMessage="1" xr:uid="{1775DE6A-89C8-4360-A021-BE5EBA09CE54}">
          <x14:formula1>
            <xm:f>_xlfn.ANCHORARRAY(Lookups!$U$2)</xm:f>
          </x14:formula1>
          <xm:sqref>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196DB-FF49-4E0D-9C29-2AE865F72B7C}">
  <sheetPr codeName="Sheet2"/>
  <dimension ref="A1:Y426"/>
  <sheetViews>
    <sheetView workbookViewId="0">
      <selection activeCell="A7" sqref="A7"/>
    </sheetView>
  </sheetViews>
  <sheetFormatPr defaultRowHeight="14.45"/>
  <cols>
    <col min="1" max="1" width="21.28515625" customWidth="1"/>
    <col min="2" max="2" width="16.28515625" customWidth="1"/>
    <col min="3" max="3" width="17.140625" customWidth="1"/>
    <col min="4" max="4" width="20.140625" customWidth="1"/>
    <col min="5" max="5" width="30.7109375" customWidth="1"/>
    <col min="6" max="6" width="20.5703125" customWidth="1"/>
    <col min="7" max="10" width="12.85546875" customWidth="1"/>
    <col min="11" max="11" width="22.85546875" customWidth="1"/>
    <col min="12" max="12" width="17.7109375" customWidth="1"/>
    <col min="13" max="13" width="18.28515625" customWidth="1"/>
    <col min="14" max="14" width="20" customWidth="1"/>
    <col min="15" max="18" width="12.85546875" customWidth="1"/>
    <col min="19" max="19" width="14.5703125" bestFit="1" customWidth="1"/>
  </cols>
  <sheetData>
    <row r="1" spans="1:25">
      <c r="A1" s="29" t="s">
        <v>33</v>
      </c>
      <c r="B1" s="29" t="s">
        <v>12</v>
      </c>
      <c r="C1" s="29" t="s">
        <v>2692</v>
      </c>
      <c r="D1" s="29" t="s">
        <v>44</v>
      </c>
      <c r="E1" s="29" t="s">
        <v>2086</v>
      </c>
      <c r="F1" s="29" t="s">
        <v>45</v>
      </c>
      <c r="G1" s="29" t="s">
        <v>23</v>
      </c>
      <c r="H1" s="29" t="s">
        <v>2693</v>
      </c>
      <c r="I1" s="29" t="s">
        <v>2089</v>
      </c>
      <c r="J1" s="27"/>
      <c r="K1" s="2" t="s">
        <v>43</v>
      </c>
      <c r="L1" s="2" t="s">
        <v>45</v>
      </c>
      <c r="M1" s="2" t="s">
        <v>44</v>
      </c>
      <c r="N1" s="2" t="s">
        <v>12</v>
      </c>
      <c r="O1" s="2" t="s">
        <v>23</v>
      </c>
      <c r="P1" s="2" t="s">
        <v>33</v>
      </c>
      <c r="Q1" s="2" t="s">
        <v>2693</v>
      </c>
      <c r="R1" s="2" t="s">
        <v>2694</v>
      </c>
      <c r="S1" s="2" t="s">
        <v>2695</v>
      </c>
      <c r="T1" s="2" t="s">
        <v>2696</v>
      </c>
      <c r="X1" t="s">
        <v>45</v>
      </c>
      <c r="Y1" t="s">
        <v>2089</v>
      </c>
    </row>
    <row r="2" spans="1:25">
      <c r="A2" t="s">
        <v>2079</v>
      </c>
      <c r="B2" t="s">
        <v>2558</v>
      </c>
      <c r="C2" t="s">
        <v>2095</v>
      </c>
      <c r="D2" t="s">
        <v>2548</v>
      </c>
      <c r="E2" t="s">
        <v>2511</v>
      </c>
      <c r="F2" t="s">
        <v>2659</v>
      </c>
      <c r="G2">
        <v>2019</v>
      </c>
      <c r="H2" t="s">
        <v>2561</v>
      </c>
      <c r="I2">
        <v>0</v>
      </c>
      <c r="K2" t="str" cm="1">
        <f t="array" ref="K2:K8">_xlfn._xlws.FILTER(Table3[Next Action],Table3[Next Action]&lt;&gt;"")</f>
        <v>Additional phone screen</v>
      </c>
      <c r="L2" t="str" cm="1">
        <f t="array" ref="L2:L8">_xlfn._xlws.FILTER(Table3[Final Decision],Table3[Final Decision]&lt;&gt;"")</f>
        <v>Hire</v>
      </c>
      <c r="M2" t="str" cm="1">
        <f t="array" ref="M2:M10">_xlfn._xlws.FILTER(Table3[Status],Table3[Status]&lt;&gt;"")</f>
        <v>Complete</v>
      </c>
      <c r="N2" t="str" cm="1">
        <f t="array" ref="N2:N8">_xlfn._xlws.FILTER(Table3[Type of Contact],Table3[Type of Contact]&lt;&gt;"")</f>
        <v>Resume Screen</v>
      </c>
      <c r="O2" cm="1">
        <f t="array" ref="O2:O5">_xlfn._xlws.FILTER(Table3[Season],Table3[Season]&lt;&gt;"")</f>
        <v>2019</v>
      </c>
      <c r="P2" t="str" cm="1">
        <f t="array" ref="P2:P9">_xlfn._xlws.FILTER(Table3[Contactor],Table3[Contactor]&lt;&gt;"")</f>
        <v>Miguel Sanchez</v>
      </c>
      <c r="Q2" t="str" cm="1">
        <f t="array" ref="Q2">_xlfn._xlws.FILTER(Table3[Position],Table3[Position]&lt;&gt;"")</f>
        <v>Director, Global Sourcing Commercial Strategy and Business Development</v>
      </c>
      <c r="R2" t="s">
        <v>190</v>
      </c>
      <c r="S2" t="str" cm="1">
        <f t="array" ref="S2:S426">_xlfn.UNIQUE(Contact[Full Name])</f>
        <v>Jan Wilk</v>
      </c>
      <c r="T2" t="str" cm="1">
        <f t="array" ref="T2:T426">_xlfn._xlws.FILTER(_xlfn.ANCHORARRAY($S$2),ISNUMBER(SEARCH(Update!C3,_xlfn.ANCHORARRAY($S$2))),"Not Found")</f>
        <v>Jan Wilk</v>
      </c>
      <c r="U2" t="str" cm="1">
        <f t="array" ref="U2">_xlfn._xlws.FILTER(_xlfn.ANCHORARRAY($S$2),ISNUMBER(SEARCH('Active View'!C3,_xlfn.ANCHORARRAY($S$2))),"Not Found")</f>
        <v>Sumitaka Koga</v>
      </c>
      <c r="X2" t="str" cm="1">
        <f t="array" ref="X2:X9">_xlfn.UNIQUE(Table3[Final Decision])</f>
        <v>Hire</v>
      </c>
    </row>
    <row r="3" spans="1:25">
      <c r="A3" t="s">
        <v>2524</v>
      </c>
      <c r="B3" t="s">
        <v>11</v>
      </c>
      <c r="C3" t="s">
        <v>2697</v>
      </c>
      <c r="D3" t="s">
        <v>2519</v>
      </c>
      <c r="E3" t="s">
        <v>2574</v>
      </c>
      <c r="F3" t="s">
        <v>2663</v>
      </c>
      <c r="G3">
        <v>2020</v>
      </c>
      <c r="I3">
        <v>0</v>
      </c>
      <c r="K3" t="str">
        <v>Invite for Interview</v>
      </c>
      <c r="L3" t="str">
        <v>Turn Down</v>
      </c>
      <c r="M3" t="str">
        <v>In process</v>
      </c>
      <c r="N3" t="str">
        <v>Mail approach</v>
      </c>
      <c r="O3">
        <v>2020</v>
      </c>
      <c r="P3" t="str">
        <v>Richeek Maitra</v>
      </c>
      <c r="R3" t="s">
        <v>96</v>
      </c>
      <c r="S3" t="str">
        <v>April Yang</v>
      </c>
      <c r="T3" t="str">
        <v>April Yang</v>
      </c>
      <c r="X3" t="str">
        <v>Turn Down</v>
      </c>
    </row>
    <row r="4" spans="1:25">
      <c r="A4" t="s">
        <v>14</v>
      </c>
      <c r="B4" t="s">
        <v>2100</v>
      </c>
      <c r="C4" t="s">
        <v>1070</v>
      </c>
      <c r="D4" t="s">
        <v>2593</v>
      </c>
      <c r="E4" t="s">
        <v>215</v>
      </c>
      <c r="F4" t="s">
        <v>70</v>
      </c>
      <c r="G4">
        <v>2021</v>
      </c>
      <c r="I4">
        <v>1</v>
      </c>
      <c r="K4" t="str">
        <v>Hold</v>
      </c>
      <c r="L4" t="str">
        <v>Waitlist</v>
      </c>
      <c r="M4" t="str">
        <v>Accepted</v>
      </c>
      <c r="N4" t="str">
        <v>Phone Screen</v>
      </c>
      <c r="O4">
        <v>2021</v>
      </c>
      <c r="P4" t="str">
        <v>Marco Vigato</v>
      </c>
      <c r="R4" t="s">
        <v>1051</v>
      </c>
      <c r="S4" t="str">
        <v>Sun Kim</v>
      </c>
      <c r="T4" t="str">
        <v>Sun Kim</v>
      </c>
      <c r="X4" t="str">
        <v>Waitlist</v>
      </c>
    </row>
    <row r="5" spans="1:25">
      <c r="A5" t="s">
        <v>2456</v>
      </c>
      <c r="B5" t="s">
        <v>2609</v>
      </c>
      <c r="D5" t="s">
        <v>96</v>
      </c>
      <c r="E5" t="s">
        <v>2547</v>
      </c>
      <c r="F5" t="s">
        <v>2668</v>
      </c>
      <c r="G5">
        <v>2022</v>
      </c>
      <c r="I5">
        <v>0</v>
      </c>
      <c r="K5" t="str">
        <v>Discontinue</v>
      </c>
      <c r="L5" t="str">
        <v>Hold No Contact</v>
      </c>
      <c r="M5" t="str">
        <v>Answered</v>
      </c>
      <c r="N5" t="str">
        <v>Interview</v>
      </c>
      <c r="O5">
        <v>2022</v>
      </c>
      <c r="P5" t="str">
        <v>Sumeet Gupta</v>
      </c>
      <c r="R5" t="s">
        <v>97</v>
      </c>
      <c r="S5" t="str">
        <v>Aakash Jhaveri</v>
      </c>
      <c r="T5" t="str">
        <v>Aakash Jhaveri</v>
      </c>
      <c r="X5" t="str">
        <v>Hold No Contact</v>
      </c>
    </row>
    <row r="6" spans="1:25">
      <c r="A6" t="s">
        <v>2698</v>
      </c>
      <c r="B6" t="s">
        <v>2092</v>
      </c>
      <c r="D6" t="s">
        <v>2699</v>
      </c>
      <c r="E6" t="s">
        <v>2659</v>
      </c>
      <c r="F6" t="s">
        <v>112</v>
      </c>
      <c r="I6">
        <v>0</v>
      </c>
      <c r="K6" t="str">
        <v>Hire</v>
      </c>
      <c r="L6" t="str">
        <v>Stop</v>
      </c>
      <c r="M6" t="str">
        <v>Awaiting Response</v>
      </c>
      <c r="N6" t="str">
        <v>Gage Interest</v>
      </c>
      <c r="P6" t="str">
        <v>Ryan Yang</v>
      </c>
      <c r="R6">
        <v>0</v>
      </c>
      <c r="S6" t="str">
        <v>Aaron Montgomery</v>
      </c>
      <c r="T6" t="str">
        <v>Aaron Montgomery</v>
      </c>
      <c r="X6" t="str">
        <v>Stop</v>
      </c>
    </row>
    <row r="7" spans="1:25">
      <c r="A7" t="s">
        <v>2554</v>
      </c>
      <c r="B7" t="s">
        <v>2549</v>
      </c>
      <c r="D7" t="s">
        <v>20</v>
      </c>
      <c r="E7" t="s">
        <v>2100</v>
      </c>
      <c r="F7" t="s">
        <v>2127</v>
      </c>
      <c r="I7">
        <v>1</v>
      </c>
      <c r="K7" t="str">
        <v>Phone Screen</v>
      </c>
      <c r="L7" t="str">
        <v>Pending</v>
      </c>
      <c r="M7" t="str">
        <v>Spammed</v>
      </c>
      <c r="N7" t="str">
        <v>Review and Decision</v>
      </c>
      <c r="P7" t="str">
        <v>Sumit Narang</v>
      </c>
      <c r="R7" t="s">
        <v>70</v>
      </c>
      <c r="S7" t="str">
        <v>Abby Braiman</v>
      </c>
      <c r="T7" t="str">
        <v>Abby Braiman</v>
      </c>
      <c r="X7" t="str">
        <v>Pending</v>
      </c>
    </row>
    <row r="8" spans="1:25">
      <c r="A8" t="s">
        <v>2371</v>
      </c>
      <c r="B8" t="s">
        <v>2700</v>
      </c>
      <c r="D8" t="s">
        <v>2701</v>
      </c>
      <c r="E8" t="s">
        <v>11</v>
      </c>
      <c r="F8" t="s">
        <v>859</v>
      </c>
      <c r="I8">
        <v>1</v>
      </c>
      <c r="K8" t="str">
        <v>Mail approach</v>
      </c>
      <c r="L8" t="str">
        <v>Not now</v>
      </c>
      <c r="M8" t="str">
        <v>Extracted</v>
      </c>
      <c r="N8" t="str">
        <v>Extraction</v>
      </c>
      <c r="P8" t="str">
        <v>Pranav Potbhare</v>
      </c>
      <c r="R8" t="s">
        <v>133</v>
      </c>
      <c r="S8" t="str">
        <v>Abby Chao</v>
      </c>
      <c r="T8" t="str">
        <v>Abby Chao</v>
      </c>
      <c r="X8" t="str">
        <v>Not now</v>
      </c>
    </row>
    <row r="9" spans="1:25">
      <c r="A9" t="s">
        <v>2611</v>
      </c>
      <c r="D9" t="s">
        <v>2093</v>
      </c>
      <c r="M9" t="str">
        <v>(blank)</v>
      </c>
      <c r="P9" t="str">
        <v>No assignment</v>
      </c>
      <c r="R9" t="s">
        <v>270</v>
      </c>
      <c r="S9" t="str">
        <v>Abhilash Bhat</v>
      </c>
      <c r="T9" t="str">
        <v>Abhilash Bhat</v>
      </c>
      <c r="X9">
        <v>0</v>
      </c>
    </row>
    <row r="10" spans="1:25">
      <c r="D10" t="s">
        <v>28</v>
      </c>
      <c r="M10" t="str">
        <v>Recycled</v>
      </c>
      <c r="S10" t="str">
        <v>Abhinav Bhalla</v>
      </c>
      <c r="T10" t="str">
        <v>Abhinav Bhalla</v>
      </c>
    </row>
    <row r="11" spans="1:25">
      <c r="S11" t="str">
        <v>Abhiroop Medhekar</v>
      </c>
      <c r="T11" t="str">
        <v>Abhiroop Medhekar</v>
      </c>
    </row>
    <row r="12" spans="1:25">
      <c r="S12" t="str">
        <v>Abhishek Aggrawal</v>
      </c>
      <c r="T12" t="str">
        <v>Abhishek Aggrawal</v>
      </c>
    </row>
    <row r="13" spans="1:25">
      <c r="S13" t="str">
        <v>Adam Brown</v>
      </c>
      <c r="T13" t="str">
        <v>Adam Brown</v>
      </c>
    </row>
    <row r="14" spans="1:25">
      <c r="S14" t="str">
        <v>Adam McIntosh</v>
      </c>
      <c r="T14" t="str">
        <v>Adam McIntosh</v>
      </c>
    </row>
    <row r="15" spans="1:25">
      <c r="S15" t="str">
        <v>Adrian Soriano</v>
      </c>
      <c r="T15" t="str">
        <v>Adrian Soriano</v>
      </c>
    </row>
    <row r="16" spans="1:25">
      <c r="S16" t="str">
        <v>Afraaz Irani</v>
      </c>
      <c r="T16" t="str">
        <v>Afraaz Irani</v>
      </c>
    </row>
    <row r="17" spans="19:20">
      <c r="S17" t="str">
        <v>Ahmed Rashad</v>
      </c>
      <c r="T17" t="str">
        <v>Ahmed Rashad</v>
      </c>
    </row>
    <row r="18" spans="19:20">
      <c r="S18" t="str">
        <v>Aihua Kralovic</v>
      </c>
      <c r="T18" t="str">
        <v>Aihua Kralovic</v>
      </c>
    </row>
    <row r="19" spans="19:20">
      <c r="S19" t="str">
        <v>Ajay Nair</v>
      </c>
      <c r="T19" t="str">
        <v>Ajay Nair</v>
      </c>
    </row>
    <row r="20" spans="19:20">
      <c r="S20" t="str">
        <v>Akhilesh Chauhan</v>
      </c>
      <c r="T20" t="str">
        <v>Akhilesh Chauhan</v>
      </c>
    </row>
    <row r="21" spans="19:20">
      <c r="S21" t="str">
        <v>Albert Chang</v>
      </c>
      <c r="T21" t="str">
        <v>Albert Chang</v>
      </c>
    </row>
    <row r="22" spans="19:20">
      <c r="S22" t="str">
        <v>Alex Bryant</v>
      </c>
      <c r="T22" t="str">
        <v>Alex Bryant</v>
      </c>
    </row>
    <row r="23" spans="19:20">
      <c r="S23" t="str">
        <v>Alison Nichols</v>
      </c>
      <c r="T23" t="str">
        <v>Alison Nichols</v>
      </c>
    </row>
    <row r="24" spans="19:20">
      <c r="S24" t="str">
        <v>Allyson Pritchett</v>
      </c>
      <c r="T24" t="str">
        <v>Allyson Pritchett</v>
      </c>
    </row>
    <row r="25" spans="19:20">
      <c r="S25" t="str">
        <v>Aman Sethi</v>
      </c>
      <c r="T25" t="str">
        <v>Aman Sethi</v>
      </c>
    </row>
    <row r="26" spans="19:20">
      <c r="S26" t="str">
        <v>Amanda Bayagich Short</v>
      </c>
      <c r="T26" t="str">
        <v>Amanda Bayagich Short</v>
      </c>
    </row>
    <row r="27" spans="19:20">
      <c r="S27" t="str">
        <v>Amanda Needham</v>
      </c>
      <c r="T27" t="str">
        <v>Amanda Needham</v>
      </c>
    </row>
    <row r="28" spans="19:20">
      <c r="S28" t="str">
        <v>Amit Desai</v>
      </c>
      <c r="T28" t="str">
        <v>Amit Desai</v>
      </c>
    </row>
    <row r="29" spans="19:20">
      <c r="S29" t="str">
        <v>Amit Garg</v>
      </c>
      <c r="T29" t="str">
        <v>Amit Garg</v>
      </c>
    </row>
    <row r="30" spans="19:20">
      <c r="S30" t="str">
        <v>Amit Mahendru</v>
      </c>
      <c r="T30" t="str">
        <v>Amit Mahendru</v>
      </c>
    </row>
    <row r="31" spans="19:20">
      <c r="S31" t="str">
        <v>Amy Wang</v>
      </c>
      <c r="T31" t="str">
        <v>Amy Wang</v>
      </c>
    </row>
    <row r="32" spans="19:20">
      <c r="S32" t="str">
        <v>Anand  Ramachandran</v>
      </c>
      <c r="T32" t="str">
        <v>Anand  Ramachandran</v>
      </c>
    </row>
    <row r="33" spans="19:20">
      <c r="S33" t="str">
        <v>ANanth Lalithakumar</v>
      </c>
      <c r="T33" t="str">
        <v>ANanth Lalithakumar</v>
      </c>
    </row>
    <row r="34" spans="19:20">
      <c r="S34" t="str">
        <v>Andre Soldo</v>
      </c>
      <c r="T34" t="str">
        <v>Andre Soldo</v>
      </c>
    </row>
    <row r="35" spans="19:20">
      <c r="S35" t="str">
        <v>Andrew Gonce</v>
      </c>
      <c r="T35" t="str">
        <v>Andrew Gonce</v>
      </c>
    </row>
    <row r="36" spans="19:20">
      <c r="S36" t="str">
        <v>Andrew Tang</v>
      </c>
      <c r="T36" t="str">
        <v>Andrew Tang</v>
      </c>
    </row>
    <row r="37" spans="19:20">
      <c r="S37" t="str">
        <v>Andrew Wong</v>
      </c>
      <c r="T37" t="str">
        <v>Andrew Wong</v>
      </c>
    </row>
    <row r="38" spans="19:20">
      <c r="S38" t="str">
        <v>Angel Lin</v>
      </c>
      <c r="T38" t="str">
        <v>Angel Lin</v>
      </c>
    </row>
    <row r="39" spans="19:20">
      <c r="S39" t="str">
        <v>Angela Hung Byers Byers</v>
      </c>
      <c r="T39" t="str">
        <v>Angela Hung Byers Byers</v>
      </c>
    </row>
    <row r="40" spans="19:20">
      <c r="S40" t="str">
        <v>Angelique Chao</v>
      </c>
      <c r="T40" t="str">
        <v>Angelique Chao</v>
      </c>
    </row>
    <row r="41" spans="19:20">
      <c r="S41" t="str">
        <v>Ani Mukkavilli</v>
      </c>
      <c r="T41" t="str">
        <v>Ani Mukkavilli</v>
      </c>
    </row>
    <row r="42" spans="19:20">
      <c r="S42" t="str">
        <v>Anisa Nwachuku</v>
      </c>
      <c r="T42" t="str">
        <v>Anisa Nwachuku</v>
      </c>
    </row>
    <row r="43" spans="19:20">
      <c r="S43" t="str">
        <v>Anita Ngai</v>
      </c>
      <c r="T43" t="str">
        <v>Anita Ngai</v>
      </c>
    </row>
    <row r="44" spans="19:20">
      <c r="S44" t="str">
        <v>Anju Khetan</v>
      </c>
      <c r="T44" t="str">
        <v>Anju Khetan</v>
      </c>
    </row>
    <row r="45" spans="19:20">
      <c r="S45" t="str">
        <v>Anna Blachman</v>
      </c>
      <c r="T45" t="str">
        <v>Anna Blachman</v>
      </c>
    </row>
    <row r="46" spans="19:20">
      <c r="S46" t="str">
        <v>Anna Chen</v>
      </c>
      <c r="T46" t="str">
        <v>Anna Chen</v>
      </c>
    </row>
    <row r="47" spans="19:20">
      <c r="S47" t="str">
        <v>Anna  Pikovsky Auerbach</v>
      </c>
      <c r="T47" t="str">
        <v>Anna  Pikovsky Auerbach</v>
      </c>
    </row>
    <row r="48" spans="19:20">
      <c r="S48" t="str">
        <v>Annie Tang</v>
      </c>
      <c r="T48" t="str">
        <v>Annie Tang</v>
      </c>
    </row>
    <row r="49" spans="19:20">
      <c r="S49" t="str">
        <v>Anthony LaVita</v>
      </c>
      <c r="T49" t="str">
        <v>Anthony LaVita</v>
      </c>
    </row>
    <row r="50" spans="19:20">
      <c r="S50" t="str">
        <v>Anubhuti Gautam</v>
      </c>
      <c r="T50" t="str">
        <v>Anubhuti Gautam</v>
      </c>
    </row>
    <row r="51" spans="19:20">
      <c r="S51" t="str">
        <v>Aparna Kaushal</v>
      </c>
      <c r="T51" t="str">
        <v>Aparna Kaushal</v>
      </c>
    </row>
    <row r="52" spans="19:20">
      <c r="S52" t="str">
        <v>Apoorv Bhatnagar</v>
      </c>
      <c r="T52" t="str">
        <v>Apoorv Bhatnagar</v>
      </c>
    </row>
    <row r="53" spans="19:20">
      <c r="S53" t="str">
        <v>Arjun Gobinath</v>
      </c>
      <c r="T53" t="str">
        <v>Arjun Gobinath</v>
      </c>
    </row>
    <row r="54" spans="19:20">
      <c r="S54" t="str">
        <v>Arjun  KOchar</v>
      </c>
      <c r="T54" t="str">
        <v>Arjun  KOchar</v>
      </c>
    </row>
    <row r="55" spans="19:20">
      <c r="S55" t="str">
        <v>Arno Alarcon</v>
      </c>
      <c r="T55" t="str">
        <v>Arno Alarcon</v>
      </c>
    </row>
    <row r="56" spans="19:20">
      <c r="S56" t="str">
        <v>Asad Abdul Muhammad</v>
      </c>
      <c r="T56" t="str">
        <v>Asad Abdul Muhammad</v>
      </c>
    </row>
    <row r="57" spans="19:20">
      <c r="S57" t="str">
        <v>Asha Rangaraj</v>
      </c>
      <c r="T57" t="str">
        <v>Asha Rangaraj</v>
      </c>
    </row>
    <row r="58" spans="19:20">
      <c r="S58" t="str">
        <v>Ashish Juneja</v>
      </c>
      <c r="T58" t="str">
        <v>Ashish Juneja</v>
      </c>
    </row>
    <row r="59" spans="19:20">
      <c r="S59" t="str">
        <v>Ashish  Srivastava</v>
      </c>
      <c r="T59" t="str">
        <v>Ashish  Srivastava</v>
      </c>
    </row>
    <row r="60" spans="19:20">
      <c r="S60" t="str">
        <v>Ashley Dreier</v>
      </c>
      <c r="T60" t="str">
        <v>Ashley Dreier</v>
      </c>
    </row>
    <row r="61" spans="19:20">
      <c r="S61" t="str">
        <v>Ashley Zhou</v>
      </c>
      <c r="T61" t="str">
        <v>Ashley Zhou</v>
      </c>
    </row>
    <row r="62" spans="19:20">
      <c r="S62" t="str">
        <v>Asuka Qin</v>
      </c>
      <c r="T62" t="str">
        <v>Asuka Qin</v>
      </c>
    </row>
    <row r="63" spans="19:20">
      <c r="S63" t="str">
        <v>Atalie Porter</v>
      </c>
      <c r="T63" t="str">
        <v>Atalie Porter</v>
      </c>
    </row>
    <row r="64" spans="19:20">
      <c r="S64" t="str">
        <v>BAdri Rengarajan</v>
      </c>
      <c r="T64" t="str">
        <v>BAdri Rengarajan</v>
      </c>
    </row>
    <row r="65" spans="19:20">
      <c r="S65" t="str">
        <v>Ben Sun</v>
      </c>
      <c r="T65" t="str">
        <v>Ben Sun</v>
      </c>
    </row>
    <row r="66" spans="19:20">
      <c r="S66" t="str">
        <v>Bern Ebersole</v>
      </c>
      <c r="T66" t="str">
        <v>Bern Ebersole</v>
      </c>
    </row>
    <row r="67" spans="19:20">
      <c r="S67" t="str">
        <v>Betsy Masiello</v>
      </c>
      <c r="T67" t="str">
        <v>Betsy Masiello</v>
      </c>
    </row>
    <row r="68" spans="19:20">
      <c r="S68" t="str">
        <v>Brad Sostack</v>
      </c>
      <c r="T68" t="str">
        <v>Brad Sostack</v>
      </c>
    </row>
    <row r="69" spans="19:20">
      <c r="S69" t="str">
        <v>Brenna Benson</v>
      </c>
      <c r="T69" t="str">
        <v>Brenna Benson</v>
      </c>
    </row>
    <row r="70" spans="19:20">
      <c r="S70" t="str">
        <v>Brian Lo</v>
      </c>
      <c r="T70" t="str">
        <v>Brian Lo</v>
      </c>
    </row>
    <row r="71" spans="19:20">
      <c r="S71" t="str">
        <v>Bruna Macedo Porto</v>
      </c>
      <c r="T71" t="str">
        <v>Bruna Macedo Porto</v>
      </c>
    </row>
    <row r="72" spans="19:20">
      <c r="S72" t="str">
        <v>Candice Kenny</v>
      </c>
      <c r="T72" t="str">
        <v>Candice Kenny</v>
      </c>
    </row>
    <row r="73" spans="19:20">
      <c r="S73" t="str">
        <v>Caroline Taich</v>
      </c>
      <c r="T73" t="str">
        <v>Caroline Taich</v>
      </c>
    </row>
    <row r="74" spans="19:20">
      <c r="S74" t="str">
        <v>Cassie Zhang</v>
      </c>
      <c r="T74" t="str">
        <v>Cassie Zhang</v>
      </c>
    </row>
    <row r="75" spans="19:20">
      <c r="S75" t="str">
        <v>Chao Xu</v>
      </c>
      <c r="T75" t="str">
        <v>Chao Xu</v>
      </c>
    </row>
    <row r="76" spans="19:20">
      <c r="S76" t="str">
        <v>Chee Hoong Chung</v>
      </c>
      <c r="T76" t="str">
        <v>Chee Hoong Chung</v>
      </c>
    </row>
    <row r="77" spans="19:20">
      <c r="S77" t="str">
        <v>Chinmay  Jain</v>
      </c>
      <c r="T77" t="str">
        <v>Chinmay  Jain</v>
      </c>
    </row>
    <row r="78" spans="19:20">
      <c r="S78" t="str">
        <v>Chintan Dhebar</v>
      </c>
      <c r="T78" t="str">
        <v>Chintan Dhebar</v>
      </c>
    </row>
    <row r="79" spans="19:20">
      <c r="S79" t="str">
        <v>Chloe Shapiro</v>
      </c>
      <c r="T79" t="str">
        <v>Chloe Shapiro</v>
      </c>
    </row>
    <row r="80" spans="19:20">
      <c r="S80" t="str">
        <v>Chris Bailey</v>
      </c>
      <c r="T80" t="str">
        <v>Chris Bailey</v>
      </c>
    </row>
    <row r="81" spans="19:20">
      <c r="S81" t="str">
        <v>Christoph Sandler</v>
      </c>
      <c r="T81" t="str">
        <v>Christoph Sandler</v>
      </c>
    </row>
    <row r="82" spans="19:20">
      <c r="S82" t="str">
        <v>Cindy Luong</v>
      </c>
      <c r="T82" t="str">
        <v>Cindy Luong</v>
      </c>
    </row>
    <row r="83" spans="19:20">
      <c r="S83" t="str">
        <v>Cissy Dong</v>
      </c>
      <c r="T83" t="str">
        <v>Cissy Dong</v>
      </c>
    </row>
    <row r="84" spans="19:20">
      <c r="S84" t="str">
        <v>Claire Tramm</v>
      </c>
      <c r="T84" t="str">
        <v>Claire Tramm</v>
      </c>
    </row>
    <row r="85" spans="19:20">
      <c r="S85" t="str">
        <v>Claudio Innocente</v>
      </c>
      <c r="T85" t="str">
        <v>Claudio Innocente</v>
      </c>
    </row>
    <row r="86" spans="19:20">
      <c r="S86" t="str">
        <v>Daniel Morales</v>
      </c>
      <c r="T86" t="str">
        <v>Daniel Morales</v>
      </c>
    </row>
    <row r="87" spans="19:20">
      <c r="S87" t="str">
        <v>Daniel Shen</v>
      </c>
      <c r="T87" t="str">
        <v>Daniel Shen</v>
      </c>
    </row>
    <row r="88" spans="19:20">
      <c r="S88" t="str">
        <v>Danielle Fisher</v>
      </c>
      <c r="T88" t="str">
        <v>Danielle Fisher</v>
      </c>
    </row>
    <row r="89" spans="19:20">
      <c r="S89" t="str">
        <v>Daria Makhoukova</v>
      </c>
      <c r="T89" t="str">
        <v>Daria Makhoukova</v>
      </c>
    </row>
    <row r="90" spans="19:20">
      <c r="S90" t="str">
        <v>Darien  Lee</v>
      </c>
      <c r="T90" t="str">
        <v>Darien  Lee</v>
      </c>
    </row>
    <row r="91" spans="19:20">
      <c r="S91" t="str">
        <v xml:space="preserve">David Su  </v>
      </c>
      <c r="T91" t="str">
        <v xml:space="preserve">David Su  </v>
      </c>
    </row>
    <row r="92" spans="19:20">
      <c r="S92" t="str">
        <v>David Yin</v>
      </c>
      <c r="T92" t="str">
        <v>David Yin</v>
      </c>
    </row>
    <row r="93" spans="19:20">
      <c r="S93" t="str">
        <v>Deeksha Hebbar</v>
      </c>
      <c r="T93" t="str">
        <v>Deeksha Hebbar</v>
      </c>
    </row>
    <row r="94" spans="19:20">
      <c r="S94" t="str">
        <v>Deepali Narula</v>
      </c>
      <c r="T94" t="str">
        <v>Deepali Narula</v>
      </c>
    </row>
    <row r="95" spans="19:20">
      <c r="S95" t="str">
        <v>Dev Ramchandani</v>
      </c>
      <c r="T95" t="str">
        <v>Dev Ramchandani</v>
      </c>
    </row>
    <row r="96" spans="19:20">
      <c r="S96" t="str">
        <v>Dev Yusmananda</v>
      </c>
      <c r="T96" t="str">
        <v>Dev Yusmananda</v>
      </c>
    </row>
    <row r="97" spans="19:20">
      <c r="S97" t="str">
        <v>Dhavanthi Hariharan</v>
      </c>
      <c r="T97" t="str">
        <v>Dhavanthi Hariharan</v>
      </c>
    </row>
    <row r="98" spans="19:20">
      <c r="S98" t="str">
        <v>Dileep Sathyanarayana</v>
      </c>
      <c r="T98" t="str">
        <v>Dileep Sathyanarayana</v>
      </c>
    </row>
    <row r="99" spans="19:20">
      <c r="S99" t="str">
        <v>Dilly Soemantri</v>
      </c>
      <c r="T99" t="str">
        <v>Dilly Soemantri</v>
      </c>
    </row>
    <row r="100" spans="19:20">
      <c r="S100" t="str">
        <v>Divya Agarwal</v>
      </c>
      <c r="T100" t="str">
        <v>Divya Agarwal</v>
      </c>
    </row>
    <row r="101" spans="19:20">
      <c r="S101" t="str">
        <v>Dongwook Choi</v>
      </c>
      <c r="T101" t="str">
        <v>Dongwook Choi</v>
      </c>
    </row>
    <row r="102" spans="19:20">
      <c r="S102" t="str">
        <v>Ebony Blue</v>
      </c>
      <c r="T102" t="str">
        <v>Ebony Blue</v>
      </c>
    </row>
    <row r="103" spans="19:20">
      <c r="S103" t="str">
        <v>Efren Bonner</v>
      </c>
      <c r="T103" t="str">
        <v>Efren Bonner</v>
      </c>
    </row>
    <row r="104" spans="19:20">
      <c r="S104" t="str">
        <v>Elena Cant</v>
      </c>
      <c r="T104" t="str">
        <v>Elena Cant</v>
      </c>
    </row>
    <row r="105" spans="19:20">
      <c r="S105" t="str">
        <v>Elena Mixon</v>
      </c>
      <c r="T105" t="str">
        <v>Elena Mixon</v>
      </c>
    </row>
    <row r="106" spans="19:20">
      <c r="S106" t="str">
        <v>Elissa Ashwood</v>
      </c>
      <c r="T106" t="str">
        <v>Elissa Ashwood</v>
      </c>
    </row>
    <row r="107" spans="19:20">
      <c r="S107" t="str">
        <v>Ellen Badger</v>
      </c>
      <c r="T107" t="str">
        <v>Ellen Badger</v>
      </c>
    </row>
    <row r="108" spans="19:20">
      <c r="S108" t="str">
        <v>Emily Osborne</v>
      </c>
      <c r="T108" t="str">
        <v>Emily Osborne</v>
      </c>
    </row>
    <row r="109" spans="19:20">
      <c r="S109" t="str">
        <v>Enric Casals</v>
      </c>
      <c r="T109" t="str">
        <v>Enric Casals</v>
      </c>
    </row>
    <row r="110" spans="19:20">
      <c r="S110" t="str">
        <v>Enrique Ruiz</v>
      </c>
      <c r="T110" t="str">
        <v>Enrique Ruiz</v>
      </c>
    </row>
    <row r="111" spans="19:20">
      <c r="S111" t="str">
        <v>Eric Marnandus</v>
      </c>
      <c r="T111" t="str">
        <v>Eric Marnandus</v>
      </c>
    </row>
    <row r="112" spans="19:20">
      <c r="S112" t="str">
        <v>Eugene Romakin</v>
      </c>
      <c r="T112" t="str">
        <v>Eugene Romakin</v>
      </c>
    </row>
    <row r="113" spans="19:20">
      <c r="S113" t="str">
        <v>Felix Oliha</v>
      </c>
      <c r="T113" t="str">
        <v>Felix Oliha</v>
      </c>
    </row>
    <row r="114" spans="19:20">
      <c r="S114" t="str">
        <v>Feng Chen</v>
      </c>
      <c r="T114" t="str">
        <v>Feng Chen</v>
      </c>
    </row>
    <row r="115" spans="19:20">
      <c r="S115" t="str">
        <v>Feng Li Sheng</v>
      </c>
      <c r="T115" t="str">
        <v>Feng Li Sheng</v>
      </c>
    </row>
    <row r="116" spans="19:20">
      <c r="S116" t="str">
        <v>Fern Sharma</v>
      </c>
      <c r="T116" t="str">
        <v>Fern Sharma</v>
      </c>
    </row>
    <row r="117" spans="19:20">
      <c r="S117" t="str">
        <v>Florin Pustea</v>
      </c>
      <c r="T117" t="str">
        <v>Florin Pustea</v>
      </c>
    </row>
    <row r="118" spans="19:20">
      <c r="S118" t="str">
        <v>Francesco Abate</v>
      </c>
      <c r="T118" t="str">
        <v>Francesco Abate</v>
      </c>
    </row>
    <row r="119" spans="19:20">
      <c r="S119" t="str">
        <v>Frank Mora</v>
      </c>
      <c r="T119" t="str">
        <v>Frank Mora</v>
      </c>
    </row>
    <row r="120" spans="19:20">
      <c r="S120" t="str">
        <v>Gaurav Agarwal</v>
      </c>
      <c r="T120" t="str">
        <v>Gaurav Agarwal</v>
      </c>
    </row>
    <row r="121" spans="19:20">
      <c r="S121" t="str">
        <v>Gaurav Jain</v>
      </c>
      <c r="T121" t="str">
        <v>Gaurav Jain</v>
      </c>
    </row>
    <row r="122" spans="19:20">
      <c r="S122" t="str">
        <v>Gaurav Shah</v>
      </c>
      <c r="T122" t="str">
        <v>Gaurav Shah</v>
      </c>
    </row>
    <row r="123" spans="19:20">
      <c r="S123" t="str">
        <v>Geoff Allen</v>
      </c>
      <c r="T123" t="str">
        <v>Geoff Allen</v>
      </c>
    </row>
    <row r="124" spans="19:20">
      <c r="S124" t="str">
        <v>Ghanshyam Devnani</v>
      </c>
      <c r="T124" t="str">
        <v>Ghanshyam Devnani</v>
      </c>
    </row>
    <row r="125" spans="19:20">
      <c r="S125" t="str">
        <v>Ginny Too</v>
      </c>
      <c r="T125" t="str">
        <v>Ginny Too</v>
      </c>
    </row>
    <row r="126" spans="19:20">
      <c r="S126" t="str">
        <v>Grace-Ann Baker</v>
      </c>
      <c r="T126" t="str">
        <v>Grace-Ann Baker</v>
      </c>
    </row>
    <row r="127" spans="19:20">
      <c r="S127" t="str">
        <v>GUillermo Garcia</v>
      </c>
      <c r="T127" t="str">
        <v>GUillermo Garcia</v>
      </c>
    </row>
    <row r="128" spans="19:20">
      <c r="S128" t="str">
        <v>Gurmukh  Chhabra</v>
      </c>
      <c r="T128" t="str">
        <v>Gurmukh  Chhabra</v>
      </c>
    </row>
    <row r="129" spans="19:20">
      <c r="S129" t="str">
        <v>Guruprasad Sankaranarayan</v>
      </c>
      <c r="T129" t="str">
        <v>Guruprasad Sankaranarayan</v>
      </c>
    </row>
    <row r="130" spans="19:20">
      <c r="S130" t="str">
        <v>Hai-Linh Nguyen</v>
      </c>
      <c r="T130" t="str">
        <v>Hai-Linh Nguyen</v>
      </c>
    </row>
    <row r="131" spans="19:20">
      <c r="S131" t="str">
        <v>Hammad Rahman</v>
      </c>
      <c r="T131" t="str">
        <v>Hammad Rahman</v>
      </c>
    </row>
    <row r="132" spans="19:20">
      <c r="S132" t="str">
        <v>Hannah Yan</v>
      </c>
      <c r="T132" t="str">
        <v>Hannah Yan</v>
      </c>
    </row>
    <row r="133" spans="19:20">
      <c r="S133" t="str">
        <v>Harish Yadav</v>
      </c>
      <c r="T133" t="str">
        <v>Harish Yadav</v>
      </c>
    </row>
    <row r="134" spans="19:20">
      <c r="S134" t="str">
        <v>Harsh Goyal</v>
      </c>
      <c r="T134" t="str">
        <v>Harsh Goyal</v>
      </c>
    </row>
    <row r="135" spans="19:20">
      <c r="S135" t="str">
        <v>Himanshu Arora</v>
      </c>
      <c r="T135" t="str">
        <v>Himanshu Arora</v>
      </c>
    </row>
    <row r="136" spans="19:20">
      <c r="S136" t="str">
        <v>Hirokazu Seki</v>
      </c>
      <c r="T136" t="str">
        <v>Hirokazu Seki</v>
      </c>
    </row>
    <row r="137" spans="19:20">
      <c r="S137" t="str">
        <v>Hong  Li</v>
      </c>
      <c r="T137" t="str">
        <v>Hong  Li</v>
      </c>
    </row>
    <row r="138" spans="19:20">
      <c r="S138" t="str">
        <v>Hung Nguyen</v>
      </c>
      <c r="T138" t="str">
        <v>Hung Nguyen</v>
      </c>
    </row>
    <row r="139" spans="19:20">
      <c r="S139" t="str">
        <v>Ian Mombru</v>
      </c>
      <c r="T139" t="str">
        <v>Ian Mombru</v>
      </c>
    </row>
    <row r="140" spans="19:20">
      <c r="S140" t="str">
        <v>Ian St-Maurice</v>
      </c>
      <c r="T140" t="str">
        <v>Ian St-Maurice</v>
      </c>
    </row>
    <row r="141" spans="19:20">
      <c r="S141" t="str">
        <v>Jack Baer</v>
      </c>
      <c r="T141" t="str">
        <v>Jack Baer</v>
      </c>
    </row>
    <row r="142" spans="19:20">
      <c r="S142" t="str">
        <v>Jackie BAss</v>
      </c>
      <c r="T142" t="str">
        <v>Jackie BAss</v>
      </c>
    </row>
    <row r="143" spans="19:20">
      <c r="S143" t="str">
        <v>Jackie Valentine</v>
      </c>
      <c r="T143" t="str">
        <v>Jackie Valentine</v>
      </c>
    </row>
    <row r="144" spans="19:20">
      <c r="S144" t="str">
        <v>Jacqueline Wingfield</v>
      </c>
      <c r="T144" t="str">
        <v>Jacqueline Wingfield</v>
      </c>
    </row>
    <row r="145" spans="19:20">
      <c r="S145" t="str">
        <v>Janet Gao</v>
      </c>
      <c r="T145" t="str">
        <v>Janet Gao</v>
      </c>
    </row>
    <row r="146" spans="19:20">
      <c r="S146" t="str">
        <v>Janice Pai</v>
      </c>
      <c r="T146" t="str">
        <v>Janice Pai</v>
      </c>
    </row>
    <row r="147" spans="19:20">
      <c r="S147" t="str">
        <v>Jared Barnett</v>
      </c>
      <c r="T147" t="str">
        <v>Jared Barnett</v>
      </c>
    </row>
    <row r="148" spans="19:20">
      <c r="S148" t="str">
        <v>Jared Leopold</v>
      </c>
      <c r="T148" t="str">
        <v>Jared Leopold</v>
      </c>
    </row>
    <row r="149" spans="19:20">
      <c r="S149" t="str">
        <v>Jason Li</v>
      </c>
      <c r="T149" t="str">
        <v>Jason Li</v>
      </c>
    </row>
    <row r="150" spans="19:20">
      <c r="S150" t="str">
        <v>Jayoon Yi</v>
      </c>
      <c r="T150" t="str">
        <v>Jayoon Yi</v>
      </c>
    </row>
    <row r="151" spans="19:20">
      <c r="S151" t="str">
        <v>Jean Ho</v>
      </c>
      <c r="T151" t="str">
        <v>Jean Ho</v>
      </c>
    </row>
    <row r="152" spans="19:20">
      <c r="S152" t="str">
        <v>Jean Park</v>
      </c>
      <c r="T152" t="str">
        <v>Jean Park</v>
      </c>
    </row>
    <row r="153" spans="19:20">
      <c r="S153" t="str">
        <v>Jeannice Tse</v>
      </c>
      <c r="T153" t="str">
        <v>Jeannice Tse</v>
      </c>
    </row>
    <row r="154" spans="19:20">
      <c r="S154" t="str">
        <v>Jen Warner</v>
      </c>
      <c r="T154" t="str">
        <v>Jen Warner</v>
      </c>
    </row>
    <row r="155" spans="19:20">
      <c r="S155" t="str">
        <v>Jenna Kelly</v>
      </c>
      <c r="T155" t="str">
        <v>Jenna Kelly</v>
      </c>
    </row>
    <row r="156" spans="19:20">
      <c r="S156" t="str">
        <v>Jenna Zerker</v>
      </c>
      <c r="T156" t="str">
        <v>Jenna Zerker</v>
      </c>
    </row>
    <row r="157" spans="19:20">
      <c r="S157" t="str">
        <v>Jenny  Lu</v>
      </c>
      <c r="T157" t="str">
        <v>Jenny  Lu</v>
      </c>
    </row>
    <row r="158" spans="19:20">
      <c r="S158" t="str">
        <v>Jeremy Zhang</v>
      </c>
      <c r="T158" t="str">
        <v>Jeremy Zhang</v>
      </c>
    </row>
    <row r="159" spans="19:20">
      <c r="S159" t="str">
        <v xml:space="preserve">Jessica Li </v>
      </c>
      <c r="T159" t="str">
        <v xml:space="preserve">Jessica Li </v>
      </c>
    </row>
    <row r="160" spans="19:20">
      <c r="S160" t="str">
        <v>Jimmy Zhang</v>
      </c>
      <c r="T160" t="str">
        <v>Jimmy Zhang</v>
      </c>
    </row>
    <row r="161" spans="19:20">
      <c r="S161" t="str">
        <v>Jin Tao</v>
      </c>
      <c r="T161" t="str">
        <v>Jin Tao</v>
      </c>
    </row>
    <row r="162" spans="19:20">
      <c r="S162" t="str">
        <v>Jing Wang</v>
      </c>
      <c r="T162" t="str">
        <v>Jing Wang</v>
      </c>
    </row>
    <row r="163" spans="19:20">
      <c r="S163" t="str">
        <v>JIngyi Zhang</v>
      </c>
      <c r="T163" t="str">
        <v>JIngyi Zhang</v>
      </c>
    </row>
    <row r="164" spans="19:20">
      <c r="S164" t="str">
        <v>Joanna Maryewska</v>
      </c>
      <c r="T164" t="str">
        <v>Joanna Maryewska</v>
      </c>
    </row>
    <row r="165" spans="19:20">
      <c r="S165" t="str">
        <v>John Wu</v>
      </c>
      <c r="T165" t="str">
        <v>John Wu</v>
      </c>
    </row>
    <row r="166" spans="19:20">
      <c r="S166" t="str">
        <v>Jose Garza Estrada</v>
      </c>
      <c r="T166" t="str">
        <v>Jose Garza Estrada</v>
      </c>
    </row>
    <row r="167" spans="19:20">
      <c r="S167" t="str">
        <v>Joseph Owens</v>
      </c>
      <c r="T167" t="str">
        <v>Joseph Owens</v>
      </c>
    </row>
    <row r="168" spans="19:20">
      <c r="S168" t="str">
        <v>JOshep LIm</v>
      </c>
      <c r="T168" t="str">
        <v>JOshep LIm</v>
      </c>
    </row>
    <row r="169" spans="19:20">
      <c r="S169" t="str">
        <v>Julia Barclay</v>
      </c>
      <c r="T169" t="str">
        <v>Julia Barclay</v>
      </c>
    </row>
    <row r="170" spans="19:20">
      <c r="S170" t="str">
        <v>Juliana McLain</v>
      </c>
      <c r="T170" t="str">
        <v>Juliana McLain</v>
      </c>
    </row>
    <row r="171" spans="19:20">
      <c r="S171" t="str">
        <v>Juliette Han</v>
      </c>
      <c r="T171" t="str">
        <v>Juliette Han</v>
      </c>
    </row>
    <row r="172" spans="19:20">
      <c r="S172" t="str">
        <v>Junaid Mohiuddin</v>
      </c>
      <c r="T172" t="str">
        <v>Junaid Mohiuddin</v>
      </c>
    </row>
    <row r="173" spans="19:20">
      <c r="S173" t="str">
        <v>Jung Min Ahn</v>
      </c>
      <c r="T173" t="str">
        <v>Jung Min Ahn</v>
      </c>
    </row>
    <row r="174" spans="19:20">
      <c r="S174" t="str">
        <v>Junko Tashiro</v>
      </c>
      <c r="T174" t="str">
        <v>Junko Tashiro</v>
      </c>
    </row>
    <row r="175" spans="19:20">
      <c r="S175" t="str">
        <v>Jyoti Prakash  Datta</v>
      </c>
      <c r="T175" t="str">
        <v>Jyoti Prakash  Datta</v>
      </c>
    </row>
    <row r="176" spans="19:20">
      <c r="S176" t="str">
        <v>Kamille Palanca</v>
      </c>
      <c r="T176" t="str">
        <v>Kamille Palanca</v>
      </c>
    </row>
    <row r="177" spans="19:20">
      <c r="S177" t="str">
        <v>Kandice Lord</v>
      </c>
      <c r="T177" t="str">
        <v>Kandice Lord</v>
      </c>
    </row>
    <row r="178" spans="19:20">
      <c r="S178" t="str">
        <v>Kanika Singal</v>
      </c>
      <c r="T178" t="str">
        <v>Kanika Singal</v>
      </c>
    </row>
    <row r="179" spans="19:20">
      <c r="S179" t="str">
        <v>Karan Gandhi</v>
      </c>
      <c r="T179" t="str">
        <v>Karan Gandhi</v>
      </c>
    </row>
    <row r="180" spans="19:20">
      <c r="S180" t="str">
        <v>Karan Malhotra</v>
      </c>
      <c r="T180" t="str">
        <v>Karan Malhotra</v>
      </c>
    </row>
    <row r="181" spans="19:20">
      <c r="S181" t="str">
        <v>Karen Chen</v>
      </c>
      <c r="T181" t="str">
        <v>Karen Chen</v>
      </c>
    </row>
    <row r="182" spans="19:20">
      <c r="S182" t="str">
        <v>Kate Augustine</v>
      </c>
      <c r="T182" t="str">
        <v>Kate Augustine</v>
      </c>
    </row>
    <row r="183" spans="19:20">
      <c r="S183" t="str">
        <v>Kate Lowry</v>
      </c>
      <c r="T183" t="str">
        <v>Kate Lowry</v>
      </c>
    </row>
    <row r="184" spans="19:20">
      <c r="S184" t="str">
        <v>Kate Yang</v>
      </c>
      <c r="T184" t="str">
        <v>Kate Yang</v>
      </c>
    </row>
    <row r="185" spans="19:20">
      <c r="S185" t="str">
        <v>Katharina Petrasch</v>
      </c>
      <c r="T185" t="str">
        <v>Katharina Petrasch</v>
      </c>
    </row>
    <row r="186" spans="19:20">
      <c r="S186" t="str">
        <v>Kathleen  Wong</v>
      </c>
      <c r="T186" t="str">
        <v>Kathleen  Wong</v>
      </c>
    </row>
    <row r="187" spans="19:20">
      <c r="S187" t="str">
        <v>Katie Straub</v>
      </c>
      <c r="T187" t="str">
        <v>Katie Straub</v>
      </c>
    </row>
    <row r="188" spans="19:20">
      <c r="S188" t="str">
        <v>Kaushik VSR</v>
      </c>
      <c r="T188" t="str">
        <v>Kaushik VSR</v>
      </c>
    </row>
    <row r="189" spans="19:20">
      <c r="S189" t="str">
        <v>Kay Teo</v>
      </c>
      <c r="T189" t="str">
        <v>Kay Teo</v>
      </c>
    </row>
    <row r="190" spans="19:20">
      <c r="S190" t="str">
        <v>Keily Miller</v>
      </c>
      <c r="T190" t="str">
        <v>Keily Miller</v>
      </c>
    </row>
    <row r="191" spans="19:20">
      <c r="S191" t="str">
        <v>Keith Chaney</v>
      </c>
      <c r="T191" t="str">
        <v>Keith Chaney</v>
      </c>
    </row>
    <row r="192" spans="19:20">
      <c r="S192" t="str">
        <v>Keith Green</v>
      </c>
      <c r="T192" t="str">
        <v>Keith Green</v>
      </c>
    </row>
    <row r="193" spans="19:20">
      <c r="S193" t="str">
        <v>Kelly Wagner</v>
      </c>
      <c r="T193" t="str">
        <v>Kelly Wagner</v>
      </c>
    </row>
    <row r="194" spans="19:20">
      <c r="S194" t="str">
        <v>Kemal  Nasser</v>
      </c>
      <c r="T194" t="str">
        <v>Kemal  Nasser</v>
      </c>
    </row>
    <row r="195" spans="19:20">
      <c r="S195" t="str">
        <v>Kevin Kim</v>
      </c>
      <c r="T195" t="str">
        <v>Kevin Kim</v>
      </c>
    </row>
    <row r="196" spans="19:20">
      <c r="S196" t="str">
        <v>Kevin Opoku</v>
      </c>
      <c r="T196" t="str">
        <v>Kevin Opoku</v>
      </c>
    </row>
    <row r="197" spans="19:20">
      <c r="S197" t="str">
        <v>Kinshuk Kocher</v>
      </c>
      <c r="T197" t="str">
        <v>Kinshuk Kocher</v>
      </c>
    </row>
    <row r="198" spans="19:20">
      <c r="S198" t="str">
        <v>Komal Agarwal</v>
      </c>
      <c r="T198" t="str">
        <v>Komal Agarwal</v>
      </c>
    </row>
    <row r="199" spans="19:20">
      <c r="S199" t="str">
        <v>Krisrten La Mont</v>
      </c>
      <c r="T199" t="str">
        <v>Krisrten La Mont</v>
      </c>
    </row>
    <row r="200" spans="19:20">
      <c r="S200" t="str">
        <v>Kristin Sahyouni</v>
      </c>
      <c r="T200" t="str">
        <v>Kristin Sahyouni</v>
      </c>
    </row>
    <row r="201" spans="19:20">
      <c r="S201" t="str">
        <v>Krupal  Parchure</v>
      </c>
      <c r="T201" t="str">
        <v>Krupal  Parchure</v>
      </c>
    </row>
    <row r="202" spans="19:20">
      <c r="S202" t="str">
        <v>Kuldeep Kumar</v>
      </c>
      <c r="T202" t="str">
        <v>Kuldeep Kumar</v>
      </c>
    </row>
    <row r="203" spans="19:20">
      <c r="S203" t="str">
        <v>KUldeep  Kumar Upadhaya</v>
      </c>
      <c r="T203" t="str">
        <v>KUldeep  Kumar Upadhaya</v>
      </c>
    </row>
    <row r="204" spans="19:20">
      <c r="S204" t="str">
        <v>Lance Li</v>
      </c>
      <c r="T204" t="str">
        <v>Lance Li</v>
      </c>
    </row>
    <row r="205" spans="19:20">
      <c r="S205" t="str">
        <v>Laura Gonçalves da Camara</v>
      </c>
      <c r="T205" t="str">
        <v>Laura Gonçalves da Camara</v>
      </c>
    </row>
    <row r="206" spans="19:20">
      <c r="S206" t="str">
        <v>Laura Stonikas</v>
      </c>
      <c r="T206" t="str">
        <v>Laura Stonikas</v>
      </c>
    </row>
    <row r="207" spans="19:20">
      <c r="S207" t="str">
        <v>Laura Sztejnberg</v>
      </c>
      <c r="T207" t="str">
        <v>Laura Sztejnberg</v>
      </c>
    </row>
    <row r="208" spans="19:20">
      <c r="S208" t="str">
        <v>Lei  Liu</v>
      </c>
      <c r="T208" t="str">
        <v>Lei  Liu</v>
      </c>
    </row>
    <row r="209" spans="19:20">
      <c r="S209" t="str">
        <v>Leo Kim</v>
      </c>
      <c r="T209" t="str">
        <v>Leo Kim</v>
      </c>
    </row>
    <row r="210" spans="19:20">
      <c r="S210" t="str">
        <v>Li Miao</v>
      </c>
      <c r="T210" t="str">
        <v>Li Miao</v>
      </c>
    </row>
    <row r="211" spans="19:20">
      <c r="S211" t="str">
        <v>Lily Perez</v>
      </c>
      <c r="T211" t="str">
        <v>Lily Perez</v>
      </c>
    </row>
    <row r="212" spans="19:20">
      <c r="S212" t="str">
        <v>Liz Jenkins</v>
      </c>
      <c r="T212" t="str">
        <v>Liz Jenkins</v>
      </c>
    </row>
    <row r="213" spans="19:20">
      <c r="S213" t="str">
        <v>Lorcan Murphy</v>
      </c>
      <c r="T213" t="str">
        <v>Lorcan Murphy</v>
      </c>
    </row>
    <row r="214" spans="19:20">
      <c r="S214" t="str">
        <v>Luis Escobedo</v>
      </c>
      <c r="T214" t="str">
        <v>Luis Escobedo</v>
      </c>
    </row>
    <row r="215" spans="19:20">
      <c r="S215" t="str">
        <v>Luis Wu Cuan</v>
      </c>
      <c r="T215" t="str">
        <v>Luis Wu Cuan</v>
      </c>
    </row>
    <row r="216" spans="19:20">
      <c r="S216" t="str">
        <v>Luise Hampl</v>
      </c>
      <c r="T216" t="str">
        <v>Luise Hampl</v>
      </c>
    </row>
    <row r="217" spans="19:20">
      <c r="S217" t="str">
        <v>Lynn Tu</v>
      </c>
      <c r="T217" t="str">
        <v>Lynn Tu</v>
      </c>
    </row>
    <row r="218" spans="19:20">
      <c r="S218" t="str">
        <v>Madhu Srinivasan</v>
      </c>
      <c r="T218" t="str">
        <v>Madhu Srinivasan</v>
      </c>
    </row>
    <row r="219" spans="19:20">
      <c r="S219" t="str">
        <v>Maggie Hsu</v>
      </c>
      <c r="T219" t="str">
        <v>Maggie Hsu</v>
      </c>
    </row>
    <row r="220" spans="19:20">
      <c r="S220" t="str">
        <v>Maheswari Govindaraju</v>
      </c>
      <c r="T220" t="str">
        <v>Maheswari Govindaraju</v>
      </c>
    </row>
    <row r="221" spans="19:20">
      <c r="S221" t="str">
        <v>Manu Lakshmanan</v>
      </c>
      <c r="T221" t="str">
        <v>Manu Lakshmanan</v>
      </c>
    </row>
    <row r="222" spans="19:20">
      <c r="S222" t="str">
        <v>Manuj Jain</v>
      </c>
      <c r="T222" t="str">
        <v>Manuj Jain</v>
      </c>
    </row>
    <row r="223" spans="19:20">
      <c r="S223" t="str">
        <v>MArcia NUffer</v>
      </c>
      <c r="T223" t="str">
        <v>MArcia NUffer</v>
      </c>
    </row>
    <row r="224" spans="19:20">
      <c r="S224" t="str">
        <v>Marguerite Benson</v>
      </c>
      <c r="T224" t="str">
        <v>Marguerite Benson</v>
      </c>
    </row>
    <row r="225" spans="19:20">
      <c r="S225" t="str">
        <v>Maria Luisa Grossi</v>
      </c>
      <c r="T225" t="str">
        <v>Maria Luisa Grossi</v>
      </c>
    </row>
    <row r="226" spans="19:20">
      <c r="S226" t="str">
        <v>Marie Sophie Jaroni</v>
      </c>
      <c r="T226" t="str">
        <v>Marie Sophie Jaroni</v>
      </c>
    </row>
    <row r="227" spans="19:20">
      <c r="S227" t="str">
        <v>Marissa Brittenham</v>
      </c>
      <c r="T227" t="str">
        <v>Marissa Brittenham</v>
      </c>
    </row>
    <row r="228" spans="19:20">
      <c r="S228" t="str">
        <v>Marleen Relling</v>
      </c>
      <c r="T228" t="str">
        <v>Marleen Relling</v>
      </c>
    </row>
    <row r="229" spans="19:20">
      <c r="S229" t="str">
        <v>Mary Brinig</v>
      </c>
      <c r="T229" t="str">
        <v>Mary Brinig</v>
      </c>
    </row>
    <row r="230" spans="19:20">
      <c r="S230" t="str">
        <v>Matthew Rosenberg</v>
      </c>
      <c r="T230" t="str">
        <v>Matthew Rosenberg</v>
      </c>
    </row>
    <row r="231" spans="19:20">
      <c r="S231" t="str">
        <v>Maureen Mueller</v>
      </c>
      <c r="T231" t="str">
        <v>Maureen Mueller</v>
      </c>
    </row>
    <row r="232" spans="19:20">
      <c r="S232" t="str">
        <v>Meagan Dietz</v>
      </c>
      <c r="T232" t="str">
        <v>Meagan Dietz</v>
      </c>
    </row>
    <row r="233" spans="19:20">
      <c r="S233" t="str">
        <v>Megan McGill</v>
      </c>
      <c r="T233" t="str">
        <v>Megan McGill</v>
      </c>
    </row>
    <row r="234" spans="19:20">
      <c r="S234" t="str">
        <v>Meghana Rajeshwar</v>
      </c>
      <c r="T234" t="str">
        <v>Meghana Rajeshwar</v>
      </c>
    </row>
    <row r="235" spans="19:20">
      <c r="S235" t="str">
        <v>Michael Tayter</v>
      </c>
      <c r="T235" t="str">
        <v>Michael Tayter</v>
      </c>
    </row>
    <row r="236" spans="19:20">
      <c r="S236" t="str">
        <v>Michael Xu Liu</v>
      </c>
      <c r="T236" t="str">
        <v>Michael Xu Liu</v>
      </c>
    </row>
    <row r="237" spans="19:20">
      <c r="S237" t="str">
        <v>Michele Chang</v>
      </c>
      <c r="T237" t="str">
        <v>Michele Chang</v>
      </c>
    </row>
    <row r="238" spans="19:20">
      <c r="S238" t="str">
        <v>Michelle Bai</v>
      </c>
      <c r="T238" t="str">
        <v>Michelle Bai</v>
      </c>
    </row>
    <row r="239" spans="19:20">
      <c r="S239" t="str">
        <v>Michelle Prevost</v>
      </c>
      <c r="T239" t="str">
        <v>Michelle Prevost</v>
      </c>
    </row>
    <row r="240" spans="19:20">
      <c r="S240" t="str">
        <v>Mieko Kikuchi</v>
      </c>
      <c r="T240" t="str">
        <v>Mieko Kikuchi</v>
      </c>
    </row>
    <row r="241" spans="19:20">
      <c r="S241" t="str">
        <v>Mila Adamova</v>
      </c>
      <c r="T241" t="str">
        <v>Mila Adamova</v>
      </c>
    </row>
    <row r="242" spans="19:20">
      <c r="S242" t="str">
        <v>Milan Patel</v>
      </c>
      <c r="T242" t="str">
        <v>Milan Patel</v>
      </c>
    </row>
    <row r="243" spans="19:20">
      <c r="S243" t="str">
        <v>Mili Seoni</v>
      </c>
      <c r="T243" t="str">
        <v>Mili Seoni</v>
      </c>
    </row>
    <row r="244" spans="19:20">
      <c r="S244" t="str">
        <v>Ming Ruan</v>
      </c>
      <c r="T244" t="str">
        <v>Ming Ruan</v>
      </c>
    </row>
    <row r="245" spans="19:20">
      <c r="S245" t="str">
        <v>Mohan Rajagopalan</v>
      </c>
      <c r="T245" t="str">
        <v>Mohan Rajagopalan</v>
      </c>
    </row>
    <row r="246" spans="19:20">
      <c r="S246" t="str">
        <v>Mohsan Elahi</v>
      </c>
      <c r="T246" t="str">
        <v>Mohsan Elahi</v>
      </c>
    </row>
    <row r="247" spans="19:20">
      <c r="S247" t="str">
        <v>Muhammad Arslan</v>
      </c>
      <c r="T247" t="str">
        <v>Muhammad Arslan</v>
      </c>
    </row>
    <row r="248" spans="19:20">
      <c r="S248" t="str">
        <v>Murtaza Jafri</v>
      </c>
      <c r="T248" t="str">
        <v>Murtaza Jafri</v>
      </c>
    </row>
    <row r="249" spans="19:20">
      <c r="S249" t="str">
        <v>Nancy Chang</v>
      </c>
      <c r="T249" t="str">
        <v>Nancy Chang</v>
      </c>
    </row>
    <row r="250" spans="19:20">
      <c r="S250" t="str">
        <v>Natalie Perez</v>
      </c>
      <c r="T250" t="str">
        <v>Natalie Perez</v>
      </c>
    </row>
    <row r="251" spans="19:20">
      <c r="S251" t="str">
        <v>Nathalie Rivest</v>
      </c>
      <c r="T251" t="str">
        <v>Nathalie Rivest</v>
      </c>
    </row>
    <row r="252" spans="19:20">
      <c r="S252" t="str">
        <v>Natt Wuttiprapai</v>
      </c>
      <c r="T252" t="str">
        <v>Natt Wuttiprapai</v>
      </c>
    </row>
    <row r="253" spans="19:20">
      <c r="S253" t="str">
        <v>Neeraj Gupta</v>
      </c>
      <c r="T253" t="str">
        <v>Neeraj Gupta</v>
      </c>
    </row>
    <row r="254" spans="19:20">
      <c r="S254" t="str">
        <v>Neha Zope</v>
      </c>
      <c r="T254" t="str">
        <v>Neha Zope</v>
      </c>
    </row>
    <row r="255" spans="19:20">
      <c r="S255" t="str">
        <v>Nicole Kruijs</v>
      </c>
      <c r="T255" t="str">
        <v>Nicole Kruijs</v>
      </c>
    </row>
    <row r="256" spans="19:20">
      <c r="S256" t="str">
        <v>Nikhil Gupta</v>
      </c>
      <c r="T256" t="str">
        <v>Nikhil Gupta</v>
      </c>
    </row>
    <row r="257" spans="19:20">
      <c r="S257" t="str">
        <v>Nikhil Menon</v>
      </c>
      <c r="T257" t="str">
        <v>Nikhil Menon</v>
      </c>
    </row>
    <row r="258" spans="19:20">
      <c r="S258" t="str">
        <v>Nikhilesh  Chaudhary</v>
      </c>
      <c r="T258" t="str">
        <v>Nikhilesh  Chaudhary</v>
      </c>
    </row>
    <row r="259" spans="19:20">
      <c r="S259" t="str">
        <v>Olga Perkovic</v>
      </c>
      <c r="T259" t="str">
        <v>Olga Perkovic</v>
      </c>
    </row>
    <row r="260" spans="19:20">
      <c r="S260" t="str">
        <v>Paige Turbeville</v>
      </c>
      <c r="T260" t="str">
        <v>Paige Turbeville</v>
      </c>
    </row>
    <row r="261" spans="19:20">
      <c r="S261" t="str">
        <v>Pamela Habib</v>
      </c>
      <c r="T261" t="str">
        <v>Pamela Habib</v>
      </c>
    </row>
    <row r="262" spans="19:20">
      <c r="S262" t="str">
        <v>Parag Gandhi</v>
      </c>
      <c r="T262" t="str">
        <v>Parag Gandhi</v>
      </c>
    </row>
    <row r="263" spans="19:20">
      <c r="S263" t="str">
        <v>Patty Seifert</v>
      </c>
      <c r="T263" t="str">
        <v>Patty Seifert</v>
      </c>
    </row>
    <row r="264" spans="19:20">
      <c r="S264" t="str">
        <v>Paula Fernandez</v>
      </c>
      <c r="T264" t="str">
        <v>Paula Fernandez</v>
      </c>
    </row>
    <row r="265" spans="19:20">
      <c r="S265" t="str">
        <v>Peeyusj Agarwal</v>
      </c>
      <c r="T265" t="str">
        <v>Peeyusj Agarwal</v>
      </c>
    </row>
    <row r="266" spans="19:20">
      <c r="S266" t="str">
        <v>Pegah Soltani</v>
      </c>
      <c r="T266" t="str">
        <v>Pegah Soltani</v>
      </c>
    </row>
    <row r="267" spans="19:20">
      <c r="S267" t="str">
        <v>Peter Zhu</v>
      </c>
      <c r="T267" t="str">
        <v>Peter Zhu</v>
      </c>
    </row>
    <row r="268" spans="19:20">
      <c r="S268" t="str">
        <v>Philipp Mengeringhaus</v>
      </c>
      <c r="T268" t="str">
        <v>Philipp Mengeringhaus</v>
      </c>
    </row>
    <row r="269" spans="19:20">
      <c r="S269" t="str">
        <v>Prachi Tiwari</v>
      </c>
      <c r="T269" t="str">
        <v>Prachi Tiwari</v>
      </c>
    </row>
    <row r="270" spans="19:20">
      <c r="S270" t="str">
        <v>Pranav Kashyap</v>
      </c>
      <c r="T270" t="str">
        <v>Pranav Kashyap</v>
      </c>
    </row>
    <row r="271" spans="19:20">
      <c r="S271" t="str">
        <v>Pranav Kumar</v>
      </c>
      <c r="T271" t="str">
        <v>Pranav Kumar</v>
      </c>
    </row>
    <row r="272" spans="19:20">
      <c r="S272" t="str">
        <v>Pranav Potbhare</v>
      </c>
      <c r="T272" t="str">
        <v>Pranav Potbhare</v>
      </c>
    </row>
    <row r="273" spans="19:20">
      <c r="S273" t="str">
        <v>Prashant Bhatia</v>
      </c>
      <c r="T273" t="str">
        <v>Prashant Bhatia</v>
      </c>
    </row>
    <row r="274" spans="19:20">
      <c r="S274" t="str">
        <v>Prashant Kumar</v>
      </c>
      <c r="T274" t="str">
        <v>Prashant Kumar</v>
      </c>
    </row>
    <row r="275" spans="19:20">
      <c r="S275" t="str">
        <v>Prateek Jain</v>
      </c>
      <c r="T275" t="str">
        <v>Prateek Jain</v>
      </c>
    </row>
    <row r="276" spans="19:20">
      <c r="S276" t="str">
        <v>Prateek Singhal</v>
      </c>
      <c r="T276" t="str">
        <v>Prateek Singhal</v>
      </c>
    </row>
    <row r="277" spans="19:20">
      <c r="S277" t="str">
        <v>Prateek Singhi</v>
      </c>
      <c r="T277" t="str">
        <v>Prateek Singhi</v>
      </c>
    </row>
    <row r="278" spans="19:20">
      <c r="S278" t="str">
        <v>Priyadarshini Routh</v>
      </c>
      <c r="T278" t="str">
        <v>Priyadarshini Routh</v>
      </c>
    </row>
    <row r="279" spans="19:20">
      <c r="S279" t="str">
        <v>Priyank Agarwal</v>
      </c>
      <c r="T279" t="str">
        <v>Priyank Agarwal</v>
      </c>
    </row>
    <row r="280" spans="19:20">
      <c r="S280" t="str">
        <v>Puneet Jain</v>
      </c>
      <c r="T280" t="str">
        <v>Puneet Jain</v>
      </c>
    </row>
    <row r="281" spans="19:20">
      <c r="S281" t="str">
        <v>Punit Shah</v>
      </c>
      <c r="T281" t="str">
        <v>Punit Shah</v>
      </c>
    </row>
    <row r="282" spans="19:20">
      <c r="S282" t="str">
        <v>Qianqian Zhao</v>
      </c>
      <c r="T282" t="str">
        <v>Qianqian Zhao</v>
      </c>
    </row>
    <row r="283" spans="19:20">
      <c r="S283" t="str">
        <v>Rachel Reddy</v>
      </c>
      <c r="T283" t="str">
        <v>Rachel Reddy</v>
      </c>
    </row>
    <row r="284" spans="19:20">
      <c r="S284" t="str">
        <v>Radhika Aggarwal</v>
      </c>
      <c r="T284" t="str">
        <v>Radhika Aggarwal</v>
      </c>
    </row>
    <row r="285" spans="19:20">
      <c r="S285" t="str">
        <v>Rahul Shinde</v>
      </c>
      <c r="T285" t="str">
        <v>Rahul Shinde</v>
      </c>
    </row>
    <row r="286" spans="19:20">
      <c r="S286" t="str">
        <v>Rajamayyoor Sharma</v>
      </c>
      <c r="T286" t="str">
        <v>Rajamayyoor Sharma</v>
      </c>
    </row>
    <row r="287" spans="19:20">
      <c r="S287" t="str">
        <v>Rajeev Menon</v>
      </c>
      <c r="T287" t="str">
        <v>Rajeev Menon</v>
      </c>
    </row>
    <row r="288" spans="19:20">
      <c r="S288" t="str">
        <v>Rajen  Makhijani</v>
      </c>
      <c r="T288" t="str">
        <v>Rajen  Makhijani</v>
      </c>
    </row>
    <row r="289" spans="19:20">
      <c r="S289" t="str">
        <v>Rajesh S</v>
      </c>
      <c r="T289" t="str">
        <v>Rajesh S</v>
      </c>
    </row>
    <row r="290" spans="19:20">
      <c r="S290" t="str">
        <v>Raman Baijal</v>
      </c>
      <c r="T290" t="str">
        <v>Raman Baijal</v>
      </c>
    </row>
    <row r="291" spans="19:20">
      <c r="S291" t="str">
        <v>Ramandeep Chawla</v>
      </c>
      <c r="T291" t="str">
        <v>Ramandeep Chawla</v>
      </c>
    </row>
    <row r="292" spans="19:20">
      <c r="S292" t="str">
        <v>Ramit Bhatnagar</v>
      </c>
      <c r="T292" t="str">
        <v>Ramit Bhatnagar</v>
      </c>
    </row>
    <row r="293" spans="19:20">
      <c r="S293" t="str">
        <v>Rangga Maharga</v>
      </c>
      <c r="T293" t="str">
        <v>Rangga Maharga</v>
      </c>
    </row>
    <row r="294" spans="19:20">
      <c r="S294" t="str">
        <v>Ranjeetha Bharath</v>
      </c>
      <c r="T294" t="str">
        <v>Ranjeetha Bharath</v>
      </c>
    </row>
    <row r="295" spans="19:20">
      <c r="S295" t="str">
        <v>Rashmi Patil</v>
      </c>
      <c r="T295" t="str">
        <v>Rashmi Patil</v>
      </c>
    </row>
    <row r="296" spans="19:20">
      <c r="S296" t="str">
        <v>Ravneet Uberoi</v>
      </c>
      <c r="T296" t="str">
        <v>Ravneet Uberoi</v>
      </c>
    </row>
    <row r="297" spans="19:20">
      <c r="S297" t="str">
        <v>Raza Gill</v>
      </c>
      <c r="T297" t="str">
        <v>Raza Gill</v>
      </c>
    </row>
    <row r="298" spans="19:20">
      <c r="S298" t="str">
        <v>Rebecca Gaffney</v>
      </c>
      <c r="T298" t="str">
        <v>Rebecca Gaffney</v>
      </c>
    </row>
    <row r="299" spans="19:20">
      <c r="S299" t="str">
        <v>Rebecca Mathew</v>
      </c>
      <c r="T299" t="str">
        <v>Rebecca Mathew</v>
      </c>
    </row>
    <row r="300" spans="19:20">
      <c r="S300" t="str">
        <v>Reid Li</v>
      </c>
      <c r="T300" t="str">
        <v>Reid Li</v>
      </c>
    </row>
    <row r="301" spans="19:20">
      <c r="S301" t="str">
        <v>Rinkey Singh</v>
      </c>
      <c r="T301" t="str">
        <v>Rinkey Singh</v>
      </c>
    </row>
    <row r="302" spans="19:20">
      <c r="S302" t="str">
        <v>Ritoban Banerjee</v>
      </c>
      <c r="T302" t="str">
        <v>Ritoban Banerjee</v>
      </c>
    </row>
    <row r="303" spans="19:20">
      <c r="S303" t="str">
        <v>Roawin Luo</v>
      </c>
      <c r="T303" t="str">
        <v>Roawin Luo</v>
      </c>
    </row>
    <row r="304" spans="19:20">
      <c r="S304" t="str">
        <v>Robert Lee</v>
      </c>
      <c r="T304" t="str">
        <v>Robert Lee</v>
      </c>
    </row>
    <row r="305" spans="19:20">
      <c r="S305" t="str">
        <v>Roberto Sanchez Garvin</v>
      </c>
      <c r="T305" t="str">
        <v>Roberto Sanchez Garvin</v>
      </c>
    </row>
    <row r="306" spans="19:20">
      <c r="S306" t="str">
        <v>Rocio García Villaverde</v>
      </c>
      <c r="T306" t="str">
        <v>Rocio García Villaverde</v>
      </c>
    </row>
    <row r="307" spans="19:20">
      <c r="S307" t="str">
        <v>Roger Luo</v>
      </c>
      <c r="T307" t="str">
        <v>Roger Luo</v>
      </c>
    </row>
    <row r="308" spans="19:20">
      <c r="S308" t="str">
        <v>Rohit Razdan</v>
      </c>
      <c r="T308" t="str">
        <v>Rohit Razdan</v>
      </c>
    </row>
    <row r="309" spans="19:20">
      <c r="S309" t="str">
        <v>Ruchi Bansal</v>
      </c>
      <c r="T309" t="str">
        <v>Ruchi Bansal</v>
      </c>
    </row>
    <row r="310" spans="19:20">
      <c r="S310" t="str">
        <v>Ruchi Saha</v>
      </c>
      <c r="T310" t="str">
        <v>Ruchi Saha</v>
      </c>
    </row>
    <row r="311" spans="19:20">
      <c r="S311" t="str">
        <v>Rui Bao</v>
      </c>
      <c r="T311" t="str">
        <v>Rui Bao</v>
      </c>
    </row>
    <row r="312" spans="19:20">
      <c r="S312" t="str">
        <v>Rutika Muchhala</v>
      </c>
      <c r="T312" t="str">
        <v>Rutika Muchhala</v>
      </c>
    </row>
    <row r="313" spans="19:20">
      <c r="S313" t="str">
        <v>Ryan Price</v>
      </c>
      <c r="T313" t="str">
        <v>Ryan Price</v>
      </c>
    </row>
    <row r="314" spans="19:20">
      <c r="S314" t="str">
        <v>Ryohei Takao</v>
      </c>
      <c r="T314" t="str">
        <v>Ryohei Takao</v>
      </c>
    </row>
    <row r="315" spans="19:20">
      <c r="S315" t="str">
        <v>Saad Khawaja</v>
      </c>
      <c r="T315" t="str">
        <v>Saad Khawaja</v>
      </c>
    </row>
    <row r="316" spans="19:20">
      <c r="S316" t="str">
        <v>Sam Ng</v>
      </c>
      <c r="T316" t="str">
        <v>Sam Ng</v>
      </c>
    </row>
    <row r="317" spans="19:20">
      <c r="S317" t="str">
        <v>Samantha Kaiser</v>
      </c>
      <c r="T317" t="str">
        <v>Samantha Kaiser</v>
      </c>
    </row>
    <row r="318" spans="19:20">
      <c r="S318" t="str">
        <v>Samura Atallah</v>
      </c>
      <c r="T318" t="str">
        <v>Samura Atallah</v>
      </c>
    </row>
    <row r="319" spans="19:20">
      <c r="S319" t="str">
        <v>Sandeep Kulkarni</v>
      </c>
      <c r="T319" t="str">
        <v>Sandeep Kulkarni</v>
      </c>
    </row>
    <row r="320" spans="19:20">
      <c r="S320" t="str">
        <v>Sanjeev Aggarwal</v>
      </c>
      <c r="T320" t="str">
        <v>Sanjeev Aggarwal</v>
      </c>
    </row>
    <row r="321" spans="19:20">
      <c r="S321" t="str">
        <v>Sanjeev Ranjan  Singh</v>
      </c>
      <c r="T321" t="str">
        <v>Sanjeev Ranjan  Singh</v>
      </c>
    </row>
    <row r="322" spans="19:20">
      <c r="S322" t="str">
        <v>Sara Enright</v>
      </c>
      <c r="T322" t="str">
        <v>Sara Enright</v>
      </c>
    </row>
    <row r="323" spans="19:20">
      <c r="S323" t="str">
        <v>Sargam Mehta</v>
      </c>
      <c r="T323" t="str">
        <v>Sargam Mehta</v>
      </c>
    </row>
    <row r="324" spans="19:20">
      <c r="S324" t="str">
        <v>Satyajit Ghosh Dastidar</v>
      </c>
      <c r="T324" t="str">
        <v>Satyajit Ghosh Dastidar</v>
      </c>
    </row>
    <row r="325" spans="19:20">
      <c r="S325" t="str">
        <v>Saurabh Gupta</v>
      </c>
      <c r="T325" t="str">
        <v>Saurabh Gupta</v>
      </c>
    </row>
    <row r="326" spans="19:20">
      <c r="S326" t="str">
        <v>Sebastien Jakob</v>
      </c>
      <c r="T326" t="str">
        <v>Sebastien Jakob</v>
      </c>
    </row>
    <row r="327" spans="19:20">
      <c r="S327" t="str">
        <v>Sesh Addanki</v>
      </c>
      <c r="T327" t="str">
        <v>Sesh Addanki</v>
      </c>
    </row>
    <row r="328" spans="19:20">
      <c r="S328" t="str">
        <v>Shannon Sawyer</v>
      </c>
      <c r="T328" t="str">
        <v>Shannon Sawyer</v>
      </c>
    </row>
    <row r="329" spans="19:20">
      <c r="S329" t="str">
        <v>Shantnu Sharma</v>
      </c>
      <c r="T329" t="str">
        <v>Shantnu Sharma</v>
      </c>
    </row>
    <row r="330" spans="19:20">
      <c r="S330" t="str">
        <v>Sharad Gupta</v>
      </c>
      <c r="T330" t="str">
        <v>Sharad Gupta</v>
      </c>
    </row>
    <row r="331" spans="19:20">
      <c r="S331" t="str">
        <v>Sharanya Venkat</v>
      </c>
      <c r="T331" t="str">
        <v>Sharanya Venkat</v>
      </c>
    </row>
    <row r="332" spans="19:20">
      <c r="S332" t="str">
        <v>Shelley Cao</v>
      </c>
      <c r="T332" t="str">
        <v>Shelley Cao</v>
      </c>
    </row>
    <row r="333" spans="19:20">
      <c r="S333" t="str">
        <v>Shirin Krall</v>
      </c>
      <c r="T333" t="str">
        <v>Shirin Krall</v>
      </c>
    </row>
    <row r="334" spans="19:20">
      <c r="S334" t="str">
        <v>Shirley Tran</v>
      </c>
      <c r="T334" t="str">
        <v>Shirley Tran</v>
      </c>
    </row>
    <row r="335" spans="19:20">
      <c r="S335" t="str">
        <v>Shivesh Verma</v>
      </c>
      <c r="T335" t="str">
        <v>Shivesh Verma</v>
      </c>
    </row>
    <row r="336" spans="19:20">
      <c r="S336" t="str">
        <v>Shreya Agarwal</v>
      </c>
      <c r="T336" t="str">
        <v>Shreya Agarwal</v>
      </c>
    </row>
    <row r="337" spans="19:20">
      <c r="S337" t="str">
        <v>Shreya Srinivasan</v>
      </c>
      <c r="T337" t="str">
        <v>Shreya Srinivasan</v>
      </c>
    </row>
    <row r="338" spans="19:20">
      <c r="S338" t="str">
        <v>Shreya  Bahri</v>
      </c>
      <c r="T338" t="str">
        <v>Shreya  Bahri</v>
      </c>
    </row>
    <row r="339" spans="19:20">
      <c r="S339" t="str">
        <v>Shuyin Sim</v>
      </c>
      <c r="T339" t="str">
        <v>Shuyin Sim</v>
      </c>
    </row>
    <row r="340" spans="19:20">
      <c r="S340" t="str">
        <v>Shweta Srikanth</v>
      </c>
      <c r="T340" t="str">
        <v>Shweta Srikanth</v>
      </c>
    </row>
    <row r="341" spans="19:20">
      <c r="S341" t="str">
        <v>Simha Kumar</v>
      </c>
      <c r="T341" t="str">
        <v>Simha Kumar</v>
      </c>
    </row>
    <row r="342" spans="19:20">
      <c r="S342" t="str">
        <v>Simranjeet Singh</v>
      </c>
      <c r="T342" t="str">
        <v>Simranjeet Singh</v>
      </c>
    </row>
    <row r="343" spans="19:20">
      <c r="S343" t="str">
        <v>Sola Bright</v>
      </c>
      <c r="T343" t="str">
        <v>Sola Bright</v>
      </c>
    </row>
    <row r="344" spans="19:20">
      <c r="S344" t="str">
        <v>Sonia Vora</v>
      </c>
      <c r="T344" t="str">
        <v>Sonia Vora</v>
      </c>
    </row>
    <row r="345" spans="19:20">
      <c r="S345" t="str">
        <v>Soo Jean Kim</v>
      </c>
      <c r="T345" t="str">
        <v>Soo Jean Kim</v>
      </c>
    </row>
    <row r="346" spans="19:20">
      <c r="S346" t="str">
        <v>Sridatta Singh</v>
      </c>
      <c r="T346" t="str">
        <v>Sridatta Singh</v>
      </c>
    </row>
    <row r="347" spans="19:20">
      <c r="S347" t="str">
        <v>Stacy Stutz</v>
      </c>
      <c r="T347" t="str">
        <v>Stacy Stutz</v>
      </c>
    </row>
    <row r="348" spans="19:20">
      <c r="S348" t="str">
        <v>Stephanie Brown</v>
      </c>
      <c r="T348" t="str">
        <v>Stephanie Brown</v>
      </c>
    </row>
    <row r="349" spans="19:20">
      <c r="S349" t="str">
        <v>Stephanie Cheung</v>
      </c>
      <c r="T349" t="str">
        <v>Stephanie Cheung</v>
      </c>
    </row>
    <row r="350" spans="19:20">
      <c r="S350" t="str">
        <v>Stephanie LaRue</v>
      </c>
      <c r="T350" t="str">
        <v>Stephanie LaRue</v>
      </c>
    </row>
    <row r="351" spans="19:20">
      <c r="S351" t="str">
        <v>Stephanie Yu</v>
      </c>
      <c r="T351" t="str">
        <v>Stephanie Yu</v>
      </c>
    </row>
    <row r="352" spans="19:20">
      <c r="S352" t="str">
        <v>Su Liu</v>
      </c>
      <c r="T352" t="str">
        <v>Su Liu</v>
      </c>
    </row>
    <row r="353" spans="19:20">
      <c r="S353" t="str">
        <v>Subbu Subbu Chidambaran</v>
      </c>
      <c r="T353" t="str">
        <v>Subbu Subbu Chidambaran</v>
      </c>
    </row>
    <row r="354" spans="19:20">
      <c r="S354" t="str">
        <v>Subhronil Ghosh</v>
      </c>
      <c r="T354" t="str">
        <v>Subhronil Ghosh</v>
      </c>
    </row>
    <row r="355" spans="19:20">
      <c r="S355" t="str">
        <v>Sue Yang</v>
      </c>
      <c r="T355" t="str">
        <v>Sue Yang</v>
      </c>
    </row>
    <row r="356" spans="19:20">
      <c r="S356" t="str">
        <v>Sumeet Gupta</v>
      </c>
      <c r="T356" t="str">
        <v>Sumeet Gupta</v>
      </c>
    </row>
    <row r="357" spans="19:20">
      <c r="S357" t="str">
        <v>Sumin Koo</v>
      </c>
      <c r="T357" t="str">
        <v>Sumin Koo</v>
      </c>
    </row>
    <row r="358" spans="19:20">
      <c r="S358" t="str">
        <v>Sumit  Narang</v>
      </c>
      <c r="T358" t="str">
        <v>Sumit  Narang</v>
      </c>
    </row>
    <row r="359" spans="19:20">
      <c r="S359" t="str">
        <v>Suneet Khanna</v>
      </c>
      <c r="T359" t="str">
        <v>Suneet Khanna</v>
      </c>
    </row>
    <row r="360" spans="19:20">
      <c r="S360" t="str">
        <v>Susan Ahn</v>
      </c>
      <c r="T360" t="str">
        <v>Susan Ahn</v>
      </c>
    </row>
    <row r="361" spans="19:20">
      <c r="S361" t="str">
        <v>Susan Parmar</v>
      </c>
      <c r="T361" t="str">
        <v>Susan Parmar</v>
      </c>
    </row>
    <row r="362" spans="19:20">
      <c r="S362" t="str">
        <v>Susanna Freer Epstein</v>
      </c>
      <c r="T362" t="str">
        <v>Susanna Freer Epstein</v>
      </c>
    </row>
    <row r="363" spans="19:20">
      <c r="S363" t="str">
        <v>Sushant Gupta</v>
      </c>
      <c r="T363" t="str">
        <v>Sushant Gupta</v>
      </c>
    </row>
    <row r="364" spans="19:20">
      <c r="S364" t="str">
        <v>Suyeon Yoo</v>
      </c>
      <c r="T364" t="str">
        <v>Suyeon Yoo</v>
      </c>
    </row>
    <row r="365" spans="19:20">
      <c r="S365" t="str">
        <v>Taegyun Moon</v>
      </c>
      <c r="T365" t="str">
        <v>Taegyun Moon</v>
      </c>
    </row>
    <row r="366" spans="19:20">
      <c r="S366" t="str">
        <v>Taejin Kang</v>
      </c>
      <c r="T366" t="str">
        <v>Taejin Kang</v>
      </c>
    </row>
    <row r="367" spans="19:20">
      <c r="S367" t="str">
        <v>Taek Chung</v>
      </c>
      <c r="T367" t="str">
        <v>Taek Chung</v>
      </c>
    </row>
    <row r="368" spans="19:20">
      <c r="S368" t="str">
        <v>Tammy Liu</v>
      </c>
      <c r="T368" t="str">
        <v>Tammy Liu</v>
      </c>
    </row>
    <row r="369" spans="19:20">
      <c r="S369" t="str">
        <v>Tanuj Mittal</v>
      </c>
      <c r="T369" t="str">
        <v>Tanuj Mittal</v>
      </c>
    </row>
    <row r="370" spans="19:20">
      <c r="S370" t="str">
        <v>Tarra Sharp</v>
      </c>
      <c r="T370" t="str">
        <v>Tarra Sharp</v>
      </c>
    </row>
    <row r="371" spans="19:20">
      <c r="S371" t="str">
        <v>Taylor Rose</v>
      </c>
      <c r="T371" t="str">
        <v>Taylor Rose</v>
      </c>
    </row>
    <row r="372" spans="19:20">
      <c r="S372" t="str">
        <v>Teresa Nick</v>
      </c>
      <c r="T372" t="str">
        <v>Teresa Nick</v>
      </c>
    </row>
    <row r="373" spans="19:20">
      <c r="S373" t="str">
        <v>Thea Tan</v>
      </c>
      <c r="T373" t="str">
        <v>Thea Tan</v>
      </c>
    </row>
    <row r="374" spans="19:20">
      <c r="S374" t="str">
        <v>Thomas Koskella</v>
      </c>
      <c r="T374" t="str">
        <v>Thomas Koskella</v>
      </c>
    </row>
    <row r="375" spans="19:20">
      <c r="S375" t="str">
        <v>Tian Roelofse</v>
      </c>
      <c r="T375" t="str">
        <v>Tian Roelofse</v>
      </c>
    </row>
    <row r="376" spans="19:20">
      <c r="S376" t="str">
        <v>Tibor Pakozdi</v>
      </c>
      <c r="T376" t="str">
        <v>Tibor Pakozdi</v>
      </c>
    </row>
    <row r="377" spans="19:20">
      <c r="S377" t="str">
        <v>Tiffany Lin</v>
      </c>
      <c r="T377" t="str">
        <v>Tiffany Lin</v>
      </c>
    </row>
    <row r="378" spans="19:20">
      <c r="S378" t="str">
        <v>Tim  Ye</v>
      </c>
      <c r="T378" t="str">
        <v>Tim  Ye</v>
      </c>
    </row>
    <row r="379" spans="19:20">
      <c r="S379" t="str">
        <v>Tina Lee</v>
      </c>
      <c r="T379" t="str">
        <v>Tina Lee</v>
      </c>
    </row>
    <row r="380" spans="19:20">
      <c r="S380" t="str">
        <v>Tina Lin</v>
      </c>
      <c r="T380" t="str">
        <v>Tina Lin</v>
      </c>
    </row>
    <row r="381" spans="19:20">
      <c r="S381" t="str">
        <v>Tina Shah</v>
      </c>
      <c r="T381" t="str">
        <v>Tina Shah</v>
      </c>
    </row>
    <row r="382" spans="19:20">
      <c r="S382" t="str">
        <v>Tingting Xu</v>
      </c>
      <c r="T382" t="str">
        <v>Tingting Xu</v>
      </c>
    </row>
    <row r="383" spans="19:20">
      <c r="S383" t="str">
        <v>Toan Tran-Phu</v>
      </c>
      <c r="T383" t="str">
        <v>Toan Tran-Phu</v>
      </c>
    </row>
    <row r="384" spans="19:20">
      <c r="S384" t="str">
        <v>Tom Hamilton</v>
      </c>
      <c r="T384" t="str">
        <v>Tom Hamilton</v>
      </c>
    </row>
    <row r="385" spans="19:20">
      <c r="S385" t="str">
        <v>Tumi Mosuro</v>
      </c>
      <c r="T385" t="str">
        <v>Tumi Mosuro</v>
      </c>
    </row>
    <row r="386" spans="19:20">
      <c r="S386" t="str">
        <v>Udayan Mittal</v>
      </c>
      <c r="T386" t="str">
        <v>Udayan Mittal</v>
      </c>
    </row>
    <row r="387" spans="19:20">
      <c r="S387" t="str">
        <v>Umang Arora</v>
      </c>
      <c r="T387" t="str">
        <v>Umang Arora</v>
      </c>
    </row>
    <row r="388" spans="19:20">
      <c r="S388" t="str">
        <v>Valerie Tan</v>
      </c>
      <c r="T388" t="str">
        <v>Valerie Tan</v>
      </c>
    </row>
    <row r="389" spans="19:20">
      <c r="S389" t="str">
        <v>Varun Kaushik</v>
      </c>
      <c r="T389" t="str">
        <v>Varun Kaushik</v>
      </c>
    </row>
    <row r="390" spans="19:20">
      <c r="S390" t="str">
        <v>Varun Sankar</v>
      </c>
      <c r="T390" t="str">
        <v>Varun Sankar</v>
      </c>
    </row>
    <row r="391" spans="19:20">
      <c r="S391" t="str">
        <v>Vineet Singh</v>
      </c>
      <c r="T391" t="str">
        <v>Vineet Singh</v>
      </c>
    </row>
    <row r="392" spans="19:20">
      <c r="S392" t="str">
        <v>Vishy Swarup</v>
      </c>
      <c r="T392" t="str">
        <v>Vishy Swarup</v>
      </c>
    </row>
    <row r="393" spans="19:20">
      <c r="S393" t="str">
        <v>Vivek  Singh</v>
      </c>
      <c r="T393" t="str">
        <v>Vivek  Singh</v>
      </c>
    </row>
    <row r="394" spans="19:20">
      <c r="S394" t="str">
        <v>Wai-Hoong Leung</v>
      </c>
      <c r="T394" t="str">
        <v>Wai-Hoong Leung</v>
      </c>
    </row>
    <row r="395" spans="19:20">
      <c r="S395" t="str">
        <v>Well Smittinet</v>
      </c>
      <c r="T395" t="str">
        <v>Well Smittinet</v>
      </c>
    </row>
    <row r="396" spans="19:20">
      <c r="S396" t="str">
        <v>Wendy Widman</v>
      </c>
      <c r="T396" t="str">
        <v>Wendy Widman</v>
      </c>
    </row>
    <row r="397" spans="19:20">
      <c r="S397" t="str">
        <v>Wendy Wong</v>
      </c>
      <c r="T397" t="str">
        <v>Wendy Wong</v>
      </c>
    </row>
    <row r="398" spans="19:20">
      <c r="S398" t="str">
        <v>Wes Whitaker</v>
      </c>
      <c r="T398" t="str">
        <v>Wes Whitaker</v>
      </c>
    </row>
    <row r="399" spans="19:20">
      <c r="S399" t="str">
        <v>Willie Tin</v>
      </c>
      <c r="T399" t="str">
        <v>Willie Tin</v>
      </c>
    </row>
    <row r="400" spans="19:20">
      <c r="S400" t="str">
        <v>Winston Wang</v>
      </c>
      <c r="T400" t="str">
        <v>Winston Wang</v>
      </c>
    </row>
    <row r="401" spans="19:20">
      <c r="S401" t="str">
        <v>Ximena Jimenez</v>
      </c>
      <c r="T401" t="str">
        <v>Ximena Jimenez</v>
      </c>
    </row>
    <row r="402" spans="19:20">
      <c r="S402" t="str">
        <v>Yang Li</v>
      </c>
      <c r="T402" t="str">
        <v>Yang Li</v>
      </c>
    </row>
    <row r="403" spans="19:20">
      <c r="S403" t="str">
        <v>Yasmine Nassar</v>
      </c>
      <c r="T403" t="str">
        <v>Yasmine Nassar</v>
      </c>
    </row>
    <row r="404" spans="19:20">
      <c r="S404" t="str">
        <v>Yen Pin Cheong</v>
      </c>
      <c r="T404" t="str">
        <v>Yen Pin Cheong</v>
      </c>
    </row>
    <row r="405" spans="19:20">
      <c r="S405" t="str">
        <v>Yingzi Tian</v>
      </c>
      <c r="T405" t="str">
        <v>Yingzi Tian</v>
      </c>
    </row>
    <row r="406" spans="19:20">
      <c r="S406" t="str">
        <v>Yuan-Ping Huan</v>
      </c>
      <c r="T406" t="str">
        <v>Yuan-Ping Huan</v>
      </c>
    </row>
    <row r="407" spans="19:20">
      <c r="S407" t="str">
        <v>Yubing  JI</v>
      </c>
      <c r="T407" t="str">
        <v>Yubing  JI</v>
      </c>
    </row>
    <row r="408" spans="19:20">
      <c r="S408" t="str">
        <v>Yue Dai</v>
      </c>
      <c r="T408" t="str">
        <v>Yue Dai</v>
      </c>
    </row>
    <row r="409" spans="19:20">
      <c r="S409" t="str">
        <v>Yujun Kim</v>
      </c>
      <c r="T409" t="str">
        <v>Yujun Kim</v>
      </c>
    </row>
    <row r="410" spans="19:20">
      <c r="S410" t="str">
        <v>Yun Wu</v>
      </c>
      <c r="T410" t="str">
        <v>Yun Wu</v>
      </c>
    </row>
    <row r="411" spans="19:20">
      <c r="S411" t="str">
        <v>Kanika Pasricha</v>
      </c>
      <c r="T411" t="str">
        <v>Kanika Pasricha</v>
      </c>
    </row>
    <row r="412" spans="19:20">
      <c r="S412" t="str">
        <v>Anurag Thakwani</v>
      </c>
      <c r="T412" t="str">
        <v>Anurag Thakwani</v>
      </c>
    </row>
    <row r="413" spans="19:20">
      <c r="S413" t="str">
        <v>Muhammad Hasan Shakil</v>
      </c>
      <c r="T413" t="str">
        <v>Muhammad Hasan Shakil</v>
      </c>
    </row>
    <row r="414" spans="19:20">
      <c r="S414" t="str">
        <v>Jayant Sewak</v>
      </c>
      <c r="T414" t="str">
        <v>Jayant Sewak</v>
      </c>
    </row>
    <row r="415" spans="19:20">
      <c r="S415" t="str">
        <v>Debjit Das</v>
      </c>
      <c r="T415" t="str">
        <v>Debjit Das</v>
      </c>
    </row>
    <row r="416" spans="19:20">
      <c r="S416" t="str">
        <v>Alessio Damato</v>
      </c>
      <c r="T416" t="str">
        <v>Alessio Damato</v>
      </c>
    </row>
    <row r="417" spans="19:20">
      <c r="S417" t="str">
        <v>Khalid Abdullah Quidwai</v>
      </c>
      <c r="T417" t="str">
        <v>Khalid Abdullah Quidwai</v>
      </c>
    </row>
    <row r="418" spans="19:20">
      <c r="S418" t="str">
        <v>Simin Sadeghi</v>
      </c>
      <c r="T418" t="str">
        <v>Simin Sadeghi</v>
      </c>
    </row>
    <row r="419" spans="19:20">
      <c r="S419" t="str">
        <v>Kush Shrimali</v>
      </c>
      <c r="T419" t="str">
        <v>Kush Shrimali</v>
      </c>
    </row>
    <row r="420" spans="19:20">
      <c r="S420" t="str">
        <v>Patricia Fukuda O'Donnell</v>
      </c>
      <c r="T420" t="str">
        <v>Patricia Fukuda O'Donnell</v>
      </c>
    </row>
    <row r="421" spans="19:20">
      <c r="S421" t="str">
        <v>Victor Pinto</v>
      </c>
      <c r="T421" t="str">
        <v>Victor Pinto</v>
      </c>
    </row>
    <row r="422" spans="19:20">
      <c r="S422" t="str">
        <v>Sai Nithin Kantareddy</v>
      </c>
      <c r="T422" t="str">
        <v>Sai Nithin Kantareddy</v>
      </c>
    </row>
    <row r="423" spans="19:20">
      <c r="S423" t="str">
        <v>Peter John Lasky</v>
      </c>
      <c r="T423" t="str">
        <v>Peter John Lasky</v>
      </c>
    </row>
    <row r="424" spans="19:20">
      <c r="S424" t="str">
        <v>Aman Mohan</v>
      </c>
      <c r="T424" t="str">
        <v>Aman Mohan</v>
      </c>
    </row>
    <row r="425" spans="19:20">
      <c r="S425" t="str">
        <v>Miguel Solera</v>
      </c>
      <c r="T425" t="str">
        <v>Miguel Solera</v>
      </c>
    </row>
    <row r="426" spans="19:20">
      <c r="S426" t="str">
        <v>Sumitaka Koga</v>
      </c>
      <c r="T426" t="str">
        <v>Sumitaka Koga</v>
      </c>
    </row>
  </sheetData>
  <phoneticPr fontId="6"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F1BAC-2A95-468F-B5F6-7D3B19D85FB5}">
  <sheetPr codeName="Sheet3"/>
  <dimension ref="A1:AS50"/>
  <sheetViews>
    <sheetView showGridLines="0" zoomScale="90" zoomScaleNormal="90" workbookViewId="0"/>
  </sheetViews>
  <sheetFormatPr defaultRowHeight="14.45"/>
  <cols>
    <col min="1" max="1" width="5.85546875" bestFit="1" customWidth="1"/>
    <col min="2" max="2" width="13.42578125" customWidth="1"/>
    <col min="3" max="3" width="16.5703125" customWidth="1"/>
    <col min="4" max="4" width="64.7109375" customWidth="1"/>
    <col min="5" max="8" width="18.7109375" customWidth="1"/>
    <col min="9" max="10" width="18.28515625" customWidth="1"/>
    <col min="11" max="11" width="6.42578125" customWidth="1"/>
    <col min="12" max="12" width="103.5703125" customWidth="1"/>
    <col min="13" max="18" width="17.28515625" customWidth="1"/>
    <col min="19" max="21" width="16" customWidth="1"/>
    <col min="22" max="22" width="11.7109375" customWidth="1"/>
    <col min="23" max="23" width="20.7109375" customWidth="1"/>
    <col min="24" max="31" width="11.7109375" customWidth="1"/>
  </cols>
  <sheetData>
    <row r="1" spans="1:45">
      <c r="A1" s="26" t="b">
        <f>AND(C3&lt;&gt;"",C4&lt;&gt;"",B10&lt;&gt;"",E10&lt;&gt;"",F10&lt;&gt;"",G10&lt;&gt;"",C10&lt;&gt;"",C4&lt;&gt;"",C2&lt;&gt;"")</f>
        <v>0</v>
      </c>
      <c r="F1" s="1" t="s">
        <v>1</v>
      </c>
      <c r="AA1" t="str" cm="1">
        <f t="array" aca="1" ref="AA1:AA9" ca="1">(INDIRECT("AK13:AK"&amp;AD11+12))</f>
        <v>Sequence</v>
      </c>
    </row>
    <row r="2" spans="1:45" ht="15.6" thickTop="1" thickBot="1">
      <c r="B2" s="2" t="s">
        <v>23</v>
      </c>
      <c r="C2" s="61"/>
      <c r="D2" s="52"/>
      <c r="AA2" t="str">
        <f ca="1"/>
        <v>Contact Date</v>
      </c>
    </row>
    <row r="3" spans="1:45" ht="15.6" thickTop="1" thickBot="1">
      <c r="B3" s="2" t="s">
        <v>22</v>
      </c>
      <c r="C3" s="61"/>
      <c r="D3" s="52" t="s">
        <v>2702</v>
      </c>
      <c r="F3" s="2" t="s">
        <v>2077</v>
      </c>
      <c r="G3" s="24">
        <f ca="1">NOW()</f>
        <v>44749.467283101854</v>
      </c>
      <c r="AA3" t="str">
        <f ca="1"/>
        <v>Contact Notes</v>
      </c>
    </row>
    <row r="4" spans="1:45" ht="15.6" thickTop="1" thickBot="1">
      <c r="B4" s="60" t="s">
        <v>33</v>
      </c>
      <c r="C4" s="59"/>
      <c r="F4" s="23" t="s">
        <v>2703</v>
      </c>
      <c r="G4" s="25" t="str" cm="1">
        <f t="array" ref="G4">_xlfn._xlws.FILTER(Contact[Sequence],(Contact[Latest]=TRUE)*(Contact[Full Name]=C3),"Select Name")</f>
        <v>Select Name</v>
      </c>
      <c r="AA4" t="str">
        <f ca="1"/>
        <v>Type of Contact</v>
      </c>
      <c r="AO4" s="5" t="s">
        <v>2667</v>
      </c>
    </row>
    <row r="5" spans="1:45" ht="15.6" thickTop="1" thickBot="1">
      <c r="B5" s="2" t="s">
        <v>36</v>
      </c>
      <c r="C5" s="63" t="str" cm="1">
        <f t="array" ref="C5">_xlfn.UNIQUE(_xlfn._xlws.FILTER(Contact[Phone],(Contact[Full Name]=$C$3)*(Contact[Season]=$C$2),"Select name"))</f>
        <v>Select name</v>
      </c>
      <c r="AA5" t="str">
        <f ca="1"/>
        <v>Contactor</v>
      </c>
      <c r="AO5" s="5" t="s">
        <v>2669</v>
      </c>
    </row>
    <row r="6" spans="1:45" ht="15.6" thickTop="1" thickBot="1">
      <c r="B6" s="2" t="s">
        <v>2704</v>
      </c>
      <c r="C6" s="63" t="str" cm="1">
        <f t="array" ref="C6">_xlfn.UNIQUE(_xlfn._xlws.FILTER(Contact[E-mail],(Contact[Full Name]=$C$3)*(Contact[Season]=$C$2),"Select Name"))</f>
        <v>Select Name</v>
      </c>
      <c r="AA6" t="str">
        <f ca="1"/>
        <v>Recommendation</v>
      </c>
    </row>
    <row r="7" spans="1:45" ht="15.6" thickTop="1" thickBot="1">
      <c r="B7" s="2" t="s">
        <v>61</v>
      </c>
      <c r="C7" s="63" t="str" cm="1">
        <f t="array" ref="C7">_xlfn.UNIQUE(_xlfn._xlws.FILTER(Contact[Current Location],(Contact[Full Name]=$C$3)*(Contact[Season]=$C$2),"Select Name"))</f>
        <v>Select Name</v>
      </c>
      <c r="D7" s="62"/>
      <c r="H7" s="42">
        <f>IF(A1=TRUE,1,0)</f>
        <v>0</v>
      </c>
      <c r="AA7" t="str">
        <f ca="1"/>
        <v>Status</v>
      </c>
    </row>
    <row r="8" spans="1:45" ht="27" customHeight="1" thickTop="1" thickBot="1">
      <c r="B8" s="2" t="s">
        <v>2705</v>
      </c>
      <c r="AA8" t="str">
        <f ca="1"/>
        <v>Final Decision</v>
      </c>
    </row>
    <row r="9" spans="1:45" ht="15" thickBot="1">
      <c r="B9" s="43" t="s">
        <v>34</v>
      </c>
      <c r="C9" s="44" t="s">
        <v>54</v>
      </c>
      <c r="D9" s="44" t="s">
        <v>42</v>
      </c>
      <c r="E9" s="44" t="s">
        <v>43</v>
      </c>
      <c r="F9" s="44" t="s">
        <v>44</v>
      </c>
      <c r="G9" s="44" t="s">
        <v>45</v>
      </c>
      <c r="H9" s="45" t="s">
        <v>2706</v>
      </c>
      <c r="L9" s="2" t="s">
        <v>2707</v>
      </c>
      <c r="AA9" t="str">
        <f ca="1"/>
        <v>Season</v>
      </c>
    </row>
    <row r="10" spans="1:45" s="3" customFormat="1" ht="170.45" customHeight="1">
      <c r="B10" s="46"/>
      <c r="C10" s="58"/>
      <c r="D10" s="57"/>
      <c r="E10" s="47"/>
      <c r="F10" s="48"/>
      <c r="G10" s="48"/>
      <c r="H10" s="49"/>
      <c r="L10" s="89"/>
      <c r="M10"/>
      <c r="N10"/>
      <c r="O10"/>
      <c r="P10"/>
      <c r="Q10"/>
      <c r="R10"/>
      <c r="S10" s="21" t="s">
        <v>2672</v>
      </c>
      <c r="T10" s="22">
        <f>ROWS(Contact[])+1</f>
        <v>515</v>
      </c>
      <c r="U10"/>
      <c r="V10"/>
      <c r="W10" s="12" t="s">
        <v>2673</v>
      </c>
      <c r="X10"/>
      <c r="Y10"/>
      <c r="Z10"/>
      <c r="AA10"/>
      <c r="AB10"/>
      <c r="AC10"/>
      <c r="AD10" s="10" t="s">
        <v>2674</v>
      </c>
      <c r="AE10"/>
      <c r="AG10" s="10" t="s">
        <v>2675</v>
      </c>
      <c r="AH10" s="10" t="s">
        <v>2676</v>
      </c>
      <c r="AK10" s="10" t="s">
        <v>2677</v>
      </c>
    </row>
    <row r="11" spans="1:45" s="3" customFormat="1" ht="15.6" customHeight="1">
      <c r="B11" s="50"/>
      <c r="C11"/>
      <c r="D11"/>
      <c r="E11"/>
      <c r="H11"/>
      <c r="I11"/>
      <c r="J11"/>
      <c r="K11"/>
      <c r="L11"/>
      <c r="M11"/>
      <c r="N11"/>
      <c r="O11"/>
      <c r="P11"/>
      <c r="Q11"/>
      <c r="R11"/>
      <c r="S11"/>
      <c r="T11"/>
      <c r="U11"/>
      <c r="V11"/>
      <c r="W11"/>
      <c r="X11"/>
      <c r="Y11"/>
      <c r="Z11">
        <f>MAX(Table2[order])</f>
        <v>9</v>
      </c>
      <c r="AA11"/>
      <c r="AB11"/>
      <c r="AC11"/>
      <c r="AD11">
        <f ca="1">SUM(INDIRECT(AD10&amp;AE11+12))</f>
        <v>9</v>
      </c>
      <c r="AE11">
        <f>ROWS(Table2[])</f>
        <v>24</v>
      </c>
    </row>
    <row r="12" spans="1:45" s="3" customFormat="1" ht="30" customHeight="1">
      <c r="B12" s="56" t="s">
        <v>2708</v>
      </c>
      <c r="D12" s="55"/>
      <c r="R12"/>
      <c r="S12" s="15" t="s">
        <v>2679</v>
      </c>
      <c r="T12" s="16" t="s">
        <v>2680</v>
      </c>
      <c r="U12" s="16" t="s">
        <v>2681</v>
      </c>
      <c r="W12" s="3" t="s">
        <v>2680</v>
      </c>
      <c r="X12" s="3" t="s">
        <v>2682</v>
      </c>
      <c r="Y12" s="3" t="s">
        <v>2683</v>
      </c>
      <c r="Z12" s="3" t="s">
        <v>2684</v>
      </c>
      <c r="AB12" s="6" t="s">
        <v>2680</v>
      </c>
      <c r="AC12" s="7" t="s">
        <v>2682</v>
      </c>
      <c r="AD12" s="7" t="s">
        <v>2683</v>
      </c>
      <c r="AE12" s="8" t="s">
        <v>2684</v>
      </c>
      <c r="AG12" s="11" t="s">
        <v>2685</v>
      </c>
      <c r="AH12" s="11" t="s">
        <v>2686</v>
      </c>
      <c r="AI12" s="11" t="s">
        <v>2687</v>
      </c>
      <c r="AJ12" s="11" t="s">
        <v>2688</v>
      </c>
      <c r="AK12" s="3" t="str" cm="1">
        <f t="array" aca="1" ref="AK12:AS12" ca="1">TRANSPOSE(INDIRECT(AK10&amp;AD11+12))</f>
        <v>Sequence</v>
      </c>
      <c r="AL12" s="3" t="str">
        <f ca="1"/>
        <v>Contact Date</v>
      </c>
      <c r="AM12" s="3" t="str">
        <f ca="1"/>
        <v>Contact Notes</v>
      </c>
      <c r="AN12" s="3" t="str">
        <f ca="1"/>
        <v>Type of Contact</v>
      </c>
      <c r="AO12" s="3" t="str">
        <f ca="1"/>
        <v>Contactor</v>
      </c>
      <c r="AP12" s="3" t="str">
        <f ca="1"/>
        <v>Recommendation</v>
      </c>
      <c r="AQ12" s="3" t="str">
        <f ca="1"/>
        <v>Status</v>
      </c>
      <c r="AR12" s="3" t="str">
        <f ca="1"/>
        <v>Final Decision</v>
      </c>
      <c r="AS12" s="3" t="str">
        <f ca="1"/>
        <v>Season</v>
      </c>
    </row>
    <row r="13" spans="1:45" s="3" customFormat="1" ht="30" customHeight="1">
      <c r="B13" s="9" t="str" cm="1">
        <f t="array" aca="1" ref="B13:J13" ca="1">TRANSPOSE(INDIRECT("AK13:AK"&amp;AD11+12))</f>
        <v>Sequence</v>
      </c>
      <c r="C13" s="9" t="str">
        <f ca="1"/>
        <v>Contact Date</v>
      </c>
      <c r="D13" s="9" t="str">
        <f ca="1"/>
        <v>Contact Notes</v>
      </c>
      <c r="E13" s="9" t="str">
        <f ca="1"/>
        <v>Type of Contact</v>
      </c>
      <c r="F13" s="9" t="str">
        <f ca="1"/>
        <v>Contactor</v>
      </c>
      <c r="G13" s="9" t="str">
        <f ca="1"/>
        <v>Recommendation</v>
      </c>
      <c r="H13" s="9" t="str">
        <f ca="1"/>
        <v>Status</v>
      </c>
      <c r="I13" s="9" t="str">
        <f ca="1"/>
        <v>Final Decision</v>
      </c>
      <c r="J13" s="9" t="str">
        <f ca="1"/>
        <v>Season</v>
      </c>
      <c r="K13" s="9"/>
      <c r="L13" s="9"/>
      <c r="M13" s="9"/>
      <c r="N13" s="9"/>
      <c r="O13" s="9"/>
      <c r="P13" s="9"/>
      <c r="Q13" s="9"/>
      <c r="R13"/>
      <c r="S13" s="9" t="str" cm="1">
        <f t="array" ref="S13">TRANSPOSE(_xlfn._xlws.FILTER(Contact[],(Contact[Latest]=TRUE)*(Contact[Full Name]=$C$3)*(Contact[Season]=$C$2),"Select name"))</f>
        <v>Select name</v>
      </c>
      <c r="T13" s="14" t="str" cm="1">
        <f t="array" ref="T13:T36">Table2[Field]</f>
        <v>Sequence</v>
      </c>
      <c r="U13" s="17" t="e">
        <f>G4+1</f>
        <v>#VALUE!</v>
      </c>
      <c r="V13"/>
      <c r="W13" s="3" t="s">
        <v>29</v>
      </c>
      <c r="X13" s="3">
        <v>1</v>
      </c>
      <c r="Y13" s="3">
        <f>IF(ISNUMBER(Table2[[#This Row],[order]]),1,"")</f>
        <v>1</v>
      </c>
      <c r="Z13" s="3">
        <v>1</v>
      </c>
      <c r="AB13" s="3" t="str" cm="1">
        <f t="array" ref="AB13:AE36">_xlfn.SORTBY(Table2[],Table2[order],1)</f>
        <v>Sequence</v>
      </c>
      <c r="AC13" s="3">
        <v>1</v>
      </c>
      <c r="AD13" s="3">
        <v>1</v>
      </c>
      <c r="AE13" s="3">
        <v>1</v>
      </c>
      <c r="AG13" s="3" cm="1">
        <f t="array" aca="1" ref="AG13:AG36" ca="1">INDIRECT(AG10&amp;AE11+12)</f>
        <v>1</v>
      </c>
      <c r="AH13" s="3" cm="1">
        <f t="array" aca="1" ref="AH13:AH36" ca="1">INDIRECT(AH10&amp;AE11+12)</f>
        <v>1</v>
      </c>
      <c r="AI13" s="3" cm="1">
        <f t="array" aca="1" ref="AI13:AI36" ca="1">_xlfn.SORTBY(_xlfn.ANCHORARRAY(AG13),_xlfn.ANCHORARRAY(AH13),1)</f>
        <v>2</v>
      </c>
      <c r="AJ13" s="3" cm="1">
        <f t="array" aca="1" ref="AJ13:AJ21" ca="1">_xlfn._xlws.FILTER(_xlfn.ANCHORARRAY(AG13),_xlfn.ANCHORARRAY(AH13)&lt;&gt;0)</f>
        <v>1</v>
      </c>
      <c r="AK13" s="3" t="str" cm="1">
        <f t="array" aca="1" ref="AK13:AN21" ca="1">_xlfn._xlws.FILTER(_xlfn.ANCHORARRAY(AB13),_xlfn.ANCHORARRAY(AH13)&lt;&gt;0)</f>
        <v>Sequence</v>
      </c>
      <c r="AL13" s="3">
        <f ca="1"/>
        <v>1</v>
      </c>
      <c r="AM13" s="3">
        <f ca="1"/>
        <v>1</v>
      </c>
      <c r="AN13" s="3">
        <f ca="1"/>
        <v>1</v>
      </c>
    </row>
    <row r="14" spans="1:45" s="3" customFormat="1" ht="75" customHeight="1">
      <c r="B14" s="41" t="str" cm="1">
        <f t="array" aca="1" ref="B14" ca="1">_xlfn._xlws.SORT(_xlfn._xlws.FILTER(INDEX(Contact[#Data],_xlfn.SEQUENCE(ROWS(Contact[#Data])),TRANSPOSE(_xlfn.ANCHORARRAY(AJ13))),(Contact[Full Name]=$C$3)*(Contact[Season]=$C$2),"Select valid name"),1,-1)</f>
        <v>Select valid name</v>
      </c>
      <c r="C14" s="13"/>
      <c r="D14" s="64"/>
      <c r="E14" s="4"/>
      <c r="F14" s="4"/>
      <c r="G14" s="4"/>
      <c r="H14" s="4"/>
      <c r="I14" s="4"/>
      <c r="J14" s="4"/>
      <c r="R14"/>
      <c r="T14" s="14" t="str">
        <v>First Name</v>
      </c>
      <c r="U14" s="14">
        <f>S14</f>
        <v>0</v>
      </c>
      <c r="V14"/>
      <c r="W14" s="3" t="s">
        <v>30</v>
      </c>
      <c r="X14" s="3">
        <v>2</v>
      </c>
      <c r="Y14" s="3" t="str">
        <f>IF(ISNUMBER(Table2[[#This Row],[order]]),1,"")</f>
        <v/>
      </c>
      <c r="AB14" s="3" t="str">
        <v>Contact Date</v>
      </c>
      <c r="AC14" s="3">
        <v>8</v>
      </c>
      <c r="AD14" s="3">
        <v>1</v>
      </c>
      <c r="AE14" s="3">
        <v>2</v>
      </c>
      <c r="AG14" s="3">
        <f ca="1"/>
        <v>8</v>
      </c>
      <c r="AH14" s="3">
        <f ca="1"/>
        <v>2</v>
      </c>
      <c r="AI14" s="3">
        <f ca="1"/>
        <v>3</v>
      </c>
      <c r="AJ14" s="3">
        <f ca="1"/>
        <v>8</v>
      </c>
      <c r="AK14" s="3" t="str">
        <f ca="1"/>
        <v>Contact Date</v>
      </c>
      <c r="AL14" s="3">
        <f ca="1"/>
        <v>8</v>
      </c>
      <c r="AM14" s="3">
        <f ca="1"/>
        <v>1</v>
      </c>
      <c r="AN14" s="3">
        <f ca="1"/>
        <v>2</v>
      </c>
    </row>
    <row r="15" spans="1:45" s="3" customFormat="1" ht="238.15" customHeight="1">
      <c r="B15" s="41"/>
      <c r="C15" s="13"/>
      <c r="D15" s="13"/>
      <c r="E15" s="4"/>
      <c r="F15" s="4"/>
      <c r="G15" s="4"/>
      <c r="H15" s="4"/>
      <c r="I15" s="4"/>
      <c r="J15" s="4"/>
      <c r="R15"/>
      <c r="T15" s="14" t="str">
        <v>Last Name</v>
      </c>
      <c r="U15" s="14">
        <f t="shared" ref="U15:U36" si="0">S15</f>
        <v>0</v>
      </c>
      <c r="V15"/>
      <c r="W15" s="3" t="s">
        <v>31</v>
      </c>
      <c r="X15" s="3">
        <v>3</v>
      </c>
      <c r="Y15" s="3" t="str">
        <f>IF(ISNUMBER(Table2[[#This Row],[order]]),1,"")</f>
        <v/>
      </c>
      <c r="AB15" s="3" t="str">
        <v>Contact Notes</v>
      </c>
      <c r="AC15" s="3">
        <v>16</v>
      </c>
      <c r="AD15" s="3">
        <v>1</v>
      </c>
      <c r="AE15" s="3">
        <v>3</v>
      </c>
      <c r="AG15" s="3">
        <f ca="1"/>
        <v>16</v>
      </c>
      <c r="AH15" s="3">
        <f ca="1"/>
        <v>3</v>
      </c>
      <c r="AI15" s="3">
        <f ca="1"/>
        <v>4</v>
      </c>
      <c r="AJ15" s="3">
        <f ca="1"/>
        <v>16</v>
      </c>
      <c r="AK15" s="3" t="str">
        <f ca="1"/>
        <v>Contact Notes</v>
      </c>
      <c r="AL15" s="3">
        <f ca="1"/>
        <v>16</v>
      </c>
      <c r="AM15" s="3">
        <f ca="1"/>
        <v>1</v>
      </c>
      <c r="AN15" s="3">
        <f ca="1"/>
        <v>3</v>
      </c>
    </row>
    <row r="16" spans="1:45" s="3" customFormat="1" ht="75" customHeight="1">
      <c r="B16" s="41"/>
      <c r="C16" s="13"/>
      <c r="D16" s="13"/>
      <c r="E16" s="4"/>
      <c r="F16" s="4"/>
      <c r="G16" s="4"/>
      <c r="H16" s="4"/>
      <c r="I16" s="4"/>
      <c r="J16" s="4"/>
      <c r="T16" s="14" t="str">
        <v>Name Descriptor</v>
      </c>
      <c r="U16" s="14">
        <f t="shared" si="0"/>
        <v>0</v>
      </c>
      <c r="V16"/>
      <c r="W16" s="3" t="s">
        <v>32</v>
      </c>
      <c r="X16" s="3">
        <v>4</v>
      </c>
      <c r="Y16" s="3" t="str">
        <f>IF(ISNUMBER(Table2[[#This Row],[order]]),1,"")</f>
        <v/>
      </c>
      <c r="AB16" s="3" t="str">
        <v>Type of Contact</v>
      </c>
      <c r="AC16" s="3">
        <v>7</v>
      </c>
      <c r="AD16" s="3">
        <v>1</v>
      </c>
      <c r="AE16" s="3">
        <v>4</v>
      </c>
      <c r="AG16" s="3">
        <f ca="1"/>
        <v>7</v>
      </c>
      <c r="AH16" s="3">
        <f ca="1"/>
        <v>4</v>
      </c>
      <c r="AI16" s="3">
        <f ca="1"/>
        <v>5</v>
      </c>
      <c r="AJ16" s="3">
        <f ca="1"/>
        <v>7</v>
      </c>
      <c r="AK16" s="3" t="str">
        <f ca="1"/>
        <v>Type of Contact</v>
      </c>
      <c r="AL16" s="3">
        <f ca="1"/>
        <v>7</v>
      </c>
      <c r="AM16" s="3">
        <f ca="1"/>
        <v>1</v>
      </c>
      <c r="AN16" s="3">
        <f ca="1"/>
        <v>4</v>
      </c>
    </row>
    <row r="17" spans="2:40" s="3" customFormat="1" ht="127.15" customHeight="1">
      <c r="B17" s="41"/>
      <c r="C17" s="13"/>
      <c r="D17" s="13"/>
      <c r="E17" s="4"/>
      <c r="F17" s="4"/>
      <c r="G17" s="4"/>
      <c r="H17" s="4"/>
      <c r="I17" s="4"/>
      <c r="J17" s="4"/>
      <c r="T17" s="14" t="str">
        <v>Full Name</v>
      </c>
      <c r="U17" s="14">
        <f t="shared" si="0"/>
        <v>0</v>
      </c>
      <c r="V17"/>
      <c r="W17" s="3" t="s">
        <v>22</v>
      </c>
      <c r="X17" s="3">
        <v>5</v>
      </c>
      <c r="AB17" s="3" t="str">
        <v>Contactor</v>
      </c>
      <c r="AC17" s="3">
        <v>6</v>
      </c>
      <c r="AD17" s="3">
        <v>1</v>
      </c>
      <c r="AE17" s="3">
        <v>5</v>
      </c>
      <c r="AG17" s="3">
        <f ca="1"/>
        <v>6</v>
      </c>
      <c r="AH17" s="3">
        <f ca="1"/>
        <v>5</v>
      </c>
      <c r="AI17" s="3">
        <f ca="1"/>
        <v>9</v>
      </c>
      <c r="AJ17" s="3">
        <f ca="1"/>
        <v>6</v>
      </c>
      <c r="AK17" s="3" t="str">
        <f ca="1"/>
        <v>Contactor</v>
      </c>
      <c r="AL17" s="3">
        <f ca="1"/>
        <v>6</v>
      </c>
      <c r="AM17" s="3">
        <f ca="1"/>
        <v>1</v>
      </c>
      <c r="AN17" s="3">
        <f ca="1"/>
        <v>5</v>
      </c>
    </row>
    <row r="18" spans="2:40" s="3" customFormat="1" ht="162.6" customHeight="1">
      <c r="C18" s="13"/>
      <c r="D18" s="13"/>
      <c r="E18" s="4"/>
      <c r="F18" s="4"/>
      <c r="G18" s="4"/>
      <c r="H18" s="4"/>
      <c r="I18" s="4"/>
      <c r="J18" s="4"/>
      <c r="T18" s="14" t="str">
        <v>Contactor</v>
      </c>
      <c r="U18" s="17">
        <f>C4</f>
        <v>0</v>
      </c>
      <c r="V18"/>
      <c r="W18" s="3" t="s">
        <v>33</v>
      </c>
      <c r="X18" s="3">
        <v>6</v>
      </c>
      <c r="Y18" s="3">
        <f>IF(ISNUMBER(Table2[[#This Row],[order]]),1,"")</f>
        <v>1</v>
      </c>
      <c r="Z18" s="3">
        <v>5</v>
      </c>
      <c r="AB18" s="3" t="str">
        <v>Recommendation</v>
      </c>
      <c r="AC18" s="3">
        <v>17</v>
      </c>
      <c r="AD18" s="3">
        <v>1</v>
      </c>
      <c r="AE18" s="3">
        <v>6</v>
      </c>
      <c r="AG18" s="3">
        <f ca="1"/>
        <v>17</v>
      </c>
      <c r="AH18" s="3">
        <f ca="1"/>
        <v>6</v>
      </c>
      <c r="AI18" s="3">
        <f ca="1"/>
        <v>10</v>
      </c>
      <c r="AJ18" s="3">
        <f ca="1"/>
        <v>17</v>
      </c>
      <c r="AK18" s="3" t="str">
        <f ca="1"/>
        <v>Recommendation</v>
      </c>
      <c r="AL18" s="3">
        <f ca="1"/>
        <v>17</v>
      </c>
      <c r="AM18" s="3">
        <f ca="1"/>
        <v>1</v>
      </c>
      <c r="AN18" s="3">
        <f ca="1"/>
        <v>6</v>
      </c>
    </row>
    <row r="19" spans="2:40" s="3" customFormat="1" ht="154.15" customHeight="1">
      <c r="C19" s="13"/>
      <c r="E19" s="4"/>
      <c r="F19" s="4"/>
      <c r="G19" s="4"/>
      <c r="H19" s="4"/>
      <c r="I19" s="4"/>
      <c r="J19" s="4"/>
      <c r="T19" s="14" t="str">
        <v>Type of Contact</v>
      </c>
      <c r="U19" s="17">
        <f>$C$10</f>
        <v>0</v>
      </c>
      <c r="V19"/>
      <c r="W19" s="3" t="s">
        <v>12</v>
      </c>
      <c r="X19" s="3">
        <v>7</v>
      </c>
      <c r="Y19" s="3">
        <f>IF(ISNUMBER(Table2[[#This Row],[order]]),1,"")</f>
        <v>1</v>
      </c>
      <c r="Z19" s="3">
        <v>4</v>
      </c>
      <c r="AB19" s="3" t="str">
        <v>Status</v>
      </c>
      <c r="AC19" s="3">
        <v>18</v>
      </c>
      <c r="AD19" s="3">
        <v>1</v>
      </c>
      <c r="AE19" s="3">
        <v>7</v>
      </c>
      <c r="AG19" s="3">
        <f ca="1"/>
        <v>18</v>
      </c>
      <c r="AH19" s="3">
        <f ca="1"/>
        <v>7</v>
      </c>
      <c r="AI19" s="3">
        <f ca="1"/>
        <v>11</v>
      </c>
      <c r="AJ19" s="3">
        <f ca="1"/>
        <v>18</v>
      </c>
      <c r="AK19" s="3" t="str">
        <f ca="1"/>
        <v>Status</v>
      </c>
      <c r="AL19" s="3">
        <f ca="1"/>
        <v>18</v>
      </c>
      <c r="AM19" s="3">
        <f ca="1"/>
        <v>1</v>
      </c>
      <c r="AN19" s="3">
        <f ca="1"/>
        <v>7</v>
      </c>
    </row>
    <row r="20" spans="2:40" s="3" customFormat="1" ht="75" customHeight="1">
      <c r="C20" s="13"/>
      <c r="E20" s="4"/>
      <c r="F20" s="4"/>
      <c r="G20" s="4"/>
      <c r="H20" s="4"/>
      <c r="I20" s="4"/>
      <c r="J20" s="4"/>
      <c r="T20" s="14" t="str">
        <v>Contact Date</v>
      </c>
      <c r="U20" s="18">
        <f>$B$10</f>
        <v>0</v>
      </c>
      <c r="V20"/>
      <c r="W20" s="3" t="s">
        <v>34</v>
      </c>
      <c r="X20" s="3">
        <v>8</v>
      </c>
      <c r="Y20" s="3">
        <v>1</v>
      </c>
      <c r="Z20" s="3">
        <v>2</v>
      </c>
      <c r="AB20" s="3" t="str">
        <v>Final Decision</v>
      </c>
      <c r="AC20" s="3">
        <v>19</v>
      </c>
      <c r="AD20" s="3">
        <v>1</v>
      </c>
      <c r="AE20" s="3">
        <v>8</v>
      </c>
      <c r="AG20" s="3">
        <f ca="1"/>
        <v>19</v>
      </c>
      <c r="AH20" s="3">
        <f ca="1"/>
        <v>8</v>
      </c>
      <c r="AI20" s="3">
        <f ca="1"/>
        <v>12</v>
      </c>
      <c r="AJ20" s="3">
        <f ca="1"/>
        <v>19</v>
      </c>
      <c r="AK20" s="3" t="str">
        <f ca="1"/>
        <v>Final Decision</v>
      </c>
      <c r="AL20" s="3">
        <f ca="1"/>
        <v>19</v>
      </c>
      <c r="AM20" s="3">
        <f ca="1"/>
        <v>1</v>
      </c>
      <c r="AN20" s="3">
        <f ca="1"/>
        <v>8</v>
      </c>
    </row>
    <row r="21" spans="2:40">
      <c r="C21" s="13"/>
      <c r="E21" s="41"/>
      <c r="F21" s="41"/>
      <c r="G21" s="4"/>
      <c r="H21" s="4"/>
      <c r="I21" s="4"/>
      <c r="J21" s="4"/>
      <c r="K21" s="3"/>
      <c r="S21" s="14"/>
      <c r="T21" s="14" t="str">
        <v>E-mail</v>
      </c>
      <c r="U21" s="14">
        <f t="shared" si="0"/>
        <v>0</v>
      </c>
      <c r="W21" t="s">
        <v>35</v>
      </c>
      <c r="X21">
        <v>9</v>
      </c>
      <c r="Y21" s="3" t="str">
        <f>IF(ISNUMBER(Table2[[#This Row],[order]]),1,"")</f>
        <v/>
      </c>
      <c r="AB21" t="str">
        <v>Season</v>
      </c>
      <c r="AC21">
        <v>22</v>
      </c>
      <c r="AD21">
        <v>1</v>
      </c>
      <c r="AE21">
        <v>9</v>
      </c>
      <c r="AG21">
        <f ca="1"/>
        <v>22</v>
      </c>
      <c r="AH21">
        <f ca="1"/>
        <v>9</v>
      </c>
      <c r="AI21">
        <f ca="1"/>
        <v>13</v>
      </c>
      <c r="AJ21">
        <f ca="1"/>
        <v>22</v>
      </c>
      <c r="AK21" t="str">
        <f ca="1"/>
        <v>Season</v>
      </c>
      <c r="AL21">
        <f ca="1"/>
        <v>22</v>
      </c>
      <c r="AM21">
        <f ca="1"/>
        <v>1</v>
      </c>
      <c r="AN21">
        <f ca="1"/>
        <v>9</v>
      </c>
    </row>
    <row r="22" spans="2:40">
      <c r="C22" s="13"/>
      <c r="E22" s="41"/>
      <c r="F22" s="41"/>
      <c r="G22" s="41"/>
      <c r="H22" s="41"/>
      <c r="I22" s="41"/>
      <c r="J22" s="41"/>
      <c r="K22" s="3"/>
      <c r="S22" s="14"/>
      <c r="T22" s="14" t="str">
        <v>Phone</v>
      </c>
      <c r="U22" s="14">
        <f t="shared" si="0"/>
        <v>0</v>
      </c>
      <c r="W22" t="s">
        <v>36</v>
      </c>
      <c r="X22">
        <v>10</v>
      </c>
      <c r="Y22" s="3" t="str">
        <f>IF(ISNUMBER(Table2[[#This Row],[order]]),1,"")</f>
        <v/>
      </c>
      <c r="AB22" t="str">
        <v>First Name</v>
      </c>
      <c r="AC22">
        <v>2</v>
      </c>
      <c r="AD22" t="str">
        <v/>
      </c>
      <c r="AE22">
        <v>0</v>
      </c>
      <c r="AG22">
        <f ca="1"/>
        <v>2</v>
      </c>
      <c r="AH22">
        <f ca="1"/>
        <v>0</v>
      </c>
      <c r="AI22">
        <f ca="1"/>
        <v>14</v>
      </c>
    </row>
    <row r="23" spans="2:40">
      <c r="C23" s="13"/>
      <c r="E23" s="41"/>
      <c r="F23" s="41"/>
      <c r="G23" s="41"/>
      <c r="H23" s="41"/>
      <c r="I23" s="41"/>
      <c r="J23" s="41"/>
      <c r="K23" s="3"/>
      <c r="S23" s="14"/>
      <c r="T23" s="14" t="str">
        <v>Current Location</v>
      </c>
      <c r="U23" s="14">
        <f t="shared" si="0"/>
        <v>0</v>
      </c>
      <c r="W23" t="s">
        <v>37</v>
      </c>
      <c r="X23">
        <v>11</v>
      </c>
      <c r="Y23" s="3" t="str">
        <f>IF(ISNUMBER(Table2[[#This Row],[order]]),1,"")</f>
        <v/>
      </c>
      <c r="AB23" t="str">
        <v>Last Name</v>
      </c>
      <c r="AC23">
        <v>3</v>
      </c>
      <c r="AD23" t="str">
        <v/>
      </c>
      <c r="AE23">
        <v>0</v>
      </c>
      <c r="AG23">
        <f ca="1"/>
        <v>3</v>
      </c>
      <c r="AH23">
        <f ca="1"/>
        <v>0</v>
      </c>
      <c r="AI23">
        <f ca="1"/>
        <v>15</v>
      </c>
    </row>
    <row r="24" spans="2:40">
      <c r="C24" s="13"/>
      <c r="E24" s="41"/>
      <c r="F24" s="41"/>
      <c r="G24" s="41"/>
      <c r="H24" s="41"/>
      <c r="I24" s="41"/>
      <c r="J24" s="41"/>
      <c r="K24" s="3"/>
      <c r="S24" s="14"/>
      <c r="T24" s="14" t="str">
        <v xml:space="preserve">Position </v>
      </c>
      <c r="U24" s="14">
        <f t="shared" si="0"/>
        <v>0</v>
      </c>
      <c r="W24" t="s">
        <v>38</v>
      </c>
      <c r="X24">
        <v>12</v>
      </c>
      <c r="Y24" s="3" t="str">
        <f>IF(ISNUMBER(Table2[[#This Row],[order]]),1,"")</f>
        <v/>
      </c>
      <c r="AB24" t="str">
        <v>Name Descriptor</v>
      </c>
      <c r="AC24">
        <v>4</v>
      </c>
      <c r="AD24" t="str">
        <v/>
      </c>
      <c r="AE24">
        <v>0</v>
      </c>
      <c r="AG24">
        <f ca="1"/>
        <v>4</v>
      </c>
      <c r="AH24">
        <f ca="1"/>
        <v>0</v>
      </c>
      <c r="AI24">
        <f ca="1"/>
        <v>20</v>
      </c>
    </row>
    <row r="25" spans="2:40">
      <c r="C25" s="13"/>
      <c r="E25" s="41"/>
      <c r="F25" s="41"/>
      <c r="G25" s="41"/>
      <c r="H25" s="41"/>
      <c r="I25" s="41"/>
      <c r="J25" s="41"/>
      <c r="K25" s="3"/>
      <c r="S25" s="14"/>
      <c r="T25" s="14" t="str">
        <v>Position Location</v>
      </c>
      <c r="U25" s="14">
        <f t="shared" si="0"/>
        <v>0</v>
      </c>
      <c r="W25" t="s">
        <v>39</v>
      </c>
      <c r="X25">
        <v>13</v>
      </c>
      <c r="Y25" s="3" t="str">
        <f>IF(ISNUMBER(Table2[[#This Row],[order]]),1,"")</f>
        <v/>
      </c>
      <c r="AB25" t="str">
        <v>Full Name</v>
      </c>
      <c r="AC25">
        <v>5</v>
      </c>
      <c r="AD25">
        <v>0</v>
      </c>
      <c r="AE25">
        <v>0</v>
      </c>
      <c r="AG25">
        <f ca="1"/>
        <v>5</v>
      </c>
      <c r="AH25">
        <f ca="1"/>
        <v>0</v>
      </c>
      <c r="AI25">
        <f ca="1"/>
        <v>21</v>
      </c>
    </row>
    <row r="26" spans="2:40">
      <c r="C26" s="13"/>
      <c r="E26" s="41"/>
      <c r="F26" s="41"/>
      <c r="G26" s="41"/>
      <c r="H26" s="41"/>
      <c r="I26" s="41"/>
      <c r="J26" s="41"/>
      <c r="K26" s="3"/>
      <c r="S26" s="14"/>
      <c r="T26" s="14" t="str">
        <v>McK Alum Status</v>
      </c>
      <c r="U26" s="14">
        <f t="shared" si="0"/>
        <v>0</v>
      </c>
      <c r="W26" t="s">
        <v>40</v>
      </c>
      <c r="X26">
        <v>14</v>
      </c>
      <c r="Y26" s="3" t="str">
        <f>IF(ISNUMBER(Table2[[#This Row],[order]]),1,"")</f>
        <v/>
      </c>
      <c r="AB26" t="str">
        <v>E-mail</v>
      </c>
      <c r="AC26">
        <v>9</v>
      </c>
      <c r="AD26" t="str">
        <v/>
      </c>
      <c r="AE26">
        <v>0</v>
      </c>
      <c r="AG26">
        <f ca="1"/>
        <v>9</v>
      </c>
      <c r="AH26">
        <f ca="1"/>
        <v>0</v>
      </c>
      <c r="AI26">
        <f ca="1"/>
        <v>23</v>
      </c>
    </row>
    <row r="27" spans="2:40">
      <c r="C27" s="13"/>
      <c r="E27" s="41"/>
      <c r="F27" s="41"/>
      <c r="G27" s="41"/>
      <c r="H27" s="41"/>
      <c r="I27" s="41"/>
      <c r="J27" s="41"/>
      <c r="K27" s="3"/>
      <c r="S27" s="14"/>
      <c r="T27" s="14" t="str">
        <v>Current Org</v>
      </c>
      <c r="U27" s="14">
        <f t="shared" si="0"/>
        <v>0</v>
      </c>
      <c r="W27" t="s">
        <v>41</v>
      </c>
      <c r="X27">
        <v>15</v>
      </c>
      <c r="Y27" s="3"/>
      <c r="AB27" t="str">
        <v>Phone</v>
      </c>
      <c r="AC27">
        <v>10</v>
      </c>
      <c r="AD27" t="str">
        <v/>
      </c>
      <c r="AE27">
        <v>0</v>
      </c>
      <c r="AG27">
        <f ca="1"/>
        <v>10</v>
      </c>
      <c r="AH27">
        <f ca="1"/>
        <v>0</v>
      </c>
      <c r="AI27">
        <f ca="1"/>
        <v>24</v>
      </c>
    </row>
    <row r="28" spans="2:40">
      <c r="C28" s="13"/>
      <c r="E28" s="41"/>
      <c r="F28" s="41"/>
      <c r="G28" s="41"/>
      <c r="H28" s="41"/>
      <c r="I28" s="41"/>
      <c r="J28" s="41"/>
      <c r="K28" s="3"/>
      <c r="S28" s="14"/>
      <c r="T28" s="14" t="str">
        <v>Contact Notes</v>
      </c>
      <c r="U28" s="17">
        <f>$D$10</f>
        <v>0</v>
      </c>
      <c r="W28" t="s">
        <v>42</v>
      </c>
      <c r="X28">
        <v>16</v>
      </c>
      <c r="Y28" s="3">
        <f>IF(ISNUMBER(Table2[[#This Row],[order]]),1,"")</f>
        <v>1</v>
      </c>
      <c r="Z28">
        <v>3</v>
      </c>
      <c r="AB28" t="str">
        <v>Current Location</v>
      </c>
      <c r="AC28">
        <v>11</v>
      </c>
      <c r="AD28" t="str">
        <v/>
      </c>
      <c r="AE28">
        <v>0</v>
      </c>
      <c r="AG28">
        <f ca="1"/>
        <v>11</v>
      </c>
      <c r="AH28">
        <f ca="1"/>
        <v>0</v>
      </c>
      <c r="AI28">
        <f ca="1"/>
        <v>1</v>
      </c>
    </row>
    <row r="29" spans="2:40">
      <c r="C29" s="13"/>
      <c r="E29" s="41"/>
      <c r="F29" s="41"/>
      <c r="G29" s="41"/>
      <c r="H29" s="41"/>
      <c r="I29" s="41"/>
      <c r="J29" s="41"/>
      <c r="K29" s="3"/>
      <c r="S29" s="14"/>
      <c r="T29" s="14" t="str">
        <v>Recommendation</v>
      </c>
      <c r="U29" s="17">
        <f>$E$10</f>
        <v>0</v>
      </c>
      <c r="W29" t="s">
        <v>43</v>
      </c>
      <c r="X29">
        <v>17</v>
      </c>
      <c r="Y29" s="3">
        <f>IF(ISNUMBER(Table2[[#This Row],[order]]),1,"")</f>
        <v>1</v>
      </c>
      <c r="Z29">
        <v>6</v>
      </c>
      <c r="AB29" t="str">
        <v xml:space="preserve">Position </v>
      </c>
      <c r="AC29">
        <v>12</v>
      </c>
      <c r="AD29" t="str">
        <v/>
      </c>
      <c r="AE29">
        <v>0</v>
      </c>
      <c r="AG29">
        <f ca="1"/>
        <v>12</v>
      </c>
      <c r="AH29">
        <f ca="1"/>
        <v>0</v>
      </c>
      <c r="AI29">
        <f ca="1"/>
        <v>8</v>
      </c>
    </row>
    <row r="30" spans="2:40">
      <c r="C30" s="13"/>
      <c r="E30" s="41"/>
      <c r="F30" s="41"/>
      <c r="G30" s="41"/>
      <c r="H30" s="41"/>
      <c r="I30" s="41"/>
      <c r="J30" s="41"/>
      <c r="K30" s="3"/>
      <c r="S30" s="14"/>
      <c r="T30" s="14" t="str">
        <v>Status</v>
      </c>
      <c r="U30" s="17">
        <f>$F$10</f>
        <v>0</v>
      </c>
      <c r="W30" t="s">
        <v>44</v>
      </c>
      <c r="X30">
        <v>18</v>
      </c>
      <c r="Y30" s="3">
        <f>IF(ISNUMBER(Table2[[#This Row],[order]]),1,"")</f>
        <v>1</v>
      </c>
      <c r="Z30">
        <v>7</v>
      </c>
      <c r="AB30" t="str">
        <v>Position Location</v>
      </c>
      <c r="AC30">
        <v>13</v>
      </c>
      <c r="AD30" t="str">
        <v/>
      </c>
      <c r="AE30">
        <v>0</v>
      </c>
      <c r="AG30">
        <f ca="1"/>
        <v>13</v>
      </c>
      <c r="AH30">
        <f ca="1"/>
        <v>0</v>
      </c>
      <c r="AI30">
        <f ca="1"/>
        <v>16</v>
      </c>
    </row>
    <row r="31" spans="2:40">
      <c r="C31" s="13"/>
      <c r="E31" s="41"/>
      <c r="F31" s="41"/>
      <c r="G31" s="41"/>
      <c r="H31" s="41"/>
      <c r="I31" s="41"/>
      <c r="J31" s="41"/>
      <c r="K31" s="3"/>
      <c r="S31" s="14"/>
      <c r="T31" s="14" t="str">
        <v>Final Decision</v>
      </c>
      <c r="U31" s="17">
        <f>$G$10</f>
        <v>0</v>
      </c>
      <c r="W31" t="s">
        <v>45</v>
      </c>
      <c r="X31">
        <v>19</v>
      </c>
      <c r="Y31" s="3">
        <v>1</v>
      </c>
      <c r="Z31">
        <v>8</v>
      </c>
      <c r="AB31" t="str">
        <v>McK Alum Status</v>
      </c>
      <c r="AC31">
        <v>14</v>
      </c>
      <c r="AD31" t="str">
        <v/>
      </c>
      <c r="AE31">
        <v>0</v>
      </c>
      <c r="AG31">
        <f ca="1"/>
        <v>14</v>
      </c>
      <c r="AH31">
        <f ca="1"/>
        <v>0</v>
      </c>
      <c r="AI31">
        <f ca="1"/>
        <v>7</v>
      </c>
    </row>
    <row r="32" spans="2:40">
      <c r="C32" s="13"/>
      <c r="E32" s="41"/>
      <c r="F32" s="41"/>
      <c r="G32" s="41"/>
      <c r="H32" s="41"/>
      <c r="I32" s="41"/>
      <c r="J32" s="41"/>
      <c r="K32" s="3"/>
      <c r="S32" s="14"/>
      <c r="T32" s="14" t="str">
        <v>Updated by</v>
      </c>
      <c r="U32" s="17">
        <f>C4</f>
        <v>0</v>
      </c>
      <c r="W32" t="s">
        <v>25</v>
      </c>
      <c r="X32">
        <v>20</v>
      </c>
      <c r="Y32" s="3" t="str">
        <f>IF(ISNUMBER(Table2[[#This Row],[order]]),1,"")</f>
        <v/>
      </c>
      <c r="AB32" t="str">
        <v>Current Org</v>
      </c>
      <c r="AC32">
        <v>15</v>
      </c>
      <c r="AD32">
        <v>0</v>
      </c>
      <c r="AE32">
        <v>0</v>
      </c>
      <c r="AG32">
        <f ca="1"/>
        <v>15</v>
      </c>
      <c r="AH32">
        <f ca="1"/>
        <v>0</v>
      </c>
      <c r="AI32">
        <f ca="1"/>
        <v>6</v>
      </c>
    </row>
    <row r="33" spans="3:41">
      <c r="C33" s="13"/>
      <c r="E33" s="41"/>
      <c r="F33" s="41"/>
      <c r="G33" s="41"/>
      <c r="H33" s="41"/>
      <c r="I33" s="41"/>
      <c r="J33" s="41"/>
      <c r="K33" s="3"/>
      <c r="S33" s="14"/>
      <c r="T33" s="14" t="str">
        <v>Update Date</v>
      </c>
      <c r="U33" s="19">
        <f ca="1">G3</f>
        <v>44749.467283101854</v>
      </c>
      <c r="W33" t="s">
        <v>46</v>
      </c>
      <c r="X33">
        <v>21</v>
      </c>
      <c r="Y33" s="3" t="str">
        <f>IF(ISNUMBER(Table2[[#This Row],[order]]),1,"")</f>
        <v/>
      </c>
      <c r="AB33" t="str">
        <v>Updated by</v>
      </c>
      <c r="AC33">
        <v>20</v>
      </c>
      <c r="AD33" t="str">
        <v/>
      </c>
      <c r="AE33">
        <v>0</v>
      </c>
      <c r="AG33">
        <f ca="1"/>
        <v>20</v>
      </c>
      <c r="AH33">
        <f ca="1"/>
        <v>0</v>
      </c>
      <c r="AI33">
        <f ca="1"/>
        <v>17</v>
      </c>
    </row>
    <row r="34" spans="3:41">
      <c r="C34" s="13"/>
      <c r="E34" s="41"/>
      <c r="F34" s="41"/>
      <c r="G34" s="41"/>
      <c r="H34" s="41"/>
      <c r="I34" s="41"/>
      <c r="J34" s="41"/>
      <c r="K34" s="3"/>
      <c r="S34" s="14"/>
      <c r="T34" s="14" t="str">
        <v>Season</v>
      </c>
      <c r="U34" s="20">
        <f t="shared" si="0"/>
        <v>0</v>
      </c>
      <c r="W34" t="s">
        <v>23</v>
      </c>
      <c r="X34">
        <v>22</v>
      </c>
      <c r="Y34" s="3">
        <v>1</v>
      </c>
      <c r="Z34">
        <v>9</v>
      </c>
      <c r="AB34" t="str">
        <v>Update Date</v>
      </c>
      <c r="AC34">
        <v>21</v>
      </c>
      <c r="AD34" t="str">
        <v/>
      </c>
      <c r="AE34">
        <v>0</v>
      </c>
      <c r="AG34">
        <f ca="1"/>
        <v>21</v>
      </c>
      <c r="AH34">
        <f ca="1"/>
        <v>0</v>
      </c>
      <c r="AI34">
        <f ca="1"/>
        <v>18</v>
      </c>
    </row>
    <row r="35" spans="3:41">
      <c r="C35" s="13"/>
      <c r="E35" s="41"/>
      <c r="F35" s="41"/>
      <c r="G35" s="41"/>
      <c r="H35" s="41"/>
      <c r="I35" s="41"/>
      <c r="J35" s="41"/>
      <c r="K35" s="3"/>
      <c r="T35" t="str">
        <v>Asssigned</v>
      </c>
      <c r="U35" s="20">
        <f>H10</f>
        <v>0</v>
      </c>
      <c r="W35" t="s">
        <v>47</v>
      </c>
      <c r="X35">
        <v>23</v>
      </c>
      <c r="Y35" s="3"/>
      <c r="AB35" t="str">
        <v>Asssigned</v>
      </c>
      <c r="AC35">
        <v>23</v>
      </c>
      <c r="AD35">
        <v>0</v>
      </c>
      <c r="AE35">
        <v>0</v>
      </c>
      <c r="AG35">
        <f ca="1"/>
        <v>23</v>
      </c>
      <c r="AH35">
        <f ca="1"/>
        <v>0</v>
      </c>
      <c r="AI35">
        <f ca="1"/>
        <v>19</v>
      </c>
    </row>
    <row r="36" spans="3:41">
      <c r="C36" s="13"/>
      <c r="E36" s="41"/>
      <c r="F36" s="41"/>
      <c r="G36" s="41"/>
      <c r="H36" s="41"/>
      <c r="I36" s="41"/>
      <c r="J36" s="41"/>
      <c r="K36" s="3"/>
      <c r="T36" t="str">
        <v>Latest</v>
      </c>
      <c r="U36" s="20">
        <f t="shared" si="0"/>
        <v>0</v>
      </c>
      <c r="W36" t="s">
        <v>48</v>
      </c>
      <c r="X36">
        <v>24</v>
      </c>
      <c r="AB36" t="str">
        <v>Latest</v>
      </c>
      <c r="AC36">
        <v>24</v>
      </c>
      <c r="AD36">
        <v>0</v>
      </c>
      <c r="AE36">
        <v>0</v>
      </c>
      <c r="AG36">
        <f ca="1"/>
        <v>24</v>
      </c>
      <c r="AH36">
        <f ca="1"/>
        <v>0</v>
      </c>
      <c r="AI36">
        <f ca="1"/>
        <v>22</v>
      </c>
    </row>
    <row r="37" spans="3:41">
      <c r="C37" s="13"/>
      <c r="E37" s="41"/>
      <c r="F37" s="41"/>
      <c r="G37" s="41"/>
      <c r="H37" s="41"/>
      <c r="I37" s="41"/>
      <c r="J37" s="41"/>
      <c r="K37" s="3"/>
    </row>
    <row r="38" spans="3:41">
      <c r="C38" s="13"/>
      <c r="E38" s="41"/>
      <c r="F38" s="41"/>
      <c r="G38" s="41"/>
      <c r="H38" s="41"/>
      <c r="I38" s="41"/>
      <c r="J38" s="41"/>
      <c r="K38" s="3"/>
    </row>
    <row r="39" spans="3:41">
      <c r="C39" s="13"/>
      <c r="E39" s="41"/>
      <c r="F39" s="41"/>
      <c r="G39" s="41"/>
      <c r="H39" s="41"/>
      <c r="I39" s="41"/>
      <c r="J39" s="41"/>
      <c r="K39" s="3"/>
    </row>
    <row r="40" spans="3:41">
      <c r="C40" s="13"/>
      <c r="E40" s="41"/>
      <c r="F40" s="41"/>
      <c r="G40" s="41"/>
      <c r="H40" s="41"/>
      <c r="I40" s="41"/>
      <c r="J40" s="41"/>
      <c r="K40" s="3"/>
    </row>
    <row r="41" spans="3:41">
      <c r="C41" s="13"/>
      <c r="K41" s="3"/>
    </row>
    <row r="42" spans="3:41">
      <c r="C42" s="13"/>
      <c r="K42" s="3"/>
    </row>
    <row r="43" spans="3:41">
      <c r="C43" s="13"/>
      <c r="K43" s="3"/>
    </row>
    <row r="44" spans="3:41">
      <c r="C44" s="13"/>
      <c r="K44" s="3"/>
    </row>
    <row r="48" spans="3:41">
      <c r="U48">
        <v>4</v>
      </c>
      <c r="V48" t="s">
        <v>154</v>
      </c>
      <c r="AA48" t="s">
        <v>2609</v>
      </c>
      <c r="AB48">
        <v>44277</v>
      </c>
      <c r="AC48" t="s">
        <v>2689</v>
      </c>
      <c r="AD48" t="s">
        <v>2690</v>
      </c>
      <c r="AE48" t="s">
        <v>164</v>
      </c>
      <c r="AF48" t="s">
        <v>2094</v>
      </c>
      <c r="AG48" t="s">
        <v>164</v>
      </c>
      <c r="AH48" t="s">
        <v>2095</v>
      </c>
      <c r="AI48" t="s">
        <v>2691</v>
      </c>
      <c r="AJ48" t="s">
        <v>68</v>
      </c>
      <c r="AK48" t="s">
        <v>2659</v>
      </c>
      <c r="AL48" t="s">
        <v>2593</v>
      </c>
      <c r="AM48" t="s">
        <v>2659</v>
      </c>
      <c r="AN48" t="s">
        <v>2524</v>
      </c>
      <c r="AO48">
        <v>44430.610570717596</v>
      </c>
    </row>
    <row r="50" spans="23:26">
      <c r="W50" t="s">
        <v>155</v>
      </c>
      <c r="X50">
        <v>0</v>
      </c>
      <c r="Y50" t="s">
        <v>2371</v>
      </c>
      <c r="Z50" t="s">
        <v>2524</v>
      </c>
    </row>
  </sheetData>
  <conditionalFormatting sqref="D14:F20 B14">
    <cfRule type="notContainsBlanks" dxfId="23" priority="21">
      <formula>LEN(TRIM(B14))&gt;0</formula>
    </cfRule>
  </conditionalFormatting>
  <conditionalFormatting sqref="K14:Q14 K15:K44 M15:Q15 M16:R16 L15:L16">
    <cfRule type="notContainsBlanks" dxfId="22" priority="20">
      <formula>LEN(TRIM(K14))&gt;0</formula>
    </cfRule>
  </conditionalFormatting>
  <conditionalFormatting sqref="C13:Q13">
    <cfRule type="notContainsBlanks" dxfId="21" priority="19">
      <formula>LEN(TRIM(C13))&gt;0</formula>
    </cfRule>
  </conditionalFormatting>
  <conditionalFormatting sqref="D14:D18">
    <cfRule type="cellIs" dxfId="20" priority="18" operator="equal">
      <formula>0</formula>
    </cfRule>
  </conditionalFormatting>
  <conditionalFormatting sqref="G14:J21">
    <cfRule type="notContainsBlanks" dxfId="19" priority="16">
      <formula>LEN(TRIM(G14))&gt;0</formula>
    </cfRule>
  </conditionalFormatting>
  <conditionalFormatting sqref="G14:J21">
    <cfRule type="cellIs" dxfId="18" priority="15" operator="equal">
      <formula>0</formula>
    </cfRule>
  </conditionalFormatting>
  <conditionalFormatting sqref="H7">
    <cfRule type="iconSet" priority="13">
      <iconSet showValue="0">
        <cfvo type="percent" val="0"/>
        <cfvo type="num" val="0.1"/>
        <cfvo type="num" val="1"/>
      </iconSet>
    </cfRule>
  </conditionalFormatting>
  <conditionalFormatting sqref="B14">
    <cfRule type="containsText" dxfId="17" priority="12" operator="containsText" text="Select valid name">
      <formula>NOT(ISERROR(SEARCH("Select valid name",B14)))</formula>
    </cfRule>
  </conditionalFormatting>
  <conditionalFormatting sqref="B13">
    <cfRule type="notContainsBlanks" dxfId="16" priority="7">
      <formula>LEN(TRIM(B13))&gt;0</formula>
    </cfRule>
  </conditionalFormatting>
  <conditionalFormatting sqref="C14:C44">
    <cfRule type="notContainsBlanks" dxfId="15" priority="6">
      <formula>LEN(TRIM(C14))&gt;0</formula>
    </cfRule>
  </conditionalFormatting>
  <conditionalFormatting sqref="C14:C44">
    <cfRule type="cellIs" dxfId="14" priority="5" operator="equal">
      <formula>0</formula>
    </cfRule>
  </conditionalFormatting>
  <conditionalFormatting sqref="A1">
    <cfRule type="cellIs" dxfId="13" priority="3" operator="equal">
      <formula>FALSE</formula>
    </cfRule>
    <cfRule type="cellIs" dxfId="12" priority="4" operator="equal">
      <formula>TRUE</formula>
    </cfRule>
  </conditionalFormatting>
  <conditionalFormatting sqref="B15:B17">
    <cfRule type="notContainsBlanks" dxfId="11" priority="2">
      <formula>LEN(TRIM(B15))&gt;0</formula>
    </cfRule>
  </conditionalFormatting>
  <conditionalFormatting sqref="B15:B17">
    <cfRule type="containsText" dxfId="10" priority="1" operator="containsText" text="Select valid name">
      <formula>NOT(ISERROR(SEARCH("Select valid name",B15)))</formula>
    </cfRule>
  </conditionalFormatting>
  <dataValidations count="1">
    <dataValidation type="date" allowBlank="1" showInputMessage="1" showErrorMessage="1" errorTitle="Invalid date" error="Please enter correct date" promptTitle="Enter date of contact" sqref="B10" xr:uid="{8ACE60A1-435E-4802-A82B-FC82CCBEF716}">
      <formula1>43101</formula1>
      <formula2>$G$3</formula2>
    </dataValidation>
  </dataValidations>
  <hyperlinks>
    <hyperlink ref="F1" location="Menu!A1" display="Back to Menu" xr:uid="{CFEC30A3-327C-4736-B3FF-99996CFA543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learForm">
                <anchor moveWithCells="1">
                  <from>
                    <xdr:col>5</xdr:col>
                    <xdr:colOff>548640</xdr:colOff>
                    <xdr:row>5</xdr:row>
                    <xdr:rowOff>167640</xdr:rowOff>
                  </from>
                  <to>
                    <xdr:col>6</xdr:col>
                    <xdr:colOff>182880</xdr:colOff>
                    <xdr:row>7</xdr:row>
                    <xdr:rowOff>30480</xdr:rowOff>
                  </to>
                </anchor>
              </controlPr>
            </control>
          </mc:Choice>
        </mc:AlternateContent>
        <mc:AlternateContent xmlns:mc="http://schemas.openxmlformats.org/markup-compatibility/2006">
          <mc:Choice Requires="x14">
            <control shapeId="1030" r:id="rId5" name="Button 6">
              <controlPr defaultSize="0" print="0" autoFill="0" autoPict="0" macro="[0]!Update_Contact">
                <anchor moveWithCells="1">
                  <from>
                    <xdr:col>6</xdr:col>
                    <xdr:colOff>342900</xdr:colOff>
                    <xdr:row>5</xdr:row>
                    <xdr:rowOff>167640</xdr:rowOff>
                  </from>
                  <to>
                    <xdr:col>7</xdr:col>
                    <xdr:colOff>0</xdr:colOff>
                    <xdr:row>7</xdr:row>
                    <xdr:rowOff>30480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7">
        <x14:dataValidation type="list" allowBlank="1" showInputMessage="1" xr:uid="{8576FC8A-4EED-44FC-8459-4593292764E4}">
          <x14:formula1>
            <xm:f>_xlfn.ANCHORARRAY(Lookups!$T$2)</xm:f>
          </x14:formula1>
          <xm:sqref>C3</xm:sqref>
        </x14:dataValidation>
        <x14:dataValidation type="list" allowBlank="1" showInputMessage="1" showErrorMessage="1" xr:uid="{A7C19757-1A8C-4915-A429-64A6F9B1E292}">
          <x14:formula1>
            <xm:f>_xlfn.ANCHORARRAY(Lookups!$P$2)</xm:f>
          </x14:formula1>
          <xm:sqref>C4 H10</xm:sqref>
        </x14:dataValidation>
        <x14:dataValidation type="list" allowBlank="1" showInputMessage="1" showErrorMessage="1" xr:uid="{95316FBC-5A36-4285-AFDA-DBB590528AA7}">
          <x14:formula1>
            <xm:f>_xlfn.ANCHORARRAY(Lookups!$K$2)</xm:f>
          </x14:formula1>
          <xm:sqref>E10</xm:sqref>
        </x14:dataValidation>
        <x14:dataValidation type="list" allowBlank="1" showInputMessage="1" showErrorMessage="1" xr:uid="{7BF6FCE0-72F1-45D0-965B-ED292D76296C}">
          <x14:formula1>
            <xm:f>_xlfn.ANCHORARRAY(Lookups!$M$2)</xm:f>
          </x14:formula1>
          <xm:sqref>F10</xm:sqref>
        </x14:dataValidation>
        <x14:dataValidation type="list" allowBlank="1" showInputMessage="1" showErrorMessage="1" xr:uid="{7F8B15E2-60DF-461C-AC13-3F8CFFC90EE5}">
          <x14:formula1>
            <xm:f>_xlfn.ANCHORARRAY(Lookups!$L$2)</xm:f>
          </x14:formula1>
          <xm:sqref>G10</xm:sqref>
        </x14:dataValidation>
        <x14:dataValidation type="list" allowBlank="1" showInputMessage="1" showErrorMessage="1" xr:uid="{A96C5156-3FCD-4159-8E78-2B57F451AEC6}">
          <x14:formula1>
            <xm:f>_xlfn.ANCHORARRAY(Lookups!$N$2)</xm:f>
          </x14:formula1>
          <xm:sqref>C10</xm:sqref>
        </x14:dataValidation>
        <x14:dataValidation type="list" allowBlank="1" showInputMessage="1" showErrorMessage="1" xr:uid="{CFF32AA2-413B-46E9-AEBC-F34431D10569}">
          <x14:formula1>
            <xm:f>_xlfn.ANCHORARRAY(Lookups!$O$2)</xm:f>
          </x14:formula1>
          <xm:sqref>C2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E2A80-9191-4A3E-83DF-7A3D4E59217D}">
  <sheetPr codeName="Sheet6"/>
  <dimension ref="A1:AD21"/>
  <sheetViews>
    <sheetView showGridLines="0" zoomScale="104" workbookViewId="0">
      <pane xSplit="2" ySplit="10" topLeftCell="C11" activePane="bottomRight" state="frozen"/>
      <selection pane="bottomRight" activeCell="G15" sqref="G15"/>
      <selection pane="bottomLeft" activeCell="A14" sqref="A14"/>
      <selection pane="topRight" activeCell="C1" sqref="C1"/>
    </sheetView>
  </sheetViews>
  <sheetFormatPr defaultRowHeight="14.45"/>
  <cols>
    <col min="1" max="1" width="5.85546875" bestFit="1" customWidth="1"/>
    <col min="2" max="2" width="13.42578125" customWidth="1"/>
    <col min="3" max="3" width="9.140625" customWidth="1"/>
    <col min="4" max="4" width="14.85546875" customWidth="1"/>
    <col min="5" max="5" width="10.7109375" customWidth="1"/>
    <col min="6" max="6" width="14.28515625" customWidth="1"/>
    <col min="7" max="7" width="23.5703125" customWidth="1"/>
    <col min="8" max="10" width="18.28515625" customWidth="1"/>
    <col min="11" max="17" width="17.28515625" customWidth="1"/>
    <col min="18" max="18" width="35.42578125" customWidth="1"/>
  </cols>
  <sheetData>
    <row r="1" spans="1:30">
      <c r="A1" s="26"/>
      <c r="F1" s="1" t="s">
        <v>1</v>
      </c>
      <c r="L1" t="s">
        <v>2709</v>
      </c>
    </row>
    <row r="2" spans="1:30">
      <c r="C2" s="140"/>
      <c r="D2" s="140"/>
      <c r="G2" s="2" t="s">
        <v>2077</v>
      </c>
      <c r="L2" t="s">
        <v>62</v>
      </c>
    </row>
    <row r="3" spans="1:30">
      <c r="B3" s="2" t="s">
        <v>4</v>
      </c>
      <c r="C3" s="141">
        <v>2022</v>
      </c>
      <c r="D3" s="142"/>
      <c r="G3" s="24">
        <f ca="1">NOW()</f>
        <v>44749.467283101854</v>
      </c>
      <c r="H3" s="23"/>
      <c r="L3" t="s">
        <v>2710</v>
      </c>
    </row>
    <row r="4" spans="1:30">
      <c r="C4" s="51"/>
      <c r="L4" t="s">
        <v>2711</v>
      </c>
    </row>
    <row r="5" spans="1:30">
      <c r="B5" s="2" t="s">
        <v>2712</v>
      </c>
      <c r="C5" s="141"/>
      <c r="D5" s="142"/>
      <c r="E5" s="52" t="s">
        <v>2713</v>
      </c>
      <c r="L5" t="s">
        <v>44</v>
      </c>
    </row>
    <row r="6" spans="1:30" ht="15" thickBot="1">
      <c r="B6" s="2"/>
      <c r="L6" t="s">
        <v>2714</v>
      </c>
    </row>
    <row r="7" spans="1:30">
      <c r="B7" s="2" t="s">
        <v>2715</v>
      </c>
      <c r="C7" s="28">
        <f>ROWS(_xlfn.ANCHORARRAY(C11))</f>
        <v>11</v>
      </c>
      <c r="L7" t="s">
        <v>24</v>
      </c>
    </row>
    <row r="8" spans="1:30">
      <c r="B8" s="2"/>
      <c r="L8" t="s">
        <v>2716</v>
      </c>
      <c r="M8" t="s">
        <v>2717</v>
      </c>
    </row>
    <row r="9" spans="1:30" s="3" customFormat="1" ht="30" customHeight="1">
      <c r="C9" s="143" t="s">
        <v>2718</v>
      </c>
      <c r="D9" s="143"/>
      <c r="F9"/>
      <c r="G9"/>
      <c r="H9"/>
      <c r="I9"/>
      <c r="J9"/>
      <c r="K9"/>
      <c r="L9"/>
      <c r="R9"/>
    </row>
    <row r="10" spans="1:30" s="3" customFormat="1" ht="30" customHeight="1">
      <c r="C10" s="9" t="str" cm="1">
        <f t="array" ref="C10:AD10">Contact[#Headers]</f>
        <v>Sequence</v>
      </c>
      <c r="D10" s="9" t="str">
        <v>First Name</v>
      </c>
      <c r="E10" s="9" t="str">
        <v>Last Name</v>
      </c>
      <c r="F10" s="9" t="str">
        <v>Name Descriptor</v>
      </c>
      <c r="G10" s="9" t="str">
        <v>Full Name</v>
      </c>
      <c r="H10" s="9" t="str">
        <v>Contactor</v>
      </c>
      <c r="I10" s="9" t="str">
        <v>Type of Contact</v>
      </c>
      <c r="J10" s="9" t="str">
        <v>Contact Date</v>
      </c>
      <c r="K10" s="9" t="str">
        <v>E-mail</v>
      </c>
      <c r="L10" s="9" t="str">
        <v>Phone</v>
      </c>
      <c r="M10" s="9" t="str">
        <v>Current Location</v>
      </c>
      <c r="N10" s="9" t="str">
        <v xml:space="preserve">Position </v>
      </c>
      <c r="O10" s="9" t="str">
        <v>Position Location</v>
      </c>
      <c r="P10" s="9" t="str">
        <v>McK Alum Status</v>
      </c>
      <c r="Q10" s="9" t="str">
        <v>Current Org</v>
      </c>
      <c r="R10" s="9" t="str">
        <v>Contact Notes</v>
      </c>
      <c r="S10" s="9" t="str">
        <v>Recommendation</v>
      </c>
      <c r="T10" s="9" t="str">
        <v>Status</v>
      </c>
      <c r="U10" s="9" t="str">
        <v>Final Decision</v>
      </c>
      <c r="V10" s="9" t="str">
        <v>Updated by</v>
      </c>
      <c r="W10" s="9" t="str">
        <v>Update Date</v>
      </c>
      <c r="X10" s="9" t="str">
        <v>Season</v>
      </c>
      <c r="Y10" s="9" t="str">
        <v>Asssigned</v>
      </c>
      <c r="Z10" s="9" t="str">
        <v>Latest</v>
      </c>
      <c r="AA10" s="3" t="str">
        <v>1_Waitlist/Sent/Answered</v>
      </c>
      <c r="AB10" s="3" t="str">
        <v>Comments</v>
      </c>
      <c r="AC10" s="3" t="str">
        <v>Active</v>
      </c>
      <c r="AD10" s="3" t="str">
        <v>Active Flag</v>
      </c>
    </row>
    <row r="11" spans="1:30" s="3" customFormat="1" ht="60" customHeight="1">
      <c r="C11" s="41" cm="1">
        <f t="array" ref="C11:AD21">IF(C5="",ALLSTATS,ONESTAT)</f>
        <v>3</v>
      </c>
      <c r="D11" s="13" t="str">
        <v>Khalid Abdullah</v>
      </c>
      <c r="E11" s="3" t="str">
        <v>Quidwai</v>
      </c>
      <c r="F11" s="3" t="str">
        <v xml:space="preserve"> </v>
      </c>
      <c r="G11" s="3" t="str">
        <v>Khalid Abdullah Quidwai</v>
      </c>
      <c r="H11" s="3" t="str">
        <v>Richeek Maitra</v>
      </c>
      <c r="I11" s="3" t="str">
        <v>Phone Screen</v>
      </c>
      <c r="J11" s="13">
        <v>44545</v>
      </c>
      <c r="K11" s="3" t="str">
        <v>khalidabdullah.iitkgp@gmail.com</v>
      </c>
      <c r="L11" s="3">
        <v>2677525084</v>
      </c>
      <c r="M11" s="3" t="str">
        <v>Dallas</v>
      </c>
      <c r="N11" s="3" t="str">
        <v>Director, Global Sourcing Commercial Strategy and Business Development</v>
      </c>
      <c r="O11" s="3" t="str">
        <v>Bentonville</v>
      </c>
      <c r="P11" s="3" t="str">
        <v>Firm Member</v>
      </c>
      <c r="Q11" s="3" t="str">
        <v>McKinsey</v>
      </c>
      <c r="R11" s="3" t="str">
        <v>Very analytics and data focussed
Excited by cross functional 
Excited about using AI/ML in the solution 
Likes to create solutions rather than ppt (prefernce)
Worked on a lot of mergers (stressful situations)
Establishes trust by talking abut shared experiences (early tenure but mature)
Looking to make a switch in Jan 2022, talking to 2 tech companies
MOving to Dallas next yeaar and would like to be based there</v>
      </c>
      <c r="S11" s="3" t="str">
        <v>Discontinue</v>
      </c>
      <c r="T11" s="3" t="str">
        <v>Complete</v>
      </c>
      <c r="U11" s="3" t="str">
        <v>Stop</v>
      </c>
      <c r="V11" s="3" t="str">
        <v>Richeek Maitra</v>
      </c>
      <c r="W11" s="3">
        <v>44545.586345254633</v>
      </c>
      <c r="X11" s="3">
        <v>2022</v>
      </c>
      <c r="Y11" s="3" t="str">
        <v>Miguel Sanchez</v>
      </c>
      <c r="Z11" s="3" t="b">
        <v>1</v>
      </c>
      <c r="AA11" s="3" t="str">
        <v/>
      </c>
      <c r="AB11" s="3" t="str">
        <v>Not found</v>
      </c>
      <c r="AC11" s="3">
        <v>0</v>
      </c>
      <c r="AD11" s="3">
        <v>0</v>
      </c>
    </row>
    <row r="12" spans="1:30" s="3" customFormat="1" ht="52.15" customHeight="1">
      <c r="C12" s="4">
        <v>2</v>
      </c>
      <c r="D12" s="13" t="str">
        <v>Kush</v>
      </c>
      <c r="E12" s="3" t="str">
        <v>Shrimali</v>
      </c>
      <c r="F12" s="3">
        <v>0</v>
      </c>
      <c r="G12" s="3" t="str">
        <v>Kush Shrimali</v>
      </c>
      <c r="H12" s="3" t="str">
        <v>Sumit Narang</v>
      </c>
      <c r="I12" s="3" t="str">
        <v>Phone Screen</v>
      </c>
      <c r="J12" s="13">
        <v>44547</v>
      </c>
      <c r="K12" s="3" t="str">
        <v>kushshrimali@gmail.com</v>
      </c>
      <c r="L12" s="3" t="str">
        <v>+91-9810201845</v>
      </c>
      <c r="M12" s="3" t="str">
        <v>Gurgaon India</v>
      </c>
      <c r="N12" s="3" t="str">
        <v>Director, Global Sourcing Commercial Strategy and Business Development</v>
      </c>
      <c r="O12" s="3" t="str">
        <v>BTV</v>
      </c>
      <c r="P12" s="3" t="str">
        <v>Firm Member</v>
      </c>
      <c r="Q12" s="3" t="str">
        <v>McK</v>
      </c>
      <c r="R12" s="3" t="str">
        <v>1. Overall – Can keep in shortlist, Worth evaluating further at junior end of Director level/ tenured Sr. Mgr. II 
a.Can be a good fit in team (decent experience, softer skills) 
b.However, has been in a backend (low risk) role for last 2.5 years (Nil client exposure) – executive presence needs to be evaluated further
c. Flexible on location (Bangalore, HK, BTV all ok) and joining (in no hurry to leave the Firm)
2. Professional background – Mostly McK (10 yrs), Started career in HP (~2 yrs.)
a. Started off in the Firm in McKC – worked his way up
b. Last client facing role was Expert (EM equivalent) – served mostly BFSI clients but also had exposure to Retail clients (US clients ~80%). More importantly, still delivering at EM level (though he got promoted to Senior Manager) 
c. Has been focused on Firm Transformation initiative (led by CFO – so, heavy Finance transformation angle) for the last 2.5 years
3. Exposure to senior management/ Org chart placement – Good within McKinsey (works with a NY based Partner), possible exposure to CFO 
4. Motivation to move to WMGS – 
a. Wants to move closer to execution – current role was also a step forward from traditional consulting 
b. Excited by WM GS brand &amp; the team
c. Not liking the focus of current work shift to Cloud migration from core transformation – which has been pushed back by 3-4 years due to IT transformation – which he does not find as exciting  
5. Constraints – Not much except Visa – does not have US H1 visa; L1 expired already (Has B1/B2 though for short visits)
6. Softer skills – Decent communication skills, opens-up easily</v>
      </c>
      <c r="S12" s="3" t="str">
        <v>Phone Screen</v>
      </c>
      <c r="T12" s="3" t="str">
        <v>In process</v>
      </c>
      <c r="U12" s="3" t="str">
        <v>Pending</v>
      </c>
      <c r="V12" s="3" t="str">
        <v>Sumit Narang</v>
      </c>
      <c r="W12" s="3">
        <v>44558.852246759256</v>
      </c>
      <c r="X12" s="3">
        <v>2022</v>
      </c>
      <c r="Y12" s="3" t="str">
        <v>Pranav Potbhare</v>
      </c>
      <c r="Z12" s="3" t="b">
        <v>1</v>
      </c>
      <c r="AA12" s="3" t="str">
        <v/>
      </c>
      <c r="AB12" s="3" t="str">
        <v>Not found</v>
      </c>
      <c r="AC12" s="3">
        <v>1</v>
      </c>
      <c r="AD12" s="3">
        <v>1</v>
      </c>
    </row>
    <row r="13" spans="1:30" s="3" customFormat="1" ht="47.25" customHeight="1">
      <c r="C13" s="4">
        <v>3</v>
      </c>
      <c r="D13" s="13" t="str">
        <v>Victor</v>
      </c>
      <c r="E13" s="3" t="str">
        <v>Pinto</v>
      </c>
      <c r="F13" s="3">
        <v>0</v>
      </c>
      <c r="G13" s="3" t="str">
        <v>Victor Pinto</v>
      </c>
      <c r="H13" s="3" t="str">
        <v>Miguel Sanchez</v>
      </c>
      <c r="I13" s="3" t="str">
        <v>Interview</v>
      </c>
      <c r="J13" s="13">
        <v>44585</v>
      </c>
      <c r="K13" s="3" t="str">
        <v>victordspinto@gmail.com</v>
      </c>
      <c r="L13" s="3" t="str">
        <v>n/a</v>
      </c>
      <c r="M13" s="3" t="str">
        <v>Park City, Utah</v>
      </c>
      <c r="N13" s="3" t="str">
        <v>Director, Global Sourcing Commercial Strategy and Business Development</v>
      </c>
      <c r="O13" s="3" t="str">
        <v>Bentonville</v>
      </c>
      <c r="P13" s="3" t="str">
        <v>Yes</v>
      </c>
      <c r="Q13" s="3" t="str">
        <v>McKinsey</v>
      </c>
      <c r="R13" s="3" t="str">
        <v>Decided to focus on FinTech</v>
      </c>
      <c r="S13" s="3" t="str">
        <v>Discontinue</v>
      </c>
      <c r="T13" s="3" t="str">
        <v>Complete</v>
      </c>
      <c r="U13" s="3" t="str">
        <v>Stop</v>
      </c>
      <c r="V13" s="3" t="str">
        <v>Miguel Sanchez</v>
      </c>
      <c r="W13" s="3">
        <v>44585.399152777776</v>
      </c>
      <c r="X13" s="3">
        <v>2022</v>
      </c>
      <c r="Y13" s="3" t="str">
        <v>No assignment</v>
      </c>
      <c r="Z13" s="3" t="b">
        <v>1</v>
      </c>
      <c r="AA13" s="3">
        <v>0</v>
      </c>
      <c r="AB13" s="3">
        <v>0</v>
      </c>
      <c r="AC13" s="3">
        <v>0</v>
      </c>
      <c r="AD13" s="3">
        <v>0</v>
      </c>
    </row>
    <row r="14" spans="1:30" s="3" customFormat="1" ht="75" customHeight="1">
      <c r="C14" s="4">
        <v>4</v>
      </c>
      <c r="D14" s="13" t="str">
        <v>Varun</v>
      </c>
      <c r="E14" s="3" t="str">
        <v>Kaushik</v>
      </c>
      <c r="F14" s="3" t="str">
        <v>VK_Dallas</v>
      </c>
      <c r="G14" s="3" t="str">
        <v>Varun Kaushik</v>
      </c>
      <c r="H14" s="3" t="str">
        <v>Miguel Sanchez</v>
      </c>
      <c r="I14" s="3" t="str">
        <v>Interview</v>
      </c>
      <c r="J14" s="13">
        <v>44585</v>
      </c>
      <c r="K14" s="3" t="str">
        <v>varunkaushik.kellogg@gmail.com</v>
      </c>
      <c r="L14" s="3">
        <v>8322898189</v>
      </c>
      <c r="M14" s="3" t="str">
        <v>Houston</v>
      </c>
      <c r="N14" s="3" t="str">
        <v>Director, Global Sourcing Commercial Strategy and Business Development</v>
      </c>
      <c r="O14" s="3" t="str">
        <v>Bentonville</v>
      </c>
      <c r="P14" s="3" t="str">
        <v>Alum</v>
      </c>
      <c r="Q14" s="3" t="str">
        <v>Resideo</v>
      </c>
      <c r="R14" s="3" t="str">
        <v>Need to figure out if we could place him permanently in Houston. Because I doubt it and he would have a hard time meeting the bar anyway, I am holding until I have HR confirmation on permanent remote work.</v>
      </c>
      <c r="S14" s="3" t="str">
        <v>Hold</v>
      </c>
      <c r="T14" s="3" t="str">
        <v>In process</v>
      </c>
      <c r="U14" s="3" t="str">
        <v>Waitlist</v>
      </c>
      <c r="V14" s="3" t="str">
        <v>Miguel Sanchez</v>
      </c>
      <c r="W14" s="3">
        <v>44586.776956018519</v>
      </c>
      <c r="X14" s="3">
        <v>2022</v>
      </c>
      <c r="Y14" s="3" t="str">
        <v>No assignment</v>
      </c>
      <c r="Z14" s="3" t="b">
        <v>1</v>
      </c>
      <c r="AA14" s="3">
        <v>0</v>
      </c>
      <c r="AB14" s="3">
        <v>0</v>
      </c>
      <c r="AC14" s="3">
        <v>1</v>
      </c>
      <c r="AD14" s="3">
        <v>1</v>
      </c>
    </row>
    <row r="15" spans="1:30" s="3" customFormat="1" ht="75" customHeight="1">
      <c r="C15" s="4">
        <v>3</v>
      </c>
      <c r="D15" s="13" t="str">
        <v>Aman</v>
      </c>
      <c r="E15" s="3" t="str">
        <v>Mohan</v>
      </c>
      <c r="F15" s="3">
        <v>0</v>
      </c>
      <c r="G15" s="3" t="str">
        <v>Aman Mohan</v>
      </c>
      <c r="H15" s="3" t="str">
        <v>Richeek Maitra</v>
      </c>
      <c r="I15" s="3" t="str">
        <v>Phone Screen</v>
      </c>
      <c r="J15" s="13">
        <v>44255</v>
      </c>
      <c r="K15" s="3" t="str">
        <v>aman.mohan804@gmail.com</v>
      </c>
      <c r="L15" s="3" t="str">
        <v>1-832-322-7841</v>
      </c>
      <c r="M15" s="3" t="str">
        <v>Houston</v>
      </c>
      <c r="N15" s="3" t="str">
        <v>Director, Global Sourcing Commercial Strategy and Business Development</v>
      </c>
      <c r="O15" s="3" t="str">
        <v>Bentonville</v>
      </c>
      <c r="P15" s="3" t="str">
        <v>Firm Member</v>
      </c>
      <c r="Q15" s="3" t="str">
        <v>McKinsey</v>
      </c>
      <c r="R15" s="3" t="str">
        <v>Would fit in the team very well. Skillset fit in 2 areas - procurement practice with expertise in chemicals, consulting and solution development skillset ; Willing to be hands on; objective to manage a large team and P&amp;L type role in future; he would like to explore whether Dir Level makes sense for him in relation to his current position/trajectory and compensation
Invite for interview and see if expectations can be worked out.</v>
      </c>
      <c r="S15" s="3" t="str">
        <v>Invite for Interview</v>
      </c>
      <c r="T15" s="3" t="str">
        <v>In process</v>
      </c>
      <c r="U15" s="3" t="str">
        <v>Pending</v>
      </c>
      <c r="V15" s="3" t="str">
        <v>Richeek Maitra</v>
      </c>
      <c r="W15" s="3">
        <v>44620.510118402781</v>
      </c>
      <c r="X15" s="3">
        <v>2022</v>
      </c>
      <c r="Y15" s="3" t="str">
        <v>Miguel Sanchez</v>
      </c>
      <c r="Z15" s="3" t="b">
        <v>1</v>
      </c>
      <c r="AA15" s="3">
        <v>0</v>
      </c>
      <c r="AB15" s="3">
        <v>0</v>
      </c>
      <c r="AC15" s="3">
        <v>1</v>
      </c>
      <c r="AD15" s="3">
        <v>1</v>
      </c>
    </row>
    <row r="16" spans="1:30" s="3" customFormat="1" ht="75" customHeight="1">
      <c r="C16" s="4">
        <v>3</v>
      </c>
      <c r="D16" s="3" t="str">
        <v>Miguel</v>
      </c>
      <c r="E16" s="3" t="str">
        <v>Solera</v>
      </c>
      <c r="F16" s="3" t="str">
        <v>n/a</v>
      </c>
      <c r="G16" s="3" t="str">
        <v>Miguel Solera</v>
      </c>
      <c r="H16" s="3" t="str">
        <v>Richeek Maitra</v>
      </c>
      <c r="I16" s="3" t="str">
        <v>Phone Screen</v>
      </c>
      <c r="J16" s="13">
        <v>44624</v>
      </c>
      <c r="K16" s="3" t="str">
        <v>msoleramartin@gmail.com</v>
      </c>
      <c r="L16" s="3" t="str">
        <v>n/a</v>
      </c>
      <c r="M16" s="3" t="str">
        <v>Madrid</v>
      </c>
      <c r="N16" s="3" t="str">
        <v>Director, Global Sourcing Commercial Strategy and Business Development</v>
      </c>
      <c r="O16" s="3" t="str">
        <v>Bentonville</v>
      </c>
      <c r="P16" s="3" t="str">
        <v>Yes</v>
      </c>
      <c r="Q16" s="3" t="str">
        <v>Amazon</v>
      </c>
      <c r="R16" s="3" t="str">
        <v>Seemed very focused and driven. A bit intense from an American perspective but can see him evolving his style. 
Recommend moving ahead with interviewing if we can make it work from location and role availability</v>
      </c>
      <c r="S16" s="3" t="str">
        <v>Invite for Interview</v>
      </c>
      <c r="T16" s="3" t="str">
        <v>In process</v>
      </c>
      <c r="U16" s="3" t="str">
        <v>Pending</v>
      </c>
      <c r="V16" s="3" t="str">
        <v>Richeek Maitra</v>
      </c>
      <c r="W16" s="3">
        <v>44624.458218171298</v>
      </c>
      <c r="X16" s="3">
        <v>2022</v>
      </c>
      <c r="Y16" s="3" t="str">
        <v>Miguel Sanchez</v>
      </c>
      <c r="Z16" s="3" t="b">
        <v>1</v>
      </c>
      <c r="AA16" s="3">
        <v>0</v>
      </c>
      <c r="AB16" s="3">
        <v>0</v>
      </c>
      <c r="AC16" s="3">
        <v>1</v>
      </c>
      <c r="AD16" s="3">
        <v>1</v>
      </c>
    </row>
    <row r="17" spans="3:30" s="3" customFormat="1" ht="75" customHeight="1">
      <c r="C17" s="4">
        <v>2</v>
      </c>
      <c r="D17" s="3" t="str">
        <v>Peter John</v>
      </c>
      <c r="E17" s="3" t="str">
        <v>Lasky</v>
      </c>
      <c r="F17" s="3" t="str">
        <v>PJL</v>
      </c>
      <c r="G17" s="3" t="str">
        <v>Peter John Lasky</v>
      </c>
      <c r="H17" s="3" t="str">
        <v>Richeek Maitra</v>
      </c>
      <c r="I17" s="3" t="str">
        <v>Phone Screen</v>
      </c>
      <c r="J17" s="3">
        <v>44624</v>
      </c>
      <c r="K17" s="3" t="str">
        <v>pjlaskyny@yahoo.com</v>
      </c>
      <c r="L17" s="3">
        <v>8632548847</v>
      </c>
      <c r="M17" s="3" t="str">
        <v>Unknown</v>
      </c>
      <c r="N17" s="3" t="str">
        <v>Director, Global Sourcing Commercial Strategy and Business Development</v>
      </c>
      <c r="O17" s="3" t="str">
        <v>Bentonville</v>
      </c>
      <c r="P17" s="3" t="str">
        <v>Alum</v>
      </c>
      <c r="Q17" s="3" t="str">
        <v>Independent Consultant</v>
      </c>
      <c r="R17" s="3" t="str">
        <v xml:space="preserve">Has been in corporate strategy and business develop all through. Mainly M&amp;A, Divestiture and traditional Growth Strategy in Telecom. Moved around with his manager from Lucent to Vodafone to Ooredoo. At Ooredoo he worked in contract mode doing consultative sales for Huawei equipment. Moved back to US in 2020 durng Covid without a plan - looking broadly for opportunities of interest. Walmart interesting because of scale and learning opportunity. Openly admitted that he is considering Dir level in WM due to his lack of expereince in the industry - in telecom he would be looking for VP level
Older guy with a Phd in Physics, was humble and realistic (for an American) - industry expereince is not relevant - however could bring a different perspective in a different role within GS  - he could be a great resource like Chris McSpaden or at the other end a Sunil Pandey. Would be good for Miguel to speak and see if he coud be directed to the right direction
</v>
      </c>
      <c r="S17" s="3" t="str">
        <v>Additional phone screen</v>
      </c>
      <c r="T17" s="3" t="str">
        <v>In process</v>
      </c>
      <c r="U17" s="3" t="str">
        <v>Pending</v>
      </c>
      <c r="V17" s="3" t="str">
        <v>Richeek Maitra</v>
      </c>
      <c r="W17" s="3">
        <v>44624.477341666665</v>
      </c>
      <c r="X17" s="3">
        <v>2022</v>
      </c>
      <c r="Y17" s="3" t="str">
        <v>Miguel Sanchez</v>
      </c>
      <c r="Z17" s="3" t="b">
        <v>1</v>
      </c>
      <c r="AA17" s="3">
        <v>0</v>
      </c>
      <c r="AB17" s="3">
        <v>0</v>
      </c>
      <c r="AC17" s="3">
        <v>1</v>
      </c>
      <c r="AD17" s="3">
        <v>1</v>
      </c>
    </row>
    <row r="18" spans="3:30" ht="28.9">
      <c r="C18">
        <v>4</v>
      </c>
      <c r="D18" t="str">
        <v>Patricia</v>
      </c>
      <c r="E18" t="str">
        <v>Fukuda O'Donnell</v>
      </c>
      <c r="F18">
        <v>0</v>
      </c>
      <c r="G18" s="3" t="str">
        <v>Patricia Fukuda O'Donnell</v>
      </c>
      <c r="H18" s="3" t="str">
        <v>Miguel Sanchez</v>
      </c>
      <c r="I18" s="3" t="str">
        <v>Review and Decision</v>
      </c>
      <c r="J18" s="3">
        <v>44575</v>
      </c>
      <c r="K18" t="str">
        <v>patriciafukuda5@gmail.com</v>
      </c>
      <c r="L18">
        <v>9176087840</v>
      </c>
      <c r="M18" t="str">
        <v>SF Bay Area</v>
      </c>
      <c r="N18" t="str">
        <v>Director, Global Sourcing Commercial Strategy and Business Development</v>
      </c>
      <c r="O18" t="str">
        <v>Bentonville</v>
      </c>
      <c r="P18" t="str">
        <v>Alum</v>
      </c>
      <c r="Q18" t="str">
        <v>Bxblue</v>
      </c>
      <c r="R18" s="3" t="str">
        <v>Closing case to remove from active pending bucket</v>
      </c>
      <c r="S18" s="3" t="str">
        <v>Discontinue</v>
      </c>
      <c r="T18" s="3" t="str">
        <v>Complete</v>
      </c>
      <c r="U18" s="3" t="str">
        <v>Stop</v>
      </c>
      <c r="V18" s="3" t="str">
        <v>Miguel Sanchez</v>
      </c>
      <c r="W18" s="3">
        <v>44628.528342939811</v>
      </c>
      <c r="X18" s="3">
        <v>2022</v>
      </c>
      <c r="Y18" s="3">
        <v>0</v>
      </c>
      <c r="Z18" s="3" t="b">
        <v>1</v>
      </c>
      <c r="AA18">
        <v>0</v>
      </c>
      <c r="AB18">
        <v>0</v>
      </c>
      <c r="AC18">
        <v>0</v>
      </c>
      <c r="AD18">
        <v>0</v>
      </c>
    </row>
    <row r="19" spans="3:30">
      <c r="C19">
        <v>4</v>
      </c>
      <c r="D19" t="str">
        <v>Sai Nithin</v>
      </c>
      <c r="E19" t="str">
        <v>Kantareddy</v>
      </c>
      <c r="F19">
        <v>0</v>
      </c>
      <c r="G19" t="str">
        <v>Sai Nithin Kantareddy</v>
      </c>
      <c r="H19" t="str">
        <v>Miguel Sanchez</v>
      </c>
      <c r="I19" t="str">
        <v>Review and Decision</v>
      </c>
      <c r="J19">
        <v>44691</v>
      </c>
      <c r="K19" t="str">
        <v>nithin@mit.edu</v>
      </c>
      <c r="L19">
        <v>8147777450</v>
      </c>
      <c r="M19" t="str">
        <v>Seattle</v>
      </c>
      <c r="N19" t="str">
        <v>Director, Global Sourcing Commercial Strategy and Business Development</v>
      </c>
      <c r="O19" t="str">
        <v>Bentonville</v>
      </c>
      <c r="P19" t="str">
        <v>Firm member</v>
      </c>
      <c r="Q19" t="str">
        <v>McKinsey</v>
      </c>
      <c r="R19" t="str">
        <v>Suspend action and Unassign from Miguel for the moment</v>
      </c>
      <c r="S19" t="str">
        <v>Hold</v>
      </c>
      <c r="T19" t="str">
        <v>In process</v>
      </c>
      <c r="U19" t="str">
        <v>Pending</v>
      </c>
      <c r="V19" t="str">
        <v>Miguel Sanchez</v>
      </c>
      <c r="W19">
        <v>44691.411924537038</v>
      </c>
      <c r="X19">
        <v>2022</v>
      </c>
      <c r="Y19" t="str">
        <v>No assignment</v>
      </c>
      <c r="Z19" t="b">
        <v>1</v>
      </c>
      <c r="AA19">
        <v>0</v>
      </c>
      <c r="AB19">
        <v>0</v>
      </c>
      <c r="AC19">
        <v>1</v>
      </c>
      <c r="AD19">
        <v>1</v>
      </c>
    </row>
    <row r="20" spans="3:30">
      <c r="C20">
        <v>7</v>
      </c>
      <c r="D20" t="str">
        <v>Simin</v>
      </c>
      <c r="E20" t="str">
        <v>Sadeghi</v>
      </c>
      <c r="F20" t="str">
        <v xml:space="preserve"> </v>
      </c>
      <c r="G20" t="str">
        <v>Simin Sadeghi</v>
      </c>
      <c r="H20" t="str">
        <v>Miguel Sanchez</v>
      </c>
      <c r="I20" t="str">
        <v>Review and Decision</v>
      </c>
      <c r="J20">
        <v>44691</v>
      </c>
      <c r="K20" t="str">
        <v>s.siimin@gmail.com</v>
      </c>
      <c r="L20">
        <v>9795711543</v>
      </c>
      <c r="M20" t="str">
        <v>Houston</v>
      </c>
      <c r="N20" t="str">
        <v>Director, Global Sourcing Commercial Strategy and Business Development</v>
      </c>
      <c r="O20" t="str">
        <v>Bentonville</v>
      </c>
      <c r="P20" t="str">
        <v>Firm Member</v>
      </c>
      <c r="Q20" t="str">
        <v>McKinsey</v>
      </c>
      <c r="R20" t="str">
        <v>Changing status based on Miguel previous discussion</v>
      </c>
      <c r="S20" t="str">
        <v>Discontinue</v>
      </c>
      <c r="T20" t="str">
        <v>Complete</v>
      </c>
      <c r="U20" t="str">
        <v>Stop</v>
      </c>
      <c r="V20" t="str">
        <v>Miguel Sanchez</v>
      </c>
      <c r="W20">
        <v>44691.412834606483</v>
      </c>
      <c r="X20">
        <v>2022</v>
      </c>
      <c r="Y20" t="str">
        <v>No assignment</v>
      </c>
      <c r="Z20" t="b">
        <v>1</v>
      </c>
      <c r="AA20">
        <v>0</v>
      </c>
      <c r="AB20">
        <v>0</v>
      </c>
      <c r="AC20">
        <v>0</v>
      </c>
      <c r="AD20">
        <v>0</v>
      </c>
    </row>
    <row r="21" spans="3:30">
      <c r="C21">
        <v>8</v>
      </c>
      <c r="D21" t="str">
        <v>Sumitaka</v>
      </c>
      <c r="E21" t="str">
        <v>Koga</v>
      </c>
      <c r="F21">
        <v>0</v>
      </c>
      <c r="G21" t="str">
        <v>Sumitaka Koga</v>
      </c>
      <c r="H21" t="str">
        <v>Pranav Potbhare</v>
      </c>
      <c r="I21" t="str">
        <v>Phone Screen</v>
      </c>
      <c r="J21">
        <v>44694</v>
      </c>
      <c r="K21" t="str">
        <v>sumitaka.koga@gmail.com</v>
      </c>
      <c r="L21" t="str">
        <v xml:space="preserve">(+1) 512-994-8806 </v>
      </c>
      <c r="M21" t="str">
        <v>Austin</v>
      </c>
      <c r="N21" t="str">
        <v>Director, Global Sourcing Commercial Strategy and Business Development</v>
      </c>
      <c r="O21" t="str">
        <v>Bentonville</v>
      </c>
      <c r="P21" t="str">
        <v>Alum</v>
      </c>
      <c r="Q21" t="str">
        <v>Dell</v>
      </c>
      <c r="R21" t="str">
        <v>Besides an overall understanding of the psat roles, checked via two mini-cases: 1. COO diversification at Dell, 2. setting category strategy for a 'difficult' GS VP. 
Strengths: 1. Reasonably good at structuring, picked up the right pillars / components in above mini-cases; 2. Good at common sense approach to relationship building with clients - "listening", "build on VP's measures", etc; 3. Great attitude, keen to take up new industry challenges; 
Unproven / gaps: 1. Agree with prev. feedback about past focus on projects vs. strategy. Not able to clearly highlight impact via core strategy vs. program initiatives in past roles; 2. Dell Data Gov. experience in working with multiple leaders as stakeholders on individual projects - however not owned the relationship with a leader consistently.  3. Might require support to 'own' a GS leader fully.
Summary: Entreprising candidate, great pedigree &amp; experience, EM toolkit not fully developed but we could help bridge gaps in a year to help him scale up.</v>
      </c>
      <c r="S21" t="str">
        <v>Invite for Interview</v>
      </c>
      <c r="T21" t="str">
        <v>In process</v>
      </c>
      <c r="U21" t="str">
        <v>Pending</v>
      </c>
      <c r="V21" t="str">
        <v>Pranav Potbhare</v>
      </c>
      <c r="W21">
        <v>44694.663603703702</v>
      </c>
      <c r="X21">
        <v>2022</v>
      </c>
      <c r="Y21" t="str">
        <v>Miguel Sanchez</v>
      </c>
      <c r="Z21" t="b">
        <v>1</v>
      </c>
      <c r="AA21">
        <v>0</v>
      </c>
      <c r="AB21">
        <v>0</v>
      </c>
      <c r="AC21">
        <v>1</v>
      </c>
      <c r="AD21">
        <v>1</v>
      </c>
    </row>
  </sheetData>
  <mergeCells count="4">
    <mergeCell ref="C2:D2"/>
    <mergeCell ref="C3:D3"/>
    <mergeCell ref="C9:D9"/>
    <mergeCell ref="C5:D5"/>
  </mergeCells>
  <conditionalFormatting sqref="C11:F17">
    <cfRule type="notContainsBlanks" dxfId="8" priority="9">
      <formula>LEN(TRIM(C11))&gt;0</formula>
    </cfRule>
  </conditionalFormatting>
  <conditionalFormatting sqref="K11:Q13">
    <cfRule type="notContainsBlanks" dxfId="7" priority="8">
      <formula>LEN(TRIM(K11))&gt;0</formula>
    </cfRule>
  </conditionalFormatting>
  <conditionalFormatting sqref="C10:Q10">
    <cfRule type="notContainsBlanks" dxfId="6" priority="7">
      <formula>LEN(TRIM(C10))&gt;0</formula>
    </cfRule>
  </conditionalFormatting>
  <conditionalFormatting sqref="D11:D15">
    <cfRule type="cellIs" dxfId="5" priority="6" operator="equal">
      <formula>0</formula>
    </cfRule>
  </conditionalFormatting>
  <conditionalFormatting sqref="G11:J18">
    <cfRule type="notContainsBlanks" dxfId="4" priority="5">
      <formula>LEN(TRIM(G11))&gt;0</formula>
    </cfRule>
  </conditionalFormatting>
  <conditionalFormatting sqref="G11:J18">
    <cfRule type="cellIs" dxfId="3" priority="4" operator="equal">
      <formula>0</formula>
    </cfRule>
  </conditionalFormatting>
  <conditionalFormatting sqref="R10:Z10">
    <cfRule type="notContainsBlanks" dxfId="2" priority="2">
      <formula>LEN(TRIM(R10))&gt;0</formula>
    </cfRule>
  </conditionalFormatting>
  <conditionalFormatting sqref="R11:Z18">
    <cfRule type="notContainsBlanks" dxfId="1" priority="1">
      <formula>LEN(TRIM(R11))&gt;0</formula>
    </cfRule>
  </conditionalFormatting>
  <hyperlinks>
    <hyperlink ref="F1" location="Menu!A1" display="Back to Menu" xr:uid="{7AB8BC3C-8677-466A-874B-8042C0B215B0}"/>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51B1A57-6EFF-4EBC-9182-A99C7C10938E}">
          <x14:formula1>
            <xm:f>_xlfn.ANCHORARRAY(Lookups!$O$2)</xm:f>
          </x14:formula1>
          <xm:sqref>C3:D3</xm:sqref>
        </x14:dataValidation>
        <x14:dataValidation type="list" allowBlank="1" showInputMessage="1" showErrorMessage="1" xr:uid="{2EB5657E-6A2C-4DF5-85E8-E862B59AB5B2}">
          <x14:formula1>
            <xm:f>_xlfn.ANCHORARRAY(Lookups!$M$2)</xm:f>
          </x14:formula1>
          <xm:sqref>C5:D5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6198E-071C-4A43-9F0E-BBF96D2D74BF}">
  <sheetPr codeName="Sheet5"/>
  <dimension ref="A1:AY112"/>
  <sheetViews>
    <sheetView showGridLines="0" workbookViewId="0">
      <selection activeCell="D10" sqref="D10"/>
    </sheetView>
  </sheetViews>
  <sheetFormatPr defaultRowHeight="14.45"/>
  <cols>
    <col min="1" max="1" width="6" bestFit="1" customWidth="1"/>
    <col min="2" max="2" width="18.7109375" customWidth="1"/>
    <col min="3" max="3" width="15.85546875" customWidth="1"/>
    <col min="4" max="4" width="17.28515625" customWidth="1"/>
    <col min="5" max="5" width="14.42578125" customWidth="1"/>
    <col min="6" max="6" width="20.7109375" customWidth="1"/>
    <col min="7" max="7" width="13.7109375" customWidth="1"/>
    <col min="8" max="8" width="17.140625" customWidth="1"/>
    <col min="9" max="9" width="13.7109375" customWidth="1"/>
    <col min="10" max="10" width="17.7109375" customWidth="1"/>
    <col min="11" max="11" width="17.28515625" customWidth="1"/>
    <col min="12" max="12" width="13.7109375" customWidth="1"/>
    <col min="13" max="13" width="11.28515625" customWidth="1"/>
    <col min="14" max="14" width="13.85546875" customWidth="1"/>
    <col min="20" max="20" width="16.28515625" bestFit="1" customWidth="1"/>
    <col min="21" max="21" width="10.5703125" bestFit="1" customWidth="1"/>
    <col min="25" max="25" width="16.28515625" bestFit="1" customWidth="1"/>
    <col min="31" max="31" width="10.5703125" bestFit="1" customWidth="1"/>
    <col min="34" max="43" width="14.7109375" customWidth="1"/>
  </cols>
  <sheetData>
    <row r="1" spans="1:51" ht="15.6" thickTop="1" thickBot="1">
      <c r="A1" s="88" t="b">
        <f>AND(B5&lt;&gt;"",C5&lt;&gt;"",N5&lt;&gt;"",E5&lt;&gt;"",F5&lt;&gt;"",G5&lt;&gt;"",M5&lt;&gt;"",I5&lt;&gt;"")</f>
        <v>0</v>
      </c>
      <c r="B1" s="1" t="s">
        <v>1</v>
      </c>
      <c r="E1" s="59"/>
      <c r="F1" t="s">
        <v>2719</v>
      </c>
    </row>
    <row r="2" spans="1:51" ht="15.6" thickTop="1" thickBot="1"/>
    <row r="3" spans="1:51">
      <c r="B3" s="73" t="s">
        <v>2720</v>
      </c>
      <c r="C3" s="74"/>
      <c r="D3" s="74"/>
      <c r="E3" s="74"/>
      <c r="F3" s="74"/>
      <c r="G3" s="74"/>
      <c r="H3" s="74"/>
      <c r="I3" s="74"/>
      <c r="J3" s="74"/>
      <c r="K3" s="74"/>
      <c r="L3" s="74"/>
      <c r="M3" s="74"/>
      <c r="N3" s="75"/>
    </row>
    <row r="4" spans="1:51" ht="15" thickBot="1">
      <c r="B4" s="67" t="s">
        <v>30</v>
      </c>
      <c r="C4" s="7" t="s">
        <v>31</v>
      </c>
      <c r="D4" s="7" t="s">
        <v>32</v>
      </c>
      <c r="E4" s="7" t="s">
        <v>33</v>
      </c>
      <c r="F4" s="7" t="s">
        <v>2721</v>
      </c>
      <c r="G4" s="7" t="s">
        <v>36</v>
      </c>
      <c r="H4" s="7" t="s">
        <v>37</v>
      </c>
      <c r="I4" s="7" t="s">
        <v>38</v>
      </c>
      <c r="J4" s="7" t="s">
        <v>39</v>
      </c>
      <c r="K4" s="7" t="s">
        <v>40</v>
      </c>
      <c r="L4" s="7" t="s">
        <v>41</v>
      </c>
      <c r="M4" s="7" t="s">
        <v>23</v>
      </c>
      <c r="N4" s="68" t="s">
        <v>2722</v>
      </c>
    </row>
    <row r="5" spans="1:51" ht="15.6" thickTop="1" thickBot="1">
      <c r="B5" s="76"/>
      <c r="C5" s="59"/>
      <c r="E5" s="59"/>
      <c r="F5" s="83"/>
      <c r="G5" s="136"/>
      <c r="H5" s="136"/>
      <c r="I5" s="59"/>
      <c r="J5" s="136"/>
      <c r="K5" s="136"/>
      <c r="L5" s="136"/>
      <c r="M5" s="59"/>
      <c r="N5" s="69"/>
    </row>
    <row r="6" spans="1:51" ht="15.6" thickTop="1" thickBot="1">
      <c r="B6" s="70"/>
      <c r="C6" s="71"/>
      <c r="D6" s="71"/>
      <c r="E6" s="71"/>
      <c r="F6" s="71"/>
      <c r="G6" s="71"/>
      <c r="H6" s="71"/>
      <c r="I6" s="71"/>
      <c r="J6" s="71"/>
      <c r="K6" s="71"/>
      <c r="L6" s="71"/>
      <c r="M6" s="71"/>
      <c r="N6" s="72"/>
    </row>
    <row r="8" spans="1:51">
      <c r="B8" s="84" t="s">
        <v>2723</v>
      </c>
      <c r="C8" s="85" t="s">
        <v>2724</v>
      </c>
      <c r="D8" s="86"/>
      <c r="E8" s="86"/>
      <c r="F8" s="86"/>
      <c r="G8" s="86"/>
      <c r="H8" s="86"/>
      <c r="I8" s="86"/>
      <c r="J8" s="86"/>
      <c r="K8" s="86"/>
    </row>
    <row r="9" spans="1:51">
      <c r="A9" s="88" t="b">
        <f>AND(B11&lt;&gt;"",C11&lt;&gt;"",H11&lt;&gt;"",E11&lt;&gt;"",F11&lt;&gt;"",J11&lt;&gt;"",G11&lt;&gt;"",K11&lt;&gt;"")</f>
        <v>0</v>
      </c>
      <c r="B9" cm="1">
        <f t="array" ref="B9">IFERROR(ROWS(_xlfn._xlws.FILTER(Bulktable[],Bulktable[First Name]&lt;&gt;"")),0)</f>
        <v>0</v>
      </c>
      <c r="T9" s="2" t="s">
        <v>2725</v>
      </c>
      <c r="U9" s="2" t="s">
        <v>2726</v>
      </c>
      <c r="X9" t="s">
        <v>2727</v>
      </c>
    </row>
    <row r="10" spans="1:51" ht="28.9">
      <c r="B10" s="87" t="s">
        <v>30</v>
      </c>
      <c r="C10" s="87" t="s">
        <v>31</v>
      </c>
      <c r="D10" s="3" t="s">
        <v>32</v>
      </c>
      <c r="E10" s="87" t="s">
        <v>33</v>
      </c>
      <c r="F10" s="87" t="s">
        <v>2728</v>
      </c>
      <c r="G10" s="87" t="s">
        <v>37</v>
      </c>
      <c r="H10" s="87" t="s">
        <v>38</v>
      </c>
      <c r="I10" s="3" t="s">
        <v>39</v>
      </c>
      <c r="J10" s="87" t="s">
        <v>23</v>
      </c>
      <c r="K10" s="87" t="s">
        <v>2722</v>
      </c>
      <c r="T10">
        <f>ROWS(Contact[])+1</f>
        <v>515</v>
      </c>
      <c r="U10">
        <f>B9</f>
        <v>0</v>
      </c>
      <c r="X10">
        <f>COUNTA(_xlfn.ANCHORARRAY(X12))-1</f>
        <v>27</v>
      </c>
    </row>
    <row r="12" spans="1:51">
      <c r="T12" s="2" t="s">
        <v>2729</v>
      </c>
      <c r="U12" s="2" t="s">
        <v>2730</v>
      </c>
      <c r="X12" t="str" cm="1">
        <f t="array" ref="X12:AY12">Contact[#Headers]</f>
        <v>Sequence</v>
      </c>
      <c r="Y12" t="str">
        <v>First Name</v>
      </c>
      <c r="Z12" t="str">
        <v>Last Name</v>
      </c>
      <c r="AA12" t="str">
        <v>Name Descriptor</v>
      </c>
      <c r="AB12" t="str">
        <v>Full Name</v>
      </c>
      <c r="AC12" t="str">
        <v>Contactor</v>
      </c>
      <c r="AD12" t="str">
        <v>Type of Contact</v>
      </c>
      <c r="AE12" t="str">
        <v>Contact Date</v>
      </c>
      <c r="AF12" t="str">
        <v>E-mail</v>
      </c>
      <c r="AG12" t="str">
        <v>Phone</v>
      </c>
      <c r="AH12" t="str">
        <v>Current Location</v>
      </c>
      <c r="AI12" t="str">
        <v xml:space="preserve">Position </v>
      </c>
      <c r="AJ12" t="str">
        <v>Position Location</v>
      </c>
      <c r="AK12" t="str">
        <v>McK Alum Status</v>
      </c>
      <c r="AL12" t="str">
        <v>Current Org</v>
      </c>
      <c r="AM12" t="str">
        <v>Contact Notes</v>
      </c>
      <c r="AN12" t="str">
        <v>Recommendation</v>
      </c>
      <c r="AO12" t="str">
        <v>Status</v>
      </c>
      <c r="AP12" t="str">
        <v>Final Decision</v>
      </c>
      <c r="AQ12" t="str">
        <v>Updated by</v>
      </c>
      <c r="AR12" t="str">
        <v>Update Date</v>
      </c>
      <c r="AS12" t="str">
        <v>Season</v>
      </c>
      <c r="AT12" t="str">
        <v>Asssigned</v>
      </c>
      <c r="AU12" t="str">
        <v>Latest</v>
      </c>
      <c r="AV12" t="str">
        <v>1_Waitlist/Sent/Answered</v>
      </c>
      <c r="AW12" t="str">
        <v>Comments</v>
      </c>
      <c r="AX12" t="str">
        <v>Active</v>
      </c>
      <c r="AY12" t="str">
        <v>Active Flag</v>
      </c>
    </row>
    <row r="13" spans="1:51">
      <c r="T13" t="str" cm="1">
        <f t="array" ref="T13:T40">TRANSPOSE(Contact[#Headers])</f>
        <v>Sequence</v>
      </c>
      <c r="U13">
        <v>1</v>
      </c>
      <c r="W13">
        <v>1</v>
      </c>
      <c r="X13" t="str">
        <f t="shared" ref="X13:X77" si="0">IF(W13&lt;=$U$10,1,"")</f>
        <v/>
      </c>
      <c r="Y13" cm="1">
        <f t="array" ref="Y13:AA13">Bulktable[[First Name]:[Name Descriptor]]</f>
        <v>0</v>
      </c>
      <c r="Z13">
        <v>0</v>
      </c>
      <c r="AA13">
        <v>0</v>
      </c>
      <c r="AB13" t="str">
        <f>Y13&amp;" "&amp;Z13</f>
        <v>0 0</v>
      </c>
      <c r="AC13" cm="1">
        <f t="array" ref="AC13">Bulktable[Contactor]</f>
        <v>0</v>
      </c>
      <c r="AD13" t="str">
        <f>IF(W13&lt;=$U$10,"Extraction","")</f>
        <v/>
      </c>
      <c r="AE13" s="39" t="str">
        <f ca="1">IF(W13&lt;=$U$10,TODAY(),"")</f>
        <v/>
      </c>
      <c r="AF13" cm="1">
        <f t="array" ref="AF13">Bulktable[E-mail/Link]</f>
        <v>0</v>
      </c>
      <c r="AH13" cm="1">
        <f t="array" ref="AH13:AJ13">Bulktable[[Current Location]:[Position Location]]</f>
        <v>0</v>
      </c>
      <c r="AI13">
        <v>0</v>
      </c>
      <c r="AJ13">
        <v>0</v>
      </c>
      <c r="AO13" t="str">
        <f>IF(W13&lt;=$U$10,"Extracted","")</f>
        <v/>
      </c>
      <c r="AR13" t="str">
        <f ca="1">IF(W13&lt;=$U$10,NOW(),"")</f>
        <v/>
      </c>
      <c r="AS13" cm="1">
        <f t="array" ref="AS13:AT13">Bulktable[[Season]:[Asssigned to]]</f>
        <v>0</v>
      </c>
      <c r="AT13">
        <v>0</v>
      </c>
    </row>
    <row r="14" spans="1:51">
      <c r="T14" t="str">
        <v>First Name</v>
      </c>
      <c r="U14">
        <f>B5</f>
        <v>0</v>
      </c>
      <c r="W14">
        <v>2</v>
      </c>
      <c r="X14" t="str">
        <f t="shared" si="0"/>
        <v/>
      </c>
      <c r="AD14" t="str">
        <f t="shared" ref="AD14:AD77" si="1">IF(W14&lt;=$U$10,"Extraction","")</f>
        <v/>
      </c>
      <c r="AE14" s="39" t="str">
        <f t="shared" ref="AE14:AE48" ca="1" si="2">IF(W14&lt;=$U$10,TODAY(),"")</f>
        <v/>
      </c>
      <c r="AO14" t="str">
        <f t="shared" ref="AO14:AO77" si="3">IF(W14&lt;=$U$10,"Extracted","")</f>
        <v/>
      </c>
      <c r="AR14" t="str">
        <f t="shared" ref="AR14:AR77" ca="1" si="4">IF(W14&lt;=$U$10,NOW(),"")</f>
        <v/>
      </c>
    </row>
    <row r="15" spans="1:51">
      <c r="T15" t="str">
        <v>Last Name</v>
      </c>
      <c r="U15">
        <f>C5</f>
        <v>0</v>
      </c>
      <c r="W15">
        <v>3</v>
      </c>
      <c r="X15" t="str">
        <f t="shared" si="0"/>
        <v/>
      </c>
      <c r="AD15" t="str">
        <f t="shared" si="1"/>
        <v/>
      </c>
      <c r="AE15" s="39" t="str">
        <f t="shared" ca="1" si="2"/>
        <v/>
      </c>
      <c r="AO15" t="str">
        <f t="shared" si="3"/>
        <v/>
      </c>
      <c r="AR15" t="str">
        <f t="shared" ca="1" si="4"/>
        <v/>
      </c>
    </row>
    <row r="16" spans="1:51">
      <c r="T16" t="str">
        <v>Name Descriptor</v>
      </c>
      <c r="U16">
        <f>D5</f>
        <v>0</v>
      </c>
      <c r="W16">
        <v>4</v>
      </c>
      <c r="X16" t="str">
        <f t="shared" si="0"/>
        <v/>
      </c>
      <c r="AD16" t="str">
        <f t="shared" si="1"/>
        <v/>
      </c>
      <c r="AE16" s="39" t="str">
        <f t="shared" ca="1" si="2"/>
        <v/>
      </c>
      <c r="AO16" t="str">
        <f t="shared" si="3"/>
        <v/>
      </c>
      <c r="AR16" t="str">
        <f t="shared" ca="1" si="4"/>
        <v/>
      </c>
    </row>
    <row r="17" spans="20:44">
      <c r="T17" t="str">
        <v>Full Name</v>
      </c>
      <c r="U17" t="str">
        <f>U14&amp;" "&amp;U15</f>
        <v>0 0</v>
      </c>
      <c r="W17">
        <v>5</v>
      </c>
      <c r="X17" t="str">
        <f t="shared" si="0"/>
        <v/>
      </c>
      <c r="AD17" t="str">
        <f t="shared" si="1"/>
        <v/>
      </c>
      <c r="AE17" s="39" t="str">
        <f t="shared" ca="1" si="2"/>
        <v/>
      </c>
      <c r="AO17" t="str">
        <f t="shared" si="3"/>
        <v/>
      </c>
      <c r="AR17" t="str">
        <f t="shared" ca="1" si="4"/>
        <v/>
      </c>
    </row>
    <row r="18" spans="20:44">
      <c r="T18" t="str">
        <v>Contactor</v>
      </c>
      <c r="U18">
        <f>E5</f>
        <v>0</v>
      </c>
      <c r="W18">
        <v>6</v>
      </c>
      <c r="X18" t="str">
        <f t="shared" si="0"/>
        <v/>
      </c>
      <c r="AD18" t="str">
        <f t="shared" si="1"/>
        <v/>
      </c>
      <c r="AE18" s="39" t="str">
        <f t="shared" ca="1" si="2"/>
        <v/>
      </c>
      <c r="AO18" t="str">
        <f t="shared" si="3"/>
        <v/>
      </c>
      <c r="AR18" t="str">
        <f t="shared" ca="1" si="4"/>
        <v/>
      </c>
    </row>
    <row r="19" spans="20:44">
      <c r="T19" t="str">
        <v>Type of Contact</v>
      </c>
      <c r="U19" t="s">
        <v>2558</v>
      </c>
      <c r="W19">
        <v>7</v>
      </c>
      <c r="X19" t="str">
        <f t="shared" si="0"/>
        <v/>
      </c>
      <c r="AD19" t="str">
        <f t="shared" si="1"/>
        <v/>
      </c>
      <c r="AE19" s="39" t="str">
        <f t="shared" ca="1" si="2"/>
        <v/>
      </c>
      <c r="AO19" t="str">
        <f t="shared" si="3"/>
        <v/>
      </c>
      <c r="AR19" t="str">
        <f t="shared" ca="1" si="4"/>
        <v/>
      </c>
    </row>
    <row r="20" spans="20:44">
      <c r="T20" t="str">
        <v>Contact Date</v>
      </c>
      <c r="U20" s="39">
        <f ca="1">TODAY()</f>
        <v>44749</v>
      </c>
      <c r="W20">
        <v>8</v>
      </c>
      <c r="X20" t="str">
        <f t="shared" si="0"/>
        <v/>
      </c>
      <c r="AD20" t="str">
        <f t="shared" si="1"/>
        <v/>
      </c>
      <c r="AE20" s="39" t="str">
        <f t="shared" ca="1" si="2"/>
        <v/>
      </c>
      <c r="AO20" t="str">
        <f t="shared" si="3"/>
        <v/>
      </c>
      <c r="AR20" t="str">
        <f t="shared" ca="1" si="4"/>
        <v/>
      </c>
    </row>
    <row r="21" spans="20:44">
      <c r="T21" t="str">
        <v>E-mail</v>
      </c>
      <c r="U21" cm="1">
        <f t="array" ref="U21:U27">TRANSPOSE(F5:L5)</f>
        <v>0</v>
      </c>
      <c r="W21">
        <v>9</v>
      </c>
      <c r="X21" t="str">
        <f t="shared" si="0"/>
        <v/>
      </c>
      <c r="AD21" t="str">
        <f t="shared" si="1"/>
        <v/>
      </c>
      <c r="AE21" s="39" t="str">
        <f t="shared" ca="1" si="2"/>
        <v/>
      </c>
      <c r="AO21" t="str">
        <f t="shared" si="3"/>
        <v/>
      </c>
      <c r="AR21" t="str">
        <f t="shared" ca="1" si="4"/>
        <v/>
      </c>
    </row>
    <row r="22" spans="20:44">
      <c r="T22" t="str">
        <v>Phone</v>
      </c>
      <c r="U22">
        <v>0</v>
      </c>
      <c r="W22">
        <v>10</v>
      </c>
      <c r="X22" t="str">
        <f t="shared" si="0"/>
        <v/>
      </c>
      <c r="AD22" t="str">
        <f t="shared" si="1"/>
        <v/>
      </c>
      <c r="AE22" s="39" t="str">
        <f t="shared" ca="1" si="2"/>
        <v/>
      </c>
      <c r="AO22" t="str">
        <f t="shared" si="3"/>
        <v/>
      </c>
      <c r="AR22" t="str">
        <f t="shared" ca="1" si="4"/>
        <v/>
      </c>
    </row>
    <row r="23" spans="20:44">
      <c r="T23" t="str">
        <v>Current Location</v>
      </c>
      <c r="U23">
        <v>0</v>
      </c>
      <c r="W23">
        <v>11</v>
      </c>
      <c r="X23" t="str">
        <f t="shared" si="0"/>
        <v/>
      </c>
      <c r="AD23" t="str">
        <f t="shared" si="1"/>
        <v/>
      </c>
      <c r="AE23" s="39" t="str">
        <f t="shared" ca="1" si="2"/>
        <v/>
      </c>
      <c r="AO23" t="str">
        <f t="shared" si="3"/>
        <v/>
      </c>
      <c r="AR23" t="str">
        <f t="shared" ca="1" si="4"/>
        <v/>
      </c>
    </row>
    <row r="24" spans="20:44">
      <c r="T24" t="str">
        <v xml:space="preserve">Position </v>
      </c>
      <c r="U24">
        <v>0</v>
      </c>
      <c r="W24">
        <v>12</v>
      </c>
      <c r="X24" t="str">
        <f t="shared" si="0"/>
        <v/>
      </c>
      <c r="AD24" t="str">
        <f t="shared" si="1"/>
        <v/>
      </c>
      <c r="AE24" s="39" t="str">
        <f t="shared" ca="1" si="2"/>
        <v/>
      </c>
      <c r="AO24" t="str">
        <f t="shared" si="3"/>
        <v/>
      </c>
      <c r="AR24" t="str">
        <f t="shared" ca="1" si="4"/>
        <v/>
      </c>
    </row>
    <row r="25" spans="20:44">
      <c r="T25" t="str">
        <v>Position Location</v>
      </c>
      <c r="U25">
        <v>0</v>
      </c>
      <c r="W25">
        <v>13</v>
      </c>
      <c r="X25" t="str">
        <f t="shared" si="0"/>
        <v/>
      </c>
      <c r="AD25" t="str">
        <f t="shared" si="1"/>
        <v/>
      </c>
      <c r="AE25" s="39" t="str">
        <f t="shared" ca="1" si="2"/>
        <v/>
      </c>
      <c r="AO25" t="str">
        <f t="shared" si="3"/>
        <v/>
      </c>
      <c r="AR25" t="str">
        <f t="shared" ca="1" si="4"/>
        <v/>
      </c>
    </row>
    <row r="26" spans="20:44">
      <c r="T26" t="str">
        <v>McK Alum Status</v>
      </c>
      <c r="U26">
        <v>0</v>
      </c>
      <c r="W26">
        <v>14</v>
      </c>
      <c r="X26" t="str">
        <f t="shared" si="0"/>
        <v/>
      </c>
      <c r="AD26" t="str">
        <f t="shared" si="1"/>
        <v/>
      </c>
      <c r="AE26" s="39" t="str">
        <f t="shared" ca="1" si="2"/>
        <v/>
      </c>
      <c r="AO26" t="str">
        <f t="shared" si="3"/>
        <v/>
      </c>
      <c r="AR26" t="str">
        <f t="shared" ca="1" si="4"/>
        <v/>
      </c>
    </row>
    <row r="27" spans="20:44">
      <c r="T27" t="str">
        <v>Current Org</v>
      </c>
      <c r="U27">
        <v>0</v>
      </c>
      <c r="W27">
        <v>15</v>
      </c>
      <c r="X27" t="str">
        <f t="shared" si="0"/>
        <v/>
      </c>
      <c r="AD27" t="str">
        <f t="shared" si="1"/>
        <v/>
      </c>
      <c r="AE27" s="39" t="str">
        <f t="shared" ca="1" si="2"/>
        <v/>
      </c>
      <c r="AO27" t="str">
        <f t="shared" si="3"/>
        <v/>
      </c>
      <c r="AR27" t="str">
        <f t="shared" ca="1" si="4"/>
        <v/>
      </c>
    </row>
    <row r="28" spans="20:44">
      <c r="T28" t="str">
        <v>Contact Notes</v>
      </c>
      <c r="W28">
        <v>16</v>
      </c>
      <c r="X28" t="str">
        <f t="shared" si="0"/>
        <v/>
      </c>
      <c r="AD28" t="str">
        <f t="shared" si="1"/>
        <v/>
      </c>
      <c r="AE28" s="39" t="str">
        <f t="shared" ca="1" si="2"/>
        <v/>
      </c>
      <c r="AO28" t="str">
        <f t="shared" si="3"/>
        <v/>
      </c>
      <c r="AR28" t="str">
        <f t="shared" ca="1" si="4"/>
        <v/>
      </c>
    </row>
    <row r="29" spans="20:44">
      <c r="T29" t="str">
        <v>Recommendation</v>
      </c>
      <c r="W29">
        <v>17</v>
      </c>
      <c r="X29" t="str">
        <f t="shared" si="0"/>
        <v/>
      </c>
      <c r="AD29" t="str">
        <f t="shared" si="1"/>
        <v/>
      </c>
      <c r="AE29" s="39" t="str">
        <f t="shared" ca="1" si="2"/>
        <v/>
      </c>
      <c r="AO29" t="str">
        <f t="shared" si="3"/>
        <v/>
      </c>
      <c r="AR29" t="str">
        <f t="shared" ca="1" si="4"/>
        <v/>
      </c>
    </row>
    <row r="30" spans="20:44">
      <c r="T30" t="str">
        <v>Status</v>
      </c>
      <c r="W30">
        <v>18</v>
      </c>
      <c r="X30" t="str">
        <f t="shared" si="0"/>
        <v/>
      </c>
      <c r="AD30" t="str">
        <f t="shared" si="1"/>
        <v/>
      </c>
      <c r="AE30" s="39" t="str">
        <f t="shared" ca="1" si="2"/>
        <v/>
      </c>
      <c r="AO30" t="str">
        <f t="shared" si="3"/>
        <v/>
      </c>
      <c r="AR30" t="str">
        <f t="shared" ca="1" si="4"/>
        <v/>
      </c>
    </row>
    <row r="31" spans="20:44">
      <c r="T31" t="str">
        <v>Final Decision</v>
      </c>
      <c r="W31">
        <v>19</v>
      </c>
      <c r="X31" t="str">
        <f t="shared" si="0"/>
        <v/>
      </c>
      <c r="AD31" t="str">
        <f t="shared" si="1"/>
        <v/>
      </c>
      <c r="AE31" s="39" t="str">
        <f t="shared" ca="1" si="2"/>
        <v/>
      </c>
      <c r="AO31" t="str">
        <f t="shared" si="3"/>
        <v/>
      </c>
      <c r="AR31" t="str">
        <f t="shared" ca="1" si="4"/>
        <v/>
      </c>
    </row>
    <row r="32" spans="20:44">
      <c r="T32" t="str">
        <v>Updated by</v>
      </c>
      <c r="U32">
        <f>U18</f>
        <v>0</v>
      </c>
      <c r="W32">
        <v>20</v>
      </c>
      <c r="X32" t="str">
        <f t="shared" si="0"/>
        <v/>
      </c>
      <c r="AD32" t="str">
        <f t="shared" si="1"/>
        <v/>
      </c>
      <c r="AE32" s="39" t="str">
        <f t="shared" ca="1" si="2"/>
        <v/>
      </c>
      <c r="AO32" t="str">
        <f t="shared" si="3"/>
        <v/>
      </c>
      <c r="AR32" t="str">
        <f t="shared" ca="1" si="4"/>
        <v/>
      </c>
    </row>
    <row r="33" spans="20:44">
      <c r="T33" t="str">
        <v>Update Date</v>
      </c>
      <c r="U33" s="39">
        <f ca="1">TODAY()</f>
        <v>44749</v>
      </c>
      <c r="W33">
        <v>21</v>
      </c>
      <c r="X33" t="str">
        <f t="shared" si="0"/>
        <v/>
      </c>
      <c r="AD33" t="str">
        <f t="shared" si="1"/>
        <v/>
      </c>
      <c r="AE33" s="39" t="str">
        <f t="shared" ca="1" si="2"/>
        <v/>
      </c>
      <c r="AO33" t="str">
        <f t="shared" si="3"/>
        <v/>
      </c>
      <c r="AR33" t="str">
        <f t="shared" ca="1" si="4"/>
        <v/>
      </c>
    </row>
    <row r="34" spans="20:44">
      <c r="T34" t="str">
        <v>Season</v>
      </c>
      <c r="U34">
        <f>M5</f>
        <v>0</v>
      </c>
      <c r="W34">
        <v>22</v>
      </c>
      <c r="X34" t="str">
        <f t="shared" si="0"/>
        <v/>
      </c>
      <c r="AD34" t="str">
        <f t="shared" si="1"/>
        <v/>
      </c>
      <c r="AE34" s="39" t="str">
        <f t="shared" ca="1" si="2"/>
        <v/>
      </c>
      <c r="AO34" t="str">
        <f t="shared" si="3"/>
        <v/>
      </c>
      <c r="AR34" t="str">
        <f t="shared" ca="1" si="4"/>
        <v/>
      </c>
    </row>
    <row r="35" spans="20:44">
      <c r="T35" t="str">
        <v>Asssigned</v>
      </c>
      <c r="U35" t="str">
        <f>IF(N5="","",N5)</f>
        <v/>
      </c>
      <c r="W35">
        <v>23</v>
      </c>
      <c r="X35" t="str">
        <f t="shared" si="0"/>
        <v/>
      </c>
      <c r="AD35" t="str">
        <f t="shared" si="1"/>
        <v/>
      </c>
      <c r="AE35" s="39" t="str">
        <f t="shared" ca="1" si="2"/>
        <v/>
      </c>
      <c r="AO35" t="str">
        <f t="shared" si="3"/>
        <v/>
      </c>
      <c r="AR35" t="str">
        <f t="shared" ca="1" si="4"/>
        <v/>
      </c>
    </row>
    <row r="36" spans="20:44">
      <c r="T36" t="str">
        <v>Latest</v>
      </c>
      <c r="W36">
        <v>24</v>
      </c>
      <c r="X36" t="str">
        <f t="shared" si="0"/>
        <v/>
      </c>
      <c r="AD36" t="str">
        <f t="shared" si="1"/>
        <v/>
      </c>
      <c r="AE36" s="39" t="str">
        <f t="shared" ca="1" si="2"/>
        <v/>
      </c>
      <c r="AO36" t="str">
        <f t="shared" si="3"/>
        <v/>
      </c>
      <c r="AR36" t="str">
        <f t="shared" ca="1" si="4"/>
        <v/>
      </c>
    </row>
    <row r="37" spans="20:44">
      <c r="T37" t="str">
        <v>1_Waitlist/Sent/Answered</v>
      </c>
      <c r="W37">
        <v>25</v>
      </c>
      <c r="X37" t="str">
        <f t="shared" si="0"/>
        <v/>
      </c>
      <c r="AD37" t="str">
        <f t="shared" si="1"/>
        <v/>
      </c>
      <c r="AE37" s="39" t="str">
        <f t="shared" ca="1" si="2"/>
        <v/>
      </c>
      <c r="AO37" t="str">
        <f t="shared" si="3"/>
        <v/>
      </c>
      <c r="AR37" t="str">
        <f t="shared" ca="1" si="4"/>
        <v/>
      </c>
    </row>
    <row r="38" spans="20:44">
      <c r="T38" t="str">
        <v>Comments</v>
      </c>
      <c r="W38">
        <v>26</v>
      </c>
      <c r="X38" t="str">
        <f t="shared" si="0"/>
        <v/>
      </c>
      <c r="AD38" t="str">
        <f t="shared" si="1"/>
        <v/>
      </c>
      <c r="AE38" s="39" t="str">
        <f t="shared" ca="1" si="2"/>
        <v/>
      </c>
      <c r="AO38" t="str">
        <f t="shared" si="3"/>
        <v/>
      </c>
      <c r="AR38" t="str">
        <f t="shared" ca="1" si="4"/>
        <v/>
      </c>
    </row>
    <row r="39" spans="20:44">
      <c r="T39" t="str">
        <v>Active</v>
      </c>
      <c r="W39">
        <v>27</v>
      </c>
      <c r="X39" t="str">
        <f t="shared" si="0"/>
        <v/>
      </c>
      <c r="AD39" t="str">
        <f t="shared" si="1"/>
        <v/>
      </c>
      <c r="AE39" s="39" t="str">
        <f t="shared" ca="1" si="2"/>
        <v/>
      </c>
      <c r="AO39" t="str">
        <f t="shared" si="3"/>
        <v/>
      </c>
      <c r="AR39" t="str">
        <f t="shared" ca="1" si="4"/>
        <v/>
      </c>
    </row>
    <row r="40" spans="20:44">
      <c r="T40" t="str">
        <v>Active Flag</v>
      </c>
      <c r="W40">
        <v>28</v>
      </c>
      <c r="X40" t="str">
        <f t="shared" si="0"/>
        <v/>
      </c>
      <c r="AD40" t="str">
        <f t="shared" si="1"/>
        <v/>
      </c>
      <c r="AE40" s="39" t="str">
        <f t="shared" ca="1" si="2"/>
        <v/>
      </c>
      <c r="AO40" t="str">
        <f t="shared" si="3"/>
        <v/>
      </c>
      <c r="AR40" t="str">
        <f t="shared" ca="1" si="4"/>
        <v/>
      </c>
    </row>
    <row r="41" spans="20:44">
      <c r="W41">
        <v>29</v>
      </c>
      <c r="X41" t="str">
        <f t="shared" si="0"/>
        <v/>
      </c>
      <c r="AD41" t="str">
        <f t="shared" si="1"/>
        <v/>
      </c>
      <c r="AE41" s="39" t="str">
        <f t="shared" ca="1" si="2"/>
        <v/>
      </c>
      <c r="AO41" t="str">
        <f t="shared" si="3"/>
        <v/>
      </c>
      <c r="AR41" t="str">
        <f t="shared" ca="1" si="4"/>
        <v/>
      </c>
    </row>
    <row r="42" spans="20:44">
      <c r="W42">
        <v>30</v>
      </c>
      <c r="X42" t="str">
        <f t="shared" si="0"/>
        <v/>
      </c>
      <c r="AD42" t="str">
        <f t="shared" si="1"/>
        <v/>
      </c>
      <c r="AE42" s="39" t="str">
        <f t="shared" ca="1" si="2"/>
        <v/>
      </c>
      <c r="AO42" t="str">
        <f t="shared" si="3"/>
        <v/>
      </c>
      <c r="AR42" t="str">
        <f t="shared" ca="1" si="4"/>
        <v/>
      </c>
    </row>
    <row r="43" spans="20:44">
      <c r="W43">
        <v>31</v>
      </c>
      <c r="X43" t="str">
        <f t="shared" si="0"/>
        <v/>
      </c>
      <c r="AD43" t="str">
        <f t="shared" si="1"/>
        <v/>
      </c>
      <c r="AE43" s="39" t="str">
        <f t="shared" ca="1" si="2"/>
        <v/>
      </c>
      <c r="AO43" t="str">
        <f t="shared" si="3"/>
        <v/>
      </c>
      <c r="AR43" t="str">
        <f t="shared" ca="1" si="4"/>
        <v/>
      </c>
    </row>
    <row r="44" spans="20:44">
      <c r="W44">
        <v>32</v>
      </c>
      <c r="X44" t="str">
        <f t="shared" si="0"/>
        <v/>
      </c>
      <c r="AD44" t="str">
        <f t="shared" si="1"/>
        <v/>
      </c>
      <c r="AE44" s="39" t="str">
        <f t="shared" ca="1" si="2"/>
        <v/>
      </c>
      <c r="AO44" t="str">
        <f t="shared" si="3"/>
        <v/>
      </c>
      <c r="AR44" t="str">
        <f t="shared" ca="1" si="4"/>
        <v/>
      </c>
    </row>
    <row r="45" spans="20:44">
      <c r="W45">
        <v>33</v>
      </c>
      <c r="X45" t="str">
        <f t="shared" si="0"/>
        <v/>
      </c>
      <c r="AD45" t="str">
        <f t="shared" si="1"/>
        <v/>
      </c>
      <c r="AE45" s="39" t="str">
        <f t="shared" ca="1" si="2"/>
        <v/>
      </c>
      <c r="AO45" t="str">
        <f t="shared" si="3"/>
        <v/>
      </c>
      <c r="AR45" t="str">
        <f t="shared" ca="1" si="4"/>
        <v/>
      </c>
    </row>
    <row r="46" spans="20:44">
      <c r="W46">
        <v>34</v>
      </c>
      <c r="X46" t="str">
        <f t="shared" si="0"/>
        <v/>
      </c>
      <c r="AD46" t="str">
        <f t="shared" si="1"/>
        <v/>
      </c>
      <c r="AE46" s="39" t="str">
        <f t="shared" ca="1" si="2"/>
        <v/>
      </c>
      <c r="AO46" t="str">
        <f t="shared" si="3"/>
        <v/>
      </c>
      <c r="AR46" t="str">
        <f t="shared" ca="1" si="4"/>
        <v/>
      </c>
    </row>
    <row r="47" spans="20:44">
      <c r="W47">
        <v>35</v>
      </c>
      <c r="X47" t="str">
        <f t="shared" si="0"/>
        <v/>
      </c>
      <c r="AD47" t="str">
        <f t="shared" si="1"/>
        <v/>
      </c>
      <c r="AE47" s="39" t="str">
        <f t="shared" ca="1" si="2"/>
        <v/>
      </c>
      <c r="AO47" t="str">
        <f t="shared" si="3"/>
        <v/>
      </c>
      <c r="AR47" t="str">
        <f t="shared" ca="1" si="4"/>
        <v/>
      </c>
    </row>
    <row r="48" spans="20:44">
      <c r="W48">
        <v>36</v>
      </c>
      <c r="X48" t="str">
        <f t="shared" si="0"/>
        <v/>
      </c>
      <c r="AD48" t="str">
        <f t="shared" si="1"/>
        <v/>
      </c>
      <c r="AE48" s="39" t="str">
        <f t="shared" ca="1" si="2"/>
        <v/>
      </c>
      <c r="AO48" t="str">
        <f t="shared" si="3"/>
        <v/>
      </c>
      <c r="AR48" t="str">
        <f t="shared" ca="1" si="4"/>
        <v/>
      </c>
    </row>
    <row r="49" spans="23:49">
      <c r="W49">
        <v>37</v>
      </c>
      <c r="X49" t="str">
        <f t="shared" si="0"/>
        <v/>
      </c>
      <c r="AD49" t="str">
        <f t="shared" si="1"/>
        <v/>
      </c>
      <c r="AE49" s="39" t="str">
        <f t="shared" ref="AE49:AE77" ca="1" si="5">IF(W49&lt;=$U$10,TODAY(),"")</f>
        <v/>
      </c>
      <c r="AO49" t="str">
        <f t="shared" si="3"/>
        <v/>
      </c>
      <c r="AR49" t="str">
        <f t="shared" ca="1" si="4"/>
        <v/>
      </c>
    </row>
    <row r="50" spans="23:49">
      <c r="W50">
        <v>38</v>
      </c>
      <c r="X50" t="str">
        <f t="shared" si="0"/>
        <v/>
      </c>
      <c r="AD50" t="str">
        <f t="shared" si="1"/>
        <v/>
      </c>
      <c r="AE50" s="39" t="str">
        <f t="shared" ca="1" si="5"/>
        <v/>
      </c>
      <c r="AO50" t="str">
        <f t="shared" si="3"/>
        <v/>
      </c>
      <c r="AR50" t="str">
        <f t="shared" ca="1" si="4"/>
        <v/>
      </c>
    </row>
    <row r="51" spans="23:49">
      <c r="W51">
        <v>39</v>
      </c>
      <c r="X51" t="str">
        <f t="shared" si="0"/>
        <v/>
      </c>
      <c r="AD51" t="str">
        <f t="shared" si="1"/>
        <v/>
      </c>
      <c r="AE51" s="39" t="str">
        <f t="shared" ca="1" si="5"/>
        <v/>
      </c>
      <c r="AO51" t="str">
        <f t="shared" si="3"/>
        <v/>
      </c>
      <c r="AR51" t="str">
        <f t="shared" ca="1" si="4"/>
        <v/>
      </c>
    </row>
    <row r="52" spans="23:49">
      <c r="W52">
        <v>40</v>
      </c>
      <c r="X52" t="str">
        <f t="shared" si="0"/>
        <v/>
      </c>
      <c r="AD52" t="str">
        <f t="shared" si="1"/>
        <v/>
      </c>
      <c r="AE52" s="39" t="str">
        <f t="shared" ca="1" si="5"/>
        <v/>
      </c>
      <c r="AO52" t="str">
        <f t="shared" si="3"/>
        <v/>
      </c>
      <c r="AR52" t="str">
        <f t="shared" ca="1" si="4"/>
        <v/>
      </c>
    </row>
    <row r="53" spans="23:49">
      <c r="W53">
        <v>41</v>
      </c>
      <c r="X53" t="str">
        <f t="shared" si="0"/>
        <v/>
      </c>
      <c r="AD53" t="str">
        <f t="shared" si="1"/>
        <v/>
      </c>
      <c r="AE53" s="39" t="str">
        <f t="shared" ca="1" si="5"/>
        <v/>
      </c>
      <c r="AO53" t="str">
        <f t="shared" si="3"/>
        <v/>
      </c>
      <c r="AR53" t="str">
        <f t="shared" ca="1" si="4"/>
        <v/>
      </c>
    </row>
    <row r="54" spans="23:49">
      <c r="W54">
        <v>42</v>
      </c>
      <c r="X54" t="str">
        <f t="shared" si="0"/>
        <v/>
      </c>
      <c r="AD54" t="str">
        <f t="shared" si="1"/>
        <v/>
      </c>
      <c r="AE54" s="39" t="str">
        <f t="shared" ca="1" si="5"/>
        <v/>
      </c>
      <c r="AO54" t="str">
        <f t="shared" si="3"/>
        <v/>
      </c>
      <c r="AR54" t="str">
        <f t="shared" ca="1" si="4"/>
        <v/>
      </c>
    </row>
    <row r="55" spans="23:49">
      <c r="W55">
        <v>43</v>
      </c>
      <c r="X55" t="str">
        <f t="shared" si="0"/>
        <v/>
      </c>
      <c r="AD55" t="str">
        <f t="shared" si="1"/>
        <v/>
      </c>
      <c r="AE55" s="39" t="str">
        <f t="shared" ca="1" si="5"/>
        <v/>
      </c>
      <c r="AO55" t="str">
        <f t="shared" si="3"/>
        <v/>
      </c>
      <c r="AR55" t="str">
        <f t="shared" ca="1" si="4"/>
        <v/>
      </c>
    </row>
    <row r="56" spans="23:49">
      <c r="W56">
        <v>44</v>
      </c>
      <c r="X56" t="str">
        <f t="shared" si="0"/>
        <v/>
      </c>
      <c r="AD56" t="str">
        <f t="shared" si="1"/>
        <v/>
      </c>
      <c r="AE56" s="39" t="str">
        <f t="shared" ca="1" si="5"/>
        <v/>
      </c>
      <c r="AO56" t="str">
        <f t="shared" si="3"/>
        <v/>
      </c>
      <c r="AR56" t="str">
        <f t="shared" ca="1" si="4"/>
        <v/>
      </c>
    </row>
    <row r="57" spans="23:49">
      <c r="W57">
        <v>45</v>
      </c>
      <c r="X57" t="str">
        <f t="shared" si="0"/>
        <v/>
      </c>
      <c r="AD57" t="str">
        <f t="shared" si="1"/>
        <v/>
      </c>
      <c r="AE57" s="39" t="str">
        <f t="shared" ca="1" si="5"/>
        <v/>
      </c>
      <c r="AO57" t="str">
        <f t="shared" si="3"/>
        <v/>
      </c>
      <c r="AR57" t="str">
        <f t="shared" ca="1" si="4"/>
        <v/>
      </c>
    </row>
    <row r="58" spans="23:49">
      <c r="W58">
        <v>46</v>
      </c>
      <c r="X58" t="str">
        <f t="shared" si="0"/>
        <v/>
      </c>
      <c r="AD58" t="str">
        <f t="shared" si="1"/>
        <v/>
      </c>
      <c r="AE58" s="39" t="str">
        <f t="shared" ca="1" si="5"/>
        <v/>
      </c>
      <c r="AO58" t="str">
        <f t="shared" si="3"/>
        <v/>
      </c>
      <c r="AR58" t="str">
        <f t="shared" ca="1" si="4"/>
        <v/>
      </c>
    </row>
    <row r="59" spans="23:49">
      <c r="W59">
        <v>47</v>
      </c>
      <c r="X59" t="str">
        <f t="shared" si="0"/>
        <v/>
      </c>
      <c r="AD59" t="str">
        <f t="shared" si="1"/>
        <v/>
      </c>
      <c r="AE59" s="39" t="str">
        <f t="shared" ca="1" si="5"/>
        <v/>
      </c>
      <c r="AO59" t="str">
        <f t="shared" si="3"/>
        <v/>
      </c>
      <c r="AR59" t="str">
        <f t="shared" ca="1" si="4"/>
        <v/>
      </c>
    </row>
    <row r="60" spans="23:49">
      <c r="W60">
        <v>48</v>
      </c>
      <c r="X60" t="str">
        <f t="shared" si="0"/>
        <v/>
      </c>
      <c r="Z60" s="40"/>
      <c r="AA60" s="40"/>
      <c r="AB60" s="40"/>
      <c r="AC60" s="40"/>
      <c r="AD60" t="str">
        <f t="shared" si="1"/>
        <v/>
      </c>
      <c r="AE60" s="39" t="str">
        <f t="shared" ca="1" si="5"/>
        <v/>
      </c>
      <c r="AF60" s="40"/>
      <c r="AG60" s="40"/>
      <c r="AH60" s="40"/>
      <c r="AI60" s="40"/>
      <c r="AJ60" s="40"/>
      <c r="AK60" s="40"/>
      <c r="AL60" s="40"/>
      <c r="AM60" s="40"/>
      <c r="AN60" s="40"/>
      <c r="AO60" t="str">
        <f t="shared" si="3"/>
        <v/>
      </c>
      <c r="AP60" s="40"/>
      <c r="AQ60" s="40"/>
      <c r="AR60" t="str">
        <f t="shared" ca="1" si="4"/>
        <v/>
      </c>
      <c r="AS60" s="40"/>
      <c r="AT60" s="40"/>
      <c r="AU60" s="40"/>
      <c r="AV60" s="40"/>
      <c r="AW60" s="40"/>
    </row>
    <row r="61" spans="23:49">
      <c r="W61">
        <v>49</v>
      </c>
      <c r="X61" t="str">
        <f t="shared" si="0"/>
        <v/>
      </c>
      <c r="AD61" t="str">
        <f t="shared" si="1"/>
        <v/>
      </c>
      <c r="AE61" s="39" t="str">
        <f t="shared" ca="1" si="5"/>
        <v/>
      </c>
      <c r="AO61" t="str">
        <f t="shared" si="3"/>
        <v/>
      </c>
      <c r="AR61" t="str">
        <f t="shared" ca="1" si="4"/>
        <v/>
      </c>
    </row>
    <row r="62" spans="23:49">
      <c r="W62">
        <v>50</v>
      </c>
      <c r="X62" t="str">
        <f t="shared" si="0"/>
        <v/>
      </c>
      <c r="AD62" t="str">
        <f t="shared" si="1"/>
        <v/>
      </c>
      <c r="AE62" s="39" t="str">
        <f t="shared" ca="1" si="5"/>
        <v/>
      </c>
      <c r="AO62" t="str">
        <f t="shared" si="3"/>
        <v/>
      </c>
      <c r="AR62" t="str">
        <f t="shared" ca="1" si="4"/>
        <v/>
      </c>
    </row>
    <row r="63" spans="23:49">
      <c r="W63">
        <v>51</v>
      </c>
      <c r="X63" t="str">
        <f t="shared" si="0"/>
        <v/>
      </c>
      <c r="AD63" t="str">
        <f t="shared" si="1"/>
        <v/>
      </c>
      <c r="AE63" s="39" t="str">
        <f t="shared" ca="1" si="5"/>
        <v/>
      </c>
      <c r="AO63" t="str">
        <f t="shared" si="3"/>
        <v/>
      </c>
      <c r="AR63" t="str">
        <f t="shared" ca="1" si="4"/>
        <v/>
      </c>
    </row>
    <row r="64" spans="23:49">
      <c r="W64">
        <v>52</v>
      </c>
      <c r="X64" t="str">
        <f t="shared" si="0"/>
        <v/>
      </c>
      <c r="AD64" t="str">
        <f t="shared" si="1"/>
        <v/>
      </c>
      <c r="AE64" s="39" t="str">
        <f t="shared" ca="1" si="5"/>
        <v/>
      </c>
      <c r="AO64" t="str">
        <f t="shared" si="3"/>
        <v/>
      </c>
      <c r="AR64" t="str">
        <f t="shared" ca="1" si="4"/>
        <v/>
      </c>
    </row>
    <row r="65" spans="23:44">
      <c r="W65">
        <v>53</v>
      </c>
      <c r="X65" t="str">
        <f t="shared" si="0"/>
        <v/>
      </c>
      <c r="AD65" t="str">
        <f t="shared" si="1"/>
        <v/>
      </c>
      <c r="AE65" s="39" t="str">
        <f t="shared" ca="1" si="5"/>
        <v/>
      </c>
      <c r="AO65" t="str">
        <f t="shared" si="3"/>
        <v/>
      </c>
      <c r="AR65" t="str">
        <f t="shared" ca="1" si="4"/>
        <v/>
      </c>
    </row>
    <row r="66" spans="23:44">
      <c r="W66">
        <v>54</v>
      </c>
      <c r="X66" t="str">
        <f t="shared" si="0"/>
        <v/>
      </c>
      <c r="AD66" t="str">
        <f t="shared" si="1"/>
        <v/>
      </c>
      <c r="AE66" s="39" t="str">
        <f t="shared" ca="1" si="5"/>
        <v/>
      </c>
      <c r="AO66" t="str">
        <f t="shared" si="3"/>
        <v/>
      </c>
      <c r="AR66" t="str">
        <f t="shared" ca="1" si="4"/>
        <v/>
      </c>
    </row>
    <row r="67" spans="23:44">
      <c r="W67">
        <v>55</v>
      </c>
      <c r="X67" t="str">
        <f t="shared" si="0"/>
        <v/>
      </c>
      <c r="AD67" t="str">
        <f t="shared" si="1"/>
        <v/>
      </c>
      <c r="AE67" s="39" t="str">
        <f t="shared" ca="1" si="5"/>
        <v/>
      </c>
      <c r="AO67" t="str">
        <f t="shared" si="3"/>
        <v/>
      </c>
      <c r="AR67" t="str">
        <f t="shared" ca="1" si="4"/>
        <v/>
      </c>
    </row>
    <row r="68" spans="23:44">
      <c r="W68">
        <v>56</v>
      </c>
      <c r="X68" t="str">
        <f t="shared" si="0"/>
        <v/>
      </c>
      <c r="AD68" t="str">
        <f t="shared" si="1"/>
        <v/>
      </c>
      <c r="AE68" s="39" t="str">
        <f t="shared" ca="1" si="5"/>
        <v/>
      </c>
      <c r="AO68" t="str">
        <f t="shared" si="3"/>
        <v/>
      </c>
      <c r="AR68" t="str">
        <f t="shared" ca="1" si="4"/>
        <v/>
      </c>
    </row>
    <row r="69" spans="23:44">
      <c r="W69">
        <v>57</v>
      </c>
      <c r="X69" t="str">
        <f t="shared" si="0"/>
        <v/>
      </c>
      <c r="AD69" t="str">
        <f t="shared" si="1"/>
        <v/>
      </c>
      <c r="AE69" s="39" t="str">
        <f t="shared" ca="1" si="5"/>
        <v/>
      </c>
      <c r="AO69" t="str">
        <f t="shared" si="3"/>
        <v/>
      </c>
      <c r="AR69" t="str">
        <f t="shared" ca="1" si="4"/>
        <v/>
      </c>
    </row>
    <row r="70" spans="23:44">
      <c r="W70">
        <v>58</v>
      </c>
      <c r="X70" t="str">
        <f t="shared" si="0"/>
        <v/>
      </c>
      <c r="AD70" t="str">
        <f t="shared" si="1"/>
        <v/>
      </c>
      <c r="AE70" s="39" t="str">
        <f t="shared" ca="1" si="5"/>
        <v/>
      </c>
      <c r="AO70" t="str">
        <f t="shared" si="3"/>
        <v/>
      </c>
      <c r="AR70" t="str">
        <f t="shared" ca="1" si="4"/>
        <v/>
      </c>
    </row>
    <row r="71" spans="23:44">
      <c r="W71">
        <v>59</v>
      </c>
      <c r="X71" t="str">
        <f t="shared" si="0"/>
        <v/>
      </c>
      <c r="AD71" t="str">
        <f t="shared" si="1"/>
        <v/>
      </c>
      <c r="AE71" s="39" t="str">
        <f t="shared" ca="1" si="5"/>
        <v/>
      </c>
      <c r="AO71" t="str">
        <f t="shared" si="3"/>
        <v/>
      </c>
      <c r="AR71" t="str">
        <f t="shared" ca="1" si="4"/>
        <v/>
      </c>
    </row>
    <row r="72" spans="23:44">
      <c r="W72">
        <v>60</v>
      </c>
      <c r="X72" t="str">
        <f t="shared" si="0"/>
        <v/>
      </c>
      <c r="AD72" t="str">
        <f t="shared" si="1"/>
        <v/>
      </c>
      <c r="AE72" s="39" t="str">
        <f t="shared" ca="1" si="5"/>
        <v/>
      </c>
      <c r="AO72" t="str">
        <f t="shared" si="3"/>
        <v/>
      </c>
      <c r="AR72" t="str">
        <f t="shared" ca="1" si="4"/>
        <v/>
      </c>
    </row>
    <row r="73" spans="23:44">
      <c r="W73">
        <v>61</v>
      </c>
      <c r="X73" t="str">
        <f t="shared" si="0"/>
        <v/>
      </c>
      <c r="AD73" t="str">
        <f t="shared" si="1"/>
        <v/>
      </c>
      <c r="AE73" s="39" t="str">
        <f t="shared" ca="1" si="5"/>
        <v/>
      </c>
      <c r="AO73" t="str">
        <f t="shared" si="3"/>
        <v/>
      </c>
      <c r="AR73" t="str">
        <f t="shared" ca="1" si="4"/>
        <v/>
      </c>
    </row>
    <row r="74" spans="23:44">
      <c r="W74">
        <v>62</v>
      </c>
      <c r="X74" t="str">
        <f t="shared" si="0"/>
        <v/>
      </c>
      <c r="AD74" t="str">
        <f t="shared" si="1"/>
        <v/>
      </c>
      <c r="AE74" s="39" t="str">
        <f t="shared" ca="1" si="5"/>
        <v/>
      </c>
      <c r="AO74" t="str">
        <f t="shared" si="3"/>
        <v/>
      </c>
      <c r="AR74" t="str">
        <f t="shared" ca="1" si="4"/>
        <v/>
      </c>
    </row>
    <row r="75" spans="23:44">
      <c r="W75">
        <v>63</v>
      </c>
      <c r="X75" t="str">
        <f t="shared" si="0"/>
        <v/>
      </c>
      <c r="AD75" t="str">
        <f t="shared" si="1"/>
        <v/>
      </c>
      <c r="AE75" s="39" t="str">
        <f t="shared" ca="1" si="5"/>
        <v/>
      </c>
      <c r="AO75" t="str">
        <f t="shared" si="3"/>
        <v/>
      </c>
      <c r="AR75" t="str">
        <f t="shared" ca="1" si="4"/>
        <v/>
      </c>
    </row>
    <row r="76" spans="23:44">
      <c r="W76">
        <v>64</v>
      </c>
      <c r="X76" t="str">
        <f t="shared" si="0"/>
        <v/>
      </c>
      <c r="AD76" t="str">
        <f t="shared" si="1"/>
        <v/>
      </c>
      <c r="AE76" s="39" t="str">
        <f t="shared" ca="1" si="5"/>
        <v/>
      </c>
      <c r="AO76" t="str">
        <f t="shared" si="3"/>
        <v/>
      </c>
      <c r="AR76" t="str">
        <f t="shared" ca="1" si="4"/>
        <v/>
      </c>
    </row>
    <row r="77" spans="23:44">
      <c r="W77">
        <v>65</v>
      </c>
      <c r="X77" t="str">
        <f t="shared" si="0"/>
        <v/>
      </c>
      <c r="AD77" t="str">
        <f t="shared" si="1"/>
        <v/>
      </c>
      <c r="AE77" s="39" t="str">
        <f t="shared" ca="1" si="5"/>
        <v/>
      </c>
      <c r="AO77" t="str">
        <f t="shared" si="3"/>
        <v/>
      </c>
      <c r="AR77" t="str">
        <f t="shared" ca="1" si="4"/>
        <v/>
      </c>
    </row>
    <row r="78" spans="23:44">
      <c r="W78">
        <v>66</v>
      </c>
      <c r="X78" t="str">
        <f t="shared" ref="X78:X112" si="6">IF(W78&lt;=$U$10,1,"")</f>
        <v/>
      </c>
      <c r="AD78" t="str">
        <f t="shared" ref="AD78:AD112" si="7">IF(W78&lt;=$U$10,"Extraction","")</f>
        <v/>
      </c>
      <c r="AE78" s="39" t="str">
        <f t="shared" ref="AE78:AE112" ca="1" si="8">IF(W78&lt;=$U$10,TODAY(),"")</f>
        <v/>
      </c>
      <c r="AO78" t="str">
        <f t="shared" ref="AO78:AO112" si="9">IF(W78&lt;=$U$10,"Extracted","")</f>
        <v/>
      </c>
      <c r="AR78" t="str">
        <f t="shared" ref="AR78:AR112" ca="1" si="10">IF(W78&lt;=$U$10,NOW(),"")</f>
        <v/>
      </c>
    </row>
    <row r="79" spans="23:44">
      <c r="W79">
        <v>67</v>
      </c>
      <c r="X79" t="str">
        <f t="shared" si="6"/>
        <v/>
      </c>
      <c r="AD79" t="str">
        <f t="shared" si="7"/>
        <v/>
      </c>
      <c r="AE79" s="39" t="str">
        <f t="shared" ca="1" si="8"/>
        <v/>
      </c>
      <c r="AO79" t="str">
        <f t="shared" si="9"/>
        <v/>
      </c>
      <c r="AR79" t="str">
        <f t="shared" ca="1" si="10"/>
        <v/>
      </c>
    </row>
    <row r="80" spans="23:44">
      <c r="W80">
        <v>68</v>
      </c>
      <c r="X80" t="str">
        <f t="shared" si="6"/>
        <v/>
      </c>
      <c r="AD80" t="str">
        <f t="shared" si="7"/>
        <v/>
      </c>
      <c r="AE80" s="39" t="str">
        <f t="shared" ca="1" si="8"/>
        <v/>
      </c>
      <c r="AO80" t="str">
        <f t="shared" si="9"/>
        <v/>
      </c>
      <c r="AR80" t="str">
        <f t="shared" ca="1" si="10"/>
        <v/>
      </c>
    </row>
    <row r="81" spans="23:44">
      <c r="W81">
        <v>69</v>
      </c>
      <c r="X81" t="str">
        <f t="shared" si="6"/>
        <v/>
      </c>
      <c r="AD81" t="str">
        <f t="shared" si="7"/>
        <v/>
      </c>
      <c r="AE81" s="39" t="str">
        <f t="shared" ca="1" si="8"/>
        <v/>
      </c>
      <c r="AO81" t="str">
        <f t="shared" si="9"/>
        <v/>
      </c>
      <c r="AR81" t="str">
        <f t="shared" ca="1" si="10"/>
        <v/>
      </c>
    </row>
    <row r="82" spans="23:44">
      <c r="W82">
        <v>70</v>
      </c>
      <c r="X82" t="str">
        <f t="shared" si="6"/>
        <v/>
      </c>
      <c r="AD82" t="str">
        <f t="shared" si="7"/>
        <v/>
      </c>
      <c r="AE82" s="39" t="str">
        <f t="shared" ca="1" si="8"/>
        <v/>
      </c>
      <c r="AO82" t="str">
        <f t="shared" si="9"/>
        <v/>
      </c>
      <c r="AR82" t="str">
        <f t="shared" ca="1" si="10"/>
        <v/>
      </c>
    </row>
    <row r="83" spans="23:44">
      <c r="W83">
        <v>71</v>
      </c>
      <c r="X83" t="str">
        <f t="shared" si="6"/>
        <v/>
      </c>
      <c r="AD83" t="str">
        <f t="shared" si="7"/>
        <v/>
      </c>
      <c r="AE83" s="39" t="str">
        <f t="shared" ca="1" si="8"/>
        <v/>
      </c>
      <c r="AO83" t="str">
        <f t="shared" si="9"/>
        <v/>
      </c>
      <c r="AR83" t="str">
        <f t="shared" ca="1" si="10"/>
        <v/>
      </c>
    </row>
    <row r="84" spans="23:44">
      <c r="W84">
        <v>72</v>
      </c>
      <c r="X84" t="str">
        <f t="shared" si="6"/>
        <v/>
      </c>
      <c r="AD84" t="str">
        <f t="shared" si="7"/>
        <v/>
      </c>
      <c r="AE84" s="39" t="str">
        <f t="shared" ca="1" si="8"/>
        <v/>
      </c>
      <c r="AO84" t="str">
        <f t="shared" si="9"/>
        <v/>
      </c>
      <c r="AR84" t="str">
        <f t="shared" ca="1" si="10"/>
        <v/>
      </c>
    </row>
    <row r="85" spans="23:44">
      <c r="W85">
        <v>73</v>
      </c>
      <c r="X85" t="str">
        <f t="shared" si="6"/>
        <v/>
      </c>
      <c r="AD85" t="str">
        <f t="shared" si="7"/>
        <v/>
      </c>
      <c r="AE85" s="39" t="str">
        <f t="shared" ca="1" si="8"/>
        <v/>
      </c>
      <c r="AO85" t="str">
        <f t="shared" si="9"/>
        <v/>
      </c>
      <c r="AR85" t="str">
        <f t="shared" ca="1" si="10"/>
        <v/>
      </c>
    </row>
    <row r="86" spans="23:44">
      <c r="W86">
        <v>74</v>
      </c>
      <c r="X86" t="str">
        <f t="shared" si="6"/>
        <v/>
      </c>
      <c r="AD86" t="str">
        <f t="shared" si="7"/>
        <v/>
      </c>
      <c r="AE86" s="39" t="str">
        <f t="shared" ca="1" si="8"/>
        <v/>
      </c>
      <c r="AO86" t="str">
        <f t="shared" si="9"/>
        <v/>
      </c>
      <c r="AR86" t="str">
        <f t="shared" ca="1" si="10"/>
        <v/>
      </c>
    </row>
    <row r="87" spans="23:44">
      <c r="W87">
        <v>75</v>
      </c>
      <c r="X87" t="str">
        <f t="shared" si="6"/>
        <v/>
      </c>
      <c r="AD87" t="str">
        <f t="shared" si="7"/>
        <v/>
      </c>
      <c r="AE87" s="39" t="str">
        <f t="shared" ca="1" si="8"/>
        <v/>
      </c>
      <c r="AO87" t="str">
        <f t="shared" si="9"/>
        <v/>
      </c>
      <c r="AR87" t="str">
        <f t="shared" ca="1" si="10"/>
        <v/>
      </c>
    </row>
    <row r="88" spans="23:44">
      <c r="W88">
        <v>76</v>
      </c>
      <c r="X88" t="str">
        <f t="shared" si="6"/>
        <v/>
      </c>
      <c r="AD88" t="str">
        <f t="shared" si="7"/>
        <v/>
      </c>
      <c r="AE88" s="39" t="str">
        <f t="shared" ca="1" si="8"/>
        <v/>
      </c>
      <c r="AO88" t="str">
        <f t="shared" si="9"/>
        <v/>
      </c>
      <c r="AR88" t="str">
        <f t="shared" ca="1" si="10"/>
        <v/>
      </c>
    </row>
    <row r="89" spans="23:44">
      <c r="W89">
        <v>77</v>
      </c>
      <c r="X89" t="str">
        <f t="shared" si="6"/>
        <v/>
      </c>
      <c r="AD89" t="str">
        <f t="shared" si="7"/>
        <v/>
      </c>
      <c r="AE89" s="39" t="str">
        <f t="shared" ca="1" si="8"/>
        <v/>
      </c>
      <c r="AO89" t="str">
        <f t="shared" si="9"/>
        <v/>
      </c>
      <c r="AR89" t="str">
        <f t="shared" ca="1" si="10"/>
        <v/>
      </c>
    </row>
    <row r="90" spans="23:44">
      <c r="W90">
        <v>78</v>
      </c>
      <c r="X90" t="str">
        <f t="shared" si="6"/>
        <v/>
      </c>
      <c r="AD90" t="str">
        <f t="shared" si="7"/>
        <v/>
      </c>
      <c r="AE90" s="39" t="str">
        <f t="shared" ca="1" si="8"/>
        <v/>
      </c>
      <c r="AO90" t="str">
        <f t="shared" si="9"/>
        <v/>
      </c>
      <c r="AR90" t="str">
        <f t="shared" ca="1" si="10"/>
        <v/>
      </c>
    </row>
    <row r="91" spans="23:44">
      <c r="W91">
        <v>79</v>
      </c>
      <c r="X91" t="str">
        <f t="shared" si="6"/>
        <v/>
      </c>
      <c r="AD91" t="str">
        <f t="shared" si="7"/>
        <v/>
      </c>
      <c r="AE91" s="39" t="str">
        <f t="shared" ca="1" si="8"/>
        <v/>
      </c>
      <c r="AO91" t="str">
        <f t="shared" si="9"/>
        <v/>
      </c>
      <c r="AR91" t="str">
        <f t="shared" ca="1" si="10"/>
        <v/>
      </c>
    </row>
    <row r="92" spans="23:44">
      <c r="W92">
        <v>80</v>
      </c>
      <c r="X92" t="str">
        <f t="shared" si="6"/>
        <v/>
      </c>
      <c r="AD92" t="str">
        <f t="shared" si="7"/>
        <v/>
      </c>
      <c r="AE92" s="39" t="str">
        <f t="shared" ca="1" si="8"/>
        <v/>
      </c>
      <c r="AO92" t="str">
        <f t="shared" si="9"/>
        <v/>
      </c>
      <c r="AR92" t="str">
        <f t="shared" ca="1" si="10"/>
        <v/>
      </c>
    </row>
    <row r="93" spans="23:44">
      <c r="W93">
        <v>81</v>
      </c>
      <c r="X93" t="str">
        <f t="shared" si="6"/>
        <v/>
      </c>
      <c r="AD93" t="str">
        <f t="shared" si="7"/>
        <v/>
      </c>
      <c r="AE93" s="39" t="str">
        <f t="shared" ca="1" si="8"/>
        <v/>
      </c>
      <c r="AO93" t="str">
        <f t="shared" si="9"/>
        <v/>
      </c>
      <c r="AR93" t="str">
        <f t="shared" ca="1" si="10"/>
        <v/>
      </c>
    </row>
    <row r="94" spans="23:44">
      <c r="W94">
        <v>82</v>
      </c>
      <c r="X94" t="str">
        <f t="shared" si="6"/>
        <v/>
      </c>
      <c r="AD94" t="str">
        <f t="shared" si="7"/>
        <v/>
      </c>
      <c r="AE94" s="39" t="str">
        <f t="shared" ca="1" si="8"/>
        <v/>
      </c>
      <c r="AO94" t="str">
        <f t="shared" si="9"/>
        <v/>
      </c>
      <c r="AR94" t="str">
        <f t="shared" ca="1" si="10"/>
        <v/>
      </c>
    </row>
    <row r="95" spans="23:44">
      <c r="W95">
        <v>83</v>
      </c>
      <c r="X95" t="str">
        <f t="shared" si="6"/>
        <v/>
      </c>
      <c r="AD95" t="str">
        <f t="shared" si="7"/>
        <v/>
      </c>
      <c r="AE95" s="39" t="str">
        <f t="shared" ca="1" si="8"/>
        <v/>
      </c>
      <c r="AO95" t="str">
        <f t="shared" si="9"/>
        <v/>
      </c>
      <c r="AR95" t="str">
        <f t="shared" ca="1" si="10"/>
        <v/>
      </c>
    </row>
    <row r="96" spans="23:44">
      <c r="W96">
        <v>84</v>
      </c>
      <c r="X96" t="str">
        <f t="shared" si="6"/>
        <v/>
      </c>
      <c r="AD96" t="str">
        <f t="shared" si="7"/>
        <v/>
      </c>
      <c r="AE96" s="39" t="str">
        <f t="shared" ca="1" si="8"/>
        <v/>
      </c>
      <c r="AO96" t="str">
        <f t="shared" si="9"/>
        <v/>
      </c>
      <c r="AR96" t="str">
        <f t="shared" ca="1" si="10"/>
        <v/>
      </c>
    </row>
    <row r="97" spans="23:44">
      <c r="W97">
        <v>85</v>
      </c>
      <c r="X97" t="str">
        <f t="shared" si="6"/>
        <v/>
      </c>
      <c r="AD97" t="str">
        <f t="shared" si="7"/>
        <v/>
      </c>
      <c r="AE97" s="39" t="str">
        <f t="shared" ca="1" si="8"/>
        <v/>
      </c>
      <c r="AO97" t="str">
        <f t="shared" si="9"/>
        <v/>
      </c>
      <c r="AR97" t="str">
        <f t="shared" ca="1" si="10"/>
        <v/>
      </c>
    </row>
    <row r="98" spans="23:44">
      <c r="W98">
        <v>86</v>
      </c>
      <c r="X98" t="str">
        <f t="shared" si="6"/>
        <v/>
      </c>
      <c r="AD98" t="str">
        <f t="shared" si="7"/>
        <v/>
      </c>
      <c r="AE98" s="39" t="str">
        <f t="shared" ca="1" si="8"/>
        <v/>
      </c>
      <c r="AO98" t="str">
        <f t="shared" si="9"/>
        <v/>
      </c>
      <c r="AR98" t="str">
        <f t="shared" ca="1" si="10"/>
        <v/>
      </c>
    </row>
    <row r="99" spans="23:44">
      <c r="W99">
        <v>87</v>
      </c>
      <c r="X99" t="str">
        <f t="shared" si="6"/>
        <v/>
      </c>
      <c r="AD99" t="str">
        <f t="shared" si="7"/>
        <v/>
      </c>
      <c r="AE99" s="39" t="str">
        <f t="shared" ca="1" si="8"/>
        <v/>
      </c>
      <c r="AO99" t="str">
        <f t="shared" si="9"/>
        <v/>
      </c>
      <c r="AR99" t="str">
        <f t="shared" ca="1" si="10"/>
        <v/>
      </c>
    </row>
    <row r="100" spans="23:44">
      <c r="W100">
        <v>88</v>
      </c>
      <c r="X100" t="str">
        <f t="shared" si="6"/>
        <v/>
      </c>
      <c r="AD100" t="str">
        <f t="shared" si="7"/>
        <v/>
      </c>
      <c r="AE100" s="39" t="str">
        <f t="shared" ca="1" si="8"/>
        <v/>
      </c>
      <c r="AO100" t="str">
        <f t="shared" si="9"/>
        <v/>
      </c>
      <c r="AR100" t="str">
        <f t="shared" ca="1" si="10"/>
        <v/>
      </c>
    </row>
    <row r="101" spans="23:44">
      <c r="W101">
        <v>89</v>
      </c>
      <c r="X101" t="str">
        <f t="shared" si="6"/>
        <v/>
      </c>
      <c r="AD101" t="str">
        <f t="shared" si="7"/>
        <v/>
      </c>
      <c r="AE101" s="39" t="str">
        <f t="shared" ca="1" si="8"/>
        <v/>
      </c>
      <c r="AO101" t="str">
        <f t="shared" si="9"/>
        <v/>
      </c>
      <c r="AR101" t="str">
        <f t="shared" ca="1" si="10"/>
        <v/>
      </c>
    </row>
    <row r="102" spans="23:44">
      <c r="W102">
        <v>90</v>
      </c>
      <c r="X102" t="str">
        <f t="shared" si="6"/>
        <v/>
      </c>
      <c r="AD102" t="str">
        <f t="shared" si="7"/>
        <v/>
      </c>
      <c r="AE102" s="39" t="str">
        <f t="shared" ca="1" si="8"/>
        <v/>
      </c>
      <c r="AO102" t="str">
        <f t="shared" si="9"/>
        <v/>
      </c>
      <c r="AR102" t="str">
        <f t="shared" ca="1" si="10"/>
        <v/>
      </c>
    </row>
    <row r="103" spans="23:44">
      <c r="W103">
        <v>91</v>
      </c>
      <c r="X103" t="str">
        <f t="shared" si="6"/>
        <v/>
      </c>
      <c r="AD103" t="str">
        <f t="shared" si="7"/>
        <v/>
      </c>
      <c r="AE103" s="39" t="str">
        <f t="shared" ca="1" si="8"/>
        <v/>
      </c>
      <c r="AO103" t="str">
        <f t="shared" si="9"/>
        <v/>
      </c>
      <c r="AR103" t="str">
        <f t="shared" ca="1" si="10"/>
        <v/>
      </c>
    </row>
    <row r="104" spans="23:44">
      <c r="W104">
        <v>92</v>
      </c>
      <c r="X104" t="str">
        <f t="shared" si="6"/>
        <v/>
      </c>
      <c r="AD104" t="str">
        <f t="shared" si="7"/>
        <v/>
      </c>
      <c r="AE104" s="39" t="str">
        <f t="shared" ca="1" si="8"/>
        <v/>
      </c>
      <c r="AO104" t="str">
        <f t="shared" si="9"/>
        <v/>
      </c>
      <c r="AR104" t="str">
        <f t="shared" ca="1" si="10"/>
        <v/>
      </c>
    </row>
    <row r="105" spans="23:44">
      <c r="W105">
        <v>93</v>
      </c>
      <c r="X105" t="str">
        <f t="shared" si="6"/>
        <v/>
      </c>
      <c r="AD105" t="str">
        <f t="shared" si="7"/>
        <v/>
      </c>
      <c r="AE105" s="39" t="str">
        <f t="shared" ca="1" si="8"/>
        <v/>
      </c>
      <c r="AO105" t="str">
        <f t="shared" si="9"/>
        <v/>
      </c>
      <c r="AR105" t="str">
        <f t="shared" ca="1" si="10"/>
        <v/>
      </c>
    </row>
    <row r="106" spans="23:44">
      <c r="W106">
        <v>94</v>
      </c>
      <c r="X106" t="str">
        <f t="shared" si="6"/>
        <v/>
      </c>
      <c r="AD106" t="str">
        <f t="shared" si="7"/>
        <v/>
      </c>
      <c r="AE106" s="39" t="str">
        <f t="shared" ca="1" si="8"/>
        <v/>
      </c>
      <c r="AO106" t="str">
        <f t="shared" si="9"/>
        <v/>
      </c>
      <c r="AR106" t="str">
        <f t="shared" ca="1" si="10"/>
        <v/>
      </c>
    </row>
    <row r="107" spans="23:44">
      <c r="W107">
        <v>95</v>
      </c>
      <c r="X107" t="str">
        <f t="shared" si="6"/>
        <v/>
      </c>
      <c r="AD107" t="str">
        <f t="shared" si="7"/>
        <v/>
      </c>
      <c r="AE107" s="39" t="str">
        <f t="shared" ca="1" si="8"/>
        <v/>
      </c>
      <c r="AO107" t="str">
        <f t="shared" si="9"/>
        <v/>
      </c>
      <c r="AR107" t="str">
        <f t="shared" ca="1" si="10"/>
        <v/>
      </c>
    </row>
    <row r="108" spans="23:44">
      <c r="W108">
        <v>96</v>
      </c>
      <c r="X108" t="str">
        <f t="shared" si="6"/>
        <v/>
      </c>
      <c r="AD108" t="str">
        <f t="shared" si="7"/>
        <v/>
      </c>
      <c r="AE108" s="39" t="str">
        <f t="shared" ca="1" si="8"/>
        <v/>
      </c>
      <c r="AO108" t="str">
        <f t="shared" si="9"/>
        <v/>
      </c>
      <c r="AR108" t="str">
        <f t="shared" ca="1" si="10"/>
        <v/>
      </c>
    </row>
    <row r="109" spans="23:44">
      <c r="W109">
        <v>97</v>
      </c>
      <c r="X109" t="str">
        <f t="shared" si="6"/>
        <v/>
      </c>
      <c r="AD109" t="str">
        <f t="shared" si="7"/>
        <v/>
      </c>
      <c r="AE109" s="39" t="str">
        <f t="shared" ca="1" si="8"/>
        <v/>
      </c>
      <c r="AO109" t="str">
        <f t="shared" si="9"/>
        <v/>
      </c>
      <c r="AR109" t="str">
        <f t="shared" ca="1" si="10"/>
        <v/>
      </c>
    </row>
    <row r="110" spans="23:44">
      <c r="W110">
        <v>98</v>
      </c>
      <c r="X110" t="str">
        <f t="shared" si="6"/>
        <v/>
      </c>
      <c r="AD110" t="str">
        <f t="shared" si="7"/>
        <v/>
      </c>
      <c r="AE110" s="39" t="str">
        <f t="shared" ca="1" si="8"/>
        <v/>
      </c>
      <c r="AO110" t="str">
        <f t="shared" si="9"/>
        <v/>
      </c>
      <c r="AR110" t="str">
        <f t="shared" ca="1" si="10"/>
        <v/>
      </c>
    </row>
    <row r="111" spans="23:44">
      <c r="W111">
        <v>99</v>
      </c>
      <c r="X111" t="str">
        <f t="shared" si="6"/>
        <v/>
      </c>
      <c r="AD111" t="str">
        <f t="shared" si="7"/>
        <v/>
      </c>
      <c r="AE111" s="39" t="str">
        <f t="shared" ca="1" si="8"/>
        <v/>
      </c>
      <c r="AO111" t="str">
        <f t="shared" si="9"/>
        <v/>
      </c>
      <c r="AR111" t="str">
        <f t="shared" ca="1" si="10"/>
        <v/>
      </c>
    </row>
    <row r="112" spans="23:44">
      <c r="W112">
        <v>100</v>
      </c>
      <c r="X112" t="str">
        <f t="shared" si="6"/>
        <v/>
      </c>
      <c r="AD112" t="str">
        <f t="shared" si="7"/>
        <v/>
      </c>
      <c r="AE112" s="39" t="str">
        <f t="shared" ca="1" si="8"/>
        <v/>
      </c>
      <c r="AO112" t="str">
        <f t="shared" si="9"/>
        <v/>
      </c>
      <c r="AR112" t="str">
        <f t="shared" ca="1" si="10"/>
        <v/>
      </c>
    </row>
  </sheetData>
  <hyperlinks>
    <hyperlink ref="B1" location="Menu!A1" display="Back to Menu" xr:uid="{F1E4224D-57E2-4D40-9EB9-C54A22884D1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Create_Contact_Single">
                <anchor moveWithCells="1" sizeWithCells="1">
                  <from>
                    <xdr:col>14</xdr:col>
                    <xdr:colOff>411480</xdr:colOff>
                    <xdr:row>2</xdr:row>
                    <xdr:rowOff>167640</xdr:rowOff>
                  </from>
                  <to>
                    <xdr:col>15</xdr:col>
                    <xdr:colOff>510540</xdr:colOff>
                    <xdr:row>4</xdr:row>
                    <xdr:rowOff>68580</xdr:rowOff>
                  </to>
                </anchor>
              </controlPr>
            </control>
          </mc:Choice>
        </mc:AlternateContent>
        <mc:AlternateContent xmlns:mc="http://schemas.openxmlformats.org/markup-compatibility/2006">
          <mc:Choice Requires="x14">
            <control shapeId="2053" r:id="rId5" name="Button 5">
              <controlPr defaultSize="0" print="0" autoFill="0" autoPict="0" macro="[0]!Create_Bulk_Contact">
                <anchor moveWithCells="1" sizeWithCells="1">
                  <from>
                    <xdr:col>11</xdr:col>
                    <xdr:colOff>563880</xdr:colOff>
                    <xdr:row>9</xdr:row>
                    <xdr:rowOff>190500</xdr:rowOff>
                  </from>
                  <to>
                    <xdr:col>12</xdr:col>
                    <xdr:colOff>342900</xdr:colOff>
                    <xdr:row>10</xdr:row>
                    <xdr:rowOff>106680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r:uid="{77B91E97-262C-47A4-822A-71D8C0EDB754}">
          <x14:formula1>
            <xm:f>_xlfn.ANCHORARRAY(Lookups!$P$2)</xm:f>
          </x14:formula1>
          <xm:sqref>E5 N5</xm:sqref>
        </x14:dataValidation>
        <x14:dataValidation type="list" allowBlank="1" showInputMessage="1" showErrorMessage="1" xr:uid="{5E7A940C-1DA1-43E2-8DB7-4BA863F6F311}">
          <x14:formula1>
            <xm:f>_xlfn.ANCHORARRAY(Lookups!$Q$2)</xm:f>
          </x14:formula1>
          <xm:sqref>I5</xm:sqref>
        </x14:dataValidation>
        <x14:dataValidation type="list" allowBlank="1" showInputMessage="1" showErrorMessage="1" xr:uid="{FD37C11C-AB07-47B8-97E9-04E83311A19B}">
          <x14:formula1>
            <xm:f>_xlfn.ANCHORARRAY(Lookups!$O$2)</xm:f>
          </x14:formula1>
          <xm:sqref>M5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11871-2F07-4408-AF05-92418C915BC2}">
  <sheetPr codeName="Sheet4"/>
  <dimension ref="B3:K22"/>
  <sheetViews>
    <sheetView showGridLines="0" topLeftCell="A7" workbookViewId="0">
      <selection activeCell="C11" sqref="C11"/>
    </sheetView>
  </sheetViews>
  <sheetFormatPr defaultRowHeight="14.45"/>
  <cols>
    <col min="3" max="3" width="25.5703125" customWidth="1"/>
    <col min="5" max="5" width="49.28515625" customWidth="1"/>
    <col min="7" max="7" width="20.140625" customWidth="1"/>
  </cols>
  <sheetData>
    <row r="3" spans="2:11" ht="21">
      <c r="C3" s="80" t="s">
        <v>2731</v>
      </c>
    </row>
    <row r="5" spans="2:11" ht="15" thickBot="1"/>
    <row r="6" spans="2:11">
      <c r="B6" s="30"/>
      <c r="C6" s="31"/>
      <c r="D6" s="31"/>
      <c r="E6" s="31"/>
      <c r="F6" s="31"/>
      <c r="G6" s="31"/>
      <c r="H6" s="32"/>
    </row>
    <row r="7" spans="2:11">
      <c r="B7" s="33"/>
      <c r="C7" s="78" t="s">
        <v>2732</v>
      </c>
      <c r="D7" s="79"/>
      <c r="E7" s="78" t="s">
        <v>2733</v>
      </c>
      <c r="F7" s="79"/>
      <c r="G7" s="78" t="s">
        <v>44</v>
      </c>
      <c r="H7" s="34"/>
    </row>
    <row r="8" spans="2:11">
      <c r="B8" s="33"/>
      <c r="H8" s="34"/>
    </row>
    <row r="9" spans="2:11">
      <c r="B9" s="33"/>
      <c r="C9" s="38" t="s">
        <v>2734</v>
      </c>
      <c r="E9" t="s">
        <v>2735</v>
      </c>
      <c r="G9" t="s">
        <v>2736</v>
      </c>
      <c r="H9" s="34"/>
    </row>
    <row r="10" spans="2:11">
      <c r="B10" s="33"/>
      <c r="H10" s="34"/>
      <c r="K10" s="2" t="s">
        <v>2737</v>
      </c>
    </row>
    <row r="11" spans="2:11">
      <c r="B11" s="33"/>
      <c r="C11" s="38" t="s">
        <v>2738</v>
      </c>
      <c r="E11" t="s">
        <v>2739</v>
      </c>
      <c r="G11" t="s">
        <v>2736</v>
      </c>
      <c r="H11" s="34"/>
      <c r="K11" t="s">
        <v>2740</v>
      </c>
    </row>
    <row r="12" spans="2:11">
      <c r="B12" s="33"/>
      <c r="H12" s="34"/>
    </row>
    <row r="13" spans="2:11">
      <c r="B13" s="33"/>
      <c r="C13" s="38" t="s">
        <v>2741</v>
      </c>
      <c r="E13" t="s">
        <v>2742</v>
      </c>
      <c r="G13" t="s">
        <v>2736</v>
      </c>
      <c r="H13" s="34"/>
    </row>
    <row r="14" spans="2:11">
      <c r="B14" s="33"/>
      <c r="H14" s="34"/>
    </row>
    <row r="15" spans="2:11">
      <c r="B15" s="33"/>
      <c r="C15" s="38" t="s">
        <v>2743</v>
      </c>
      <c r="E15" t="s">
        <v>2744</v>
      </c>
      <c r="G15" t="s">
        <v>2736</v>
      </c>
      <c r="H15" s="34"/>
    </row>
    <row r="16" spans="2:11">
      <c r="B16" s="33"/>
      <c r="H16" s="34"/>
    </row>
    <row r="17" spans="2:8">
      <c r="B17" s="33"/>
      <c r="C17" s="1" t="s">
        <v>2521</v>
      </c>
      <c r="E17" t="s">
        <v>2745</v>
      </c>
      <c r="G17" t="s">
        <v>2736</v>
      </c>
      <c r="H17" s="34"/>
    </row>
    <row r="18" spans="2:8">
      <c r="B18" s="33"/>
      <c r="H18" s="34"/>
    </row>
    <row r="19" spans="2:8">
      <c r="B19" s="33"/>
      <c r="C19" s="1" t="s">
        <v>2746</v>
      </c>
      <c r="E19" t="s">
        <v>2747</v>
      </c>
      <c r="G19" t="s">
        <v>2736</v>
      </c>
      <c r="H19" s="34"/>
    </row>
    <row r="20" spans="2:8">
      <c r="B20" s="33"/>
      <c r="H20" s="34"/>
    </row>
    <row r="21" spans="2:8">
      <c r="B21" s="33"/>
      <c r="C21" s="1" t="s">
        <v>2748</v>
      </c>
      <c r="E21" t="s">
        <v>2749</v>
      </c>
      <c r="G21" t="s">
        <v>2736</v>
      </c>
      <c r="H21" s="34"/>
    </row>
    <row r="22" spans="2:8" ht="15" thickBot="1">
      <c r="B22" s="35"/>
      <c r="C22" s="36"/>
      <c r="D22" s="36"/>
      <c r="E22" s="36"/>
      <c r="F22" s="36"/>
      <c r="G22" s="36"/>
      <c r="H22" s="37"/>
    </row>
  </sheetData>
  <hyperlinks>
    <hyperlink ref="C9" location="Update!A1" display="Update Contact Notes" xr:uid="{C3AA5F5F-64B4-4605-9127-2079C1BBF745}"/>
    <hyperlink ref="C13" location="Data!A1" display="Data" xr:uid="{8956961B-6DB0-4BE8-8A47-83A178890CFB}"/>
    <hyperlink ref="C15" location="Lookups!A1" display="Settings" xr:uid="{EE7EFE4D-FCC7-4366-A5BC-A5DA43A1AFC8}"/>
    <hyperlink ref="C11" location="MyTasks!A1" display="My Tasks" xr:uid="{4EF85723-0E4D-4C42-8A5C-018DA61157A1}"/>
    <hyperlink ref="C17" location="Setup!A1" display="Setup" xr:uid="{EF567790-6ADF-4E34-B96C-C7EAA6692281}"/>
    <hyperlink ref="C19" location="'Active View'!A1" display="Active Cases" xr:uid="{D41B5593-9410-4F00-831B-6773E0405FCC}"/>
    <hyperlink ref="C21" location="ReviewOld!A1" display="Review old cases" xr:uid="{A8FC6D37-9A37-45B2-A7F1-D4A578D64ECE}"/>
  </hyperlink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Description xmlns="deb9ce6d-269d-438d-ad7a-219c84a500f6">..</FolderDescription>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F7F96C15450D046A5074FC027B44F23" ma:contentTypeVersion="13" ma:contentTypeDescription="Create a new document." ma:contentTypeScope="" ma:versionID="2c3bbcc2778b907ecc895a3ff107c7d2">
  <xsd:schema xmlns:xsd="http://www.w3.org/2001/XMLSchema" xmlns:xs="http://www.w3.org/2001/XMLSchema" xmlns:p="http://schemas.microsoft.com/office/2006/metadata/properties" xmlns:ns2="deb9ce6d-269d-438d-ad7a-219c84a500f6" xmlns:ns3="137aaceb-62d9-4eef-9570-6e2d5c8b0275" targetNamespace="http://schemas.microsoft.com/office/2006/metadata/properties" ma:root="true" ma:fieldsID="b30c7f719badddfdfead78610fb03e2e" ns2:_="" ns3:_="">
    <xsd:import namespace="deb9ce6d-269d-438d-ad7a-219c84a500f6"/>
    <xsd:import namespace="137aaceb-62d9-4eef-9570-6e2d5c8b027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FolderDescription"/>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9ce6d-269d-438d-ad7a-219c84a500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FolderDescription" ma:index="20" ma:displayName="Folder Description" ma:default=".." ma:description="Country profile template &amp; data" ma:format="Dropdown" ma:internalName="FolderDescription">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37aaceb-62d9-4eef-9570-6e2d5c8b0275"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5D3BF9-80D6-4019-8479-050E913D502D}"/>
</file>

<file path=customXml/itemProps2.xml><?xml version="1.0" encoding="utf-8"?>
<ds:datastoreItem xmlns:ds="http://schemas.openxmlformats.org/officeDocument/2006/customXml" ds:itemID="{68922762-C4B5-4E79-B879-1FACFC293B90}"/>
</file>

<file path=customXml/itemProps3.xml><?xml version="1.0" encoding="utf-8"?>
<ds:datastoreItem xmlns:ds="http://schemas.openxmlformats.org/officeDocument/2006/customXml" ds:itemID="{C6C8810B-116F-44D4-AD0F-153CB4C0759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Richeek Maitra</dc:creator>
  <cp:keywords/>
  <dc:description/>
  <cp:lastModifiedBy/>
  <cp:revision/>
  <dcterms:created xsi:type="dcterms:W3CDTF">2015-06-05T18:17:20Z</dcterms:created>
  <dcterms:modified xsi:type="dcterms:W3CDTF">2022-07-07T16:13:10Z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0x0101002F7F96C15450D046A5074FC027B44F23</vt:lpwstr>
  </property>
</Properties>
</file>